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907" firstSheet="0" activeTab="1" autoFilterDateGrouping="1"/>
  </bookViews>
  <sheets>
    <sheet name="phauthuat" sheetId="1" state="visible" r:id="rId1"/>
    <sheet name="thu thuat" sheetId="2" state="visible" r:id="rId2"/>
    <sheet name="tieuphau" sheetId="3" state="visible" r:id="rId3"/>
    <sheet name="GB" sheetId="4" state="visible" r:id="rId4"/>
    <sheet name="YCBS" sheetId="5" state="visible" r:id="rId5"/>
  </sheets>
  <definedNames>
    <definedName name="_Fill" hidden="1">#REF!</definedName>
    <definedName name="_xlnm._FilterDatabase" localSheetId="0" hidden="1">'phauthuat'!$A$6:$WWO$196</definedName>
    <definedName name="_Fill" localSheetId="1" hidden="1">#REF!</definedName>
    <definedName name="_xlnm._FilterDatabase" localSheetId="1" hidden="1">'thu thuat'!$A$5:$H$1172</definedName>
    <definedName name="_xlnm._FilterDatabase" localSheetId="2" hidden="1">'tieuphau'!$A$6:$XEX$56</definedName>
    <definedName name="_xlnm._FilterDatabase" localSheetId="3" hidden="1">'GB'!$A$8:$IE$8</definedName>
    <definedName name="_xlnm.Print_Area" localSheetId="3">'GB'!$A$1:$G$1205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_-* #,##0\ _€_-;\-* #,##0\ _€_-;_-* &quot;-&quot;??\ _€_-;_-@_-"/>
    <numFmt numFmtId="165" formatCode="_-* #,##0_-;\-* #,##0_-;_-* &quot;-&quot;??_-;_-@_-"/>
    <numFmt numFmtId="166" formatCode="_(* #,##0_);_(* \(#,##0\);_(* &quot;-&quot;??_);_(@_)"/>
    <numFmt numFmtId="167" formatCode="dd/mm/yyyy"/>
    <numFmt numFmtId="168" formatCode="\$#,##0\ ;\(\$#,##0\)"/>
    <numFmt numFmtId="169" formatCode="&quot;\&quot;#,##0;[Red]&quot;\&quot;&quot;\&quot;\-#,##0"/>
    <numFmt numFmtId="170" formatCode="&quot;\&quot;#,##0.00;[Red]&quot;\&quot;&quot;\&quot;&quot;\&quot;&quot;\&quot;&quot;\&quot;&quot;\&quot;\-#,##0.00"/>
    <numFmt numFmtId="171" formatCode="&quot;\&quot;#,##0.00;[Red]&quot;\&quot;\-#,##0.00"/>
    <numFmt numFmtId="172" formatCode="&quot;\&quot;#,##0;[Red]&quot;\&quot;\-#,##0"/>
  </numFmts>
  <fonts count="75">
    <font>
      <name val="Arial"/>
      <sz val="10"/>
    </font>
    <font>
      <name val="Arial"/>
      <family val="2"/>
      <sz val="10"/>
    </font>
    <font>
      <name val="Arial"/>
      <family val="2"/>
      <sz val="8"/>
    </font>
    <font>
      <name val="Times New Roman"/>
      <family val="1"/>
      <sz val="13"/>
    </font>
    <font>
      <name val="Times New Roman"/>
      <family val="1"/>
      <b val="1"/>
      <sz val="13"/>
    </font>
    <font>
      <name val="Times New Roman"/>
      <family val="1"/>
      <b val="1"/>
      <sz val="16"/>
    </font>
    <font>
      <name val="Times New Roman"/>
      <family val="1"/>
      <b val="1"/>
      <sz val="8"/>
    </font>
    <font>
      <name val="Times New Roman"/>
      <family val="1"/>
      <sz val="8"/>
    </font>
    <font>
      <name val="Times New Roman"/>
      <family val="1"/>
      <sz val="12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Arial"/>
      <family val="2"/>
      <b val="1"/>
      <sz val="18"/>
    </font>
    <font>
      <name val="Arial"/>
      <family val="2"/>
      <b val="1"/>
      <sz val="12"/>
    </font>
    <font>
      <name val="Calibri"/>
      <family val="2"/>
      <b val="1"/>
      <color indexed="56"/>
      <sz val="11"/>
    </font>
    <font>
      <name val="Calibri"/>
      <family val="2"/>
      <color indexed="62"/>
      <sz val="11"/>
    </font>
    <font>
      <name val="Calibri"/>
      <family val="2"/>
      <color indexed="52"/>
      <sz val="11"/>
    </font>
    <font>
      <name val="Calibri"/>
      <family val="2"/>
      <color indexed="60"/>
      <sz val="11"/>
    </font>
    <font>
      <name val="VNtimes new roman"/>
      <family val="2"/>
      <sz val="12"/>
    </font>
    <font>
      <name val="Calibri"/>
      <family val="2"/>
      <b val="1"/>
      <color indexed="63"/>
      <sz val="11"/>
    </font>
    <font>
      <name val="Cambria"/>
      <family val="2"/>
      <b val="1"/>
      <color indexed="56"/>
      <sz val="18"/>
    </font>
    <font>
      <name val="Calibri"/>
      <family val="2"/>
      <color indexed="10"/>
      <sz val="11"/>
    </font>
    <font>
      <name val="뼻뮝"/>
      <charset val="129"/>
      <family val="3"/>
      <sz val="14"/>
    </font>
    <font>
      <name val="뼻뮝"/>
      <charset val="129"/>
      <family val="1"/>
      <sz val="12"/>
    </font>
    <font>
      <name val="바탕체"/>
      <charset val="129"/>
      <family val="1"/>
      <sz val="12"/>
    </font>
    <font>
      <name val="굴림체"/>
      <charset val="129"/>
      <family val="3"/>
      <sz val="10"/>
    </font>
    <font>
      <name val="Times New Roman"/>
      <family val="1"/>
      <sz val="10"/>
    </font>
    <font>
      <name val="Times New Roman"/>
      <family val="1"/>
      <color indexed="10"/>
      <sz val="10"/>
    </font>
    <font>
      <name val="Times New Roman"/>
      <family val="1"/>
      <sz val="14"/>
    </font>
    <font>
      <name val="Times New Roman"/>
      <family val="1"/>
      <b val="1"/>
      <sz val="10"/>
    </font>
    <font>
      <name val="Times New Roman"/>
      <family val="1"/>
      <color rgb="FFFF0000"/>
      <sz val="10"/>
    </font>
    <font>
      <name val="Arial"/>
      <family val="2"/>
      <sz val="10"/>
    </font>
    <font>
      <name val="Times New Roman"/>
      <family val="1"/>
      <color rgb="FFFF0000"/>
      <sz val="13"/>
    </font>
    <font>
      <name val="Times New Roman"/>
      <family val="1"/>
      <b val="1"/>
      <color indexed="10"/>
      <sz val="10"/>
    </font>
    <font>
      <name val="Times New Roman"/>
      <family val="1"/>
      <color theme="1"/>
      <sz val="10"/>
    </font>
    <font>
      <name val="Times New Roman"/>
      <family val="1"/>
      <b val="1"/>
      <sz val="12"/>
    </font>
    <font>
      <name val="Times New Roman"/>
      <family val="1"/>
      <color indexed="10"/>
      <sz val="9"/>
    </font>
    <font>
      <name val="Times New Roman"/>
      <family val="1"/>
      <sz val="16"/>
    </font>
    <font>
      <name val="Times New Roman"/>
      <family val="1"/>
      <sz val="6"/>
    </font>
    <font>
      <name val="Times New Roman"/>
      <family val="1"/>
      <b val="1"/>
      <color rgb="FFFF0000"/>
      <sz val="10"/>
    </font>
    <font>
      <name val="Times New Roman"/>
      <family val="1"/>
      <color rgb="FFFF0000"/>
      <sz val="16"/>
    </font>
    <font>
      <name val="Times New Roman"/>
      <family val="1"/>
      <b val="1"/>
      <sz val="13"/>
      <u val="single"/>
    </font>
    <font>
      <name val="Times New Roman"/>
      <family val="1"/>
      <b val="1"/>
      <sz val="14"/>
    </font>
    <font>
      <name val="Times New Roman"/>
      <charset val="163"/>
      <family val="1"/>
      <sz val="10"/>
    </font>
    <font>
      <name val="Times New Roman"/>
      <charset val="163"/>
      <family val="1"/>
      <b val="1"/>
      <sz val="12"/>
    </font>
    <font>
      <name val="Times New Roman"/>
      <family val="1"/>
      <sz val="11"/>
    </font>
    <font>
      <name val="Times New Roman"/>
      <family val="1"/>
      <b val="1"/>
      <sz val="12"/>
      <u val="single"/>
    </font>
    <font>
      <name val="Times New Roman"/>
      <charset val="163"/>
      <family val="1"/>
      <sz val="12"/>
    </font>
    <font>
      <name val="Times New Roman"/>
      <family val="1"/>
      <b val="1"/>
      <sz val="11"/>
    </font>
    <font>
      <name val="Times New Roman"/>
      <family val="1"/>
      <color indexed="10"/>
      <sz val="14"/>
    </font>
    <font>
      <name val="Times New Roman"/>
      <family val="1"/>
      <color rgb="FFFF0000"/>
      <sz val="11"/>
    </font>
    <font>
      <name val="Times New Roman"/>
      <family val="1"/>
      <b val="1"/>
      <color rgb="FF000000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0000"/>
      <sz val="11"/>
    </font>
    <font>
      <name val="Times New Roman"/>
      <family val="1"/>
      <color rgb="FF000000"/>
      <sz val="13"/>
    </font>
    <font>
      <name val="Arial"/>
      <family val="2"/>
      <sz val="10"/>
    </font>
    <font>
      <name val="Times New Roman"/>
      <family val="1"/>
      <b val="1"/>
      <color indexed="8"/>
      <sz val="13"/>
    </font>
    <font>
      <name val="SansSerif"/>
      <color indexed="8"/>
      <sz val="10"/>
    </font>
    <font>
      <name val="Times New Roman"/>
      <family val="1"/>
      <b val="1"/>
      <color indexed="8"/>
      <sz val="14"/>
    </font>
    <font>
      <name val="Times New Roman"/>
      <family val="1"/>
      <b val="1"/>
      <color indexed="8"/>
      <sz val="10"/>
    </font>
    <font>
      <name val="Times New Roman"/>
      <family val="1"/>
      <b val="1"/>
      <color rgb="FFFF0000"/>
      <sz val="12"/>
    </font>
    <font>
      <name val="Times New Roman"/>
      <family val="1"/>
      <color rgb="FFFF0000"/>
      <sz val="12"/>
    </font>
    <font>
      <name val="Arial"/>
      <family val="2"/>
      <b val="1"/>
      <sz val="10"/>
    </font>
    <font>
      <name val="Arial"/>
      <family val="2"/>
      <sz val="11"/>
      <scheme val="minor"/>
    </font>
    <font>
      <name val="Arial"/>
      <family val="2"/>
      <color rgb="FFFF0000"/>
      <sz val="11"/>
      <scheme val="minor"/>
    </font>
    <font>
      <name val="Times New Roman"/>
      <family val="1"/>
      <b val="1"/>
      <sz val="18"/>
    </font>
    <font>
      <name val="Times New Roman"/>
      <family val="1"/>
      <color rgb="FFEE0000"/>
      <sz val="9"/>
    </font>
    <font>
      <name val="Times New Roman"/>
      <family val="1"/>
      <color rgb="FFFF0000"/>
      <sz val="12"/>
    </font>
    <font>
      <name val="Times New Roman"/>
      <family val="1"/>
      <color indexed="10"/>
      <sz val="8"/>
    </font>
    <font>
      <name val="Times New Roman"/>
      <family val="1"/>
      <color theme="1"/>
      <sz val="12"/>
    </font>
  </fonts>
  <fills count="2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</fills>
  <borders count="2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73">
    <xf numFmtId="0" fontId="0" fillId="0" borderId="0"/>
    <xf numFmtId="0" fontId="10" fillId="2" borderId="0"/>
    <xf numFmtId="0" fontId="10" fillId="3" borderId="0"/>
    <xf numFmtId="0" fontId="10" fillId="4" borderId="0"/>
    <xf numFmtId="0" fontId="10" fillId="5" borderId="0"/>
    <xf numFmtId="0" fontId="10" fillId="6" borderId="0"/>
    <xf numFmtId="0" fontId="10" fillId="7" borderId="0"/>
    <xf numFmtId="0" fontId="10" fillId="8" borderId="0"/>
    <xf numFmtId="0" fontId="10" fillId="9" borderId="0"/>
    <xf numFmtId="0" fontId="10" fillId="10" borderId="0"/>
    <xf numFmtId="0" fontId="10" fillId="5" borderId="0"/>
    <xf numFmtId="0" fontId="10" fillId="8" borderId="0"/>
    <xf numFmtId="0" fontId="10" fillId="11" borderId="0"/>
    <xf numFmtId="0" fontId="11" fillId="12" borderId="0"/>
    <xf numFmtId="0" fontId="11" fillId="9" borderId="0"/>
    <xf numFmtId="0" fontId="11" fillId="10" borderId="0"/>
    <xf numFmtId="0" fontId="11" fillId="13" borderId="0"/>
    <xf numFmtId="0" fontId="11" fillId="14" borderId="0"/>
    <xf numFmtId="0" fontId="11" fillId="15" borderId="0"/>
    <xf numFmtId="0" fontId="11" fillId="16" borderId="0"/>
    <xf numFmtId="0" fontId="11" fillId="17" borderId="0"/>
    <xf numFmtId="0" fontId="11" fillId="18" borderId="0"/>
    <xf numFmtId="0" fontId="11" fillId="13" borderId="0"/>
    <xf numFmtId="0" fontId="11" fillId="14" borderId="0"/>
    <xf numFmtId="0" fontId="11" fillId="19" borderId="0"/>
    <xf numFmtId="0" fontId="12" fillId="3" borderId="0"/>
    <xf numFmtId="0" fontId="13" fillId="20" borderId="1"/>
    <xf numFmtId="0" fontId="14" fillId="21" borderId="2"/>
    <xf numFmtId="43" fontId="60" fillId="0" borderId="0"/>
    <xf numFmtId="43" fontId="60" fillId="0" borderId="0"/>
    <xf numFmtId="3" fontId="60" fillId="0" borderId="0"/>
    <xf numFmtId="168" fontId="60" fillId="0" borderId="0"/>
    <xf numFmtId="0" fontId="60" fillId="0" borderId="0"/>
    <xf numFmtId="0" fontId="15" fillId="0" borderId="0"/>
    <xf numFmtId="2" fontId="60" fillId="0" borderId="0"/>
    <xf numFmtId="0" fontId="16" fillId="4" borderId="0"/>
    <xf numFmtId="0" fontId="17" fillId="0" borderId="0"/>
    <xf numFmtId="0" fontId="18" fillId="0" borderId="0"/>
    <xf numFmtId="0" fontId="19" fillId="0" borderId="3"/>
    <xf numFmtId="0" fontId="19" fillId="0" borderId="0"/>
    <xf numFmtId="0" fontId="20" fillId="7" borderId="1"/>
    <xf numFmtId="0" fontId="21" fillId="0" borderId="4"/>
    <xf numFmtId="0" fontId="22" fillId="22" borderId="0"/>
    <xf numFmtId="0" fontId="60" fillId="0" borderId="0"/>
    <xf numFmtId="0" fontId="23" fillId="23" borderId="5"/>
    <xf numFmtId="0" fontId="24" fillId="20" borderId="6"/>
    <xf numFmtId="0" fontId="25" fillId="0" borderId="0"/>
    <xf numFmtId="0" fontId="60" fillId="0" borderId="7"/>
    <xf numFmtId="0" fontId="26" fillId="0" borderId="0"/>
    <xf numFmtId="40" fontId="27" fillId="0" borderId="0"/>
    <xf numFmtId="38" fontId="27" fillId="0" borderId="0"/>
    <xf numFmtId="0" fontId="27" fillId="0" borderId="0"/>
    <xf numFmtId="0" fontId="27" fillId="0" borderId="0"/>
    <xf numFmtId="10" fontId="60" fillId="0" borderId="0"/>
    <xf numFmtId="0" fontId="28" fillId="0" borderId="0"/>
    <xf numFmtId="169" fontId="60" fillId="0" borderId="0"/>
    <xf numFmtId="170" fontId="60" fillId="0" borderId="0"/>
    <xf numFmtId="171" fontId="29" fillId="0" borderId="0"/>
    <xf numFmtId="172" fontId="29" fillId="0" borderId="0"/>
    <xf numFmtId="0" fontId="30" fillId="0" borderId="0"/>
    <xf numFmtId="0" fontId="60" fillId="0" borderId="0"/>
    <xf numFmtId="43" fontId="60" fillId="0" borderId="0"/>
    <xf numFmtId="43" fontId="60" fillId="0" borderId="0"/>
    <xf numFmtId="43" fontId="60" fillId="0" borderId="0"/>
    <xf numFmtId="3" fontId="60" fillId="0" borderId="0"/>
    <xf numFmtId="168" fontId="60" fillId="0" borderId="0"/>
    <xf numFmtId="0" fontId="60" fillId="0" borderId="0"/>
    <xf numFmtId="2" fontId="60" fillId="0" borderId="0"/>
    <xf numFmtId="0" fontId="60" fillId="0" borderId="0"/>
    <xf numFmtId="0" fontId="60" fillId="0" borderId="7"/>
    <xf numFmtId="0" fontId="60" fillId="0" borderId="0"/>
    <xf numFmtId="43" fontId="60" fillId="0" borderId="0"/>
    <xf numFmtId="9" fontId="60" fillId="0" borderId="0"/>
  </cellStyleXfs>
  <cellXfs count="255">
    <xf numFmtId="0" fontId="0" fillId="0" borderId="0" pivotButton="0" quotePrefix="0" xfId="0"/>
    <xf numFmtId="0" fontId="6" fillId="0" borderId="0" applyAlignment="1" pivotButton="0" quotePrefix="0" xfId="0">
      <alignment horizontal="center"/>
    </xf>
    <xf numFmtId="3" fontId="31" fillId="0" borderId="0" pivotButton="0" quotePrefix="0" xfId="61"/>
    <xf numFmtId="3" fontId="7" fillId="0" borderId="0" pivotButton="0" quotePrefix="0" xfId="61"/>
    <xf numFmtId="3" fontId="42" fillId="0" borderId="0" pivotButton="0" quotePrefix="0" xfId="60"/>
    <xf numFmtId="0" fontId="8" fillId="0" borderId="0" pivotButton="0" quotePrefix="0" xfId="60"/>
    <xf numFmtId="43" fontId="7" fillId="0" borderId="0" pivotButton="0" quotePrefix="0" xfId="61"/>
    <xf numFmtId="3" fontId="45" fillId="0" borderId="0" applyAlignment="1" pivotButton="0" quotePrefix="0" xfId="60">
      <alignment horizontal="right"/>
    </xf>
    <xf numFmtId="0" fontId="31" fillId="0" borderId="0" applyAlignment="1" pivotButton="0" quotePrefix="0" xfId="0">
      <alignment vertical="top"/>
    </xf>
    <xf numFmtId="0" fontId="35" fillId="0" borderId="0" applyAlignment="1" pivotButton="0" quotePrefix="0" xfId="0">
      <alignment vertical="top"/>
    </xf>
    <xf numFmtId="0" fontId="31" fillId="0" borderId="0" applyAlignment="1" pivotButton="0" quotePrefix="0" xfId="0">
      <alignment vertical="top" wrapText="1"/>
    </xf>
    <xf numFmtId="0" fontId="35" fillId="0" borderId="0" applyAlignment="1" pivotButton="0" quotePrefix="0" xfId="0">
      <alignment horizontal="right" vertical="top"/>
    </xf>
    <xf numFmtId="0" fontId="48" fillId="0" borderId="0" pivotButton="0" quotePrefix="0" xfId="0"/>
    <xf numFmtId="0" fontId="40" fillId="0" borderId="0" pivotButton="0" quotePrefix="0" xfId="60"/>
    <xf numFmtId="0" fontId="34" fillId="0" borderId="0" pivotButton="0" quotePrefix="0" xfId="0"/>
    <xf numFmtId="0" fontId="40" fillId="0" borderId="0" pivotButton="0" quotePrefix="0" xfId="0"/>
    <xf numFmtId="3" fontId="40" fillId="0" borderId="0" pivotButton="0" quotePrefix="0" xfId="61"/>
    <xf numFmtId="43" fontId="33" fillId="0" borderId="0" pivotButton="0" quotePrefix="0" xfId="28"/>
    <xf numFmtId="3" fontId="33" fillId="0" borderId="0" pivotButton="0" quotePrefix="0" xfId="61"/>
    <xf numFmtId="3" fontId="47" fillId="0" borderId="0" pivotButton="0" quotePrefix="0" xfId="61"/>
    <xf numFmtId="43" fontId="33" fillId="0" borderId="0" pivotButton="0" quotePrefix="0" xfId="61"/>
    <xf numFmtId="0" fontId="31" fillId="0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3" fontId="40" fillId="0" borderId="0" pivotButton="0" quotePrefix="0" xfId="28"/>
    <xf numFmtId="3" fontId="40" fillId="0" borderId="0" pivotButton="0" quotePrefix="0" xfId="28"/>
    <xf numFmtId="0" fontId="31" fillId="0" borderId="0" applyAlignment="1" pivotButton="0" quotePrefix="0" xfId="0">
      <alignment horizontal="center" vertical="center" wrapText="1"/>
    </xf>
    <xf numFmtId="3" fontId="42" fillId="0" borderId="0" applyAlignment="1" pivotButton="0" quotePrefix="0" xfId="60">
      <alignment wrapText="1"/>
    </xf>
    <xf numFmtId="0" fontId="31" fillId="0" borderId="0" applyAlignment="1" pivotButton="0" quotePrefix="0" xfId="60">
      <alignment horizontal="center"/>
    </xf>
    <xf numFmtId="0" fontId="34" fillId="0" borderId="0" applyAlignment="1" pivotButton="0" quotePrefix="0" xfId="60">
      <alignment horizontal="center"/>
    </xf>
    <xf numFmtId="0" fontId="31" fillId="0" borderId="0" applyAlignment="1" pivotButton="0" quotePrefix="0" xfId="0">
      <alignment horizontal="center" vertical="top"/>
    </xf>
    <xf numFmtId="3" fontId="31" fillId="0" borderId="0" applyAlignment="1" pivotButton="0" quotePrefix="0" xfId="0">
      <alignment vertical="top"/>
    </xf>
    <xf numFmtId="0" fontId="53" fillId="0" borderId="8" applyAlignment="1" pivotButton="0" quotePrefix="0" xfId="0">
      <alignment horizontal="center" vertical="center"/>
    </xf>
    <xf numFmtId="49" fontId="53" fillId="0" borderId="8" applyAlignment="1" pivotButton="0" quotePrefix="0" xfId="0">
      <alignment horizontal="center" vertical="center"/>
    </xf>
    <xf numFmtId="49" fontId="53" fillId="0" borderId="11" applyAlignment="1" pivotButton="0" quotePrefix="0" xfId="0">
      <alignment horizontal="center" vertical="center"/>
    </xf>
    <xf numFmtId="49" fontId="53" fillId="0" borderId="8" applyAlignment="1" pivotButton="0" quotePrefix="0" xfId="0">
      <alignment horizontal="center" vertical="center" wrapText="1"/>
    </xf>
    <xf numFmtId="49" fontId="53" fillId="0" borderId="8" applyAlignment="1" pivotButton="0" quotePrefix="0" xfId="61">
      <alignment horizontal="center" vertical="center"/>
    </xf>
    <xf numFmtId="0" fontId="8" fillId="0" borderId="0" applyAlignment="1" pivotButton="0" quotePrefix="0" xfId="0">
      <alignment vertical="center"/>
    </xf>
    <xf numFmtId="16" fontId="31" fillId="0" borderId="0" applyAlignment="1" pivotButton="0" quotePrefix="0" xfId="0">
      <alignment vertical="center"/>
    </xf>
    <xf numFmtId="3" fontId="31" fillId="0" borderId="0" applyAlignment="1" pivotButton="0" quotePrefix="0" xfId="0">
      <alignment vertical="center"/>
    </xf>
    <xf numFmtId="0" fontId="31" fillId="0" borderId="0" applyAlignment="1" pivotButton="0" quotePrefix="0" xfId="0">
      <alignment horizontal="center" vertical="center"/>
    </xf>
    <xf numFmtId="0" fontId="48" fillId="0" borderId="0" applyAlignment="1" pivotButton="0" quotePrefix="0" xfId="0">
      <alignment vertical="center" wrapText="1"/>
    </xf>
    <xf numFmtId="3" fontId="31" fillId="0" borderId="0" applyAlignment="1" pivotButton="0" quotePrefix="0" xfId="60">
      <alignment horizontal="center" vertical="center"/>
    </xf>
    <xf numFmtId="2" fontId="48" fillId="0" borderId="0" applyAlignment="1" pivotButton="0" quotePrefix="0" xfId="0">
      <alignment vertical="center"/>
    </xf>
    <xf numFmtId="43" fontId="48" fillId="0" borderId="0" applyAlignment="1" pivotButton="0" quotePrefix="0" xfId="61">
      <alignment vertical="center"/>
    </xf>
    <xf numFmtId="0" fontId="50" fillId="0" borderId="11" applyAlignment="1" pivotButton="0" quotePrefix="0" xfId="0">
      <alignment horizontal="center" vertical="center" shrinkToFit="1"/>
    </xf>
    <xf numFmtId="37" fontId="50" fillId="0" borderId="8" applyAlignment="1" pivotButton="0" quotePrefix="0" xfId="61">
      <alignment horizontal="center" vertical="center" shrinkToFit="1"/>
    </xf>
    <xf numFmtId="0" fontId="50" fillId="0" borderId="8" applyAlignment="1" pivotButton="0" quotePrefix="0" xfId="0">
      <alignment horizontal="center" vertical="center"/>
    </xf>
    <xf numFmtId="49" fontId="56" fillId="0" borderId="8" applyAlignment="1" pivotButton="0" quotePrefix="0" xfId="0">
      <alignment horizontal="left" vertical="center" wrapText="1"/>
    </xf>
    <xf numFmtId="3" fontId="57" fillId="0" borderId="8" applyAlignment="1" pivotButton="0" quotePrefix="0" xfId="61">
      <alignment horizontal="center" vertical="center" shrinkToFit="1"/>
    </xf>
    <xf numFmtId="0" fontId="31" fillId="0" borderId="8" applyAlignment="1" pivotButton="0" quotePrefix="0" xfId="0">
      <alignment horizontal="left" vertical="center" wrapText="1"/>
    </xf>
    <xf numFmtId="3" fontId="33" fillId="0" borderId="0" applyAlignment="1" pivotButton="0" quotePrefix="0" xfId="61">
      <alignment vertical="center"/>
    </xf>
    <xf numFmtId="3" fontId="7" fillId="0" borderId="0" applyAlignment="1" pivotButton="0" quotePrefix="0" xfId="61">
      <alignment vertical="center"/>
    </xf>
    <xf numFmtId="3" fontId="47" fillId="0" borderId="0" applyAlignment="1" pivotButton="0" quotePrefix="0" xfId="61">
      <alignment vertical="center"/>
    </xf>
    <xf numFmtId="0" fontId="50" fillId="0" borderId="0" applyAlignment="1" pivotButton="0" quotePrefix="0" xfId="0">
      <alignment vertical="center"/>
    </xf>
    <xf numFmtId="164" fontId="50" fillId="0" borderId="0" applyAlignment="1" pivotButton="0" quotePrefix="0" xfId="0">
      <alignment vertical="center"/>
    </xf>
    <xf numFmtId="164" fontId="50" fillId="0" borderId="8" applyAlignment="1" pivotButton="0" quotePrefix="0" xfId="28">
      <alignment horizontal="left" vertical="top"/>
    </xf>
    <xf numFmtId="0" fontId="55" fillId="0" borderId="0" applyAlignment="1" pivotButton="0" quotePrefix="0" xfId="0">
      <alignment horizontal="center" vertical="center"/>
    </xf>
    <xf numFmtId="0" fontId="50" fillId="0" borderId="0" applyAlignment="1" pivotButton="0" quotePrefix="0" xfId="0">
      <alignment horizontal="center" vertical="center"/>
    </xf>
    <xf numFmtId="0" fontId="55" fillId="0" borderId="0" applyAlignment="1" pivotButton="0" quotePrefix="0" xfId="0">
      <alignment vertical="top"/>
    </xf>
    <xf numFmtId="49" fontId="56" fillId="0" borderId="0" applyAlignment="1" pivotButton="0" quotePrefix="0" xfId="0">
      <alignment horizontal="left" vertical="center" wrapText="1"/>
    </xf>
    <xf numFmtId="0" fontId="50" fillId="0" borderId="0" applyAlignment="1" pivotButton="0" quotePrefix="0" xfId="0">
      <alignment horizontal="center" vertical="top"/>
    </xf>
    <xf numFmtId="0" fontId="53" fillId="0" borderId="0" applyAlignment="1" pivotButton="0" quotePrefix="0" xfId="0">
      <alignment horizontal="center" vertical="center"/>
    </xf>
    <xf numFmtId="0" fontId="53" fillId="0" borderId="0" applyAlignment="1" pivotButton="0" quotePrefix="0" xfId="0">
      <alignment vertical="top" wrapText="1"/>
    </xf>
    <xf numFmtId="3" fontId="50" fillId="0" borderId="0" applyAlignment="1" pivotButton="0" quotePrefix="0" xfId="28">
      <alignment wrapText="1"/>
    </xf>
    <xf numFmtId="3" fontId="50" fillId="0" borderId="0" pivotButton="0" quotePrefix="0" xfId="28"/>
    <xf numFmtId="3" fontId="50" fillId="0" borderId="0" applyAlignment="1" pivotButton="0" quotePrefix="0" xfId="0">
      <alignment vertical="top"/>
    </xf>
    <xf numFmtId="0" fontId="50" fillId="0" borderId="0" applyAlignment="1" pivotButton="0" quotePrefix="0" xfId="0">
      <alignment vertical="top"/>
    </xf>
    <xf numFmtId="0" fontId="50" fillId="0" borderId="0" applyAlignment="1" pivotButton="0" quotePrefix="0" xfId="0">
      <alignment vertical="top" wrapText="1"/>
    </xf>
    <xf numFmtId="3" fontId="50" fillId="0" borderId="0" applyAlignment="1" pivotButton="0" quotePrefix="0" xfId="28">
      <alignment horizontal="right" vertical="center" wrapText="1"/>
    </xf>
    <xf numFmtId="0" fontId="53" fillId="0" borderId="0" applyAlignment="1" pivotButton="0" quotePrefix="0" xfId="0">
      <alignment vertical="center" wrapText="1"/>
    </xf>
    <xf numFmtId="0" fontId="53" fillId="0" borderId="0" applyAlignment="1" pivotButton="0" quotePrefix="0" xfId="0">
      <alignment vertical="center"/>
    </xf>
    <xf numFmtId="3" fontId="44" fillId="0" borderId="8" applyAlignment="1" pivotButton="0" quotePrefix="0" xfId="61">
      <alignment horizontal="center" vertical="center" shrinkToFit="1"/>
    </xf>
    <xf numFmtId="49" fontId="34" fillId="0" borderId="8" applyAlignment="1" pivotButton="0" quotePrefix="0" xfId="0">
      <alignment horizontal="center" vertical="center"/>
    </xf>
    <xf numFmtId="0" fontId="31" fillId="0" borderId="12" applyAlignment="1" pivotButton="0" quotePrefix="0" xfId="0">
      <alignment horizontal="center" vertical="center" wrapText="1"/>
    </xf>
    <xf numFmtId="164" fontId="31" fillId="0" borderId="12" applyAlignment="1" pivotButton="0" quotePrefix="0" xfId="28">
      <alignment horizontal="center" vertical="top"/>
    </xf>
    <xf numFmtId="0" fontId="31" fillId="0" borderId="8" applyAlignment="1" pivotButton="0" quotePrefix="0" xfId="0">
      <alignment horizontal="center" vertical="center" wrapText="1"/>
    </xf>
    <xf numFmtId="164" fontId="31" fillId="0" borderId="8" applyAlignment="1" pivotButton="0" quotePrefix="0" xfId="28">
      <alignment horizontal="center" vertical="top"/>
    </xf>
    <xf numFmtId="0" fontId="50" fillId="0" borderId="8" applyAlignment="1" pivotButton="0" quotePrefix="0" xfId="0">
      <alignment horizontal="center" vertical="center" shrinkToFit="1"/>
    </xf>
    <xf numFmtId="2" fontId="53" fillId="0" borderId="11" applyAlignment="1" pivotButton="0" quotePrefix="0" xfId="0">
      <alignment horizontal="center" vertical="center" wrapText="1"/>
    </xf>
    <xf numFmtId="49" fontId="58" fillId="0" borderId="8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  <xf numFmtId="49" fontId="59" fillId="0" borderId="0" applyAlignment="1" pivotButton="0" quotePrefix="0" xfId="0">
      <alignment horizontal="left" vertical="center" wrapText="1"/>
    </xf>
    <xf numFmtId="2" fontId="59" fillId="0" borderId="0" applyAlignment="1" pivotButton="0" quotePrefix="0" xfId="0">
      <alignment horizontal="left" vertical="center" wrapText="1"/>
    </xf>
    <xf numFmtId="3" fontId="59" fillId="0" borderId="0" applyAlignment="1" pivotButton="0" quotePrefix="0" xfId="0">
      <alignment horizontal="center" vertical="center" wrapText="1"/>
    </xf>
    <xf numFmtId="2" fontId="3" fillId="0" borderId="0" applyAlignment="1" pivotButton="0" quotePrefix="0" xfId="0">
      <alignment vertical="center" wrapText="1"/>
    </xf>
    <xf numFmtId="3" fontId="3" fillId="0" borderId="0" applyAlignment="1" pivotButton="0" quotePrefix="0" xfId="0">
      <alignment vertical="center" wrapText="1"/>
    </xf>
    <xf numFmtId="3" fontId="3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1" fontId="3" fillId="0" borderId="0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vertical="center"/>
    </xf>
    <xf numFmtId="2" fontId="3" fillId="0" borderId="0" applyAlignment="1" pivotButton="0" quotePrefix="0" xfId="0">
      <alignment vertical="center"/>
    </xf>
    <xf numFmtId="37" fontId="3" fillId="0" borderId="0" applyAlignment="1" pivotButton="0" quotePrefix="0" xfId="0">
      <alignment vertical="center"/>
    </xf>
    <xf numFmtId="0" fontId="31" fillId="0" borderId="8" applyAlignment="1" pivotButton="0" quotePrefix="0" xfId="0">
      <alignment horizontal="center" vertical="center" wrapText="1" shrinkToFit="1"/>
    </xf>
    <xf numFmtId="3" fontId="31" fillId="0" borderId="8" applyAlignment="1" applyProtection="1" pivotButton="0" quotePrefix="0" xfId="61">
      <alignment horizontal="center" vertical="center" wrapText="1" shrinkToFit="1"/>
      <protection locked="0" hidden="0"/>
    </xf>
    <xf numFmtId="0" fontId="31" fillId="0" borderId="13" applyAlignment="1" pivotButton="0" quotePrefix="0" xfId="0">
      <alignment vertical="center" wrapText="1"/>
    </xf>
    <xf numFmtId="49" fontId="34" fillId="0" borderId="13" applyAlignment="1" pivotButton="0" quotePrefix="0" xfId="0">
      <alignment horizontal="left" vertical="center" wrapText="1"/>
    </xf>
    <xf numFmtId="0" fontId="31" fillId="0" borderId="8" applyAlignment="1" pivotButton="0" quotePrefix="0" xfId="0">
      <alignment vertical="center" wrapText="1"/>
    </xf>
    <xf numFmtId="3" fontId="34" fillId="0" borderId="8" applyAlignment="1" pivotButton="0" quotePrefix="0" xfId="0">
      <alignment horizontal="center" vertical="center" wrapText="1"/>
    </xf>
    <xf numFmtId="3" fontId="53" fillId="0" borderId="9" applyAlignment="1" pivotButton="0" quotePrefix="0" xfId="28">
      <alignment horizontal="center"/>
    </xf>
    <xf numFmtId="3" fontId="53" fillId="0" borderId="0" applyAlignment="1" pivotButton="0" quotePrefix="0" xfId="28">
      <alignment horizontal="center"/>
    </xf>
    <xf numFmtId="3" fontId="5" fillId="0" borderId="0" applyAlignment="1" pivotButton="0" quotePrefix="0" xfId="60">
      <alignment horizontal="center" vertical="center"/>
    </xf>
    <xf numFmtId="0" fontId="31" fillId="0" borderId="8" applyAlignment="1" pivotButton="0" quotePrefix="0" xfId="0">
      <alignment horizontal="left" vertical="center"/>
    </xf>
    <xf numFmtId="0" fontId="31" fillId="0" borderId="8" applyAlignment="1" pivotButton="0" quotePrefix="0" xfId="0">
      <alignment horizontal="left" vertical="top"/>
    </xf>
    <xf numFmtId="0" fontId="31" fillId="0" borderId="8" applyAlignment="1" pivotButton="0" quotePrefix="0" xfId="0">
      <alignment horizontal="left" vertical="top" wrapText="1"/>
    </xf>
    <xf numFmtId="0" fontId="31" fillId="0" borderId="13" applyAlignment="1" pivotButton="0" quotePrefix="0" xfId="0">
      <alignment horizontal="left" vertical="top" wrapText="1"/>
    </xf>
    <xf numFmtId="164" fontId="31" fillId="0" borderId="8" applyAlignment="1" pivotButton="0" quotePrefix="0" xfId="28">
      <alignment horizontal="left" vertical="top" wrapText="1"/>
    </xf>
    <xf numFmtId="0" fontId="31" fillId="0" borderId="8" applyAlignment="1" pivotButton="0" quotePrefix="0" xfId="0">
      <alignment horizontal="center" vertical="top" wrapText="1"/>
    </xf>
    <xf numFmtId="0" fontId="61" fillId="25" borderId="0" applyAlignment="1" pivotButton="0" quotePrefix="0" xfId="0">
      <alignment vertical="center"/>
    </xf>
    <xf numFmtId="0" fontId="62" fillId="25" borderId="0" applyAlignment="1" pivotButton="0" quotePrefix="0" xfId="0">
      <alignment horizontal="left" vertical="top" wrapText="1"/>
    </xf>
    <xf numFmtId="0" fontId="63" fillId="25" borderId="0" applyAlignment="1" pivotButton="0" quotePrefix="0" xfId="0">
      <alignment vertical="center"/>
    </xf>
    <xf numFmtId="0" fontId="64" fillId="25" borderId="0" applyAlignment="1" pivotButton="0" quotePrefix="0" xfId="0">
      <alignment horizontal="right" vertical="top"/>
    </xf>
    <xf numFmtId="0" fontId="64" fillId="25" borderId="0" applyAlignment="1" pivotButton="0" quotePrefix="0" xfId="0">
      <alignment horizontal="left" vertical="top"/>
    </xf>
    <xf numFmtId="0" fontId="44" fillId="24" borderId="0" applyAlignment="1" pivotButton="0" quotePrefix="0" xfId="0">
      <alignment vertical="top"/>
    </xf>
    <xf numFmtId="1" fontId="44" fillId="24" borderId="0" applyAlignment="1" pivotButton="0" quotePrefix="0" xfId="0">
      <alignment horizontal="left" vertical="top"/>
    </xf>
    <xf numFmtId="165" fontId="44" fillId="24" borderId="0" applyAlignment="1" pivotButton="0" quotePrefix="0" xfId="0">
      <alignment vertical="top"/>
    </xf>
    <xf numFmtId="0" fontId="65" fillId="0" borderId="8" applyAlignment="1" pivotButton="0" quotePrefix="0" xfId="0">
      <alignment horizontal="center" vertical="center"/>
    </xf>
    <xf numFmtId="165" fontId="65" fillId="0" borderId="8" applyAlignment="1" pivotButton="0" quotePrefix="0" xfId="28">
      <alignment horizontal="center" vertical="center"/>
    </xf>
    <xf numFmtId="0" fontId="66" fillId="0" borderId="8" applyAlignment="1" pivotButton="0" quotePrefix="0" xfId="0">
      <alignment horizontal="left" vertical="top"/>
    </xf>
    <xf numFmtId="165" fontId="66" fillId="0" borderId="8" applyAlignment="1" pivotButton="0" quotePrefix="0" xfId="28">
      <alignment horizontal="left" vertical="top"/>
    </xf>
    <xf numFmtId="0" fontId="67" fillId="0" borderId="8" pivotButton="0" quotePrefix="0" xfId="0"/>
    <xf numFmtId="165" fontId="67" fillId="0" borderId="8" pivotButton="0" quotePrefix="0" xfId="0"/>
    <xf numFmtId="0" fontId="67" fillId="0" borderId="0" pivotButton="0" quotePrefix="0" xfId="0"/>
    <xf numFmtId="0" fontId="64" fillId="25" borderId="0" applyAlignment="1" pivotButton="0" quotePrefix="0" xfId="0">
      <alignment horizontal="left" vertical="top" wrapText="1"/>
    </xf>
    <xf numFmtId="0" fontId="68" fillId="0" borderId="0" pivotButton="0" quotePrefix="0" xfId="0"/>
    <xf numFmtId="0" fontId="69" fillId="0" borderId="0" pivotButton="0" quotePrefix="0" xfId="0"/>
    <xf numFmtId="3" fontId="53" fillId="0" borderId="9" pivotButton="0" quotePrefix="0" xfId="28"/>
    <xf numFmtId="0" fontId="53" fillId="0" borderId="0" pivotButton="0" quotePrefix="0" xfId="0"/>
    <xf numFmtId="3" fontId="53" fillId="0" borderId="0" pivotButton="0" quotePrefix="0" xfId="28"/>
    <xf numFmtId="0" fontId="57" fillId="0" borderId="8" applyAlignment="1" pivotButton="0" quotePrefix="0" xfId="0">
      <alignment horizontal="center" vertical="center" wrapText="1"/>
    </xf>
    <xf numFmtId="0" fontId="53" fillId="0" borderId="14" applyAlignment="1" pivotButton="0" quotePrefix="0" xfId="0">
      <alignment horizontal="center" vertical="center" wrapText="1" shrinkToFit="1"/>
    </xf>
    <xf numFmtId="0" fontId="53" fillId="0" borderId="8" applyAlignment="1" pivotButton="0" quotePrefix="0" xfId="0">
      <alignment horizontal="center" vertical="center" wrapText="1" shrinkToFit="1"/>
    </xf>
    <xf numFmtId="0" fontId="53" fillId="0" borderId="8" applyAlignment="1" pivotButton="0" quotePrefix="0" xfId="0">
      <alignment horizontal="center" vertical="center" wrapText="1"/>
    </xf>
    <xf numFmtId="3" fontId="41" fillId="0" borderId="0" applyAlignment="1" pivotButton="0" quotePrefix="0" xfId="61">
      <alignment horizontal="center" vertical="center"/>
    </xf>
    <xf numFmtId="43" fontId="54" fillId="0" borderId="0" applyAlignment="1" pivotButton="0" quotePrefix="0" xfId="61">
      <alignment horizontal="center" vertical="center"/>
    </xf>
    <xf numFmtId="43" fontId="32" fillId="0" borderId="0" applyAlignment="1" pivotButton="0" quotePrefix="0" xfId="61">
      <alignment horizontal="center" vertical="center"/>
    </xf>
    <xf numFmtId="43" fontId="38" fillId="0" borderId="8" applyAlignment="1" pivotButton="0" quotePrefix="0" xfId="61">
      <alignment horizontal="center" vertical="center"/>
    </xf>
    <xf numFmtId="3" fontId="34" fillId="0" borderId="8" applyAlignment="1" pivotButton="0" quotePrefix="0" xfId="61">
      <alignment horizontal="center" vertical="center"/>
    </xf>
    <xf numFmtId="43" fontId="34" fillId="0" borderId="8" applyAlignment="1" pivotButton="0" quotePrefix="0" xfId="61">
      <alignment horizontal="center" vertical="center"/>
    </xf>
    <xf numFmtId="3" fontId="50" fillId="0" borderId="0" applyAlignment="1" pivotButton="0" quotePrefix="0" xfId="0">
      <alignment horizontal="center" vertical="center"/>
    </xf>
    <xf numFmtId="0" fontId="72" fillId="0" borderId="8" applyAlignment="1" pivotButton="0" quotePrefix="0" xfId="0">
      <alignment horizontal="left" vertical="top"/>
    </xf>
    <xf numFmtId="165" fontId="72" fillId="0" borderId="8" applyAlignment="1" pivotButton="0" quotePrefix="0" xfId="28">
      <alignment horizontal="left" vertical="top"/>
    </xf>
    <xf numFmtId="3" fontId="31" fillId="0" borderId="0" applyAlignment="1" pivotButton="0" quotePrefix="0" xfId="0">
      <alignment horizontal="center" vertical="center"/>
    </xf>
    <xf numFmtId="0" fontId="39" fillId="0" borderId="8" applyAlignment="1" pivotButton="0" quotePrefix="0" xfId="70">
      <alignment horizontal="center" vertical="center"/>
    </xf>
    <xf numFmtId="0" fontId="50" fillId="0" borderId="8" applyAlignment="1" pivotButton="0" quotePrefix="0" xfId="70">
      <alignment horizontal="center" vertical="center"/>
    </xf>
    <xf numFmtId="3" fontId="39" fillId="0" borderId="8" applyAlignment="1" pivotButton="0" quotePrefix="0" xfId="70">
      <alignment horizontal="center" vertical="center" shrinkToFit="1"/>
    </xf>
    <xf numFmtId="0" fontId="31" fillId="0" borderId="0" applyAlignment="1" pivotButton="0" quotePrefix="0" xfId="70">
      <alignment vertical="center"/>
    </xf>
    <xf numFmtId="0" fontId="32" fillId="0" borderId="0" applyAlignment="1" pivotButton="0" quotePrefix="0" xfId="70">
      <alignment vertical="center"/>
    </xf>
    <xf numFmtId="0" fontId="32" fillId="0" borderId="0" applyAlignment="1" pivotButton="0" quotePrefix="0" xfId="70">
      <alignment horizontal="center" vertical="center"/>
    </xf>
    <xf numFmtId="0" fontId="31" fillId="0" borderId="0" pivotButton="0" quotePrefix="0" xfId="70"/>
    <xf numFmtId="0" fontId="31" fillId="0" borderId="0" applyAlignment="1" pivotButton="0" quotePrefix="0" xfId="70">
      <alignment horizontal="left" vertical="center"/>
    </xf>
    <xf numFmtId="0" fontId="31" fillId="0" borderId="0" pivotButton="0" quotePrefix="0" xfId="0"/>
    <xf numFmtId="0" fontId="31" fillId="0" borderId="0" applyAlignment="1" pivotButton="0" quotePrefix="0" xfId="70">
      <alignment horizontal="center" vertical="center"/>
    </xf>
    <xf numFmtId="3" fontId="31" fillId="0" borderId="0" pivotButton="0" quotePrefix="0" xfId="70"/>
    <xf numFmtId="0" fontId="71" fillId="0" borderId="16" applyAlignment="1" pivotButton="0" quotePrefix="0" xfId="0">
      <alignment vertical="center"/>
    </xf>
    <xf numFmtId="3" fontId="71" fillId="0" borderId="15" applyAlignment="1" pivotButton="0" quotePrefix="0" xfId="0">
      <alignment vertical="center"/>
    </xf>
    <xf numFmtId="0" fontId="5" fillId="0" borderId="0" applyAlignment="1" pivotButton="0" quotePrefix="0" xfId="70">
      <alignment horizontal="center"/>
    </xf>
    <xf numFmtId="0" fontId="5" fillId="0" borderId="0" applyAlignment="1" pivotButton="0" quotePrefix="0" xfId="70">
      <alignment horizontal="center" vertical="center"/>
    </xf>
    <xf numFmtId="0" fontId="5" fillId="0" borderId="0" pivotButton="0" quotePrefix="0" xfId="70"/>
    <xf numFmtId="0" fontId="5" fillId="0" borderId="0" applyAlignment="1" pivotButton="0" quotePrefix="0" xfId="70">
      <alignment horizontal="left"/>
    </xf>
    <xf numFmtId="3" fontId="5" fillId="0" borderId="0" applyAlignment="1" pivotButton="0" quotePrefix="0" xfId="70">
      <alignment horizontal="center"/>
    </xf>
    <xf numFmtId="0" fontId="34" fillId="0" borderId="8" applyAlignment="1" pivotButton="0" quotePrefix="0" xfId="70">
      <alignment horizontal="center" vertical="center"/>
    </xf>
    <xf numFmtId="0" fontId="31" fillId="0" borderId="0" applyAlignment="1" pivotButton="0" quotePrefix="0" xfId="70">
      <alignment horizontal="center"/>
    </xf>
    <xf numFmtId="0" fontId="31" fillId="0" borderId="0" applyAlignment="1" pivotButton="0" quotePrefix="0" xfId="0">
      <alignment horizontal="center"/>
    </xf>
    <xf numFmtId="49" fontId="71" fillId="0" borderId="15" applyAlignment="1" pivotButton="0" quotePrefix="0" xfId="0">
      <alignment horizontal="center" vertical="center"/>
    </xf>
    <xf numFmtId="0" fontId="71" fillId="0" borderId="15" applyAlignment="1" pivotButton="0" quotePrefix="0" xfId="0">
      <alignment horizontal="center" vertical="center"/>
    </xf>
    <xf numFmtId="0" fontId="71" fillId="0" borderId="17" applyAlignment="1" pivotButton="0" quotePrefix="0" xfId="0">
      <alignment horizontal="center" vertical="center"/>
    </xf>
    <xf numFmtId="0" fontId="71" fillId="0" borderId="15" applyAlignment="1" pivotButton="0" quotePrefix="0" xfId="0">
      <alignment vertical="center"/>
    </xf>
    <xf numFmtId="0" fontId="39" fillId="0" borderId="0" applyAlignment="1" pivotButton="0" quotePrefix="0" xfId="70">
      <alignment vertical="center"/>
    </xf>
    <xf numFmtId="0" fontId="39" fillId="0" borderId="0" applyAlignment="1" pivotButton="0" quotePrefix="0" xfId="0">
      <alignment vertical="center"/>
    </xf>
    <xf numFmtId="3" fontId="39" fillId="0" borderId="0" applyAlignment="1" pivotButton="0" quotePrefix="0" xfId="70">
      <alignment vertical="center"/>
    </xf>
    <xf numFmtId="49" fontId="44" fillId="0" borderId="8" applyAlignment="1" pivotButton="0" quotePrefix="0" xfId="0">
      <alignment horizontal="center" vertical="center"/>
    </xf>
    <xf numFmtId="0" fontId="44" fillId="0" borderId="8" applyAlignment="1" pivotButton="0" quotePrefix="0" xfId="0">
      <alignment horizontal="center" vertical="center"/>
    </xf>
    <xf numFmtId="3" fontId="44" fillId="0" borderId="8" applyAlignment="1" pivotButton="0" quotePrefix="0" xfId="0">
      <alignment horizontal="center" vertical="center"/>
    </xf>
    <xf numFmtId="3" fontId="44" fillId="0" borderId="8" applyAlignment="1" pivotButton="0" quotePrefix="0" xfId="0">
      <alignment horizontal="left" vertical="center"/>
    </xf>
    <xf numFmtId="0" fontId="34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vertical="center"/>
    </xf>
    <xf numFmtId="0" fontId="33" fillId="0" borderId="0" pivotButton="0" quotePrefix="0" xfId="0"/>
    <xf numFmtId="0" fontId="33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0" pivotButton="0" quotePrefix="0" xfId="0"/>
    <xf numFmtId="43" fontId="73" fillId="0" borderId="0" applyAlignment="1" pivotButton="0" quotePrefix="0" xfId="61">
      <alignment horizontal="center" vertical="center"/>
    </xf>
    <xf numFmtId="0" fontId="34" fillId="0" borderId="8" applyAlignment="1" pivotButton="0" quotePrefix="0" xfId="70">
      <alignment horizontal="center" vertical="center" wrapText="1"/>
    </xf>
    <xf numFmtId="0" fontId="74" fillId="0" borderId="8" applyAlignment="1" pivotButton="0" quotePrefix="0" xfId="0">
      <alignment vertical="center" wrapText="1"/>
    </xf>
    <xf numFmtId="165" fontId="0" fillId="0" borderId="0" pivotButton="0" quotePrefix="0" xfId="0"/>
    <xf numFmtId="49" fontId="71" fillId="0" borderId="18" applyAlignment="1" pivotButton="0" quotePrefix="0" xfId="0">
      <alignment horizontal="center" vertical="center"/>
    </xf>
    <xf numFmtId="0" fontId="71" fillId="0" borderId="0" applyAlignment="1" pivotButton="0" quotePrefix="0" xfId="0">
      <alignment vertical="center"/>
    </xf>
    <xf numFmtId="0" fontId="71" fillId="0" borderId="18" applyAlignment="1" pivotButton="0" quotePrefix="0" xfId="0">
      <alignment horizontal="center" vertical="center"/>
    </xf>
    <xf numFmtId="0" fontId="71" fillId="0" borderId="19" applyAlignment="1" pivotButton="0" quotePrefix="0" xfId="0">
      <alignment horizontal="center" vertical="center"/>
    </xf>
    <xf numFmtId="0" fontId="71" fillId="0" borderId="18" applyAlignment="1" pivotButton="0" quotePrefix="0" xfId="0">
      <alignment vertical="center"/>
    </xf>
    <xf numFmtId="3" fontId="71" fillId="0" borderId="18" applyAlignment="1" pivotButton="0" quotePrefix="0" xfId="0">
      <alignment vertical="center"/>
    </xf>
    <xf numFmtId="14" fontId="58" fillId="0" borderId="8" applyAlignment="1" pivotButton="0" quotePrefix="0" xfId="0">
      <alignment horizontal="left" vertical="center"/>
    </xf>
    <xf numFmtId="14" fontId="59" fillId="0" borderId="0" applyAlignment="1" pivotButton="0" quotePrefix="0" xfId="0">
      <alignment horizontal="left" vertical="center"/>
    </xf>
    <xf numFmtId="166" fontId="55" fillId="0" borderId="8" applyAlignment="1" pivotButton="0" quotePrefix="0" xfId="0">
      <alignment horizontal="right" vertical="center"/>
    </xf>
    <xf numFmtId="0" fontId="53" fillId="0" borderId="0" applyAlignment="1" pivotButton="0" quotePrefix="0" xfId="0">
      <alignment horizontal="center" vertical="top"/>
    </xf>
    <xf numFmtId="3" fontId="5" fillId="0" borderId="0" applyAlignment="1" pivotButton="0" quotePrefix="0" xfId="60">
      <alignment horizontal="center" vertical="center"/>
    </xf>
    <xf numFmtId="3" fontId="40" fillId="0" borderId="10" applyAlignment="1" pivotButton="0" quotePrefix="0" xfId="60">
      <alignment horizontal="center" vertical="center"/>
    </xf>
    <xf numFmtId="0" fontId="53" fillId="0" borderId="0" applyAlignment="1" pivotButton="0" quotePrefix="0" xfId="0">
      <alignment horizontal="center" vertical="center"/>
    </xf>
    <xf numFmtId="0" fontId="3" fillId="0" borderId="0" applyAlignment="1" pivotButton="0" quotePrefix="0" xfId="70">
      <alignment horizontal="center"/>
    </xf>
    <xf numFmtId="0" fontId="4" fillId="0" borderId="0" applyAlignment="1" pivotButton="0" quotePrefix="0" xfId="70">
      <alignment horizontal="center"/>
    </xf>
    <xf numFmtId="3" fontId="70" fillId="0" borderId="0" applyAlignment="1" pivotButton="0" quotePrefix="0" xfId="70">
      <alignment horizontal="center"/>
    </xf>
    <xf numFmtId="0" fontId="5" fillId="0" borderId="0" applyAlignment="1" pivotButton="0" quotePrefix="0" xfId="70">
      <alignment horizontal="center"/>
    </xf>
    <xf numFmtId="0" fontId="44" fillId="0" borderId="8" applyAlignment="1" pivotButton="0" quotePrefix="0" xfId="0">
      <alignment horizontal="center" vertical="center"/>
    </xf>
    <xf numFmtId="3" fontId="40" fillId="0" borderId="0" applyAlignment="1" pivotButton="0" quotePrefix="0" xfId="61">
      <alignment horizontal="center"/>
    </xf>
    <xf numFmtId="0" fontId="47" fillId="0" borderId="0" applyAlignment="1" pivotButton="0" quotePrefix="0" xfId="0">
      <alignment horizontal="center"/>
    </xf>
    <xf numFmtId="3" fontId="47" fillId="0" borderId="0" applyAlignment="1" pivotButton="0" quotePrefix="0" xfId="61">
      <alignment horizontal="center"/>
    </xf>
    <xf numFmtId="3" fontId="53" fillId="0" borderId="9" applyAlignment="1" pivotButton="0" quotePrefix="0" xfId="28">
      <alignment horizontal="center"/>
    </xf>
    <xf numFmtId="3" fontId="53" fillId="0" borderId="0" applyAlignment="1" pivotButton="0" quotePrefix="0" xfId="28">
      <alignment horizontal="center"/>
    </xf>
    <xf numFmtId="0" fontId="53" fillId="0" borderId="0" applyAlignment="1" pivotButton="0" quotePrefix="0" xfId="0">
      <alignment horizontal="center"/>
    </xf>
    <xf numFmtId="0" fontId="52" fillId="0" borderId="0" applyAlignment="1" pivotButton="0" quotePrefix="0" xfId="0">
      <alignment horizontal="center"/>
    </xf>
    <xf numFmtId="0" fontId="49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3" fontId="40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wrapText="1"/>
    </xf>
    <xf numFmtId="0" fontId="4" fillId="0" borderId="0" applyAlignment="1" pivotButton="0" quotePrefix="0" xfId="0">
      <alignment horizontal="center" vertical="center"/>
    </xf>
    <xf numFmtId="0" fontId="63" fillId="25" borderId="0" applyAlignment="1" pivotButton="0" quotePrefix="0" xfId="0">
      <alignment horizontal="center" vertical="center"/>
    </xf>
    <xf numFmtId="0" fontId="61" fillId="25" borderId="0" applyAlignment="1" pivotButton="0" quotePrefix="0" xfId="0">
      <alignment horizontal="center" vertical="center"/>
    </xf>
    <xf numFmtId="9" fontId="44" fillId="24" borderId="0" applyAlignment="1" pivotButton="0" quotePrefix="0" xfId="72">
      <alignment horizontal="left" vertical="top"/>
    </xf>
    <xf numFmtId="43" fontId="32" fillId="0" borderId="0" applyAlignment="1" pivotButton="0" quotePrefix="0" xfId="61">
      <alignment horizontal="center" vertical="center"/>
    </xf>
    <xf numFmtId="43" fontId="7" fillId="0" borderId="0" pivotButton="0" quotePrefix="0" xfId="61"/>
    <xf numFmtId="43" fontId="38" fillId="0" borderId="8" applyAlignment="1" pivotButton="0" quotePrefix="0" xfId="61">
      <alignment horizontal="center" vertical="center"/>
    </xf>
    <xf numFmtId="43" fontId="34" fillId="0" borderId="8" applyAlignment="1" pivotButton="0" quotePrefix="0" xfId="61">
      <alignment horizontal="center" vertical="center"/>
    </xf>
    <xf numFmtId="167" fontId="71" fillId="0" borderId="15" applyAlignment="1" pivotButton="0" quotePrefix="0" xfId="0">
      <alignment horizontal="center" vertical="center"/>
    </xf>
    <xf numFmtId="167" fontId="71" fillId="0" borderId="18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12" pivotButton="0" quotePrefix="0" xfId="0"/>
    <xf numFmtId="43" fontId="73" fillId="0" borderId="0" applyAlignment="1" pivotButton="0" quotePrefix="0" xfId="61">
      <alignment horizontal="center" vertical="center"/>
    </xf>
    <xf numFmtId="43" fontId="54" fillId="0" borderId="0" applyAlignment="1" pivotButton="0" quotePrefix="0" xfId="61">
      <alignment horizontal="center" vertical="center"/>
    </xf>
    <xf numFmtId="43" fontId="33" fillId="0" borderId="0" pivotButton="0" quotePrefix="0" xfId="61"/>
    <xf numFmtId="0" fontId="0" fillId="0" borderId="10" pivotButton="0" quotePrefix="0" xfId="0"/>
    <xf numFmtId="164" fontId="31" fillId="0" borderId="8" applyAlignment="1" pivotButton="0" quotePrefix="0" xfId="28">
      <alignment horizontal="left" vertical="top" wrapText="1"/>
    </xf>
    <xf numFmtId="165" fontId="72" fillId="0" borderId="8" applyAlignment="1" pivotButton="0" quotePrefix="0" xfId="28">
      <alignment horizontal="left" vertical="top"/>
    </xf>
    <xf numFmtId="166" fontId="55" fillId="0" borderId="8" applyAlignment="1" pivotButton="0" quotePrefix="0" xfId="0">
      <alignment horizontal="right" vertical="center"/>
    </xf>
    <xf numFmtId="0" fontId="0" fillId="0" borderId="9" pivotButton="0" quotePrefix="0" xfId="0"/>
    <xf numFmtId="43" fontId="33" fillId="0" borderId="0" pivotButton="0" quotePrefix="0" xfId="28"/>
    <xf numFmtId="43" fontId="48" fillId="0" borderId="0" applyAlignment="1" pivotButton="0" quotePrefix="0" xfId="61">
      <alignment vertical="center"/>
    </xf>
    <xf numFmtId="164" fontId="50" fillId="0" borderId="0" applyAlignment="1" pivotButton="0" quotePrefix="0" xfId="0">
      <alignment vertical="center"/>
    </xf>
    <xf numFmtId="164" fontId="31" fillId="0" borderId="12" applyAlignment="1" pivotButton="0" quotePrefix="0" xfId="28">
      <alignment horizontal="center" vertical="top"/>
    </xf>
    <xf numFmtId="164" fontId="31" fillId="0" borderId="8" applyAlignment="1" pivotButton="0" quotePrefix="0" xfId="28">
      <alignment horizontal="center" vertical="top"/>
    </xf>
    <xf numFmtId="164" fontId="50" fillId="0" borderId="8" applyAlignment="1" pivotButton="0" quotePrefix="0" xfId="28">
      <alignment horizontal="left" vertical="top"/>
    </xf>
    <xf numFmtId="165" fontId="44" fillId="24" borderId="0" applyAlignment="1" pivotButton="0" quotePrefix="0" xfId="0">
      <alignment vertical="top"/>
    </xf>
    <xf numFmtId="165" fontId="0" fillId="0" borderId="0" pivotButton="0" quotePrefix="0" xfId="0"/>
    <xf numFmtId="165" fontId="65" fillId="0" borderId="8" applyAlignment="1" pivotButton="0" quotePrefix="0" xfId="28">
      <alignment horizontal="center" vertical="center"/>
    </xf>
    <xf numFmtId="165" fontId="66" fillId="0" borderId="8" applyAlignment="1" pivotButton="0" quotePrefix="0" xfId="28">
      <alignment horizontal="left" vertical="top"/>
    </xf>
    <xf numFmtId="165" fontId="67" fillId="0" borderId="8" pivotButton="0" quotePrefix="0" xfId="0"/>
    <xf numFmtId="167" fontId="71" fillId="0" borderId="15" applyAlignment="1" pivotButton="0" quotePrefix="0" xfId="0">
      <alignment horizontal="center" vertical="center"/>
    </xf>
    <xf numFmtId="167" fontId="71" fillId="0" borderId="18" applyAlignment="1" pivotButton="0" quotePrefix="0" xfId="0">
      <alignment horizontal="center" vertical="center"/>
    </xf>
    <xf numFmtId="164" fontId="31" fillId="0" borderId="8" applyAlignment="1" pivotButton="0" quotePrefix="0" xfId="0">
      <alignment horizontal="left" vertical="top" wrapText="1"/>
    </xf>
    <xf numFmtId="37" fontId="50" fillId="0" borderId="8" applyAlignment="1" pivotButton="0" quotePrefix="0" xfId="0">
      <alignment horizontal="center" vertical="center" shrinkToFit="1"/>
    </xf>
  </cellXfs>
  <cellStyles count="73">
    <cellStyle name="Normal" xfId="0" builtinId="0"/>
    <cellStyle name="20% - Accent1" xfId="1" builtinId="30"/>
    <cellStyle name="20% - Accent2" xfId="2" builtinId="34"/>
    <cellStyle name="20% - Accent3" xfId="3" builtinId="38"/>
    <cellStyle name="20% - Accent4" xfId="4" builtinId="42"/>
    <cellStyle name="20% - Accent5" xfId="5" builtinId="46"/>
    <cellStyle name="20% - Accent6" xfId="6" builtinId="50"/>
    <cellStyle name="40% - Accent1" xfId="7" builtinId="31"/>
    <cellStyle name="40% - Accent2" xfId="8" builtinId="35"/>
    <cellStyle name="40% - Accent3" xfId="9" builtinId="39"/>
    <cellStyle name="40% - Accent4" xfId="10" builtinId="43"/>
    <cellStyle name="40% - Accent5" xfId="11" builtinId="47"/>
    <cellStyle name="40% - Accent6" xfId="12" builtinId="51"/>
    <cellStyle name="60% - Accent1" xfId="13" builtinId="32"/>
    <cellStyle name="60% - Accent2" xfId="14" builtinId="36"/>
    <cellStyle name="60% - Accent3" xfId="15" builtinId="40"/>
    <cellStyle name="60% - Accent4" xfId="16" builtinId="44"/>
    <cellStyle name="60% - Accent5" xfId="17" builtinId="48"/>
    <cellStyle name="60% - Accent6" xfId="18" builtinId="52"/>
    <cellStyle name="Accent1" xfId="19" builtinId="29"/>
    <cellStyle name="Accent2" xfId="20" builtinId="33"/>
    <cellStyle name="Accent3" xfId="21" builtinId="37"/>
    <cellStyle name="Accent4" xfId="22" builtinId="41"/>
    <cellStyle name="Accent5" xfId="23" builtinId="45"/>
    <cellStyle name="Accent6" xfId="24" builtinId="49"/>
    <cellStyle name="Bad" xfId="25" builtinId="27"/>
    <cellStyle name="Calculation" xfId="26" builtinId="22"/>
    <cellStyle name="Check Cell" xfId="27" builtinId="23"/>
    <cellStyle name="Comma" xfId="28" builtinId="3"/>
    <cellStyle name="Comma 2" xfId="29"/>
    <cellStyle name="Comma0" xfId="30"/>
    <cellStyle name="Currency0" xfId="31"/>
    <cellStyle name="Date" xfId="32"/>
    <cellStyle name="Explanatory Text" xfId="33" builtinId="53"/>
    <cellStyle name="Fixed" xfId="34"/>
    <cellStyle name="Good" xfId="35" builtinId="26"/>
    <cellStyle name="Heading 1" xfId="36" builtinId="16"/>
    <cellStyle name="Heading 2" xfId="37" builtinId="17"/>
    <cellStyle name="Heading 3" xfId="38" builtinId="18"/>
    <cellStyle name="Heading 4" xfId="39" builtinId="19"/>
    <cellStyle name="Input" xfId="40" builtinId="20"/>
    <cellStyle name="Linked Cell" xfId="41" builtinId="24"/>
    <cellStyle name="Neutral" xfId="42" builtinId="28"/>
    <cellStyle name="Normal 2" xfId="43"/>
    <cellStyle name="Note" xfId="44" builtinId="10"/>
    <cellStyle name="Output" xfId="45" builtinId="21"/>
    <cellStyle name="Title" xfId="46" builtinId="15"/>
    <cellStyle name="Total" xfId="47" builtinId="25"/>
    <cellStyle name="Warning Text" xfId="48" builtinId="11"/>
    <cellStyle name="똿뗦먛귟 [0.00]_PRODUCT DETAIL Q1" xfId="49"/>
    <cellStyle name="똿뗦먛귟_PRODUCT DETAIL Q1" xfId="50"/>
    <cellStyle name="믅됞 [0.00]_PRODUCT DETAIL Q1" xfId="51"/>
    <cellStyle name="믅됞_PRODUCT DETAIL Q1" xfId="52"/>
    <cellStyle name="백분율_HOBONG" xfId="53"/>
    <cellStyle name="뷭?_BOOKSHIP" xfId="54"/>
    <cellStyle name="콤마 [0]_1202" xfId="55"/>
    <cellStyle name="콤마_1202" xfId="56"/>
    <cellStyle name="통화 [0]_1202" xfId="57"/>
    <cellStyle name="통화_1202" xfId="58"/>
    <cellStyle name="표준_(정보부문)월별인원계획" xfId="59"/>
    <cellStyle name="Normal 3" xfId="60"/>
    <cellStyle name="Comma 3" xfId="61"/>
    <cellStyle name="Comma 4" xfId="62"/>
    <cellStyle name="Comma 2 2" xfId="63"/>
    <cellStyle name="Comma0 2" xfId="64"/>
    <cellStyle name="Currency0 2" xfId="65"/>
    <cellStyle name="Date 2" xfId="66"/>
    <cellStyle name="Fixed 2" xfId="67"/>
    <cellStyle name="Normal 2 2" xfId="68"/>
    <cellStyle name="Total 2" xfId="69"/>
    <cellStyle name="Normal 3 2" xfId="70"/>
    <cellStyle name="Comma 3 2" xfId="71"/>
    <cellStyle name="Percent" xfId="7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indexed="10"/>
    <outlinePr summaryBelow="1" summaryRight="1"/>
    <pageSetUpPr/>
  </sheetPr>
  <dimension ref="A1:V196"/>
  <sheetViews>
    <sheetView topLeftCell="A3" zoomScale="115" zoomScaleNormal="115" zoomScaleSheetLayoutView="100" workbookViewId="0">
      <pane xSplit="8" ySplit="4" topLeftCell="I136" activePane="bottomRight" state="frozen"/>
      <selection activeCell="A3" sqref="A3"/>
      <selection pane="topRight" activeCell="I3" sqref="I3"/>
      <selection pane="bottomLeft" activeCell="A7" sqref="A7"/>
      <selection pane="bottomRight" activeCell="G159" sqref="G159"/>
    </sheetView>
  </sheetViews>
  <sheetFormatPr baseColWidth="8" defaultColWidth="3.42578125" defaultRowHeight="12.75" outlineLevelCol="0"/>
  <cols>
    <col width="4.5703125" customWidth="1" style="152" min="1" max="1"/>
    <col width="9.85546875" customWidth="1" style="181" min="2" max="2"/>
    <col width="19.85546875" customWidth="1" style="182" min="3" max="3"/>
    <col width="4.5703125" customWidth="1" style="21" min="4" max="4"/>
    <col width="4.28515625" customWidth="1" style="21" min="5" max="5"/>
    <col width="26.85546875" customWidth="1" style="182" min="6" max="6"/>
    <col width="6.7109375" customWidth="1" style="182" min="7" max="7"/>
    <col width="11.85546875" customWidth="1" style="224" min="8" max="8"/>
    <col width="9.42578125" customWidth="1" style="183" min="9" max="9"/>
    <col width="10.5703125" customWidth="1" style="3" min="10" max="10"/>
    <col width="9.7109375" customWidth="1" style="177" min="11" max="11"/>
    <col width="10.42578125" customWidth="1" style="3" min="12" max="12"/>
    <col width="9.7109375" customWidth="1" style="182" min="13" max="13"/>
    <col width="10.140625" customWidth="1" style="3" min="14" max="14"/>
    <col width="9.7109375" customWidth="1" style="51" min="15" max="15"/>
    <col width="10.28515625" customWidth="1" style="3" min="16" max="16"/>
    <col width="10.42578125" customWidth="1" style="3" min="17" max="17"/>
    <col width="12" bestFit="1" customWidth="1" style="225" min="18" max="18"/>
    <col width="9.140625" customWidth="1" style="152" min="19" max="22"/>
    <col width="3.42578125" customWidth="1" style="152" min="23" max="32"/>
    <col width="3.42578125" customWidth="1" style="152" min="33" max="33"/>
    <col width="9.140625" customWidth="1" style="152" min="34" max="254"/>
    <col width="3.42578125" customWidth="1" style="152" min="255" max="255"/>
    <col width="9.140625" customWidth="1" style="152" min="256" max="256"/>
    <col width="26.85546875" customWidth="1" style="152" min="257" max="258"/>
    <col width="16.85546875" customWidth="1" style="152" min="259" max="259"/>
    <col width="4.5703125" customWidth="1" style="152" min="260" max="261"/>
    <col width="20.5703125" customWidth="1" style="152" min="262" max="262"/>
    <col width="6.140625" customWidth="1" style="152" min="263" max="263"/>
    <col width="14.7109375" customWidth="1" style="152" min="264" max="265"/>
    <col width="13.85546875" customWidth="1" style="152" min="266" max="266"/>
    <col width="7.140625" customWidth="1" style="152" min="267" max="267"/>
    <col width="11.85546875" customWidth="1" style="152" min="268" max="268"/>
    <col width="6.28515625" customWidth="1" style="152" min="269" max="269"/>
    <col width="11.140625" customWidth="1" style="152" min="270" max="270"/>
    <col width="7.5703125" customWidth="1" style="152" min="271" max="271"/>
    <col width="8.5703125" customWidth="1" style="152" min="272" max="272"/>
    <col width="13.7109375" customWidth="1" style="152" min="273" max="273"/>
    <col width="13.42578125" customWidth="1" style="152" min="274" max="274"/>
    <col width="9.140625" customWidth="1" style="152" min="275" max="278"/>
    <col width="3.42578125" customWidth="1" style="152" min="279" max="288"/>
    <col width="3.42578125" customWidth="1" style="152" min="289" max="289"/>
    <col width="9.140625" customWidth="1" style="152" min="290" max="510"/>
    <col width="3.42578125" customWidth="1" style="152" min="511" max="511"/>
    <col width="9.140625" customWidth="1" style="152" min="512" max="512"/>
    <col width="26.85546875" customWidth="1" style="152" min="513" max="514"/>
    <col width="16.85546875" customWidth="1" style="152" min="515" max="515"/>
    <col width="4.5703125" customWidth="1" style="152" min="516" max="517"/>
    <col width="20.5703125" customWidth="1" style="152" min="518" max="518"/>
    <col width="6.140625" customWidth="1" style="152" min="519" max="519"/>
    <col width="14.7109375" customWidth="1" style="152" min="520" max="521"/>
    <col width="13.85546875" customWidth="1" style="152" min="522" max="522"/>
    <col width="7.140625" customWidth="1" style="152" min="523" max="523"/>
    <col width="11.85546875" customWidth="1" style="152" min="524" max="524"/>
    <col width="6.28515625" customWidth="1" style="152" min="525" max="525"/>
    <col width="11.140625" customWidth="1" style="152" min="526" max="526"/>
    <col width="7.5703125" customWidth="1" style="152" min="527" max="527"/>
    <col width="8.5703125" customWidth="1" style="152" min="528" max="528"/>
    <col width="13.7109375" customWidth="1" style="152" min="529" max="529"/>
    <col width="13.42578125" customWidth="1" style="152" min="530" max="530"/>
    <col width="9.140625" customWidth="1" style="152" min="531" max="534"/>
    <col width="3.42578125" customWidth="1" style="152" min="535" max="544"/>
    <col width="3.42578125" customWidth="1" style="152" min="545" max="545"/>
    <col width="9.140625" customWidth="1" style="152" min="546" max="766"/>
    <col width="3.42578125" customWidth="1" style="152" min="767" max="767"/>
    <col width="9.140625" customWidth="1" style="152" min="768" max="768"/>
    <col width="26.85546875" customWidth="1" style="152" min="769" max="770"/>
    <col width="16.85546875" customWidth="1" style="152" min="771" max="771"/>
    <col width="4.5703125" customWidth="1" style="152" min="772" max="773"/>
    <col width="20.5703125" customWidth="1" style="152" min="774" max="774"/>
    <col width="6.140625" customWidth="1" style="152" min="775" max="775"/>
    <col width="14.7109375" customWidth="1" style="152" min="776" max="777"/>
    <col width="13.85546875" customWidth="1" style="152" min="778" max="778"/>
    <col width="7.140625" customWidth="1" style="152" min="779" max="779"/>
    <col width="11.85546875" customWidth="1" style="152" min="780" max="780"/>
    <col width="6.28515625" customWidth="1" style="152" min="781" max="781"/>
    <col width="11.140625" customWidth="1" style="152" min="782" max="782"/>
    <col width="7.5703125" customWidth="1" style="152" min="783" max="783"/>
    <col width="8.5703125" customWidth="1" style="152" min="784" max="784"/>
    <col width="13.7109375" customWidth="1" style="152" min="785" max="785"/>
    <col width="13.42578125" customWidth="1" style="152" min="786" max="786"/>
    <col width="9.140625" customWidth="1" style="152" min="787" max="790"/>
    <col width="3.42578125" customWidth="1" style="152" min="791" max="800"/>
    <col width="3.42578125" customWidth="1" style="152" min="801" max="801"/>
    <col width="9.140625" customWidth="1" style="152" min="802" max="1022"/>
    <col width="3.42578125" customWidth="1" style="152" min="1023" max="1023"/>
    <col width="9.140625" customWidth="1" style="152" min="1024" max="1024"/>
    <col width="26.85546875" customWidth="1" style="152" min="1025" max="1026"/>
    <col width="16.85546875" customWidth="1" style="152" min="1027" max="1027"/>
    <col width="4.5703125" customWidth="1" style="152" min="1028" max="1029"/>
    <col width="20.5703125" customWidth="1" style="152" min="1030" max="1030"/>
    <col width="6.140625" customWidth="1" style="152" min="1031" max="1031"/>
    <col width="14.7109375" customWidth="1" style="152" min="1032" max="1033"/>
    <col width="13.85546875" customWidth="1" style="152" min="1034" max="1034"/>
    <col width="7.140625" customWidth="1" style="152" min="1035" max="1035"/>
    <col width="11.85546875" customWidth="1" style="152" min="1036" max="1036"/>
    <col width="6.28515625" customWidth="1" style="152" min="1037" max="1037"/>
    <col width="11.140625" customWidth="1" style="152" min="1038" max="1038"/>
    <col width="7.5703125" customWidth="1" style="152" min="1039" max="1039"/>
    <col width="8.5703125" customWidth="1" style="152" min="1040" max="1040"/>
    <col width="13.7109375" customWidth="1" style="152" min="1041" max="1041"/>
    <col width="13.42578125" customWidth="1" style="152" min="1042" max="1042"/>
    <col width="9.140625" customWidth="1" style="152" min="1043" max="1046"/>
    <col width="3.42578125" customWidth="1" style="152" min="1047" max="1056"/>
    <col width="3.42578125" customWidth="1" style="152" min="1057" max="1057"/>
    <col width="9.140625" customWidth="1" style="152" min="1058" max="1278"/>
    <col width="3.42578125" customWidth="1" style="152" min="1279" max="1279"/>
    <col width="9.140625" customWidth="1" style="152" min="1280" max="1280"/>
    <col width="26.85546875" customWidth="1" style="152" min="1281" max="1282"/>
    <col width="16.85546875" customWidth="1" style="152" min="1283" max="1283"/>
    <col width="4.5703125" customWidth="1" style="152" min="1284" max="1285"/>
    <col width="20.5703125" customWidth="1" style="152" min="1286" max="1286"/>
    <col width="6.140625" customWidth="1" style="152" min="1287" max="1287"/>
    <col width="14.7109375" customWidth="1" style="152" min="1288" max="1289"/>
    <col width="13.85546875" customWidth="1" style="152" min="1290" max="1290"/>
    <col width="7.140625" customWidth="1" style="152" min="1291" max="1291"/>
    <col width="11.85546875" customWidth="1" style="152" min="1292" max="1292"/>
    <col width="6.28515625" customWidth="1" style="152" min="1293" max="1293"/>
    <col width="11.140625" customWidth="1" style="152" min="1294" max="1294"/>
    <col width="7.5703125" customWidth="1" style="152" min="1295" max="1295"/>
    <col width="8.5703125" customWidth="1" style="152" min="1296" max="1296"/>
    <col width="13.7109375" customWidth="1" style="152" min="1297" max="1297"/>
    <col width="13.42578125" customWidth="1" style="152" min="1298" max="1298"/>
    <col width="9.140625" customWidth="1" style="152" min="1299" max="1302"/>
    <col width="3.42578125" customWidth="1" style="152" min="1303" max="1312"/>
    <col width="3.42578125" customWidth="1" style="152" min="1313" max="1313"/>
    <col width="9.140625" customWidth="1" style="152" min="1314" max="1534"/>
    <col width="3.42578125" customWidth="1" style="152" min="1535" max="1535"/>
    <col width="9.140625" customWidth="1" style="152" min="1536" max="1536"/>
    <col width="26.85546875" customWidth="1" style="152" min="1537" max="1538"/>
    <col width="16.85546875" customWidth="1" style="152" min="1539" max="1539"/>
    <col width="4.5703125" customWidth="1" style="152" min="1540" max="1541"/>
    <col width="20.5703125" customWidth="1" style="152" min="1542" max="1542"/>
    <col width="6.140625" customWidth="1" style="152" min="1543" max="1543"/>
    <col width="14.7109375" customWidth="1" style="152" min="1544" max="1545"/>
    <col width="13.85546875" customWidth="1" style="152" min="1546" max="1546"/>
    <col width="7.140625" customWidth="1" style="152" min="1547" max="1547"/>
    <col width="11.85546875" customWidth="1" style="152" min="1548" max="1548"/>
    <col width="6.28515625" customWidth="1" style="152" min="1549" max="1549"/>
    <col width="11.140625" customWidth="1" style="152" min="1550" max="1550"/>
    <col width="7.5703125" customWidth="1" style="152" min="1551" max="1551"/>
    <col width="8.5703125" customWidth="1" style="152" min="1552" max="1552"/>
    <col width="13.7109375" customWidth="1" style="152" min="1553" max="1553"/>
    <col width="13.42578125" customWidth="1" style="152" min="1554" max="1554"/>
    <col width="9.140625" customWidth="1" style="152" min="1555" max="1558"/>
    <col width="3.42578125" customWidth="1" style="152" min="1559" max="1568"/>
    <col width="3.42578125" customWidth="1" style="152" min="1569" max="1569"/>
    <col width="9.140625" customWidth="1" style="152" min="1570" max="1790"/>
    <col width="3.42578125" customWidth="1" style="152" min="1791" max="1791"/>
    <col width="9.140625" customWidth="1" style="152" min="1792" max="1792"/>
    <col width="26.85546875" customWidth="1" style="152" min="1793" max="1794"/>
    <col width="16.85546875" customWidth="1" style="152" min="1795" max="1795"/>
    <col width="4.5703125" customWidth="1" style="152" min="1796" max="1797"/>
    <col width="20.5703125" customWidth="1" style="152" min="1798" max="1798"/>
    <col width="6.140625" customWidth="1" style="152" min="1799" max="1799"/>
    <col width="14.7109375" customWidth="1" style="152" min="1800" max="1801"/>
    <col width="13.85546875" customWidth="1" style="152" min="1802" max="1802"/>
    <col width="7.140625" customWidth="1" style="152" min="1803" max="1803"/>
    <col width="11.85546875" customWidth="1" style="152" min="1804" max="1804"/>
    <col width="6.28515625" customWidth="1" style="152" min="1805" max="1805"/>
    <col width="11.140625" customWidth="1" style="152" min="1806" max="1806"/>
    <col width="7.5703125" customWidth="1" style="152" min="1807" max="1807"/>
    <col width="8.5703125" customWidth="1" style="152" min="1808" max="1808"/>
    <col width="13.7109375" customWidth="1" style="152" min="1809" max="1809"/>
    <col width="13.42578125" customWidth="1" style="152" min="1810" max="1810"/>
    <col width="9.140625" customWidth="1" style="152" min="1811" max="1814"/>
    <col width="3.42578125" customWidth="1" style="152" min="1815" max="1824"/>
    <col width="3.42578125" customWidth="1" style="152" min="1825" max="1825"/>
    <col width="9.140625" customWidth="1" style="152" min="1826" max="2046"/>
    <col width="3.42578125" customWidth="1" style="152" min="2047" max="2047"/>
    <col width="9.140625" customWidth="1" style="152" min="2048" max="2048"/>
    <col width="26.85546875" customWidth="1" style="152" min="2049" max="2050"/>
    <col width="16.85546875" customWidth="1" style="152" min="2051" max="2051"/>
    <col width="4.5703125" customWidth="1" style="152" min="2052" max="2053"/>
    <col width="20.5703125" customWidth="1" style="152" min="2054" max="2054"/>
    <col width="6.140625" customWidth="1" style="152" min="2055" max="2055"/>
    <col width="14.7109375" customWidth="1" style="152" min="2056" max="2057"/>
    <col width="13.85546875" customWidth="1" style="152" min="2058" max="2058"/>
    <col width="7.140625" customWidth="1" style="152" min="2059" max="2059"/>
    <col width="11.85546875" customWidth="1" style="152" min="2060" max="2060"/>
    <col width="6.28515625" customWidth="1" style="152" min="2061" max="2061"/>
    <col width="11.140625" customWidth="1" style="152" min="2062" max="2062"/>
    <col width="7.5703125" customWidth="1" style="152" min="2063" max="2063"/>
    <col width="8.5703125" customWidth="1" style="152" min="2064" max="2064"/>
    <col width="13.7109375" customWidth="1" style="152" min="2065" max="2065"/>
    <col width="13.42578125" customWidth="1" style="152" min="2066" max="2066"/>
    <col width="9.140625" customWidth="1" style="152" min="2067" max="2070"/>
    <col width="3.42578125" customWidth="1" style="152" min="2071" max="2080"/>
    <col width="3.42578125" customWidth="1" style="152" min="2081" max="2081"/>
    <col width="9.140625" customWidth="1" style="152" min="2082" max="2302"/>
    <col width="3.42578125" customWidth="1" style="152" min="2303" max="2303"/>
    <col width="9.140625" customWidth="1" style="152" min="2304" max="2304"/>
    <col width="26.85546875" customWidth="1" style="152" min="2305" max="2306"/>
    <col width="16.85546875" customWidth="1" style="152" min="2307" max="2307"/>
    <col width="4.5703125" customWidth="1" style="152" min="2308" max="2309"/>
    <col width="20.5703125" customWidth="1" style="152" min="2310" max="2310"/>
    <col width="6.140625" customWidth="1" style="152" min="2311" max="2311"/>
    <col width="14.7109375" customWidth="1" style="152" min="2312" max="2313"/>
    <col width="13.85546875" customWidth="1" style="152" min="2314" max="2314"/>
    <col width="7.140625" customWidth="1" style="152" min="2315" max="2315"/>
    <col width="11.85546875" customWidth="1" style="152" min="2316" max="2316"/>
    <col width="6.28515625" customWidth="1" style="152" min="2317" max="2317"/>
    <col width="11.140625" customWidth="1" style="152" min="2318" max="2318"/>
    <col width="7.5703125" customWidth="1" style="152" min="2319" max="2319"/>
    <col width="8.5703125" customWidth="1" style="152" min="2320" max="2320"/>
    <col width="13.7109375" customWidth="1" style="152" min="2321" max="2321"/>
    <col width="13.42578125" customWidth="1" style="152" min="2322" max="2322"/>
    <col width="9.140625" customWidth="1" style="152" min="2323" max="2326"/>
    <col width="3.42578125" customWidth="1" style="152" min="2327" max="2336"/>
    <col width="3.42578125" customWidth="1" style="152" min="2337" max="2337"/>
    <col width="9.140625" customWidth="1" style="152" min="2338" max="2558"/>
    <col width="3.42578125" customWidth="1" style="152" min="2559" max="2559"/>
    <col width="9.140625" customWidth="1" style="152" min="2560" max="2560"/>
    <col width="26.85546875" customWidth="1" style="152" min="2561" max="2562"/>
    <col width="16.85546875" customWidth="1" style="152" min="2563" max="2563"/>
    <col width="4.5703125" customWidth="1" style="152" min="2564" max="2565"/>
    <col width="20.5703125" customWidth="1" style="152" min="2566" max="2566"/>
    <col width="6.140625" customWidth="1" style="152" min="2567" max="2567"/>
    <col width="14.7109375" customWidth="1" style="152" min="2568" max="2569"/>
    <col width="13.85546875" customWidth="1" style="152" min="2570" max="2570"/>
    <col width="7.140625" customWidth="1" style="152" min="2571" max="2571"/>
    <col width="11.85546875" customWidth="1" style="152" min="2572" max="2572"/>
    <col width="6.28515625" customWidth="1" style="152" min="2573" max="2573"/>
    <col width="11.140625" customWidth="1" style="152" min="2574" max="2574"/>
    <col width="7.5703125" customWidth="1" style="152" min="2575" max="2575"/>
    <col width="8.5703125" customWidth="1" style="152" min="2576" max="2576"/>
    <col width="13.7109375" customWidth="1" style="152" min="2577" max="2577"/>
    <col width="13.42578125" customWidth="1" style="152" min="2578" max="2578"/>
    <col width="9.140625" customWidth="1" style="152" min="2579" max="2582"/>
    <col width="3.42578125" customWidth="1" style="152" min="2583" max="2592"/>
    <col width="3.42578125" customWidth="1" style="152" min="2593" max="2593"/>
    <col width="9.140625" customWidth="1" style="152" min="2594" max="2814"/>
    <col width="3.42578125" customWidth="1" style="152" min="2815" max="2815"/>
    <col width="9.140625" customWidth="1" style="152" min="2816" max="2816"/>
    <col width="26.85546875" customWidth="1" style="152" min="2817" max="2818"/>
    <col width="16.85546875" customWidth="1" style="152" min="2819" max="2819"/>
    <col width="4.5703125" customWidth="1" style="152" min="2820" max="2821"/>
    <col width="20.5703125" customWidth="1" style="152" min="2822" max="2822"/>
    <col width="6.140625" customWidth="1" style="152" min="2823" max="2823"/>
    <col width="14.7109375" customWidth="1" style="152" min="2824" max="2825"/>
    <col width="13.85546875" customWidth="1" style="152" min="2826" max="2826"/>
    <col width="7.140625" customWidth="1" style="152" min="2827" max="2827"/>
    <col width="11.85546875" customWidth="1" style="152" min="2828" max="2828"/>
    <col width="6.28515625" customWidth="1" style="152" min="2829" max="2829"/>
    <col width="11.140625" customWidth="1" style="152" min="2830" max="2830"/>
    <col width="7.5703125" customWidth="1" style="152" min="2831" max="2831"/>
    <col width="8.5703125" customWidth="1" style="152" min="2832" max="2832"/>
    <col width="13.7109375" customWidth="1" style="152" min="2833" max="2833"/>
    <col width="13.42578125" customWidth="1" style="152" min="2834" max="2834"/>
    <col width="9.140625" customWidth="1" style="152" min="2835" max="2838"/>
    <col width="3.42578125" customWidth="1" style="152" min="2839" max="2848"/>
    <col width="3.42578125" customWidth="1" style="152" min="2849" max="2849"/>
    <col width="9.140625" customWidth="1" style="152" min="2850" max="3070"/>
    <col width="3.42578125" customWidth="1" style="152" min="3071" max="3071"/>
    <col width="9.140625" customWidth="1" style="152" min="3072" max="3072"/>
    <col width="26.85546875" customWidth="1" style="152" min="3073" max="3074"/>
    <col width="16.85546875" customWidth="1" style="152" min="3075" max="3075"/>
    <col width="4.5703125" customWidth="1" style="152" min="3076" max="3077"/>
    <col width="20.5703125" customWidth="1" style="152" min="3078" max="3078"/>
    <col width="6.140625" customWidth="1" style="152" min="3079" max="3079"/>
    <col width="14.7109375" customWidth="1" style="152" min="3080" max="3081"/>
    <col width="13.85546875" customWidth="1" style="152" min="3082" max="3082"/>
    <col width="7.140625" customWidth="1" style="152" min="3083" max="3083"/>
    <col width="11.85546875" customWidth="1" style="152" min="3084" max="3084"/>
    <col width="6.28515625" customWidth="1" style="152" min="3085" max="3085"/>
    <col width="11.140625" customWidth="1" style="152" min="3086" max="3086"/>
    <col width="7.5703125" customWidth="1" style="152" min="3087" max="3087"/>
    <col width="8.5703125" customWidth="1" style="152" min="3088" max="3088"/>
    <col width="13.7109375" customWidth="1" style="152" min="3089" max="3089"/>
    <col width="13.42578125" customWidth="1" style="152" min="3090" max="3090"/>
    <col width="9.140625" customWidth="1" style="152" min="3091" max="3094"/>
    <col width="3.42578125" customWidth="1" style="152" min="3095" max="3104"/>
    <col width="3.42578125" customWidth="1" style="152" min="3105" max="3105"/>
    <col width="9.140625" customWidth="1" style="152" min="3106" max="3326"/>
    <col width="3.42578125" customWidth="1" style="152" min="3327" max="3327"/>
    <col width="9.140625" customWidth="1" style="152" min="3328" max="3328"/>
    <col width="26.85546875" customWidth="1" style="152" min="3329" max="3330"/>
    <col width="16.85546875" customWidth="1" style="152" min="3331" max="3331"/>
    <col width="4.5703125" customWidth="1" style="152" min="3332" max="3333"/>
    <col width="20.5703125" customWidth="1" style="152" min="3334" max="3334"/>
    <col width="6.140625" customWidth="1" style="152" min="3335" max="3335"/>
    <col width="14.7109375" customWidth="1" style="152" min="3336" max="3337"/>
    <col width="13.85546875" customWidth="1" style="152" min="3338" max="3338"/>
    <col width="7.140625" customWidth="1" style="152" min="3339" max="3339"/>
    <col width="11.85546875" customWidth="1" style="152" min="3340" max="3340"/>
    <col width="6.28515625" customWidth="1" style="152" min="3341" max="3341"/>
    <col width="11.140625" customWidth="1" style="152" min="3342" max="3342"/>
    <col width="7.5703125" customWidth="1" style="152" min="3343" max="3343"/>
    <col width="8.5703125" customWidth="1" style="152" min="3344" max="3344"/>
    <col width="13.7109375" customWidth="1" style="152" min="3345" max="3345"/>
    <col width="13.42578125" customWidth="1" style="152" min="3346" max="3346"/>
    <col width="9.140625" customWidth="1" style="152" min="3347" max="3350"/>
    <col width="3.42578125" customWidth="1" style="152" min="3351" max="3360"/>
    <col width="3.42578125" customWidth="1" style="152" min="3361" max="3361"/>
    <col width="9.140625" customWidth="1" style="152" min="3362" max="3582"/>
    <col width="3.42578125" customWidth="1" style="152" min="3583" max="3583"/>
    <col width="9.140625" customWidth="1" style="152" min="3584" max="3584"/>
    <col width="26.85546875" customWidth="1" style="152" min="3585" max="3586"/>
    <col width="16.85546875" customWidth="1" style="152" min="3587" max="3587"/>
    <col width="4.5703125" customWidth="1" style="152" min="3588" max="3589"/>
    <col width="20.5703125" customWidth="1" style="152" min="3590" max="3590"/>
    <col width="6.140625" customWidth="1" style="152" min="3591" max="3591"/>
    <col width="14.7109375" customWidth="1" style="152" min="3592" max="3593"/>
    <col width="13.85546875" customWidth="1" style="152" min="3594" max="3594"/>
    <col width="7.140625" customWidth="1" style="152" min="3595" max="3595"/>
    <col width="11.85546875" customWidth="1" style="152" min="3596" max="3596"/>
    <col width="6.28515625" customWidth="1" style="152" min="3597" max="3597"/>
    <col width="11.140625" customWidth="1" style="152" min="3598" max="3598"/>
    <col width="7.5703125" customWidth="1" style="152" min="3599" max="3599"/>
    <col width="8.5703125" customWidth="1" style="152" min="3600" max="3600"/>
    <col width="13.7109375" customWidth="1" style="152" min="3601" max="3601"/>
    <col width="13.42578125" customWidth="1" style="152" min="3602" max="3602"/>
    <col width="9.140625" customWidth="1" style="152" min="3603" max="3606"/>
    <col width="3.42578125" customWidth="1" style="152" min="3607" max="3616"/>
    <col width="3.42578125" customWidth="1" style="152" min="3617" max="3617"/>
    <col width="9.140625" customWidth="1" style="152" min="3618" max="3838"/>
    <col width="3.42578125" customWidth="1" style="152" min="3839" max="3839"/>
    <col width="9.140625" customWidth="1" style="152" min="3840" max="3840"/>
    <col width="26.85546875" customWidth="1" style="152" min="3841" max="3842"/>
    <col width="16.85546875" customWidth="1" style="152" min="3843" max="3843"/>
    <col width="4.5703125" customWidth="1" style="152" min="3844" max="3845"/>
    <col width="20.5703125" customWidth="1" style="152" min="3846" max="3846"/>
    <col width="6.140625" customWidth="1" style="152" min="3847" max="3847"/>
    <col width="14.7109375" customWidth="1" style="152" min="3848" max="3849"/>
    <col width="13.85546875" customWidth="1" style="152" min="3850" max="3850"/>
    <col width="7.140625" customWidth="1" style="152" min="3851" max="3851"/>
    <col width="11.85546875" customWidth="1" style="152" min="3852" max="3852"/>
    <col width="6.28515625" customWidth="1" style="152" min="3853" max="3853"/>
    <col width="11.140625" customWidth="1" style="152" min="3854" max="3854"/>
    <col width="7.5703125" customWidth="1" style="152" min="3855" max="3855"/>
    <col width="8.5703125" customWidth="1" style="152" min="3856" max="3856"/>
    <col width="13.7109375" customWidth="1" style="152" min="3857" max="3857"/>
    <col width="13.42578125" customWidth="1" style="152" min="3858" max="3858"/>
    <col width="9.140625" customWidth="1" style="152" min="3859" max="3862"/>
    <col width="3.42578125" customWidth="1" style="152" min="3863" max="3872"/>
    <col width="3.42578125" customWidth="1" style="152" min="3873" max="3873"/>
    <col width="9.140625" customWidth="1" style="152" min="3874" max="4094"/>
    <col width="3.42578125" customWidth="1" style="152" min="4095" max="4095"/>
    <col width="9.140625" customWidth="1" style="152" min="4096" max="4096"/>
    <col width="26.85546875" customWidth="1" style="152" min="4097" max="4098"/>
    <col width="16.85546875" customWidth="1" style="152" min="4099" max="4099"/>
    <col width="4.5703125" customWidth="1" style="152" min="4100" max="4101"/>
    <col width="20.5703125" customWidth="1" style="152" min="4102" max="4102"/>
    <col width="6.140625" customWidth="1" style="152" min="4103" max="4103"/>
    <col width="14.7109375" customWidth="1" style="152" min="4104" max="4105"/>
    <col width="13.85546875" customWidth="1" style="152" min="4106" max="4106"/>
    <col width="7.140625" customWidth="1" style="152" min="4107" max="4107"/>
    <col width="11.85546875" customWidth="1" style="152" min="4108" max="4108"/>
    <col width="6.28515625" customWidth="1" style="152" min="4109" max="4109"/>
    <col width="11.140625" customWidth="1" style="152" min="4110" max="4110"/>
    <col width="7.5703125" customWidth="1" style="152" min="4111" max="4111"/>
    <col width="8.5703125" customWidth="1" style="152" min="4112" max="4112"/>
    <col width="13.7109375" customWidth="1" style="152" min="4113" max="4113"/>
    <col width="13.42578125" customWidth="1" style="152" min="4114" max="4114"/>
    <col width="9.140625" customWidth="1" style="152" min="4115" max="4118"/>
    <col width="3.42578125" customWidth="1" style="152" min="4119" max="4128"/>
    <col width="3.42578125" customWidth="1" style="152" min="4129" max="4129"/>
    <col width="9.140625" customWidth="1" style="152" min="4130" max="4350"/>
    <col width="3.42578125" customWidth="1" style="152" min="4351" max="4351"/>
    <col width="9.140625" customWidth="1" style="152" min="4352" max="4352"/>
    <col width="26.85546875" customWidth="1" style="152" min="4353" max="4354"/>
    <col width="16.85546875" customWidth="1" style="152" min="4355" max="4355"/>
    <col width="4.5703125" customWidth="1" style="152" min="4356" max="4357"/>
    <col width="20.5703125" customWidth="1" style="152" min="4358" max="4358"/>
    <col width="6.140625" customWidth="1" style="152" min="4359" max="4359"/>
    <col width="14.7109375" customWidth="1" style="152" min="4360" max="4361"/>
    <col width="13.85546875" customWidth="1" style="152" min="4362" max="4362"/>
    <col width="7.140625" customWidth="1" style="152" min="4363" max="4363"/>
    <col width="11.85546875" customWidth="1" style="152" min="4364" max="4364"/>
    <col width="6.28515625" customWidth="1" style="152" min="4365" max="4365"/>
    <col width="11.140625" customWidth="1" style="152" min="4366" max="4366"/>
    <col width="7.5703125" customWidth="1" style="152" min="4367" max="4367"/>
    <col width="8.5703125" customWidth="1" style="152" min="4368" max="4368"/>
    <col width="13.7109375" customWidth="1" style="152" min="4369" max="4369"/>
    <col width="13.42578125" customWidth="1" style="152" min="4370" max="4370"/>
    <col width="9.140625" customWidth="1" style="152" min="4371" max="4374"/>
    <col width="3.42578125" customWidth="1" style="152" min="4375" max="4384"/>
    <col width="3.42578125" customWidth="1" style="152" min="4385" max="4385"/>
    <col width="9.140625" customWidth="1" style="152" min="4386" max="4606"/>
    <col width="3.42578125" customWidth="1" style="152" min="4607" max="4607"/>
    <col width="9.140625" customWidth="1" style="152" min="4608" max="4608"/>
    <col width="26.85546875" customWidth="1" style="152" min="4609" max="4610"/>
    <col width="16.85546875" customWidth="1" style="152" min="4611" max="4611"/>
    <col width="4.5703125" customWidth="1" style="152" min="4612" max="4613"/>
    <col width="20.5703125" customWidth="1" style="152" min="4614" max="4614"/>
    <col width="6.140625" customWidth="1" style="152" min="4615" max="4615"/>
    <col width="14.7109375" customWidth="1" style="152" min="4616" max="4617"/>
    <col width="13.85546875" customWidth="1" style="152" min="4618" max="4618"/>
    <col width="7.140625" customWidth="1" style="152" min="4619" max="4619"/>
    <col width="11.85546875" customWidth="1" style="152" min="4620" max="4620"/>
    <col width="6.28515625" customWidth="1" style="152" min="4621" max="4621"/>
    <col width="11.140625" customWidth="1" style="152" min="4622" max="4622"/>
    <col width="7.5703125" customWidth="1" style="152" min="4623" max="4623"/>
    <col width="8.5703125" customWidth="1" style="152" min="4624" max="4624"/>
    <col width="13.7109375" customWidth="1" style="152" min="4625" max="4625"/>
    <col width="13.42578125" customWidth="1" style="152" min="4626" max="4626"/>
    <col width="9.140625" customWidth="1" style="152" min="4627" max="4630"/>
    <col width="3.42578125" customWidth="1" style="152" min="4631" max="4640"/>
    <col width="3.42578125" customWidth="1" style="152" min="4641" max="4641"/>
    <col width="9.140625" customWidth="1" style="152" min="4642" max="4862"/>
    <col width="3.42578125" customWidth="1" style="152" min="4863" max="4863"/>
    <col width="9.140625" customWidth="1" style="152" min="4864" max="4864"/>
    <col width="26.85546875" customWidth="1" style="152" min="4865" max="4866"/>
    <col width="16.85546875" customWidth="1" style="152" min="4867" max="4867"/>
    <col width="4.5703125" customWidth="1" style="152" min="4868" max="4869"/>
    <col width="20.5703125" customWidth="1" style="152" min="4870" max="4870"/>
    <col width="6.140625" customWidth="1" style="152" min="4871" max="4871"/>
    <col width="14.7109375" customWidth="1" style="152" min="4872" max="4873"/>
    <col width="13.85546875" customWidth="1" style="152" min="4874" max="4874"/>
    <col width="7.140625" customWidth="1" style="152" min="4875" max="4875"/>
    <col width="11.85546875" customWidth="1" style="152" min="4876" max="4876"/>
    <col width="6.28515625" customWidth="1" style="152" min="4877" max="4877"/>
    <col width="11.140625" customWidth="1" style="152" min="4878" max="4878"/>
    <col width="7.5703125" customWidth="1" style="152" min="4879" max="4879"/>
    <col width="8.5703125" customWidth="1" style="152" min="4880" max="4880"/>
    <col width="13.7109375" customWidth="1" style="152" min="4881" max="4881"/>
    <col width="13.42578125" customWidth="1" style="152" min="4882" max="4882"/>
    <col width="9.140625" customWidth="1" style="152" min="4883" max="4886"/>
    <col width="3.42578125" customWidth="1" style="152" min="4887" max="4896"/>
    <col width="3.42578125" customWidth="1" style="152" min="4897" max="4897"/>
    <col width="9.140625" customWidth="1" style="152" min="4898" max="5118"/>
    <col width="3.42578125" customWidth="1" style="152" min="5119" max="5119"/>
    <col width="9.140625" customWidth="1" style="152" min="5120" max="5120"/>
    <col width="26.85546875" customWidth="1" style="152" min="5121" max="5122"/>
    <col width="16.85546875" customWidth="1" style="152" min="5123" max="5123"/>
    <col width="4.5703125" customWidth="1" style="152" min="5124" max="5125"/>
    <col width="20.5703125" customWidth="1" style="152" min="5126" max="5126"/>
    <col width="6.140625" customWidth="1" style="152" min="5127" max="5127"/>
    <col width="14.7109375" customWidth="1" style="152" min="5128" max="5129"/>
    <col width="13.85546875" customWidth="1" style="152" min="5130" max="5130"/>
    <col width="7.140625" customWidth="1" style="152" min="5131" max="5131"/>
    <col width="11.85546875" customWidth="1" style="152" min="5132" max="5132"/>
    <col width="6.28515625" customWidth="1" style="152" min="5133" max="5133"/>
    <col width="11.140625" customWidth="1" style="152" min="5134" max="5134"/>
    <col width="7.5703125" customWidth="1" style="152" min="5135" max="5135"/>
    <col width="8.5703125" customWidth="1" style="152" min="5136" max="5136"/>
    <col width="13.7109375" customWidth="1" style="152" min="5137" max="5137"/>
    <col width="13.42578125" customWidth="1" style="152" min="5138" max="5138"/>
    <col width="9.140625" customWidth="1" style="152" min="5139" max="5142"/>
    <col width="3.42578125" customWidth="1" style="152" min="5143" max="5152"/>
    <col width="3.42578125" customWidth="1" style="152" min="5153" max="5153"/>
    <col width="9.140625" customWidth="1" style="152" min="5154" max="5374"/>
    <col width="3.42578125" customWidth="1" style="152" min="5375" max="5375"/>
    <col width="9.140625" customWidth="1" style="152" min="5376" max="5376"/>
    <col width="26.85546875" customWidth="1" style="152" min="5377" max="5378"/>
    <col width="16.85546875" customWidth="1" style="152" min="5379" max="5379"/>
    <col width="4.5703125" customWidth="1" style="152" min="5380" max="5381"/>
    <col width="20.5703125" customWidth="1" style="152" min="5382" max="5382"/>
    <col width="6.140625" customWidth="1" style="152" min="5383" max="5383"/>
    <col width="14.7109375" customWidth="1" style="152" min="5384" max="5385"/>
    <col width="13.85546875" customWidth="1" style="152" min="5386" max="5386"/>
    <col width="7.140625" customWidth="1" style="152" min="5387" max="5387"/>
    <col width="11.85546875" customWidth="1" style="152" min="5388" max="5388"/>
    <col width="6.28515625" customWidth="1" style="152" min="5389" max="5389"/>
    <col width="11.140625" customWidth="1" style="152" min="5390" max="5390"/>
    <col width="7.5703125" customWidth="1" style="152" min="5391" max="5391"/>
    <col width="8.5703125" customWidth="1" style="152" min="5392" max="5392"/>
    <col width="13.7109375" customWidth="1" style="152" min="5393" max="5393"/>
    <col width="13.42578125" customWidth="1" style="152" min="5394" max="5394"/>
    <col width="9.140625" customWidth="1" style="152" min="5395" max="5398"/>
    <col width="3.42578125" customWidth="1" style="152" min="5399" max="5408"/>
    <col width="3.42578125" customWidth="1" style="152" min="5409" max="5409"/>
    <col width="9.140625" customWidth="1" style="152" min="5410" max="5630"/>
    <col width="3.42578125" customWidth="1" style="152" min="5631" max="5631"/>
    <col width="9.140625" customWidth="1" style="152" min="5632" max="5632"/>
    <col width="26.85546875" customWidth="1" style="152" min="5633" max="5634"/>
    <col width="16.85546875" customWidth="1" style="152" min="5635" max="5635"/>
    <col width="4.5703125" customWidth="1" style="152" min="5636" max="5637"/>
    <col width="20.5703125" customWidth="1" style="152" min="5638" max="5638"/>
    <col width="6.140625" customWidth="1" style="152" min="5639" max="5639"/>
    <col width="14.7109375" customWidth="1" style="152" min="5640" max="5641"/>
    <col width="13.85546875" customWidth="1" style="152" min="5642" max="5642"/>
    <col width="7.140625" customWidth="1" style="152" min="5643" max="5643"/>
    <col width="11.85546875" customWidth="1" style="152" min="5644" max="5644"/>
    <col width="6.28515625" customWidth="1" style="152" min="5645" max="5645"/>
    <col width="11.140625" customWidth="1" style="152" min="5646" max="5646"/>
    <col width="7.5703125" customWidth="1" style="152" min="5647" max="5647"/>
    <col width="8.5703125" customWidth="1" style="152" min="5648" max="5648"/>
    <col width="13.7109375" customWidth="1" style="152" min="5649" max="5649"/>
    <col width="13.42578125" customWidth="1" style="152" min="5650" max="5650"/>
    <col width="9.140625" customWidth="1" style="152" min="5651" max="5654"/>
    <col width="3.42578125" customWidth="1" style="152" min="5655" max="5664"/>
    <col width="3.42578125" customWidth="1" style="152" min="5665" max="5665"/>
    <col width="9.140625" customWidth="1" style="152" min="5666" max="5886"/>
    <col width="3.42578125" customWidth="1" style="152" min="5887" max="5887"/>
    <col width="9.140625" customWidth="1" style="152" min="5888" max="5888"/>
    <col width="26.85546875" customWidth="1" style="152" min="5889" max="5890"/>
    <col width="16.85546875" customWidth="1" style="152" min="5891" max="5891"/>
    <col width="4.5703125" customWidth="1" style="152" min="5892" max="5893"/>
    <col width="20.5703125" customWidth="1" style="152" min="5894" max="5894"/>
    <col width="6.140625" customWidth="1" style="152" min="5895" max="5895"/>
    <col width="14.7109375" customWidth="1" style="152" min="5896" max="5897"/>
    <col width="13.85546875" customWidth="1" style="152" min="5898" max="5898"/>
    <col width="7.140625" customWidth="1" style="152" min="5899" max="5899"/>
    <col width="11.85546875" customWidth="1" style="152" min="5900" max="5900"/>
    <col width="6.28515625" customWidth="1" style="152" min="5901" max="5901"/>
    <col width="11.140625" customWidth="1" style="152" min="5902" max="5902"/>
    <col width="7.5703125" customWidth="1" style="152" min="5903" max="5903"/>
    <col width="8.5703125" customWidth="1" style="152" min="5904" max="5904"/>
    <col width="13.7109375" customWidth="1" style="152" min="5905" max="5905"/>
    <col width="13.42578125" customWidth="1" style="152" min="5906" max="5906"/>
    <col width="9.140625" customWidth="1" style="152" min="5907" max="5910"/>
    <col width="3.42578125" customWidth="1" style="152" min="5911" max="5920"/>
    <col width="3.42578125" customWidth="1" style="152" min="5921" max="5921"/>
    <col width="9.140625" customWidth="1" style="152" min="5922" max="6142"/>
    <col width="3.42578125" customWidth="1" style="152" min="6143" max="6143"/>
    <col width="9.140625" customWidth="1" style="152" min="6144" max="6144"/>
    <col width="26.85546875" customWidth="1" style="152" min="6145" max="6146"/>
    <col width="16.85546875" customWidth="1" style="152" min="6147" max="6147"/>
    <col width="4.5703125" customWidth="1" style="152" min="6148" max="6149"/>
    <col width="20.5703125" customWidth="1" style="152" min="6150" max="6150"/>
    <col width="6.140625" customWidth="1" style="152" min="6151" max="6151"/>
    <col width="14.7109375" customWidth="1" style="152" min="6152" max="6153"/>
    <col width="13.85546875" customWidth="1" style="152" min="6154" max="6154"/>
    <col width="7.140625" customWidth="1" style="152" min="6155" max="6155"/>
    <col width="11.85546875" customWidth="1" style="152" min="6156" max="6156"/>
    <col width="6.28515625" customWidth="1" style="152" min="6157" max="6157"/>
    <col width="11.140625" customWidth="1" style="152" min="6158" max="6158"/>
    <col width="7.5703125" customWidth="1" style="152" min="6159" max="6159"/>
    <col width="8.5703125" customWidth="1" style="152" min="6160" max="6160"/>
    <col width="13.7109375" customWidth="1" style="152" min="6161" max="6161"/>
    <col width="13.42578125" customWidth="1" style="152" min="6162" max="6162"/>
    <col width="9.140625" customWidth="1" style="152" min="6163" max="6166"/>
    <col width="3.42578125" customWidth="1" style="152" min="6167" max="6176"/>
    <col width="3.42578125" customWidth="1" style="152" min="6177" max="6177"/>
    <col width="9.140625" customWidth="1" style="152" min="6178" max="6398"/>
    <col width="3.42578125" customWidth="1" style="152" min="6399" max="6399"/>
    <col width="9.140625" customWidth="1" style="152" min="6400" max="6400"/>
    <col width="26.85546875" customWidth="1" style="152" min="6401" max="6402"/>
    <col width="16.85546875" customWidth="1" style="152" min="6403" max="6403"/>
    <col width="4.5703125" customWidth="1" style="152" min="6404" max="6405"/>
    <col width="20.5703125" customWidth="1" style="152" min="6406" max="6406"/>
    <col width="6.140625" customWidth="1" style="152" min="6407" max="6407"/>
    <col width="14.7109375" customWidth="1" style="152" min="6408" max="6409"/>
    <col width="13.85546875" customWidth="1" style="152" min="6410" max="6410"/>
    <col width="7.140625" customWidth="1" style="152" min="6411" max="6411"/>
    <col width="11.85546875" customWidth="1" style="152" min="6412" max="6412"/>
    <col width="6.28515625" customWidth="1" style="152" min="6413" max="6413"/>
    <col width="11.140625" customWidth="1" style="152" min="6414" max="6414"/>
    <col width="7.5703125" customWidth="1" style="152" min="6415" max="6415"/>
    <col width="8.5703125" customWidth="1" style="152" min="6416" max="6416"/>
    <col width="13.7109375" customWidth="1" style="152" min="6417" max="6417"/>
    <col width="13.42578125" customWidth="1" style="152" min="6418" max="6418"/>
    <col width="9.140625" customWidth="1" style="152" min="6419" max="6422"/>
    <col width="3.42578125" customWidth="1" style="152" min="6423" max="6432"/>
    <col width="3.42578125" customWidth="1" style="152" min="6433" max="6433"/>
    <col width="9.140625" customWidth="1" style="152" min="6434" max="6654"/>
    <col width="3.42578125" customWidth="1" style="152" min="6655" max="6655"/>
    <col width="9.140625" customWidth="1" style="152" min="6656" max="6656"/>
    <col width="26.85546875" customWidth="1" style="152" min="6657" max="6658"/>
    <col width="16.85546875" customWidth="1" style="152" min="6659" max="6659"/>
    <col width="4.5703125" customWidth="1" style="152" min="6660" max="6661"/>
    <col width="20.5703125" customWidth="1" style="152" min="6662" max="6662"/>
    <col width="6.140625" customWidth="1" style="152" min="6663" max="6663"/>
    <col width="14.7109375" customWidth="1" style="152" min="6664" max="6665"/>
    <col width="13.85546875" customWidth="1" style="152" min="6666" max="6666"/>
    <col width="7.140625" customWidth="1" style="152" min="6667" max="6667"/>
    <col width="11.85546875" customWidth="1" style="152" min="6668" max="6668"/>
    <col width="6.28515625" customWidth="1" style="152" min="6669" max="6669"/>
    <col width="11.140625" customWidth="1" style="152" min="6670" max="6670"/>
    <col width="7.5703125" customWidth="1" style="152" min="6671" max="6671"/>
    <col width="8.5703125" customWidth="1" style="152" min="6672" max="6672"/>
    <col width="13.7109375" customWidth="1" style="152" min="6673" max="6673"/>
    <col width="13.42578125" customWidth="1" style="152" min="6674" max="6674"/>
    <col width="9.140625" customWidth="1" style="152" min="6675" max="6678"/>
    <col width="3.42578125" customWidth="1" style="152" min="6679" max="6688"/>
    <col width="3.42578125" customWidth="1" style="152" min="6689" max="6689"/>
    <col width="9.140625" customWidth="1" style="152" min="6690" max="6910"/>
    <col width="3.42578125" customWidth="1" style="152" min="6911" max="6911"/>
    <col width="9.140625" customWidth="1" style="152" min="6912" max="6912"/>
    <col width="26.85546875" customWidth="1" style="152" min="6913" max="6914"/>
    <col width="16.85546875" customWidth="1" style="152" min="6915" max="6915"/>
    <col width="4.5703125" customWidth="1" style="152" min="6916" max="6917"/>
    <col width="20.5703125" customWidth="1" style="152" min="6918" max="6918"/>
    <col width="6.140625" customWidth="1" style="152" min="6919" max="6919"/>
    <col width="14.7109375" customWidth="1" style="152" min="6920" max="6921"/>
    <col width="13.85546875" customWidth="1" style="152" min="6922" max="6922"/>
    <col width="7.140625" customWidth="1" style="152" min="6923" max="6923"/>
    <col width="11.85546875" customWidth="1" style="152" min="6924" max="6924"/>
    <col width="6.28515625" customWidth="1" style="152" min="6925" max="6925"/>
    <col width="11.140625" customWidth="1" style="152" min="6926" max="6926"/>
    <col width="7.5703125" customWidth="1" style="152" min="6927" max="6927"/>
    <col width="8.5703125" customWidth="1" style="152" min="6928" max="6928"/>
    <col width="13.7109375" customWidth="1" style="152" min="6929" max="6929"/>
    <col width="13.42578125" customWidth="1" style="152" min="6930" max="6930"/>
    <col width="9.140625" customWidth="1" style="152" min="6931" max="6934"/>
    <col width="3.42578125" customWidth="1" style="152" min="6935" max="6944"/>
    <col width="3.42578125" customWidth="1" style="152" min="6945" max="6945"/>
    <col width="9.140625" customWidth="1" style="152" min="6946" max="7166"/>
    <col width="3.42578125" customWidth="1" style="152" min="7167" max="7167"/>
    <col width="9.140625" customWidth="1" style="152" min="7168" max="7168"/>
    <col width="26.85546875" customWidth="1" style="152" min="7169" max="7170"/>
    <col width="16.85546875" customWidth="1" style="152" min="7171" max="7171"/>
    <col width="4.5703125" customWidth="1" style="152" min="7172" max="7173"/>
    <col width="20.5703125" customWidth="1" style="152" min="7174" max="7174"/>
    <col width="6.140625" customWidth="1" style="152" min="7175" max="7175"/>
    <col width="14.7109375" customWidth="1" style="152" min="7176" max="7177"/>
    <col width="13.85546875" customWidth="1" style="152" min="7178" max="7178"/>
    <col width="7.140625" customWidth="1" style="152" min="7179" max="7179"/>
    <col width="11.85546875" customWidth="1" style="152" min="7180" max="7180"/>
    <col width="6.28515625" customWidth="1" style="152" min="7181" max="7181"/>
    <col width="11.140625" customWidth="1" style="152" min="7182" max="7182"/>
    <col width="7.5703125" customWidth="1" style="152" min="7183" max="7183"/>
    <col width="8.5703125" customWidth="1" style="152" min="7184" max="7184"/>
    <col width="13.7109375" customWidth="1" style="152" min="7185" max="7185"/>
    <col width="13.42578125" customWidth="1" style="152" min="7186" max="7186"/>
    <col width="9.140625" customWidth="1" style="152" min="7187" max="7190"/>
    <col width="3.42578125" customWidth="1" style="152" min="7191" max="7200"/>
    <col width="3.42578125" customWidth="1" style="152" min="7201" max="7201"/>
    <col width="9.140625" customWidth="1" style="152" min="7202" max="7422"/>
    <col width="3.42578125" customWidth="1" style="152" min="7423" max="7423"/>
    <col width="9.140625" customWidth="1" style="152" min="7424" max="7424"/>
    <col width="26.85546875" customWidth="1" style="152" min="7425" max="7426"/>
    <col width="16.85546875" customWidth="1" style="152" min="7427" max="7427"/>
    <col width="4.5703125" customWidth="1" style="152" min="7428" max="7429"/>
    <col width="20.5703125" customWidth="1" style="152" min="7430" max="7430"/>
    <col width="6.140625" customWidth="1" style="152" min="7431" max="7431"/>
    <col width="14.7109375" customWidth="1" style="152" min="7432" max="7433"/>
    <col width="13.85546875" customWidth="1" style="152" min="7434" max="7434"/>
    <col width="7.140625" customWidth="1" style="152" min="7435" max="7435"/>
    <col width="11.85546875" customWidth="1" style="152" min="7436" max="7436"/>
    <col width="6.28515625" customWidth="1" style="152" min="7437" max="7437"/>
    <col width="11.140625" customWidth="1" style="152" min="7438" max="7438"/>
    <col width="7.5703125" customWidth="1" style="152" min="7439" max="7439"/>
    <col width="8.5703125" customWidth="1" style="152" min="7440" max="7440"/>
    <col width="13.7109375" customWidth="1" style="152" min="7441" max="7441"/>
    <col width="13.42578125" customWidth="1" style="152" min="7442" max="7442"/>
    <col width="9.140625" customWidth="1" style="152" min="7443" max="7446"/>
    <col width="3.42578125" customWidth="1" style="152" min="7447" max="7456"/>
    <col width="3.42578125" customWidth="1" style="152" min="7457" max="7457"/>
    <col width="9.140625" customWidth="1" style="152" min="7458" max="7678"/>
    <col width="3.42578125" customWidth="1" style="152" min="7679" max="7679"/>
    <col width="9.140625" customWidth="1" style="152" min="7680" max="7680"/>
    <col width="26.85546875" customWidth="1" style="152" min="7681" max="7682"/>
    <col width="16.85546875" customWidth="1" style="152" min="7683" max="7683"/>
    <col width="4.5703125" customWidth="1" style="152" min="7684" max="7685"/>
    <col width="20.5703125" customWidth="1" style="152" min="7686" max="7686"/>
    <col width="6.140625" customWidth="1" style="152" min="7687" max="7687"/>
    <col width="14.7109375" customWidth="1" style="152" min="7688" max="7689"/>
    <col width="13.85546875" customWidth="1" style="152" min="7690" max="7690"/>
    <col width="7.140625" customWidth="1" style="152" min="7691" max="7691"/>
    <col width="11.85546875" customWidth="1" style="152" min="7692" max="7692"/>
    <col width="6.28515625" customWidth="1" style="152" min="7693" max="7693"/>
    <col width="11.140625" customWidth="1" style="152" min="7694" max="7694"/>
    <col width="7.5703125" customWidth="1" style="152" min="7695" max="7695"/>
    <col width="8.5703125" customWidth="1" style="152" min="7696" max="7696"/>
    <col width="13.7109375" customWidth="1" style="152" min="7697" max="7697"/>
    <col width="13.42578125" customWidth="1" style="152" min="7698" max="7698"/>
    <col width="9.140625" customWidth="1" style="152" min="7699" max="7702"/>
    <col width="3.42578125" customWidth="1" style="152" min="7703" max="7712"/>
    <col width="3.42578125" customWidth="1" style="152" min="7713" max="7713"/>
    <col width="9.140625" customWidth="1" style="152" min="7714" max="7934"/>
    <col width="3.42578125" customWidth="1" style="152" min="7935" max="7935"/>
    <col width="9.140625" customWidth="1" style="152" min="7936" max="7936"/>
    <col width="26.85546875" customWidth="1" style="152" min="7937" max="7938"/>
    <col width="16.85546875" customWidth="1" style="152" min="7939" max="7939"/>
    <col width="4.5703125" customWidth="1" style="152" min="7940" max="7941"/>
    <col width="20.5703125" customWidth="1" style="152" min="7942" max="7942"/>
    <col width="6.140625" customWidth="1" style="152" min="7943" max="7943"/>
    <col width="14.7109375" customWidth="1" style="152" min="7944" max="7945"/>
    <col width="13.85546875" customWidth="1" style="152" min="7946" max="7946"/>
    <col width="7.140625" customWidth="1" style="152" min="7947" max="7947"/>
    <col width="11.85546875" customWidth="1" style="152" min="7948" max="7948"/>
    <col width="6.28515625" customWidth="1" style="152" min="7949" max="7949"/>
    <col width="11.140625" customWidth="1" style="152" min="7950" max="7950"/>
    <col width="7.5703125" customWidth="1" style="152" min="7951" max="7951"/>
    <col width="8.5703125" customWidth="1" style="152" min="7952" max="7952"/>
    <col width="13.7109375" customWidth="1" style="152" min="7953" max="7953"/>
    <col width="13.42578125" customWidth="1" style="152" min="7954" max="7954"/>
    <col width="9.140625" customWidth="1" style="152" min="7955" max="7958"/>
    <col width="3.42578125" customWidth="1" style="152" min="7959" max="7968"/>
    <col width="3.42578125" customWidth="1" style="152" min="7969" max="7969"/>
    <col width="9.140625" customWidth="1" style="152" min="7970" max="8190"/>
    <col width="3.42578125" customWidth="1" style="152" min="8191" max="8191"/>
    <col width="9.140625" customWidth="1" style="152" min="8192" max="8192"/>
    <col width="26.85546875" customWidth="1" style="152" min="8193" max="8194"/>
    <col width="16.85546875" customWidth="1" style="152" min="8195" max="8195"/>
    <col width="4.5703125" customWidth="1" style="152" min="8196" max="8197"/>
    <col width="20.5703125" customWidth="1" style="152" min="8198" max="8198"/>
    <col width="6.140625" customWidth="1" style="152" min="8199" max="8199"/>
    <col width="14.7109375" customWidth="1" style="152" min="8200" max="8201"/>
    <col width="13.85546875" customWidth="1" style="152" min="8202" max="8202"/>
    <col width="7.140625" customWidth="1" style="152" min="8203" max="8203"/>
    <col width="11.85546875" customWidth="1" style="152" min="8204" max="8204"/>
    <col width="6.28515625" customWidth="1" style="152" min="8205" max="8205"/>
    <col width="11.140625" customWidth="1" style="152" min="8206" max="8206"/>
    <col width="7.5703125" customWidth="1" style="152" min="8207" max="8207"/>
    <col width="8.5703125" customWidth="1" style="152" min="8208" max="8208"/>
    <col width="13.7109375" customWidth="1" style="152" min="8209" max="8209"/>
    <col width="13.42578125" customWidth="1" style="152" min="8210" max="8210"/>
    <col width="9.140625" customWidth="1" style="152" min="8211" max="8214"/>
    <col width="3.42578125" customWidth="1" style="152" min="8215" max="8224"/>
    <col width="3.42578125" customWidth="1" style="152" min="8225" max="8225"/>
    <col width="9.140625" customWidth="1" style="152" min="8226" max="8446"/>
    <col width="3.42578125" customWidth="1" style="152" min="8447" max="8447"/>
    <col width="9.140625" customWidth="1" style="152" min="8448" max="8448"/>
    <col width="26.85546875" customWidth="1" style="152" min="8449" max="8450"/>
    <col width="16.85546875" customWidth="1" style="152" min="8451" max="8451"/>
    <col width="4.5703125" customWidth="1" style="152" min="8452" max="8453"/>
    <col width="20.5703125" customWidth="1" style="152" min="8454" max="8454"/>
    <col width="6.140625" customWidth="1" style="152" min="8455" max="8455"/>
    <col width="14.7109375" customWidth="1" style="152" min="8456" max="8457"/>
    <col width="13.85546875" customWidth="1" style="152" min="8458" max="8458"/>
    <col width="7.140625" customWidth="1" style="152" min="8459" max="8459"/>
    <col width="11.85546875" customWidth="1" style="152" min="8460" max="8460"/>
    <col width="6.28515625" customWidth="1" style="152" min="8461" max="8461"/>
    <col width="11.140625" customWidth="1" style="152" min="8462" max="8462"/>
    <col width="7.5703125" customWidth="1" style="152" min="8463" max="8463"/>
    <col width="8.5703125" customWidth="1" style="152" min="8464" max="8464"/>
    <col width="13.7109375" customWidth="1" style="152" min="8465" max="8465"/>
    <col width="13.42578125" customWidth="1" style="152" min="8466" max="8466"/>
    <col width="9.140625" customWidth="1" style="152" min="8467" max="8470"/>
    <col width="3.42578125" customWidth="1" style="152" min="8471" max="8480"/>
    <col width="3.42578125" customWidth="1" style="152" min="8481" max="8481"/>
    <col width="9.140625" customWidth="1" style="152" min="8482" max="8702"/>
    <col width="3.42578125" customWidth="1" style="152" min="8703" max="8703"/>
    <col width="9.140625" customWidth="1" style="152" min="8704" max="8704"/>
    <col width="26.85546875" customWidth="1" style="152" min="8705" max="8706"/>
    <col width="16.85546875" customWidth="1" style="152" min="8707" max="8707"/>
    <col width="4.5703125" customWidth="1" style="152" min="8708" max="8709"/>
    <col width="20.5703125" customWidth="1" style="152" min="8710" max="8710"/>
    <col width="6.140625" customWidth="1" style="152" min="8711" max="8711"/>
    <col width="14.7109375" customWidth="1" style="152" min="8712" max="8713"/>
    <col width="13.85546875" customWidth="1" style="152" min="8714" max="8714"/>
    <col width="7.140625" customWidth="1" style="152" min="8715" max="8715"/>
    <col width="11.85546875" customWidth="1" style="152" min="8716" max="8716"/>
    <col width="6.28515625" customWidth="1" style="152" min="8717" max="8717"/>
    <col width="11.140625" customWidth="1" style="152" min="8718" max="8718"/>
    <col width="7.5703125" customWidth="1" style="152" min="8719" max="8719"/>
    <col width="8.5703125" customWidth="1" style="152" min="8720" max="8720"/>
    <col width="13.7109375" customWidth="1" style="152" min="8721" max="8721"/>
    <col width="13.42578125" customWidth="1" style="152" min="8722" max="8722"/>
    <col width="9.140625" customWidth="1" style="152" min="8723" max="8726"/>
    <col width="3.42578125" customWidth="1" style="152" min="8727" max="8736"/>
    <col width="3.42578125" customWidth="1" style="152" min="8737" max="8737"/>
    <col width="9.140625" customWidth="1" style="152" min="8738" max="8958"/>
    <col width="3.42578125" customWidth="1" style="152" min="8959" max="8959"/>
    <col width="9.140625" customWidth="1" style="152" min="8960" max="8960"/>
    <col width="26.85546875" customWidth="1" style="152" min="8961" max="8962"/>
    <col width="16.85546875" customWidth="1" style="152" min="8963" max="8963"/>
    <col width="4.5703125" customWidth="1" style="152" min="8964" max="8965"/>
    <col width="20.5703125" customWidth="1" style="152" min="8966" max="8966"/>
    <col width="6.140625" customWidth="1" style="152" min="8967" max="8967"/>
    <col width="14.7109375" customWidth="1" style="152" min="8968" max="8969"/>
    <col width="13.85546875" customWidth="1" style="152" min="8970" max="8970"/>
    <col width="7.140625" customWidth="1" style="152" min="8971" max="8971"/>
    <col width="11.85546875" customWidth="1" style="152" min="8972" max="8972"/>
    <col width="6.28515625" customWidth="1" style="152" min="8973" max="8973"/>
    <col width="11.140625" customWidth="1" style="152" min="8974" max="8974"/>
    <col width="7.5703125" customWidth="1" style="152" min="8975" max="8975"/>
    <col width="8.5703125" customWidth="1" style="152" min="8976" max="8976"/>
    <col width="13.7109375" customWidth="1" style="152" min="8977" max="8977"/>
    <col width="13.42578125" customWidth="1" style="152" min="8978" max="8978"/>
    <col width="9.140625" customWidth="1" style="152" min="8979" max="8982"/>
    <col width="3.42578125" customWidth="1" style="152" min="8983" max="8992"/>
    <col width="3.42578125" customWidth="1" style="152" min="8993" max="8993"/>
    <col width="9.140625" customWidth="1" style="152" min="8994" max="9214"/>
    <col width="3.42578125" customWidth="1" style="152" min="9215" max="9215"/>
    <col width="9.140625" customWidth="1" style="152" min="9216" max="9216"/>
    <col width="26.85546875" customWidth="1" style="152" min="9217" max="9218"/>
    <col width="16.85546875" customWidth="1" style="152" min="9219" max="9219"/>
    <col width="4.5703125" customWidth="1" style="152" min="9220" max="9221"/>
    <col width="20.5703125" customWidth="1" style="152" min="9222" max="9222"/>
    <col width="6.140625" customWidth="1" style="152" min="9223" max="9223"/>
    <col width="14.7109375" customWidth="1" style="152" min="9224" max="9225"/>
    <col width="13.85546875" customWidth="1" style="152" min="9226" max="9226"/>
    <col width="7.140625" customWidth="1" style="152" min="9227" max="9227"/>
    <col width="11.85546875" customWidth="1" style="152" min="9228" max="9228"/>
    <col width="6.28515625" customWidth="1" style="152" min="9229" max="9229"/>
    <col width="11.140625" customWidth="1" style="152" min="9230" max="9230"/>
    <col width="7.5703125" customWidth="1" style="152" min="9231" max="9231"/>
    <col width="8.5703125" customWidth="1" style="152" min="9232" max="9232"/>
    <col width="13.7109375" customWidth="1" style="152" min="9233" max="9233"/>
    <col width="13.42578125" customWidth="1" style="152" min="9234" max="9234"/>
    <col width="9.140625" customWidth="1" style="152" min="9235" max="9238"/>
    <col width="3.42578125" customWidth="1" style="152" min="9239" max="9248"/>
    <col width="3.42578125" customWidth="1" style="152" min="9249" max="9249"/>
    <col width="9.140625" customWidth="1" style="152" min="9250" max="9470"/>
    <col width="3.42578125" customWidth="1" style="152" min="9471" max="9471"/>
    <col width="9.140625" customWidth="1" style="152" min="9472" max="9472"/>
    <col width="26.85546875" customWidth="1" style="152" min="9473" max="9474"/>
    <col width="16.85546875" customWidth="1" style="152" min="9475" max="9475"/>
    <col width="4.5703125" customWidth="1" style="152" min="9476" max="9477"/>
    <col width="20.5703125" customWidth="1" style="152" min="9478" max="9478"/>
    <col width="6.140625" customWidth="1" style="152" min="9479" max="9479"/>
    <col width="14.7109375" customWidth="1" style="152" min="9480" max="9481"/>
    <col width="13.85546875" customWidth="1" style="152" min="9482" max="9482"/>
    <col width="7.140625" customWidth="1" style="152" min="9483" max="9483"/>
    <col width="11.85546875" customWidth="1" style="152" min="9484" max="9484"/>
    <col width="6.28515625" customWidth="1" style="152" min="9485" max="9485"/>
    <col width="11.140625" customWidth="1" style="152" min="9486" max="9486"/>
    <col width="7.5703125" customWidth="1" style="152" min="9487" max="9487"/>
    <col width="8.5703125" customWidth="1" style="152" min="9488" max="9488"/>
    <col width="13.7109375" customWidth="1" style="152" min="9489" max="9489"/>
    <col width="13.42578125" customWidth="1" style="152" min="9490" max="9490"/>
    <col width="9.140625" customWidth="1" style="152" min="9491" max="9494"/>
    <col width="3.42578125" customWidth="1" style="152" min="9495" max="9504"/>
    <col width="3.42578125" customWidth="1" style="152" min="9505" max="9505"/>
    <col width="9.140625" customWidth="1" style="152" min="9506" max="9726"/>
    <col width="3.42578125" customWidth="1" style="152" min="9727" max="9727"/>
    <col width="9.140625" customWidth="1" style="152" min="9728" max="9728"/>
    <col width="26.85546875" customWidth="1" style="152" min="9729" max="9730"/>
    <col width="16.85546875" customWidth="1" style="152" min="9731" max="9731"/>
    <col width="4.5703125" customWidth="1" style="152" min="9732" max="9733"/>
    <col width="20.5703125" customWidth="1" style="152" min="9734" max="9734"/>
    <col width="6.140625" customWidth="1" style="152" min="9735" max="9735"/>
    <col width="14.7109375" customWidth="1" style="152" min="9736" max="9737"/>
    <col width="13.85546875" customWidth="1" style="152" min="9738" max="9738"/>
    <col width="7.140625" customWidth="1" style="152" min="9739" max="9739"/>
    <col width="11.85546875" customWidth="1" style="152" min="9740" max="9740"/>
    <col width="6.28515625" customWidth="1" style="152" min="9741" max="9741"/>
    <col width="11.140625" customWidth="1" style="152" min="9742" max="9742"/>
    <col width="7.5703125" customWidth="1" style="152" min="9743" max="9743"/>
    <col width="8.5703125" customWidth="1" style="152" min="9744" max="9744"/>
    <col width="13.7109375" customWidth="1" style="152" min="9745" max="9745"/>
    <col width="13.42578125" customWidth="1" style="152" min="9746" max="9746"/>
    <col width="9.140625" customWidth="1" style="152" min="9747" max="9750"/>
    <col width="3.42578125" customWidth="1" style="152" min="9751" max="9760"/>
    <col width="3.42578125" customWidth="1" style="152" min="9761" max="9761"/>
    <col width="9.140625" customWidth="1" style="152" min="9762" max="9982"/>
    <col width="3.42578125" customWidth="1" style="152" min="9983" max="9983"/>
    <col width="9.140625" customWidth="1" style="152" min="9984" max="9984"/>
    <col width="26.85546875" customWidth="1" style="152" min="9985" max="9986"/>
    <col width="16.85546875" customWidth="1" style="152" min="9987" max="9987"/>
    <col width="4.5703125" customWidth="1" style="152" min="9988" max="9989"/>
    <col width="20.5703125" customWidth="1" style="152" min="9990" max="9990"/>
    <col width="6.140625" customWidth="1" style="152" min="9991" max="9991"/>
    <col width="14.7109375" customWidth="1" style="152" min="9992" max="9993"/>
    <col width="13.85546875" customWidth="1" style="152" min="9994" max="9994"/>
    <col width="7.140625" customWidth="1" style="152" min="9995" max="9995"/>
    <col width="11.85546875" customWidth="1" style="152" min="9996" max="9996"/>
    <col width="6.28515625" customWidth="1" style="152" min="9997" max="9997"/>
    <col width="11.140625" customWidth="1" style="152" min="9998" max="9998"/>
    <col width="7.5703125" customWidth="1" style="152" min="9999" max="9999"/>
    <col width="8.5703125" customWidth="1" style="152" min="10000" max="10000"/>
    <col width="13.7109375" customWidth="1" style="152" min="10001" max="10001"/>
    <col width="13.42578125" customWidth="1" style="152" min="10002" max="10002"/>
    <col width="9.140625" customWidth="1" style="152" min="10003" max="10006"/>
    <col width="3.42578125" customWidth="1" style="152" min="10007" max="10016"/>
    <col width="3.42578125" customWidth="1" style="152" min="10017" max="10017"/>
    <col width="9.140625" customWidth="1" style="152" min="10018" max="10238"/>
    <col width="3.42578125" customWidth="1" style="152" min="10239" max="10239"/>
    <col width="9.140625" customWidth="1" style="152" min="10240" max="10240"/>
    <col width="26.85546875" customWidth="1" style="152" min="10241" max="10242"/>
    <col width="16.85546875" customWidth="1" style="152" min="10243" max="10243"/>
    <col width="4.5703125" customWidth="1" style="152" min="10244" max="10245"/>
    <col width="20.5703125" customWidth="1" style="152" min="10246" max="10246"/>
    <col width="6.140625" customWidth="1" style="152" min="10247" max="10247"/>
    <col width="14.7109375" customWidth="1" style="152" min="10248" max="10249"/>
    <col width="13.85546875" customWidth="1" style="152" min="10250" max="10250"/>
    <col width="7.140625" customWidth="1" style="152" min="10251" max="10251"/>
    <col width="11.85546875" customWidth="1" style="152" min="10252" max="10252"/>
    <col width="6.28515625" customWidth="1" style="152" min="10253" max="10253"/>
    <col width="11.140625" customWidth="1" style="152" min="10254" max="10254"/>
    <col width="7.5703125" customWidth="1" style="152" min="10255" max="10255"/>
    <col width="8.5703125" customWidth="1" style="152" min="10256" max="10256"/>
    <col width="13.7109375" customWidth="1" style="152" min="10257" max="10257"/>
    <col width="13.42578125" customWidth="1" style="152" min="10258" max="10258"/>
    <col width="9.140625" customWidth="1" style="152" min="10259" max="10262"/>
    <col width="3.42578125" customWidth="1" style="152" min="10263" max="10272"/>
    <col width="3.42578125" customWidth="1" style="152" min="10273" max="10273"/>
    <col width="9.140625" customWidth="1" style="152" min="10274" max="10494"/>
    <col width="3.42578125" customWidth="1" style="152" min="10495" max="10495"/>
    <col width="9.140625" customWidth="1" style="152" min="10496" max="10496"/>
    <col width="26.85546875" customWidth="1" style="152" min="10497" max="10498"/>
    <col width="16.85546875" customWidth="1" style="152" min="10499" max="10499"/>
    <col width="4.5703125" customWidth="1" style="152" min="10500" max="10501"/>
    <col width="20.5703125" customWidth="1" style="152" min="10502" max="10502"/>
    <col width="6.140625" customWidth="1" style="152" min="10503" max="10503"/>
    <col width="14.7109375" customWidth="1" style="152" min="10504" max="10505"/>
    <col width="13.85546875" customWidth="1" style="152" min="10506" max="10506"/>
    <col width="7.140625" customWidth="1" style="152" min="10507" max="10507"/>
    <col width="11.85546875" customWidth="1" style="152" min="10508" max="10508"/>
    <col width="6.28515625" customWidth="1" style="152" min="10509" max="10509"/>
    <col width="11.140625" customWidth="1" style="152" min="10510" max="10510"/>
    <col width="7.5703125" customWidth="1" style="152" min="10511" max="10511"/>
    <col width="8.5703125" customWidth="1" style="152" min="10512" max="10512"/>
    <col width="13.7109375" customWidth="1" style="152" min="10513" max="10513"/>
    <col width="13.42578125" customWidth="1" style="152" min="10514" max="10514"/>
    <col width="9.140625" customWidth="1" style="152" min="10515" max="10518"/>
    <col width="3.42578125" customWidth="1" style="152" min="10519" max="10528"/>
    <col width="3.42578125" customWidth="1" style="152" min="10529" max="10529"/>
    <col width="9.140625" customWidth="1" style="152" min="10530" max="10750"/>
    <col width="3.42578125" customWidth="1" style="152" min="10751" max="10751"/>
    <col width="9.140625" customWidth="1" style="152" min="10752" max="10752"/>
    <col width="26.85546875" customWidth="1" style="152" min="10753" max="10754"/>
    <col width="16.85546875" customWidth="1" style="152" min="10755" max="10755"/>
    <col width="4.5703125" customWidth="1" style="152" min="10756" max="10757"/>
    <col width="20.5703125" customWidth="1" style="152" min="10758" max="10758"/>
    <col width="6.140625" customWidth="1" style="152" min="10759" max="10759"/>
    <col width="14.7109375" customWidth="1" style="152" min="10760" max="10761"/>
    <col width="13.85546875" customWidth="1" style="152" min="10762" max="10762"/>
    <col width="7.140625" customWidth="1" style="152" min="10763" max="10763"/>
    <col width="11.85546875" customWidth="1" style="152" min="10764" max="10764"/>
    <col width="6.28515625" customWidth="1" style="152" min="10765" max="10765"/>
    <col width="11.140625" customWidth="1" style="152" min="10766" max="10766"/>
    <col width="7.5703125" customWidth="1" style="152" min="10767" max="10767"/>
    <col width="8.5703125" customWidth="1" style="152" min="10768" max="10768"/>
    <col width="13.7109375" customWidth="1" style="152" min="10769" max="10769"/>
    <col width="13.42578125" customWidth="1" style="152" min="10770" max="10770"/>
    <col width="9.140625" customWidth="1" style="152" min="10771" max="10774"/>
    <col width="3.42578125" customWidth="1" style="152" min="10775" max="10784"/>
    <col width="3.42578125" customWidth="1" style="152" min="10785" max="10785"/>
    <col width="9.140625" customWidth="1" style="152" min="10786" max="11006"/>
    <col width="3.42578125" customWidth="1" style="152" min="11007" max="11007"/>
    <col width="9.140625" customWidth="1" style="152" min="11008" max="11008"/>
    <col width="26.85546875" customWidth="1" style="152" min="11009" max="11010"/>
    <col width="16.85546875" customWidth="1" style="152" min="11011" max="11011"/>
    <col width="4.5703125" customWidth="1" style="152" min="11012" max="11013"/>
    <col width="20.5703125" customWidth="1" style="152" min="11014" max="11014"/>
    <col width="6.140625" customWidth="1" style="152" min="11015" max="11015"/>
    <col width="14.7109375" customWidth="1" style="152" min="11016" max="11017"/>
    <col width="13.85546875" customWidth="1" style="152" min="11018" max="11018"/>
    <col width="7.140625" customWidth="1" style="152" min="11019" max="11019"/>
    <col width="11.85546875" customWidth="1" style="152" min="11020" max="11020"/>
    <col width="6.28515625" customWidth="1" style="152" min="11021" max="11021"/>
    <col width="11.140625" customWidth="1" style="152" min="11022" max="11022"/>
    <col width="7.5703125" customWidth="1" style="152" min="11023" max="11023"/>
    <col width="8.5703125" customWidth="1" style="152" min="11024" max="11024"/>
    <col width="13.7109375" customWidth="1" style="152" min="11025" max="11025"/>
    <col width="13.42578125" customWidth="1" style="152" min="11026" max="11026"/>
    <col width="9.140625" customWidth="1" style="152" min="11027" max="11030"/>
    <col width="3.42578125" customWidth="1" style="152" min="11031" max="11040"/>
    <col width="3.42578125" customWidth="1" style="152" min="11041" max="11041"/>
    <col width="9.140625" customWidth="1" style="152" min="11042" max="11262"/>
    <col width="3.42578125" customWidth="1" style="152" min="11263" max="11263"/>
    <col width="9.140625" customWidth="1" style="152" min="11264" max="11264"/>
    <col width="26.85546875" customWidth="1" style="152" min="11265" max="11266"/>
    <col width="16.85546875" customWidth="1" style="152" min="11267" max="11267"/>
    <col width="4.5703125" customWidth="1" style="152" min="11268" max="11269"/>
    <col width="20.5703125" customWidth="1" style="152" min="11270" max="11270"/>
    <col width="6.140625" customWidth="1" style="152" min="11271" max="11271"/>
    <col width="14.7109375" customWidth="1" style="152" min="11272" max="11273"/>
    <col width="13.85546875" customWidth="1" style="152" min="11274" max="11274"/>
    <col width="7.140625" customWidth="1" style="152" min="11275" max="11275"/>
    <col width="11.85546875" customWidth="1" style="152" min="11276" max="11276"/>
    <col width="6.28515625" customWidth="1" style="152" min="11277" max="11277"/>
    <col width="11.140625" customWidth="1" style="152" min="11278" max="11278"/>
    <col width="7.5703125" customWidth="1" style="152" min="11279" max="11279"/>
    <col width="8.5703125" customWidth="1" style="152" min="11280" max="11280"/>
    <col width="13.7109375" customWidth="1" style="152" min="11281" max="11281"/>
    <col width="13.42578125" customWidth="1" style="152" min="11282" max="11282"/>
    <col width="9.140625" customWidth="1" style="152" min="11283" max="11286"/>
    <col width="3.42578125" customWidth="1" style="152" min="11287" max="11296"/>
    <col width="3.42578125" customWidth="1" style="152" min="11297" max="11297"/>
    <col width="9.140625" customWidth="1" style="152" min="11298" max="11518"/>
    <col width="3.42578125" customWidth="1" style="152" min="11519" max="11519"/>
    <col width="9.140625" customWidth="1" style="152" min="11520" max="11520"/>
    <col width="26.85546875" customWidth="1" style="152" min="11521" max="11522"/>
    <col width="16.85546875" customWidth="1" style="152" min="11523" max="11523"/>
    <col width="4.5703125" customWidth="1" style="152" min="11524" max="11525"/>
    <col width="20.5703125" customWidth="1" style="152" min="11526" max="11526"/>
    <col width="6.140625" customWidth="1" style="152" min="11527" max="11527"/>
    <col width="14.7109375" customWidth="1" style="152" min="11528" max="11529"/>
    <col width="13.85546875" customWidth="1" style="152" min="11530" max="11530"/>
    <col width="7.140625" customWidth="1" style="152" min="11531" max="11531"/>
    <col width="11.85546875" customWidth="1" style="152" min="11532" max="11532"/>
    <col width="6.28515625" customWidth="1" style="152" min="11533" max="11533"/>
    <col width="11.140625" customWidth="1" style="152" min="11534" max="11534"/>
    <col width="7.5703125" customWidth="1" style="152" min="11535" max="11535"/>
    <col width="8.5703125" customWidth="1" style="152" min="11536" max="11536"/>
    <col width="13.7109375" customWidth="1" style="152" min="11537" max="11537"/>
    <col width="13.42578125" customWidth="1" style="152" min="11538" max="11538"/>
    <col width="9.140625" customWidth="1" style="152" min="11539" max="11542"/>
    <col width="3.42578125" customWidth="1" style="152" min="11543" max="11552"/>
    <col width="3.42578125" customWidth="1" style="152" min="11553" max="11553"/>
    <col width="9.140625" customWidth="1" style="152" min="11554" max="11774"/>
    <col width="3.42578125" customWidth="1" style="152" min="11775" max="11775"/>
    <col width="9.140625" customWidth="1" style="152" min="11776" max="11776"/>
    <col width="26.85546875" customWidth="1" style="152" min="11777" max="11778"/>
    <col width="16.85546875" customWidth="1" style="152" min="11779" max="11779"/>
    <col width="4.5703125" customWidth="1" style="152" min="11780" max="11781"/>
    <col width="20.5703125" customWidth="1" style="152" min="11782" max="11782"/>
    <col width="6.140625" customWidth="1" style="152" min="11783" max="11783"/>
    <col width="14.7109375" customWidth="1" style="152" min="11784" max="11785"/>
    <col width="13.85546875" customWidth="1" style="152" min="11786" max="11786"/>
    <col width="7.140625" customWidth="1" style="152" min="11787" max="11787"/>
    <col width="11.85546875" customWidth="1" style="152" min="11788" max="11788"/>
    <col width="6.28515625" customWidth="1" style="152" min="11789" max="11789"/>
    <col width="11.140625" customWidth="1" style="152" min="11790" max="11790"/>
    <col width="7.5703125" customWidth="1" style="152" min="11791" max="11791"/>
    <col width="8.5703125" customWidth="1" style="152" min="11792" max="11792"/>
    <col width="13.7109375" customWidth="1" style="152" min="11793" max="11793"/>
    <col width="13.42578125" customWidth="1" style="152" min="11794" max="11794"/>
    <col width="9.140625" customWidth="1" style="152" min="11795" max="11798"/>
    <col width="3.42578125" customWidth="1" style="152" min="11799" max="11808"/>
    <col width="3.42578125" customWidth="1" style="152" min="11809" max="11809"/>
    <col width="9.140625" customWidth="1" style="152" min="11810" max="12030"/>
    <col width="3.42578125" customWidth="1" style="152" min="12031" max="12031"/>
    <col width="9.140625" customWidth="1" style="152" min="12032" max="12032"/>
    <col width="26.85546875" customWidth="1" style="152" min="12033" max="12034"/>
    <col width="16.85546875" customWidth="1" style="152" min="12035" max="12035"/>
    <col width="4.5703125" customWidth="1" style="152" min="12036" max="12037"/>
    <col width="20.5703125" customWidth="1" style="152" min="12038" max="12038"/>
    <col width="6.140625" customWidth="1" style="152" min="12039" max="12039"/>
    <col width="14.7109375" customWidth="1" style="152" min="12040" max="12041"/>
    <col width="13.85546875" customWidth="1" style="152" min="12042" max="12042"/>
    <col width="7.140625" customWidth="1" style="152" min="12043" max="12043"/>
    <col width="11.85546875" customWidth="1" style="152" min="12044" max="12044"/>
    <col width="6.28515625" customWidth="1" style="152" min="12045" max="12045"/>
    <col width="11.140625" customWidth="1" style="152" min="12046" max="12046"/>
    <col width="7.5703125" customWidth="1" style="152" min="12047" max="12047"/>
    <col width="8.5703125" customWidth="1" style="152" min="12048" max="12048"/>
    <col width="13.7109375" customWidth="1" style="152" min="12049" max="12049"/>
    <col width="13.42578125" customWidth="1" style="152" min="12050" max="12050"/>
    <col width="9.140625" customWidth="1" style="152" min="12051" max="12054"/>
    <col width="3.42578125" customWidth="1" style="152" min="12055" max="12064"/>
    <col width="3.42578125" customWidth="1" style="152" min="12065" max="12065"/>
    <col width="9.140625" customWidth="1" style="152" min="12066" max="12286"/>
    <col width="3.42578125" customWidth="1" style="152" min="12287" max="12287"/>
    <col width="9.140625" customWidth="1" style="152" min="12288" max="12288"/>
    <col width="26.85546875" customWidth="1" style="152" min="12289" max="12290"/>
    <col width="16.85546875" customWidth="1" style="152" min="12291" max="12291"/>
    <col width="4.5703125" customWidth="1" style="152" min="12292" max="12293"/>
    <col width="20.5703125" customWidth="1" style="152" min="12294" max="12294"/>
    <col width="6.140625" customWidth="1" style="152" min="12295" max="12295"/>
    <col width="14.7109375" customWidth="1" style="152" min="12296" max="12297"/>
    <col width="13.85546875" customWidth="1" style="152" min="12298" max="12298"/>
    <col width="7.140625" customWidth="1" style="152" min="12299" max="12299"/>
    <col width="11.85546875" customWidth="1" style="152" min="12300" max="12300"/>
    <col width="6.28515625" customWidth="1" style="152" min="12301" max="12301"/>
    <col width="11.140625" customWidth="1" style="152" min="12302" max="12302"/>
    <col width="7.5703125" customWidth="1" style="152" min="12303" max="12303"/>
    <col width="8.5703125" customWidth="1" style="152" min="12304" max="12304"/>
    <col width="13.7109375" customWidth="1" style="152" min="12305" max="12305"/>
    <col width="13.42578125" customWidth="1" style="152" min="12306" max="12306"/>
    <col width="9.140625" customWidth="1" style="152" min="12307" max="12310"/>
    <col width="3.42578125" customWidth="1" style="152" min="12311" max="12320"/>
    <col width="3.42578125" customWidth="1" style="152" min="12321" max="12321"/>
    <col width="9.140625" customWidth="1" style="152" min="12322" max="12542"/>
    <col width="3.42578125" customWidth="1" style="152" min="12543" max="12543"/>
    <col width="9.140625" customWidth="1" style="152" min="12544" max="12544"/>
    <col width="26.85546875" customWidth="1" style="152" min="12545" max="12546"/>
    <col width="16.85546875" customWidth="1" style="152" min="12547" max="12547"/>
    <col width="4.5703125" customWidth="1" style="152" min="12548" max="12549"/>
    <col width="20.5703125" customWidth="1" style="152" min="12550" max="12550"/>
    <col width="6.140625" customWidth="1" style="152" min="12551" max="12551"/>
    <col width="14.7109375" customWidth="1" style="152" min="12552" max="12553"/>
    <col width="13.85546875" customWidth="1" style="152" min="12554" max="12554"/>
    <col width="7.140625" customWidth="1" style="152" min="12555" max="12555"/>
    <col width="11.85546875" customWidth="1" style="152" min="12556" max="12556"/>
    <col width="6.28515625" customWidth="1" style="152" min="12557" max="12557"/>
    <col width="11.140625" customWidth="1" style="152" min="12558" max="12558"/>
    <col width="7.5703125" customWidth="1" style="152" min="12559" max="12559"/>
    <col width="8.5703125" customWidth="1" style="152" min="12560" max="12560"/>
    <col width="13.7109375" customWidth="1" style="152" min="12561" max="12561"/>
    <col width="13.42578125" customWidth="1" style="152" min="12562" max="12562"/>
    <col width="9.140625" customWidth="1" style="152" min="12563" max="12566"/>
    <col width="3.42578125" customWidth="1" style="152" min="12567" max="12576"/>
    <col width="3.42578125" customWidth="1" style="152" min="12577" max="12577"/>
    <col width="9.140625" customWidth="1" style="152" min="12578" max="12798"/>
    <col width="3.42578125" customWidth="1" style="152" min="12799" max="12799"/>
    <col width="9.140625" customWidth="1" style="152" min="12800" max="12800"/>
    <col width="26.85546875" customWidth="1" style="152" min="12801" max="12802"/>
    <col width="16.85546875" customWidth="1" style="152" min="12803" max="12803"/>
    <col width="4.5703125" customWidth="1" style="152" min="12804" max="12805"/>
    <col width="20.5703125" customWidth="1" style="152" min="12806" max="12806"/>
    <col width="6.140625" customWidth="1" style="152" min="12807" max="12807"/>
    <col width="14.7109375" customWidth="1" style="152" min="12808" max="12809"/>
    <col width="13.85546875" customWidth="1" style="152" min="12810" max="12810"/>
    <col width="7.140625" customWidth="1" style="152" min="12811" max="12811"/>
    <col width="11.85546875" customWidth="1" style="152" min="12812" max="12812"/>
    <col width="6.28515625" customWidth="1" style="152" min="12813" max="12813"/>
    <col width="11.140625" customWidth="1" style="152" min="12814" max="12814"/>
    <col width="7.5703125" customWidth="1" style="152" min="12815" max="12815"/>
    <col width="8.5703125" customWidth="1" style="152" min="12816" max="12816"/>
    <col width="13.7109375" customWidth="1" style="152" min="12817" max="12817"/>
    <col width="13.42578125" customWidth="1" style="152" min="12818" max="12818"/>
    <col width="9.140625" customWidth="1" style="152" min="12819" max="12822"/>
    <col width="3.42578125" customWidth="1" style="152" min="12823" max="12832"/>
    <col width="3.42578125" customWidth="1" style="152" min="12833" max="12833"/>
    <col width="9.140625" customWidth="1" style="152" min="12834" max="13054"/>
    <col width="3.42578125" customWidth="1" style="152" min="13055" max="13055"/>
    <col width="9.140625" customWidth="1" style="152" min="13056" max="13056"/>
    <col width="26.85546875" customWidth="1" style="152" min="13057" max="13058"/>
    <col width="16.85546875" customWidth="1" style="152" min="13059" max="13059"/>
    <col width="4.5703125" customWidth="1" style="152" min="13060" max="13061"/>
    <col width="20.5703125" customWidth="1" style="152" min="13062" max="13062"/>
    <col width="6.140625" customWidth="1" style="152" min="13063" max="13063"/>
    <col width="14.7109375" customWidth="1" style="152" min="13064" max="13065"/>
    <col width="13.85546875" customWidth="1" style="152" min="13066" max="13066"/>
    <col width="7.140625" customWidth="1" style="152" min="13067" max="13067"/>
    <col width="11.85546875" customWidth="1" style="152" min="13068" max="13068"/>
    <col width="6.28515625" customWidth="1" style="152" min="13069" max="13069"/>
    <col width="11.140625" customWidth="1" style="152" min="13070" max="13070"/>
    <col width="7.5703125" customWidth="1" style="152" min="13071" max="13071"/>
    <col width="8.5703125" customWidth="1" style="152" min="13072" max="13072"/>
    <col width="13.7109375" customWidth="1" style="152" min="13073" max="13073"/>
    <col width="13.42578125" customWidth="1" style="152" min="13074" max="13074"/>
    <col width="9.140625" customWidth="1" style="152" min="13075" max="13078"/>
    <col width="3.42578125" customWidth="1" style="152" min="13079" max="13088"/>
    <col width="3.42578125" customWidth="1" style="152" min="13089" max="13089"/>
    <col width="9.140625" customWidth="1" style="152" min="13090" max="13310"/>
    <col width="3.42578125" customWidth="1" style="152" min="13311" max="13311"/>
    <col width="9.140625" customWidth="1" style="152" min="13312" max="13312"/>
    <col width="26.85546875" customWidth="1" style="152" min="13313" max="13314"/>
    <col width="16.85546875" customWidth="1" style="152" min="13315" max="13315"/>
    <col width="4.5703125" customWidth="1" style="152" min="13316" max="13317"/>
    <col width="20.5703125" customWidth="1" style="152" min="13318" max="13318"/>
    <col width="6.140625" customWidth="1" style="152" min="13319" max="13319"/>
    <col width="14.7109375" customWidth="1" style="152" min="13320" max="13321"/>
    <col width="13.85546875" customWidth="1" style="152" min="13322" max="13322"/>
    <col width="7.140625" customWidth="1" style="152" min="13323" max="13323"/>
    <col width="11.85546875" customWidth="1" style="152" min="13324" max="13324"/>
    <col width="6.28515625" customWidth="1" style="152" min="13325" max="13325"/>
    <col width="11.140625" customWidth="1" style="152" min="13326" max="13326"/>
    <col width="7.5703125" customWidth="1" style="152" min="13327" max="13327"/>
    <col width="8.5703125" customWidth="1" style="152" min="13328" max="13328"/>
    <col width="13.7109375" customWidth="1" style="152" min="13329" max="13329"/>
    <col width="13.42578125" customWidth="1" style="152" min="13330" max="13330"/>
    <col width="9.140625" customWidth="1" style="152" min="13331" max="13334"/>
    <col width="3.42578125" customWidth="1" style="152" min="13335" max="13344"/>
    <col width="3.42578125" customWidth="1" style="152" min="13345" max="13345"/>
    <col width="9.140625" customWidth="1" style="152" min="13346" max="13566"/>
    <col width="3.42578125" customWidth="1" style="152" min="13567" max="13567"/>
    <col width="9.140625" customWidth="1" style="152" min="13568" max="13568"/>
    <col width="26.85546875" customWidth="1" style="152" min="13569" max="13570"/>
    <col width="16.85546875" customWidth="1" style="152" min="13571" max="13571"/>
    <col width="4.5703125" customWidth="1" style="152" min="13572" max="13573"/>
    <col width="20.5703125" customWidth="1" style="152" min="13574" max="13574"/>
    <col width="6.140625" customWidth="1" style="152" min="13575" max="13575"/>
    <col width="14.7109375" customWidth="1" style="152" min="13576" max="13577"/>
    <col width="13.85546875" customWidth="1" style="152" min="13578" max="13578"/>
    <col width="7.140625" customWidth="1" style="152" min="13579" max="13579"/>
    <col width="11.85546875" customWidth="1" style="152" min="13580" max="13580"/>
    <col width="6.28515625" customWidth="1" style="152" min="13581" max="13581"/>
    <col width="11.140625" customWidth="1" style="152" min="13582" max="13582"/>
    <col width="7.5703125" customWidth="1" style="152" min="13583" max="13583"/>
    <col width="8.5703125" customWidth="1" style="152" min="13584" max="13584"/>
    <col width="13.7109375" customWidth="1" style="152" min="13585" max="13585"/>
    <col width="13.42578125" customWidth="1" style="152" min="13586" max="13586"/>
    <col width="9.140625" customWidth="1" style="152" min="13587" max="13590"/>
    <col width="3.42578125" customWidth="1" style="152" min="13591" max="13600"/>
    <col width="3.42578125" customWidth="1" style="152" min="13601" max="13601"/>
    <col width="9.140625" customWidth="1" style="152" min="13602" max="13822"/>
    <col width="3.42578125" customWidth="1" style="152" min="13823" max="13823"/>
    <col width="9.140625" customWidth="1" style="152" min="13824" max="13824"/>
    <col width="26.85546875" customWidth="1" style="152" min="13825" max="13826"/>
    <col width="16.85546875" customWidth="1" style="152" min="13827" max="13827"/>
    <col width="4.5703125" customWidth="1" style="152" min="13828" max="13829"/>
    <col width="20.5703125" customWidth="1" style="152" min="13830" max="13830"/>
    <col width="6.140625" customWidth="1" style="152" min="13831" max="13831"/>
    <col width="14.7109375" customWidth="1" style="152" min="13832" max="13833"/>
    <col width="13.85546875" customWidth="1" style="152" min="13834" max="13834"/>
    <col width="7.140625" customWidth="1" style="152" min="13835" max="13835"/>
    <col width="11.85546875" customWidth="1" style="152" min="13836" max="13836"/>
    <col width="6.28515625" customWidth="1" style="152" min="13837" max="13837"/>
    <col width="11.140625" customWidth="1" style="152" min="13838" max="13838"/>
    <col width="7.5703125" customWidth="1" style="152" min="13839" max="13839"/>
    <col width="8.5703125" customWidth="1" style="152" min="13840" max="13840"/>
    <col width="13.7109375" customWidth="1" style="152" min="13841" max="13841"/>
    <col width="13.42578125" customWidth="1" style="152" min="13842" max="13842"/>
    <col width="9.140625" customWidth="1" style="152" min="13843" max="13846"/>
    <col width="3.42578125" customWidth="1" style="152" min="13847" max="13856"/>
    <col width="3.42578125" customWidth="1" style="152" min="13857" max="13857"/>
    <col width="9.140625" customWidth="1" style="152" min="13858" max="14078"/>
    <col width="3.42578125" customWidth="1" style="152" min="14079" max="14079"/>
    <col width="9.140625" customWidth="1" style="152" min="14080" max="14080"/>
    <col width="26.85546875" customWidth="1" style="152" min="14081" max="14082"/>
    <col width="16.85546875" customWidth="1" style="152" min="14083" max="14083"/>
    <col width="4.5703125" customWidth="1" style="152" min="14084" max="14085"/>
    <col width="20.5703125" customWidth="1" style="152" min="14086" max="14086"/>
    <col width="6.140625" customWidth="1" style="152" min="14087" max="14087"/>
    <col width="14.7109375" customWidth="1" style="152" min="14088" max="14089"/>
    <col width="13.85546875" customWidth="1" style="152" min="14090" max="14090"/>
    <col width="7.140625" customWidth="1" style="152" min="14091" max="14091"/>
    <col width="11.85546875" customWidth="1" style="152" min="14092" max="14092"/>
    <col width="6.28515625" customWidth="1" style="152" min="14093" max="14093"/>
    <col width="11.140625" customWidth="1" style="152" min="14094" max="14094"/>
    <col width="7.5703125" customWidth="1" style="152" min="14095" max="14095"/>
    <col width="8.5703125" customWidth="1" style="152" min="14096" max="14096"/>
    <col width="13.7109375" customWidth="1" style="152" min="14097" max="14097"/>
    <col width="13.42578125" customWidth="1" style="152" min="14098" max="14098"/>
    <col width="9.140625" customWidth="1" style="152" min="14099" max="14102"/>
    <col width="3.42578125" customWidth="1" style="152" min="14103" max="14112"/>
    <col width="3.42578125" customWidth="1" style="152" min="14113" max="14113"/>
    <col width="9.140625" customWidth="1" style="152" min="14114" max="14334"/>
    <col width="3.42578125" customWidth="1" style="152" min="14335" max="14335"/>
    <col width="9.140625" customWidth="1" style="152" min="14336" max="14336"/>
    <col width="26.85546875" customWidth="1" style="152" min="14337" max="14338"/>
    <col width="16.85546875" customWidth="1" style="152" min="14339" max="14339"/>
    <col width="4.5703125" customWidth="1" style="152" min="14340" max="14341"/>
    <col width="20.5703125" customWidth="1" style="152" min="14342" max="14342"/>
    <col width="6.140625" customWidth="1" style="152" min="14343" max="14343"/>
    <col width="14.7109375" customWidth="1" style="152" min="14344" max="14345"/>
    <col width="13.85546875" customWidth="1" style="152" min="14346" max="14346"/>
    <col width="7.140625" customWidth="1" style="152" min="14347" max="14347"/>
    <col width="11.85546875" customWidth="1" style="152" min="14348" max="14348"/>
    <col width="6.28515625" customWidth="1" style="152" min="14349" max="14349"/>
    <col width="11.140625" customWidth="1" style="152" min="14350" max="14350"/>
    <col width="7.5703125" customWidth="1" style="152" min="14351" max="14351"/>
    <col width="8.5703125" customWidth="1" style="152" min="14352" max="14352"/>
    <col width="13.7109375" customWidth="1" style="152" min="14353" max="14353"/>
    <col width="13.42578125" customWidth="1" style="152" min="14354" max="14354"/>
    <col width="9.140625" customWidth="1" style="152" min="14355" max="14358"/>
    <col width="3.42578125" customWidth="1" style="152" min="14359" max="14368"/>
    <col width="3.42578125" customWidth="1" style="152" min="14369" max="14369"/>
    <col width="9.140625" customWidth="1" style="152" min="14370" max="14590"/>
    <col width="3.42578125" customWidth="1" style="152" min="14591" max="14591"/>
    <col width="9.140625" customWidth="1" style="152" min="14592" max="14592"/>
    <col width="26.85546875" customWidth="1" style="152" min="14593" max="14594"/>
    <col width="16.85546875" customWidth="1" style="152" min="14595" max="14595"/>
    <col width="4.5703125" customWidth="1" style="152" min="14596" max="14597"/>
    <col width="20.5703125" customWidth="1" style="152" min="14598" max="14598"/>
    <col width="6.140625" customWidth="1" style="152" min="14599" max="14599"/>
    <col width="14.7109375" customWidth="1" style="152" min="14600" max="14601"/>
    <col width="13.85546875" customWidth="1" style="152" min="14602" max="14602"/>
    <col width="7.140625" customWidth="1" style="152" min="14603" max="14603"/>
    <col width="11.85546875" customWidth="1" style="152" min="14604" max="14604"/>
    <col width="6.28515625" customWidth="1" style="152" min="14605" max="14605"/>
    <col width="11.140625" customWidth="1" style="152" min="14606" max="14606"/>
    <col width="7.5703125" customWidth="1" style="152" min="14607" max="14607"/>
    <col width="8.5703125" customWidth="1" style="152" min="14608" max="14608"/>
    <col width="13.7109375" customWidth="1" style="152" min="14609" max="14609"/>
    <col width="13.42578125" customWidth="1" style="152" min="14610" max="14610"/>
    <col width="9.140625" customWidth="1" style="152" min="14611" max="14614"/>
    <col width="3.42578125" customWidth="1" style="152" min="14615" max="14624"/>
    <col width="3.42578125" customWidth="1" style="152" min="14625" max="14625"/>
    <col width="9.140625" customWidth="1" style="152" min="14626" max="14846"/>
    <col width="3.42578125" customWidth="1" style="152" min="14847" max="14847"/>
    <col width="9.140625" customWidth="1" style="152" min="14848" max="14848"/>
    <col width="26.85546875" customWidth="1" style="152" min="14849" max="14850"/>
    <col width="16.85546875" customWidth="1" style="152" min="14851" max="14851"/>
    <col width="4.5703125" customWidth="1" style="152" min="14852" max="14853"/>
    <col width="20.5703125" customWidth="1" style="152" min="14854" max="14854"/>
    <col width="6.140625" customWidth="1" style="152" min="14855" max="14855"/>
    <col width="14.7109375" customWidth="1" style="152" min="14856" max="14857"/>
    <col width="13.85546875" customWidth="1" style="152" min="14858" max="14858"/>
    <col width="7.140625" customWidth="1" style="152" min="14859" max="14859"/>
    <col width="11.85546875" customWidth="1" style="152" min="14860" max="14860"/>
    <col width="6.28515625" customWidth="1" style="152" min="14861" max="14861"/>
    <col width="11.140625" customWidth="1" style="152" min="14862" max="14862"/>
    <col width="7.5703125" customWidth="1" style="152" min="14863" max="14863"/>
    <col width="8.5703125" customWidth="1" style="152" min="14864" max="14864"/>
    <col width="13.7109375" customWidth="1" style="152" min="14865" max="14865"/>
    <col width="13.42578125" customWidth="1" style="152" min="14866" max="14866"/>
    <col width="9.140625" customWidth="1" style="152" min="14867" max="14870"/>
    <col width="3.42578125" customWidth="1" style="152" min="14871" max="14880"/>
    <col width="3.42578125" customWidth="1" style="152" min="14881" max="14881"/>
    <col width="9.140625" customWidth="1" style="152" min="14882" max="15102"/>
    <col width="3.42578125" customWidth="1" style="152" min="15103" max="15103"/>
    <col width="9.140625" customWidth="1" style="152" min="15104" max="15104"/>
    <col width="26.85546875" customWidth="1" style="152" min="15105" max="15106"/>
    <col width="16.85546875" customWidth="1" style="152" min="15107" max="15107"/>
    <col width="4.5703125" customWidth="1" style="152" min="15108" max="15109"/>
    <col width="20.5703125" customWidth="1" style="152" min="15110" max="15110"/>
    <col width="6.140625" customWidth="1" style="152" min="15111" max="15111"/>
    <col width="14.7109375" customWidth="1" style="152" min="15112" max="15113"/>
    <col width="13.85546875" customWidth="1" style="152" min="15114" max="15114"/>
    <col width="7.140625" customWidth="1" style="152" min="15115" max="15115"/>
    <col width="11.85546875" customWidth="1" style="152" min="15116" max="15116"/>
    <col width="6.28515625" customWidth="1" style="152" min="15117" max="15117"/>
    <col width="11.140625" customWidth="1" style="152" min="15118" max="15118"/>
    <col width="7.5703125" customWidth="1" style="152" min="15119" max="15119"/>
    <col width="8.5703125" customWidth="1" style="152" min="15120" max="15120"/>
    <col width="13.7109375" customWidth="1" style="152" min="15121" max="15121"/>
    <col width="13.42578125" customWidth="1" style="152" min="15122" max="15122"/>
    <col width="9.140625" customWidth="1" style="152" min="15123" max="15126"/>
    <col width="3.42578125" customWidth="1" style="152" min="15127" max="15136"/>
    <col width="3.42578125" customWidth="1" style="152" min="15137" max="15137"/>
    <col width="9.140625" customWidth="1" style="152" min="15138" max="15358"/>
    <col width="3.42578125" customWidth="1" style="152" min="15359" max="15359"/>
    <col width="9.140625" customWidth="1" style="152" min="15360" max="15360"/>
    <col width="26.85546875" customWidth="1" style="152" min="15361" max="15362"/>
    <col width="16.85546875" customWidth="1" style="152" min="15363" max="15363"/>
    <col width="4.5703125" customWidth="1" style="152" min="15364" max="15365"/>
    <col width="20.5703125" customWidth="1" style="152" min="15366" max="15366"/>
    <col width="6.140625" customWidth="1" style="152" min="15367" max="15367"/>
    <col width="14.7109375" customWidth="1" style="152" min="15368" max="15369"/>
    <col width="13.85546875" customWidth="1" style="152" min="15370" max="15370"/>
    <col width="7.140625" customWidth="1" style="152" min="15371" max="15371"/>
    <col width="11.85546875" customWidth="1" style="152" min="15372" max="15372"/>
    <col width="6.28515625" customWidth="1" style="152" min="15373" max="15373"/>
    <col width="11.140625" customWidth="1" style="152" min="15374" max="15374"/>
    <col width="7.5703125" customWidth="1" style="152" min="15375" max="15375"/>
    <col width="8.5703125" customWidth="1" style="152" min="15376" max="15376"/>
    <col width="13.7109375" customWidth="1" style="152" min="15377" max="15377"/>
    <col width="13.42578125" customWidth="1" style="152" min="15378" max="15378"/>
    <col width="9.140625" customWidth="1" style="152" min="15379" max="15382"/>
    <col width="3.42578125" customWidth="1" style="152" min="15383" max="15392"/>
    <col width="3.42578125" customWidth="1" style="152" min="15393" max="15393"/>
    <col width="9.140625" customWidth="1" style="152" min="15394" max="15614"/>
    <col width="3.42578125" customWidth="1" style="152" min="15615" max="15615"/>
    <col width="9.140625" customWidth="1" style="152" min="15616" max="15616"/>
    <col width="26.85546875" customWidth="1" style="152" min="15617" max="15618"/>
    <col width="16.85546875" customWidth="1" style="152" min="15619" max="15619"/>
    <col width="4.5703125" customWidth="1" style="152" min="15620" max="15621"/>
    <col width="20.5703125" customWidth="1" style="152" min="15622" max="15622"/>
    <col width="6.140625" customWidth="1" style="152" min="15623" max="15623"/>
    <col width="14.7109375" customWidth="1" style="152" min="15624" max="15625"/>
    <col width="13.85546875" customWidth="1" style="152" min="15626" max="15626"/>
    <col width="7.140625" customWidth="1" style="152" min="15627" max="15627"/>
    <col width="11.85546875" customWidth="1" style="152" min="15628" max="15628"/>
    <col width="6.28515625" customWidth="1" style="152" min="15629" max="15629"/>
    <col width="11.140625" customWidth="1" style="152" min="15630" max="15630"/>
    <col width="7.5703125" customWidth="1" style="152" min="15631" max="15631"/>
    <col width="8.5703125" customWidth="1" style="152" min="15632" max="15632"/>
    <col width="13.7109375" customWidth="1" style="152" min="15633" max="15633"/>
    <col width="13.42578125" customWidth="1" style="152" min="15634" max="15634"/>
    <col width="9.140625" customWidth="1" style="152" min="15635" max="15638"/>
    <col width="3.42578125" customWidth="1" style="152" min="15639" max="15648"/>
    <col width="3.42578125" customWidth="1" style="152" min="15649" max="15649"/>
    <col width="9.140625" customWidth="1" style="152" min="15650" max="15870"/>
    <col width="3.42578125" customWidth="1" style="152" min="15871" max="15871"/>
    <col width="9.140625" customWidth="1" style="152" min="15872" max="15872"/>
    <col width="26.85546875" customWidth="1" style="152" min="15873" max="15874"/>
    <col width="16.85546875" customWidth="1" style="152" min="15875" max="15875"/>
    <col width="4.5703125" customWidth="1" style="152" min="15876" max="15877"/>
    <col width="20.5703125" customWidth="1" style="152" min="15878" max="15878"/>
    <col width="6.140625" customWidth="1" style="152" min="15879" max="15879"/>
    <col width="14.7109375" customWidth="1" style="152" min="15880" max="15881"/>
    <col width="13.85546875" customWidth="1" style="152" min="15882" max="15882"/>
    <col width="7.140625" customWidth="1" style="152" min="15883" max="15883"/>
    <col width="11.85546875" customWidth="1" style="152" min="15884" max="15884"/>
    <col width="6.28515625" customWidth="1" style="152" min="15885" max="15885"/>
    <col width="11.140625" customWidth="1" style="152" min="15886" max="15886"/>
    <col width="7.5703125" customWidth="1" style="152" min="15887" max="15887"/>
    <col width="8.5703125" customWidth="1" style="152" min="15888" max="15888"/>
    <col width="13.7109375" customWidth="1" style="152" min="15889" max="15889"/>
    <col width="13.42578125" customWidth="1" style="152" min="15890" max="15890"/>
    <col width="9.140625" customWidth="1" style="152" min="15891" max="15894"/>
    <col width="3.42578125" customWidth="1" style="152" min="15895" max="15904"/>
    <col width="3.42578125" customWidth="1" style="152" min="15905" max="15905"/>
    <col width="9.140625" customWidth="1" style="152" min="15906" max="16126"/>
    <col width="3.42578125" customWidth="1" style="152" min="16127" max="16127"/>
    <col width="9.140625" customWidth="1" style="152" min="16128" max="16128"/>
    <col width="26.85546875" customWidth="1" style="152" min="16129" max="16130"/>
    <col width="16.85546875" customWidth="1" style="152" min="16131" max="16131"/>
    <col width="4.5703125" customWidth="1" style="152" min="16132" max="16133"/>
    <col width="20.5703125" customWidth="1" style="152" min="16134" max="16134"/>
    <col width="6.140625" customWidth="1" style="152" min="16135" max="16135"/>
    <col width="14.7109375" customWidth="1" style="152" min="16136" max="16137"/>
    <col width="13.85546875" customWidth="1" style="152" min="16138" max="16138"/>
    <col width="7.140625" customWidth="1" style="152" min="16139" max="16139"/>
    <col width="11.85546875" customWidth="1" style="152" min="16140" max="16140"/>
    <col width="6.28515625" customWidth="1" style="152" min="16141" max="16141"/>
    <col width="11.140625" customWidth="1" style="152" min="16142" max="16142"/>
    <col width="7.5703125" customWidth="1" style="152" min="16143" max="16143"/>
    <col width="8.5703125" customWidth="1" style="152" min="16144" max="16144"/>
    <col width="13.7109375" customWidth="1" style="152" min="16145" max="16145"/>
    <col width="13.42578125" customWidth="1" style="152" min="16146" max="16146"/>
    <col width="9.140625" customWidth="1" style="152" min="16147" max="16150"/>
    <col width="3.42578125" customWidth="1" style="152" min="16151" max="16160"/>
    <col width="3.42578125" customWidth="1" style="152" min="16161" max="16161"/>
    <col width="9.140625" customWidth="1" style="152" min="16162" max="16384"/>
  </cols>
  <sheetData>
    <row r="1" ht="16.5" customHeight="1">
      <c r="A1" s="201" t="inlineStr">
        <is>
          <t>BV TRƯỜNG ĐHYD CẦN THƠ</t>
        </is>
      </c>
      <c r="F1" s="148" t="n"/>
      <c r="G1" s="148" t="n"/>
      <c r="H1" s="149" t="n"/>
      <c r="I1" s="150" t="n"/>
      <c r="J1" s="150" t="n"/>
      <c r="K1" s="151" t="n"/>
      <c r="L1" s="150" t="n"/>
      <c r="M1" s="147" t="n"/>
      <c r="N1" s="150" t="n"/>
      <c r="O1" s="147" t="n"/>
      <c r="P1" s="150" t="n"/>
      <c r="Q1" s="150" t="n"/>
      <c r="R1" s="150" t="n"/>
      <c r="S1" s="150" t="n"/>
      <c r="T1" s="150" t="n"/>
      <c r="U1" s="150" t="n"/>
      <c r="V1" s="150" t="n"/>
    </row>
    <row r="2" ht="16.5" customHeight="1">
      <c r="A2" s="202" t="inlineStr">
        <is>
          <t>KHOA NGOẠI CTCH - TK</t>
        </is>
      </c>
      <c r="F2" s="147" t="n"/>
      <c r="G2" s="147" t="n"/>
      <c r="H2" s="153" t="n"/>
      <c r="I2" s="150" t="n"/>
      <c r="J2" s="150" t="n"/>
      <c r="K2" s="151" t="n"/>
      <c r="L2" s="154" t="n"/>
      <c r="M2" s="147" t="n"/>
      <c r="N2" s="150" t="n"/>
      <c r="O2" s="147" t="n"/>
      <c r="P2" s="150" t="n"/>
      <c r="Q2" s="150" t="n"/>
      <c r="R2" s="150" t="n"/>
      <c r="S2" s="150" t="n"/>
      <c r="T2" s="150" t="n"/>
      <c r="U2" s="150" t="n"/>
      <c r="V2" s="150" t="n"/>
    </row>
    <row r="3" ht="22.5" customHeight="1">
      <c r="A3" s="203" t="inlineStr">
        <is>
          <t>BẢNG KÊ TIỀN PHẪU THUẬT</t>
        </is>
      </c>
      <c r="S3" s="150" t="n"/>
      <c r="T3" s="105" t="n"/>
      <c r="U3" s="156" t="n"/>
      <c r="V3" s="150" t="n"/>
    </row>
    <row r="4" ht="20.25" customHeight="1">
      <c r="A4" s="204" t="inlineStr">
        <is>
          <t>THÁNG 8/2026</t>
        </is>
      </c>
      <c r="S4" s="150" t="n"/>
      <c r="T4" s="104" t="n"/>
      <c r="U4" s="156" t="n"/>
      <c r="V4" s="150" t="n"/>
    </row>
    <row r="5" ht="20.25" customHeight="1">
      <c r="A5" s="204" t="n"/>
      <c r="B5" s="204" t="n"/>
      <c r="C5" s="158" t="n"/>
      <c r="D5" s="204" t="n"/>
      <c r="E5" s="204" t="n"/>
      <c r="F5" s="204" t="n"/>
      <c r="G5" s="158" t="n"/>
      <c r="H5" s="204" t="n"/>
      <c r="I5" s="159" t="n"/>
      <c r="J5" s="204" t="n"/>
      <c r="K5" s="160" t="n"/>
      <c r="L5" s="161" t="n"/>
      <c r="M5" s="159" t="n"/>
      <c r="N5" s="204" t="n"/>
      <c r="O5" s="159" t="n"/>
      <c r="P5" s="204" t="n"/>
      <c r="Q5" s="204" t="n"/>
      <c r="R5" s="161" t="n"/>
      <c r="S5" s="150" t="n"/>
      <c r="T5" s="105" t="n"/>
      <c r="U5" s="150" t="n"/>
      <c r="V5" s="150" t="n"/>
    </row>
    <row r="6" customFormat="1" s="164">
      <c r="A6" s="162" t="inlineStr">
        <is>
          <t>STT</t>
        </is>
      </c>
      <c r="B6" s="162" t="inlineStr">
        <is>
          <t>NGÀY</t>
        </is>
      </c>
      <c r="C6" s="162" t="inlineStr">
        <is>
          <t>Họ và tên bệnh nhân</t>
        </is>
      </c>
      <c r="D6" s="162" t="inlineStr">
        <is>
          <t>Tuổi</t>
        </is>
      </c>
      <c r="E6" s="162" t="n"/>
      <c r="F6" s="162" t="inlineStr">
        <is>
          <t>Chẩn đoán và phương pháp phẫu thuật</t>
        </is>
      </c>
      <c r="G6" s="162" t="inlineStr">
        <is>
          <t>Loại phẫu thuật</t>
        </is>
      </c>
      <c r="H6" s="226" t="inlineStr">
        <is>
          <t>Số tiền thực tính thù lao cho khoa</t>
        </is>
      </c>
      <c r="I6" s="162" t="inlineStr">
        <is>
          <t>PTV chính</t>
        </is>
      </c>
      <c r="J6" s="138" t="inlineStr">
        <is>
          <t>Số tiền</t>
        </is>
      </c>
      <c r="K6" s="162" t="inlineStr">
        <is>
          <t>Phụ mổ 1</t>
        </is>
      </c>
      <c r="L6" s="138" t="inlineStr">
        <is>
          <t>Số tiền</t>
        </is>
      </c>
      <c r="M6" s="162" t="inlineStr">
        <is>
          <t>Phụ mổ 2</t>
        </is>
      </c>
      <c r="N6" s="138" t="inlineStr">
        <is>
          <t>Số tiền</t>
        </is>
      </c>
      <c r="O6" s="138" t="inlineStr">
        <is>
          <t>Phụ mổ 3</t>
        </is>
      </c>
      <c r="P6" s="138" t="inlineStr">
        <is>
          <t>Số tiền</t>
        </is>
      </c>
      <c r="Q6" s="138" t="inlineStr">
        <is>
          <t>ĐD + HL</t>
        </is>
      </c>
      <c r="R6" s="227" t="inlineStr">
        <is>
          <t>Thực lãnh</t>
        </is>
      </c>
      <c r="S6" s="163" t="n"/>
      <c r="T6" s="163" t="n"/>
      <c r="U6" s="163" t="n"/>
      <c r="V6" s="163" t="n"/>
    </row>
    <row r="7" ht="15" customFormat="1" customHeight="1" s="170">
      <c r="A7" s="144" t="n">
        <v>1</v>
      </c>
      <c r="B7" s="251" t="n">
        <v>46220</v>
      </c>
      <c r="C7" s="155" t="inlineStr">
        <is>
          <t>Nguyễn Thị Năm</t>
        </is>
      </c>
      <c r="D7" s="166" t="n"/>
      <c r="E7" s="167" t="n">
        <v>87</v>
      </c>
      <c r="F7" s="168" t="inlineStr">
        <is>
          <t>Cắt lọc hoại tử ổ loét vết thương mạn tính</t>
        </is>
      </c>
      <c r="G7" s="166" t="inlineStr">
        <is>
          <t>Loại 2</t>
        </is>
      </c>
      <c r="H7" s="156" t="n">
        <v>2127400</v>
      </c>
      <c r="I7" s="145" t="n"/>
      <c r="J7" s="146">
        <f>R7-L7-N7-P7-Q7</f>
        <v/>
      </c>
      <c r="K7" s="146" t="n"/>
      <c r="L7" s="146">
        <f>IF(K7="-",0,H7*0.03)</f>
        <v/>
      </c>
      <c r="M7" s="146" t="n"/>
      <c r="N7" s="146">
        <f>IF(M7="-",0,H7*0.02)</f>
        <v/>
      </c>
      <c r="O7" s="146" t="n"/>
      <c r="P7" s="146">
        <f>IF(O7="-",0,H7*0.01)</f>
        <v/>
      </c>
      <c r="Q7" s="146">
        <f>H7*0.005</f>
        <v/>
      </c>
      <c r="R7" s="146">
        <f>IF(I7="V.Tân",H7*0.1375,IF(I7="nguyện",H7*0.1375,IF(I7="TOẢN",H7*0.1375,H7*0.17)))</f>
        <v/>
      </c>
      <c r="S7" s="169" t="n"/>
      <c r="T7" s="169" t="n"/>
      <c r="U7" s="169" t="n"/>
      <c r="V7" s="169" t="n"/>
    </row>
    <row r="8" ht="15" customFormat="1" customHeight="1" s="170">
      <c r="A8" s="144" t="n">
        <v>2</v>
      </c>
      <c r="B8" s="251" t="n">
        <v>46224</v>
      </c>
      <c r="C8" s="155" t="inlineStr">
        <is>
          <t>Lâm Thị Thúy</t>
        </is>
      </c>
      <c r="D8" s="166" t="n"/>
      <c r="E8" s="167" t="n">
        <v>54</v>
      </c>
      <c r="F8" s="168" t="inlineStr">
        <is>
          <t>Cố định cột sống và hàn khớp qua liên thân đốt CS thắt lưng - cùng đường sau</t>
        </is>
      </c>
      <c r="G8" s="166" t="inlineStr">
        <is>
          <t>Đặc biệt</t>
        </is>
      </c>
      <c r="H8" s="156" t="n">
        <v>4201900</v>
      </c>
      <c r="I8" s="145" t="inlineStr">
        <is>
          <t>HOAN</t>
        </is>
      </c>
      <c r="J8" s="146">
        <f>R8-L8-N8-P8-Q8</f>
        <v/>
      </c>
      <c r="K8" s="146" t="inlineStr">
        <is>
          <t>DUY</t>
        </is>
      </c>
      <c r="L8" s="146">
        <f>IF(K8="-",0,H8*0.03)</f>
        <v/>
      </c>
      <c r="M8" s="146" t="inlineStr">
        <is>
          <t>G.TỬ</t>
        </is>
      </c>
      <c r="N8" s="146">
        <f>IF(M8="-",0,H8*0.02)</f>
        <v/>
      </c>
      <c r="O8" s="146" t="n"/>
      <c r="P8" s="146">
        <f>IF(O8="-",0,H8*0.01)</f>
        <v/>
      </c>
      <c r="Q8" s="146">
        <f>H8*0.005</f>
        <v/>
      </c>
      <c r="R8" s="146">
        <f>IF(I8="V.Tân",H8*0.1375,IF(I8="nguyện",H8*0.1375,IF(I8="TOẢN",H8*0.1375,H8*0.17)))</f>
        <v/>
      </c>
      <c r="S8" s="169" t="n"/>
      <c r="T8" s="169" t="n"/>
      <c r="U8" s="169" t="n"/>
      <c r="V8" s="169" t="n"/>
    </row>
    <row r="9" ht="15" customFormat="1" customHeight="1" s="170">
      <c r="A9" s="144" t="n">
        <v>3</v>
      </c>
      <c r="B9" s="251" t="n">
        <v>46224</v>
      </c>
      <c r="C9" s="155" t="inlineStr">
        <is>
          <t>Lê Trường Giang</t>
        </is>
      </c>
      <c r="D9" s="166" t="n">
        <v>46</v>
      </c>
      <c r="E9" s="167" t="n"/>
      <c r="F9" s="168" t="inlineStr">
        <is>
          <t>PT thay toàn bộ khớp háng</t>
        </is>
      </c>
      <c r="G9" s="166" t="inlineStr">
        <is>
          <t>Đặc biệt</t>
        </is>
      </c>
      <c r="H9" s="156" t="n">
        <v>0</v>
      </c>
      <c r="I9" s="145" t="inlineStr">
        <is>
          <t>HOAN</t>
        </is>
      </c>
      <c r="J9" s="146">
        <f>R9-L9-N9-P9-Q9</f>
        <v/>
      </c>
      <c r="K9" s="146" t="inlineStr">
        <is>
          <t>V.TÂN</t>
        </is>
      </c>
      <c r="L9" s="146">
        <f>IF(K9="-",0,H9*0.03)</f>
        <v/>
      </c>
      <c r="M9" s="146" t="n"/>
      <c r="N9" s="146">
        <f>IF(M9="-",0,H9*0.02)</f>
        <v/>
      </c>
      <c r="O9" s="146" t="n"/>
      <c r="P9" s="146">
        <f>IF(O9="-",0,H9*0.01)</f>
        <v/>
      </c>
      <c r="Q9" s="146">
        <f>H9*0.005</f>
        <v/>
      </c>
      <c r="R9" s="146">
        <f>IF(I9="V.Tân",H9*0.1375,IF(I9="nguyện",H9*0.1375,IF(I9="TOẢN",H9*0.1375,H9*0.17)))</f>
        <v/>
      </c>
      <c r="S9" s="171" t="n"/>
      <c r="T9" s="169" t="n"/>
      <c r="U9" s="169" t="n"/>
      <c r="V9" s="169" t="n"/>
    </row>
    <row r="10" ht="15" customFormat="1" customHeight="1" s="170">
      <c r="A10" s="144" t="n">
        <v>4</v>
      </c>
      <c r="B10" s="251" t="n">
        <v>46226</v>
      </c>
      <c r="C10" s="155" t="inlineStr">
        <is>
          <t>Nguyễn Thị Năm</t>
        </is>
      </c>
      <c r="D10" s="166" t="n"/>
      <c r="E10" s="167" t="n">
        <v>87</v>
      </c>
      <c r="F10" s="168" t="inlineStr">
        <is>
          <t>Cắt lọc hoại tử ổ loét vết thương mạn tính</t>
        </is>
      </c>
      <c r="G10" s="166" t="inlineStr">
        <is>
          <t>Loại 2</t>
        </is>
      </c>
      <c r="H10" s="156" t="n">
        <v>2127400</v>
      </c>
      <c r="I10" s="145" t="inlineStr">
        <is>
          <t>G.TỬ</t>
        </is>
      </c>
      <c r="J10" s="146">
        <f>R10-L10-N10-P10-Q10</f>
        <v/>
      </c>
      <c r="K10" s="146" t="n"/>
      <c r="L10" s="146">
        <f>IF(K10="-",0,H10*0.03)</f>
        <v/>
      </c>
      <c r="M10" s="146" t="n"/>
      <c r="N10" s="146">
        <f>IF(M10="-",0,H10*0.02)</f>
        <v/>
      </c>
      <c r="O10" s="146" t="n"/>
      <c r="P10" s="146">
        <f>IF(O10="-",0,H10*0.01)</f>
        <v/>
      </c>
      <c r="Q10" s="146">
        <f>H10*0.005</f>
        <v/>
      </c>
      <c r="R10" s="146">
        <f>IF(I10="V.Tân",H10*0.1375,IF(I10="nguyện",H10*0.1375,IF(I10="TOẢN",H10*0.1375,H10*0.17)))</f>
        <v/>
      </c>
      <c r="S10" s="169" t="n"/>
      <c r="T10" s="169" t="n"/>
      <c r="U10" s="169" t="n"/>
      <c r="V10" s="169" t="n"/>
    </row>
    <row r="11" ht="15" customFormat="1" customHeight="1" s="170">
      <c r="A11" s="144" t="n">
        <v>5</v>
      </c>
      <c r="B11" s="251" t="n">
        <v>46230</v>
      </c>
      <c r="C11" s="155" t="inlineStr">
        <is>
          <t>Phạm Thị Ngọc Ánh</t>
        </is>
      </c>
      <c r="D11" s="166" t="n"/>
      <c r="E11" s="167" t="n">
        <v>69</v>
      </c>
      <c r="F11" s="168" t="inlineStr">
        <is>
          <t>PT thay toàn bộ khớp háng</t>
        </is>
      </c>
      <c r="G11" s="166" t="inlineStr">
        <is>
          <t>Đặc biệt</t>
        </is>
      </c>
      <c r="H11" s="156" t="n">
        <v>3525500</v>
      </c>
      <c r="I11" s="145" t="inlineStr">
        <is>
          <t>SƠN</t>
        </is>
      </c>
      <c r="J11" s="146">
        <f>R11-L11-N11-P11-Q11</f>
        <v/>
      </c>
      <c r="K11" s="146" t="inlineStr">
        <is>
          <t>TOẢN</t>
        </is>
      </c>
      <c r="L11" s="146">
        <f>IF(K11="-",0,H11*0.03)</f>
        <v/>
      </c>
      <c r="M11" s="146" t="inlineStr">
        <is>
          <t>G.TỬ</t>
        </is>
      </c>
      <c r="N11" s="146">
        <f>IF(M11="-",0,H11*0.02)</f>
        <v/>
      </c>
      <c r="O11" s="146" t="n"/>
      <c r="P11" s="146">
        <f>IF(O11="-",0,H11*0.01)</f>
        <v/>
      </c>
      <c r="Q11" s="146">
        <f>H11*0.005</f>
        <v/>
      </c>
      <c r="R11" s="146">
        <f>IF(I11="V.Tân",H11*0.1375,IF(I11="nguyện",H11*0.1375,IF(I11="TOẢN",H11*0.1375,H11*0.17)))</f>
        <v/>
      </c>
      <c r="S11" s="169" t="n"/>
      <c r="T11" s="169" t="n"/>
      <c r="U11" s="169" t="n"/>
      <c r="V11" s="169" t="n"/>
    </row>
    <row r="12" ht="15" customFormat="1" customHeight="1" s="170">
      <c r="A12" s="144" t="n">
        <v>6</v>
      </c>
      <c r="B12" s="251" t="n">
        <v>46231</v>
      </c>
      <c r="C12" s="155" t="inlineStr">
        <is>
          <t>Nguyễn Văn Cư</t>
        </is>
      </c>
      <c r="D12" s="166" t="n">
        <v>75</v>
      </c>
      <c r="E12" s="167" t="n"/>
      <c r="F12" s="168" t="inlineStr">
        <is>
          <t>PT thay toàn bộ khớp háng</t>
        </is>
      </c>
      <c r="G12" s="166" t="inlineStr">
        <is>
          <t>Đặc biệt</t>
        </is>
      </c>
      <c r="H12" s="156" t="n">
        <v>0</v>
      </c>
      <c r="I12" s="145" t="inlineStr">
        <is>
          <t>SƠN</t>
        </is>
      </c>
      <c r="J12" s="146">
        <f>R12-L12-N12-P12-Q12</f>
        <v/>
      </c>
      <c r="K12" s="146" t="inlineStr">
        <is>
          <t>BẢO</t>
        </is>
      </c>
      <c r="L12" s="146">
        <f>IF(K12="-",0,H12*0.03)</f>
        <v/>
      </c>
      <c r="M12" s="146" t="inlineStr">
        <is>
          <t>G.TỬ</t>
        </is>
      </c>
      <c r="N12" s="146">
        <f>IF(M12="-",0,H12*0.02)</f>
        <v/>
      </c>
      <c r="O12" s="146" t="n"/>
      <c r="P12" s="146">
        <f>IF(O12="-",0,H12*0.01)</f>
        <v/>
      </c>
      <c r="Q12" s="146">
        <f>H12*0.005</f>
        <v/>
      </c>
      <c r="R12" s="146">
        <f>IF(I12="V.Tân",H12*0.1375,IF(I12="nguyện",H12*0.1375,IF(I12="TOẢN",H12*0.1375,H12*0.17)))</f>
        <v/>
      </c>
      <c r="S12" s="169" t="n"/>
      <c r="T12" s="169" t="n"/>
      <c r="U12" s="169" t="n"/>
      <c r="V12" s="169" t="n"/>
    </row>
    <row r="13" ht="15" customFormat="1" customHeight="1" s="170">
      <c r="A13" s="144" t="n">
        <v>7</v>
      </c>
      <c r="B13" s="251" t="n">
        <v>46232</v>
      </c>
      <c r="C13" s="155" t="inlineStr">
        <is>
          <t>Nguyễn Nhật Vân</t>
        </is>
      </c>
      <c r="D13" s="166" t="n">
        <v>59</v>
      </c>
      <c r="E13" s="167" t="n"/>
      <c r="F13" s="168" t="inlineStr">
        <is>
          <t>PT thay toàn bộ khớp háng</t>
        </is>
      </c>
      <c r="G13" s="166" t="inlineStr">
        <is>
          <t>Đặc biệt</t>
        </is>
      </c>
      <c r="H13" s="156" t="n">
        <v>3525500</v>
      </c>
      <c r="I13" s="145" t="inlineStr">
        <is>
          <t>SƠN</t>
        </is>
      </c>
      <c r="J13" s="146">
        <f>R13-L13-N13-P13-Q13</f>
        <v/>
      </c>
      <c r="K13" s="146" t="inlineStr">
        <is>
          <t>G.TỬ</t>
        </is>
      </c>
      <c r="L13" s="146">
        <f>IF(K13="-",0,H13*0.03)</f>
        <v/>
      </c>
      <c r="M13" s="146" t="n"/>
      <c r="N13" s="146">
        <f>IF(M13="-",0,H13*0.02)</f>
        <v/>
      </c>
      <c r="O13" s="146" t="n"/>
      <c r="P13" s="146">
        <f>IF(O13="-",0,H13*0.01)</f>
        <v/>
      </c>
      <c r="Q13" s="146">
        <f>H13*0.005</f>
        <v/>
      </c>
      <c r="R13" s="146">
        <f>IF(I13="V.Tân",H13*0.1375,IF(I13="nguyện",H13*0.1375,IF(I13="TOẢN",H13*0.1375,H13*0.17)))</f>
        <v/>
      </c>
      <c r="S13" s="169" t="n"/>
      <c r="T13" s="169" t="n"/>
      <c r="U13" s="169" t="n"/>
      <c r="V13" s="169" t="n"/>
    </row>
    <row r="14" ht="15" customFormat="1" customHeight="1" s="21">
      <c r="A14" s="144" t="n">
        <v>8</v>
      </c>
      <c r="B14" s="251" t="n">
        <v>46232</v>
      </c>
      <c r="C14" s="155" t="inlineStr">
        <is>
          <t>Nguyễn Thị Thanh Hòa</t>
        </is>
      </c>
      <c r="D14" s="166" t="n"/>
      <c r="E14" s="167" t="n">
        <v>53</v>
      </c>
      <c r="F14" s="168" t="inlineStr">
        <is>
          <t>PTNS cắt lọc khâu rách chóp xoay qua nội soi khóp vai</t>
        </is>
      </c>
      <c r="G14" s="166" t="inlineStr">
        <is>
          <t>Đặc biệt</t>
        </is>
      </c>
      <c r="H14" s="156" t="n">
        <v>4397500</v>
      </c>
      <c r="I14" s="145" t="inlineStr">
        <is>
          <t>SƠN</t>
        </is>
      </c>
      <c r="J14" s="146">
        <f>R14-L14-N14-P14-Q14</f>
        <v/>
      </c>
      <c r="K14" s="146" t="inlineStr">
        <is>
          <t>TOẢN</t>
        </is>
      </c>
      <c r="L14" s="146">
        <f>IF(K14="-",0,H14*0.03)</f>
        <v/>
      </c>
      <c r="M14" s="146" t="n"/>
      <c r="N14" s="146">
        <f>IF(M14="-",0,H14*0.02)</f>
        <v/>
      </c>
      <c r="O14" s="146" t="n"/>
      <c r="P14" s="146">
        <f>IF(O14="-",0,H14*0.01)</f>
        <v/>
      </c>
      <c r="Q14" s="146">
        <f>H14*0.005</f>
        <v/>
      </c>
      <c r="R14" s="146">
        <f>IF(I14="V.Tân",H14*0.1375,IF(I14="nguyện",H14*0.1375,IF(I14="TOẢN",H14*0.1375,H14*0.17)))</f>
        <v/>
      </c>
      <c r="S14" s="147" t="n"/>
      <c r="T14" s="147" t="n"/>
      <c r="U14" s="147" t="n"/>
      <c r="V14" s="147" t="n"/>
    </row>
    <row r="15" ht="15" customFormat="1" customHeight="1" s="21">
      <c r="A15" s="144" t="n">
        <v>9</v>
      </c>
      <c r="B15" s="251" t="n">
        <v>46232</v>
      </c>
      <c r="C15" s="155" t="inlineStr">
        <is>
          <t>LÂM CHÍ VỈNH</t>
        </is>
      </c>
      <c r="D15" s="166" t="n">
        <v>20</v>
      </c>
      <c r="E15" s="167" t="n"/>
      <c r="F15" s="168" t="inlineStr">
        <is>
          <t>PTNS tái tạo dây chằng chéo trước bằng gân chân ngỗng</t>
        </is>
      </c>
      <c r="G15" s="166" t="inlineStr">
        <is>
          <t>Đặc biệt</t>
        </is>
      </c>
      <c r="H15" s="156" t="n">
        <v>3405500</v>
      </c>
      <c r="I15" s="145" t="inlineStr">
        <is>
          <t>SƠN</t>
        </is>
      </c>
      <c r="J15" s="146">
        <f>R15-L15-N15-P15-Q15</f>
        <v/>
      </c>
      <c r="K15" s="146" t="inlineStr">
        <is>
          <t>TOẢN</t>
        </is>
      </c>
      <c r="L15" s="146">
        <f>IF(K15="-",0,H15*0.03)</f>
        <v/>
      </c>
      <c r="M15" s="146" t="n"/>
      <c r="N15" s="146">
        <f>IF(M15="-",0,H15*0.02)</f>
        <v/>
      </c>
      <c r="O15" s="146" t="n"/>
      <c r="P15" s="146">
        <f>IF(O15="-",0,H15*0.01)</f>
        <v/>
      </c>
      <c r="Q15" s="146">
        <f>H15*0.005</f>
        <v/>
      </c>
      <c r="R15" s="146">
        <f>IF(I15="V.Tân",H15*0.1375,IF(I15="nguyện",H15*0.1375,IF(I15="TOẢN",H15*0.1375,H15*0.17)))</f>
        <v/>
      </c>
      <c r="S15" s="147" t="n"/>
      <c r="T15" s="147" t="n"/>
      <c r="U15" s="147" t="n"/>
      <c r="V15" s="147" t="n"/>
    </row>
    <row r="16" ht="15" customFormat="1" customHeight="1" s="21">
      <c r="A16" s="144" t="n">
        <v>10</v>
      </c>
      <c r="B16" s="251" t="n">
        <v>46232</v>
      </c>
      <c r="C16" s="155" t="inlineStr">
        <is>
          <t>Lê Thị Thanh Nhanh</t>
        </is>
      </c>
      <c r="D16" s="166" t="n"/>
      <c r="E16" s="167" t="n">
        <v>50</v>
      </c>
      <c r="F16" s="168" t="inlineStr">
        <is>
          <t>PT KHX trên màn hình tăng sáng</t>
        </is>
      </c>
      <c r="G16" s="166" t="inlineStr">
        <is>
          <t>Đặc biệt</t>
        </is>
      </c>
      <c r="H16" s="156" t="n">
        <v>4497500</v>
      </c>
      <c r="I16" s="145" t="inlineStr">
        <is>
          <t>G.TỬ</t>
        </is>
      </c>
      <c r="J16" s="146">
        <f>R16-L16-N16-P16-Q16</f>
        <v/>
      </c>
      <c r="K16" s="146" t="inlineStr">
        <is>
          <t>DUY</t>
        </is>
      </c>
      <c r="L16" s="146">
        <f>IF(K16="-",0,H16*0.03)</f>
        <v/>
      </c>
      <c r="M16" s="146" t="n"/>
      <c r="N16" s="146">
        <f>IF(M16="-",0,H16*0.02)</f>
        <v/>
      </c>
      <c r="O16" s="146" t="n"/>
      <c r="P16" s="146">
        <f>IF(O16="-",0,H16*0.01)</f>
        <v/>
      </c>
      <c r="Q16" s="146">
        <f>H16*0.005</f>
        <v/>
      </c>
      <c r="R16" s="146">
        <f>IF(I16="V.Tân",H16*0.1375,IF(I16="nguyện",H16*0.1375,IF(I16="TOẢN",H16*0.1375,H16*0.17)))</f>
        <v/>
      </c>
      <c r="S16" s="147" t="n"/>
      <c r="T16" s="147" t="n"/>
      <c r="U16" s="147" t="n"/>
      <c r="V16" s="147" t="n"/>
    </row>
    <row r="17" ht="15" customFormat="1" customHeight="1" s="21">
      <c r="A17" s="144" t="n">
        <v>11</v>
      </c>
      <c r="B17" s="251" t="n">
        <v>46232</v>
      </c>
      <c r="C17" s="155" t="inlineStr">
        <is>
          <t>Nguyễn Thị Hồng Tho</t>
        </is>
      </c>
      <c r="D17" s="166" t="n"/>
      <c r="E17" s="167" t="n">
        <v>29</v>
      </c>
      <c r="F17" s="168" t="inlineStr">
        <is>
          <t>Cắt lọc hoại tử ổ loét vết thương mạn tính</t>
        </is>
      </c>
      <c r="G17" s="166" t="n"/>
      <c r="H17" s="156" t="n">
        <v>5000000</v>
      </c>
      <c r="I17" s="145" t="inlineStr">
        <is>
          <t>G.TỬ</t>
        </is>
      </c>
      <c r="J17" s="146">
        <f>R17-L17-N17-P17-Q17</f>
        <v/>
      </c>
      <c r="K17" s="146" t="n"/>
      <c r="L17" s="146">
        <f>IF(K17="-",0,H17*0.03)</f>
        <v/>
      </c>
      <c r="M17" s="146" t="n"/>
      <c r="N17" s="146">
        <f>IF(M17="-",0,H17*0.02)</f>
        <v/>
      </c>
      <c r="O17" s="146" t="n"/>
      <c r="P17" s="146">
        <f>IF(O17="-",0,H17*0.01)</f>
        <v/>
      </c>
      <c r="Q17" s="146">
        <f>H17*0.005</f>
        <v/>
      </c>
      <c r="R17" s="146">
        <f>IF(I17="V.Tân",H17*0.1375,IF(I17="nguyện",H17*0.1375,IF(I17="TOẢN",H17*0.1375,H17*0.17)))</f>
        <v/>
      </c>
      <c r="S17" s="147" t="n"/>
      <c r="T17" s="147" t="n"/>
      <c r="U17" s="147" t="n"/>
      <c r="V17" s="147" t="n"/>
    </row>
    <row r="18" ht="15" customFormat="1" customHeight="1" s="21">
      <c r="A18" s="144" t="n">
        <v>12</v>
      </c>
      <c r="B18" s="251" t="n">
        <v>46232</v>
      </c>
      <c r="C18" s="155" t="inlineStr">
        <is>
          <t>Nguyễn Văn Hoài</t>
        </is>
      </c>
      <c r="D18" s="166" t="n">
        <v>60</v>
      </c>
      <c r="E18" s="167" t="n"/>
      <c r="F18" s="168" t="inlineStr">
        <is>
          <t>Cắt lọc hoại tử ổ loét vết thương mạn tính</t>
        </is>
      </c>
      <c r="G18" s="166" t="inlineStr">
        <is>
          <t>Loại 2</t>
        </is>
      </c>
      <c r="H18" s="156" t="n">
        <v>2127400</v>
      </c>
      <c r="I18" s="145" t="n"/>
      <c r="J18" s="146">
        <f>R18-L18-N18-P18-Q18</f>
        <v/>
      </c>
      <c r="K18" s="146" t="n"/>
      <c r="L18" s="146">
        <f>IF(K18="-",0,H18*0.03)</f>
        <v/>
      </c>
      <c r="M18" s="146" t="n"/>
      <c r="N18" s="146">
        <f>IF(M18="-",0,H18*0.02)</f>
        <v/>
      </c>
      <c r="O18" s="146" t="n"/>
      <c r="P18" s="146">
        <f>IF(O18="-",0,H18*0.01)</f>
        <v/>
      </c>
      <c r="Q18" s="146">
        <f>H18*0.005</f>
        <v/>
      </c>
      <c r="R18" s="146">
        <f>IF(I18="V.Tân",H18*0.1375,IF(I18="nguyện",H18*0.1375,IF(I18="TOẢN",H18*0.1375,H18*0.17)))</f>
        <v/>
      </c>
      <c r="S18" s="147" t="n"/>
      <c r="T18" s="147" t="n"/>
      <c r="U18" s="147" t="n"/>
      <c r="V18" s="147" t="n"/>
    </row>
    <row r="19" ht="15" customFormat="1" customHeight="1" s="21">
      <c r="A19" s="144" t="n">
        <v>13</v>
      </c>
      <c r="B19" s="251" t="n">
        <v>46232</v>
      </c>
      <c r="C19" s="155" t="inlineStr">
        <is>
          <t>Tăng Thị Miền</t>
        </is>
      </c>
      <c r="D19" s="166" t="n"/>
      <c r="E19" s="167" t="n">
        <v>75</v>
      </c>
      <c r="F19" s="168" t="inlineStr">
        <is>
          <t>Cắt lọc hoại tử ổ loét vết thương mạn tính</t>
        </is>
      </c>
      <c r="G19" s="166" t="inlineStr">
        <is>
          <t>Loại 2</t>
        </is>
      </c>
      <c r="H19" s="156" t="n">
        <v>2127400</v>
      </c>
      <c r="I19" s="145" t="inlineStr">
        <is>
          <t>V.TÂN</t>
        </is>
      </c>
      <c r="J19" s="146">
        <f>R19-L19-N19-P19-Q19</f>
        <v/>
      </c>
      <c r="K19" s="146" t="n"/>
      <c r="L19" s="146">
        <f>IF(K19="-",0,H19*0.03)</f>
        <v/>
      </c>
      <c r="M19" s="146" t="n"/>
      <c r="N19" s="146">
        <f>IF(M19="-",0,H19*0.02)</f>
        <v/>
      </c>
      <c r="O19" s="146" t="n"/>
      <c r="P19" s="146">
        <f>IF(O19="-",0,H19*0.01)</f>
        <v/>
      </c>
      <c r="Q19" s="146">
        <f>H19*0.005</f>
        <v/>
      </c>
      <c r="R19" s="146">
        <f>IF(I19="V.Tân",H19*0.1375,IF(I19="nguyện",H19*0.1375,IF(I19="TOẢN",H19*0.1375,H19*0.17)))</f>
        <v/>
      </c>
      <c r="S19" s="147" t="n"/>
      <c r="T19" s="147" t="n"/>
      <c r="U19" s="147" t="n"/>
      <c r="V19" s="147" t="n"/>
    </row>
    <row r="20" ht="15" customFormat="1" customHeight="1" s="21">
      <c r="A20" s="144" t="n">
        <v>14</v>
      </c>
      <c r="B20" s="251" t="n">
        <v>46233</v>
      </c>
      <c r="C20" s="155" t="inlineStr">
        <is>
          <t>Hồ Minh Tuấn</t>
        </is>
      </c>
      <c r="D20" s="166" t="n">
        <v>39</v>
      </c>
      <c r="E20" s="167" t="n"/>
      <c r="F20" s="168" t="inlineStr">
        <is>
          <t>Rút đinh/tháo phương tiện KHX</t>
        </is>
      </c>
      <c r="G20" s="166" t="inlineStr">
        <is>
          <t>Loại 2</t>
        </is>
      </c>
      <c r="H20" s="156" t="n">
        <v>2559100</v>
      </c>
      <c r="I20" s="145" t="inlineStr">
        <is>
          <t>DUY</t>
        </is>
      </c>
      <c r="J20" s="146">
        <f>R20-L20-N20-P20-Q20</f>
        <v/>
      </c>
      <c r="K20" s="146" t="n"/>
      <c r="L20" s="146">
        <f>IF(K20="-",0,H20*0.03)</f>
        <v/>
      </c>
      <c r="M20" s="146" t="n"/>
      <c r="N20" s="146">
        <f>IF(M20="-",0,H20*0.02)</f>
        <v/>
      </c>
      <c r="O20" s="146" t="n"/>
      <c r="P20" s="146">
        <f>IF(O20="-",0,H20*0.01)</f>
        <v/>
      </c>
      <c r="Q20" s="146">
        <f>H20*0.005</f>
        <v/>
      </c>
      <c r="R20" s="146">
        <f>IF(I20="V.Tân",H20*0.1375,IF(I20="nguyện",H20*0.1375,IF(I20="TOẢN",H20*0.1375,H20*0.17)))</f>
        <v/>
      </c>
      <c r="S20" s="147" t="n"/>
      <c r="T20" s="147" t="n"/>
      <c r="U20" s="147" t="n"/>
      <c r="V20" s="147" t="n"/>
    </row>
    <row r="21" ht="15" customFormat="1" customHeight="1" s="21">
      <c r="A21" s="144" t="n">
        <v>15</v>
      </c>
      <c r="B21" s="251" t="n">
        <v>46233</v>
      </c>
      <c r="C21" s="155" t="inlineStr">
        <is>
          <t>Huỳnh Văn Chót</t>
        </is>
      </c>
      <c r="D21" s="166" t="n">
        <v>62</v>
      </c>
      <c r="E21" s="167" t="n"/>
      <c r="F21" s="168" t="inlineStr">
        <is>
          <t>PT KHX trên màn hình tăng sáng</t>
        </is>
      </c>
      <c r="G21" s="166" t="inlineStr">
        <is>
          <t>Đặc biệt</t>
        </is>
      </c>
      <c r="H21" s="156" t="n">
        <v>4497500</v>
      </c>
      <c r="I21" s="145" t="inlineStr">
        <is>
          <t>DUY</t>
        </is>
      </c>
      <c r="J21" s="146">
        <f>R21-L21-N21-P21-Q21</f>
        <v/>
      </c>
      <c r="K21" s="146" t="n"/>
      <c r="L21" s="146">
        <f>IF(K21="-",0,H21*0.03)</f>
        <v/>
      </c>
      <c r="M21" s="146" t="n"/>
      <c r="N21" s="146">
        <f>IF(M21="-",0,H21*0.02)</f>
        <v/>
      </c>
      <c r="O21" s="146" t="n"/>
      <c r="P21" s="146">
        <f>IF(O21="-",0,H21*0.01)</f>
        <v/>
      </c>
      <c r="Q21" s="146">
        <f>H21*0.005</f>
        <v/>
      </c>
      <c r="R21" s="146">
        <f>IF(I21="V.Tân",H21*0.1375,IF(I21="nguyện",H21*0.1375,IF(I21="TOẢN",H21*0.1375,H21*0.17)))</f>
        <v/>
      </c>
      <c r="S21" s="147" t="n"/>
      <c r="T21" s="147" t="n"/>
      <c r="U21" s="147" t="n"/>
      <c r="V21" s="147" t="n"/>
    </row>
    <row r="22" ht="15" customFormat="1" customHeight="1" s="21">
      <c r="A22" s="144" t="n">
        <v>16</v>
      </c>
      <c r="B22" s="251" t="n">
        <v>46233</v>
      </c>
      <c r="C22" s="155" t="inlineStr">
        <is>
          <t>Nguyễn Thị Phụng</t>
        </is>
      </c>
      <c r="D22" s="166" t="n"/>
      <c r="E22" s="167" t="n">
        <v>70</v>
      </c>
      <c r="F22" s="168" t="inlineStr">
        <is>
          <t>PT điều trị hội chứng ống cổ tay</t>
        </is>
      </c>
      <c r="G22" s="166" t="inlineStr">
        <is>
          <t>Loại 1</t>
        </is>
      </c>
      <c r="H22" s="156" t="n">
        <v>1301200</v>
      </c>
      <c r="I22" s="145" t="inlineStr">
        <is>
          <t>DUY</t>
        </is>
      </c>
      <c r="J22" s="146">
        <f>R22-L22-N22-P22-Q22</f>
        <v/>
      </c>
      <c r="K22" s="146" t="n"/>
      <c r="L22" s="146">
        <f>IF(K22="-",0,H22*0.03)</f>
        <v/>
      </c>
      <c r="M22" s="146" t="n"/>
      <c r="N22" s="146">
        <f>IF(M22="-",0,H22*0.02)</f>
        <v/>
      </c>
      <c r="O22" s="146" t="n"/>
      <c r="P22" s="146">
        <f>IF(O22="-",0,H22*0.01)</f>
        <v/>
      </c>
      <c r="Q22" s="146">
        <f>H22*0.005</f>
        <v/>
      </c>
      <c r="R22" s="146">
        <f>IF(I22="V.Tân",H22*0.1375,IF(I22="nguyện",H22*0.1375,IF(I22="TOẢN",H22*0.1375,H22*0.17)))</f>
        <v/>
      </c>
      <c r="S22" s="147" t="n"/>
      <c r="T22" s="147" t="n"/>
      <c r="U22" s="147" t="n"/>
      <c r="V22" s="147" t="n"/>
    </row>
    <row r="23" ht="15" customFormat="1" customHeight="1" s="21">
      <c r="A23" s="144" t="n">
        <v>17</v>
      </c>
      <c r="B23" s="251" t="n">
        <v>46233</v>
      </c>
      <c r="C23" s="155" t="inlineStr">
        <is>
          <t>Trương Triều Dũng</t>
        </is>
      </c>
      <c r="D23" s="166" t="n">
        <v>18</v>
      </c>
      <c r="E23" s="167" t="n"/>
      <c r="F23" s="168" t="inlineStr">
        <is>
          <t>PTNS tái tạo dây chằng chéo trước bằng gân chân ngỗng</t>
        </is>
      </c>
      <c r="G23" s="166" t="inlineStr">
        <is>
          <t>Đặc biệt</t>
        </is>
      </c>
      <c r="H23" s="156" t="n">
        <v>3405500</v>
      </c>
      <c r="I23" s="145" t="inlineStr">
        <is>
          <t>TOẢN</t>
        </is>
      </c>
      <c r="J23" s="146">
        <f>R23-L23-N23-P23-Q23</f>
        <v/>
      </c>
      <c r="K23" s="146" t="n"/>
      <c r="L23" s="146">
        <f>IF(K23="-",0,H23*0.03)</f>
        <v/>
      </c>
      <c r="M23" s="146" t="n"/>
      <c r="N23" s="146">
        <f>IF(M23="-",0,H23*0.02)</f>
        <v/>
      </c>
      <c r="O23" s="146" t="n"/>
      <c r="P23" s="146">
        <f>IF(O23="-",0,H23*0.01)</f>
        <v/>
      </c>
      <c r="Q23" s="146">
        <f>H23*0.005</f>
        <v/>
      </c>
      <c r="R23" s="146">
        <f>IF(I23="V.Tân",H23*0.1375,IF(I23="nguyện",H23*0.1375,IF(I23="TOẢN",H23*0.1375,H23*0.17)))</f>
        <v/>
      </c>
      <c r="S23" s="147" t="n"/>
      <c r="T23" s="147" t="n"/>
      <c r="U23" s="147" t="n"/>
      <c r="V23" s="147" t="n"/>
    </row>
    <row r="24" ht="15" customFormat="1" customHeight="1" s="21">
      <c r="A24" s="144" t="n">
        <v>18</v>
      </c>
      <c r="B24" s="251" t="n">
        <v>46233</v>
      </c>
      <c r="C24" s="155" t="inlineStr">
        <is>
          <t>Lê Thị Ghi</t>
        </is>
      </c>
      <c r="D24" s="166" t="n"/>
      <c r="E24" s="167" t="n">
        <v>63</v>
      </c>
      <c r="F24" s="168" t="inlineStr">
        <is>
          <t>Cắt lọc hoại tử ổ loét vết thương mạn tính</t>
        </is>
      </c>
      <c r="G24" s="166" t="n"/>
      <c r="H24" s="156" t="n">
        <v>4221000</v>
      </c>
      <c r="I24" s="145" t="inlineStr">
        <is>
          <t>V.TÂN</t>
        </is>
      </c>
      <c r="J24" s="146">
        <f>R24-L24-N24-P24-Q24</f>
        <v/>
      </c>
      <c r="K24" s="146" t="n"/>
      <c r="L24" s="146">
        <f>IF(K24="-",0,H24*0.03)</f>
        <v/>
      </c>
      <c r="M24" s="146" t="n"/>
      <c r="N24" s="146">
        <f>IF(M24="-",0,H24*0.02)</f>
        <v/>
      </c>
      <c r="O24" s="146" t="n"/>
      <c r="P24" s="146">
        <f>IF(O24="-",0,H24*0.01)</f>
        <v/>
      </c>
      <c r="Q24" s="146">
        <f>H24*0.005</f>
        <v/>
      </c>
      <c r="R24" s="146">
        <f>IF(I24="V.Tân",H24*0.1375,IF(I24="nguyện",H24*0.1375,IF(I24="TOẢN",H24*0.1375,H24*0.17)))</f>
        <v/>
      </c>
      <c r="S24" s="147" t="n"/>
      <c r="T24" s="147" t="n"/>
      <c r="U24" s="147" t="n"/>
      <c r="V24" s="147" t="n"/>
    </row>
    <row r="25" ht="15" customFormat="1" customHeight="1" s="21">
      <c r="A25" s="144" t="n">
        <v>19</v>
      </c>
      <c r="B25" s="251" t="n">
        <v>46234</v>
      </c>
      <c r="C25" s="155" t="inlineStr">
        <is>
          <t>TRƯƠNG PHƯỚC HIẾU</t>
        </is>
      </c>
      <c r="D25" s="166" t="n">
        <v>35</v>
      </c>
      <c r="E25" s="167" t="n"/>
      <c r="F25" s="168" t="inlineStr">
        <is>
          <t>PT thay toàn bộ khớp háng</t>
        </is>
      </c>
      <c r="G25" s="166" t="inlineStr">
        <is>
          <t>Đặc biệt</t>
        </is>
      </c>
      <c r="H25" s="156" t="n">
        <v>3525500</v>
      </c>
      <c r="I25" s="145" t="inlineStr">
        <is>
          <t>SƠN</t>
        </is>
      </c>
      <c r="J25" s="146">
        <f>R25-L25-N25-P25-Q25</f>
        <v/>
      </c>
      <c r="K25" s="146" t="inlineStr">
        <is>
          <t>DUY</t>
        </is>
      </c>
      <c r="L25" s="146">
        <f>IF(K25="-",0,H25*0.03)</f>
        <v/>
      </c>
      <c r="M25" s="146" t="inlineStr">
        <is>
          <t>BẢO</t>
        </is>
      </c>
      <c r="N25" s="146">
        <f>IF(M25="-",0,H25*0.02)</f>
        <v/>
      </c>
      <c r="O25" s="146" t="n"/>
      <c r="P25" s="146">
        <f>IF(O25="-",0,H25*0.01)</f>
        <v/>
      </c>
      <c r="Q25" s="146">
        <f>H25*0.005</f>
        <v/>
      </c>
      <c r="R25" s="146">
        <f>IF(I25="V.Tân",H25*0.1375,IF(I25="nguyện",H25*0.1375,IF(I25="TOẢN",H25*0.1375,H25*0.17)))</f>
        <v/>
      </c>
      <c r="S25" s="147" t="n"/>
      <c r="T25" s="147" t="n"/>
      <c r="U25" s="147" t="n"/>
      <c r="V25" s="147" t="n"/>
    </row>
    <row r="26" ht="15" customFormat="1" customHeight="1" s="21">
      <c r="A26" s="144" t="n">
        <v>20</v>
      </c>
      <c r="B26" s="251" t="n">
        <v>46234</v>
      </c>
      <c r="C26" s="155" t="inlineStr">
        <is>
          <t>Trần Thị Ngọc Xứng</t>
        </is>
      </c>
      <c r="D26" s="166" t="n"/>
      <c r="E26" s="167" t="n">
        <v>64</v>
      </c>
      <c r="F26" s="168" t="inlineStr">
        <is>
          <t>PT lấy đĩa đệm CSTL qua da</t>
        </is>
      </c>
      <c r="G26" s="166" t="n"/>
      <c r="H26" s="156" t="n">
        <v>8993000</v>
      </c>
      <c r="I26" s="145" t="inlineStr">
        <is>
          <t>DUY</t>
        </is>
      </c>
      <c r="J26" s="146">
        <f>R26-L26-N26-P26-Q26</f>
        <v/>
      </c>
      <c r="K26" s="146" t="n"/>
      <c r="L26" s="146">
        <f>IF(K26="-",0,H26*0.03)</f>
        <v/>
      </c>
      <c r="M26" s="146" t="n"/>
      <c r="N26" s="146">
        <f>IF(M26="-",0,H26*0.02)</f>
        <v/>
      </c>
      <c r="O26" s="146" t="n"/>
      <c r="P26" s="146">
        <f>IF(O26="-",0,H26*0.01)</f>
        <v/>
      </c>
      <c r="Q26" s="146">
        <f>H26*0.005</f>
        <v/>
      </c>
      <c r="R26" s="146">
        <f>IF(I26="V.Tân",H26*0.1375,IF(I26="nguyện",H26*0.1375,IF(I26="TOẢN",H26*0.1375,H26*0.17)))</f>
        <v/>
      </c>
      <c r="S26" s="147" t="n"/>
      <c r="T26" s="147" t="n"/>
      <c r="U26" s="147" t="n"/>
      <c r="V26" s="147" t="n"/>
    </row>
    <row r="27" ht="15" customFormat="1" customHeight="1" s="21">
      <c r="A27" s="144" t="n">
        <v>21</v>
      </c>
      <c r="B27" s="251" t="n">
        <v>46234</v>
      </c>
      <c r="C27" s="155" t="inlineStr">
        <is>
          <t>Lâm Phi Dũng</t>
        </is>
      </c>
      <c r="D27" s="166" t="n">
        <v>61</v>
      </c>
      <c r="E27" s="167" t="n"/>
      <c r="F27" s="168" t="inlineStr">
        <is>
          <t>PT thay toàn bộ khớp háng</t>
        </is>
      </c>
      <c r="G27" s="166" t="inlineStr">
        <is>
          <t>Đặc biệt</t>
        </is>
      </c>
      <c r="H27" s="156" t="n">
        <v>3525500</v>
      </c>
      <c r="I27" s="145" t="inlineStr">
        <is>
          <t>DUY</t>
        </is>
      </c>
      <c r="J27" s="146">
        <f>R27-L27-N27-P27-Q27</f>
        <v/>
      </c>
      <c r="K27" s="146" t="inlineStr">
        <is>
          <t>DUY</t>
        </is>
      </c>
      <c r="L27" s="146">
        <f>IF(K27="-",0,H27*0.03)</f>
        <v/>
      </c>
      <c r="M27" s="146" t="inlineStr">
        <is>
          <t>BẢO</t>
        </is>
      </c>
      <c r="N27" s="146">
        <f>IF(M27="-",0,H27*0.02)</f>
        <v/>
      </c>
      <c r="O27" s="146" t="n"/>
      <c r="P27" s="146">
        <f>IF(O27="-",0,H27*0.01)</f>
        <v/>
      </c>
      <c r="Q27" s="146">
        <f>H27*0.005</f>
        <v/>
      </c>
      <c r="R27" s="146">
        <f>IF(I27="V.Tân",H27*0.1375,IF(I27="nguyện",H27*0.1375,IF(I27="TOẢN",H27*0.1375,H27*0.17)))</f>
        <v/>
      </c>
      <c r="S27" s="147" t="n"/>
      <c r="T27" s="147" t="n"/>
      <c r="U27" s="147" t="n"/>
      <c r="V27" s="147" t="n"/>
    </row>
    <row r="28" ht="15" customFormat="1" customHeight="1" s="21">
      <c r="A28" s="144" t="n">
        <v>22</v>
      </c>
      <c r="B28" s="251" t="n">
        <v>46234</v>
      </c>
      <c r="C28" s="155" t="inlineStr">
        <is>
          <t>Đoàn Thị Vân</t>
        </is>
      </c>
      <c r="D28" s="166" t="n"/>
      <c r="E28" s="167" t="n">
        <v>38</v>
      </c>
      <c r="F28" s="168" t="inlineStr">
        <is>
          <t>Rút đinh/ tháo phương tiện KHX</t>
        </is>
      </c>
      <c r="G28" s="166" t="inlineStr">
        <is>
          <t>Loại 2</t>
        </is>
      </c>
      <c r="H28" s="156" t="n">
        <v>2559100</v>
      </c>
      <c r="I28" s="145" t="inlineStr">
        <is>
          <t>G.TỬ</t>
        </is>
      </c>
      <c r="J28" s="146">
        <f>R28-L28-N28-P28-Q28</f>
        <v/>
      </c>
      <c r="K28" s="146" t="n"/>
      <c r="L28" s="146">
        <f>IF(K28="-",0,H28*0.03)</f>
        <v/>
      </c>
      <c r="M28" s="146" t="n"/>
      <c r="N28" s="146">
        <f>IF(M28="-",0,H28*0.02)</f>
        <v/>
      </c>
      <c r="O28" s="146" t="n"/>
      <c r="P28" s="146">
        <f>IF(O28="-",0,H28*0.01)</f>
        <v/>
      </c>
      <c r="Q28" s="146">
        <f>H28*0.005</f>
        <v/>
      </c>
      <c r="R28" s="146">
        <f>IF(I28="V.Tân",H28*0.1375,IF(I28="nguyện",H28*0.1375,IF(I28="TOẢN",H28*0.1375,H28*0.17)))</f>
        <v/>
      </c>
      <c r="S28" s="147" t="n"/>
      <c r="T28" s="147" t="n"/>
      <c r="U28" s="147" t="n"/>
      <c r="V28" s="147" t="n"/>
    </row>
    <row r="29" ht="15" customFormat="1" customHeight="1" s="21">
      <c r="A29" s="144" t="n">
        <v>23</v>
      </c>
      <c r="B29" s="251" t="n">
        <v>46235</v>
      </c>
      <c r="C29" s="155" t="inlineStr">
        <is>
          <t>Phan Hoàng Ân</t>
        </is>
      </c>
      <c r="D29" s="166" t="n">
        <v>25</v>
      </c>
      <c r="E29" s="167" t="n"/>
      <c r="F29" s="168" t="inlineStr">
        <is>
          <t>PT vết thương phần mềm phức tạp</t>
        </is>
      </c>
      <c r="G29" s="166" t="inlineStr">
        <is>
          <t>Loại 1</t>
        </is>
      </c>
      <c r="H29" s="156" t="n">
        <v>796000</v>
      </c>
      <c r="I29" s="145" t="inlineStr">
        <is>
          <t>ĐIỀN</t>
        </is>
      </c>
      <c r="J29" s="146">
        <f>R29-L29-N29-P29-Q29</f>
        <v/>
      </c>
      <c r="K29" s="146" t="n"/>
      <c r="L29" s="146">
        <f>IF(K29="-",0,H29*0.03)</f>
        <v/>
      </c>
      <c r="M29" s="146" t="n"/>
      <c r="N29" s="146">
        <f>IF(M29="-",0,H29*0.02)</f>
        <v/>
      </c>
      <c r="O29" s="146" t="n"/>
      <c r="P29" s="146">
        <f>IF(O29="-",0,H29*0.01)</f>
        <v/>
      </c>
      <c r="Q29" s="146">
        <f>H29*0.005</f>
        <v/>
      </c>
      <c r="R29" s="146">
        <f>IF(I29="V.Tân",H29*0.1375,IF(I29="nguyện",H29*0.1375,IF(I29="TOẢN",H29*0.1375,H29*0.17)))</f>
        <v/>
      </c>
      <c r="S29" s="147" t="n"/>
      <c r="T29" s="147" t="n"/>
      <c r="U29" s="147" t="n"/>
      <c r="V29" s="147" t="n"/>
    </row>
    <row r="30" ht="15" customFormat="1" customHeight="1" s="21">
      <c r="A30" s="144" t="n">
        <v>24</v>
      </c>
      <c r="B30" s="251" t="n">
        <v>46236</v>
      </c>
      <c r="C30" s="155" t="inlineStr">
        <is>
          <t>Dương Bá Nhẫn</t>
        </is>
      </c>
      <c r="D30" s="166" t="n">
        <v>27</v>
      </c>
      <c r="E30" s="167" t="n"/>
      <c r="F30" s="168" t="inlineStr">
        <is>
          <t>PT KHX trên màn hình tăng sáng</t>
        </is>
      </c>
      <c r="G30" s="166" t="inlineStr">
        <is>
          <t>Đặc biệt</t>
        </is>
      </c>
      <c r="H30" s="156" t="n">
        <v>4497500</v>
      </c>
      <c r="I30" s="145" t="inlineStr">
        <is>
          <t>DUY</t>
        </is>
      </c>
      <c r="J30" s="146">
        <f>R30-L30-N30-P30-Q30</f>
        <v/>
      </c>
      <c r="K30" s="146" t="n"/>
      <c r="L30" s="146">
        <f>IF(K30="-",0,H30*0.03)</f>
        <v/>
      </c>
      <c r="M30" s="146" t="n"/>
      <c r="N30" s="146">
        <f>IF(M30="-",0,H30*0.02)</f>
        <v/>
      </c>
      <c r="O30" s="146" t="n"/>
      <c r="P30" s="146">
        <f>IF(O30="-",0,H30*0.01)</f>
        <v/>
      </c>
      <c r="Q30" s="146">
        <f>H30*0.005</f>
        <v/>
      </c>
      <c r="R30" s="146">
        <f>IF(I30="V.Tân",H30*0.1375,IF(I30="nguyện",H30*0.1375,IF(I30="TOẢN",H30*0.1375,H30*0.17)))</f>
        <v/>
      </c>
      <c r="S30" s="147" t="n"/>
      <c r="T30" s="147" t="n"/>
      <c r="U30" s="147" t="n"/>
      <c r="V30" s="147" t="n"/>
    </row>
    <row r="31" ht="15" customFormat="1" customHeight="1" s="21">
      <c r="A31" s="144" t="n">
        <v>25</v>
      </c>
      <c r="B31" s="251" t="n">
        <v>46236</v>
      </c>
      <c r="C31" s="155" t="inlineStr">
        <is>
          <t>Bùi Văn Trường</t>
        </is>
      </c>
      <c r="D31" s="166" t="n">
        <v>54</v>
      </c>
      <c r="E31" s="167" t="n"/>
      <c r="F31" s="168" t="inlineStr">
        <is>
          <t>PT KHX trên màn hình tăng sáng</t>
        </is>
      </c>
      <c r="G31" s="166" t="inlineStr">
        <is>
          <t>Đặc biệt</t>
        </is>
      </c>
      <c r="H31" s="156" t="n">
        <v>4497500</v>
      </c>
      <c r="I31" s="145" t="inlineStr">
        <is>
          <t>DUY</t>
        </is>
      </c>
      <c r="J31" s="146">
        <f>R31-L31-N31-P31-Q31</f>
        <v/>
      </c>
      <c r="K31" s="146" t="n"/>
      <c r="L31" s="146">
        <f>IF(K31="-",0,H31*0.03)</f>
        <v/>
      </c>
      <c r="M31" s="146" t="n"/>
      <c r="N31" s="146">
        <f>IF(M31="-",0,H31*0.02)</f>
        <v/>
      </c>
      <c r="O31" s="146" t="n"/>
      <c r="P31" s="146">
        <f>IF(O31="-",0,H31*0.01)</f>
        <v/>
      </c>
      <c r="Q31" s="146">
        <f>H31*0.005</f>
        <v/>
      </c>
      <c r="R31" s="146">
        <f>IF(I31="V.Tân",H31*0.1375,IF(I31="nguyện",H31*0.1375,IF(I31="TOẢN",H31*0.1375,H31*0.17)))</f>
        <v/>
      </c>
      <c r="S31" s="147" t="n"/>
      <c r="T31" s="147" t="n"/>
      <c r="U31" s="147" t="n"/>
      <c r="V31" s="147" t="n"/>
    </row>
    <row r="32" ht="15" customFormat="1" customHeight="1" s="21">
      <c r="A32" s="144" t="n">
        <v>26</v>
      </c>
      <c r="B32" s="251" t="n">
        <v>46237</v>
      </c>
      <c r="C32" s="155" t="inlineStr">
        <is>
          <t>Nguyễn Thị Hương</t>
        </is>
      </c>
      <c r="D32" s="166" t="n"/>
      <c r="E32" s="167" t="n">
        <v>61</v>
      </c>
      <c r="F32" s="168" t="inlineStr">
        <is>
          <t>PT thay toàn bộ khớp gối</t>
        </is>
      </c>
      <c r="G32" s="166" t="inlineStr">
        <is>
          <t>Đặc biệt</t>
        </is>
      </c>
      <c r="H32" s="156" t="n">
        <v>3525500</v>
      </c>
      <c r="I32" s="145" t="inlineStr">
        <is>
          <t>HOAN</t>
        </is>
      </c>
      <c r="J32" s="146">
        <f>R32-L32-N32-P32-Q32</f>
        <v/>
      </c>
      <c r="K32" s="146" t="n"/>
      <c r="L32" s="146">
        <f>IF(K32="-",0,H32*0.03)</f>
        <v/>
      </c>
      <c r="M32" s="146" t="n"/>
      <c r="N32" s="146">
        <f>IF(M32="-",0,H32*0.02)</f>
        <v/>
      </c>
      <c r="O32" s="146" t="n"/>
      <c r="P32" s="146">
        <f>IF(O32="-",0,H32*0.01)</f>
        <v/>
      </c>
      <c r="Q32" s="146">
        <f>H32*0.005</f>
        <v/>
      </c>
      <c r="R32" s="146">
        <f>IF(I32="V.Tân",H32*0.1375,IF(I32="nguyện",H32*0.1375,IF(I32="TOẢN",H32*0.1375,H32*0.17)))</f>
        <v/>
      </c>
      <c r="S32" s="147" t="n"/>
      <c r="T32" s="147" t="n"/>
      <c r="U32" s="147" t="n"/>
      <c r="V32" s="147" t="n"/>
    </row>
    <row r="33" ht="15" customFormat="1" customHeight="1" s="21">
      <c r="A33" s="144" t="n">
        <v>27</v>
      </c>
      <c r="B33" s="251" t="n">
        <v>46237</v>
      </c>
      <c r="C33" s="155" t="inlineStr">
        <is>
          <t>Võ Thị Huệ</t>
        </is>
      </c>
      <c r="D33" s="166" t="n"/>
      <c r="E33" s="167" t="n">
        <v>78</v>
      </c>
      <c r="F33" s="168" t="inlineStr">
        <is>
          <t>PT lấy đĩa đệm cột sống thắt lưng qua da</t>
        </is>
      </c>
      <c r="G33" s="166" t="n"/>
      <c r="H33" s="156" t="n">
        <v>8993000</v>
      </c>
      <c r="I33" s="145" t="inlineStr">
        <is>
          <t>TUẤN</t>
        </is>
      </c>
      <c r="J33" s="146">
        <f>R33-L33-N33-P33-Q33</f>
        <v/>
      </c>
      <c r="K33" s="146" t="n"/>
      <c r="L33" s="146">
        <f>IF(K33="-",0,H33*0.03)</f>
        <v/>
      </c>
      <c r="M33" s="146" t="n"/>
      <c r="N33" s="146">
        <f>IF(M33="-",0,H33*0.02)</f>
        <v/>
      </c>
      <c r="O33" s="146" t="n"/>
      <c r="P33" s="146">
        <f>IF(O33="-",0,H33*0.01)</f>
        <v/>
      </c>
      <c r="Q33" s="146">
        <f>H33*0.005</f>
        <v/>
      </c>
      <c r="R33" s="146">
        <f>IF(I33="V.Tân",H33*0.1375,IF(I33="nguyện",H33*0.1375,IF(I33="TOẢN",H33*0.1375,H33*0.17)))</f>
        <v/>
      </c>
      <c r="S33" s="147" t="n"/>
      <c r="T33" s="147" t="n"/>
      <c r="U33" s="147" t="n"/>
      <c r="V33" s="147" t="n"/>
    </row>
    <row r="34" ht="15" customFormat="1" customHeight="1" s="21">
      <c r="A34" s="144" t="n">
        <v>28</v>
      </c>
      <c r="B34" s="251" t="n">
        <v>46237</v>
      </c>
      <c r="C34" s="155" t="inlineStr">
        <is>
          <t>Võ Thị Xiêng</t>
        </is>
      </c>
      <c r="D34" s="166" t="n"/>
      <c r="E34" s="167" t="n">
        <v>55</v>
      </c>
      <c r="F34" s="168" t="inlineStr">
        <is>
          <t>PT KHX trên màn hình tăng sáng</t>
        </is>
      </c>
      <c r="G34" s="166" t="inlineStr">
        <is>
          <t>Đặc biệt</t>
        </is>
      </c>
      <c r="H34" s="156" t="n">
        <v>4497500</v>
      </c>
      <c r="I34" s="145" t="inlineStr">
        <is>
          <t>DUY</t>
        </is>
      </c>
      <c r="J34" s="146">
        <f>R34-L34-N34-P34-Q34</f>
        <v/>
      </c>
      <c r="K34" s="146" t="n"/>
      <c r="L34" s="146">
        <f>IF(K34="-",0,H34*0.03)</f>
        <v/>
      </c>
      <c r="M34" s="146" t="n"/>
      <c r="N34" s="146">
        <f>IF(M34="-",0,H34*0.02)</f>
        <v/>
      </c>
      <c r="O34" s="146" t="n"/>
      <c r="P34" s="146">
        <f>IF(O34="-",0,H34*0.01)</f>
        <v/>
      </c>
      <c r="Q34" s="146">
        <f>H34*0.005</f>
        <v/>
      </c>
      <c r="R34" s="146">
        <f>IF(I34="V.Tân",H34*0.1375,IF(I34="nguyện",H34*0.1375,IF(I34="TOẢN",H34*0.1375,H34*0.17)))</f>
        <v/>
      </c>
      <c r="S34" s="147" t="n"/>
      <c r="T34" s="147" t="n"/>
      <c r="U34" s="147" t="n"/>
      <c r="V34" s="147" t="n"/>
    </row>
    <row r="35" ht="15" customFormat="1" customHeight="1" s="21">
      <c r="A35" s="144" t="n">
        <v>29</v>
      </c>
      <c r="B35" s="251" t="n">
        <v>46237</v>
      </c>
      <c r="C35" s="155" t="inlineStr">
        <is>
          <t>Phạm Thị Kim Giàu</t>
        </is>
      </c>
      <c r="D35" s="166" t="n"/>
      <c r="E35" s="167" t="n">
        <v>19</v>
      </c>
      <c r="F35" s="168" t="inlineStr">
        <is>
          <t>PT KHX trên màn hình tăng sáng</t>
        </is>
      </c>
      <c r="G35" s="166" t="inlineStr">
        <is>
          <t>Đặc biệt</t>
        </is>
      </c>
      <c r="H35" s="156" t="n">
        <v>4497500</v>
      </c>
      <c r="I35" s="145" t="inlineStr">
        <is>
          <t>TOẢN</t>
        </is>
      </c>
      <c r="J35" s="146">
        <f>R35-L35-N35-P35-Q35</f>
        <v/>
      </c>
      <c r="K35" s="146" t="n"/>
      <c r="L35" s="146">
        <f>IF(K35="-",0,H35*0.03)</f>
        <v/>
      </c>
      <c r="M35" s="146" t="n"/>
      <c r="N35" s="146">
        <f>IF(M35="-",0,H35*0.02)</f>
        <v/>
      </c>
      <c r="O35" s="146" t="n"/>
      <c r="P35" s="146">
        <f>IF(O35="-",0,H35*0.01)</f>
        <v/>
      </c>
      <c r="Q35" s="146">
        <f>H35*0.005</f>
        <v/>
      </c>
      <c r="R35" s="146">
        <f>IF(I35="V.Tân",H35*0.1375,IF(I35="nguyện",H35*0.1375,IF(I35="TOẢN",H35*0.1375,H35*0.17)))</f>
        <v/>
      </c>
      <c r="S35" s="147" t="n"/>
      <c r="T35" s="147" t="n"/>
      <c r="U35" s="147" t="n"/>
      <c r="V35" s="147" t="n"/>
    </row>
    <row r="36" ht="15" customFormat="1" customHeight="1" s="21">
      <c r="A36" s="144" t="n">
        <v>30</v>
      </c>
      <c r="B36" s="251" t="n">
        <v>46237</v>
      </c>
      <c r="C36" s="155" t="inlineStr">
        <is>
          <t>Trần Minh Tưởng</t>
        </is>
      </c>
      <c r="D36" s="166" t="n">
        <v>24</v>
      </c>
      <c r="E36" s="167" t="n"/>
      <c r="F36" s="168" t="inlineStr">
        <is>
          <t xml:space="preserve">PT vá da diện tích &gt;10cm </t>
        </is>
      </c>
      <c r="G36" s="166" t="inlineStr">
        <is>
          <t>Loại 1</t>
        </is>
      </c>
      <c r="H36" s="156" t="n">
        <v>1300600</v>
      </c>
      <c r="I36" s="145" t="inlineStr">
        <is>
          <t>TOẢN</t>
        </is>
      </c>
      <c r="J36" s="146">
        <f>R36-L36-N36-P36-Q36</f>
        <v/>
      </c>
      <c r="K36" s="146" t="n"/>
      <c r="L36" s="146">
        <f>IF(K36="-",0,H36*0.03)</f>
        <v/>
      </c>
      <c r="M36" s="146" t="n"/>
      <c r="N36" s="146">
        <f>IF(M36="-",0,H36*0.02)</f>
        <v/>
      </c>
      <c r="O36" s="146" t="n"/>
      <c r="P36" s="146">
        <f>IF(O36="-",0,H36*0.01)</f>
        <v/>
      </c>
      <c r="Q36" s="146">
        <f>H36*0.005</f>
        <v/>
      </c>
      <c r="R36" s="146">
        <f>IF(I36="V.Tân",H36*0.1375,IF(I36="nguyện",H36*0.1375,IF(I36="TOẢN",H36*0.1375,H36*0.17)))</f>
        <v/>
      </c>
      <c r="S36" s="147" t="n"/>
      <c r="T36" s="147" t="n"/>
      <c r="U36" s="147" t="n"/>
      <c r="V36" s="147" t="n"/>
    </row>
    <row r="37" ht="15" customFormat="1" customHeight="1" s="21">
      <c r="A37" s="144" t="n">
        <v>31</v>
      </c>
      <c r="B37" s="251" t="n">
        <v>46237</v>
      </c>
      <c r="C37" s="155" t="inlineStr">
        <is>
          <t>NGUYỄN THỊ HỒNG THO</t>
        </is>
      </c>
      <c r="D37" s="166" t="n"/>
      <c r="E37" s="167" t="n">
        <v>29</v>
      </c>
      <c r="F37" s="168" t="inlineStr">
        <is>
          <t>Cắt lọc hoại tử ổ loét vết thương mạn tính</t>
        </is>
      </c>
      <c r="G37" s="166" t="n"/>
      <c r="H37" s="156" t="n">
        <v>5000000</v>
      </c>
      <c r="I37" s="145" t="inlineStr">
        <is>
          <t>G.TỬ</t>
        </is>
      </c>
      <c r="J37" s="146">
        <f>R37-L37-N37-P37-Q37</f>
        <v/>
      </c>
      <c r="K37" s="146" t="n"/>
      <c r="L37" s="146">
        <f>IF(K37="-",0,H37*0.03)</f>
        <v/>
      </c>
      <c r="M37" s="146" t="n"/>
      <c r="N37" s="146">
        <f>IF(M37="-",0,H37*0.02)</f>
        <v/>
      </c>
      <c r="O37" s="146" t="n"/>
      <c r="P37" s="146">
        <f>IF(O37="-",0,H37*0.01)</f>
        <v/>
      </c>
      <c r="Q37" s="146">
        <f>H37*0.005</f>
        <v/>
      </c>
      <c r="R37" s="146">
        <f>IF(I37="V.Tân",H37*0.1375,IF(I37="nguyện",H37*0.1375,IF(I37="TOẢN",H37*0.1375,H37*0.17)))</f>
        <v/>
      </c>
      <c r="S37" s="147" t="n"/>
      <c r="T37" s="147" t="n"/>
      <c r="U37" s="147" t="n"/>
      <c r="V37" s="147" t="n"/>
    </row>
    <row r="38" ht="15" customFormat="1" customHeight="1" s="21">
      <c r="A38" s="144" t="n">
        <v>32</v>
      </c>
      <c r="B38" s="251" t="n">
        <v>46237</v>
      </c>
      <c r="C38" s="155" t="inlineStr">
        <is>
          <t>Lê Thị Ửng</t>
        </is>
      </c>
      <c r="D38" s="166" t="n"/>
      <c r="E38" s="167" t="n">
        <v>73</v>
      </c>
      <c r="F38" s="168" t="inlineStr">
        <is>
          <t xml:space="preserve">PT chuyển vạt che phủ phần mềm cuống mạch liền </t>
        </is>
      </c>
      <c r="G38" s="166" t="inlineStr">
        <is>
          <t>Đặc biệt</t>
        </is>
      </c>
      <c r="H38" s="156" t="n">
        <v>3279400</v>
      </c>
      <c r="I38" s="145" t="inlineStr">
        <is>
          <t>TUẤN</t>
        </is>
      </c>
      <c r="J38" s="146">
        <f>R38-L38-N38-P38-Q38</f>
        <v/>
      </c>
      <c r="K38" s="146" t="n"/>
      <c r="L38" s="146">
        <f>IF(K38="-",0,H38*0.03)</f>
        <v/>
      </c>
      <c r="M38" s="146" t="n"/>
      <c r="N38" s="146">
        <f>IF(M38="-",0,H38*0.02)</f>
        <v/>
      </c>
      <c r="O38" s="146" t="n"/>
      <c r="P38" s="146">
        <f>IF(O38="-",0,H38*0.01)</f>
        <v/>
      </c>
      <c r="Q38" s="146">
        <f>H38*0.005</f>
        <v/>
      </c>
      <c r="R38" s="146">
        <f>IF(I38="V.Tân",H38*0.1375,IF(I38="nguyện",H38*0.1375,IF(I38="TOẢN",H38*0.1375,H38*0.17)))</f>
        <v/>
      </c>
      <c r="S38" s="147" t="n"/>
      <c r="T38" s="147" t="n"/>
      <c r="U38" s="147" t="n"/>
      <c r="V38" s="147" t="n"/>
    </row>
    <row r="39" ht="15" customFormat="1" customHeight="1" s="21">
      <c r="A39" s="144" t="n">
        <v>33</v>
      </c>
      <c r="B39" s="251" t="n">
        <v>46237</v>
      </c>
      <c r="C39" s="155" t="inlineStr">
        <is>
          <t>Trần Thị Thúy Hằng</t>
        </is>
      </c>
      <c r="D39" s="166" t="n"/>
      <c r="E39" s="167" t="n">
        <v>47</v>
      </c>
      <c r="F39" s="168" t="inlineStr">
        <is>
          <t>Cắt lọc hoại tử ổ loét vết thương mạn tính</t>
        </is>
      </c>
      <c r="G39" s="166" t="inlineStr">
        <is>
          <t>Loại 2</t>
        </is>
      </c>
      <c r="H39" s="156" t="n">
        <v>2127400</v>
      </c>
      <c r="I39" s="145" t="n"/>
      <c r="J39" s="146">
        <f>R39-L39-N39-P39-Q39</f>
        <v/>
      </c>
      <c r="K39" s="146" t="n"/>
      <c r="L39" s="146">
        <f>IF(K39="-",0,H39*0.03)</f>
        <v/>
      </c>
      <c r="M39" s="146" t="n"/>
      <c r="N39" s="146">
        <f>IF(M39="-",0,H39*0.02)</f>
        <v/>
      </c>
      <c r="O39" s="146" t="n"/>
      <c r="P39" s="146">
        <f>IF(O39="-",0,H39*0.01)</f>
        <v/>
      </c>
      <c r="Q39" s="146">
        <f>H39*0.005</f>
        <v/>
      </c>
      <c r="R39" s="146">
        <f>IF(I39="V.Tân",H39*0.1375,IF(I39="nguyện",H39*0.1375,IF(I39="TOẢN",H39*0.1375,H39*0.17)))</f>
        <v/>
      </c>
      <c r="S39" s="147" t="n"/>
      <c r="T39" s="147" t="n"/>
      <c r="U39" s="147" t="n"/>
      <c r="V39" s="147" t="n"/>
    </row>
    <row r="40" ht="15" customFormat="1" customHeight="1" s="21">
      <c r="A40" s="144" t="n">
        <v>34</v>
      </c>
      <c r="B40" s="251" t="n">
        <v>46237</v>
      </c>
      <c r="C40" s="155" t="inlineStr">
        <is>
          <t>Nguyễn Thị Tiên</t>
        </is>
      </c>
      <c r="D40" s="166" t="n"/>
      <c r="E40" s="167" t="n">
        <v>65</v>
      </c>
      <c r="F40" s="168" t="inlineStr">
        <is>
          <t xml:space="preserve">PT điều trị hội chứng ống cổ tay </t>
        </is>
      </c>
      <c r="G40" s="166" t="inlineStr">
        <is>
          <t>Loại 1</t>
        </is>
      </c>
      <c r="H40" s="156" t="n">
        <v>1301200</v>
      </c>
      <c r="I40" s="145" t="inlineStr">
        <is>
          <t>SƠN</t>
        </is>
      </c>
      <c r="J40" s="146">
        <f>R40-L40-N40-P40-Q40</f>
        <v/>
      </c>
      <c r="K40" s="146" t="n"/>
      <c r="L40" s="146">
        <f>IF(K40="-",0,H40*0.03)</f>
        <v/>
      </c>
      <c r="M40" s="146" t="n"/>
      <c r="N40" s="146">
        <f>IF(M40="-",0,H40*0.02)</f>
        <v/>
      </c>
      <c r="O40" s="146" t="n"/>
      <c r="P40" s="146">
        <f>IF(O40="-",0,H40*0.01)</f>
        <v/>
      </c>
      <c r="Q40" s="146">
        <f>H40*0.005</f>
        <v/>
      </c>
      <c r="R40" s="146">
        <f>IF(I40="V.Tân",H40*0.1375,IF(I40="nguyện",H40*0.1375,IF(I40="TOẢN",H40*0.1375,H40*0.17)))</f>
        <v/>
      </c>
      <c r="S40" s="147" t="n"/>
      <c r="T40" s="147" t="n"/>
      <c r="U40" s="147" t="n"/>
      <c r="V40" s="147" t="n"/>
    </row>
    <row r="41" ht="15" customFormat="1" customHeight="1" s="21">
      <c r="A41" s="144" t="n">
        <v>35</v>
      </c>
      <c r="B41" s="251" t="n">
        <v>46237</v>
      </c>
      <c r="C41" s="155" t="inlineStr">
        <is>
          <t>Nguyễn Thị Tiên</t>
        </is>
      </c>
      <c r="D41" s="166" t="n"/>
      <c r="E41" s="167" t="n">
        <v>65</v>
      </c>
      <c r="F41" s="168" t="inlineStr">
        <is>
          <t>PT điều trị hội chứng ống cổ tay (50%)</t>
        </is>
      </c>
      <c r="G41" s="166" t="inlineStr">
        <is>
          <t>Loại 1</t>
        </is>
      </c>
      <c r="H41" s="156" t="n">
        <v>0</v>
      </c>
      <c r="I41" s="145" t="inlineStr">
        <is>
          <t>SƠN</t>
        </is>
      </c>
      <c r="J41" s="146">
        <f>R41-L41-N41-P41-Q41</f>
        <v/>
      </c>
      <c r="K41" s="146" t="n"/>
      <c r="L41" s="146">
        <f>IF(K41="-",0,H41*0.03)</f>
        <v/>
      </c>
      <c r="M41" s="146" t="n"/>
      <c r="N41" s="146">
        <f>IF(M41="-",0,H41*0.02)</f>
        <v/>
      </c>
      <c r="O41" s="146" t="n"/>
      <c r="P41" s="146">
        <f>IF(O41="-",0,H41*0.01)</f>
        <v/>
      </c>
      <c r="Q41" s="146">
        <f>H41*0.005</f>
        <v/>
      </c>
      <c r="R41" s="146">
        <f>IF(I41="V.Tân",H41*0.1375,IF(I41="nguyện",H41*0.1375,IF(I41="TOẢN",H41*0.1375,H41*0.17)))</f>
        <v/>
      </c>
      <c r="S41" s="147" t="n"/>
      <c r="T41" s="147" t="n"/>
      <c r="U41" s="147" t="n"/>
      <c r="V41" s="147" t="n"/>
    </row>
    <row r="42" ht="15" customFormat="1" customHeight="1" s="21">
      <c r="A42" s="144" t="n">
        <v>36</v>
      </c>
      <c r="B42" s="251" t="n">
        <v>46238</v>
      </c>
      <c r="C42" s="155" t="inlineStr">
        <is>
          <t>Thái Thiện Thảo</t>
        </is>
      </c>
      <c r="D42" s="166" t="n">
        <v>57</v>
      </c>
      <c r="E42" s="167" t="n"/>
      <c r="F42" s="168" t="inlineStr">
        <is>
          <t>PT giải phóng chèn ép thần kinh ngoại biên</t>
        </is>
      </c>
      <c r="G42" s="166" t="inlineStr">
        <is>
          <t>Loại 1</t>
        </is>
      </c>
      <c r="H42" s="156" t="n">
        <v>2301200</v>
      </c>
      <c r="I42" s="145" t="inlineStr">
        <is>
          <t>SƠN</t>
        </is>
      </c>
      <c r="J42" s="146">
        <f>R42-L42-N42-P42-Q42</f>
        <v/>
      </c>
      <c r="K42" s="146" t="n"/>
      <c r="L42" s="146">
        <f>IF(K42="-",0,H42*0.03)</f>
        <v/>
      </c>
      <c r="M42" s="146" t="n"/>
      <c r="N42" s="146">
        <f>IF(M42="-",0,H42*0.02)</f>
        <v/>
      </c>
      <c r="O42" s="146" t="n"/>
      <c r="P42" s="146">
        <f>IF(O42="-",0,H42*0.01)</f>
        <v/>
      </c>
      <c r="Q42" s="146">
        <f>H42*0.005</f>
        <v/>
      </c>
      <c r="R42" s="146">
        <f>IF(I42="V.Tân",H42*0.1375,IF(I42="nguyện",H42*0.1375,IF(I42="TOẢN",H42*0.1375,H42*0.17)))</f>
        <v/>
      </c>
      <c r="S42" s="147" t="n"/>
      <c r="T42" s="147" t="n"/>
      <c r="U42" s="147" t="n"/>
      <c r="V42" s="147" t="n"/>
    </row>
    <row r="43" ht="15" customFormat="1" customHeight="1" s="21">
      <c r="A43" s="144" t="n">
        <v>37</v>
      </c>
      <c r="B43" s="251" t="n">
        <v>46238</v>
      </c>
      <c r="C43" s="155" t="inlineStr">
        <is>
          <t>Trần Minh Kha</t>
        </is>
      </c>
      <c r="D43" s="166" t="n">
        <v>32</v>
      </c>
      <c r="E43" s="167" t="n"/>
      <c r="F43" s="168" t="inlineStr">
        <is>
          <t>Cắt u lành phần mềm đường kính dưới 10 cm</t>
        </is>
      </c>
      <c r="G43" s="166" t="inlineStr">
        <is>
          <t>Loại 2</t>
        </is>
      </c>
      <c r="H43" s="156" t="n">
        <v>859300</v>
      </c>
      <c r="I43" s="145" t="inlineStr">
        <is>
          <t>BẢO</t>
        </is>
      </c>
      <c r="J43" s="146">
        <f>R43-L43-N43-P43-Q43</f>
        <v/>
      </c>
      <c r="K43" s="146" t="n"/>
      <c r="L43" s="146">
        <f>IF(K43="-",0,H43*0.03)</f>
        <v/>
      </c>
      <c r="M43" s="146" t="n"/>
      <c r="N43" s="146">
        <f>IF(M43="-",0,H43*0.02)</f>
        <v/>
      </c>
      <c r="O43" s="146" t="n"/>
      <c r="P43" s="146">
        <f>IF(O43="-",0,H43*0.01)</f>
        <v/>
      </c>
      <c r="Q43" s="146">
        <f>H43*0.005</f>
        <v/>
      </c>
      <c r="R43" s="146">
        <f>IF(I43="V.Tân",H43*0.1375,IF(I43="nguyện",H43*0.1375,IF(I43="TOẢN",H43*0.1375,H43*0.17)))</f>
        <v/>
      </c>
      <c r="S43" s="147" t="n"/>
      <c r="T43" s="147" t="n"/>
      <c r="U43" s="147" t="n"/>
      <c r="V43" s="147" t="n"/>
    </row>
    <row r="44" ht="15" customFormat="1" customHeight="1" s="21">
      <c r="A44" s="144" t="n">
        <v>38</v>
      </c>
      <c r="B44" s="251" t="n">
        <v>46238</v>
      </c>
      <c r="C44" s="155" t="inlineStr">
        <is>
          <t>Trần Phương Đông</t>
        </is>
      </c>
      <c r="D44" s="166" t="n">
        <v>49</v>
      </c>
      <c r="E44" s="167" t="n"/>
      <c r="F44" s="168" t="inlineStr">
        <is>
          <t>Cắt lọc hoại tử ổ loét vết thương mạn tính</t>
        </is>
      </c>
      <c r="G44" s="166" t="inlineStr">
        <is>
          <t>Loại 2</t>
        </is>
      </c>
      <c r="H44" s="156" t="n">
        <v>2128200</v>
      </c>
      <c r="I44" s="145" t="inlineStr">
        <is>
          <t>G.TỬ</t>
        </is>
      </c>
      <c r="J44" s="146">
        <f>R44-L44-N44-P44-Q44</f>
        <v/>
      </c>
      <c r="K44" s="146" t="n"/>
      <c r="L44" s="146">
        <f>IF(K44="-",0,H44*0.03)</f>
        <v/>
      </c>
      <c r="M44" s="146" t="n"/>
      <c r="N44" s="146">
        <f>IF(M44="-",0,H44*0.02)</f>
        <v/>
      </c>
      <c r="O44" s="146" t="n"/>
      <c r="P44" s="146">
        <f>IF(O44="-",0,H44*0.01)</f>
        <v/>
      </c>
      <c r="Q44" s="146">
        <f>H44*0.005</f>
        <v/>
      </c>
      <c r="R44" s="146">
        <f>IF(I44="V.Tân",H44*0.1375,IF(I44="nguyện",H44*0.1375,IF(I44="TOẢN",H44*0.1375,H44*0.17)))</f>
        <v/>
      </c>
      <c r="S44" s="147" t="n"/>
      <c r="T44" s="147" t="n"/>
      <c r="U44" s="147" t="n"/>
      <c r="V44" s="147" t="n"/>
    </row>
    <row r="45" ht="15" customFormat="1" customHeight="1" s="21">
      <c r="A45" s="144" t="n">
        <v>39</v>
      </c>
      <c r="B45" s="251" t="n">
        <v>46238</v>
      </c>
      <c r="C45" s="155" t="inlineStr">
        <is>
          <t>Phạm Thị Thanh Trúc</t>
        </is>
      </c>
      <c r="D45" s="166" t="n"/>
      <c r="E45" s="167" t="n">
        <v>48</v>
      </c>
      <c r="F45" s="168" t="inlineStr">
        <is>
          <t>PT vết thương phần mềm đơn giản</t>
        </is>
      </c>
      <c r="G45" s="166" t="inlineStr">
        <is>
          <t>Loại 2</t>
        </is>
      </c>
      <c r="H45" s="156" t="n">
        <v>1233000</v>
      </c>
      <c r="I45" s="145" t="inlineStr">
        <is>
          <t>G.TỬ</t>
        </is>
      </c>
      <c r="J45" s="146">
        <f>R45-L45-N45-P45-Q45</f>
        <v/>
      </c>
      <c r="K45" s="146" t="n"/>
      <c r="L45" s="146">
        <f>IF(K45="-",0,H45*0.03)</f>
        <v/>
      </c>
      <c r="M45" s="146" t="n"/>
      <c r="N45" s="146">
        <f>IF(M45="-",0,H45*0.02)</f>
        <v/>
      </c>
      <c r="O45" s="146" t="n"/>
      <c r="P45" s="146">
        <f>IF(O45="-",0,H45*0.01)</f>
        <v/>
      </c>
      <c r="Q45" s="146">
        <f>H45*0.005</f>
        <v/>
      </c>
      <c r="R45" s="146">
        <f>IF(I45="V.Tân",H45*0.1375,IF(I45="nguyện",H45*0.1375,IF(I45="TOẢN",H45*0.1375,H45*0.17)))</f>
        <v/>
      </c>
      <c r="S45" s="147" t="n"/>
      <c r="T45" s="147" t="n"/>
      <c r="U45" s="147" t="n"/>
      <c r="V45" s="147" t="n"/>
    </row>
    <row r="46" ht="15" customFormat="1" customHeight="1" s="21">
      <c r="A46" s="144" t="n">
        <v>40</v>
      </c>
      <c r="B46" s="251" t="n">
        <v>46238</v>
      </c>
      <c r="C46" s="155" t="inlineStr">
        <is>
          <t>Nguyễn Thị Năm</t>
        </is>
      </c>
      <c r="D46" s="166" t="n"/>
      <c r="E46" s="167" t="n">
        <v>71</v>
      </c>
      <c r="F46" s="168" t="inlineStr">
        <is>
          <t>PT KHX trên màn hình tăng sáng</t>
        </is>
      </c>
      <c r="G46" s="166" t="inlineStr">
        <is>
          <t>Đặc biệt</t>
        </is>
      </c>
      <c r="H46" s="156" t="n">
        <v>0</v>
      </c>
      <c r="I46" s="145" t="inlineStr">
        <is>
          <t>HOAN</t>
        </is>
      </c>
      <c r="J46" s="146">
        <f>R46-L46-N46-P46-Q46</f>
        <v/>
      </c>
      <c r="K46" s="146" t="inlineStr">
        <is>
          <t>V.TÂN</t>
        </is>
      </c>
      <c r="L46" s="146">
        <f>IF(K46="-",0,H46*0.03)</f>
        <v/>
      </c>
      <c r="M46" s="146" t="inlineStr">
        <is>
          <t>BẢO</t>
        </is>
      </c>
      <c r="N46" s="146">
        <f>IF(M46="-",0,H46*0.02)</f>
        <v/>
      </c>
      <c r="O46" s="146" t="n"/>
      <c r="P46" s="146">
        <f>IF(O46="-",0,H46*0.01)</f>
        <v/>
      </c>
      <c r="Q46" s="146">
        <f>H46*0.005</f>
        <v/>
      </c>
      <c r="R46" s="146">
        <f>IF(I46="V.Tân",H46*0.1375,IF(I46="nguyện",H46*0.1375,IF(I46="TOẢN",H46*0.1375,H46*0.17)))</f>
        <v/>
      </c>
      <c r="S46" s="147" t="n"/>
      <c r="T46" s="147" t="n"/>
      <c r="U46" s="147" t="n"/>
      <c r="V46" s="147" t="n"/>
    </row>
    <row r="47" ht="15" customFormat="1" customHeight="1" s="21">
      <c r="A47" s="144" t="n">
        <v>41</v>
      </c>
      <c r="B47" s="251" t="n">
        <v>46238</v>
      </c>
      <c r="C47" s="155" t="inlineStr">
        <is>
          <t>Trương Cẩm Tú</t>
        </is>
      </c>
      <c r="D47" s="166" t="n"/>
      <c r="E47" s="167" t="n">
        <v>32</v>
      </c>
      <c r="F47" s="168" t="inlineStr">
        <is>
          <t>PT thay toàn bộ khớp háng</t>
        </is>
      </c>
      <c r="G47" s="166" t="inlineStr">
        <is>
          <t>Đặc biệt</t>
        </is>
      </c>
      <c r="H47" s="156" t="n">
        <v>3525500</v>
      </c>
      <c r="I47" s="145" t="inlineStr">
        <is>
          <t>HOAN</t>
        </is>
      </c>
      <c r="J47" s="146">
        <f>R47-L47-N47-P47-Q47</f>
        <v/>
      </c>
      <c r="K47" s="146" t="inlineStr">
        <is>
          <t>DUY</t>
        </is>
      </c>
      <c r="L47" s="146">
        <f>IF(K47="-",0,H47*0.03)</f>
        <v/>
      </c>
      <c r="M47" s="146" t="inlineStr">
        <is>
          <t>BẢO</t>
        </is>
      </c>
      <c r="N47" s="146">
        <f>IF(M47="-",0,H47*0.02)</f>
        <v/>
      </c>
      <c r="O47" s="146" t="n"/>
      <c r="P47" s="146">
        <f>IF(O47="-",0,H47*0.01)</f>
        <v/>
      </c>
      <c r="Q47" s="146">
        <f>H47*0.005</f>
        <v/>
      </c>
      <c r="R47" s="146">
        <f>IF(I47="V.Tân",H47*0.1375,IF(I47="nguyện",H47*0.1375,IF(I47="TOẢN",H47*0.1375,H47*0.17)))</f>
        <v/>
      </c>
      <c r="S47" s="147" t="n"/>
      <c r="T47" s="147" t="n"/>
      <c r="U47" s="147" t="n"/>
      <c r="V47" s="147" t="n"/>
    </row>
    <row r="48" ht="15" customFormat="1" customHeight="1" s="21">
      <c r="A48" s="144" t="n">
        <v>42</v>
      </c>
      <c r="B48" s="251" t="n">
        <v>46238</v>
      </c>
      <c r="C48" s="155" t="inlineStr">
        <is>
          <t>La Bích Lệ</t>
        </is>
      </c>
      <c r="D48" s="166" t="n"/>
      <c r="E48" s="167" t="n">
        <v>77</v>
      </c>
      <c r="F48" s="168" t="inlineStr">
        <is>
          <t>PT thay toàn bộ khớp gối</t>
        </is>
      </c>
      <c r="G48" s="166" t="inlineStr">
        <is>
          <t>Đặc biệt</t>
        </is>
      </c>
      <c r="H48" s="156" t="n">
        <v>3525500</v>
      </c>
      <c r="I48" s="145" t="inlineStr">
        <is>
          <t>HOAN</t>
        </is>
      </c>
      <c r="J48" s="146">
        <f>R48-L48-N48-P48-Q48</f>
        <v/>
      </c>
      <c r="K48" s="146" t="inlineStr">
        <is>
          <t>SƠN</t>
        </is>
      </c>
      <c r="L48" s="146">
        <f>IF(K48="-",0,H48*0.03)</f>
        <v/>
      </c>
      <c r="M48" s="146" t="inlineStr">
        <is>
          <t>DUY</t>
        </is>
      </c>
      <c r="N48" s="146">
        <f>IF(M48="-",0,H48*0.02)</f>
        <v/>
      </c>
      <c r="O48" s="146" t="n"/>
      <c r="P48" s="146">
        <f>IF(O48="-",0,H48*0.01)</f>
        <v/>
      </c>
      <c r="Q48" s="146">
        <f>H48*0.005</f>
        <v/>
      </c>
      <c r="R48" s="146">
        <f>IF(I48="V.Tân",H48*0.1375,IF(I48="nguyện",H48*0.1375,IF(I48="TOẢN",H48*0.1375,H48*0.17)))</f>
        <v/>
      </c>
      <c r="S48" s="147" t="n"/>
      <c r="T48" s="147" t="n"/>
      <c r="U48" s="147" t="n"/>
      <c r="V48" s="147" t="n"/>
    </row>
    <row r="49" ht="15" customFormat="1" customHeight="1" s="21">
      <c r="A49" s="144" t="n">
        <v>43</v>
      </c>
      <c r="B49" s="251" t="n">
        <v>46238</v>
      </c>
      <c r="C49" s="155" t="inlineStr">
        <is>
          <t>Phạm Thị Ngọc Ánh</t>
        </is>
      </c>
      <c r="D49" s="166" t="n"/>
      <c r="E49" s="167" t="n">
        <v>69</v>
      </c>
      <c r="F49" s="168" t="inlineStr">
        <is>
          <t>PT trật khớp háng</t>
        </is>
      </c>
      <c r="G49" s="166" t="inlineStr">
        <is>
          <t>Loại 1</t>
        </is>
      </c>
      <c r="H49" s="156" t="n">
        <v>0</v>
      </c>
      <c r="I49" s="145" t="inlineStr">
        <is>
          <t>SƠN</t>
        </is>
      </c>
      <c r="J49" s="146">
        <f>R49-L49-N49-P49-Q49</f>
        <v/>
      </c>
      <c r="K49" s="146" t="inlineStr">
        <is>
          <t>DUY</t>
        </is>
      </c>
      <c r="L49" s="146">
        <f>IF(K49="-",0,H49*0.03)</f>
        <v/>
      </c>
      <c r="M49" s="146" t="n"/>
      <c r="N49" s="146">
        <f>IF(M49="-",0,H49*0.02)</f>
        <v/>
      </c>
      <c r="O49" s="146" t="n"/>
      <c r="P49" s="146">
        <f>IF(O49="-",0,H49*0.01)</f>
        <v/>
      </c>
      <c r="Q49" s="146">
        <f>H49*0.005</f>
        <v/>
      </c>
      <c r="R49" s="146">
        <f>IF(I49="V.Tân",H49*0.1375,IF(I49="nguyện",H49*0.1375,IF(I49="TOẢN",H49*0.1375,H49*0.17)))</f>
        <v/>
      </c>
      <c r="S49" s="147" t="n"/>
      <c r="T49" s="147" t="n"/>
      <c r="U49" s="147" t="n"/>
      <c r="V49" s="147" t="n"/>
    </row>
    <row r="50" ht="15" customFormat="1" customHeight="1" s="21">
      <c r="A50" s="144" t="n">
        <v>44</v>
      </c>
      <c r="B50" s="251" t="n">
        <v>46238</v>
      </c>
      <c r="C50" s="155" t="inlineStr">
        <is>
          <t>Nguyễn Thị Ánh Loan</t>
        </is>
      </c>
      <c r="D50" s="166" t="n"/>
      <c r="E50" s="167" t="n">
        <v>59</v>
      </c>
      <c r="F50" s="168" t="inlineStr">
        <is>
          <t>PT KHX trên màn hình tăng sáng</t>
        </is>
      </c>
      <c r="G50" s="166" t="n"/>
      <c r="H50" s="156" t="n">
        <v>9972000</v>
      </c>
      <c r="I50" s="145" t="inlineStr">
        <is>
          <t>DUY</t>
        </is>
      </c>
      <c r="J50" s="146">
        <f>R50-L50-N50-P50-Q50</f>
        <v/>
      </c>
      <c r="K50" s="146" t="n"/>
      <c r="L50" s="146">
        <f>IF(K50="-",0,H50*0.03)</f>
        <v/>
      </c>
      <c r="M50" s="146" t="n"/>
      <c r="N50" s="146">
        <f>IF(M50="-",0,H50*0.02)</f>
        <v/>
      </c>
      <c r="O50" s="146" t="n"/>
      <c r="P50" s="146">
        <f>IF(O50="-",0,H50*0.01)</f>
        <v/>
      </c>
      <c r="Q50" s="146">
        <f>H50*0.005</f>
        <v/>
      </c>
      <c r="R50" s="146">
        <f>IF(I50="V.Tân",H50*0.1375,IF(I50="nguyện",H50*0.1375,IF(I50="TOẢN",H50*0.1375,H50*0.17)))</f>
        <v/>
      </c>
      <c r="S50" s="147" t="n"/>
      <c r="T50" s="147" t="n"/>
      <c r="U50" s="147" t="n"/>
      <c r="V50" s="147" t="n"/>
    </row>
    <row r="51" ht="15" customFormat="1" customHeight="1" s="21">
      <c r="A51" s="144" t="n">
        <v>45</v>
      </c>
      <c r="B51" s="251" t="n">
        <v>46239</v>
      </c>
      <c r="C51" s="155" t="inlineStr">
        <is>
          <t>Dương Nhật Thái</t>
        </is>
      </c>
      <c r="D51" s="166" t="n">
        <v>18</v>
      </c>
      <c r="E51" s="167" t="n"/>
      <c r="F51" s="168" t="inlineStr">
        <is>
          <t>Rút đinh/ tháo phương tiện KHX</t>
        </is>
      </c>
      <c r="G51" s="166" t="inlineStr">
        <is>
          <t>Loại 2</t>
        </is>
      </c>
      <c r="H51" s="156" t="n">
        <v>2559100</v>
      </c>
      <c r="I51" s="145" t="inlineStr">
        <is>
          <t>V.TÂN</t>
        </is>
      </c>
      <c r="J51" s="146">
        <f>R51-L51-N51-P51-Q51</f>
        <v/>
      </c>
      <c r="K51" s="146" t="n"/>
      <c r="L51" s="146">
        <f>IF(K51="-",0,H51*0.03)</f>
        <v/>
      </c>
      <c r="M51" s="146" t="n"/>
      <c r="N51" s="146">
        <f>IF(M51="-",0,H51*0.02)</f>
        <v/>
      </c>
      <c r="O51" s="146" t="n"/>
      <c r="P51" s="146">
        <f>IF(O51="-",0,H51*0.01)</f>
        <v/>
      </c>
      <c r="Q51" s="146">
        <f>H51*0.005</f>
        <v/>
      </c>
      <c r="R51" s="146">
        <f>IF(I51="V.Tân",H51*0.1375,IF(I51="nguyện",H51*0.1375,IF(I51="TOẢN",H51*0.1375,H51*0.17)))</f>
        <v/>
      </c>
      <c r="S51" s="147" t="n"/>
      <c r="T51" s="147" t="n"/>
      <c r="U51" s="147" t="n"/>
      <c r="V51" s="147" t="n"/>
    </row>
    <row r="52" ht="15" customFormat="1" customHeight="1" s="21">
      <c r="A52" s="144" t="n">
        <v>46</v>
      </c>
      <c r="B52" s="251" t="n">
        <v>46239</v>
      </c>
      <c r="C52" s="155" t="inlineStr">
        <is>
          <t>Võ Minh Trí</t>
        </is>
      </c>
      <c r="D52" s="166" t="n">
        <v>32</v>
      </c>
      <c r="E52" s="167" t="n"/>
      <c r="F52" s="168" t="inlineStr">
        <is>
          <t>Rút đinh/ tháo phương tiện KHX</t>
        </is>
      </c>
      <c r="G52" s="166" t="inlineStr">
        <is>
          <t>Loại 2</t>
        </is>
      </c>
      <c r="H52" s="156" t="n">
        <v>2559100</v>
      </c>
      <c r="I52" s="145" t="inlineStr">
        <is>
          <t>TOẢN</t>
        </is>
      </c>
      <c r="J52" s="146">
        <f>R52-L52-N52-P52-Q52</f>
        <v/>
      </c>
      <c r="K52" s="146" t="n"/>
      <c r="L52" s="146">
        <f>IF(K52="-",0,H52*0.03)</f>
        <v/>
      </c>
      <c r="M52" s="146" t="n"/>
      <c r="N52" s="146">
        <f>IF(M52="-",0,H52*0.02)</f>
        <v/>
      </c>
      <c r="O52" s="146" t="n"/>
      <c r="P52" s="146">
        <f>IF(O52="-",0,H52*0.01)</f>
        <v/>
      </c>
      <c r="Q52" s="146">
        <f>H52*0.005</f>
        <v/>
      </c>
      <c r="R52" s="146">
        <f>IF(I52="V.Tân",H52*0.1375,IF(I52="nguyện",H52*0.1375,IF(I52="TOẢN",H52*0.1375,H52*0.17)))</f>
        <v/>
      </c>
      <c r="S52" s="147" t="n"/>
      <c r="T52" s="147" t="n"/>
      <c r="U52" s="147" t="n"/>
      <c r="V52" s="147" t="n"/>
    </row>
    <row r="53" ht="15" customFormat="1" customHeight="1" s="21">
      <c r="A53" s="144" t="n">
        <v>47</v>
      </c>
      <c r="B53" s="251" t="n">
        <v>46239</v>
      </c>
      <c r="C53" s="155" t="inlineStr">
        <is>
          <t>Nguyễn Văn Hưởng</t>
        </is>
      </c>
      <c r="D53" s="166" t="n">
        <v>34</v>
      </c>
      <c r="E53" s="167" t="n"/>
      <c r="F53" s="168" t="inlineStr">
        <is>
          <t>PT chuyển gân điều trị bàn chân rủ do liệt vận động</t>
        </is>
      </c>
      <c r="G53" s="166" t="inlineStr">
        <is>
          <t>Loại 1</t>
        </is>
      </c>
      <c r="H53" s="156" t="n">
        <v>3679400</v>
      </c>
      <c r="I53" s="145" t="inlineStr">
        <is>
          <t>HOAN</t>
        </is>
      </c>
      <c r="J53" s="146">
        <f>R53-L53-N53-P53-Q53</f>
        <v/>
      </c>
      <c r="K53" s="146" t="inlineStr">
        <is>
          <t>TOẢN</t>
        </is>
      </c>
      <c r="L53" s="146">
        <f>IF(K53="-",0,H53*0.03)</f>
        <v/>
      </c>
      <c r="M53" s="146" t="inlineStr">
        <is>
          <t>V.TÂN</t>
        </is>
      </c>
      <c r="N53" s="146">
        <f>IF(M53="-",0,H53*0.02)</f>
        <v/>
      </c>
      <c r="O53" s="146" t="n"/>
      <c r="P53" s="146">
        <f>IF(O53="-",0,H53*0.01)</f>
        <v/>
      </c>
      <c r="Q53" s="146">
        <f>H53*0.005</f>
        <v/>
      </c>
      <c r="R53" s="146">
        <f>IF(I53="V.Tân",H53*0.1375,IF(I53="nguyện",H53*0.1375,IF(I53="TOẢN",H53*0.1375,H53*0.17)))</f>
        <v/>
      </c>
      <c r="S53" s="147" t="n"/>
      <c r="T53" s="147" t="n"/>
      <c r="U53" s="147" t="n"/>
      <c r="V53" s="147" t="n"/>
    </row>
    <row r="54" ht="15" customFormat="1" customHeight="1" s="21">
      <c r="A54" s="144" t="n">
        <v>48</v>
      </c>
      <c r="B54" s="251" t="n">
        <v>46239</v>
      </c>
      <c r="C54" s="155" t="inlineStr">
        <is>
          <t>Lâm Thị Thúy</t>
        </is>
      </c>
      <c r="D54" s="166" t="n"/>
      <c r="E54" s="167" t="n"/>
      <c r="F54" s="168" t="inlineStr">
        <is>
          <t>PT lấy đĩa đệm cột sống thắt lưng qua da</t>
        </is>
      </c>
      <c r="G54" s="166" t="n"/>
      <c r="H54" s="156" t="n">
        <v>8993000</v>
      </c>
      <c r="I54" s="145" t="inlineStr">
        <is>
          <t>TUẤN</t>
        </is>
      </c>
      <c r="J54" s="146">
        <f>R54-L54-N54-P54-Q54</f>
        <v/>
      </c>
      <c r="K54" s="146" t="n"/>
      <c r="L54" s="146">
        <f>IF(K54="-",0,H54*0.03)</f>
        <v/>
      </c>
      <c r="M54" s="146" t="n"/>
      <c r="N54" s="146">
        <f>IF(M54="-",0,H54*0.02)</f>
        <v/>
      </c>
      <c r="O54" s="146" t="n"/>
      <c r="P54" s="146">
        <f>IF(O54="-",0,H54*0.01)</f>
        <v/>
      </c>
      <c r="Q54" s="146">
        <f>H54*0.005</f>
        <v/>
      </c>
      <c r="R54" s="146">
        <f>IF(I54="V.Tân",H54*0.1375,IF(I54="nguyện",H54*0.1375,IF(I54="TOẢN",H54*0.1375,H54*0.17)))</f>
        <v/>
      </c>
      <c r="S54" s="147" t="n"/>
      <c r="T54" s="147" t="n"/>
      <c r="U54" s="147" t="n"/>
      <c r="V54" s="147" t="n"/>
    </row>
    <row r="55" ht="15" customFormat="1" customHeight="1" s="21">
      <c r="A55" s="144" t="n">
        <v>49</v>
      </c>
      <c r="B55" s="251" t="n">
        <v>46240</v>
      </c>
      <c r="C55" s="155" t="inlineStr">
        <is>
          <t>Đặng Thanh Phong</t>
        </is>
      </c>
      <c r="D55" s="166" t="n">
        <v>50</v>
      </c>
      <c r="E55" s="167" t="n"/>
      <c r="F55" s="168" t="inlineStr">
        <is>
          <t>PTNS tái tạo dây chằng chéo sau</t>
        </is>
      </c>
      <c r="G55" s="166" t="inlineStr">
        <is>
          <t>Đặc biệt</t>
        </is>
      </c>
      <c r="H55" s="156" t="n">
        <v>3405500</v>
      </c>
      <c r="I55" s="145" t="inlineStr">
        <is>
          <t>SƠN</t>
        </is>
      </c>
      <c r="J55" s="146">
        <f>R55-L55-N55-P55-Q55</f>
        <v/>
      </c>
      <c r="K55" s="146" t="n"/>
      <c r="L55" s="146">
        <f>IF(K55="-",0,H55*0.03)</f>
        <v/>
      </c>
      <c r="M55" s="146" t="n"/>
      <c r="N55" s="146">
        <f>IF(M55="-",0,H55*0.02)</f>
        <v/>
      </c>
      <c r="O55" s="146" t="n"/>
      <c r="P55" s="146">
        <f>IF(O55="-",0,H55*0.01)</f>
        <v/>
      </c>
      <c r="Q55" s="146">
        <f>H55*0.005</f>
        <v/>
      </c>
      <c r="R55" s="146">
        <f>IF(I55="V.Tân",H55*0.1375,IF(I55="nguyện",H55*0.1375,IF(I55="TOẢN",H55*0.1375,H55*0.17)))</f>
        <v/>
      </c>
      <c r="S55" s="147" t="n"/>
      <c r="T55" s="147" t="n"/>
      <c r="U55" s="147" t="n"/>
      <c r="V55" s="147" t="n"/>
    </row>
    <row r="56" ht="15" customFormat="1" customHeight="1" s="21">
      <c r="A56" s="144" t="n">
        <v>50</v>
      </c>
      <c r="B56" s="251" t="n">
        <v>46240</v>
      </c>
      <c r="C56" s="155" t="inlineStr">
        <is>
          <t>Phan Thượng Hải</t>
        </is>
      </c>
      <c r="D56" s="166" t="n">
        <v>54</v>
      </c>
      <c r="E56" s="167" t="n"/>
      <c r="F56" s="168" t="inlineStr">
        <is>
          <t>PT thay toàn bộ khớp háng</t>
        </is>
      </c>
      <c r="G56" s="166" t="inlineStr">
        <is>
          <t>Đặc biệt</t>
        </is>
      </c>
      <c r="H56" s="156" t="n">
        <v>3525500</v>
      </c>
      <c r="I56" s="145" t="inlineStr">
        <is>
          <t>HOAN</t>
        </is>
      </c>
      <c r="J56" s="146">
        <f>R56-L56-N56-P56-Q56</f>
        <v/>
      </c>
      <c r="K56" s="146" t="inlineStr">
        <is>
          <t>SƠN</t>
        </is>
      </c>
      <c r="L56" s="146">
        <f>IF(K56="-",0,H56*0.03)</f>
        <v/>
      </c>
      <c r="M56" s="146" t="inlineStr">
        <is>
          <t>G.TỬ</t>
        </is>
      </c>
      <c r="N56" s="146">
        <f>IF(M56="-",0,H56*0.02)</f>
        <v/>
      </c>
      <c r="O56" s="146" t="n"/>
      <c r="P56" s="146">
        <f>IF(O56="-",0,H56*0.01)</f>
        <v/>
      </c>
      <c r="Q56" s="146">
        <f>H56*0.005</f>
        <v/>
      </c>
      <c r="R56" s="146">
        <f>IF(I56="V.Tân",H56*0.1375,IF(I56="nguyện",H56*0.1375,IF(I56="TOẢN",H56*0.1375,H56*0.17)))</f>
        <v/>
      </c>
      <c r="S56" s="147" t="n"/>
      <c r="T56" s="147" t="n"/>
      <c r="U56" s="147" t="n"/>
      <c r="V56" s="147" t="n"/>
    </row>
    <row r="57" ht="15" customFormat="1" customHeight="1" s="21">
      <c r="A57" s="144" t="n">
        <v>51</v>
      </c>
      <c r="B57" s="251" t="n">
        <v>46240</v>
      </c>
      <c r="C57" s="155" t="inlineStr">
        <is>
          <t>Nguyễn Văn Khải</t>
        </is>
      </c>
      <c r="D57" s="166" t="n">
        <v>75</v>
      </c>
      <c r="E57" s="167" t="n"/>
      <c r="F57" s="168" t="inlineStr">
        <is>
          <t>KHX trên màn hình tăng sáng</t>
        </is>
      </c>
      <c r="G57" s="166" t="inlineStr">
        <is>
          <t>Đặc biệt</t>
        </is>
      </c>
      <c r="H57" s="156" t="n">
        <v>4497500</v>
      </c>
      <c r="I57" s="145" t="inlineStr">
        <is>
          <t>BẢO</t>
        </is>
      </c>
      <c r="J57" s="146">
        <f>R57-L57-N57-P57-Q57</f>
        <v/>
      </c>
      <c r="K57" s="146" t="inlineStr">
        <is>
          <t>G.TỬ</t>
        </is>
      </c>
      <c r="L57" s="146">
        <f>IF(K57="-",0,H57*0.03)</f>
        <v/>
      </c>
      <c r="M57" s="146" t="n"/>
      <c r="N57" s="146">
        <f>IF(M57="-",0,H57*0.02)</f>
        <v/>
      </c>
      <c r="O57" s="146" t="n"/>
      <c r="P57" s="146">
        <f>IF(O57="-",0,H57*0.01)</f>
        <v/>
      </c>
      <c r="Q57" s="146">
        <f>H57*0.005</f>
        <v/>
      </c>
      <c r="R57" s="146">
        <f>IF(I57="V.Tân",H57*0.1375,IF(I57="nguyện",H57*0.1375,IF(I57="TOẢN",H57*0.1375,H57*0.17)))</f>
        <v/>
      </c>
      <c r="S57" s="147" t="n"/>
      <c r="T57" s="147" t="n"/>
      <c r="U57" s="147" t="n"/>
      <c r="V57" s="147" t="n"/>
    </row>
    <row r="58" ht="15" customFormat="1" customHeight="1" s="21">
      <c r="A58" s="144" t="n">
        <v>52</v>
      </c>
      <c r="B58" s="251" t="n">
        <v>46241</v>
      </c>
      <c r="C58" s="155" t="inlineStr">
        <is>
          <t>Lê Thị Hạnh</t>
        </is>
      </c>
      <c r="D58" s="166" t="n"/>
      <c r="E58" s="167" t="n">
        <v>51</v>
      </c>
      <c r="F58" s="168" t="inlineStr">
        <is>
          <t xml:space="preserve">PT điều trị hội chứng ống cổ tay </t>
        </is>
      </c>
      <c r="G58" s="166" t="inlineStr">
        <is>
          <t>Loại 1</t>
        </is>
      </c>
      <c r="H58" s="156" t="n">
        <v>1301200</v>
      </c>
      <c r="I58" s="145" t="inlineStr">
        <is>
          <t>DUY</t>
        </is>
      </c>
      <c r="J58" s="146">
        <f>R58-L58-N58-P58-Q58</f>
        <v/>
      </c>
      <c r="K58" s="146" t="n"/>
      <c r="L58" s="146">
        <f>IF(K58="-",0,H58*0.03)</f>
        <v/>
      </c>
      <c r="M58" s="146" t="n"/>
      <c r="N58" s="146">
        <f>IF(M58="-",0,H58*0.02)</f>
        <v/>
      </c>
      <c r="O58" s="146" t="n"/>
      <c r="P58" s="146">
        <f>IF(O58="-",0,H58*0.01)</f>
        <v/>
      </c>
      <c r="Q58" s="146">
        <f>H58*0.005</f>
        <v/>
      </c>
      <c r="R58" s="146">
        <f>IF(I58="V.Tân",H58*0.1375,IF(I58="nguyện",H58*0.1375,IF(I58="TOẢN",H58*0.1375,H58*0.17)))</f>
        <v/>
      </c>
      <c r="S58" s="147" t="n"/>
      <c r="T58" s="147" t="n"/>
      <c r="U58" s="147" t="n"/>
      <c r="V58" s="147" t="n"/>
    </row>
    <row r="59" ht="15" customFormat="1" customHeight="1" s="21">
      <c r="A59" s="144" t="n">
        <v>53</v>
      </c>
      <c r="B59" s="251" t="n">
        <v>46241</v>
      </c>
      <c r="C59" s="155" t="inlineStr">
        <is>
          <t>Lê Thị Hạnh</t>
        </is>
      </c>
      <c r="D59" s="166" t="n"/>
      <c r="E59" s="167" t="n">
        <v>51</v>
      </c>
      <c r="F59" s="168" t="inlineStr">
        <is>
          <t>PT điều trị hội chứng ống cổ tay (50%)</t>
        </is>
      </c>
      <c r="G59" s="166" t="inlineStr">
        <is>
          <t>Loại 1</t>
        </is>
      </c>
      <c r="H59" s="156" t="n">
        <v>0</v>
      </c>
      <c r="I59" s="145" t="inlineStr">
        <is>
          <t>DUY</t>
        </is>
      </c>
      <c r="J59" s="146">
        <f>R59-L59-N59-P59-Q59</f>
        <v/>
      </c>
      <c r="K59" s="146" t="n"/>
      <c r="L59" s="146">
        <f>IF(K59="-",0,H59*0.03)</f>
        <v/>
      </c>
      <c r="M59" s="146" t="n"/>
      <c r="N59" s="146">
        <f>IF(M59="-",0,H59*0.02)</f>
        <v/>
      </c>
      <c r="O59" s="146" t="n"/>
      <c r="P59" s="146">
        <f>IF(O59="-",0,H59*0.01)</f>
        <v/>
      </c>
      <c r="Q59" s="146">
        <f>H59*0.005</f>
        <v/>
      </c>
      <c r="R59" s="146">
        <f>IF(I59="V.Tân",H59*0.1375,IF(I59="nguyện",H59*0.1375,IF(I59="TOẢN",H59*0.1375,H59*0.17)))</f>
        <v/>
      </c>
      <c r="S59" s="147" t="n"/>
      <c r="T59" s="147" t="n"/>
      <c r="U59" s="147" t="n"/>
      <c r="V59" s="147" t="n"/>
    </row>
    <row r="60" ht="15" customFormat="1" customHeight="1" s="21">
      <c r="A60" s="144" t="n">
        <v>54</v>
      </c>
      <c r="B60" s="251" t="n">
        <v>46241</v>
      </c>
      <c r="C60" s="155" t="inlineStr">
        <is>
          <t>Tăng Thị Miền</t>
        </is>
      </c>
      <c r="D60" s="166" t="n"/>
      <c r="E60" s="167" t="n">
        <v>75</v>
      </c>
      <c r="F60" s="168" t="inlineStr">
        <is>
          <t>Cắt lọc hoại tử ổ loét vết thương mạn tính</t>
        </is>
      </c>
      <c r="G60" s="166" t="inlineStr">
        <is>
          <t>Loại 2</t>
        </is>
      </c>
      <c r="H60" s="156" t="n">
        <v>2127400</v>
      </c>
      <c r="I60" s="145" t="inlineStr">
        <is>
          <t>HOAN</t>
        </is>
      </c>
      <c r="J60" s="146">
        <f>R60-L60-N60-P60-Q60</f>
        <v/>
      </c>
      <c r="K60" s="146" t="inlineStr">
        <is>
          <t>TUẤN</t>
        </is>
      </c>
      <c r="L60" s="146">
        <f>IF(K60="-",0,H60*0.03)</f>
        <v/>
      </c>
      <c r="M60" s="146" t="inlineStr">
        <is>
          <t>BẢO</t>
        </is>
      </c>
      <c r="N60" s="146">
        <f>IF(M60="-",0,H60*0.02)</f>
        <v/>
      </c>
      <c r="O60" s="146" t="n"/>
      <c r="P60" s="146">
        <f>IF(O60="-",0,H60*0.01)</f>
        <v/>
      </c>
      <c r="Q60" s="146">
        <f>H60*0.005</f>
        <v/>
      </c>
      <c r="R60" s="146">
        <f>IF(I60="V.Tân",H60*0.1375,IF(I60="nguyện",H60*0.1375,IF(I60="TOẢN",H60*0.1375,H60*0.17)))</f>
        <v/>
      </c>
      <c r="S60" s="147" t="n"/>
      <c r="T60" s="147" t="n"/>
      <c r="U60" s="147" t="n"/>
      <c r="V60" s="147" t="n"/>
    </row>
    <row r="61" ht="15" customFormat="1" customHeight="1" s="21">
      <c r="A61" s="144" t="n">
        <v>55</v>
      </c>
      <c r="B61" s="251" t="n">
        <v>46241</v>
      </c>
      <c r="C61" s="155" t="inlineStr">
        <is>
          <t>Nguyễn Hữu Hiệp</t>
        </is>
      </c>
      <c r="D61" s="166" t="n">
        <v>53</v>
      </c>
      <c r="E61" s="167" t="n"/>
      <c r="F61" s="168" t="inlineStr">
        <is>
          <t>PT lấy đĩa đệm cột sống thắt lưng qua da</t>
        </is>
      </c>
      <c r="G61" s="166" t="n"/>
      <c r="H61" s="156" t="n">
        <v>8993000</v>
      </c>
      <c r="I61" s="145" t="inlineStr">
        <is>
          <t>TUẤN</t>
        </is>
      </c>
      <c r="J61" s="146" t="n"/>
      <c r="K61" s="146" t="n"/>
      <c r="L61" s="146" t="n"/>
      <c r="M61" s="146" t="n"/>
      <c r="N61" s="146" t="n"/>
      <c r="O61" s="146" t="n"/>
      <c r="P61" s="146" t="n"/>
      <c r="Q61" s="146" t="n"/>
      <c r="R61" s="146" t="n"/>
      <c r="S61" s="147" t="n"/>
      <c r="T61" s="147" t="n"/>
      <c r="U61" s="147" t="n"/>
      <c r="V61" s="147" t="n"/>
    </row>
    <row r="62" ht="15" customFormat="1" customHeight="1" s="21">
      <c r="A62" s="144" t="n">
        <v>56</v>
      </c>
      <c r="B62" s="251" t="n">
        <v>46241</v>
      </c>
      <c r="C62" s="155" t="inlineStr">
        <is>
          <t>Phạm Thị Bẩn</t>
        </is>
      </c>
      <c r="D62" s="166" t="n"/>
      <c r="E62" s="167" t="n">
        <v>61</v>
      </c>
      <c r="F62" s="168" t="inlineStr">
        <is>
          <t xml:space="preserve">PT điều trị hội chứng ống cổ tay </t>
        </is>
      </c>
      <c r="G62" s="166" t="inlineStr">
        <is>
          <t>Loại 1</t>
        </is>
      </c>
      <c r="H62" s="156" t="n">
        <v>1301200</v>
      </c>
      <c r="I62" s="145" t="inlineStr">
        <is>
          <t>V.TÂN</t>
        </is>
      </c>
      <c r="J62" s="146" t="n"/>
      <c r="K62" s="146" t="inlineStr">
        <is>
          <t>BẢO</t>
        </is>
      </c>
      <c r="L62" s="146" t="n"/>
      <c r="M62" s="146" t="n"/>
      <c r="N62" s="146" t="n"/>
      <c r="O62" s="146" t="n"/>
      <c r="P62" s="146" t="n"/>
      <c r="Q62" s="146" t="n"/>
      <c r="R62" s="146" t="n"/>
      <c r="S62" s="147" t="n"/>
      <c r="T62" s="147" t="n"/>
      <c r="U62" s="147" t="n"/>
      <c r="V62" s="147" t="n"/>
    </row>
    <row r="63" ht="15" customFormat="1" customHeight="1" s="21">
      <c r="A63" s="144" t="n">
        <v>57</v>
      </c>
      <c r="B63" s="251" t="n">
        <v>46241</v>
      </c>
      <c r="C63" s="155" t="inlineStr">
        <is>
          <t>Phạm Thị Bẩn</t>
        </is>
      </c>
      <c r="D63" s="166" t="n"/>
      <c r="E63" s="167" t="n">
        <v>61</v>
      </c>
      <c r="F63" s="168" t="inlineStr">
        <is>
          <t>PT điều trị hội chứng ống cổ tay (80%)</t>
        </is>
      </c>
      <c r="G63" s="166" t="inlineStr">
        <is>
          <t>Loại 1</t>
        </is>
      </c>
      <c r="H63" s="156" t="n">
        <v>0</v>
      </c>
      <c r="I63" s="145" t="inlineStr">
        <is>
          <t>V.TÂN</t>
        </is>
      </c>
      <c r="J63" s="146" t="n"/>
      <c r="K63" s="146" t="inlineStr">
        <is>
          <t>BẢO</t>
        </is>
      </c>
      <c r="L63" s="146" t="n"/>
      <c r="M63" s="146" t="n"/>
      <c r="N63" s="146" t="n"/>
      <c r="O63" s="146" t="n"/>
      <c r="P63" s="146" t="n"/>
      <c r="Q63" s="146" t="n"/>
      <c r="R63" s="146" t="n"/>
      <c r="S63" s="147" t="n"/>
      <c r="T63" s="147" t="n"/>
      <c r="U63" s="147" t="n"/>
      <c r="V63" s="147" t="n"/>
    </row>
    <row r="64" ht="15" customFormat="1" customHeight="1" s="21">
      <c r="A64" s="144" t="n">
        <v>59</v>
      </c>
      <c r="B64" s="251" t="n">
        <v>46241</v>
      </c>
      <c r="C64" s="155" t="inlineStr">
        <is>
          <t>Trần Thị Kính</t>
        </is>
      </c>
      <c r="D64" s="166" t="n"/>
      <c r="E64" s="167" t="n">
        <v>75</v>
      </c>
      <c r="F64" s="168" t="inlineStr">
        <is>
          <t>Cắt lọc hoại tử ổ loét vết thương mạn tính</t>
        </is>
      </c>
      <c r="G64" s="166" t="inlineStr">
        <is>
          <t>Loại 2</t>
        </is>
      </c>
      <c r="H64" s="156" t="n">
        <v>2128200</v>
      </c>
      <c r="I64" s="145" t="inlineStr">
        <is>
          <t>G.TỬ</t>
        </is>
      </c>
      <c r="J64" s="146" t="n"/>
      <c r="K64" s="146" t="n"/>
      <c r="L64" s="146" t="n"/>
      <c r="M64" s="146" t="n"/>
      <c r="N64" s="146" t="n"/>
      <c r="O64" s="146" t="n"/>
      <c r="P64" s="146" t="n"/>
      <c r="Q64" s="146" t="n"/>
      <c r="R64" s="146" t="n"/>
      <c r="S64" s="147" t="n"/>
      <c r="T64" s="147" t="n"/>
      <c r="U64" s="147" t="n"/>
      <c r="V64" s="147" t="n"/>
    </row>
    <row r="65" ht="15" customFormat="1" customHeight="1" s="21">
      <c r="A65" s="144" t="n">
        <v>60</v>
      </c>
      <c r="B65" s="251" t="n">
        <v>46243</v>
      </c>
      <c r="C65" s="155" t="inlineStr">
        <is>
          <t>Võ Thành Dương</t>
        </is>
      </c>
      <c r="D65" s="166" t="n">
        <v>27</v>
      </c>
      <c r="E65" s="167" t="n"/>
      <c r="F65" s="168" t="inlineStr">
        <is>
          <t>PT vết thương phần mềm đơn giản / rách da đầu</t>
        </is>
      </c>
      <c r="G65" s="166" t="inlineStr">
        <is>
          <t>Loại 2</t>
        </is>
      </c>
      <c r="H65" s="156" t="n">
        <v>1233000</v>
      </c>
      <c r="I65" s="145" t="inlineStr">
        <is>
          <t>BẢO</t>
        </is>
      </c>
      <c r="J65" s="146" t="n"/>
      <c r="K65" s="146" t="n"/>
      <c r="L65" s="146" t="n"/>
      <c r="M65" s="146" t="n"/>
      <c r="N65" s="146" t="n"/>
      <c r="O65" s="146" t="n"/>
      <c r="P65" s="146" t="n"/>
      <c r="Q65" s="146" t="n"/>
      <c r="R65" s="146" t="n"/>
      <c r="S65" s="147" t="n"/>
      <c r="T65" s="147" t="n"/>
      <c r="U65" s="147" t="n"/>
      <c r="V65" s="147" t="n"/>
    </row>
    <row r="66" ht="15" customFormat="1" customHeight="1" s="21">
      <c r="A66" s="144" t="n">
        <v>61</v>
      </c>
      <c r="B66" s="251" t="n">
        <v>46244</v>
      </c>
      <c r="C66" s="155" t="inlineStr">
        <is>
          <t>Trương Văn Út</t>
        </is>
      </c>
      <c r="D66" s="166" t="n">
        <v>78</v>
      </c>
      <c r="E66" s="167" t="n"/>
      <c r="F66" s="168" t="inlineStr">
        <is>
          <t>Cắt lọc hoại tử ổ loét vết thương mạn tính</t>
        </is>
      </c>
      <c r="G66" s="166" t="inlineStr">
        <is>
          <t>Loại 2</t>
        </is>
      </c>
      <c r="H66" s="156" t="n">
        <v>0</v>
      </c>
      <c r="I66" s="145" t="inlineStr">
        <is>
          <t>G.TỬ</t>
        </is>
      </c>
      <c r="J66" s="146" t="n"/>
      <c r="K66" s="146" t="n"/>
      <c r="L66" s="146" t="n"/>
      <c r="M66" s="146" t="n"/>
      <c r="N66" s="146" t="n"/>
      <c r="O66" s="146" t="n"/>
      <c r="P66" s="146" t="n"/>
      <c r="Q66" s="146" t="n"/>
      <c r="R66" s="146" t="n"/>
      <c r="S66" s="147" t="n"/>
      <c r="T66" s="147" t="n"/>
      <c r="U66" s="147" t="n"/>
      <c r="V66" s="147" t="n"/>
    </row>
    <row r="67" ht="15" customFormat="1" customHeight="1" s="21">
      <c r="A67" s="144" t="n">
        <v>62</v>
      </c>
      <c r="B67" s="251" t="n">
        <v>46244</v>
      </c>
      <c r="C67" s="155" t="inlineStr">
        <is>
          <t>Huỳnh Thu Hồng</t>
        </is>
      </c>
      <c r="D67" s="166" t="n"/>
      <c r="E67" s="167" t="n">
        <v>69</v>
      </c>
      <c r="F67" s="168" t="inlineStr">
        <is>
          <t>KHX trên màn hình tăng sáng</t>
        </is>
      </c>
      <c r="G67" s="166" t="inlineStr">
        <is>
          <t>Đặc biệt</t>
        </is>
      </c>
      <c r="H67" s="156" t="n">
        <v>4497500</v>
      </c>
      <c r="I67" s="145" t="inlineStr">
        <is>
          <t>DUY</t>
        </is>
      </c>
      <c r="J67" s="146" t="n"/>
      <c r="K67" s="146" t="n"/>
      <c r="L67" s="146" t="n"/>
      <c r="M67" s="146" t="n"/>
      <c r="N67" s="146" t="n"/>
      <c r="O67" s="146" t="n"/>
      <c r="P67" s="146" t="n"/>
      <c r="Q67" s="146" t="n"/>
      <c r="R67" s="146" t="n"/>
      <c r="S67" s="147" t="n"/>
      <c r="T67" s="147" t="n"/>
      <c r="U67" s="147" t="n"/>
      <c r="V67" s="147" t="n"/>
    </row>
    <row r="68" ht="15" customFormat="1" customHeight="1" s="21">
      <c r="A68" s="144" t="n">
        <v>63</v>
      </c>
      <c r="B68" s="251" t="n">
        <v>46244</v>
      </c>
      <c r="C68" s="155" t="inlineStr">
        <is>
          <t>Trần Thị Mỹ Trọng</t>
        </is>
      </c>
      <c r="D68" s="166" t="n"/>
      <c r="E68" s="167" t="n">
        <v>34</v>
      </c>
      <c r="F68" s="168" t="inlineStr">
        <is>
          <t>Rút đinh/ tháo phương tiện KHX</t>
        </is>
      </c>
      <c r="G68" s="166" t="inlineStr">
        <is>
          <t>Loại 2</t>
        </is>
      </c>
      <c r="H68" s="156" t="n">
        <v>2559100</v>
      </c>
      <c r="I68" s="145" t="inlineStr">
        <is>
          <t>DUY</t>
        </is>
      </c>
      <c r="J68" s="146" t="n"/>
      <c r="K68" s="146" t="n"/>
      <c r="L68" s="146" t="n"/>
      <c r="M68" s="146" t="n"/>
      <c r="N68" s="146" t="n"/>
      <c r="O68" s="146" t="n"/>
      <c r="P68" s="146" t="n"/>
      <c r="Q68" s="146" t="n"/>
      <c r="R68" s="146" t="n"/>
      <c r="S68" s="147" t="n"/>
      <c r="T68" s="147" t="n"/>
      <c r="U68" s="147" t="n"/>
      <c r="V68" s="147" t="n"/>
    </row>
    <row r="69" ht="15" customFormat="1" customHeight="1" s="21">
      <c r="A69" s="144" t="n">
        <v>64</v>
      </c>
      <c r="B69" s="251" t="n">
        <v>46244</v>
      </c>
      <c r="C69" s="155" t="inlineStr">
        <is>
          <t>Huỳnh Gia Tiến</t>
        </is>
      </c>
      <c r="D69" s="166" t="n">
        <v>38</v>
      </c>
      <c r="E69" s="167" t="n"/>
      <c r="F69" s="168" t="inlineStr">
        <is>
          <t>PT lấy đĩa đệm cột sống thắt lưng qua da</t>
        </is>
      </c>
      <c r="G69" s="166" t="n"/>
      <c r="H69" s="156" t="n">
        <v>8993000</v>
      </c>
      <c r="I69" s="145" t="inlineStr">
        <is>
          <t>TUẤN</t>
        </is>
      </c>
      <c r="J69" s="146" t="n"/>
      <c r="K69" s="146" t="n"/>
      <c r="L69" s="146" t="n"/>
      <c r="M69" s="146" t="n"/>
      <c r="N69" s="146" t="n"/>
      <c r="O69" s="146" t="n"/>
      <c r="P69" s="146" t="n"/>
      <c r="Q69" s="146" t="n"/>
      <c r="R69" s="146" t="n"/>
      <c r="S69" s="147" t="n"/>
      <c r="T69" s="147" t="n"/>
      <c r="U69" s="147" t="n"/>
      <c r="V69" s="147" t="n"/>
    </row>
    <row r="70" ht="15" customFormat="1" customHeight="1" s="21">
      <c r="A70" s="144" t="n">
        <v>65</v>
      </c>
      <c r="B70" s="251" t="n">
        <v>46244</v>
      </c>
      <c r="C70" s="155" t="inlineStr">
        <is>
          <t>Nguyễn Thanh Bình</t>
        </is>
      </c>
      <c r="D70" s="166" t="n">
        <v>43</v>
      </c>
      <c r="E70" s="167" t="n"/>
      <c r="F70" s="168" t="inlineStr">
        <is>
          <t>PT sinh thiết chẩn đoán</t>
        </is>
      </c>
      <c r="G70" s="166" t="n"/>
      <c r="H70" s="156" t="n">
        <v>1500000</v>
      </c>
      <c r="I70" s="145" t="inlineStr">
        <is>
          <t>G.TỬ</t>
        </is>
      </c>
      <c r="J70" s="146" t="n"/>
      <c r="K70" s="146" t="n"/>
      <c r="L70" s="146" t="n"/>
      <c r="M70" s="146" t="n"/>
      <c r="N70" s="146" t="n"/>
      <c r="O70" s="146" t="n"/>
      <c r="P70" s="146" t="n"/>
      <c r="Q70" s="146" t="n"/>
      <c r="R70" s="146" t="n"/>
      <c r="S70" s="147" t="n"/>
      <c r="T70" s="147" t="n"/>
      <c r="U70" s="147" t="n"/>
      <c r="V70" s="147" t="n"/>
    </row>
    <row r="71" ht="15" customFormat="1" customHeight="1" s="21">
      <c r="A71" s="144" t="n">
        <v>66</v>
      </c>
      <c r="B71" s="251" t="n">
        <v>46244</v>
      </c>
      <c r="C71" s="155" t="inlineStr">
        <is>
          <t>Lê Thị Ửng</t>
        </is>
      </c>
      <c r="D71" s="166" t="n"/>
      <c r="E71" s="167" t="n">
        <v>73</v>
      </c>
      <c r="F71" s="168" t="inlineStr">
        <is>
          <t>Cắt lọc hoại tử ổ loét vết thương mạn tính</t>
        </is>
      </c>
      <c r="G71" s="166" t="inlineStr">
        <is>
          <t>Loại 2</t>
        </is>
      </c>
      <c r="H71" s="156" t="n">
        <v>2127400</v>
      </c>
      <c r="I71" s="145" t="inlineStr">
        <is>
          <t>TUẤN</t>
        </is>
      </c>
      <c r="J71" s="146" t="n"/>
      <c r="K71" s="146" t="n"/>
      <c r="L71" s="146" t="n"/>
      <c r="M71" s="146" t="n"/>
      <c r="N71" s="146" t="n"/>
      <c r="O71" s="146" t="n"/>
      <c r="P71" s="146" t="n"/>
      <c r="Q71" s="146" t="n"/>
      <c r="R71" s="146" t="n"/>
      <c r="S71" s="147" t="n"/>
      <c r="T71" s="147" t="n"/>
      <c r="U71" s="147" t="n"/>
      <c r="V71" s="147" t="n"/>
    </row>
    <row r="72" ht="15" customFormat="1" customHeight="1" s="21">
      <c r="A72" s="144" t="n">
        <v>67</v>
      </c>
      <c r="B72" s="251" t="n">
        <v>46245</v>
      </c>
      <c r="C72" s="155" t="inlineStr">
        <is>
          <t>Đặng Đình Bằng</t>
        </is>
      </c>
      <c r="D72" s="166" t="n">
        <v>41</v>
      </c>
      <c r="E72" s="167" t="n"/>
      <c r="F72" s="168" t="inlineStr">
        <is>
          <t>PT thay toàn bộ khớp háng</t>
        </is>
      </c>
      <c r="G72" s="166" t="inlineStr">
        <is>
          <t>Đặc biệt</t>
        </is>
      </c>
      <c r="H72" s="156" t="n">
        <v>3525500</v>
      </c>
      <c r="I72" s="145" t="inlineStr">
        <is>
          <t>HOAN</t>
        </is>
      </c>
      <c r="J72" s="146" t="n"/>
      <c r="K72" s="146" t="inlineStr">
        <is>
          <t>G.TỬ</t>
        </is>
      </c>
      <c r="L72" s="146" t="n"/>
      <c r="M72" s="146" t="inlineStr">
        <is>
          <t>BẢO</t>
        </is>
      </c>
      <c r="N72" s="146" t="n"/>
      <c r="O72" s="146" t="n"/>
      <c r="P72" s="146" t="n"/>
      <c r="Q72" s="146" t="n"/>
      <c r="R72" s="146" t="n"/>
      <c r="S72" s="147" t="n"/>
      <c r="T72" s="147" t="n"/>
      <c r="U72" s="147" t="n"/>
      <c r="V72" s="147" t="n"/>
    </row>
    <row r="73" ht="15" customFormat="1" customHeight="1" s="21">
      <c r="A73" s="144" t="n">
        <v>68</v>
      </c>
      <c r="B73" s="251" t="n">
        <v>46245</v>
      </c>
      <c r="C73" s="155" t="inlineStr">
        <is>
          <t>Trương Trung Trực</t>
        </is>
      </c>
      <c r="D73" s="166" t="n">
        <v>84</v>
      </c>
      <c r="E73" s="167" t="n"/>
      <c r="F73" s="168" t="inlineStr">
        <is>
          <t>KHX trên màn hình tăng sáng</t>
        </is>
      </c>
      <c r="G73" s="166" t="inlineStr">
        <is>
          <t>Đặc biệt</t>
        </is>
      </c>
      <c r="H73" s="156" t="n">
        <v>4497500</v>
      </c>
      <c r="I73" s="145" t="inlineStr">
        <is>
          <t>DUY</t>
        </is>
      </c>
      <c r="J73" s="146" t="n"/>
      <c r="K73" s="146" t="inlineStr">
        <is>
          <t>G.TỬ</t>
        </is>
      </c>
      <c r="L73" s="146" t="n"/>
      <c r="M73" s="146" t="n"/>
      <c r="N73" s="146" t="n"/>
      <c r="O73" s="146" t="n"/>
      <c r="P73" s="146" t="n"/>
      <c r="Q73" s="146" t="n"/>
      <c r="R73" s="146" t="n"/>
      <c r="S73" s="147" t="n"/>
      <c r="T73" s="147" t="n"/>
      <c r="U73" s="147" t="n"/>
      <c r="V73" s="147" t="n"/>
    </row>
    <row r="74" ht="15" customFormat="1" customHeight="1" s="21">
      <c r="A74" s="144" t="n">
        <v>69</v>
      </c>
      <c r="B74" s="251" t="n">
        <v>46245</v>
      </c>
      <c r="C74" s="155" t="inlineStr">
        <is>
          <t>Huỳnh Việt Dũng</t>
        </is>
      </c>
      <c r="D74" s="166" t="n">
        <v>24</v>
      </c>
      <c r="E74" s="167" t="n"/>
      <c r="F74" s="168" t="inlineStr">
        <is>
          <t>PTNS khâu sụn chêm</t>
        </is>
      </c>
      <c r="G74" s="166" t="inlineStr">
        <is>
          <t>Đặc biệt</t>
        </is>
      </c>
      <c r="H74" s="156" t="n">
        <v>4397500</v>
      </c>
      <c r="I74" s="145" t="inlineStr">
        <is>
          <t>SƠN</t>
        </is>
      </c>
      <c r="J74" s="146" t="n"/>
      <c r="K74" s="146" t="n"/>
      <c r="L74" s="146" t="n"/>
      <c r="M74" s="146" t="n"/>
      <c r="N74" s="146" t="n"/>
      <c r="O74" s="146" t="n"/>
      <c r="P74" s="146" t="n"/>
      <c r="Q74" s="146" t="n"/>
      <c r="R74" s="146" t="n"/>
      <c r="S74" s="147" t="n"/>
      <c r="T74" s="147" t="n"/>
      <c r="U74" s="147" t="n"/>
      <c r="V74" s="147" t="n"/>
    </row>
    <row r="75" ht="15" customFormat="1" customHeight="1" s="21">
      <c r="A75" s="144" t="n">
        <v>70</v>
      </c>
      <c r="B75" s="251" t="n">
        <v>46245</v>
      </c>
      <c r="C75" s="155" t="inlineStr">
        <is>
          <t>Võ Văn Út</t>
        </is>
      </c>
      <c r="D75" s="166" t="n">
        <v>74</v>
      </c>
      <c r="E75" s="167" t="n"/>
      <c r="F75" s="168" t="inlineStr">
        <is>
          <t>Cắt lọc hoại tử ổ loét vết thương mạn tính</t>
        </is>
      </c>
      <c r="G75" s="166" t="inlineStr">
        <is>
          <t>Loại 2</t>
        </is>
      </c>
      <c r="H75" s="156" t="n">
        <v>2127400</v>
      </c>
      <c r="I75" s="145" t="inlineStr">
        <is>
          <t>V.TÂN</t>
        </is>
      </c>
      <c r="J75" s="146" t="n"/>
      <c r="K75" s="146" t="n"/>
      <c r="L75" s="146" t="n"/>
      <c r="M75" s="146" t="n"/>
      <c r="N75" s="146" t="n"/>
      <c r="O75" s="146" t="n"/>
      <c r="P75" s="146" t="n"/>
      <c r="Q75" s="146" t="n"/>
      <c r="R75" s="146" t="n"/>
      <c r="S75" s="147" t="n"/>
      <c r="T75" s="147" t="n"/>
      <c r="U75" s="147" t="n"/>
      <c r="V75" s="147" t="n"/>
    </row>
    <row r="76" ht="15" customFormat="1" customHeight="1" s="21">
      <c r="A76" s="144" t="n">
        <v>71</v>
      </c>
      <c r="B76" s="251" t="n">
        <v>46245</v>
      </c>
      <c r="C76" s="155" t="inlineStr">
        <is>
          <t>Nguyễn Thị Tám</t>
        </is>
      </c>
      <c r="D76" s="166" t="n"/>
      <c r="E76" s="167" t="n">
        <v>69</v>
      </c>
      <c r="F76" s="168" t="inlineStr">
        <is>
          <t>Cắt lọc hoại tử ổ loét vết thương mạn tính</t>
        </is>
      </c>
      <c r="G76" s="166" t="inlineStr">
        <is>
          <t>Loại 2</t>
        </is>
      </c>
      <c r="H76" s="156" t="n">
        <v>2127400</v>
      </c>
      <c r="I76" s="145" t="inlineStr">
        <is>
          <t>ĐIỀN</t>
        </is>
      </c>
      <c r="J76" s="146" t="n"/>
      <c r="K76" s="146" t="n"/>
      <c r="L76" s="146" t="n"/>
      <c r="M76" s="146" t="n"/>
      <c r="N76" s="146" t="n"/>
      <c r="O76" s="146" t="n"/>
      <c r="P76" s="146" t="n"/>
      <c r="Q76" s="146" t="n"/>
      <c r="R76" s="146" t="n"/>
      <c r="S76" s="147" t="n"/>
      <c r="T76" s="147" t="n"/>
      <c r="U76" s="147" t="n"/>
      <c r="V76" s="147" t="n"/>
    </row>
    <row r="77" ht="15" customFormat="1" customHeight="1" s="21">
      <c r="A77" s="144" t="n">
        <v>72</v>
      </c>
      <c r="B77" s="251" t="n">
        <v>46245</v>
      </c>
      <c r="C77" s="155" t="inlineStr">
        <is>
          <t>Nguyễn Đức Tín</t>
        </is>
      </c>
      <c r="D77" s="166" t="n">
        <v>40</v>
      </c>
      <c r="E77" s="167" t="n"/>
      <c r="F77" s="168" t="inlineStr">
        <is>
          <t>Rút đinh/ tháo phương tiện KHX</t>
        </is>
      </c>
      <c r="G77" s="166" t="inlineStr">
        <is>
          <t>Loại 2</t>
        </is>
      </c>
      <c r="H77" s="156" t="n">
        <v>2559100</v>
      </c>
      <c r="I77" s="145" t="inlineStr">
        <is>
          <t>V.TÂN</t>
        </is>
      </c>
      <c r="J77" s="146" t="n"/>
      <c r="K77" s="146" t="n"/>
      <c r="L77" s="146" t="n"/>
      <c r="M77" s="146" t="n"/>
      <c r="N77" s="146" t="n"/>
      <c r="O77" s="146" t="n"/>
      <c r="P77" s="146" t="n"/>
      <c r="Q77" s="146" t="n"/>
      <c r="R77" s="146" t="n"/>
      <c r="S77" s="147" t="n"/>
      <c r="T77" s="147" t="n"/>
      <c r="U77" s="147" t="n"/>
      <c r="V77" s="147" t="n"/>
    </row>
    <row r="78" ht="15" customFormat="1" customHeight="1" s="21">
      <c r="A78" s="144" t="n">
        <v>73</v>
      </c>
      <c r="B78" s="251" t="n">
        <v>46245</v>
      </c>
      <c r="C78" s="155" t="inlineStr">
        <is>
          <t>Nguyễn Thị Phượng</t>
        </is>
      </c>
      <c r="D78" s="166" t="n"/>
      <c r="E78" s="167" t="n">
        <v>49</v>
      </c>
      <c r="F78" s="168" t="inlineStr">
        <is>
          <t xml:space="preserve">PT điều trị hội chứng ống cổ tay </t>
        </is>
      </c>
      <c r="G78" s="166" t="inlineStr">
        <is>
          <t>Loại 1</t>
        </is>
      </c>
      <c r="H78" s="156" t="n">
        <v>1301200</v>
      </c>
      <c r="I78" s="145" t="inlineStr">
        <is>
          <t>SƠN</t>
        </is>
      </c>
      <c r="J78" s="146" t="n"/>
      <c r="K78" s="146" t="inlineStr">
        <is>
          <t>BẢO</t>
        </is>
      </c>
      <c r="L78" s="146" t="n"/>
      <c r="M78" s="146" t="n"/>
      <c r="N78" s="146" t="n"/>
      <c r="O78" s="146" t="n"/>
      <c r="P78" s="146" t="n"/>
      <c r="Q78" s="146" t="n"/>
      <c r="R78" s="146" t="n"/>
      <c r="S78" s="147" t="n"/>
      <c r="T78" s="147" t="n"/>
      <c r="U78" s="147" t="n"/>
      <c r="V78" s="147" t="n"/>
    </row>
    <row r="79" ht="15" customFormat="1" customHeight="1" s="21">
      <c r="A79" s="144" t="n">
        <v>74</v>
      </c>
      <c r="B79" s="251" t="n">
        <v>46245</v>
      </c>
      <c r="C79" s="155" t="inlineStr">
        <is>
          <t>Nguyễn Thị Mai Chi</t>
        </is>
      </c>
      <c r="D79" s="166" t="n"/>
      <c r="E79" s="167" t="n">
        <v>36</v>
      </c>
      <c r="F79" s="168" t="inlineStr">
        <is>
          <t xml:space="preserve">PT điều trị hội chứng ống cổ tay </t>
        </is>
      </c>
      <c r="G79" s="166" t="inlineStr">
        <is>
          <t>Loại 1</t>
        </is>
      </c>
      <c r="H79" s="156" t="n">
        <v>1301200</v>
      </c>
      <c r="I79" s="145" t="inlineStr">
        <is>
          <t>BẢO</t>
        </is>
      </c>
      <c r="J79" s="146" t="n"/>
      <c r="K79" s="146" t="inlineStr">
        <is>
          <t>SƠN</t>
        </is>
      </c>
      <c r="L79" s="146" t="n"/>
      <c r="M79" s="146" t="n"/>
      <c r="N79" s="146" t="n"/>
      <c r="O79" s="146" t="n"/>
      <c r="P79" s="146" t="n"/>
      <c r="Q79" s="146" t="n"/>
      <c r="R79" s="146" t="n"/>
      <c r="S79" s="147" t="n"/>
      <c r="T79" s="147" t="n"/>
      <c r="U79" s="147" t="n"/>
      <c r="V79" s="147" t="n"/>
    </row>
    <row r="80" ht="15" customFormat="1" customHeight="1" s="21">
      <c r="A80" s="144" t="n">
        <v>75</v>
      </c>
      <c r="B80" s="251" t="n">
        <v>46245</v>
      </c>
      <c r="C80" s="155" t="inlineStr">
        <is>
          <t>Nguyễn Thị Mai Chi</t>
        </is>
      </c>
      <c r="D80" s="166" t="n"/>
      <c r="E80" s="167" t="n">
        <v>36</v>
      </c>
      <c r="F80" s="168" t="inlineStr">
        <is>
          <t>PT điều trị hội chứng ống cổ tay (50%)</t>
        </is>
      </c>
      <c r="G80" s="166" t="inlineStr">
        <is>
          <t>Loại 1</t>
        </is>
      </c>
      <c r="H80" s="156" t="n">
        <v>0</v>
      </c>
      <c r="I80" s="145" t="inlineStr">
        <is>
          <t>BẢO</t>
        </is>
      </c>
      <c r="J80" s="146" t="n"/>
      <c r="K80" s="146" t="inlineStr">
        <is>
          <t>SƠN</t>
        </is>
      </c>
      <c r="L80" s="146" t="n"/>
      <c r="M80" s="146" t="n"/>
      <c r="N80" s="146" t="n"/>
      <c r="O80" s="146" t="n"/>
      <c r="P80" s="146" t="n"/>
      <c r="Q80" s="146" t="n"/>
      <c r="R80" s="146" t="n"/>
      <c r="S80" s="147" t="n"/>
      <c r="T80" s="147" t="n"/>
      <c r="U80" s="147" t="n"/>
      <c r="V80" s="147" t="n"/>
    </row>
    <row r="81" ht="15" customFormat="1" customHeight="1" s="21">
      <c r="A81" s="144" t="n">
        <v>76</v>
      </c>
      <c r="B81" s="251" t="n">
        <v>46245</v>
      </c>
      <c r="C81" s="155" t="inlineStr">
        <is>
          <t>Hồ Thị Ngự</t>
        </is>
      </c>
      <c r="D81" s="166" t="n"/>
      <c r="E81" s="167" t="n">
        <v>57</v>
      </c>
      <c r="F81" s="168" t="inlineStr">
        <is>
          <t>Rút đinh/ tháo phương tiện KHX</t>
        </is>
      </c>
      <c r="G81" s="166" t="inlineStr">
        <is>
          <t>Loại 2</t>
        </is>
      </c>
      <c r="H81" s="156" t="n">
        <v>2559100</v>
      </c>
      <c r="I81" s="145" t="inlineStr">
        <is>
          <t>BẢO</t>
        </is>
      </c>
      <c r="J81" s="146" t="n"/>
      <c r="K81" s="146" t="inlineStr">
        <is>
          <t>SƠN</t>
        </is>
      </c>
      <c r="L81" s="146" t="n"/>
      <c r="M81" s="146" t="n"/>
      <c r="N81" s="146" t="n"/>
      <c r="O81" s="146" t="n"/>
      <c r="P81" s="146" t="n"/>
      <c r="Q81" s="146" t="n"/>
      <c r="R81" s="146" t="n"/>
      <c r="S81" s="147" t="n"/>
      <c r="T81" s="147" t="n"/>
      <c r="U81" s="147" t="n"/>
      <c r="V81" s="147" t="n"/>
    </row>
    <row r="82" ht="15" customFormat="1" customHeight="1" s="21">
      <c r="A82" s="144" t="n">
        <v>77</v>
      </c>
      <c r="B82" s="251" t="n">
        <v>46245</v>
      </c>
      <c r="C82" s="155" t="inlineStr">
        <is>
          <t>Lê Hoàng Việt</t>
        </is>
      </c>
      <c r="D82" s="166" t="n">
        <v>27</v>
      </c>
      <c r="E82" s="167" t="n"/>
      <c r="F82" s="168" t="inlineStr">
        <is>
          <t>Rút đinh/ tháo phương tiện KHX</t>
        </is>
      </c>
      <c r="G82" s="166" t="inlineStr">
        <is>
          <t>Loại 2</t>
        </is>
      </c>
      <c r="H82" s="156" t="n">
        <v>2559100</v>
      </c>
      <c r="I82" s="145" t="inlineStr">
        <is>
          <t>BẢO</t>
        </is>
      </c>
      <c r="J82" s="146" t="n"/>
      <c r="K82" s="146" t="n"/>
      <c r="L82" s="146" t="n"/>
      <c r="M82" s="146" t="n"/>
      <c r="N82" s="146" t="n"/>
      <c r="O82" s="146" t="n"/>
      <c r="P82" s="146" t="n"/>
      <c r="Q82" s="146" t="n"/>
      <c r="R82" s="146" t="n"/>
      <c r="S82" s="147" t="n"/>
      <c r="T82" s="147" t="n"/>
      <c r="U82" s="147" t="n"/>
      <c r="V82" s="147" t="n"/>
    </row>
    <row r="83" ht="15" customFormat="1" customHeight="1" s="21">
      <c r="A83" s="144" t="n">
        <v>78</v>
      </c>
      <c r="B83" s="251" t="n">
        <v>46245</v>
      </c>
      <c r="C83" s="155" t="inlineStr">
        <is>
          <t>Văn Đắc Sơn Tây</t>
        </is>
      </c>
      <c r="D83" s="166" t="n">
        <v>35</v>
      </c>
      <c r="E83" s="167" t="n"/>
      <c r="F83" s="168" t="inlineStr">
        <is>
          <t>Rút đinh/ tháo phương tiện KHX</t>
        </is>
      </c>
      <c r="G83" s="166" t="inlineStr">
        <is>
          <t>Loại 2</t>
        </is>
      </c>
      <c r="H83" s="156" t="n">
        <v>2559100</v>
      </c>
      <c r="I83" s="145" t="inlineStr">
        <is>
          <t>BẢO</t>
        </is>
      </c>
      <c r="J83" s="146" t="n"/>
      <c r="K83" s="146" t="n"/>
      <c r="L83" s="146" t="n"/>
      <c r="M83" s="146" t="n"/>
      <c r="N83" s="146" t="n"/>
      <c r="O83" s="146" t="n"/>
      <c r="P83" s="146" t="n"/>
      <c r="Q83" s="146" t="n"/>
      <c r="R83" s="146" t="n"/>
      <c r="S83" s="147" t="n"/>
      <c r="T83" s="147" t="n"/>
      <c r="U83" s="147" t="n"/>
      <c r="V83" s="147" t="n"/>
    </row>
    <row r="84" ht="15" customFormat="1" customHeight="1" s="21">
      <c r="A84" s="144" t="n">
        <v>79</v>
      </c>
      <c r="B84" s="251" t="n">
        <v>46245</v>
      </c>
      <c r="C84" s="155" t="inlineStr">
        <is>
          <t>Ngô Hồng Quảng</t>
        </is>
      </c>
      <c r="D84" s="166" t="n">
        <v>64</v>
      </c>
      <c r="E84" s="167" t="n"/>
      <c r="F84" s="168" t="inlineStr">
        <is>
          <t>Cắt lọc hoại tử ổ loét vết thương mạn tính</t>
        </is>
      </c>
      <c r="G84" s="166" t="inlineStr">
        <is>
          <t>Loại 2</t>
        </is>
      </c>
      <c r="H84" s="156" t="n">
        <v>2128200</v>
      </c>
      <c r="I84" s="145" t="inlineStr">
        <is>
          <t>BẢO</t>
        </is>
      </c>
      <c r="J84" s="146" t="n"/>
      <c r="K84" s="146" t="n"/>
      <c r="L84" s="146" t="n"/>
      <c r="M84" s="146" t="n"/>
      <c r="N84" s="146" t="n"/>
      <c r="O84" s="146" t="n"/>
      <c r="P84" s="146" t="n"/>
      <c r="Q84" s="146" t="n"/>
      <c r="R84" s="146" t="n"/>
      <c r="S84" s="147" t="n"/>
      <c r="T84" s="147" t="n"/>
      <c r="U84" s="147" t="n"/>
      <c r="V84" s="147" t="n"/>
    </row>
    <row r="85" ht="15" customFormat="1" customHeight="1" s="21">
      <c r="A85" s="144" t="n">
        <v>80</v>
      </c>
      <c r="B85" s="251" t="n">
        <v>46245</v>
      </c>
      <c r="C85" s="155" t="inlineStr">
        <is>
          <t>Nguyễn Thị Loan</t>
        </is>
      </c>
      <c r="D85" s="166" t="n"/>
      <c r="E85" s="167" t="n">
        <v>51</v>
      </c>
      <c r="F85" s="168" t="inlineStr">
        <is>
          <t>Cắt u lành phần mềm đường kính dưới 10 cm</t>
        </is>
      </c>
      <c r="G85" s="166" t="inlineStr">
        <is>
          <t>Loại 2</t>
        </is>
      </c>
      <c r="H85" s="156" t="n">
        <v>859300</v>
      </c>
      <c r="I85" s="145" t="inlineStr">
        <is>
          <t>BẢO</t>
        </is>
      </c>
      <c r="J85" s="146" t="n"/>
      <c r="K85" s="146" t="n"/>
      <c r="L85" s="146" t="n"/>
      <c r="M85" s="146" t="n"/>
      <c r="N85" s="146" t="n"/>
      <c r="O85" s="146" t="n"/>
      <c r="P85" s="146" t="n"/>
      <c r="Q85" s="146" t="n"/>
      <c r="R85" s="146" t="n"/>
      <c r="S85" s="147" t="n"/>
      <c r="T85" s="147" t="n"/>
      <c r="U85" s="147" t="n"/>
      <c r="V85" s="147" t="n"/>
    </row>
    <row r="86" ht="15" customFormat="1" customHeight="1" s="21">
      <c r="A86" s="144" t="n">
        <v>81</v>
      </c>
      <c r="B86" s="251" t="n">
        <v>46246</v>
      </c>
      <c r="C86" s="155" t="inlineStr">
        <is>
          <t>Lê Thanh Tuấn</t>
        </is>
      </c>
      <c r="D86" s="166" t="n">
        <v>46</v>
      </c>
      <c r="E86" s="167" t="n"/>
      <c r="F86" s="168" t="inlineStr">
        <is>
          <t xml:space="preserve">PT thay toàn bộ khớp háng </t>
        </is>
      </c>
      <c r="G86" s="166" t="inlineStr">
        <is>
          <t>Đặc biệt</t>
        </is>
      </c>
      <c r="H86" s="156" t="n">
        <v>3525500</v>
      </c>
      <c r="I86" s="145" t="inlineStr">
        <is>
          <t>HOAN</t>
        </is>
      </c>
      <c r="J86" s="146" t="n"/>
      <c r="K86" s="146" t="n"/>
      <c r="L86" s="146" t="n"/>
      <c r="M86" s="146" t="n"/>
      <c r="N86" s="146" t="n"/>
      <c r="O86" s="146" t="n"/>
      <c r="P86" s="146" t="n"/>
      <c r="Q86" s="146" t="n"/>
      <c r="R86" s="146" t="n"/>
      <c r="S86" s="147" t="n"/>
      <c r="T86" s="147" t="n"/>
      <c r="U86" s="147" t="n"/>
      <c r="V86" s="147" t="n"/>
    </row>
    <row r="87" ht="15" customFormat="1" customHeight="1" s="21">
      <c r="A87" s="144" t="n">
        <v>82</v>
      </c>
      <c r="B87" s="251" t="n">
        <v>46246</v>
      </c>
      <c r="C87" s="155" t="inlineStr">
        <is>
          <t>TRẦN LỆ XUÂN</t>
        </is>
      </c>
      <c r="D87" s="166" t="n">
        <v>62</v>
      </c>
      <c r="E87" s="167" t="n"/>
      <c r="F87" s="168" t="inlineStr">
        <is>
          <t>PT thay toàn bộ khớp gối</t>
        </is>
      </c>
      <c r="G87" s="166" t="inlineStr">
        <is>
          <t>Đặc biệt</t>
        </is>
      </c>
      <c r="H87" s="156" t="n">
        <v>3525500</v>
      </c>
      <c r="I87" s="145" t="inlineStr">
        <is>
          <t>HOAN</t>
        </is>
      </c>
      <c r="J87" s="146" t="n"/>
      <c r="K87" s="146" t="n"/>
      <c r="L87" s="146" t="n"/>
      <c r="M87" s="146" t="n"/>
      <c r="N87" s="146" t="n"/>
      <c r="O87" s="146" t="n"/>
      <c r="P87" s="146" t="n"/>
      <c r="Q87" s="146" t="n"/>
      <c r="R87" s="146" t="n"/>
      <c r="S87" s="147" t="n"/>
      <c r="T87" s="147" t="n"/>
      <c r="U87" s="147" t="n"/>
      <c r="V87" s="147" t="n"/>
    </row>
    <row r="88" ht="15" customFormat="1" customHeight="1" s="21">
      <c r="A88" s="144" t="n">
        <v>83</v>
      </c>
      <c r="B88" s="251" t="n">
        <v>46246</v>
      </c>
      <c r="C88" s="155" t="inlineStr">
        <is>
          <t>Nguyễn Thị Út Em</t>
        </is>
      </c>
      <c r="D88" s="166" t="n"/>
      <c r="E88" s="167" t="n">
        <v>64</v>
      </c>
      <c r="F88" s="168" t="inlineStr">
        <is>
          <t>Cố định cột sống và hàn khớp qua liên thân đốt cột sống thắt lưng</t>
        </is>
      </c>
      <c r="G88" s="166" t="inlineStr">
        <is>
          <t>Đặc biệt</t>
        </is>
      </c>
      <c r="H88" s="156" t="n">
        <v>4201900</v>
      </c>
      <c r="I88" s="145" t="inlineStr">
        <is>
          <t>HOAN</t>
        </is>
      </c>
      <c r="J88" s="146" t="n"/>
      <c r="K88" s="146" t="inlineStr">
        <is>
          <t>TUẤN</t>
        </is>
      </c>
      <c r="L88" s="146" t="n"/>
      <c r="M88" s="146" t="inlineStr">
        <is>
          <t>G.TỬ</t>
        </is>
      </c>
      <c r="N88" s="146" t="n"/>
      <c r="O88" s="146" t="n"/>
      <c r="P88" s="146" t="n"/>
      <c r="Q88" s="146" t="n"/>
      <c r="R88" s="146" t="n"/>
      <c r="S88" s="147" t="n"/>
      <c r="T88" s="147" t="n"/>
      <c r="U88" s="147" t="n"/>
      <c r="V88" s="147" t="n"/>
    </row>
    <row r="89" ht="15" customFormat="1" customHeight="1" s="21">
      <c r="A89" s="144" t="n">
        <v>84</v>
      </c>
      <c r="B89" s="251" t="n">
        <v>46246</v>
      </c>
      <c r="C89" s="155" t="inlineStr">
        <is>
          <t>Văng Văn Đồ</t>
        </is>
      </c>
      <c r="D89" s="166" t="n">
        <v>54</v>
      </c>
      <c r="E89" s="167" t="n"/>
      <c r="F89" s="168" t="inlineStr">
        <is>
          <t>PT KHX trên màn hình tăng sáng</t>
        </is>
      </c>
      <c r="G89" s="166" t="inlineStr">
        <is>
          <t>Đặc biệt</t>
        </is>
      </c>
      <c r="H89" s="156" t="n">
        <v>4497500</v>
      </c>
      <c r="I89" s="145" t="inlineStr">
        <is>
          <t>BẢO</t>
        </is>
      </c>
      <c r="J89" s="146" t="n"/>
      <c r="K89" s="146" t="n"/>
      <c r="L89" s="146" t="n"/>
      <c r="M89" s="146" t="n"/>
      <c r="N89" s="146" t="n"/>
      <c r="O89" s="146" t="n"/>
      <c r="P89" s="146" t="n"/>
      <c r="Q89" s="146" t="n"/>
      <c r="R89" s="146" t="n"/>
      <c r="S89" s="147" t="n"/>
      <c r="T89" s="147" t="n"/>
      <c r="U89" s="147" t="n"/>
      <c r="V89" s="147" t="n"/>
    </row>
    <row r="90" ht="15" customFormat="1" customHeight="1" s="21">
      <c r="A90" s="144" t="n">
        <v>85</v>
      </c>
      <c r="B90" s="251" t="n">
        <v>46246</v>
      </c>
      <c r="C90" s="155" t="inlineStr">
        <is>
          <t>Võ Thành Long</t>
        </is>
      </c>
      <c r="D90" s="166" t="n">
        <v>60</v>
      </c>
      <c r="E90" s="167" t="n"/>
      <c r="F90" s="168" t="inlineStr">
        <is>
          <t>PT làm mỏm cụt ngón và đốt bàn ngón</t>
        </is>
      </c>
      <c r="G90" s="166" t="inlineStr">
        <is>
          <t>Loại 2</t>
        </is>
      </c>
      <c r="H90" s="156" t="n">
        <v>1773100</v>
      </c>
      <c r="I90" s="145" t="inlineStr">
        <is>
          <t>SƠN</t>
        </is>
      </c>
      <c r="J90" s="146" t="n"/>
      <c r="K90" s="146" t="n"/>
      <c r="L90" s="146" t="n"/>
      <c r="M90" s="146" t="n"/>
      <c r="N90" s="146" t="n"/>
      <c r="O90" s="146" t="n"/>
      <c r="P90" s="146" t="n"/>
      <c r="Q90" s="146" t="n"/>
      <c r="R90" s="146" t="n"/>
      <c r="S90" s="147" t="n"/>
      <c r="T90" s="147" t="n"/>
      <c r="U90" s="147" t="n"/>
      <c r="V90" s="147" t="n"/>
    </row>
    <row r="91" ht="15" customFormat="1" customHeight="1" s="21">
      <c r="A91" s="144" t="n">
        <v>86</v>
      </c>
      <c r="B91" s="251" t="n">
        <v>46246</v>
      </c>
      <c r="C91" s="155" t="inlineStr">
        <is>
          <t>Lê Thị Út Nhỏ</t>
        </is>
      </c>
      <c r="D91" s="166" t="n"/>
      <c r="E91" s="167" t="n">
        <v>48</v>
      </c>
      <c r="F91" s="168" t="inlineStr">
        <is>
          <t>PTNS tái tạo dây chằng chéo sau</t>
        </is>
      </c>
      <c r="G91" s="166" t="inlineStr">
        <is>
          <t>Đặc biệt</t>
        </is>
      </c>
      <c r="H91" s="156" t="n">
        <v>3405500</v>
      </c>
      <c r="I91" s="145" t="inlineStr">
        <is>
          <t>SƠN</t>
        </is>
      </c>
      <c r="J91" s="146" t="n"/>
      <c r="K91" s="146" t="inlineStr">
        <is>
          <t>TOẢN</t>
        </is>
      </c>
      <c r="L91" s="146" t="n"/>
      <c r="M91" s="146" t="n"/>
      <c r="N91" s="146" t="n"/>
      <c r="O91" s="146" t="n"/>
      <c r="P91" s="146" t="n"/>
      <c r="Q91" s="146" t="n"/>
      <c r="R91" s="146" t="n"/>
      <c r="S91" s="147" t="n"/>
      <c r="T91" s="147" t="n"/>
      <c r="U91" s="147" t="n"/>
      <c r="V91" s="147" t="n"/>
    </row>
    <row r="92" ht="15" customFormat="1" customHeight="1" s="21">
      <c r="A92" s="144" t="n">
        <v>87</v>
      </c>
      <c r="B92" s="251" t="n">
        <v>46247</v>
      </c>
      <c r="C92" s="155" t="inlineStr">
        <is>
          <t>Nguyễn Quốc Học</t>
        </is>
      </c>
      <c r="D92" s="166" t="n">
        <v>17</v>
      </c>
      <c r="E92" s="167" t="n"/>
      <c r="F92" s="168" t="inlineStr">
        <is>
          <t>Cắt lọc hoại tử ổ loét vết thương mạn tính</t>
        </is>
      </c>
      <c r="G92" s="166" t="inlineStr">
        <is>
          <t>Loại 2</t>
        </is>
      </c>
      <c r="H92" s="156" t="n">
        <v>2128200</v>
      </c>
      <c r="I92" s="145" t="inlineStr">
        <is>
          <t>DUY</t>
        </is>
      </c>
      <c r="J92" s="146" t="n"/>
      <c r="K92" s="146" t="n"/>
      <c r="L92" s="146" t="n"/>
      <c r="M92" s="146" t="n"/>
      <c r="N92" s="146" t="n"/>
      <c r="O92" s="146" t="n"/>
      <c r="P92" s="146" t="n"/>
      <c r="Q92" s="146" t="n"/>
      <c r="R92" s="146" t="n"/>
      <c r="S92" s="147" t="n"/>
      <c r="T92" s="147" t="n"/>
      <c r="U92" s="147" t="n"/>
      <c r="V92" s="147" t="n"/>
    </row>
    <row r="93" ht="15" customFormat="1" customHeight="1" s="21">
      <c r="A93" s="144" t="n">
        <v>88</v>
      </c>
      <c r="B93" s="251" t="n">
        <v>46247</v>
      </c>
      <c r="C93" s="155" t="inlineStr">
        <is>
          <t>Phạm Văn Long</t>
        </is>
      </c>
      <c r="D93" s="166" t="n">
        <v>40</v>
      </c>
      <c r="E93" s="167" t="n"/>
      <c r="F93" s="168" t="inlineStr">
        <is>
          <t>PTNS tái tạo dây chằng chéo trước</t>
        </is>
      </c>
      <c r="G93" s="166" t="inlineStr">
        <is>
          <t>Đặc biệt</t>
        </is>
      </c>
      <c r="H93" s="156" t="n">
        <v>3405500</v>
      </c>
      <c r="I93" s="145" t="inlineStr">
        <is>
          <t>TOẢN</t>
        </is>
      </c>
      <c r="J93" s="146" t="n"/>
      <c r="K93" s="146" t="n"/>
      <c r="L93" s="146" t="n"/>
      <c r="M93" s="146" t="n"/>
      <c r="N93" s="146" t="n"/>
      <c r="O93" s="146" t="n"/>
      <c r="P93" s="146" t="n"/>
      <c r="Q93" s="146" t="n"/>
      <c r="R93" s="146" t="n"/>
      <c r="S93" s="147" t="n"/>
      <c r="T93" s="147" t="n"/>
      <c r="U93" s="147" t="n"/>
      <c r="V93" s="147" t="n"/>
    </row>
    <row r="94" ht="15" customFormat="1" customHeight="1" s="21">
      <c r="A94" s="144" t="n">
        <v>89</v>
      </c>
      <c r="B94" s="251" t="n">
        <v>46247</v>
      </c>
      <c r="C94" s="155" t="inlineStr">
        <is>
          <t>Trần Thị Hiếu</t>
        </is>
      </c>
      <c r="D94" s="166" t="n"/>
      <c r="E94" s="167" t="n">
        <v>16</v>
      </c>
      <c r="F94" s="168" t="inlineStr">
        <is>
          <t>Rút đinh/ tháo phương tiện KHX</t>
        </is>
      </c>
      <c r="G94" s="166" t="inlineStr">
        <is>
          <t>Loại 2</t>
        </is>
      </c>
      <c r="H94" s="156" t="n">
        <v>2559100</v>
      </c>
      <c r="I94" s="145" t="inlineStr">
        <is>
          <t>TOẢN</t>
        </is>
      </c>
      <c r="J94" s="146" t="n"/>
      <c r="K94" s="146" t="n"/>
      <c r="L94" s="146" t="n"/>
      <c r="M94" s="146" t="n"/>
      <c r="N94" s="146" t="n"/>
      <c r="O94" s="146" t="n"/>
      <c r="P94" s="146" t="n"/>
      <c r="Q94" s="146" t="n"/>
      <c r="R94" s="146" t="n"/>
      <c r="S94" s="147" t="n"/>
      <c r="T94" s="147" t="n"/>
      <c r="U94" s="147" t="n"/>
      <c r="V94" s="147" t="n"/>
    </row>
    <row r="95" ht="15" customFormat="1" customHeight="1" s="21">
      <c r="A95" s="144" t="n">
        <v>90</v>
      </c>
      <c r="B95" s="251" t="n">
        <v>46247</v>
      </c>
      <c r="C95" s="155" t="inlineStr">
        <is>
          <t>Nguyễn Thị Xuân Lan</t>
        </is>
      </c>
      <c r="D95" s="166" t="n"/>
      <c r="E95" s="167" t="n">
        <v>70</v>
      </c>
      <c r="F95" s="168" t="inlineStr">
        <is>
          <t>PT lấy đĩa đệm cột sống thắt lưng qua da</t>
        </is>
      </c>
      <c r="G95" s="166" t="n"/>
      <c r="H95" s="156" t="n">
        <v>8993000</v>
      </c>
      <c r="I95" s="145" t="inlineStr">
        <is>
          <t>TUẤN</t>
        </is>
      </c>
      <c r="J95" s="146" t="n"/>
      <c r="K95" s="146" t="n"/>
      <c r="L95" s="146" t="n"/>
      <c r="M95" s="146" t="n"/>
      <c r="N95" s="146" t="n"/>
      <c r="O95" s="146" t="n"/>
      <c r="P95" s="146" t="n"/>
      <c r="Q95" s="146" t="n"/>
      <c r="R95" s="146" t="n"/>
      <c r="S95" s="147" t="n"/>
      <c r="T95" s="147" t="n"/>
      <c r="U95" s="147" t="n"/>
      <c r="V95" s="147" t="n"/>
    </row>
    <row r="96" ht="15" customFormat="1" customHeight="1" s="21">
      <c r="A96" s="144" t="n">
        <v>91</v>
      </c>
      <c r="B96" s="252" t="n">
        <v>46247</v>
      </c>
      <c r="C96" s="189" t="inlineStr">
        <is>
          <t>Võ Văn Đoàn</t>
        </is>
      </c>
      <c r="D96" s="190" t="n">
        <v>48</v>
      </c>
      <c r="E96" s="191" t="n"/>
      <c r="F96" s="192" t="inlineStr">
        <is>
          <t>PT thay toàn bộ khớp háng</t>
        </is>
      </c>
      <c r="G96" s="190" t="inlineStr">
        <is>
          <t>Đặc biệt</t>
        </is>
      </c>
      <c r="H96" s="193" t="n">
        <v>3525500</v>
      </c>
      <c r="I96" s="145" t="inlineStr">
        <is>
          <t>HOAN</t>
        </is>
      </c>
      <c r="J96" s="146" t="n"/>
      <c r="K96" s="146" t="inlineStr">
        <is>
          <t>V.TÂN</t>
        </is>
      </c>
      <c r="L96" s="146" t="n"/>
      <c r="M96" s="146" t="inlineStr">
        <is>
          <t>BẢO</t>
        </is>
      </c>
      <c r="N96" s="146" t="n"/>
      <c r="O96" s="146" t="n"/>
      <c r="P96" s="146" t="n"/>
      <c r="Q96" s="146" t="n"/>
      <c r="R96" s="146" t="n"/>
      <c r="S96" s="147" t="n"/>
      <c r="T96" s="147" t="n"/>
      <c r="U96" s="147" t="n"/>
      <c r="V96" s="147" t="n"/>
    </row>
    <row r="97" ht="15" customFormat="1" customHeight="1" s="21">
      <c r="A97" s="144" t="n">
        <v>92</v>
      </c>
      <c r="B97" s="252" t="n">
        <v>46247</v>
      </c>
      <c r="C97" s="189" t="inlineStr">
        <is>
          <t>Lê Ngọc Điệp</t>
        </is>
      </c>
      <c r="D97" s="190" t="n"/>
      <c r="E97" s="191" t="n">
        <v>64</v>
      </c>
      <c r="F97" s="192" t="inlineStr">
        <is>
          <t>PT thay toàn bộ khớp gối</t>
        </is>
      </c>
      <c r="G97" s="190" t="inlineStr">
        <is>
          <t>Đặc biệt</t>
        </is>
      </c>
      <c r="H97" s="193" t="n">
        <v>3525500</v>
      </c>
      <c r="I97" s="145" t="inlineStr">
        <is>
          <t>HOAN</t>
        </is>
      </c>
      <c r="J97" s="146" t="n"/>
      <c r="K97" s="146" t="inlineStr">
        <is>
          <t>TOẢN</t>
        </is>
      </c>
      <c r="L97" s="146" t="n"/>
      <c r="M97" s="146" t="inlineStr">
        <is>
          <t>BẢO</t>
        </is>
      </c>
      <c r="N97" s="146" t="n"/>
      <c r="O97" s="146" t="n"/>
      <c r="P97" s="146" t="n"/>
      <c r="Q97" s="146" t="n"/>
      <c r="R97" s="146" t="n"/>
      <c r="S97" s="147" t="n"/>
      <c r="T97" s="147" t="n"/>
      <c r="U97" s="147" t="n"/>
      <c r="V97" s="147" t="n"/>
    </row>
    <row r="98" ht="15" customFormat="1" customHeight="1" s="21">
      <c r="A98" s="144" t="n">
        <v>93</v>
      </c>
      <c r="B98" s="252" t="n">
        <v>46247</v>
      </c>
      <c r="C98" s="189" t="inlineStr">
        <is>
          <t>Hà Minh Huy</t>
        </is>
      </c>
      <c r="D98" s="190" t="n">
        <v>62</v>
      </c>
      <c r="E98" s="191" t="n"/>
      <c r="F98" s="192" t="inlineStr">
        <is>
          <t>PTNS tạo hình mỏm cùng vai</t>
        </is>
      </c>
      <c r="G98" s="190" t="inlineStr">
        <is>
          <t>Đặc biệt</t>
        </is>
      </c>
      <c r="H98" s="193" t="n">
        <v>4897500</v>
      </c>
      <c r="I98" s="145" t="inlineStr">
        <is>
          <t>SƠN</t>
        </is>
      </c>
      <c r="J98" s="146" t="n"/>
      <c r="K98" s="146" t="inlineStr">
        <is>
          <t>DUY</t>
        </is>
      </c>
      <c r="L98" s="146" t="n"/>
      <c r="M98" s="146" t="n"/>
      <c r="N98" s="146" t="n"/>
      <c r="O98" s="146" t="n"/>
      <c r="P98" s="146" t="n"/>
      <c r="Q98" s="146" t="n"/>
      <c r="R98" s="146" t="n"/>
      <c r="S98" s="147" t="n"/>
      <c r="T98" s="147" t="n"/>
      <c r="U98" s="147" t="n"/>
      <c r="V98" s="147" t="n"/>
    </row>
    <row r="99" ht="15" customFormat="1" customHeight="1" s="21">
      <c r="A99" s="144" t="n">
        <v>94</v>
      </c>
      <c r="B99" s="252" t="n">
        <v>46248</v>
      </c>
      <c r="C99" s="189" t="inlineStr">
        <is>
          <t>Nguyễn Thị Dung</t>
        </is>
      </c>
      <c r="D99" s="190" t="n"/>
      <c r="E99" s="191" t="n">
        <v>82</v>
      </c>
      <c r="F99" s="192" t="inlineStr">
        <is>
          <t>PT thay khớp háng bán phần</t>
        </is>
      </c>
      <c r="G99" s="190" t="inlineStr">
        <is>
          <t>Loại 1</t>
        </is>
      </c>
      <c r="H99" s="193" t="n">
        <v>3897500</v>
      </c>
      <c r="I99" s="145" t="inlineStr">
        <is>
          <t>HOAN</t>
        </is>
      </c>
      <c r="J99" s="146" t="n"/>
      <c r="K99" s="146" t="inlineStr">
        <is>
          <t>TOẢN</t>
        </is>
      </c>
      <c r="L99" s="146" t="n"/>
      <c r="M99" s="146" t="n"/>
      <c r="N99" s="146" t="n"/>
      <c r="O99" s="146" t="n"/>
      <c r="P99" s="146" t="n"/>
      <c r="Q99" s="146" t="n"/>
      <c r="R99" s="146" t="n"/>
      <c r="S99" s="147" t="n"/>
      <c r="T99" s="147" t="n"/>
      <c r="U99" s="147" t="n"/>
      <c r="V99" s="147" t="n"/>
    </row>
    <row r="100" ht="15" customFormat="1" customHeight="1" s="21">
      <c r="A100" s="144" t="n">
        <v>95</v>
      </c>
      <c r="B100" s="252" t="n">
        <v>46248</v>
      </c>
      <c r="C100" s="189" t="inlineStr">
        <is>
          <t>Nguyễn Thị Hưởng</t>
        </is>
      </c>
      <c r="D100" s="190" t="n"/>
      <c r="E100" s="191" t="n">
        <v>55</v>
      </c>
      <c r="F100" s="192" t="inlineStr">
        <is>
          <t>PT lấy đĩa đệm cột sống thắt lưng qua da</t>
        </is>
      </c>
      <c r="G100" s="190" t="n"/>
      <c r="H100" s="193" t="n">
        <v>8993000</v>
      </c>
      <c r="I100" s="145" t="inlineStr">
        <is>
          <t>TUẤN</t>
        </is>
      </c>
      <c r="J100" s="146" t="n"/>
      <c r="K100" s="146" t="n"/>
      <c r="L100" s="146" t="n"/>
      <c r="M100" s="146" t="n"/>
      <c r="N100" s="146" t="n"/>
      <c r="O100" s="146" t="n"/>
      <c r="P100" s="146" t="n"/>
      <c r="Q100" s="146" t="n"/>
      <c r="R100" s="146" t="n"/>
      <c r="S100" s="147" t="n"/>
      <c r="T100" s="147" t="n"/>
      <c r="U100" s="147" t="n"/>
      <c r="V100" s="147" t="n"/>
    </row>
    <row r="101" ht="15" customFormat="1" customHeight="1" s="21">
      <c r="A101" s="144" t="n">
        <v>96</v>
      </c>
      <c r="B101" s="252" t="n">
        <v>46248</v>
      </c>
      <c r="C101" s="189" t="inlineStr">
        <is>
          <t>Lê Thị Buốn</t>
        </is>
      </c>
      <c r="D101" s="190" t="n"/>
      <c r="E101" s="191" t="n">
        <v>78</v>
      </c>
      <c r="F101" s="192" t="inlineStr">
        <is>
          <t>PT thay khớp háng bán phần</t>
        </is>
      </c>
      <c r="G101" s="190" t="inlineStr">
        <is>
          <t>Loại 1</t>
        </is>
      </c>
      <c r="H101" s="193" t="n">
        <v>3897500</v>
      </c>
      <c r="I101" s="145" t="inlineStr">
        <is>
          <t>TOẢN</t>
        </is>
      </c>
      <c r="J101" s="146" t="n"/>
      <c r="K101" s="146" t="n"/>
      <c r="L101" s="146" t="n"/>
      <c r="M101" s="146" t="n"/>
      <c r="N101" s="146" t="n"/>
      <c r="O101" s="146" t="n"/>
      <c r="P101" s="146" t="n"/>
      <c r="Q101" s="146" t="n"/>
      <c r="R101" s="146" t="n"/>
      <c r="S101" s="147" t="n"/>
      <c r="T101" s="147" t="n"/>
      <c r="U101" s="147" t="n"/>
      <c r="V101" s="147" t="n"/>
    </row>
    <row r="102" ht="15" customFormat="1" customHeight="1" s="21">
      <c r="A102" s="144" t="n">
        <v>97</v>
      </c>
      <c r="B102" s="252" t="n">
        <v>46248</v>
      </c>
      <c r="C102" s="189" t="inlineStr">
        <is>
          <t>Huỳnh Ngọc Sơn</t>
        </is>
      </c>
      <c r="D102" s="190" t="n">
        <v>24</v>
      </c>
      <c r="E102" s="191" t="n"/>
      <c r="F102" s="192" t="inlineStr">
        <is>
          <t>Rút đinh/ tháo phương tiện KHX</t>
        </is>
      </c>
      <c r="G102" s="190" t="inlineStr">
        <is>
          <t>Loại 2</t>
        </is>
      </c>
      <c r="H102" s="193" t="n">
        <v>2559100</v>
      </c>
      <c r="I102" s="145" t="inlineStr">
        <is>
          <t>ĐIỀN</t>
        </is>
      </c>
      <c r="J102" s="146" t="n"/>
      <c r="K102" s="146" t="n"/>
      <c r="L102" s="146" t="n"/>
      <c r="M102" s="146" t="n"/>
      <c r="N102" s="146" t="n"/>
      <c r="O102" s="146" t="n"/>
      <c r="P102" s="146" t="n"/>
      <c r="Q102" s="146" t="n"/>
      <c r="R102" s="146" t="n"/>
      <c r="S102" s="147" t="n"/>
      <c r="T102" s="147" t="n"/>
      <c r="U102" s="147" t="n"/>
      <c r="V102" s="147" t="n"/>
    </row>
    <row r="103" ht="15" customFormat="1" customHeight="1" s="21">
      <c r="A103" s="144" t="n">
        <v>98</v>
      </c>
      <c r="B103" s="252" t="n">
        <v>46248</v>
      </c>
      <c r="C103" s="189" t="inlineStr">
        <is>
          <t>Lê Thanh Hiền</t>
        </is>
      </c>
      <c r="D103" s="190" t="n">
        <v>37</v>
      </c>
      <c r="E103" s="191" t="n"/>
      <c r="F103" s="192" t="inlineStr">
        <is>
          <t>Cắt lọc hoại tử ổ loét vết thương mạn tính</t>
        </is>
      </c>
      <c r="G103" s="190" t="inlineStr">
        <is>
          <t>Loại 2</t>
        </is>
      </c>
      <c r="H103" s="193" t="n">
        <v>2128200</v>
      </c>
      <c r="I103" s="145" t="inlineStr">
        <is>
          <t>SƠN</t>
        </is>
      </c>
      <c r="J103" s="146" t="n"/>
      <c r="K103" s="146" t="n"/>
      <c r="L103" s="146" t="n"/>
      <c r="M103" s="146" t="n"/>
      <c r="N103" s="146" t="n"/>
      <c r="O103" s="146" t="n"/>
      <c r="P103" s="146" t="n"/>
      <c r="Q103" s="146" t="n"/>
      <c r="R103" s="146" t="n"/>
      <c r="S103" s="147" t="n"/>
      <c r="T103" s="147" t="n"/>
      <c r="U103" s="147" t="n"/>
      <c r="V103" s="147" t="n"/>
    </row>
    <row r="104" ht="15" customFormat="1" customHeight="1" s="21">
      <c r="A104" s="144" t="n">
        <v>99</v>
      </c>
      <c r="B104" s="252" t="n">
        <v>46248</v>
      </c>
      <c r="C104" s="189" t="inlineStr">
        <is>
          <t>Trương Văn Út</t>
        </is>
      </c>
      <c r="D104" s="190" t="n">
        <v>78</v>
      </c>
      <c r="E104" s="191" t="n"/>
      <c r="F104" s="192" t="inlineStr">
        <is>
          <t>Cắt lọc hoại tử ổ loét vết thương mạn tính</t>
        </is>
      </c>
      <c r="G104" s="190" t="inlineStr">
        <is>
          <t>Loại 2</t>
        </is>
      </c>
      <c r="H104" s="193" t="n">
        <v>0</v>
      </c>
      <c r="I104" s="145" t="inlineStr">
        <is>
          <t>G.TỬ</t>
        </is>
      </c>
      <c r="J104" s="146" t="n"/>
      <c r="K104" s="146" t="n"/>
      <c r="L104" s="146" t="n"/>
      <c r="M104" s="146" t="n"/>
      <c r="N104" s="146" t="n"/>
      <c r="O104" s="146" t="n"/>
      <c r="P104" s="146" t="n"/>
      <c r="Q104" s="146" t="n"/>
      <c r="R104" s="146" t="n"/>
      <c r="S104" s="147" t="n"/>
      <c r="T104" s="147" t="n"/>
      <c r="U104" s="147" t="n"/>
      <c r="V104" s="147" t="n"/>
    </row>
    <row r="105" ht="15" customFormat="1" customHeight="1" s="21">
      <c r="A105" s="144" t="n">
        <v>100</v>
      </c>
      <c r="B105" s="252" t="n">
        <v>46248</v>
      </c>
      <c r="C105" s="189" t="inlineStr">
        <is>
          <t>Hồ Nguyễn Tố Như</t>
        </is>
      </c>
      <c r="D105" s="190" t="n"/>
      <c r="E105" s="191" t="n">
        <v>23</v>
      </c>
      <c r="F105" s="192" t="inlineStr">
        <is>
          <t>Rút đinh/ tháo phương tiện KHX</t>
        </is>
      </c>
      <c r="G105" s="190" t="inlineStr">
        <is>
          <t>Loại 2</t>
        </is>
      </c>
      <c r="H105" s="193" t="n">
        <v>0</v>
      </c>
      <c r="I105" s="145" t="inlineStr">
        <is>
          <t>V.TÂN</t>
        </is>
      </c>
      <c r="J105" s="146" t="n"/>
      <c r="K105" s="146" t="inlineStr">
        <is>
          <t>G.TỬ</t>
        </is>
      </c>
      <c r="L105" s="146" t="n"/>
      <c r="M105" s="146" t="n"/>
      <c r="N105" s="146" t="n"/>
      <c r="O105" s="146" t="n"/>
      <c r="P105" s="146" t="n"/>
      <c r="Q105" s="146" t="n"/>
      <c r="R105" s="146" t="n"/>
      <c r="S105" s="147" t="n"/>
      <c r="T105" s="147" t="n"/>
      <c r="U105" s="147" t="n"/>
      <c r="V105" s="147" t="n"/>
    </row>
    <row r="106" ht="15" customFormat="1" customHeight="1" s="21">
      <c r="A106" s="144" t="n">
        <v>101</v>
      </c>
      <c r="B106" s="252" t="n">
        <v>45884</v>
      </c>
      <c r="C106" s="189" t="inlineStr">
        <is>
          <t>Trần Hiền</t>
        </is>
      </c>
      <c r="D106" s="190" t="n">
        <v>55</v>
      </c>
      <c r="E106" s="191" t="n"/>
      <c r="F106" s="192" t="inlineStr">
        <is>
          <t>PT lấy đĩa đệm cột sống thắt lưng qua da</t>
        </is>
      </c>
      <c r="G106" s="190" t="n"/>
      <c r="H106" s="193" t="n">
        <v>8993000</v>
      </c>
      <c r="I106" s="145" t="n"/>
      <c r="J106" s="146" t="n"/>
      <c r="K106" s="146" t="n"/>
      <c r="L106" s="146" t="n"/>
      <c r="M106" s="146" t="n"/>
      <c r="N106" s="146" t="n"/>
      <c r="O106" s="146" t="n"/>
      <c r="P106" s="146" t="n"/>
      <c r="Q106" s="146" t="n"/>
      <c r="R106" s="146" t="n"/>
      <c r="S106" s="147" t="n"/>
      <c r="T106" s="147" t="n"/>
      <c r="U106" s="147" t="n"/>
      <c r="V106" s="147" t="n"/>
    </row>
    <row r="107" ht="15" customFormat="1" customHeight="1" s="21">
      <c r="A107" s="144" t="n">
        <v>102</v>
      </c>
      <c r="B107" s="252" t="n">
        <v>45884</v>
      </c>
      <c r="C107" s="189" t="inlineStr">
        <is>
          <t>Nguyễn Thị Hằng</t>
        </is>
      </c>
      <c r="D107" s="190" t="n"/>
      <c r="E107" s="191" t="n">
        <v>63</v>
      </c>
      <c r="F107" s="192" t="inlineStr">
        <is>
          <t>PT lấy đĩa đệm cột sống thắt lưng qua da</t>
        </is>
      </c>
      <c r="G107" s="190" t="n"/>
      <c r="H107" s="193" t="n">
        <v>8993000</v>
      </c>
      <c r="I107" s="145" t="n"/>
      <c r="J107" s="146" t="n"/>
      <c r="K107" s="146" t="n"/>
      <c r="L107" s="146" t="n"/>
      <c r="M107" s="146" t="n"/>
      <c r="N107" s="146" t="n"/>
      <c r="O107" s="146" t="n"/>
      <c r="P107" s="146" t="n"/>
      <c r="Q107" s="146" t="n"/>
      <c r="R107" s="146" t="n"/>
      <c r="S107" s="147" t="n"/>
      <c r="T107" s="147" t="n"/>
      <c r="U107" s="147" t="n"/>
      <c r="V107" s="147" t="n"/>
    </row>
    <row r="108" ht="15" customFormat="1" customHeight="1" s="21">
      <c r="A108" s="144" t="n">
        <v>103</v>
      </c>
      <c r="B108" s="252" t="n">
        <v>45884</v>
      </c>
      <c r="C108" s="189" t="inlineStr">
        <is>
          <t>Trần Văn Lẹ</t>
        </is>
      </c>
      <c r="D108" s="190" t="n">
        <v>51</v>
      </c>
      <c r="E108" s="191" t="n"/>
      <c r="F108" s="192" t="inlineStr">
        <is>
          <t>PT KHX trên màn hình tăng sáng</t>
        </is>
      </c>
      <c r="G108" s="190" t="inlineStr">
        <is>
          <t>Đặc biệt</t>
        </is>
      </c>
      <c r="H108" s="193" t="n">
        <v>4497500</v>
      </c>
      <c r="I108" s="145" t="n"/>
      <c r="J108" s="146" t="n"/>
      <c r="K108" s="146" t="n"/>
      <c r="L108" s="146" t="n"/>
      <c r="M108" s="146" t="n"/>
      <c r="N108" s="146" t="n"/>
      <c r="O108" s="146" t="n"/>
      <c r="P108" s="146" t="n"/>
      <c r="Q108" s="146" t="n"/>
      <c r="R108" s="146" t="n"/>
      <c r="S108" s="147" t="n"/>
      <c r="T108" s="147" t="n"/>
      <c r="U108" s="147" t="n"/>
      <c r="V108" s="147" t="n"/>
    </row>
    <row r="109" ht="15" customFormat="1" customHeight="1" s="21">
      <c r="A109" s="144" t="n">
        <v>104</v>
      </c>
      <c r="B109" s="252" t="n">
        <v>45885</v>
      </c>
      <c r="C109" s="189" t="inlineStr">
        <is>
          <t>Bùi Văn Bảy</t>
        </is>
      </c>
      <c r="D109" s="190" t="n">
        <v>63</v>
      </c>
      <c r="E109" s="191" t="n"/>
      <c r="F109" s="192" t="inlineStr">
        <is>
          <t>PT cắt cụt chi</t>
        </is>
      </c>
      <c r="G109" s="190" t="inlineStr">
        <is>
          <t>Loại 2</t>
        </is>
      </c>
      <c r="H109" s="193" t="n">
        <v>1947600</v>
      </c>
      <c r="I109" s="145" t="n"/>
      <c r="J109" s="146" t="n"/>
      <c r="K109" s="146" t="n"/>
      <c r="L109" s="146" t="n"/>
      <c r="M109" s="146" t="n"/>
      <c r="N109" s="146" t="n"/>
      <c r="O109" s="146" t="n"/>
      <c r="P109" s="146" t="n"/>
      <c r="Q109" s="146" t="n"/>
      <c r="R109" s="146" t="n"/>
      <c r="S109" s="147" t="n"/>
      <c r="T109" s="147" t="n"/>
      <c r="U109" s="147" t="n"/>
      <c r="V109" s="147" t="n"/>
    </row>
    <row r="110" ht="15" customFormat="1" customHeight="1" s="21">
      <c r="A110" s="144" t="n">
        <v>105</v>
      </c>
      <c r="B110" s="252" t="n">
        <v>45885</v>
      </c>
      <c r="C110" s="189" t="inlineStr">
        <is>
          <t>Đặng Thị Gấm</t>
        </is>
      </c>
      <c r="D110" s="190" t="n"/>
      <c r="E110" s="191" t="n">
        <v>61</v>
      </c>
      <c r="F110" s="192" t="inlineStr">
        <is>
          <t>PT lấy đĩa đệm cột sống thắt lưng qua da</t>
        </is>
      </c>
      <c r="G110" s="190" t="n"/>
      <c r="H110" s="193" t="n">
        <v>8993000</v>
      </c>
      <c r="I110" s="145" t="n"/>
      <c r="J110" s="146" t="n"/>
      <c r="K110" s="146" t="n"/>
      <c r="L110" s="146" t="n"/>
      <c r="M110" s="146" t="n"/>
      <c r="N110" s="146" t="n"/>
      <c r="O110" s="146" t="n"/>
      <c r="P110" s="146" t="n"/>
      <c r="Q110" s="146" t="n"/>
      <c r="R110" s="146" t="n"/>
      <c r="S110" s="147" t="n"/>
      <c r="T110" s="147" t="n"/>
      <c r="U110" s="147" t="n"/>
      <c r="V110" s="147" t="n"/>
    </row>
    <row r="111" ht="15" customFormat="1" customHeight="1" s="21">
      <c r="A111" s="144" t="n">
        <v>106</v>
      </c>
      <c r="B111" s="252" t="n">
        <v>46251</v>
      </c>
      <c r="C111" s="189" t="inlineStr">
        <is>
          <t>Võ Hồng Cơ</t>
        </is>
      </c>
      <c r="D111" s="190" t="n">
        <v>89</v>
      </c>
      <c r="E111" s="191" t="n"/>
      <c r="F111" s="192" t="inlineStr">
        <is>
          <t>PT thay khớp háng bán phần</t>
        </is>
      </c>
      <c r="G111" s="190" t="inlineStr">
        <is>
          <t>Loại 1</t>
        </is>
      </c>
      <c r="H111" s="193" t="n">
        <v>3897500</v>
      </c>
      <c r="I111" s="145" t="inlineStr">
        <is>
          <t>HOAN</t>
        </is>
      </c>
      <c r="J111" s="146" t="n"/>
      <c r="K111" s="146" t="inlineStr">
        <is>
          <t>V.TÂN</t>
        </is>
      </c>
      <c r="L111" s="146" t="n"/>
      <c r="M111" s="146" t="inlineStr">
        <is>
          <t>DUY</t>
        </is>
      </c>
      <c r="N111" s="146" t="n"/>
      <c r="O111" s="146" t="n"/>
      <c r="P111" s="146" t="n"/>
      <c r="Q111" s="146" t="n"/>
      <c r="R111" s="146" t="n"/>
      <c r="S111" s="147" t="n"/>
      <c r="T111" s="147" t="n"/>
      <c r="U111" s="147" t="n"/>
      <c r="V111" s="147" t="n"/>
    </row>
    <row r="112" ht="15" customFormat="1" customHeight="1" s="21">
      <c r="A112" s="144" t="n">
        <v>107</v>
      </c>
      <c r="B112" s="252" t="n">
        <v>46251</v>
      </c>
      <c r="C112" s="189" t="inlineStr">
        <is>
          <t>Nguyễn Thị Lan</t>
        </is>
      </c>
      <c r="D112" s="190" t="n"/>
      <c r="E112" s="191" t="n">
        <v>68</v>
      </c>
      <c r="F112" s="192" t="inlineStr">
        <is>
          <t>Cố định cột sống bằng vít qua cuống</t>
        </is>
      </c>
      <c r="G112" s="190" t="inlineStr">
        <is>
          <t>Đặc biệt</t>
        </is>
      </c>
      <c r="H112" s="193" t="n">
        <v>4201900</v>
      </c>
      <c r="I112" s="145" t="inlineStr">
        <is>
          <t>HOAN</t>
        </is>
      </c>
      <c r="J112" s="146" t="n"/>
      <c r="K112" s="146" t="inlineStr">
        <is>
          <t>DUY</t>
        </is>
      </c>
      <c r="L112" s="146" t="n"/>
      <c r="M112" s="146" t="inlineStr">
        <is>
          <t>TUẤN</t>
        </is>
      </c>
      <c r="N112" s="146" t="n"/>
      <c r="O112" s="146" t="n"/>
      <c r="P112" s="146" t="n"/>
      <c r="Q112" s="146" t="n"/>
      <c r="R112" s="146" t="n"/>
      <c r="S112" s="147" t="n"/>
      <c r="T112" s="147" t="n"/>
      <c r="U112" s="147" t="n"/>
      <c r="V112" s="147" t="n"/>
    </row>
    <row r="113" ht="15" customFormat="1" customHeight="1" s="21">
      <c r="A113" s="144" t="n">
        <v>108</v>
      </c>
      <c r="B113" s="252" t="n">
        <v>46251</v>
      </c>
      <c r="C113" s="189" t="inlineStr">
        <is>
          <t>Ong Thị Thêu</t>
        </is>
      </c>
      <c r="D113" s="190" t="n"/>
      <c r="E113" s="191" t="n">
        <v>54</v>
      </c>
      <c r="F113" s="192" t="inlineStr">
        <is>
          <t>PT điều trị hội chứng ống cổ tay</t>
        </is>
      </c>
      <c r="G113" s="190" t="inlineStr">
        <is>
          <t>Loại 1</t>
        </is>
      </c>
      <c r="H113" s="193" t="n">
        <v>1301200</v>
      </c>
      <c r="I113" s="145" t="inlineStr">
        <is>
          <t>SƠN</t>
        </is>
      </c>
      <c r="J113" s="146" t="n"/>
      <c r="K113" s="146" t="n"/>
      <c r="L113" s="146" t="n"/>
      <c r="M113" s="146" t="n"/>
      <c r="N113" s="146" t="n"/>
      <c r="O113" s="146" t="n"/>
      <c r="P113" s="146" t="n"/>
      <c r="Q113" s="146" t="n"/>
      <c r="R113" s="146" t="n"/>
      <c r="S113" s="147" t="n"/>
      <c r="T113" s="147" t="n"/>
      <c r="U113" s="147" t="n"/>
      <c r="V113" s="147" t="n"/>
    </row>
    <row r="114" ht="15" customFormat="1" customHeight="1" s="21">
      <c r="A114" s="144" t="n">
        <v>109</v>
      </c>
      <c r="B114" s="252" t="n">
        <v>46251</v>
      </c>
      <c r="C114" s="189" t="inlineStr">
        <is>
          <t>Trần Thị Ngọc Mỹ</t>
        </is>
      </c>
      <c r="D114" s="190" t="n"/>
      <c r="E114" s="191" t="n">
        <v>32</v>
      </c>
      <c r="F114" s="192" t="inlineStr">
        <is>
          <t>PT điều trị hội chứng ống cổ tay</t>
        </is>
      </c>
      <c r="G114" s="190" t="inlineStr">
        <is>
          <t>Loại 1</t>
        </is>
      </c>
      <c r="H114" s="193" t="n">
        <v>1301200</v>
      </c>
      <c r="I114" s="145" t="inlineStr">
        <is>
          <t>SƠN</t>
        </is>
      </c>
      <c r="J114" s="146" t="n"/>
      <c r="K114" s="146" t="n"/>
      <c r="L114" s="146" t="n"/>
      <c r="M114" s="146" t="n"/>
      <c r="N114" s="146" t="n"/>
      <c r="O114" s="146" t="n"/>
      <c r="P114" s="146" t="n"/>
      <c r="Q114" s="146" t="n"/>
      <c r="R114" s="146" t="n"/>
      <c r="S114" s="147" t="n"/>
      <c r="T114" s="147" t="n"/>
      <c r="U114" s="147" t="n"/>
      <c r="V114" s="147" t="n"/>
    </row>
    <row r="115" ht="15" customFormat="1" customHeight="1" s="21">
      <c r="A115" s="144" t="n">
        <v>110</v>
      </c>
      <c r="B115" s="252" t="n">
        <v>46251</v>
      </c>
      <c r="C115" s="189" t="inlineStr">
        <is>
          <t>Trần Thanh Qui</t>
        </is>
      </c>
      <c r="D115" s="190" t="n">
        <v>21</v>
      </c>
      <c r="E115" s="191" t="n"/>
      <c r="F115" s="192" t="inlineStr">
        <is>
          <t>KHX trên màn hình tăng sáng</t>
        </is>
      </c>
      <c r="G115" s="190" t="inlineStr">
        <is>
          <t>Đặc biệt</t>
        </is>
      </c>
      <c r="H115" s="193" t="n">
        <v>4497500</v>
      </c>
      <c r="I115" s="145" t="inlineStr">
        <is>
          <t>ĐIỀN</t>
        </is>
      </c>
      <c r="J115" s="146" t="n"/>
      <c r="K115" s="146" t="n"/>
      <c r="L115" s="146" t="n"/>
      <c r="M115" s="146" t="n"/>
      <c r="N115" s="146" t="n"/>
      <c r="O115" s="146" t="n"/>
      <c r="P115" s="146" t="n"/>
      <c r="Q115" s="146" t="n"/>
      <c r="R115" s="146" t="n"/>
      <c r="S115" s="147" t="n"/>
      <c r="T115" s="147" t="n"/>
      <c r="U115" s="147" t="n"/>
      <c r="V115" s="147" t="n"/>
    </row>
    <row r="116" ht="15" customFormat="1" customHeight="1" s="21">
      <c r="A116" s="144" t="n">
        <v>111</v>
      </c>
      <c r="B116" s="252" t="n">
        <v>46252</v>
      </c>
      <c r="C116" s="189" t="inlineStr">
        <is>
          <t>Nguyễn Thành Long</t>
        </is>
      </c>
      <c r="D116" s="190" t="n">
        <v>55</v>
      </c>
      <c r="E116" s="191" t="n"/>
      <c r="F116" s="192" t="inlineStr">
        <is>
          <t>Khâu phục hồi tổn thương gân duỗi</t>
        </is>
      </c>
      <c r="G116" s="190" t="inlineStr">
        <is>
          <t>Loại 1</t>
        </is>
      </c>
      <c r="H116" s="193" t="n">
        <v>2697300</v>
      </c>
      <c r="I116" s="145" t="inlineStr">
        <is>
          <t>V.TÂN</t>
        </is>
      </c>
      <c r="J116" s="146" t="n"/>
      <c r="K116" s="146" t="n"/>
      <c r="L116" s="146" t="n"/>
      <c r="M116" s="146" t="n"/>
      <c r="N116" s="146" t="n"/>
      <c r="O116" s="146" t="n"/>
      <c r="P116" s="146" t="n"/>
      <c r="Q116" s="146" t="n"/>
      <c r="R116" s="146" t="n"/>
      <c r="S116" s="147" t="n"/>
      <c r="T116" s="147" t="n"/>
      <c r="U116" s="147" t="n"/>
      <c r="V116" s="147" t="n"/>
    </row>
    <row r="117" ht="15" customFormat="1" customHeight="1" s="21">
      <c r="A117" s="144" t="n">
        <v>112</v>
      </c>
      <c r="B117" s="252" t="n">
        <v>46252</v>
      </c>
      <c r="C117" s="189" t="inlineStr">
        <is>
          <t>Bùi Thị Ngời</t>
        </is>
      </c>
      <c r="D117" s="190" t="n"/>
      <c r="E117" s="191" t="n">
        <v>74</v>
      </c>
      <c r="F117" s="192" t="inlineStr">
        <is>
          <t>PT thay khớp háng bán phần</t>
        </is>
      </c>
      <c r="G117" s="190" t="inlineStr">
        <is>
          <t>Loại 1</t>
        </is>
      </c>
      <c r="H117" s="193" t="n">
        <v>3897500</v>
      </c>
      <c r="I117" s="145" t="inlineStr">
        <is>
          <t>HOAN</t>
        </is>
      </c>
      <c r="J117" s="146" t="n"/>
      <c r="K117" s="146" t="inlineStr">
        <is>
          <t>ĐIỀN</t>
        </is>
      </c>
      <c r="L117" s="146" t="n"/>
      <c r="M117" s="146" t="inlineStr">
        <is>
          <t>G.TỬ</t>
        </is>
      </c>
      <c r="N117" s="146" t="n"/>
      <c r="O117" s="146" t="n"/>
      <c r="P117" s="146" t="n"/>
      <c r="Q117" s="146" t="n"/>
      <c r="R117" s="146" t="n"/>
      <c r="S117" s="147" t="n"/>
      <c r="T117" s="147" t="n"/>
      <c r="U117" s="147" t="n"/>
      <c r="V117" s="147" t="n"/>
    </row>
    <row r="118" ht="15" customFormat="1" customHeight="1" s="21">
      <c r="A118" s="144" t="n">
        <v>113</v>
      </c>
      <c r="B118" s="252" t="n">
        <v>46252</v>
      </c>
      <c r="C118" s="189" t="inlineStr">
        <is>
          <t>Trần Thị Diễm Trang</t>
        </is>
      </c>
      <c r="D118" s="190" t="n"/>
      <c r="E118" s="191" t="n">
        <v>42</v>
      </c>
      <c r="F118" s="192" t="inlineStr">
        <is>
          <t>PT KHX trật khớp cùng đòn</t>
        </is>
      </c>
      <c r="G118" s="190" t="inlineStr">
        <is>
          <t>Loại 1</t>
        </is>
      </c>
      <c r="H118" s="193" t="n">
        <v>2897500</v>
      </c>
      <c r="I118" s="145" t="inlineStr">
        <is>
          <t>HOAN</t>
        </is>
      </c>
      <c r="J118" s="146" t="n"/>
      <c r="K118" s="146" t="inlineStr">
        <is>
          <t>ĐIỀN</t>
        </is>
      </c>
      <c r="L118" s="146" t="n"/>
      <c r="M118" s="146" t="inlineStr">
        <is>
          <t>G.TỬ</t>
        </is>
      </c>
      <c r="N118" s="146" t="n"/>
      <c r="O118" s="146" t="n"/>
      <c r="P118" s="146" t="n"/>
      <c r="Q118" s="146" t="n"/>
      <c r="R118" s="146" t="n"/>
      <c r="S118" s="147" t="n"/>
      <c r="T118" s="147" t="n"/>
      <c r="U118" s="147" t="n"/>
      <c r="V118" s="147" t="n"/>
    </row>
    <row r="119" ht="15" customFormat="1" customHeight="1" s="21">
      <c r="A119" s="144" t="n">
        <v>114</v>
      </c>
      <c r="B119" s="252" t="n">
        <v>46252</v>
      </c>
      <c r="C119" s="189" t="inlineStr">
        <is>
          <t>Phạm Ngọc Sơn</t>
        </is>
      </c>
      <c r="D119" s="190" t="n">
        <v>37</v>
      </c>
      <c r="E119" s="191" t="n"/>
      <c r="F119" s="192" t="inlineStr">
        <is>
          <t>PT thay toàn bộ khớp háng</t>
        </is>
      </c>
      <c r="G119" s="190" t="inlineStr">
        <is>
          <t>Đặc biệt</t>
        </is>
      </c>
      <c r="H119" s="193" t="n">
        <v>3525500</v>
      </c>
      <c r="I119" s="145" t="inlineStr">
        <is>
          <t>SƠN</t>
        </is>
      </c>
      <c r="J119" s="146" t="n"/>
      <c r="K119" s="146" t="inlineStr">
        <is>
          <t>BẢO</t>
        </is>
      </c>
      <c r="L119" s="146" t="n"/>
      <c r="M119" s="146" t="inlineStr">
        <is>
          <t>G.TỬ</t>
        </is>
      </c>
      <c r="N119" s="146" t="n"/>
      <c r="O119" s="146" t="n"/>
      <c r="P119" s="146" t="n"/>
      <c r="Q119" s="146" t="n"/>
      <c r="R119" s="146" t="n"/>
      <c r="S119" s="147" t="n"/>
      <c r="T119" s="147" t="n"/>
      <c r="U119" s="147" t="n"/>
      <c r="V119" s="147" t="n"/>
    </row>
    <row r="120" ht="15" customFormat="1" customHeight="1" s="21">
      <c r="A120" s="144" t="n">
        <v>115</v>
      </c>
      <c r="B120" s="252" t="n">
        <v>46252</v>
      </c>
      <c r="C120" s="189" t="inlineStr">
        <is>
          <t>Phạm Ngọc Sơn</t>
        </is>
      </c>
      <c r="D120" s="190" t="n">
        <v>37</v>
      </c>
      <c r="E120" s="191" t="n"/>
      <c r="F120" s="192" t="inlineStr">
        <is>
          <t>PT thay toàn bộ khớp háng (50%)</t>
        </is>
      </c>
      <c r="G120" s="190" t="inlineStr">
        <is>
          <t>Đặc biệt</t>
        </is>
      </c>
      <c r="H120" s="193" t="n">
        <v>1762750</v>
      </c>
      <c r="I120" s="145" t="inlineStr">
        <is>
          <t>SƠN</t>
        </is>
      </c>
      <c r="J120" s="146" t="n"/>
      <c r="K120" s="146" t="inlineStr">
        <is>
          <t>BẢO</t>
        </is>
      </c>
      <c r="L120" s="146" t="n"/>
      <c r="M120" s="146" t="inlineStr">
        <is>
          <t>G.TỬ</t>
        </is>
      </c>
      <c r="N120" s="146" t="n"/>
      <c r="O120" s="146" t="n"/>
      <c r="P120" s="146" t="n"/>
      <c r="Q120" s="146" t="n"/>
      <c r="R120" s="146" t="n"/>
      <c r="S120" s="147" t="n"/>
      <c r="T120" s="147" t="n"/>
      <c r="U120" s="147" t="n"/>
      <c r="V120" s="147" t="n"/>
    </row>
    <row r="121" ht="15" customFormat="1" customHeight="1" s="21">
      <c r="A121" s="144" t="n">
        <v>116</v>
      </c>
      <c r="B121" s="252" t="n">
        <v>46252</v>
      </c>
      <c r="C121" s="189" t="inlineStr">
        <is>
          <t>Nguyễn Thị Hè</t>
        </is>
      </c>
      <c r="D121" s="190" t="n"/>
      <c r="E121" s="191" t="n">
        <v>58</v>
      </c>
      <c r="F121" s="192" t="inlineStr">
        <is>
          <t>PT KHX trên màn hình tăng sáng</t>
        </is>
      </c>
      <c r="G121" s="190" t="inlineStr">
        <is>
          <t>Đặc biệt</t>
        </is>
      </c>
      <c r="H121" s="193" t="n">
        <v>4497500</v>
      </c>
      <c r="I121" s="145" t="inlineStr">
        <is>
          <t>G.TỬ</t>
        </is>
      </c>
      <c r="J121" s="146" t="n"/>
      <c r="K121" s="146" t="n"/>
      <c r="L121" s="146" t="n"/>
      <c r="M121" s="146" t="n"/>
      <c r="N121" s="146" t="n"/>
      <c r="O121" s="146" t="n"/>
      <c r="P121" s="146" t="n"/>
      <c r="Q121" s="146" t="n"/>
      <c r="R121" s="146" t="n"/>
      <c r="S121" s="147" t="n"/>
      <c r="T121" s="147" t="n"/>
      <c r="U121" s="147" t="n"/>
      <c r="V121" s="147" t="n"/>
    </row>
    <row r="122" ht="15" customFormat="1" customHeight="1" s="21">
      <c r="A122" s="144" t="n">
        <v>117</v>
      </c>
      <c r="B122" s="252" t="n">
        <v>46252</v>
      </c>
      <c r="C122" s="189" t="inlineStr">
        <is>
          <t>Bùi Hữu Thọ</t>
        </is>
      </c>
      <c r="D122" s="190" t="n">
        <v>45</v>
      </c>
      <c r="E122" s="191" t="n"/>
      <c r="F122" s="192" t="inlineStr">
        <is>
          <t>Cắt lọc hoại tử ổ loét vết thương mạn tính</t>
        </is>
      </c>
      <c r="G122" s="190" t="inlineStr">
        <is>
          <t>Loại 2</t>
        </is>
      </c>
      <c r="H122" s="193" t="n">
        <v>2128200</v>
      </c>
      <c r="I122" s="145" t="inlineStr">
        <is>
          <t>DUY</t>
        </is>
      </c>
      <c r="J122" s="146" t="n"/>
      <c r="K122" s="146" t="n"/>
      <c r="L122" s="146" t="n"/>
      <c r="M122" s="146" t="n"/>
      <c r="N122" s="146" t="n"/>
      <c r="O122" s="146" t="n"/>
      <c r="P122" s="146" t="n"/>
      <c r="Q122" s="146" t="n"/>
      <c r="R122" s="146" t="n"/>
      <c r="S122" s="147" t="n"/>
      <c r="T122" s="147" t="n"/>
      <c r="U122" s="147" t="n"/>
      <c r="V122" s="147" t="n"/>
    </row>
    <row r="123" ht="15" customFormat="1" customHeight="1" s="21">
      <c r="A123" s="144" t="n">
        <v>118</v>
      </c>
      <c r="B123" s="252" t="n">
        <v>46253</v>
      </c>
      <c r="C123" s="189" t="inlineStr">
        <is>
          <t>Nguyễn Văn Y</t>
        </is>
      </c>
      <c r="D123" s="190" t="n">
        <v>33</v>
      </c>
      <c r="E123" s="191" t="n"/>
      <c r="F123" s="192" t="inlineStr">
        <is>
          <t>PTNS tái tạo dây chằng chéo sau</t>
        </is>
      </c>
      <c r="G123" s="190" t="inlineStr">
        <is>
          <t>Đặc biệt</t>
        </is>
      </c>
      <c r="H123" s="193" t="n">
        <v>3405500</v>
      </c>
      <c r="I123" s="145" t="inlineStr">
        <is>
          <t>SƠN</t>
        </is>
      </c>
      <c r="J123" s="146" t="n"/>
      <c r="K123" s="146" t="n"/>
      <c r="L123" s="146" t="n"/>
      <c r="M123" s="146" t="n"/>
      <c r="N123" s="146" t="n"/>
      <c r="O123" s="146" t="n"/>
      <c r="P123" s="146" t="n"/>
      <c r="Q123" s="146" t="n"/>
      <c r="R123" s="146" t="n"/>
      <c r="S123" s="147" t="n"/>
      <c r="T123" s="147" t="n"/>
      <c r="U123" s="147" t="n"/>
      <c r="V123" s="147" t="n"/>
    </row>
    <row r="124" ht="15" customFormat="1" customHeight="1" s="21">
      <c r="A124" s="144" t="n">
        <v>119</v>
      </c>
      <c r="B124" s="252" t="n">
        <v>46253</v>
      </c>
      <c r="C124" s="189" t="inlineStr">
        <is>
          <t>Nguyễn Văn Y</t>
        </is>
      </c>
      <c r="D124" s="190" t="inlineStr">
        <is>
          <t> </t>
        </is>
      </c>
      <c r="E124" s="191" t="n"/>
      <c r="F124" s="192" t="inlineStr">
        <is>
          <t>PTNS khâu sụn chêm (50%)</t>
        </is>
      </c>
      <c r="G124" s="190" t="inlineStr">
        <is>
          <t>Đặc biệt</t>
        </is>
      </c>
      <c r="H124" s="193" t="n">
        <v>0</v>
      </c>
      <c r="I124" s="145" t="inlineStr">
        <is>
          <t>SƠN</t>
        </is>
      </c>
      <c r="J124" s="146" t="n"/>
      <c r="K124" s="146" t="n"/>
      <c r="L124" s="146" t="n"/>
      <c r="M124" s="146" t="n"/>
      <c r="N124" s="146" t="n"/>
      <c r="O124" s="146" t="n"/>
      <c r="P124" s="146" t="n"/>
      <c r="Q124" s="146" t="n"/>
      <c r="R124" s="146" t="n"/>
      <c r="S124" s="147" t="n"/>
      <c r="T124" s="147" t="n"/>
      <c r="U124" s="147" t="n"/>
      <c r="V124" s="147" t="n"/>
    </row>
    <row r="125" ht="15" customFormat="1" customHeight="1" s="21">
      <c r="A125" s="144" t="n">
        <v>120</v>
      </c>
      <c r="B125" s="252" t="n">
        <v>46253</v>
      </c>
      <c r="C125" s="189" t="inlineStr">
        <is>
          <t>Nguyễn Thị Thắm</t>
        </is>
      </c>
      <c r="D125" s="190" t="n"/>
      <c r="E125" s="191" t="n">
        <v>64</v>
      </c>
      <c r="F125" s="192" t="inlineStr">
        <is>
          <t>Cố định cột sống và hàn khớp qua liên thân đốt cột sống thắt lưng</t>
        </is>
      </c>
      <c r="G125" s="190" t="inlineStr">
        <is>
          <t>Đặc biệt</t>
        </is>
      </c>
      <c r="H125" s="193" t="n">
        <v>0</v>
      </c>
      <c r="I125" s="145" t="inlineStr">
        <is>
          <t>TUẤN</t>
        </is>
      </c>
      <c r="J125" s="146" t="n"/>
      <c r="K125" s="146" t="inlineStr">
        <is>
          <t>ĐIỀN</t>
        </is>
      </c>
      <c r="L125" s="146" t="n"/>
      <c r="M125" s="146" t="inlineStr">
        <is>
          <t>G.TỬ</t>
        </is>
      </c>
      <c r="N125" s="146" t="n"/>
      <c r="O125" s="146" t="n"/>
      <c r="P125" s="146" t="n"/>
      <c r="Q125" s="146" t="n"/>
      <c r="R125" s="146" t="n"/>
      <c r="S125" s="147" t="n"/>
      <c r="T125" s="147" t="n"/>
      <c r="U125" s="147" t="n"/>
      <c r="V125" s="147" t="n"/>
    </row>
    <row r="126" ht="15" customFormat="1" customHeight="1" s="21">
      <c r="A126" s="144" t="n">
        <v>121</v>
      </c>
      <c r="B126" s="252" t="n">
        <v>46253</v>
      </c>
      <c r="C126" s="189" t="inlineStr">
        <is>
          <t>Trần Ngọc Ánh</t>
        </is>
      </c>
      <c r="D126" s="190" t="n"/>
      <c r="E126" s="191" t="n">
        <v>52</v>
      </c>
      <c r="F126" s="192" t="inlineStr">
        <is>
          <t>PT KHX trên màn hình tăng sáng</t>
        </is>
      </c>
      <c r="G126" s="190" t="inlineStr">
        <is>
          <t>Đặc biệt</t>
        </is>
      </c>
      <c r="H126" s="193" t="n">
        <v>4497500</v>
      </c>
      <c r="I126" s="145" t="inlineStr">
        <is>
          <t>BẢO</t>
        </is>
      </c>
      <c r="J126" s="146" t="n"/>
      <c r="K126" s="146" t="inlineStr">
        <is>
          <t>V.TÂN</t>
        </is>
      </c>
      <c r="L126" s="146" t="n"/>
      <c r="M126" s="146" t="n"/>
      <c r="N126" s="146" t="n"/>
      <c r="O126" s="146" t="n"/>
      <c r="P126" s="146" t="n"/>
      <c r="Q126" s="146" t="n"/>
      <c r="R126" s="146" t="n"/>
      <c r="S126" s="147" t="n"/>
      <c r="T126" s="147" t="n"/>
      <c r="U126" s="147" t="n"/>
      <c r="V126" s="147" t="n"/>
    </row>
    <row r="127" ht="15" customFormat="1" customHeight="1" s="21">
      <c r="A127" s="144" t="n">
        <v>122</v>
      </c>
      <c r="B127" s="252" t="n">
        <v>46253</v>
      </c>
      <c r="C127" s="189" t="inlineStr">
        <is>
          <t>Trần Ngọc Ánh</t>
        </is>
      </c>
      <c r="D127" s="190" t="n"/>
      <c r="E127" s="191" t="n">
        <v>52</v>
      </c>
      <c r="F127" s="192" t="inlineStr">
        <is>
          <t>PT KHX trên màn hình tăng sáng</t>
        </is>
      </c>
      <c r="G127" s="190" t="inlineStr">
        <is>
          <t>Đặc biệt</t>
        </is>
      </c>
      <c r="H127" s="193" t="n">
        <v>0</v>
      </c>
      <c r="I127" s="145" t="inlineStr">
        <is>
          <t>BẢO</t>
        </is>
      </c>
      <c r="J127" s="146" t="n"/>
      <c r="K127" s="146" t="inlineStr">
        <is>
          <t>V.TÂN</t>
        </is>
      </c>
      <c r="L127" s="146" t="n"/>
      <c r="M127" s="146" t="n"/>
      <c r="N127" s="146" t="n"/>
      <c r="O127" s="146" t="n"/>
      <c r="P127" s="146" t="n"/>
      <c r="Q127" s="146" t="n"/>
      <c r="R127" s="146" t="n"/>
      <c r="S127" s="147" t="n"/>
      <c r="T127" s="147" t="n"/>
      <c r="U127" s="147" t="n"/>
      <c r="V127" s="147" t="n"/>
    </row>
    <row r="128" ht="15" customFormat="1" customHeight="1" s="21">
      <c r="A128" s="144" t="n">
        <v>123</v>
      </c>
      <c r="B128" s="252" t="n">
        <v>46254</v>
      </c>
      <c r="C128" s="189" t="inlineStr">
        <is>
          <t>Ngô Tuấn An</t>
        </is>
      </c>
      <c r="D128" s="190" t="n">
        <v>38</v>
      </c>
      <c r="E128" s="191" t="n"/>
      <c r="F128" s="192" t="inlineStr">
        <is>
          <t>PT thay toàn bộ khớp háng</t>
        </is>
      </c>
      <c r="G128" s="190" t="inlineStr">
        <is>
          <t>Đặc biệt</t>
        </is>
      </c>
      <c r="H128" s="193" t="n">
        <v>3525500</v>
      </c>
      <c r="I128" s="145" t="inlineStr">
        <is>
          <t>SƠN</t>
        </is>
      </c>
      <c r="J128" s="146" t="n"/>
      <c r="K128" s="146" t="inlineStr">
        <is>
          <t>BẢO</t>
        </is>
      </c>
      <c r="L128" s="146" t="n"/>
      <c r="M128" s="146" t="inlineStr">
        <is>
          <t>G.TỬ</t>
        </is>
      </c>
      <c r="N128" s="146" t="n"/>
      <c r="O128" s="146" t="n"/>
      <c r="P128" s="146" t="n"/>
      <c r="Q128" s="146" t="n"/>
      <c r="R128" s="146" t="n"/>
      <c r="S128" s="147" t="n"/>
      <c r="T128" s="147" t="n"/>
      <c r="U128" s="147" t="n"/>
      <c r="V128" s="147" t="n"/>
    </row>
    <row r="129" ht="15" customFormat="1" customHeight="1" s="21">
      <c r="A129" s="144" t="n">
        <v>124</v>
      </c>
      <c r="B129" s="252" t="n">
        <v>46254</v>
      </c>
      <c r="C129" s="189" t="inlineStr">
        <is>
          <t>Huỳnh Thu Hồng</t>
        </is>
      </c>
      <c r="D129" s="190" t="n"/>
      <c r="E129" s="191" t="n">
        <v>69</v>
      </c>
      <c r="F129" s="192" t="inlineStr">
        <is>
          <t>PT KHX gãy cổ giải phẫu và phẫu thuật KHX cánh tay</t>
        </is>
      </c>
      <c r="G129" s="190" t="inlineStr">
        <is>
          <t>Loại 1</t>
        </is>
      </c>
      <c r="H129" s="193" t="n">
        <v>2897500</v>
      </c>
      <c r="I129" s="145" t="inlineStr">
        <is>
          <t>DUY</t>
        </is>
      </c>
      <c r="J129" s="146" t="n"/>
      <c r="K129" s="146" t="n"/>
      <c r="L129" s="146" t="n"/>
      <c r="M129" s="146" t="n"/>
      <c r="N129" s="146" t="n"/>
      <c r="O129" s="146" t="n"/>
      <c r="P129" s="146" t="n"/>
      <c r="Q129" s="146" t="n"/>
      <c r="R129" s="146" t="n"/>
      <c r="S129" s="147" t="n"/>
      <c r="T129" s="147" t="n"/>
      <c r="U129" s="147" t="n"/>
      <c r="V129" s="147" t="n"/>
    </row>
    <row r="130" ht="15" customFormat="1" customHeight="1" s="21">
      <c r="A130" s="144" t="n">
        <v>125</v>
      </c>
      <c r="B130" s="252" t="n">
        <v>46254</v>
      </c>
      <c r="C130" s="189" t="inlineStr">
        <is>
          <t>Phạm Thị Diễm</t>
        </is>
      </c>
      <c r="D130" s="190" t="n"/>
      <c r="E130" s="191" t="n">
        <v>44</v>
      </c>
      <c r="F130" s="192" t="inlineStr">
        <is>
          <t>Khâu phục hồi tổn thương gân duỗi</t>
        </is>
      </c>
      <c r="G130" s="190" t="inlineStr">
        <is>
          <t>Loại 1</t>
        </is>
      </c>
      <c r="H130" s="193" t="n">
        <v>2697300</v>
      </c>
      <c r="I130" s="145" t="inlineStr">
        <is>
          <t>DUY</t>
        </is>
      </c>
      <c r="J130" s="146" t="n"/>
      <c r="K130" s="146" t="n"/>
      <c r="L130" s="146" t="n"/>
      <c r="M130" s="146" t="n"/>
      <c r="N130" s="146" t="n"/>
      <c r="O130" s="146" t="n"/>
      <c r="P130" s="146" t="n"/>
      <c r="Q130" s="146" t="n"/>
      <c r="R130" s="146" t="n"/>
      <c r="S130" s="147" t="n"/>
      <c r="T130" s="147" t="n"/>
      <c r="U130" s="147" t="n"/>
      <c r="V130" s="147" t="n"/>
    </row>
    <row r="131" ht="15" customFormat="1" customHeight="1" s="21">
      <c r="A131" s="144" t="n">
        <v>126</v>
      </c>
      <c r="B131" s="252" t="n">
        <v>46254</v>
      </c>
      <c r="C131" s="189" t="inlineStr">
        <is>
          <t>Phạm Ngọc Anh Thơ</t>
        </is>
      </c>
      <c r="D131" s="190" t="n"/>
      <c r="E131" s="191" t="n">
        <v>19</v>
      </c>
      <c r="F131" s="192" t="inlineStr">
        <is>
          <t>Rút đinh/ tháo phương tiện KHX</t>
        </is>
      </c>
      <c r="G131" s="190" t="inlineStr">
        <is>
          <t>Loại 2</t>
        </is>
      </c>
      <c r="H131" s="193" t="n">
        <v>2559100</v>
      </c>
      <c r="I131" s="145" t="inlineStr">
        <is>
          <t>DUY</t>
        </is>
      </c>
      <c r="J131" s="146" t="n"/>
      <c r="K131" s="146" t="n"/>
      <c r="L131" s="146" t="n"/>
      <c r="M131" s="146" t="n"/>
      <c r="N131" s="146" t="n"/>
      <c r="O131" s="146" t="n"/>
      <c r="P131" s="146" t="n"/>
      <c r="Q131" s="146" t="n"/>
      <c r="R131" s="146" t="n"/>
      <c r="S131" s="147" t="n"/>
      <c r="T131" s="147" t="n"/>
      <c r="U131" s="147" t="n"/>
      <c r="V131" s="147" t="n"/>
    </row>
    <row r="132" ht="15" customFormat="1" customHeight="1" s="21">
      <c r="A132" s="144" t="n">
        <v>127</v>
      </c>
      <c r="B132" s="252" t="n">
        <v>46254</v>
      </c>
      <c r="C132" s="189" t="inlineStr">
        <is>
          <t>Lê Thị Kim Điểu</t>
        </is>
      </c>
      <c r="D132" s="190" t="n"/>
      <c r="E132" s="191" t="n">
        <v>68</v>
      </c>
      <c r="F132" s="192" t="inlineStr">
        <is>
          <t xml:space="preserve">PT chuyển vạt che phủ phần mềm cuống mạch liền </t>
        </is>
      </c>
      <c r="G132" s="190" t="inlineStr">
        <is>
          <t>Đặc biệt</t>
        </is>
      </c>
      <c r="H132" s="193" t="n">
        <v>3279400</v>
      </c>
      <c r="I132" s="145" t="inlineStr">
        <is>
          <t>TOẢN</t>
        </is>
      </c>
      <c r="J132" s="146" t="n"/>
      <c r="K132" s="146" t="n"/>
      <c r="L132" s="146" t="n"/>
      <c r="M132" s="146" t="n"/>
      <c r="N132" s="146" t="n"/>
      <c r="O132" s="146" t="n"/>
      <c r="P132" s="146" t="n"/>
      <c r="Q132" s="146" t="n"/>
      <c r="R132" s="146" t="n"/>
      <c r="S132" s="147" t="n"/>
      <c r="T132" s="147" t="n"/>
      <c r="U132" s="147" t="n"/>
      <c r="V132" s="147" t="n"/>
    </row>
    <row r="133" ht="15" customFormat="1" customHeight="1" s="21">
      <c r="A133" s="144" t="n">
        <v>128</v>
      </c>
      <c r="B133" s="252" t="n">
        <v>46255</v>
      </c>
      <c r="C133" s="189" t="inlineStr">
        <is>
          <t>Nguyễn Trọng Nam</t>
        </is>
      </c>
      <c r="D133" s="190" t="n">
        <v>34</v>
      </c>
      <c r="E133" s="191" t="n"/>
      <c r="F133" s="192" t="inlineStr">
        <is>
          <t>PT KHX trên màn hình tăng sáng</t>
        </is>
      </c>
      <c r="G133" s="190" t="inlineStr">
        <is>
          <t>Đặc biệt</t>
        </is>
      </c>
      <c r="H133" s="193" t="n">
        <v>4497500</v>
      </c>
      <c r="I133" s="145" t="inlineStr">
        <is>
          <t>DUY</t>
        </is>
      </c>
      <c r="J133" s="146" t="n"/>
      <c r="K133" s="146" t="inlineStr">
        <is>
          <t>BẢO</t>
        </is>
      </c>
      <c r="L133" s="146" t="n"/>
      <c r="M133" s="146" t="n"/>
      <c r="N133" s="146" t="n"/>
      <c r="O133" s="146" t="n"/>
      <c r="P133" s="146" t="n"/>
      <c r="Q133" s="146" t="n"/>
      <c r="R133" s="146" t="n"/>
      <c r="S133" s="147" t="n"/>
      <c r="T133" s="147" t="n"/>
      <c r="U133" s="147" t="n"/>
      <c r="V133" s="147" t="n"/>
    </row>
    <row r="134" ht="15" customFormat="1" customHeight="1" s="21">
      <c r="A134" s="144" t="n">
        <v>129</v>
      </c>
      <c r="B134" s="252" t="n">
        <v>46255</v>
      </c>
      <c r="C134" s="189" t="inlineStr">
        <is>
          <t>Hồ Văn Tài</t>
        </is>
      </c>
      <c r="D134" s="190" t="n">
        <v>42</v>
      </c>
      <c r="E134" s="191" t="n"/>
      <c r="F134" s="192" t="inlineStr">
        <is>
          <t>PT KHX trên màn hình tăng sáng</t>
        </is>
      </c>
      <c r="G134" s="190" t="inlineStr">
        <is>
          <t>Đặc biệt</t>
        </is>
      </c>
      <c r="H134" s="193" t="n">
        <v>4497500</v>
      </c>
      <c r="I134" s="145" t="inlineStr">
        <is>
          <t>G.TỬ</t>
        </is>
      </c>
      <c r="J134" s="146" t="n"/>
      <c r="K134" s="146" t="n"/>
      <c r="L134" s="146" t="n"/>
      <c r="M134" s="146" t="n"/>
      <c r="N134" s="146" t="n"/>
      <c r="O134" s="146" t="n"/>
      <c r="P134" s="146" t="n"/>
      <c r="Q134" s="146" t="n"/>
      <c r="R134" s="146" t="n"/>
      <c r="S134" s="147" t="n"/>
      <c r="T134" s="147" t="n"/>
      <c r="U134" s="147" t="n"/>
      <c r="V134" s="147" t="n"/>
    </row>
    <row r="135" ht="15" customFormat="1" customHeight="1" s="21">
      <c r="A135" s="144" t="n">
        <v>130</v>
      </c>
      <c r="B135" s="252" t="n">
        <v>46255</v>
      </c>
      <c r="C135" s="189" t="inlineStr">
        <is>
          <t>Bùi Hữu Thọ</t>
        </is>
      </c>
      <c r="D135" s="190" t="n">
        <v>45</v>
      </c>
      <c r="E135" s="191" t="n"/>
      <c r="F135" s="192" t="inlineStr">
        <is>
          <t>Cắt lọc hoại tử ổ loét vết thương mạn tính</t>
        </is>
      </c>
      <c r="G135" s="190" t="inlineStr">
        <is>
          <t>Loại 2</t>
        </is>
      </c>
      <c r="H135" s="193" t="n">
        <v>0</v>
      </c>
      <c r="I135" s="145" t="inlineStr">
        <is>
          <t>DUY</t>
        </is>
      </c>
      <c r="J135" s="146" t="n"/>
      <c r="K135" s="146" t="inlineStr">
        <is>
          <t>BẢO</t>
        </is>
      </c>
      <c r="L135" s="146" t="n"/>
      <c r="M135" s="146" t="n"/>
      <c r="N135" s="146" t="n"/>
      <c r="O135" s="146" t="n"/>
      <c r="P135" s="146" t="n"/>
      <c r="Q135" s="146" t="n"/>
      <c r="R135" s="146" t="n"/>
      <c r="S135" s="147" t="n"/>
      <c r="T135" s="147" t="n"/>
      <c r="U135" s="147" t="n"/>
      <c r="V135" s="147" t="n"/>
    </row>
    <row r="136" ht="15" customFormat="1" customHeight="1" s="21">
      <c r="A136" s="144" t="n">
        <v>131</v>
      </c>
      <c r="B136" s="252" t="n">
        <v>46255</v>
      </c>
      <c r="C136" s="189" t="inlineStr">
        <is>
          <t>Trần Thị Ngọc Diễm</t>
        </is>
      </c>
      <c r="D136" s="190" t="n"/>
      <c r="E136" s="191" t="n">
        <v>30</v>
      </c>
      <c r="F136" s="192" t="inlineStr">
        <is>
          <t>Cắt lọc hoại tử ổ loét vết thương mạn tính</t>
        </is>
      </c>
      <c r="G136" s="190" t="inlineStr">
        <is>
          <t>Loại 2</t>
        </is>
      </c>
      <c r="H136" s="193" t="n">
        <v>2128200</v>
      </c>
      <c r="I136" s="145" t="inlineStr">
        <is>
          <t>DUY</t>
        </is>
      </c>
      <c r="J136" s="146" t="n"/>
      <c r="K136" s="146" t="inlineStr">
        <is>
          <t>BẢO</t>
        </is>
      </c>
      <c r="L136" s="146" t="n"/>
      <c r="M136" s="146" t="n"/>
      <c r="N136" s="146" t="n"/>
      <c r="O136" s="146" t="n"/>
      <c r="P136" s="146" t="n"/>
      <c r="Q136" s="146" t="n"/>
      <c r="R136" s="146" t="n"/>
      <c r="S136" s="147" t="n"/>
      <c r="T136" s="147" t="n"/>
      <c r="U136" s="147" t="n"/>
      <c r="V136" s="147" t="n"/>
    </row>
    <row r="137" ht="15" customFormat="1" customHeight="1" s="21">
      <c r="A137" s="144" t="n">
        <v>132</v>
      </c>
      <c r="B137" s="252" t="n">
        <v>46256</v>
      </c>
      <c r="C137" s="189" t="inlineStr">
        <is>
          <t>CHIÊM HUỲNH ANH THƯ</t>
        </is>
      </c>
      <c r="D137" s="190" t="n"/>
      <c r="E137" s="191" t="n">
        <v>26</v>
      </c>
      <c r="F137" s="192" t="inlineStr">
        <is>
          <t>Rút đinh/ tháo phương tiện KHX</t>
        </is>
      </c>
      <c r="G137" s="190" t="inlineStr">
        <is>
          <t>Loại 2</t>
        </is>
      </c>
      <c r="H137" s="193" t="n">
        <v>2559100</v>
      </c>
      <c r="I137" s="145" t="inlineStr">
        <is>
          <t>TOẢN</t>
        </is>
      </c>
      <c r="J137" s="146" t="n"/>
      <c r="K137" s="146" t="n"/>
      <c r="L137" s="146" t="n"/>
      <c r="M137" s="146" t="n"/>
      <c r="N137" s="146" t="n"/>
      <c r="O137" s="146" t="n"/>
      <c r="P137" s="146" t="n"/>
      <c r="Q137" s="146" t="n"/>
      <c r="R137" s="146" t="n"/>
      <c r="S137" s="147" t="n"/>
      <c r="T137" s="147" t="n"/>
      <c r="U137" s="147" t="n"/>
      <c r="V137" s="147" t="n"/>
    </row>
    <row r="138" ht="15" customFormat="1" customHeight="1" s="21">
      <c r="A138" s="144" t="n">
        <v>133</v>
      </c>
      <c r="B138" s="252" t="n">
        <v>46256</v>
      </c>
      <c r="C138" s="189" t="inlineStr">
        <is>
          <t>Lâm Đại Nhơn</t>
        </is>
      </c>
      <c r="D138" s="190" t="n">
        <v>88</v>
      </c>
      <c r="E138" s="191" t="n"/>
      <c r="F138" s="192" t="inlineStr">
        <is>
          <t>PT thay khớp háng bán phần</t>
        </is>
      </c>
      <c r="G138" s="190" t="inlineStr">
        <is>
          <t>Loại 1</t>
        </is>
      </c>
      <c r="H138" s="193" t="n">
        <v>3897500</v>
      </c>
      <c r="I138" s="145" t="inlineStr">
        <is>
          <t>HOAN</t>
        </is>
      </c>
      <c r="J138" s="146" t="n"/>
      <c r="K138" s="146" t="inlineStr">
        <is>
          <t>TUẤN</t>
        </is>
      </c>
      <c r="L138" s="146" t="n"/>
      <c r="M138" s="146" t="n"/>
      <c r="N138" s="146" t="n"/>
      <c r="O138" s="146" t="n"/>
      <c r="P138" s="146" t="n"/>
      <c r="Q138" s="146" t="n"/>
      <c r="R138" s="146" t="n"/>
      <c r="S138" s="147" t="n"/>
      <c r="T138" s="147" t="n"/>
      <c r="U138" s="147" t="n"/>
      <c r="V138" s="147" t="n"/>
    </row>
    <row r="139" ht="15" customFormat="1" customHeight="1" s="21">
      <c r="A139" s="144" t="n">
        <v>134</v>
      </c>
      <c r="B139" s="252" t="n">
        <v>46256</v>
      </c>
      <c r="C139" s="189" t="inlineStr">
        <is>
          <t>Lê Thị Tuyết</t>
        </is>
      </c>
      <c r="D139" s="190" t="n"/>
      <c r="E139" s="191" t="n">
        <v>67</v>
      </c>
      <c r="F139" s="192" t="inlineStr">
        <is>
          <t>PT thay toàn bộ khớp gối</t>
        </is>
      </c>
      <c r="G139" s="190" t="inlineStr">
        <is>
          <t>Đặc biệt</t>
        </is>
      </c>
      <c r="H139" s="193" t="n">
        <v>3525500</v>
      </c>
      <c r="I139" s="145" t="inlineStr">
        <is>
          <t>HOAN</t>
        </is>
      </c>
      <c r="J139" s="146" t="n"/>
      <c r="K139" s="146" t="inlineStr">
        <is>
          <t>DUY</t>
        </is>
      </c>
      <c r="L139" s="146" t="n"/>
      <c r="M139" s="146" t="inlineStr">
        <is>
          <t>TOẢN</t>
        </is>
      </c>
      <c r="N139" s="146" t="n"/>
      <c r="O139" s="146" t="n"/>
      <c r="P139" s="146" t="n"/>
      <c r="Q139" s="146" t="n"/>
      <c r="R139" s="146" t="n"/>
      <c r="S139" s="147" t="n"/>
      <c r="T139" s="147" t="n"/>
      <c r="U139" s="147" t="n"/>
      <c r="V139" s="147" t="n"/>
    </row>
    <row r="140" ht="15" customFormat="1" customHeight="1" s="21">
      <c r="A140" s="144" t="n">
        <v>135</v>
      </c>
      <c r="B140" s="252" t="n">
        <v>46256</v>
      </c>
      <c r="C140" s="189" t="inlineStr">
        <is>
          <t>Võ Tấn Đức</t>
        </is>
      </c>
      <c r="D140" s="190" t="n">
        <v>63</v>
      </c>
      <c r="E140" s="191" t="n"/>
      <c r="F140" s="192" t="inlineStr">
        <is>
          <t>PT lấy nhân đệm CSTL qua da</t>
        </is>
      </c>
      <c r="G140" s="190" t="n"/>
      <c r="H140" s="193" t="n">
        <v>8993000</v>
      </c>
      <c r="I140" s="145" t="inlineStr">
        <is>
          <t>TUẤN</t>
        </is>
      </c>
      <c r="J140" s="146" t="n"/>
      <c r="K140" s="146" t="n"/>
      <c r="L140" s="146" t="n"/>
      <c r="M140" s="146" t="n"/>
      <c r="N140" s="146" t="n"/>
      <c r="O140" s="146" t="n"/>
      <c r="P140" s="146" t="n"/>
      <c r="Q140" s="146" t="n"/>
      <c r="R140" s="146" t="n"/>
      <c r="S140" s="147" t="n"/>
      <c r="T140" s="147" t="n"/>
      <c r="U140" s="147" t="n"/>
      <c r="V140" s="147" t="n"/>
    </row>
    <row r="141" ht="15" customFormat="1" customHeight="1" s="21">
      <c r="A141" s="144" t="n">
        <v>136</v>
      </c>
      <c r="B141" s="252" t="n">
        <v>46257</v>
      </c>
      <c r="C141" s="189" t="inlineStr">
        <is>
          <t>Lê Văn Nô</t>
        </is>
      </c>
      <c r="D141" s="190" t="n">
        <v>72</v>
      </c>
      <c r="E141" s="191" t="n"/>
      <c r="F141" s="192" t="inlineStr">
        <is>
          <t>PT thay toàn bộ khớp gối</t>
        </is>
      </c>
      <c r="G141" s="190" t="inlineStr">
        <is>
          <t>Đặc biệt</t>
        </is>
      </c>
      <c r="H141" s="193" t="n">
        <v>3525500</v>
      </c>
      <c r="I141" s="145" t="inlineStr">
        <is>
          <t>TẤN</t>
        </is>
      </c>
      <c r="J141" s="146" t="n"/>
      <c r="K141" s="146" t="inlineStr">
        <is>
          <t>DUY</t>
        </is>
      </c>
      <c r="L141" s="146" t="n"/>
      <c r="M141" s="146" t="inlineStr">
        <is>
          <t>TOẢN</t>
        </is>
      </c>
      <c r="N141" s="146" t="n"/>
      <c r="O141" s="146" t="n"/>
      <c r="P141" s="146" t="n"/>
      <c r="Q141" s="146" t="n"/>
      <c r="R141" s="146" t="n"/>
      <c r="S141" s="147" t="n"/>
      <c r="T141" s="147" t="n"/>
      <c r="U141" s="147" t="n"/>
      <c r="V141" s="147" t="n"/>
    </row>
    <row r="142" ht="15" customFormat="1" customHeight="1" s="21">
      <c r="A142" s="144" t="n">
        <v>137</v>
      </c>
      <c r="B142" s="252" t="n">
        <v>46257</v>
      </c>
      <c r="C142" s="189" t="inlineStr">
        <is>
          <t>Hồ Thị Thanh Hà</t>
        </is>
      </c>
      <c r="D142" s="190" t="n"/>
      <c r="E142" s="191" t="n">
        <v>59</v>
      </c>
      <c r="F142" s="192" t="inlineStr">
        <is>
          <t>KHX trên màn hình tăng sáng</t>
        </is>
      </c>
      <c r="G142" s="190" t="inlineStr">
        <is>
          <t>Đặc biệt</t>
        </is>
      </c>
      <c r="H142" s="193" t="n">
        <v>4497500</v>
      </c>
      <c r="I142" s="145" t="inlineStr">
        <is>
          <t>DUY</t>
        </is>
      </c>
      <c r="J142" s="146" t="n"/>
      <c r="K142" s="146" t="n"/>
      <c r="L142" s="146" t="n"/>
      <c r="M142" s="146" t="n"/>
      <c r="N142" s="146" t="n"/>
      <c r="O142" s="146" t="n"/>
      <c r="P142" s="146" t="n"/>
      <c r="Q142" s="146" t="n"/>
      <c r="R142" s="146" t="n"/>
      <c r="S142" s="147" t="n"/>
      <c r="T142" s="147" t="n"/>
      <c r="U142" s="147" t="n"/>
      <c r="V142" s="147" t="n"/>
    </row>
    <row r="143" ht="15" customFormat="1" customHeight="1" s="21">
      <c r="A143" s="144" t="n">
        <v>138</v>
      </c>
      <c r="B143" s="252" t="n">
        <v>46258</v>
      </c>
      <c r="C143" s="189" t="inlineStr">
        <is>
          <t>Nguyễn Văn Đoàn</t>
        </is>
      </c>
      <c r="D143" s="190" t="n">
        <v>57</v>
      </c>
      <c r="E143" s="191" t="n"/>
      <c r="F143" s="192" t="inlineStr">
        <is>
          <t>Cắt lọc hoại tử ổ loét vết thương mạn tính</t>
        </is>
      </c>
      <c r="G143" s="190" t="inlineStr">
        <is>
          <t>Loại 2</t>
        </is>
      </c>
      <c r="H143" s="193" t="n">
        <v>2128200</v>
      </c>
      <c r="I143" s="145" t="inlineStr">
        <is>
          <t>V.TÂN</t>
        </is>
      </c>
      <c r="J143" s="146" t="n"/>
      <c r="K143" s="146" t="n"/>
      <c r="L143" s="146" t="n"/>
      <c r="M143" s="146" t="n"/>
      <c r="N143" s="146" t="n"/>
      <c r="O143" s="146" t="n"/>
      <c r="P143" s="146" t="n"/>
      <c r="Q143" s="146" t="n"/>
      <c r="R143" s="146" t="n"/>
      <c r="S143" s="147" t="n"/>
      <c r="T143" s="147" t="n"/>
      <c r="U143" s="147" t="n"/>
      <c r="V143" s="147" t="n"/>
    </row>
    <row r="144" ht="15" customFormat="1" customHeight="1" s="21">
      <c r="A144" s="144" t="n">
        <v>139</v>
      </c>
      <c r="B144" s="252" t="n">
        <v>46259</v>
      </c>
      <c r="C144" s="189" t="inlineStr">
        <is>
          <t>Hồ Bé Tư</t>
        </is>
      </c>
      <c r="D144" s="190" t="n">
        <v>69</v>
      </c>
      <c r="E144" s="191" t="n"/>
      <c r="F144" s="192" t="inlineStr">
        <is>
          <t xml:space="preserve">PT thay toàn bộ khớp háng </t>
        </is>
      </c>
      <c r="G144" s="190" t="inlineStr">
        <is>
          <t>Đặc biệt</t>
        </is>
      </c>
      <c r="H144" s="193" t="n">
        <v>3525500</v>
      </c>
      <c r="I144" s="145" t="inlineStr">
        <is>
          <t>SƠN</t>
        </is>
      </c>
      <c r="J144" s="146" t="n"/>
      <c r="K144" s="146" t="inlineStr">
        <is>
          <t>DUY</t>
        </is>
      </c>
      <c r="L144" s="146" t="n"/>
      <c r="M144" s="146" t="inlineStr">
        <is>
          <t>G.TỬ</t>
        </is>
      </c>
      <c r="N144" s="146" t="n"/>
      <c r="O144" s="146" t="n"/>
      <c r="P144" s="146" t="n"/>
      <c r="Q144" s="146" t="n"/>
      <c r="R144" s="146" t="n"/>
      <c r="S144" s="147" t="n"/>
      <c r="T144" s="147" t="n"/>
      <c r="U144" s="147" t="n"/>
      <c r="V144" s="147" t="n"/>
    </row>
    <row r="145" ht="15" customFormat="1" customHeight="1" s="21">
      <c r="A145" s="144" t="n">
        <v>140</v>
      </c>
      <c r="B145" s="252" t="n">
        <v>46259</v>
      </c>
      <c r="C145" s="189" t="inlineStr">
        <is>
          <t>Hồng Thị Bé</t>
        </is>
      </c>
      <c r="D145" s="190" t="n"/>
      <c r="E145" s="191" t="n">
        <v>76</v>
      </c>
      <c r="F145" s="192" t="inlineStr">
        <is>
          <t>Thay toàn bộ khớp gối</t>
        </is>
      </c>
      <c r="G145" s="190" t="inlineStr">
        <is>
          <t>Đặc biệt</t>
        </is>
      </c>
      <c r="H145" s="193" t="n">
        <v>3525500</v>
      </c>
      <c r="I145" s="145" t="inlineStr">
        <is>
          <t>HOAN</t>
        </is>
      </c>
      <c r="J145" s="146" t="n"/>
      <c r="K145" s="146" t="inlineStr">
        <is>
          <t>BẢO</t>
        </is>
      </c>
      <c r="L145" s="146" t="n"/>
      <c r="M145" s="146" t="inlineStr">
        <is>
          <t>ĐIỀN</t>
        </is>
      </c>
      <c r="N145" s="146" t="n"/>
      <c r="O145" s="146" t="n"/>
      <c r="P145" s="146" t="n"/>
      <c r="Q145" s="146" t="n"/>
      <c r="R145" s="146" t="n"/>
      <c r="S145" s="147" t="n"/>
      <c r="T145" s="147" t="n"/>
      <c r="U145" s="147" t="n"/>
      <c r="V145" s="147" t="n"/>
    </row>
    <row r="146" ht="15" customFormat="1" customHeight="1" s="21">
      <c r="A146" s="144" t="n">
        <v>141</v>
      </c>
      <c r="B146" s="252" t="n">
        <v>46259</v>
      </c>
      <c r="C146" s="189" t="inlineStr">
        <is>
          <t>Lâm Văn Tấn</t>
        </is>
      </c>
      <c r="D146" s="190" t="n">
        <v>57</v>
      </c>
      <c r="E146" s="191" t="n"/>
      <c r="F146" s="192" t="inlineStr">
        <is>
          <t>PT KHX trên màn hình tăng sáng</t>
        </is>
      </c>
      <c r="G146" s="190" t="inlineStr">
        <is>
          <t>Đặc biệt</t>
        </is>
      </c>
      <c r="H146" s="193" t="n">
        <v>4497500</v>
      </c>
      <c r="I146" s="145" t="inlineStr">
        <is>
          <t>DUY</t>
        </is>
      </c>
      <c r="J146" s="146" t="n"/>
      <c r="K146" s="146" t="n"/>
      <c r="L146" s="146" t="n"/>
      <c r="M146" s="146" t="n"/>
      <c r="N146" s="146" t="n"/>
      <c r="O146" s="146" t="n"/>
      <c r="P146" s="146" t="n"/>
      <c r="Q146" s="146" t="n"/>
      <c r="R146" s="146" t="n"/>
      <c r="S146" s="147" t="n"/>
      <c r="T146" s="147" t="n"/>
      <c r="U146" s="147" t="n"/>
      <c r="V146" s="147" t="n"/>
    </row>
    <row r="147" ht="15" customFormat="1" customHeight="1" s="21">
      <c r="A147" s="144" t="n">
        <v>142</v>
      </c>
      <c r="B147" s="252" t="n">
        <v>46259</v>
      </c>
      <c r="C147" s="189" t="inlineStr">
        <is>
          <t>La Thu Nga</t>
        </is>
      </c>
      <c r="D147" s="190" t="n"/>
      <c r="E147" s="191" t="n">
        <v>49</v>
      </c>
      <c r="F147" s="192" t="inlineStr">
        <is>
          <t>PT KHX trên màn hình tăng sáng</t>
        </is>
      </c>
      <c r="G147" s="190" t="inlineStr">
        <is>
          <t>Đặc biệt</t>
        </is>
      </c>
      <c r="H147" s="193" t="n">
        <v>4497500</v>
      </c>
      <c r="I147" s="145" t="inlineStr">
        <is>
          <t>BẢO</t>
        </is>
      </c>
      <c r="J147" s="146" t="n"/>
      <c r="K147" s="146" t="inlineStr">
        <is>
          <t>DUY</t>
        </is>
      </c>
      <c r="L147" s="146" t="n"/>
      <c r="M147" s="146" t="n"/>
      <c r="N147" s="146" t="n"/>
      <c r="O147" s="146" t="n"/>
      <c r="P147" s="146" t="n"/>
      <c r="Q147" s="146" t="n"/>
      <c r="R147" s="146" t="n"/>
      <c r="S147" s="147" t="n"/>
      <c r="T147" s="147" t="n"/>
      <c r="U147" s="147" t="n"/>
      <c r="V147" s="147" t="n"/>
    </row>
    <row r="148" ht="15" customFormat="1" customHeight="1" s="21">
      <c r="A148" s="144" t="n">
        <v>144</v>
      </c>
      <c r="B148" s="252" t="n">
        <v>46259</v>
      </c>
      <c r="C148" s="189" t="inlineStr">
        <is>
          <t>Huỳnh Văn Công</t>
        </is>
      </c>
      <c r="D148" s="190" t="n">
        <v>69</v>
      </c>
      <c r="E148" s="191" t="n"/>
      <c r="F148" s="192" t="inlineStr">
        <is>
          <t>PT làm mỏm cụt ngón và đốt bàn ngón</t>
        </is>
      </c>
      <c r="G148" s="190" t="inlineStr">
        <is>
          <t>Loại 2</t>
        </is>
      </c>
      <c r="H148" s="193" t="n">
        <v>0</v>
      </c>
      <c r="I148" s="145" t="inlineStr">
        <is>
          <t>BẢO</t>
        </is>
      </c>
      <c r="J148" s="146" t="n"/>
      <c r="K148" s="146" t="n"/>
      <c r="L148" s="146" t="n"/>
      <c r="M148" s="146" t="n"/>
      <c r="N148" s="146" t="n"/>
      <c r="O148" s="146" t="n"/>
      <c r="P148" s="146" t="n"/>
      <c r="Q148" s="146" t="n"/>
      <c r="R148" s="146" t="n"/>
      <c r="S148" s="147" t="n"/>
      <c r="T148" s="147" t="n"/>
      <c r="U148" s="147" t="n"/>
      <c r="V148" s="147" t="n"/>
    </row>
    <row r="149" ht="15" customFormat="1" customHeight="1" s="21">
      <c r="A149" s="144" t="n">
        <v>145</v>
      </c>
      <c r="B149" s="252" t="n">
        <v>46259</v>
      </c>
      <c r="C149" s="189" t="inlineStr">
        <is>
          <t>Nguyễn Đình Ngọc Giàu</t>
        </is>
      </c>
      <c r="D149" s="190" t="n"/>
      <c r="E149" s="191" t="n">
        <v>33</v>
      </c>
      <c r="F149" s="192" t="inlineStr">
        <is>
          <t>PTNS tái tạo dây chằng bằng gân chân ngỗng</t>
        </is>
      </c>
      <c r="G149" s="190" t="inlineStr">
        <is>
          <t>Đặc biệt</t>
        </is>
      </c>
      <c r="H149" s="193" t="n">
        <v>3405500</v>
      </c>
      <c r="I149" s="145" t="inlineStr">
        <is>
          <t>SƠN</t>
        </is>
      </c>
      <c r="J149" s="146" t="n"/>
      <c r="K149" s="146" t="inlineStr">
        <is>
          <t>DUY</t>
        </is>
      </c>
      <c r="L149" s="146" t="n"/>
      <c r="M149" s="146" t="n"/>
      <c r="N149" s="146" t="n"/>
      <c r="O149" s="146" t="n"/>
      <c r="P149" s="146" t="n"/>
      <c r="Q149" s="146" t="n"/>
      <c r="R149" s="146" t="n"/>
      <c r="S149" s="147" t="n"/>
      <c r="T149" s="147" t="n"/>
      <c r="U149" s="147" t="n"/>
      <c r="V149" s="147" t="n"/>
    </row>
    <row r="150" ht="15" customFormat="1" customHeight="1" s="21">
      <c r="A150" s="144" t="n">
        <v>146</v>
      </c>
      <c r="B150" s="252" t="n">
        <v>46259</v>
      </c>
      <c r="C150" s="189" t="inlineStr">
        <is>
          <t>Nguyễn Đình Ngọc Giàu</t>
        </is>
      </c>
      <c r="D150" s="190" t="n"/>
      <c r="E150" s="191" t="n">
        <v>33</v>
      </c>
      <c r="F150" s="192" t="inlineStr">
        <is>
          <t>PTNS khâu sụn chêm (50%)</t>
        </is>
      </c>
      <c r="G150" s="190" t="inlineStr">
        <is>
          <t>Đặc biệt</t>
        </is>
      </c>
      <c r="H150" s="193" t="n">
        <v>0</v>
      </c>
      <c r="I150" s="145" t="inlineStr">
        <is>
          <t>SƠN</t>
        </is>
      </c>
      <c r="J150" s="146" t="n"/>
      <c r="K150" s="146" t="inlineStr">
        <is>
          <t>DUY</t>
        </is>
      </c>
      <c r="L150" s="146" t="n"/>
      <c r="M150" s="146" t="n"/>
      <c r="N150" s="146" t="n"/>
      <c r="O150" s="146" t="n"/>
      <c r="P150" s="146" t="n"/>
      <c r="Q150" s="146" t="n"/>
      <c r="R150" s="146" t="n"/>
      <c r="S150" s="147" t="n"/>
      <c r="T150" s="147" t="n"/>
      <c r="U150" s="147" t="n"/>
      <c r="V150" s="147" t="n"/>
    </row>
    <row r="151" ht="15" customFormat="1" customHeight="1" s="21">
      <c r="A151" s="144" t="n">
        <v>147</v>
      </c>
      <c r="B151" s="252" t="n">
        <v>46259</v>
      </c>
      <c r="C151" s="189" t="inlineStr">
        <is>
          <t>Nguyễn Văn Quảng</t>
        </is>
      </c>
      <c r="D151" s="190" t="n">
        <v>50</v>
      </c>
      <c r="E151" s="191" t="n"/>
      <c r="F151" s="192" t="inlineStr">
        <is>
          <t>PTNS cắt hoạt mạc viêm khớp gối</t>
        </is>
      </c>
      <c r="G151" s="190" t="inlineStr">
        <is>
          <t>Loại 1</t>
        </is>
      </c>
      <c r="H151" s="193" t="n">
        <v>3397500</v>
      </c>
      <c r="I151" s="145" t="inlineStr">
        <is>
          <t>SƠN</t>
        </is>
      </c>
      <c r="J151" s="146" t="n"/>
      <c r="K151" s="146" t="inlineStr">
        <is>
          <t>DUY</t>
        </is>
      </c>
      <c r="L151" s="146" t="n"/>
      <c r="M151" s="146" t="n"/>
      <c r="N151" s="146" t="n"/>
      <c r="O151" s="146" t="n"/>
      <c r="P151" s="146" t="n"/>
      <c r="Q151" s="146" t="n"/>
      <c r="R151" s="146" t="n"/>
      <c r="S151" s="147" t="n"/>
      <c r="T151" s="147" t="n"/>
      <c r="U151" s="147" t="n"/>
      <c r="V151" s="147" t="n"/>
    </row>
    <row r="152" ht="15" customFormat="1" customHeight="1" s="21">
      <c r="A152" s="144" t="n">
        <v>148</v>
      </c>
      <c r="B152" s="252" t="n">
        <v>46260</v>
      </c>
      <c r="C152" s="189" t="inlineStr">
        <is>
          <t>Kiều Thị Lộc</t>
        </is>
      </c>
      <c r="D152" s="190" t="n"/>
      <c r="E152" s="191" t="n">
        <v>72</v>
      </c>
      <c r="F152" s="192" t="inlineStr">
        <is>
          <t>Tạo hình và đổ xi măng cột sống</t>
        </is>
      </c>
      <c r="G152" s="190" t="inlineStr">
        <is>
          <t>TT đặc biệt</t>
        </is>
      </c>
      <c r="H152" s="193" t="n">
        <v>5129900</v>
      </c>
      <c r="I152" s="145" t="n"/>
      <c r="J152" s="146" t="n"/>
      <c r="K152" s="146" t="n"/>
      <c r="L152" s="146" t="n"/>
      <c r="M152" s="146" t="n"/>
      <c r="N152" s="146" t="n"/>
      <c r="O152" s="146" t="n"/>
      <c r="P152" s="146" t="n"/>
      <c r="Q152" s="146" t="n"/>
      <c r="R152" s="146" t="n"/>
      <c r="S152" s="147" t="n"/>
      <c r="T152" s="147" t="n"/>
      <c r="U152" s="147" t="n"/>
      <c r="V152" s="147" t="n"/>
    </row>
    <row r="153" ht="15" customFormat="1" customHeight="1" s="21">
      <c r="A153" s="144" t="n">
        <v>149</v>
      </c>
      <c r="B153" s="252" t="n">
        <v>46260</v>
      </c>
      <c r="C153" s="189" t="inlineStr">
        <is>
          <t>Phạm Văn Hiếu</t>
        </is>
      </c>
      <c r="D153" s="190" t="n">
        <v>46</v>
      </c>
      <c r="E153" s="191" t="n"/>
      <c r="F153" s="192" t="inlineStr">
        <is>
          <t>Rút đinh/ tháo phương tiện KHX</t>
        </is>
      </c>
      <c r="G153" s="190" t="inlineStr">
        <is>
          <t>Loại 2</t>
        </is>
      </c>
      <c r="H153" s="193" t="n">
        <v>2559100</v>
      </c>
      <c r="I153" s="145" t="inlineStr">
        <is>
          <t>ĐIỀN</t>
        </is>
      </c>
      <c r="J153" s="146" t="n"/>
      <c r="K153" s="146" t="n"/>
      <c r="L153" s="146" t="n"/>
      <c r="M153" s="146" t="n"/>
      <c r="N153" s="146" t="n"/>
      <c r="O153" s="146" t="n"/>
      <c r="P153" s="146" t="n"/>
      <c r="Q153" s="146" t="n"/>
      <c r="R153" s="146" t="n"/>
      <c r="S153" s="147" t="n"/>
      <c r="T153" s="147" t="n"/>
      <c r="U153" s="147" t="n"/>
      <c r="V153" s="147" t="n"/>
    </row>
    <row r="154" ht="15" customFormat="1" customHeight="1" s="21">
      <c r="A154" s="144" t="n">
        <v>150</v>
      </c>
      <c r="B154" s="252" t="n">
        <v>46260</v>
      </c>
      <c r="C154" s="189" t="inlineStr">
        <is>
          <t>Phan Mỹ Lệ</t>
        </is>
      </c>
      <c r="D154" s="190" t="n"/>
      <c r="E154" s="191" t="n">
        <v>64</v>
      </c>
      <c r="F154" s="192" t="inlineStr">
        <is>
          <t xml:space="preserve">PT điều trị hội chứng ống cổ tay </t>
        </is>
      </c>
      <c r="G154" s="190" t="inlineStr">
        <is>
          <t>Loại 1</t>
        </is>
      </c>
      <c r="H154" s="193" t="n">
        <v>1301200</v>
      </c>
      <c r="I154" s="145" t="inlineStr">
        <is>
          <t>G.TỬ</t>
        </is>
      </c>
      <c r="J154" s="146" t="n"/>
      <c r="K154" s="146" t="n"/>
      <c r="L154" s="146" t="n"/>
      <c r="M154" s="146" t="n"/>
      <c r="N154" s="146" t="n"/>
      <c r="O154" s="146" t="n"/>
      <c r="P154" s="146" t="n"/>
      <c r="Q154" s="146" t="n"/>
      <c r="R154" s="146" t="n"/>
      <c r="S154" s="147" t="n"/>
      <c r="T154" s="147" t="n"/>
      <c r="U154" s="147" t="n"/>
      <c r="V154" s="147" t="n"/>
    </row>
    <row r="155" ht="15" customFormat="1" customHeight="1" s="21">
      <c r="A155" s="144" t="n">
        <v>151</v>
      </c>
      <c r="B155" s="252" t="n">
        <v>46260</v>
      </c>
      <c r="C155" s="189" t="inlineStr">
        <is>
          <t>Phan Mỹ Lệ</t>
        </is>
      </c>
      <c r="D155" s="190" t="n"/>
      <c r="E155" s="191" t="n">
        <v>64</v>
      </c>
      <c r="F155" s="192" t="inlineStr">
        <is>
          <t xml:space="preserve">PT điều trị hội chứng ống cổ tay </t>
        </is>
      </c>
      <c r="G155" s="190" t="inlineStr">
        <is>
          <t>Loại 2</t>
        </is>
      </c>
      <c r="H155" s="193" t="n">
        <v>0</v>
      </c>
      <c r="I155" s="145" t="inlineStr">
        <is>
          <t>G.TỬ</t>
        </is>
      </c>
      <c r="J155" s="146" t="n"/>
      <c r="K155" s="146" t="n"/>
      <c r="L155" s="146" t="n"/>
      <c r="M155" s="146" t="n"/>
      <c r="N155" s="146" t="n"/>
      <c r="O155" s="146" t="n"/>
      <c r="P155" s="146" t="n"/>
      <c r="Q155" s="146" t="n"/>
      <c r="R155" s="146" t="n"/>
      <c r="S155" s="147" t="n"/>
      <c r="T155" s="147" t="n"/>
      <c r="U155" s="147" t="n"/>
      <c r="V155" s="147" t="n"/>
    </row>
    <row r="156" ht="15" customFormat="1" customHeight="1" s="21">
      <c r="A156" s="144" t="n">
        <v>152</v>
      </c>
      <c r="B156" s="252" t="n">
        <v>46260</v>
      </c>
      <c r="C156" s="189" t="inlineStr">
        <is>
          <t>Võ Thị Nguyên</t>
        </is>
      </c>
      <c r="D156" s="190" t="n"/>
      <c r="E156" s="191" t="n">
        <v>41</v>
      </c>
      <c r="F156" s="192" t="inlineStr">
        <is>
          <t xml:space="preserve">Cắt u xương sụn gây tê </t>
        </is>
      </c>
      <c r="G156" s="190" t="inlineStr">
        <is>
          <t>Loại 2</t>
        </is>
      </c>
      <c r="H156" s="193" t="n">
        <v>2496400</v>
      </c>
      <c r="I156" s="145" t="inlineStr">
        <is>
          <t>TOẢN</t>
        </is>
      </c>
      <c r="J156" s="146" t="n"/>
      <c r="K156" s="146" t="n"/>
      <c r="L156" s="146" t="n"/>
      <c r="M156" s="146" t="n"/>
      <c r="N156" s="146" t="n"/>
      <c r="O156" s="146" t="n"/>
      <c r="P156" s="146" t="n"/>
      <c r="Q156" s="146" t="n"/>
      <c r="R156" s="146" t="n"/>
      <c r="S156" s="147" t="n"/>
      <c r="T156" s="147" t="n"/>
      <c r="U156" s="147" t="n"/>
      <c r="V156" s="147" t="n"/>
    </row>
    <row r="157" ht="15" customFormat="1" customHeight="1" s="21">
      <c r="A157" s="144" t="n"/>
      <c r="B157" s="188" t="n"/>
      <c r="C157" s="189" t="n"/>
      <c r="D157" s="190" t="n"/>
      <c r="E157" s="191" t="n"/>
      <c r="F157" s="192" t="n"/>
      <c r="G157" s="190" t="n"/>
      <c r="H157" s="193" t="n"/>
      <c r="I157" s="145" t="n"/>
      <c r="J157" s="146" t="n"/>
      <c r="K157" s="146" t="n"/>
      <c r="L157" s="146" t="n"/>
      <c r="M157" s="146" t="n"/>
      <c r="N157" s="146" t="n"/>
      <c r="O157" s="146" t="n"/>
      <c r="P157" s="146" t="n"/>
      <c r="Q157" s="146" t="n"/>
      <c r="R157" s="146" t="n"/>
      <c r="S157" s="147" t="n"/>
      <c r="T157" s="147" t="n"/>
      <c r="U157" s="147" t="n"/>
      <c r="V157" s="147" t="n"/>
    </row>
    <row r="158" ht="15" customFormat="1" customHeight="1" s="21">
      <c r="A158" s="144" t="n"/>
      <c r="B158" s="188" t="n"/>
      <c r="C158" s="189" t="n"/>
      <c r="D158" s="190" t="n"/>
      <c r="E158" s="191" t="n"/>
      <c r="F158" s="192" t="n"/>
      <c r="G158" s="190" t="n"/>
      <c r="H158" s="193" t="n"/>
      <c r="I158" s="145" t="n"/>
      <c r="J158" s="146" t="n"/>
      <c r="K158" s="146" t="n"/>
      <c r="L158" s="146" t="n"/>
      <c r="M158" s="146" t="n"/>
      <c r="N158" s="146" t="n"/>
      <c r="O158" s="146" t="n"/>
      <c r="P158" s="146" t="n"/>
      <c r="Q158" s="146" t="n"/>
      <c r="R158" s="146" t="n"/>
      <c r="S158" s="147" t="n"/>
      <c r="T158" s="147" t="n"/>
      <c r="U158" s="147" t="n"/>
      <c r="V158" s="147" t="n"/>
    </row>
    <row r="159" ht="15" customFormat="1" customHeight="1" s="21">
      <c r="A159" s="144" t="n"/>
      <c r="B159" s="188" t="n"/>
      <c r="C159" s="189" t="n"/>
      <c r="D159" s="190" t="n"/>
      <c r="E159" s="191" t="n"/>
      <c r="F159" s="192" t="n"/>
      <c r="G159" s="190" t="n"/>
      <c r="H159" s="193" t="n"/>
      <c r="I159" s="145" t="n"/>
      <c r="J159" s="146" t="n"/>
      <c r="K159" s="146" t="n"/>
      <c r="L159" s="146" t="n"/>
      <c r="M159" s="146" t="n"/>
      <c r="N159" s="146" t="n"/>
      <c r="O159" s="146" t="n"/>
      <c r="P159" s="146" t="n"/>
      <c r="Q159" s="146" t="n"/>
      <c r="R159" s="146" t="n"/>
      <c r="S159" s="147" t="n"/>
      <c r="T159" s="147" t="n"/>
      <c r="U159" s="147" t="n"/>
      <c r="V159" s="147" t="n"/>
    </row>
    <row r="160" ht="15" customFormat="1" customHeight="1" s="21">
      <c r="A160" s="144" t="n"/>
      <c r="B160" s="188" t="n"/>
      <c r="C160" s="189" t="n"/>
      <c r="D160" s="190" t="n"/>
      <c r="E160" s="191" t="n"/>
      <c r="F160" s="192" t="n"/>
      <c r="G160" s="190" t="n"/>
      <c r="H160" s="193" t="n"/>
      <c r="I160" s="145" t="n"/>
      <c r="J160" s="146" t="n"/>
      <c r="K160" s="146" t="n"/>
      <c r="L160" s="146" t="n"/>
      <c r="M160" s="146" t="n"/>
      <c r="N160" s="146" t="n"/>
      <c r="O160" s="146" t="n"/>
      <c r="P160" s="146" t="n"/>
      <c r="Q160" s="146" t="n"/>
      <c r="R160" s="146" t="n"/>
      <c r="S160" s="147" t="n"/>
      <c r="T160" s="147" t="n"/>
      <c r="U160" s="147" t="n"/>
      <c r="V160" s="147" t="n"/>
    </row>
    <row r="161" ht="15" customFormat="1" customHeight="1" s="21">
      <c r="A161" s="144" t="n"/>
      <c r="B161" s="188" t="n"/>
      <c r="C161" s="189" t="n"/>
      <c r="D161" s="190" t="n"/>
      <c r="E161" s="191" t="n"/>
      <c r="F161" s="192" t="n"/>
      <c r="G161" s="190" t="n"/>
      <c r="H161" s="193" t="n"/>
      <c r="I161" s="145" t="n"/>
      <c r="J161" s="146" t="n"/>
      <c r="K161" s="146" t="n"/>
      <c r="L161" s="146" t="n"/>
      <c r="M161" s="146" t="n"/>
      <c r="N161" s="146" t="n"/>
      <c r="O161" s="146" t="n"/>
      <c r="P161" s="146" t="n"/>
      <c r="Q161" s="146" t="n"/>
      <c r="R161" s="146" t="n"/>
      <c r="S161" s="147" t="n"/>
      <c r="T161" s="147" t="n"/>
      <c r="U161" s="147" t="n"/>
      <c r="V161" s="147" t="n"/>
    </row>
    <row r="162" ht="15" customFormat="1" customHeight="1" s="21">
      <c r="A162" s="144" t="n"/>
      <c r="B162" s="188" t="n"/>
      <c r="C162" s="189" t="n"/>
      <c r="D162" s="190" t="n"/>
      <c r="E162" s="191" t="n"/>
      <c r="F162" s="192" t="n"/>
      <c r="G162" s="190" t="n"/>
      <c r="H162" s="193" t="n"/>
      <c r="I162" s="145" t="n"/>
      <c r="J162" s="146" t="n"/>
      <c r="K162" s="146" t="n"/>
      <c r="L162" s="146" t="n"/>
      <c r="M162" s="146" t="n"/>
      <c r="N162" s="146" t="n"/>
      <c r="O162" s="146" t="n"/>
      <c r="P162" s="146" t="n"/>
      <c r="Q162" s="146" t="n"/>
      <c r="R162" s="146" t="n"/>
      <c r="S162" s="147" t="n"/>
      <c r="T162" s="147" t="n"/>
      <c r="U162" s="147" t="n"/>
      <c r="V162" s="147" t="n"/>
    </row>
    <row r="163" ht="15" customFormat="1" customHeight="1" s="21">
      <c r="A163" s="144" t="n"/>
      <c r="B163" s="188" t="n"/>
      <c r="C163" s="189" t="n"/>
      <c r="D163" s="190" t="n"/>
      <c r="E163" s="191" t="n"/>
      <c r="F163" s="192" t="n"/>
      <c r="G163" s="190" t="n"/>
      <c r="H163" s="193" t="n"/>
      <c r="I163" s="145" t="n"/>
      <c r="J163" s="146" t="n"/>
      <c r="K163" s="146" t="n"/>
      <c r="L163" s="146" t="n"/>
      <c r="M163" s="146" t="n"/>
      <c r="N163" s="146" t="n"/>
      <c r="O163" s="146" t="n"/>
      <c r="P163" s="146" t="n"/>
      <c r="Q163" s="146" t="n"/>
      <c r="R163" s="146" t="n"/>
      <c r="S163" s="147" t="n"/>
      <c r="T163" s="147" t="n"/>
      <c r="U163" s="147" t="n"/>
      <c r="V163" s="147" t="n"/>
    </row>
    <row r="164" ht="15" customFormat="1" customHeight="1" s="21">
      <c r="A164" s="144" t="n"/>
      <c r="B164" s="188" t="n"/>
      <c r="C164" s="189" t="n"/>
      <c r="D164" s="190" t="n"/>
      <c r="E164" s="191" t="n"/>
      <c r="F164" s="192" t="n"/>
      <c r="G164" s="190" t="n"/>
      <c r="H164" s="193" t="n"/>
      <c r="I164" s="145" t="n"/>
      <c r="J164" s="146" t="n"/>
      <c r="K164" s="146" t="n"/>
      <c r="L164" s="146" t="n"/>
      <c r="M164" s="146" t="n"/>
      <c r="N164" s="146" t="n"/>
      <c r="O164" s="146" t="n"/>
      <c r="P164" s="146" t="n"/>
      <c r="Q164" s="146" t="n"/>
      <c r="R164" s="146" t="n"/>
      <c r="S164" s="147" t="n"/>
      <c r="T164" s="147" t="n"/>
      <c r="U164" s="147" t="n"/>
      <c r="V164" s="147" t="n"/>
    </row>
    <row r="165" ht="15" customFormat="1" customHeight="1" s="21">
      <c r="A165" s="144" t="n"/>
      <c r="B165" s="188" t="n"/>
      <c r="C165" s="189" t="n"/>
      <c r="D165" s="190" t="n"/>
      <c r="E165" s="191" t="n"/>
      <c r="F165" s="192" t="n"/>
      <c r="G165" s="190" t="n"/>
      <c r="H165" s="193" t="n"/>
      <c r="I165" s="145" t="n"/>
      <c r="J165" s="146" t="n"/>
      <c r="K165" s="146" t="n"/>
      <c r="L165" s="146" t="n"/>
      <c r="M165" s="146" t="n"/>
      <c r="N165" s="146" t="n"/>
      <c r="O165" s="146" t="n"/>
      <c r="P165" s="146" t="n"/>
      <c r="Q165" s="146" t="n"/>
      <c r="R165" s="146" t="n"/>
      <c r="S165" s="147" t="n"/>
      <c r="T165" s="147" t="n"/>
      <c r="U165" s="147" t="n"/>
      <c r="V165" s="147" t="n"/>
    </row>
    <row r="166" ht="15" customFormat="1" customHeight="1" s="21">
      <c r="A166" s="144" t="n"/>
      <c r="B166" s="188" t="n"/>
      <c r="C166" s="189" t="n"/>
      <c r="D166" s="190" t="n"/>
      <c r="E166" s="191" t="n"/>
      <c r="F166" s="192" t="n"/>
      <c r="G166" s="190" t="n"/>
      <c r="H166" s="193" t="n"/>
      <c r="I166" s="145" t="n"/>
      <c r="J166" s="146" t="n"/>
      <c r="K166" s="146" t="n"/>
      <c r="L166" s="146" t="n"/>
      <c r="M166" s="146" t="n"/>
      <c r="N166" s="146" t="n"/>
      <c r="O166" s="146" t="n"/>
      <c r="P166" s="146" t="n"/>
      <c r="Q166" s="146" t="n"/>
      <c r="R166" s="146" t="n"/>
      <c r="S166" s="147" t="n"/>
      <c r="T166" s="147" t="n"/>
      <c r="U166" s="147" t="n"/>
      <c r="V166" s="147" t="n"/>
    </row>
    <row r="167" ht="15" customFormat="1" customHeight="1" s="21">
      <c r="A167" s="144" t="n"/>
      <c r="B167" s="188" t="n"/>
      <c r="C167" s="189" t="n"/>
      <c r="D167" s="190" t="n"/>
      <c r="E167" s="191" t="n"/>
      <c r="F167" s="192" t="n"/>
      <c r="G167" s="190" t="n"/>
      <c r="H167" s="193" t="n"/>
      <c r="I167" s="145" t="n"/>
      <c r="J167" s="146" t="n"/>
      <c r="K167" s="146" t="n"/>
      <c r="L167" s="146" t="n"/>
      <c r="M167" s="146" t="n"/>
      <c r="N167" s="146" t="n"/>
      <c r="O167" s="146" t="n"/>
      <c r="P167" s="146" t="n"/>
      <c r="Q167" s="146" t="n"/>
      <c r="R167" s="146" t="n"/>
      <c r="S167" s="147" t="n"/>
      <c r="T167" s="147" t="n"/>
      <c r="U167" s="147" t="n"/>
      <c r="V167" s="147" t="n"/>
    </row>
    <row r="168" ht="15" customFormat="1" customHeight="1" s="21">
      <c r="A168" s="144" t="n"/>
      <c r="B168" s="188" t="n"/>
      <c r="C168" s="189" t="n"/>
      <c r="D168" s="190" t="n"/>
      <c r="E168" s="191" t="n"/>
      <c r="F168" s="192" t="n"/>
      <c r="G168" s="190" t="n"/>
      <c r="H168" s="193" t="n"/>
      <c r="I168" s="145" t="n"/>
      <c r="J168" s="146" t="n"/>
      <c r="K168" s="146" t="n"/>
      <c r="L168" s="146" t="n"/>
      <c r="M168" s="146" t="n"/>
      <c r="N168" s="146" t="n"/>
      <c r="O168" s="146" t="n"/>
      <c r="P168" s="146" t="n"/>
      <c r="Q168" s="146" t="n"/>
      <c r="R168" s="146" t="n"/>
      <c r="S168" s="147" t="n"/>
      <c r="T168" s="147" t="n"/>
      <c r="U168" s="147" t="n"/>
      <c r="V168" s="147" t="n"/>
    </row>
    <row r="169" ht="15" customFormat="1" customHeight="1" s="21">
      <c r="A169" s="144" t="n"/>
      <c r="B169" s="188" t="n"/>
      <c r="C169" s="189" t="n"/>
      <c r="D169" s="190" t="n"/>
      <c r="E169" s="191" t="n"/>
      <c r="F169" s="192" t="n"/>
      <c r="G169" s="190" t="n"/>
      <c r="H169" s="193" t="n"/>
      <c r="I169" s="145" t="n"/>
      <c r="J169" s="146" t="n"/>
      <c r="K169" s="146" t="n"/>
      <c r="L169" s="146" t="n"/>
      <c r="M169" s="146" t="n"/>
      <c r="N169" s="146" t="n"/>
      <c r="O169" s="146" t="n"/>
      <c r="P169" s="146" t="n"/>
      <c r="Q169" s="146" t="n"/>
      <c r="R169" s="146" t="n"/>
      <c r="S169" s="147" t="n"/>
      <c r="T169" s="147" t="n"/>
      <c r="U169" s="147" t="n"/>
      <c r="V169" s="147" t="n"/>
    </row>
    <row r="170" ht="15" customFormat="1" customHeight="1" s="21">
      <c r="A170" s="144" t="n"/>
      <c r="B170" s="188" t="n"/>
      <c r="C170" s="189" t="n"/>
      <c r="D170" s="190" t="n"/>
      <c r="E170" s="191" t="n"/>
      <c r="F170" s="192" t="n"/>
      <c r="G170" s="190" t="n"/>
      <c r="H170" s="193" t="n"/>
      <c r="I170" s="145" t="n"/>
      <c r="J170" s="146" t="n"/>
      <c r="K170" s="146" t="n"/>
      <c r="L170" s="146" t="n"/>
      <c r="M170" s="146" t="n"/>
      <c r="N170" s="146" t="n"/>
      <c r="O170" s="146" t="n"/>
      <c r="P170" s="146" t="n"/>
      <c r="Q170" s="146" t="n"/>
      <c r="R170" s="146" t="n"/>
      <c r="S170" s="147" t="n"/>
      <c r="T170" s="147" t="n"/>
      <c r="U170" s="147" t="n"/>
      <c r="V170" s="147" t="n"/>
    </row>
    <row r="171" ht="15" customFormat="1" customHeight="1" s="21">
      <c r="A171" s="144" t="n"/>
      <c r="B171" s="188" t="n"/>
      <c r="C171" s="189" t="n"/>
      <c r="D171" s="190" t="n"/>
      <c r="E171" s="191" t="n"/>
      <c r="F171" s="192" t="n"/>
      <c r="G171" s="190" t="n"/>
      <c r="H171" s="193" t="n"/>
      <c r="I171" s="145" t="n"/>
      <c r="J171" s="146" t="n"/>
      <c r="K171" s="146" t="n"/>
      <c r="L171" s="146" t="n"/>
      <c r="M171" s="146" t="n"/>
      <c r="N171" s="146" t="n"/>
      <c r="O171" s="146" t="n"/>
      <c r="P171" s="146" t="n"/>
      <c r="Q171" s="146" t="n"/>
      <c r="R171" s="146" t="n"/>
      <c r="S171" s="147" t="n"/>
      <c r="T171" s="147" t="n"/>
      <c r="U171" s="147" t="n"/>
      <c r="V171" s="147" t="n"/>
    </row>
    <row r="172" ht="15" customFormat="1" customHeight="1" s="21">
      <c r="A172" s="144" t="n"/>
      <c r="B172" s="188" t="n"/>
      <c r="C172" s="189" t="n"/>
      <c r="D172" s="190" t="n"/>
      <c r="E172" s="191" t="n"/>
      <c r="F172" s="192" t="n"/>
      <c r="G172" s="190" t="n"/>
      <c r="H172" s="193" t="n"/>
      <c r="I172" s="145" t="n"/>
      <c r="J172" s="146" t="n"/>
      <c r="K172" s="146" t="n"/>
      <c r="L172" s="146" t="n"/>
      <c r="M172" s="146" t="n"/>
      <c r="N172" s="146" t="n"/>
      <c r="O172" s="146" t="n"/>
      <c r="P172" s="146" t="n"/>
      <c r="Q172" s="146" t="n"/>
      <c r="R172" s="146" t="n"/>
      <c r="S172" s="147" t="n"/>
      <c r="T172" s="147" t="n"/>
      <c r="U172" s="147" t="n"/>
      <c r="V172" s="147" t="n"/>
    </row>
    <row r="173" ht="15" customFormat="1" customHeight="1" s="21">
      <c r="A173" s="144" t="n"/>
      <c r="B173" s="188" t="n"/>
      <c r="C173" s="189" t="n"/>
      <c r="D173" s="190" t="n"/>
      <c r="E173" s="191" t="n"/>
      <c r="F173" s="192" t="n"/>
      <c r="G173" s="190" t="n"/>
      <c r="H173" s="193" t="n"/>
      <c r="I173" s="145" t="n"/>
      <c r="J173" s="146" t="n"/>
      <c r="K173" s="146" t="n"/>
      <c r="L173" s="146" t="n"/>
      <c r="M173" s="146" t="n"/>
      <c r="N173" s="146" t="n"/>
      <c r="O173" s="146" t="n"/>
      <c r="P173" s="146" t="n"/>
      <c r="Q173" s="146" t="n"/>
      <c r="R173" s="146" t="n"/>
      <c r="S173" s="147" t="n"/>
      <c r="T173" s="147" t="n"/>
      <c r="U173" s="147" t="n"/>
      <c r="V173" s="147" t="n"/>
    </row>
    <row r="174" ht="15" customFormat="1" customHeight="1" s="21">
      <c r="A174" s="144" t="n"/>
      <c r="B174" s="188" t="n"/>
      <c r="C174" s="189" t="n"/>
      <c r="D174" s="190" t="n"/>
      <c r="E174" s="191" t="n"/>
      <c r="F174" s="192" t="n"/>
      <c r="G174" s="190" t="n"/>
      <c r="H174" s="193" t="n"/>
      <c r="I174" s="145" t="n"/>
      <c r="J174" s="146" t="n"/>
      <c r="K174" s="146" t="n"/>
      <c r="L174" s="146" t="n"/>
      <c r="M174" s="146" t="n"/>
      <c r="N174" s="146" t="n"/>
      <c r="O174" s="146" t="n"/>
      <c r="P174" s="146" t="n"/>
      <c r="Q174" s="146" t="n"/>
      <c r="R174" s="146" t="n"/>
      <c r="S174" s="147" t="n"/>
      <c r="T174" s="147" t="n"/>
      <c r="U174" s="147" t="n"/>
      <c r="V174" s="147" t="n"/>
    </row>
    <row r="175" ht="15" customFormat="1" customHeight="1" s="21">
      <c r="A175" s="144" t="n"/>
      <c r="B175" s="188" t="n"/>
      <c r="C175" s="189" t="n"/>
      <c r="D175" s="190" t="n"/>
      <c r="E175" s="191" t="n"/>
      <c r="F175" s="192" t="n"/>
      <c r="G175" s="190" t="n"/>
      <c r="H175" s="193" t="n"/>
      <c r="I175" s="145" t="n"/>
      <c r="J175" s="146" t="n"/>
      <c r="K175" s="146" t="n"/>
      <c r="L175" s="146" t="n"/>
      <c r="M175" s="146" t="n"/>
      <c r="N175" s="146" t="n"/>
      <c r="O175" s="146" t="n"/>
      <c r="P175" s="146" t="n"/>
      <c r="Q175" s="146" t="n"/>
      <c r="R175" s="146" t="n"/>
      <c r="S175" s="147" t="n"/>
      <c r="T175" s="147" t="n"/>
      <c r="U175" s="147" t="n"/>
      <c r="V175" s="147" t="n"/>
    </row>
    <row r="176" ht="15" customFormat="1" customHeight="1" s="21">
      <c r="A176" s="144" t="n"/>
      <c r="B176" s="188" t="n"/>
      <c r="C176" s="189" t="n"/>
      <c r="D176" s="190" t="n"/>
      <c r="E176" s="191" t="n"/>
      <c r="F176" s="192" t="n"/>
      <c r="G176" s="190" t="n"/>
      <c r="H176" s="193" t="n"/>
      <c r="I176" s="145" t="n"/>
      <c r="J176" s="146" t="n"/>
      <c r="K176" s="146" t="n"/>
      <c r="L176" s="146" t="n"/>
      <c r="M176" s="146" t="n"/>
      <c r="N176" s="146" t="n"/>
      <c r="O176" s="146" t="n"/>
      <c r="P176" s="146" t="n"/>
      <c r="Q176" s="146" t="n"/>
      <c r="R176" s="146" t="n"/>
      <c r="S176" s="147" t="n"/>
      <c r="T176" s="147" t="n"/>
      <c r="U176" s="147" t="n"/>
      <c r="V176" s="147" t="n"/>
    </row>
    <row r="177" ht="15" customFormat="1" customHeight="1" s="21">
      <c r="A177" s="144" t="n"/>
      <c r="B177" s="188" t="n"/>
      <c r="C177" s="189" t="n"/>
      <c r="D177" s="190" t="n"/>
      <c r="E177" s="191" t="n"/>
      <c r="F177" s="192" t="n"/>
      <c r="G177" s="190" t="n"/>
      <c r="H177" s="193" t="n"/>
      <c r="I177" s="145" t="n"/>
      <c r="J177" s="146" t="n"/>
      <c r="K177" s="146" t="n"/>
      <c r="L177" s="146" t="n"/>
      <c r="M177" s="146" t="n"/>
      <c r="N177" s="146" t="n"/>
      <c r="O177" s="146" t="n"/>
      <c r="P177" s="146" t="n"/>
      <c r="Q177" s="146" t="n"/>
      <c r="R177" s="146" t="n"/>
      <c r="S177" s="147" t="n"/>
      <c r="T177" s="147" t="n"/>
      <c r="U177" s="147" t="n"/>
      <c r="V177" s="147" t="n"/>
    </row>
    <row r="178" ht="15" customFormat="1" customHeight="1" s="21">
      <c r="A178" s="144" t="n"/>
      <c r="B178" s="188" t="n"/>
      <c r="C178" s="189" t="n"/>
      <c r="D178" s="190" t="n"/>
      <c r="E178" s="191" t="n"/>
      <c r="F178" s="192" t="n"/>
      <c r="G178" s="190" t="n"/>
      <c r="H178" s="193" t="n"/>
      <c r="I178" s="145" t="n"/>
      <c r="J178" s="146" t="n"/>
      <c r="K178" s="146" t="n"/>
      <c r="L178" s="146" t="n"/>
      <c r="M178" s="146" t="n"/>
      <c r="N178" s="146" t="n"/>
      <c r="O178" s="146" t="n"/>
      <c r="P178" s="146" t="n"/>
      <c r="Q178" s="146" t="n"/>
      <c r="R178" s="146" t="n"/>
      <c r="S178" s="147" t="n"/>
      <c r="T178" s="147" t="n"/>
      <c r="U178" s="147" t="n"/>
      <c r="V178" s="147" t="n"/>
    </row>
    <row r="179" ht="15" customFormat="1" customHeight="1" s="21">
      <c r="A179" s="144" t="n"/>
      <c r="B179" s="188" t="n"/>
      <c r="C179" s="189" t="n"/>
      <c r="D179" s="190" t="n"/>
      <c r="E179" s="191" t="n"/>
      <c r="F179" s="192" t="n"/>
      <c r="G179" s="190" t="n"/>
      <c r="H179" s="193" t="n"/>
      <c r="I179" s="145" t="n"/>
      <c r="J179" s="146" t="n"/>
      <c r="K179" s="146" t="n"/>
      <c r="L179" s="146" t="n"/>
      <c r="M179" s="146" t="n"/>
      <c r="N179" s="146" t="n"/>
      <c r="O179" s="146" t="n"/>
      <c r="P179" s="146" t="n"/>
      <c r="Q179" s="146" t="n"/>
      <c r="R179" s="146" t="n"/>
      <c r="S179" s="147" t="n"/>
      <c r="T179" s="147" t="n"/>
      <c r="U179" s="147" t="n"/>
      <c r="V179" s="147" t="n"/>
    </row>
    <row r="180" ht="15" customFormat="1" customHeight="1" s="21">
      <c r="A180" s="144" t="n"/>
      <c r="B180" s="188" t="n"/>
      <c r="C180" s="189" t="n"/>
      <c r="D180" s="190" t="n"/>
      <c r="E180" s="191" t="n"/>
      <c r="F180" s="192" t="n"/>
      <c r="G180" s="190" t="n"/>
      <c r="H180" s="193" t="n"/>
      <c r="I180" s="145" t="n"/>
      <c r="J180" s="146" t="n"/>
      <c r="K180" s="146" t="n"/>
      <c r="L180" s="146" t="n"/>
      <c r="M180" s="146" t="n"/>
      <c r="N180" s="146" t="n"/>
      <c r="O180" s="146" t="n"/>
      <c r="P180" s="146" t="n"/>
      <c r="Q180" s="146" t="n"/>
      <c r="R180" s="146" t="n"/>
      <c r="S180" s="147" t="n"/>
      <c r="T180" s="147" t="n"/>
      <c r="U180" s="147" t="n"/>
      <c r="V180" s="147" t="n"/>
    </row>
    <row r="181" ht="15" customFormat="1" customHeight="1" s="21">
      <c r="A181" s="144" t="n"/>
      <c r="B181" s="188" t="n"/>
      <c r="C181" s="189" t="n"/>
      <c r="D181" s="190" t="n"/>
      <c r="E181" s="191" t="n"/>
      <c r="F181" s="192" t="n"/>
      <c r="G181" s="190" t="n"/>
      <c r="H181" s="193" t="n"/>
      <c r="I181" s="145" t="n"/>
      <c r="J181" s="146" t="n"/>
      <c r="K181" s="146" t="n"/>
      <c r="L181" s="146" t="n"/>
      <c r="M181" s="146" t="n"/>
      <c r="N181" s="146" t="n"/>
      <c r="O181" s="146" t="n"/>
      <c r="P181" s="146" t="n"/>
      <c r="Q181" s="146" t="n"/>
      <c r="R181" s="146" t="n"/>
      <c r="S181" s="147" t="n"/>
      <c r="T181" s="147" t="n"/>
      <c r="U181" s="147" t="n"/>
      <c r="V181" s="147" t="n"/>
    </row>
    <row r="182" ht="15" customFormat="1" customHeight="1" s="21">
      <c r="A182" s="144" t="n"/>
      <c r="B182" s="188" t="n"/>
      <c r="C182" s="189" t="n"/>
      <c r="D182" s="190" t="n"/>
      <c r="E182" s="191" t="n"/>
      <c r="F182" s="192" t="n"/>
      <c r="G182" s="190" t="n"/>
      <c r="H182" s="193" t="n"/>
      <c r="I182" s="145" t="n"/>
      <c r="J182" s="146" t="n"/>
      <c r="K182" s="146" t="n"/>
      <c r="L182" s="146" t="n"/>
      <c r="M182" s="146" t="n"/>
      <c r="N182" s="146" t="n"/>
      <c r="O182" s="146" t="n"/>
      <c r="P182" s="146" t="n"/>
      <c r="Q182" s="146" t="n"/>
      <c r="R182" s="146" t="n"/>
      <c r="S182" s="147" t="n"/>
      <c r="T182" s="147" t="n"/>
      <c r="U182" s="147" t="n"/>
      <c r="V182" s="147" t="n"/>
    </row>
    <row r="183" ht="15" customFormat="1" customHeight="1" s="21">
      <c r="A183" s="144" t="n"/>
      <c r="B183" s="188" t="n"/>
      <c r="C183" s="189" t="n"/>
      <c r="D183" s="190" t="n"/>
      <c r="E183" s="191" t="n"/>
      <c r="F183" s="192" t="n"/>
      <c r="G183" s="190" t="n"/>
      <c r="H183" s="193" t="n"/>
      <c r="I183" s="145" t="n"/>
      <c r="J183" s="146" t="n"/>
      <c r="K183" s="146" t="n"/>
      <c r="L183" s="146" t="n"/>
      <c r="M183" s="146" t="n"/>
      <c r="N183" s="146" t="n"/>
      <c r="O183" s="146" t="n"/>
      <c r="P183" s="146" t="n"/>
      <c r="Q183" s="146" t="n"/>
      <c r="R183" s="146" t="n"/>
      <c r="S183" s="147" t="n"/>
      <c r="T183" s="147" t="n"/>
      <c r="U183" s="147" t="n"/>
      <c r="V183" s="147" t="n"/>
    </row>
    <row r="184" ht="15" customFormat="1" customHeight="1" s="21">
      <c r="A184" s="144" t="n"/>
      <c r="B184" s="188" t="n"/>
      <c r="C184" s="189" t="n"/>
      <c r="D184" s="190" t="n"/>
      <c r="E184" s="191" t="n"/>
      <c r="F184" s="192" t="n"/>
      <c r="G184" s="190" t="n"/>
      <c r="H184" s="193" t="n"/>
      <c r="I184" s="145" t="n"/>
      <c r="J184" s="146" t="n"/>
      <c r="K184" s="146" t="n"/>
      <c r="L184" s="146" t="n"/>
      <c r="M184" s="146" t="n"/>
      <c r="N184" s="146" t="n"/>
      <c r="O184" s="146" t="n"/>
      <c r="P184" s="146" t="n"/>
      <c r="Q184" s="146" t="n"/>
      <c r="R184" s="146" t="n"/>
      <c r="S184" s="147" t="n"/>
      <c r="T184" s="147" t="n"/>
      <c r="U184" s="147" t="n"/>
      <c r="V184" s="147" t="n"/>
    </row>
    <row r="185" ht="15" customFormat="1" customHeight="1" s="21">
      <c r="A185" s="144" t="n"/>
      <c r="B185" s="188" t="n"/>
      <c r="C185" s="189" t="n"/>
      <c r="D185" s="190" t="n"/>
      <c r="E185" s="191" t="n"/>
      <c r="F185" s="192" t="n"/>
      <c r="G185" s="190" t="n"/>
      <c r="H185" s="193" t="n"/>
      <c r="I185" s="145" t="n"/>
      <c r="J185" s="146" t="n"/>
      <c r="K185" s="146" t="n"/>
      <c r="L185" s="146" t="n"/>
      <c r="M185" s="146" t="n"/>
      <c r="N185" s="146" t="n"/>
      <c r="O185" s="146" t="n"/>
      <c r="P185" s="146" t="n"/>
      <c r="Q185" s="146" t="n"/>
      <c r="R185" s="146" t="n"/>
      <c r="S185" s="147" t="n"/>
      <c r="T185" s="147" t="n"/>
      <c r="U185" s="147" t="n"/>
      <c r="V185" s="147" t="n"/>
    </row>
    <row r="186" ht="15" customFormat="1" customHeight="1" s="21">
      <c r="A186" s="144" t="n"/>
      <c r="B186" s="188" t="n"/>
      <c r="C186" s="189" t="n"/>
      <c r="D186" s="190" t="n"/>
      <c r="E186" s="191" t="n"/>
      <c r="F186" s="192" t="n"/>
      <c r="G186" s="190" t="n"/>
      <c r="H186" s="193" t="n"/>
      <c r="I186" s="145" t="n"/>
      <c r="J186" s="146" t="n"/>
      <c r="K186" s="146" t="n"/>
      <c r="L186" s="146" t="n"/>
      <c r="M186" s="146" t="n"/>
      <c r="N186" s="146" t="n"/>
      <c r="O186" s="146" t="n"/>
      <c r="P186" s="146" t="n"/>
      <c r="Q186" s="146" t="n"/>
      <c r="R186" s="146" t="n"/>
      <c r="S186" s="147" t="n"/>
      <c r="T186" s="147" t="n"/>
      <c r="U186" s="147" t="n"/>
      <c r="V186" s="147" t="n"/>
    </row>
    <row r="187" ht="15" customFormat="1" customHeight="1" s="21">
      <c r="A187" s="144" t="n"/>
      <c r="B187" s="188" t="n"/>
      <c r="C187" s="189" t="n"/>
      <c r="D187" s="190" t="n"/>
      <c r="E187" s="191" t="n"/>
      <c r="F187" s="192" t="n"/>
      <c r="G187" s="190" t="n"/>
      <c r="H187" s="193" t="n"/>
      <c r="I187" s="145" t="n"/>
      <c r="J187" s="146" t="n"/>
      <c r="K187" s="146" t="n"/>
      <c r="L187" s="146" t="n"/>
      <c r="M187" s="146" t="n"/>
      <c r="N187" s="146" t="n"/>
      <c r="O187" s="146" t="n"/>
      <c r="P187" s="146" t="n"/>
      <c r="Q187" s="146" t="n"/>
      <c r="R187" s="146" t="n"/>
      <c r="S187" s="147" t="n"/>
      <c r="T187" s="147" t="n"/>
      <c r="U187" s="147" t="n"/>
      <c r="V187" s="147" t="n"/>
    </row>
    <row r="188" customFormat="1" s="176">
      <c r="A188" s="144" t="n"/>
      <c r="B188" s="172" t="n"/>
      <c r="C188" s="205" t="inlineStr">
        <is>
          <t>TỔNG CỘNG</t>
        </is>
      </c>
      <c r="D188" s="230" t="n"/>
      <c r="E188" s="230" t="n"/>
      <c r="F188" s="231" t="n"/>
      <c r="G188" s="205" t="n"/>
      <c r="H188" s="174">
        <f>SUM(H7:H187)</f>
        <v/>
      </c>
      <c r="I188" s="175" t="n"/>
      <c r="J188" s="175">
        <f>SUBTOTAL(9,J7:J60)</f>
        <v/>
      </c>
      <c r="K188" s="175" t="n"/>
      <c r="L188" s="175">
        <f>SUBTOTAL(9,L7:L60)</f>
        <v/>
      </c>
      <c r="M188" s="175" t="n"/>
      <c r="N188" s="175">
        <f>SUBTOTAL(9,N7:N60)</f>
        <v/>
      </c>
      <c r="O188" s="175" t="n"/>
      <c r="P188" s="175">
        <f>SUBTOTAL(9,P7:P60)</f>
        <v/>
      </c>
      <c r="Q188" s="175">
        <f>SUBTOTAL(9,Q7:Q60)</f>
        <v/>
      </c>
      <c r="R188" s="175">
        <f>SUBTOTAL(9,R7:R60)</f>
        <v/>
      </c>
    </row>
    <row r="189" ht="15.75" customHeight="1">
      <c r="A189" s="144" t="n"/>
      <c r="B189" s="21" t="n"/>
      <c r="C189" s="21" t="n"/>
      <c r="F189" s="21" t="n"/>
      <c r="G189" s="21" t="n"/>
      <c r="H189" s="134" t="n"/>
      <c r="I189" s="152" t="n"/>
      <c r="J189" s="2" t="n"/>
      <c r="M189" s="21" t="n"/>
      <c r="N189" s="206" t="inlineStr">
        <is>
          <t>Cần Thơ, ngày 31 tháng 8 năm 2026</t>
        </is>
      </c>
    </row>
    <row r="190" ht="18.75" customHeight="1">
      <c r="A190" s="144" t="n"/>
      <c r="B190" s="207" t="inlineStr">
        <is>
          <t>Lập bảng</t>
        </is>
      </c>
      <c r="D190" s="178" t="n"/>
      <c r="E190" s="178" t="n"/>
      <c r="F190" s="178" t="n"/>
      <c r="G190" s="178" t="n"/>
      <c r="H190" s="232" t="n"/>
      <c r="I190" s="179" t="n"/>
      <c r="J190" s="18" t="n"/>
      <c r="K190" s="180" t="n"/>
      <c r="L190" s="179" t="n"/>
      <c r="M190" s="52" t="n"/>
      <c r="N190" s="208" t="inlineStr">
        <is>
          <t>Trưởng khoa</t>
        </is>
      </c>
      <c r="S190" s="16" t="n"/>
    </row>
    <row r="191" ht="18.75" customHeight="1">
      <c r="A191" s="144" t="n"/>
      <c r="B191" s="178" t="n"/>
      <c r="C191" s="178" t="n"/>
      <c r="D191" s="178" t="n"/>
      <c r="E191" s="178" t="n"/>
      <c r="F191" s="178" t="n"/>
      <c r="G191" s="178" t="n"/>
      <c r="H191" s="233" t="n"/>
      <c r="I191" s="179" t="n"/>
      <c r="J191" s="18" t="n"/>
      <c r="K191" s="180" t="n"/>
      <c r="L191" s="18" t="n"/>
      <c r="M191" s="178" t="n"/>
      <c r="N191" s="19" t="n"/>
      <c r="O191" s="52" t="n"/>
      <c r="P191" s="19" t="n"/>
      <c r="Q191" s="19" t="n"/>
    </row>
    <row r="192" ht="18.75" customHeight="1">
      <c r="A192" s="144" t="n"/>
      <c r="B192" s="178" t="n"/>
      <c r="C192" s="178" t="n"/>
      <c r="D192" s="178" t="n"/>
      <c r="E192" s="178" t="n"/>
      <c r="F192" s="178" t="n"/>
      <c r="G192" s="178" t="n"/>
      <c r="H192" s="233" t="n"/>
      <c r="I192" s="179" t="n"/>
      <c r="J192" s="18" t="n"/>
      <c r="K192" s="180" t="n"/>
      <c r="L192" s="18" t="n"/>
      <c r="M192" s="178" t="n"/>
      <c r="N192" s="18" t="n"/>
      <c r="O192" s="50" t="n"/>
      <c r="P192" s="18" t="n"/>
      <c r="Q192" s="18" t="n"/>
      <c r="R192" s="234" t="n"/>
    </row>
    <row r="193" ht="18.75" customHeight="1">
      <c r="A193" s="144" t="n"/>
      <c r="B193" s="178" t="n"/>
      <c r="C193" s="178" t="n"/>
      <c r="D193" s="178" t="n"/>
      <c r="E193" s="178" t="n"/>
      <c r="F193" s="178" t="n"/>
      <c r="G193" s="178" t="n"/>
      <c r="H193" s="233" t="n"/>
      <c r="I193" s="179" t="n"/>
      <c r="J193" s="18" t="n"/>
      <c r="K193" s="180" t="n"/>
      <c r="L193" s="18" t="n"/>
      <c r="M193" s="178" t="n"/>
      <c r="N193" s="18" t="n"/>
      <c r="O193" s="50" t="n"/>
      <c r="P193" s="18" t="n"/>
      <c r="Q193" s="18" t="n"/>
      <c r="R193" s="234" t="n"/>
    </row>
    <row r="194" ht="18.75" customHeight="1">
      <c r="A194" s="144" t="n"/>
      <c r="B194" s="207" t="inlineStr">
        <is>
          <t>ĐD. Phan Văn Hiếu</t>
        </is>
      </c>
      <c r="D194" s="178" t="n"/>
      <c r="E194" s="178" t="n"/>
      <c r="F194" s="178" t="n"/>
      <c r="G194" s="178" t="n"/>
      <c r="H194" s="233" t="n"/>
      <c r="I194" s="179" t="n"/>
      <c r="J194" s="18" t="n"/>
      <c r="K194" s="180" t="n"/>
      <c r="L194" s="18" t="n"/>
      <c r="M194" s="178" t="n"/>
      <c r="N194" s="208" t="inlineStr">
        <is>
          <t>ThS. Bs. CKII. Nguyễn Lê Hoan</t>
        </is>
      </c>
    </row>
    <row r="195" ht="18.75" customHeight="1">
      <c r="A195" s="144" t="n"/>
      <c r="B195" s="178" t="n"/>
      <c r="C195" s="178" t="n"/>
      <c r="D195" s="178" t="n"/>
      <c r="E195" s="178" t="n"/>
      <c r="F195" s="178" t="n"/>
      <c r="G195" s="178" t="n"/>
      <c r="H195" s="233" t="n"/>
      <c r="I195" s="179" t="n"/>
      <c r="J195" s="18" t="n"/>
      <c r="K195" s="180" t="n"/>
      <c r="L195" s="18" t="n"/>
      <c r="M195" s="178" t="n"/>
      <c r="N195" s="18" t="n"/>
      <c r="O195" s="50" t="n"/>
      <c r="P195" s="18" t="n"/>
      <c r="Q195" s="18" t="n"/>
      <c r="R195" s="234" t="n"/>
    </row>
    <row r="196" ht="15" customHeight="1">
      <c r="A196" s="144" t="n"/>
      <c r="C196" s="53" t="n"/>
      <c r="D196" s="53" t="n"/>
      <c r="E196" s="53" t="n"/>
      <c r="F196" s="53" t="n"/>
    </row>
  </sheetData>
  <autoFilter ref="A6:WWO196"/>
  <mergeCells count="10">
    <mergeCell ref="A3:R3"/>
    <mergeCell ref="A2:E2"/>
    <mergeCell ref="B194:C194"/>
    <mergeCell ref="B190:C190"/>
    <mergeCell ref="N190:R190"/>
    <mergeCell ref="A1:E1"/>
    <mergeCell ref="C188:F188"/>
    <mergeCell ref="N189:R189"/>
    <mergeCell ref="N194:R194"/>
    <mergeCell ref="A4:R4"/>
  </mergeCells>
  <pageMargins left="0.2" right="0.27" top="0.31" bottom="0.4861111111111111" header="0.31496062992126" footer="0.31496062992126"/>
  <pageSetup orientation="landscape" scale="75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/>
  </sheetPr>
  <dimension ref="A1:GE1287"/>
  <sheetViews>
    <sheetView tabSelected="1" zoomScale="110" zoomScaleNormal="110" workbookViewId="0">
      <pane xSplit="5" ySplit="5" topLeftCell="F1074" activePane="bottomRight" state="frozen"/>
      <selection pane="topRight" activeCell="G1" sqref="G1"/>
      <selection pane="bottomLeft" activeCell="A7" sqref="A7"/>
      <selection pane="bottomRight" activeCell="L1177" sqref="L1177"/>
    </sheetView>
  </sheetViews>
  <sheetFormatPr baseColWidth="8" defaultColWidth="21.140625" defaultRowHeight="12.75" outlineLevelCol="0"/>
  <cols>
    <col width="6.5703125" customWidth="1" style="9" min="1" max="1"/>
    <col width="11.140625" customWidth="1" style="9" min="2" max="2"/>
    <col width="27.85546875" customWidth="1" style="8" min="3" max="3"/>
    <col width="6.5703125" customWidth="1" style="29" min="4" max="4"/>
    <col width="32.7109375" customWidth="1" style="10" min="5" max="5"/>
    <col width="9" customWidth="1" style="25" min="6" max="6"/>
    <col width="13.28515625" customWidth="1" style="11" min="7" max="7"/>
    <col width="11.140625" customWidth="1" style="8" min="8" max="8"/>
    <col width="9.140625" customWidth="1" style="8" min="9" max="9"/>
    <col width="16.42578125" customWidth="1" style="8" min="10" max="10"/>
    <col width="9.140625" customWidth="1" style="8" min="11" max="227"/>
    <col width="4" customWidth="1" style="8" min="228" max="228"/>
    <col width="21.140625" customWidth="1" style="8" min="229" max="246"/>
    <col width="4" customWidth="1" style="8" min="247" max="247"/>
    <col width="21.140625" customWidth="1" style="8" min="248" max="250"/>
    <col width="5.5703125" customWidth="1" style="8" min="251" max="251"/>
    <col width="4.7109375" customWidth="1" style="8" min="252" max="252"/>
    <col width="7.28515625" customWidth="1" style="8" min="253" max="253"/>
    <col width="6.5703125" customWidth="1" style="8" min="254" max="254"/>
    <col width="13.42578125" customWidth="1" style="8" min="255" max="255"/>
    <col width="12.42578125" customWidth="1" style="8" min="256" max="256"/>
    <col width="8.28515625" customWidth="1" style="8" min="257" max="257"/>
    <col width="11.85546875" customWidth="1" style="8" min="258" max="259"/>
    <col width="14.140625" customWidth="1" style="8" min="260" max="260"/>
    <col width="12" customWidth="1" style="8" min="261" max="261"/>
    <col width="11" customWidth="1" style="8" min="262" max="262"/>
    <col width="11.5703125" customWidth="1" style="8" min="263" max="263"/>
    <col width="9.140625" customWidth="1" style="8" min="264" max="483"/>
    <col width="4" customWidth="1" style="8" min="484" max="484"/>
    <col width="21.140625" customWidth="1" style="8" min="485" max="502"/>
    <col width="4" customWidth="1" style="8" min="503" max="503"/>
    <col width="21.140625" customWidth="1" style="8" min="504" max="506"/>
    <col width="5.5703125" customWidth="1" style="8" min="507" max="507"/>
    <col width="4.7109375" customWidth="1" style="8" min="508" max="508"/>
    <col width="7.28515625" customWidth="1" style="8" min="509" max="509"/>
    <col width="6.5703125" customWidth="1" style="8" min="510" max="510"/>
    <col width="13.42578125" customWidth="1" style="8" min="511" max="511"/>
    <col width="12.42578125" customWidth="1" style="8" min="512" max="512"/>
    <col width="8.28515625" customWidth="1" style="8" min="513" max="513"/>
    <col width="11.85546875" customWidth="1" style="8" min="514" max="515"/>
    <col width="14.140625" customWidth="1" style="8" min="516" max="516"/>
    <col width="12" customWidth="1" style="8" min="517" max="517"/>
    <col width="11" customWidth="1" style="8" min="518" max="518"/>
    <col width="11.5703125" customWidth="1" style="8" min="519" max="519"/>
    <col width="9.140625" customWidth="1" style="8" min="520" max="739"/>
    <col width="4" customWidth="1" style="8" min="740" max="740"/>
    <col width="21.140625" customWidth="1" style="8" min="741" max="758"/>
    <col width="4" customWidth="1" style="8" min="759" max="759"/>
    <col width="21.140625" customWidth="1" style="8" min="760" max="762"/>
    <col width="5.5703125" customWidth="1" style="8" min="763" max="763"/>
    <col width="4.7109375" customWidth="1" style="8" min="764" max="764"/>
    <col width="7.28515625" customWidth="1" style="8" min="765" max="765"/>
    <col width="6.5703125" customWidth="1" style="8" min="766" max="766"/>
    <col width="13.42578125" customWidth="1" style="8" min="767" max="767"/>
    <col width="12.42578125" customWidth="1" style="8" min="768" max="768"/>
    <col width="8.28515625" customWidth="1" style="8" min="769" max="769"/>
    <col width="11.85546875" customWidth="1" style="8" min="770" max="771"/>
    <col width="14.140625" customWidth="1" style="8" min="772" max="772"/>
    <col width="12" customWidth="1" style="8" min="773" max="773"/>
    <col width="11" customWidth="1" style="8" min="774" max="774"/>
    <col width="11.5703125" customWidth="1" style="8" min="775" max="775"/>
    <col width="9.140625" customWidth="1" style="8" min="776" max="995"/>
    <col width="4" customWidth="1" style="8" min="996" max="996"/>
    <col width="21.140625" customWidth="1" style="8" min="997" max="1014"/>
    <col width="4" customWidth="1" style="8" min="1015" max="1015"/>
    <col width="21.140625" customWidth="1" style="8" min="1016" max="1018"/>
    <col width="5.5703125" customWidth="1" style="8" min="1019" max="1019"/>
    <col width="4.7109375" customWidth="1" style="8" min="1020" max="1020"/>
    <col width="7.28515625" customWidth="1" style="8" min="1021" max="1021"/>
    <col width="6.5703125" customWidth="1" style="8" min="1022" max="1022"/>
    <col width="13.42578125" customWidth="1" style="8" min="1023" max="1023"/>
    <col width="12.42578125" customWidth="1" style="8" min="1024" max="1024"/>
    <col width="8.28515625" customWidth="1" style="8" min="1025" max="1025"/>
    <col width="11.85546875" customWidth="1" style="8" min="1026" max="1027"/>
    <col width="14.140625" customWidth="1" style="8" min="1028" max="1028"/>
    <col width="12" customWidth="1" style="8" min="1029" max="1029"/>
    <col width="11" customWidth="1" style="8" min="1030" max="1030"/>
    <col width="11.5703125" customWidth="1" style="8" min="1031" max="1031"/>
    <col width="9.140625" customWidth="1" style="8" min="1032" max="1251"/>
    <col width="4" customWidth="1" style="8" min="1252" max="1252"/>
    <col width="21.140625" customWidth="1" style="8" min="1253" max="1270"/>
    <col width="4" customWidth="1" style="8" min="1271" max="1271"/>
    <col width="21.140625" customWidth="1" style="8" min="1272" max="1274"/>
    <col width="5.5703125" customWidth="1" style="8" min="1275" max="1275"/>
    <col width="4.7109375" customWidth="1" style="8" min="1276" max="1276"/>
    <col width="7.28515625" customWidth="1" style="8" min="1277" max="1277"/>
    <col width="6.5703125" customWidth="1" style="8" min="1278" max="1278"/>
    <col width="13.42578125" customWidth="1" style="8" min="1279" max="1279"/>
    <col width="12.42578125" customWidth="1" style="8" min="1280" max="1280"/>
    <col width="8.28515625" customWidth="1" style="8" min="1281" max="1281"/>
    <col width="11.85546875" customWidth="1" style="8" min="1282" max="1283"/>
    <col width="14.140625" customWidth="1" style="8" min="1284" max="1284"/>
    <col width="12" customWidth="1" style="8" min="1285" max="1285"/>
    <col width="11" customWidth="1" style="8" min="1286" max="1286"/>
    <col width="11.5703125" customWidth="1" style="8" min="1287" max="1287"/>
    <col width="9.140625" customWidth="1" style="8" min="1288" max="1507"/>
    <col width="4" customWidth="1" style="8" min="1508" max="1508"/>
    <col width="21.140625" customWidth="1" style="8" min="1509" max="1526"/>
    <col width="4" customWidth="1" style="8" min="1527" max="1527"/>
    <col width="21.140625" customWidth="1" style="8" min="1528" max="1530"/>
    <col width="5.5703125" customWidth="1" style="8" min="1531" max="1531"/>
    <col width="4.7109375" customWidth="1" style="8" min="1532" max="1532"/>
    <col width="7.28515625" customWidth="1" style="8" min="1533" max="1533"/>
    <col width="6.5703125" customWidth="1" style="8" min="1534" max="1534"/>
    <col width="13.42578125" customWidth="1" style="8" min="1535" max="1535"/>
    <col width="12.42578125" customWidth="1" style="8" min="1536" max="1536"/>
    <col width="8.28515625" customWidth="1" style="8" min="1537" max="1537"/>
    <col width="11.85546875" customWidth="1" style="8" min="1538" max="1539"/>
    <col width="14.140625" customWidth="1" style="8" min="1540" max="1540"/>
    <col width="12" customWidth="1" style="8" min="1541" max="1541"/>
    <col width="11" customWidth="1" style="8" min="1542" max="1542"/>
    <col width="11.5703125" customWidth="1" style="8" min="1543" max="1543"/>
    <col width="9.140625" customWidth="1" style="8" min="1544" max="1763"/>
    <col width="4" customWidth="1" style="8" min="1764" max="1764"/>
    <col width="21.140625" customWidth="1" style="8" min="1765" max="1782"/>
    <col width="4" customWidth="1" style="8" min="1783" max="1783"/>
    <col width="21.140625" customWidth="1" style="8" min="1784" max="1786"/>
    <col width="5.5703125" customWidth="1" style="8" min="1787" max="1787"/>
    <col width="4.7109375" customWidth="1" style="8" min="1788" max="1788"/>
    <col width="7.28515625" customWidth="1" style="8" min="1789" max="1789"/>
    <col width="6.5703125" customWidth="1" style="8" min="1790" max="1790"/>
    <col width="13.42578125" customWidth="1" style="8" min="1791" max="1791"/>
    <col width="12.42578125" customWidth="1" style="8" min="1792" max="1792"/>
    <col width="8.28515625" customWidth="1" style="8" min="1793" max="1793"/>
    <col width="11.85546875" customWidth="1" style="8" min="1794" max="1795"/>
    <col width="14.140625" customWidth="1" style="8" min="1796" max="1796"/>
    <col width="12" customWidth="1" style="8" min="1797" max="1797"/>
    <col width="11" customWidth="1" style="8" min="1798" max="1798"/>
    <col width="11.5703125" customWidth="1" style="8" min="1799" max="1799"/>
    <col width="9.140625" customWidth="1" style="8" min="1800" max="2019"/>
    <col width="4" customWidth="1" style="8" min="2020" max="2020"/>
    <col width="21.140625" customWidth="1" style="8" min="2021" max="2038"/>
    <col width="4" customWidth="1" style="8" min="2039" max="2039"/>
    <col width="21.140625" customWidth="1" style="8" min="2040" max="2042"/>
    <col width="5.5703125" customWidth="1" style="8" min="2043" max="2043"/>
    <col width="4.7109375" customWidth="1" style="8" min="2044" max="2044"/>
    <col width="7.28515625" customWidth="1" style="8" min="2045" max="2045"/>
    <col width="6.5703125" customWidth="1" style="8" min="2046" max="2046"/>
    <col width="13.42578125" customWidth="1" style="8" min="2047" max="2047"/>
    <col width="12.42578125" customWidth="1" style="8" min="2048" max="2048"/>
    <col width="8.28515625" customWidth="1" style="8" min="2049" max="2049"/>
    <col width="11.85546875" customWidth="1" style="8" min="2050" max="2051"/>
    <col width="14.140625" customWidth="1" style="8" min="2052" max="2052"/>
    <col width="12" customWidth="1" style="8" min="2053" max="2053"/>
    <col width="11" customWidth="1" style="8" min="2054" max="2054"/>
    <col width="11.5703125" customWidth="1" style="8" min="2055" max="2055"/>
    <col width="9.140625" customWidth="1" style="8" min="2056" max="2275"/>
    <col width="4" customWidth="1" style="8" min="2276" max="2276"/>
    <col width="21.140625" customWidth="1" style="8" min="2277" max="2294"/>
    <col width="4" customWidth="1" style="8" min="2295" max="2295"/>
    <col width="21.140625" customWidth="1" style="8" min="2296" max="2298"/>
    <col width="5.5703125" customWidth="1" style="8" min="2299" max="2299"/>
    <col width="4.7109375" customWidth="1" style="8" min="2300" max="2300"/>
    <col width="7.28515625" customWidth="1" style="8" min="2301" max="2301"/>
    <col width="6.5703125" customWidth="1" style="8" min="2302" max="2302"/>
    <col width="13.42578125" customWidth="1" style="8" min="2303" max="2303"/>
    <col width="12.42578125" customWidth="1" style="8" min="2304" max="2304"/>
    <col width="8.28515625" customWidth="1" style="8" min="2305" max="2305"/>
    <col width="11.85546875" customWidth="1" style="8" min="2306" max="2307"/>
    <col width="14.140625" customWidth="1" style="8" min="2308" max="2308"/>
    <col width="12" customWidth="1" style="8" min="2309" max="2309"/>
    <col width="11" customWidth="1" style="8" min="2310" max="2310"/>
    <col width="11.5703125" customWidth="1" style="8" min="2311" max="2311"/>
    <col width="9.140625" customWidth="1" style="8" min="2312" max="2531"/>
    <col width="4" customWidth="1" style="8" min="2532" max="2532"/>
    <col width="21.140625" customWidth="1" style="8" min="2533" max="2550"/>
    <col width="4" customWidth="1" style="8" min="2551" max="2551"/>
    <col width="21.140625" customWidth="1" style="8" min="2552" max="2554"/>
    <col width="5.5703125" customWidth="1" style="8" min="2555" max="2555"/>
    <col width="4.7109375" customWidth="1" style="8" min="2556" max="2556"/>
    <col width="7.28515625" customWidth="1" style="8" min="2557" max="2557"/>
    <col width="6.5703125" customWidth="1" style="8" min="2558" max="2558"/>
    <col width="13.42578125" customWidth="1" style="8" min="2559" max="2559"/>
    <col width="12.42578125" customWidth="1" style="8" min="2560" max="2560"/>
    <col width="8.28515625" customWidth="1" style="8" min="2561" max="2561"/>
    <col width="11.85546875" customWidth="1" style="8" min="2562" max="2563"/>
    <col width="14.140625" customWidth="1" style="8" min="2564" max="2564"/>
    <col width="12" customWidth="1" style="8" min="2565" max="2565"/>
    <col width="11" customWidth="1" style="8" min="2566" max="2566"/>
    <col width="11.5703125" customWidth="1" style="8" min="2567" max="2567"/>
    <col width="9.140625" customWidth="1" style="8" min="2568" max="2787"/>
    <col width="4" customWidth="1" style="8" min="2788" max="2788"/>
    <col width="21.140625" customWidth="1" style="8" min="2789" max="2806"/>
    <col width="4" customWidth="1" style="8" min="2807" max="2807"/>
    <col width="21.140625" customWidth="1" style="8" min="2808" max="2810"/>
    <col width="5.5703125" customWidth="1" style="8" min="2811" max="2811"/>
    <col width="4.7109375" customWidth="1" style="8" min="2812" max="2812"/>
    <col width="7.28515625" customWidth="1" style="8" min="2813" max="2813"/>
    <col width="6.5703125" customWidth="1" style="8" min="2814" max="2814"/>
    <col width="13.42578125" customWidth="1" style="8" min="2815" max="2815"/>
    <col width="12.42578125" customWidth="1" style="8" min="2816" max="2816"/>
    <col width="8.28515625" customWidth="1" style="8" min="2817" max="2817"/>
    <col width="11.85546875" customWidth="1" style="8" min="2818" max="2819"/>
    <col width="14.140625" customWidth="1" style="8" min="2820" max="2820"/>
    <col width="12" customWidth="1" style="8" min="2821" max="2821"/>
    <col width="11" customWidth="1" style="8" min="2822" max="2822"/>
    <col width="11.5703125" customWidth="1" style="8" min="2823" max="2823"/>
    <col width="9.140625" customWidth="1" style="8" min="2824" max="3043"/>
    <col width="4" customWidth="1" style="8" min="3044" max="3044"/>
    <col width="21.140625" customWidth="1" style="8" min="3045" max="3062"/>
    <col width="4" customWidth="1" style="8" min="3063" max="3063"/>
    <col width="21.140625" customWidth="1" style="8" min="3064" max="3066"/>
    <col width="5.5703125" customWidth="1" style="8" min="3067" max="3067"/>
    <col width="4.7109375" customWidth="1" style="8" min="3068" max="3068"/>
    <col width="7.28515625" customWidth="1" style="8" min="3069" max="3069"/>
    <col width="6.5703125" customWidth="1" style="8" min="3070" max="3070"/>
    <col width="13.42578125" customWidth="1" style="8" min="3071" max="3071"/>
    <col width="12.42578125" customWidth="1" style="8" min="3072" max="3072"/>
    <col width="8.28515625" customWidth="1" style="8" min="3073" max="3073"/>
    <col width="11.85546875" customWidth="1" style="8" min="3074" max="3075"/>
    <col width="14.140625" customWidth="1" style="8" min="3076" max="3076"/>
    <col width="12" customWidth="1" style="8" min="3077" max="3077"/>
    <col width="11" customWidth="1" style="8" min="3078" max="3078"/>
    <col width="11.5703125" customWidth="1" style="8" min="3079" max="3079"/>
    <col width="9.140625" customWidth="1" style="8" min="3080" max="3299"/>
    <col width="4" customWidth="1" style="8" min="3300" max="3300"/>
    <col width="21.140625" customWidth="1" style="8" min="3301" max="3318"/>
    <col width="4" customWidth="1" style="8" min="3319" max="3319"/>
    <col width="21.140625" customWidth="1" style="8" min="3320" max="3322"/>
    <col width="5.5703125" customWidth="1" style="8" min="3323" max="3323"/>
    <col width="4.7109375" customWidth="1" style="8" min="3324" max="3324"/>
    <col width="7.28515625" customWidth="1" style="8" min="3325" max="3325"/>
    <col width="6.5703125" customWidth="1" style="8" min="3326" max="3326"/>
    <col width="13.42578125" customWidth="1" style="8" min="3327" max="3327"/>
    <col width="12.42578125" customWidth="1" style="8" min="3328" max="3328"/>
    <col width="8.28515625" customWidth="1" style="8" min="3329" max="3329"/>
    <col width="11.85546875" customWidth="1" style="8" min="3330" max="3331"/>
    <col width="14.140625" customWidth="1" style="8" min="3332" max="3332"/>
    <col width="12" customWidth="1" style="8" min="3333" max="3333"/>
    <col width="11" customWidth="1" style="8" min="3334" max="3334"/>
    <col width="11.5703125" customWidth="1" style="8" min="3335" max="3335"/>
    <col width="9.140625" customWidth="1" style="8" min="3336" max="3555"/>
    <col width="4" customWidth="1" style="8" min="3556" max="3556"/>
    <col width="21.140625" customWidth="1" style="8" min="3557" max="3574"/>
    <col width="4" customWidth="1" style="8" min="3575" max="3575"/>
    <col width="21.140625" customWidth="1" style="8" min="3576" max="3578"/>
    <col width="5.5703125" customWidth="1" style="8" min="3579" max="3579"/>
    <col width="4.7109375" customWidth="1" style="8" min="3580" max="3580"/>
    <col width="7.28515625" customWidth="1" style="8" min="3581" max="3581"/>
    <col width="6.5703125" customWidth="1" style="8" min="3582" max="3582"/>
    <col width="13.42578125" customWidth="1" style="8" min="3583" max="3583"/>
    <col width="12.42578125" customWidth="1" style="8" min="3584" max="3584"/>
    <col width="8.28515625" customWidth="1" style="8" min="3585" max="3585"/>
    <col width="11.85546875" customWidth="1" style="8" min="3586" max="3587"/>
    <col width="14.140625" customWidth="1" style="8" min="3588" max="3588"/>
    <col width="12" customWidth="1" style="8" min="3589" max="3589"/>
    <col width="11" customWidth="1" style="8" min="3590" max="3590"/>
    <col width="11.5703125" customWidth="1" style="8" min="3591" max="3591"/>
    <col width="9.140625" customWidth="1" style="8" min="3592" max="3811"/>
    <col width="4" customWidth="1" style="8" min="3812" max="3812"/>
    <col width="21.140625" customWidth="1" style="8" min="3813" max="3830"/>
    <col width="4" customWidth="1" style="8" min="3831" max="3831"/>
    <col width="21.140625" customWidth="1" style="8" min="3832" max="3834"/>
    <col width="5.5703125" customWidth="1" style="8" min="3835" max="3835"/>
    <col width="4.7109375" customWidth="1" style="8" min="3836" max="3836"/>
    <col width="7.28515625" customWidth="1" style="8" min="3837" max="3837"/>
    <col width="6.5703125" customWidth="1" style="8" min="3838" max="3838"/>
    <col width="13.42578125" customWidth="1" style="8" min="3839" max="3839"/>
    <col width="12.42578125" customWidth="1" style="8" min="3840" max="3840"/>
    <col width="8.28515625" customWidth="1" style="8" min="3841" max="3841"/>
    <col width="11.85546875" customWidth="1" style="8" min="3842" max="3843"/>
    <col width="14.140625" customWidth="1" style="8" min="3844" max="3844"/>
    <col width="12" customWidth="1" style="8" min="3845" max="3845"/>
    <col width="11" customWidth="1" style="8" min="3846" max="3846"/>
    <col width="11.5703125" customWidth="1" style="8" min="3847" max="3847"/>
    <col width="9.140625" customWidth="1" style="8" min="3848" max="4067"/>
    <col width="4" customWidth="1" style="8" min="4068" max="4068"/>
    <col width="21.140625" customWidth="1" style="8" min="4069" max="4086"/>
    <col width="4" customWidth="1" style="8" min="4087" max="4087"/>
    <col width="21.140625" customWidth="1" style="8" min="4088" max="4090"/>
    <col width="5.5703125" customWidth="1" style="8" min="4091" max="4091"/>
    <col width="4.7109375" customWidth="1" style="8" min="4092" max="4092"/>
    <col width="7.28515625" customWidth="1" style="8" min="4093" max="4093"/>
    <col width="6.5703125" customWidth="1" style="8" min="4094" max="4094"/>
    <col width="13.42578125" customWidth="1" style="8" min="4095" max="4095"/>
    <col width="12.42578125" customWidth="1" style="8" min="4096" max="4096"/>
    <col width="8.28515625" customWidth="1" style="8" min="4097" max="4097"/>
    <col width="11.85546875" customWidth="1" style="8" min="4098" max="4099"/>
    <col width="14.140625" customWidth="1" style="8" min="4100" max="4100"/>
    <col width="12" customWidth="1" style="8" min="4101" max="4101"/>
    <col width="11" customWidth="1" style="8" min="4102" max="4102"/>
    <col width="11.5703125" customWidth="1" style="8" min="4103" max="4103"/>
    <col width="9.140625" customWidth="1" style="8" min="4104" max="4323"/>
    <col width="4" customWidth="1" style="8" min="4324" max="4324"/>
    <col width="21.140625" customWidth="1" style="8" min="4325" max="4342"/>
    <col width="4" customWidth="1" style="8" min="4343" max="4343"/>
    <col width="21.140625" customWidth="1" style="8" min="4344" max="4346"/>
    <col width="5.5703125" customWidth="1" style="8" min="4347" max="4347"/>
    <col width="4.7109375" customWidth="1" style="8" min="4348" max="4348"/>
    <col width="7.28515625" customWidth="1" style="8" min="4349" max="4349"/>
    <col width="6.5703125" customWidth="1" style="8" min="4350" max="4350"/>
    <col width="13.42578125" customWidth="1" style="8" min="4351" max="4351"/>
    <col width="12.42578125" customWidth="1" style="8" min="4352" max="4352"/>
    <col width="8.28515625" customWidth="1" style="8" min="4353" max="4353"/>
    <col width="11.85546875" customWidth="1" style="8" min="4354" max="4355"/>
    <col width="14.140625" customWidth="1" style="8" min="4356" max="4356"/>
    <col width="12" customWidth="1" style="8" min="4357" max="4357"/>
    <col width="11" customWidth="1" style="8" min="4358" max="4358"/>
    <col width="11.5703125" customWidth="1" style="8" min="4359" max="4359"/>
    <col width="9.140625" customWidth="1" style="8" min="4360" max="4579"/>
    <col width="4" customWidth="1" style="8" min="4580" max="4580"/>
    <col width="21.140625" customWidth="1" style="8" min="4581" max="4598"/>
    <col width="4" customWidth="1" style="8" min="4599" max="4599"/>
    <col width="21.140625" customWidth="1" style="8" min="4600" max="4602"/>
    <col width="5.5703125" customWidth="1" style="8" min="4603" max="4603"/>
    <col width="4.7109375" customWidth="1" style="8" min="4604" max="4604"/>
    <col width="7.28515625" customWidth="1" style="8" min="4605" max="4605"/>
    <col width="6.5703125" customWidth="1" style="8" min="4606" max="4606"/>
    <col width="13.42578125" customWidth="1" style="8" min="4607" max="4607"/>
    <col width="12.42578125" customWidth="1" style="8" min="4608" max="4608"/>
    <col width="8.28515625" customWidth="1" style="8" min="4609" max="4609"/>
    <col width="11.85546875" customWidth="1" style="8" min="4610" max="4611"/>
    <col width="14.140625" customWidth="1" style="8" min="4612" max="4612"/>
    <col width="12" customWidth="1" style="8" min="4613" max="4613"/>
    <col width="11" customWidth="1" style="8" min="4614" max="4614"/>
    <col width="11.5703125" customWidth="1" style="8" min="4615" max="4615"/>
    <col width="9.140625" customWidth="1" style="8" min="4616" max="4835"/>
    <col width="4" customWidth="1" style="8" min="4836" max="4836"/>
    <col width="21.140625" customWidth="1" style="8" min="4837" max="4854"/>
    <col width="4" customWidth="1" style="8" min="4855" max="4855"/>
    <col width="21.140625" customWidth="1" style="8" min="4856" max="4858"/>
    <col width="5.5703125" customWidth="1" style="8" min="4859" max="4859"/>
    <col width="4.7109375" customWidth="1" style="8" min="4860" max="4860"/>
    <col width="7.28515625" customWidth="1" style="8" min="4861" max="4861"/>
    <col width="6.5703125" customWidth="1" style="8" min="4862" max="4862"/>
    <col width="13.42578125" customWidth="1" style="8" min="4863" max="4863"/>
    <col width="12.42578125" customWidth="1" style="8" min="4864" max="4864"/>
    <col width="8.28515625" customWidth="1" style="8" min="4865" max="4865"/>
    <col width="11.85546875" customWidth="1" style="8" min="4866" max="4867"/>
    <col width="14.140625" customWidth="1" style="8" min="4868" max="4868"/>
    <col width="12" customWidth="1" style="8" min="4869" max="4869"/>
    <col width="11" customWidth="1" style="8" min="4870" max="4870"/>
    <col width="11.5703125" customWidth="1" style="8" min="4871" max="4871"/>
    <col width="9.140625" customWidth="1" style="8" min="4872" max="5091"/>
    <col width="4" customWidth="1" style="8" min="5092" max="5092"/>
    <col width="21.140625" customWidth="1" style="8" min="5093" max="5110"/>
    <col width="4" customWidth="1" style="8" min="5111" max="5111"/>
    <col width="21.140625" customWidth="1" style="8" min="5112" max="5114"/>
    <col width="5.5703125" customWidth="1" style="8" min="5115" max="5115"/>
    <col width="4.7109375" customWidth="1" style="8" min="5116" max="5116"/>
    <col width="7.28515625" customWidth="1" style="8" min="5117" max="5117"/>
    <col width="6.5703125" customWidth="1" style="8" min="5118" max="5118"/>
    <col width="13.42578125" customWidth="1" style="8" min="5119" max="5119"/>
    <col width="12.42578125" customWidth="1" style="8" min="5120" max="5120"/>
    <col width="8.28515625" customWidth="1" style="8" min="5121" max="5121"/>
    <col width="11.85546875" customWidth="1" style="8" min="5122" max="5123"/>
    <col width="14.140625" customWidth="1" style="8" min="5124" max="5124"/>
    <col width="12" customWidth="1" style="8" min="5125" max="5125"/>
    <col width="11" customWidth="1" style="8" min="5126" max="5126"/>
    <col width="11.5703125" customWidth="1" style="8" min="5127" max="5127"/>
    <col width="9.140625" customWidth="1" style="8" min="5128" max="5347"/>
    <col width="4" customWidth="1" style="8" min="5348" max="5348"/>
    <col width="21.140625" customWidth="1" style="8" min="5349" max="5366"/>
    <col width="4" customWidth="1" style="8" min="5367" max="5367"/>
    <col width="21.140625" customWidth="1" style="8" min="5368" max="5370"/>
    <col width="5.5703125" customWidth="1" style="8" min="5371" max="5371"/>
    <col width="4.7109375" customWidth="1" style="8" min="5372" max="5372"/>
    <col width="7.28515625" customWidth="1" style="8" min="5373" max="5373"/>
    <col width="6.5703125" customWidth="1" style="8" min="5374" max="5374"/>
    <col width="13.42578125" customWidth="1" style="8" min="5375" max="5375"/>
    <col width="12.42578125" customWidth="1" style="8" min="5376" max="5376"/>
    <col width="8.28515625" customWidth="1" style="8" min="5377" max="5377"/>
    <col width="11.85546875" customWidth="1" style="8" min="5378" max="5379"/>
    <col width="14.140625" customWidth="1" style="8" min="5380" max="5380"/>
    <col width="12" customWidth="1" style="8" min="5381" max="5381"/>
    <col width="11" customWidth="1" style="8" min="5382" max="5382"/>
    <col width="11.5703125" customWidth="1" style="8" min="5383" max="5383"/>
    <col width="9.140625" customWidth="1" style="8" min="5384" max="5603"/>
    <col width="4" customWidth="1" style="8" min="5604" max="5604"/>
    <col width="21.140625" customWidth="1" style="8" min="5605" max="5622"/>
    <col width="4" customWidth="1" style="8" min="5623" max="5623"/>
    <col width="21.140625" customWidth="1" style="8" min="5624" max="5626"/>
    <col width="5.5703125" customWidth="1" style="8" min="5627" max="5627"/>
    <col width="4.7109375" customWidth="1" style="8" min="5628" max="5628"/>
    <col width="7.28515625" customWidth="1" style="8" min="5629" max="5629"/>
    <col width="6.5703125" customWidth="1" style="8" min="5630" max="5630"/>
    <col width="13.42578125" customWidth="1" style="8" min="5631" max="5631"/>
    <col width="12.42578125" customWidth="1" style="8" min="5632" max="5632"/>
    <col width="8.28515625" customWidth="1" style="8" min="5633" max="5633"/>
    <col width="11.85546875" customWidth="1" style="8" min="5634" max="5635"/>
    <col width="14.140625" customWidth="1" style="8" min="5636" max="5636"/>
    <col width="12" customWidth="1" style="8" min="5637" max="5637"/>
    <col width="11" customWidth="1" style="8" min="5638" max="5638"/>
    <col width="11.5703125" customWidth="1" style="8" min="5639" max="5639"/>
    <col width="9.140625" customWidth="1" style="8" min="5640" max="5859"/>
    <col width="4" customWidth="1" style="8" min="5860" max="5860"/>
    <col width="21.140625" customWidth="1" style="8" min="5861" max="5878"/>
    <col width="4" customWidth="1" style="8" min="5879" max="5879"/>
    <col width="21.140625" customWidth="1" style="8" min="5880" max="5882"/>
    <col width="5.5703125" customWidth="1" style="8" min="5883" max="5883"/>
    <col width="4.7109375" customWidth="1" style="8" min="5884" max="5884"/>
    <col width="7.28515625" customWidth="1" style="8" min="5885" max="5885"/>
    <col width="6.5703125" customWidth="1" style="8" min="5886" max="5886"/>
    <col width="13.42578125" customWidth="1" style="8" min="5887" max="5887"/>
    <col width="12.42578125" customWidth="1" style="8" min="5888" max="5888"/>
    <col width="8.28515625" customWidth="1" style="8" min="5889" max="5889"/>
    <col width="11.85546875" customWidth="1" style="8" min="5890" max="5891"/>
    <col width="14.140625" customWidth="1" style="8" min="5892" max="5892"/>
    <col width="12" customWidth="1" style="8" min="5893" max="5893"/>
    <col width="11" customWidth="1" style="8" min="5894" max="5894"/>
    <col width="11.5703125" customWidth="1" style="8" min="5895" max="5895"/>
    <col width="9.140625" customWidth="1" style="8" min="5896" max="6115"/>
    <col width="4" customWidth="1" style="8" min="6116" max="6116"/>
    <col width="21.140625" customWidth="1" style="8" min="6117" max="6134"/>
    <col width="4" customWidth="1" style="8" min="6135" max="6135"/>
    <col width="21.140625" customWidth="1" style="8" min="6136" max="6138"/>
    <col width="5.5703125" customWidth="1" style="8" min="6139" max="6139"/>
    <col width="4.7109375" customWidth="1" style="8" min="6140" max="6140"/>
    <col width="7.28515625" customWidth="1" style="8" min="6141" max="6141"/>
    <col width="6.5703125" customWidth="1" style="8" min="6142" max="6142"/>
    <col width="13.42578125" customWidth="1" style="8" min="6143" max="6143"/>
    <col width="12.42578125" customWidth="1" style="8" min="6144" max="6144"/>
    <col width="8.28515625" customWidth="1" style="8" min="6145" max="6145"/>
    <col width="11.85546875" customWidth="1" style="8" min="6146" max="6147"/>
    <col width="14.140625" customWidth="1" style="8" min="6148" max="6148"/>
    <col width="12" customWidth="1" style="8" min="6149" max="6149"/>
    <col width="11" customWidth="1" style="8" min="6150" max="6150"/>
    <col width="11.5703125" customWidth="1" style="8" min="6151" max="6151"/>
    <col width="9.140625" customWidth="1" style="8" min="6152" max="6371"/>
    <col width="4" customWidth="1" style="8" min="6372" max="6372"/>
    <col width="21.140625" customWidth="1" style="8" min="6373" max="6390"/>
    <col width="4" customWidth="1" style="8" min="6391" max="6391"/>
    <col width="21.140625" customWidth="1" style="8" min="6392" max="6394"/>
    <col width="5.5703125" customWidth="1" style="8" min="6395" max="6395"/>
    <col width="4.7109375" customWidth="1" style="8" min="6396" max="6396"/>
    <col width="7.28515625" customWidth="1" style="8" min="6397" max="6397"/>
    <col width="6.5703125" customWidth="1" style="8" min="6398" max="6398"/>
    <col width="13.42578125" customWidth="1" style="8" min="6399" max="6399"/>
    <col width="12.42578125" customWidth="1" style="8" min="6400" max="6400"/>
    <col width="8.28515625" customWidth="1" style="8" min="6401" max="6401"/>
    <col width="11.85546875" customWidth="1" style="8" min="6402" max="6403"/>
    <col width="14.140625" customWidth="1" style="8" min="6404" max="6404"/>
    <col width="12" customWidth="1" style="8" min="6405" max="6405"/>
    <col width="11" customWidth="1" style="8" min="6406" max="6406"/>
    <col width="11.5703125" customWidth="1" style="8" min="6407" max="6407"/>
    <col width="9.140625" customWidth="1" style="8" min="6408" max="6627"/>
    <col width="4" customWidth="1" style="8" min="6628" max="6628"/>
    <col width="21.140625" customWidth="1" style="8" min="6629" max="6646"/>
    <col width="4" customWidth="1" style="8" min="6647" max="6647"/>
    <col width="21.140625" customWidth="1" style="8" min="6648" max="6650"/>
    <col width="5.5703125" customWidth="1" style="8" min="6651" max="6651"/>
    <col width="4.7109375" customWidth="1" style="8" min="6652" max="6652"/>
    <col width="7.28515625" customWidth="1" style="8" min="6653" max="6653"/>
    <col width="6.5703125" customWidth="1" style="8" min="6654" max="6654"/>
    <col width="13.42578125" customWidth="1" style="8" min="6655" max="6655"/>
    <col width="12.42578125" customWidth="1" style="8" min="6656" max="6656"/>
    <col width="8.28515625" customWidth="1" style="8" min="6657" max="6657"/>
    <col width="11.85546875" customWidth="1" style="8" min="6658" max="6659"/>
    <col width="14.140625" customWidth="1" style="8" min="6660" max="6660"/>
    <col width="12" customWidth="1" style="8" min="6661" max="6661"/>
    <col width="11" customWidth="1" style="8" min="6662" max="6662"/>
    <col width="11.5703125" customWidth="1" style="8" min="6663" max="6663"/>
    <col width="9.140625" customWidth="1" style="8" min="6664" max="6883"/>
    <col width="4" customWidth="1" style="8" min="6884" max="6884"/>
    <col width="21.140625" customWidth="1" style="8" min="6885" max="6902"/>
    <col width="4" customWidth="1" style="8" min="6903" max="6903"/>
    <col width="21.140625" customWidth="1" style="8" min="6904" max="6906"/>
    <col width="5.5703125" customWidth="1" style="8" min="6907" max="6907"/>
    <col width="4.7109375" customWidth="1" style="8" min="6908" max="6908"/>
    <col width="7.28515625" customWidth="1" style="8" min="6909" max="6909"/>
    <col width="6.5703125" customWidth="1" style="8" min="6910" max="6910"/>
    <col width="13.42578125" customWidth="1" style="8" min="6911" max="6911"/>
    <col width="12.42578125" customWidth="1" style="8" min="6912" max="6912"/>
    <col width="8.28515625" customWidth="1" style="8" min="6913" max="6913"/>
    <col width="11.85546875" customWidth="1" style="8" min="6914" max="6915"/>
    <col width="14.140625" customWidth="1" style="8" min="6916" max="6916"/>
    <col width="12" customWidth="1" style="8" min="6917" max="6917"/>
    <col width="11" customWidth="1" style="8" min="6918" max="6918"/>
    <col width="11.5703125" customWidth="1" style="8" min="6919" max="6919"/>
    <col width="9.140625" customWidth="1" style="8" min="6920" max="7139"/>
    <col width="4" customWidth="1" style="8" min="7140" max="7140"/>
    <col width="21.140625" customWidth="1" style="8" min="7141" max="7158"/>
    <col width="4" customWidth="1" style="8" min="7159" max="7159"/>
    <col width="21.140625" customWidth="1" style="8" min="7160" max="7162"/>
    <col width="5.5703125" customWidth="1" style="8" min="7163" max="7163"/>
    <col width="4.7109375" customWidth="1" style="8" min="7164" max="7164"/>
    <col width="7.28515625" customWidth="1" style="8" min="7165" max="7165"/>
    <col width="6.5703125" customWidth="1" style="8" min="7166" max="7166"/>
    <col width="13.42578125" customWidth="1" style="8" min="7167" max="7167"/>
    <col width="12.42578125" customWidth="1" style="8" min="7168" max="7168"/>
    <col width="8.28515625" customWidth="1" style="8" min="7169" max="7169"/>
    <col width="11.85546875" customWidth="1" style="8" min="7170" max="7171"/>
    <col width="14.140625" customWidth="1" style="8" min="7172" max="7172"/>
    <col width="12" customWidth="1" style="8" min="7173" max="7173"/>
    <col width="11" customWidth="1" style="8" min="7174" max="7174"/>
    <col width="11.5703125" customWidth="1" style="8" min="7175" max="7175"/>
    <col width="9.140625" customWidth="1" style="8" min="7176" max="7395"/>
    <col width="4" customWidth="1" style="8" min="7396" max="7396"/>
    <col width="21.140625" customWidth="1" style="8" min="7397" max="7414"/>
    <col width="4" customWidth="1" style="8" min="7415" max="7415"/>
    <col width="21.140625" customWidth="1" style="8" min="7416" max="7418"/>
    <col width="5.5703125" customWidth="1" style="8" min="7419" max="7419"/>
    <col width="4.7109375" customWidth="1" style="8" min="7420" max="7420"/>
    <col width="7.28515625" customWidth="1" style="8" min="7421" max="7421"/>
    <col width="6.5703125" customWidth="1" style="8" min="7422" max="7422"/>
    <col width="13.42578125" customWidth="1" style="8" min="7423" max="7423"/>
    <col width="12.42578125" customWidth="1" style="8" min="7424" max="7424"/>
    <col width="8.28515625" customWidth="1" style="8" min="7425" max="7425"/>
    <col width="11.85546875" customWidth="1" style="8" min="7426" max="7427"/>
    <col width="14.140625" customWidth="1" style="8" min="7428" max="7428"/>
    <col width="12" customWidth="1" style="8" min="7429" max="7429"/>
    <col width="11" customWidth="1" style="8" min="7430" max="7430"/>
    <col width="11.5703125" customWidth="1" style="8" min="7431" max="7431"/>
    <col width="9.140625" customWidth="1" style="8" min="7432" max="7651"/>
    <col width="4" customWidth="1" style="8" min="7652" max="7652"/>
    <col width="21.140625" customWidth="1" style="8" min="7653" max="7670"/>
    <col width="4" customWidth="1" style="8" min="7671" max="7671"/>
    <col width="21.140625" customWidth="1" style="8" min="7672" max="7674"/>
    <col width="5.5703125" customWidth="1" style="8" min="7675" max="7675"/>
    <col width="4.7109375" customWidth="1" style="8" min="7676" max="7676"/>
    <col width="7.28515625" customWidth="1" style="8" min="7677" max="7677"/>
    <col width="6.5703125" customWidth="1" style="8" min="7678" max="7678"/>
    <col width="13.42578125" customWidth="1" style="8" min="7679" max="7679"/>
    <col width="12.42578125" customWidth="1" style="8" min="7680" max="7680"/>
    <col width="8.28515625" customWidth="1" style="8" min="7681" max="7681"/>
    <col width="11.85546875" customWidth="1" style="8" min="7682" max="7683"/>
    <col width="14.140625" customWidth="1" style="8" min="7684" max="7684"/>
    <col width="12" customWidth="1" style="8" min="7685" max="7685"/>
    <col width="11" customWidth="1" style="8" min="7686" max="7686"/>
    <col width="11.5703125" customWidth="1" style="8" min="7687" max="7687"/>
    <col width="9.140625" customWidth="1" style="8" min="7688" max="7907"/>
    <col width="4" customWidth="1" style="8" min="7908" max="7908"/>
    <col width="21.140625" customWidth="1" style="8" min="7909" max="7926"/>
    <col width="4" customWidth="1" style="8" min="7927" max="7927"/>
    <col width="21.140625" customWidth="1" style="8" min="7928" max="7930"/>
    <col width="5.5703125" customWidth="1" style="8" min="7931" max="7931"/>
    <col width="4.7109375" customWidth="1" style="8" min="7932" max="7932"/>
    <col width="7.28515625" customWidth="1" style="8" min="7933" max="7933"/>
    <col width="6.5703125" customWidth="1" style="8" min="7934" max="7934"/>
    <col width="13.42578125" customWidth="1" style="8" min="7935" max="7935"/>
    <col width="12.42578125" customWidth="1" style="8" min="7936" max="7936"/>
    <col width="8.28515625" customWidth="1" style="8" min="7937" max="7937"/>
    <col width="11.85546875" customWidth="1" style="8" min="7938" max="7939"/>
    <col width="14.140625" customWidth="1" style="8" min="7940" max="7940"/>
    <col width="12" customWidth="1" style="8" min="7941" max="7941"/>
    <col width="11" customWidth="1" style="8" min="7942" max="7942"/>
    <col width="11.5703125" customWidth="1" style="8" min="7943" max="7943"/>
    <col width="9.140625" customWidth="1" style="8" min="7944" max="8163"/>
    <col width="4" customWidth="1" style="8" min="8164" max="8164"/>
    <col width="21.140625" customWidth="1" style="8" min="8165" max="8182"/>
    <col width="4" customWidth="1" style="8" min="8183" max="8183"/>
    <col width="21.140625" customWidth="1" style="8" min="8184" max="8186"/>
    <col width="5.5703125" customWidth="1" style="8" min="8187" max="8187"/>
    <col width="4.7109375" customWidth="1" style="8" min="8188" max="8188"/>
    <col width="7.28515625" customWidth="1" style="8" min="8189" max="8189"/>
    <col width="6.5703125" customWidth="1" style="8" min="8190" max="8190"/>
    <col width="13.42578125" customWidth="1" style="8" min="8191" max="8191"/>
    <col width="12.42578125" customWidth="1" style="8" min="8192" max="8192"/>
    <col width="8.28515625" customWidth="1" style="8" min="8193" max="8193"/>
    <col width="11.85546875" customWidth="1" style="8" min="8194" max="8195"/>
    <col width="14.140625" customWidth="1" style="8" min="8196" max="8196"/>
    <col width="12" customWidth="1" style="8" min="8197" max="8197"/>
    <col width="11" customWidth="1" style="8" min="8198" max="8198"/>
    <col width="11.5703125" customWidth="1" style="8" min="8199" max="8199"/>
    <col width="9.140625" customWidth="1" style="8" min="8200" max="8419"/>
    <col width="4" customWidth="1" style="8" min="8420" max="8420"/>
    <col width="21.140625" customWidth="1" style="8" min="8421" max="8438"/>
    <col width="4" customWidth="1" style="8" min="8439" max="8439"/>
    <col width="21.140625" customWidth="1" style="8" min="8440" max="8442"/>
    <col width="5.5703125" customWidth="1" style="8" min="8443" max="8443"/>
    <col width="4.7109375" customWidth="1" style="8" min="8444" max="8444"/>
    <col width="7.28515625" customWidth="1" style="8" min="8445" max="8445"/>
    <col width="6.5703125" customWidth="1" style="8" min="8446" max="8446"/>
    <col width="13.42578125" customWidth="1" style="8" min="8447" max="8447"/>
    <col width="12.42578125" customWidth="1" style="8" min="8448" max="8448"/>
    <col width="8.28515625" customWidth="1" style="8" min="8449" max="8449"/>
    <col width="11.85546875" customWidth="1" style="8" min="8450" max="8451"/>
    <col width="14.140625" customWidth="1" style="8" min="8452" max="8452"/>
    <col width="12" customWidth="1" style="8" min="8453" max="8453"/>
    <col width="11" customWidth="1" style="8" min="8454" max="8454"/>
    <col width="11.5703125" customWidth="1" style="8" min="8455" max="8455"/>
    <col width="9.140625" customWidth="1" style="8" min="8456" max="8675"/>
    <col width="4" customWidth="1" style="8" min="8676" max="8676"/>
    <col width="21.140625" customWidth="1" style="8" min="8677" max="8694"/>
    <col width="4" customWidth="1" style="8" min="8695" max="8695"/>
    <col width="21.140625" customWidth="1" style="8" min="8696" max="8698"/>
    <col width="5.5703125" customWidth="1" style="8" min="8699" max="8699"/>
    <col width="4.7109375" customWidth="1" style="8" min="8700" max="8700"/>
    <col width="7.28515625" customWidth="1" style="8" min="8701" max="8701"/>
    <col width="6.5703125" customWidth="1" style="8" min="8702" max="8702"/>
    <col width="13.42578125" customWidth="1" style="8" min="8703" max="8703"/>
    <col width="12.42578125" customWidth="1" style="8" min="8704" max="8704"/>
    <col width="8.28515625" customWidth="1" style="8" min="8705" max="8705"/>
    <col width="11.85546875" customWidth="1" style="8" min="8706" max="8707"/>
    <col width="14.140625" customWidth="1" style="8" min="8708" max="8708"/>
    <col width="12" customWidth="1" style="8" min="8709" max="8709"/>
    <col width="11" customWidth="1" style="8" min="8710" max="8710"/>
    <col width="11.5703125" customWidth="1" style="8" min="8711" max="8711"/>
    <col width="9.140625" customWidth="1" style="8" min="8712" max="8931"/>
    <col width="4" customWidth="1" style="8" min="8932" max="8932"/>
    <col width="21.140625" customWidth="1" style="8" min="8933" max="8950"/>
    <col width="4" customWidth="1" style="8" min="8951" max="8951"/>
    <col width="21.140625" customWidth="1" style="8" min="8952" max="8954"/>
    <col width="5.5703125" customWidth="1" style="8" min="8955" max="8955"/>
    <col width="4.7109375" customWidth="1" style="8" min="8956" max="8956"/>
    <col width="7.28515625" customWidth="1" style="8" min="8957" max="8957"/>
    <col width="6.5703125" customWidth="1" style="8" min="8958" max="8958"/>
    <col width="13.42578125" customWidth="1" style="8" min="8959" max="8959"/>
    <col width="12.42578125" customWidth="1" style="8" min="8960" max="8960"/>
    <col width="8.28515625" customWidth="1" style="8" min="8961" max="8961"/>
    <col width="11.85546875" customWidth="1" style="8" min="8962" max="8963"/>
    <col width="14.140625" customWidth="1" style="8" min="8964" max="8964"/>
    <col width="12" customWidth="1" style="8" min="8965" max="8965"/>
    <col width="11" customWidth="1" style="8" min="8966" max="8966"/>
    <col width="11.5703125" customWidth="1" style="8" min="8967" max="8967"/>
    <col width="9.140625" customWidth="1" style="8" min="8968" max="9187"/>
    <col width="4" customWidth="1" style="8" min="9188" max="9188"/>
    <col width="21.140625" customWidth="1" style="8" min="9189" max="9206"/>
    <col width="4" customWidth="1" style="8" min="9207" max="9207"/>
    <col width="21.140625" customWidth="1" style="8" min="9208" max="9210"/>
    <col width="5.5703125" customWidth="1" style="8" min="9211" max="9211"/>
    <col width="4.7109375" customWidth="1" style="8" min="9212" max="9212"/>
    <col width="7.28515625" customWidth="1" style="8" min="9213" max="9213"/>
    <col width="6.5703125" customWidth="1" style="8" min="9214" max="9214"/>
    <col width="13.42578125" customWidth="1" style="8" min="9215" max="9215"/>
    <col width="12.42578125" customWidth="1" style="8" min="9216" max="9216"/>
    <col width="8.28515625" customWidth="1" style="8" min="9217" max="9217"/>
    <col width="11.85546875" customWidth="1" style="8" min="9218" max="9219"/>
    <col width="14.140625" customWidth="1" style="8" min="9220" max="9220"/>
    <col width="12" customWidth="1" style="8" min="9221" max="9221"/>
    <col width="11" customWidth="1" style="8" min="9222" max="9222"/>
    <col width="11.5703125" customWidth="1" style="8" min="9223" max="9223"/>
    <col width="9.140625" customWidth="1" style="8" min="9224" max="9443"/>
    <col width="4" customWidth="1" style="8" min="9444" max="9444"/>
    <col width="21.140625" customWidth="1" style="8" min="9445" max="9462"/>
    <col width="4" customWidth="1" style="8" min="9463" max="9463"/>
    <col width="21.140625" customWidth="1" style="8" min="9464" max="9466"/>
    <col width="5.5703125" customWidth="1" style="8" min="9467" max="9467"/>
    <col width="4.7109375" customWidth="1" style="8" min="9468" max="9468"/>
    <col width="7.28515625" customWidth="1" style="8" min="9469" max="9469"/>
    <col width="6.5703125" customWidth="1" style="8" min="9470" max="9470"/>
    <col width="13.42578125" customWidth="1" style="8" min="9471" max="9471"/>
    <col width="12.42578125" customWidth="1" style="8" min="9472" max="9472"/>
    <col width="8.28515625" customWidth="1" style="8" min="9473" max="9473"/>
    <col width="11.85546875" customWidth="1" style="8" min="9474" max="9475"/>
    <col width="14.140625" customWidth="1" style="8" min="9476" max="9476"/>
    <col width="12" customWidth="1" style="8" min="9477" max="9477"/>
    <col width="11" customWidth="1" style="8" min="9478" max="9478"/>
    <col width="11.5703125" customWidth="1" style="8" min="9479" max="9479"/>
    <col width="9.140625" customWidth="1" style="8" min="9480" max="9699"/>
    <col width="4" customWidth="1" style="8" min="9700" max="9700"/>
    <col width="21.140625" customWidth="1" style="8" min="9701" max="9718"/>
    <col width="4" customWidth="1" style="8" min="9719" max="9719"/>
    <col width="21.140625" customWidth="1" style="8" min="9720" max="9722"/>
    <col width="5.5703125" customWidth="1" style="8" min="9723" max="9723"/>
    <col width="4.7109375" customWidth="1" style="8" min="9724" max="9724"/>
    <col width="7.28515625" customWidth="1" style="8" min="9725" max="9725"/>
    <col width="6.5703125" customWidth="1" style="8" min="9726" max="9726"/>
    <col width="13.42578125" customWidth="1" style="8" min="9727" max="9727"/>
    <col width="12.42578125" customWidth="1" style="8" min="9728" max="9728"/>
    <col width="8.28515625" customWidth="1" style="8" min="9729" max="9729"/>
    <col width="11.85546875" customWidth="1" style="8" min="9730" max="9731"/>
    <col width="14.140625" customWidth="1" style="8" min="9732" max="9732"/>
    <col width="12" customWidth="1" style="8" min="9733" max="9733"/>
    <col width="11" customWidth="1" style="8" min="9734" max="9734"/>
    <col width="11.5703125" customWidth="1" style="8" min="9735" max="9735"/>
    <col width="9.140625" customWidth="1" style="8" min="9736" max="9955"/>
    <col width="4" customWidth="1" style="8" min="9956" max="9956"/>
    <col width="21.140625" customWidth="1" style="8" min="9957" max="9974"/>
    <col width="4" customWidth="1" style="8" min="9975" max="9975"/>
    <col width="21.140625" customWidth="1" style="8" min="9976" max="9978"/>
    <col width="5.5703125" customWidth="1" style="8" min="9979" max="9979"/>
    <col width="4.7109375" customWidth="1" style="8" min="9980" max="9980"/>
    <col width="7.28515625" customWidth="1" style="8" min="9981" max="9981"/>
    <col width="6.5703125" customWidth="1" style="8" min="9982" max="9982"/>
    <col width="13.42578125" customWidth="1" style="8" min="9983" max="9983"/>
    <col width="12.42578125" customWidth="1" style="8" min="9984" max="9984"/>
    <col width="8.28515625" customWidth="1" style="8" min="9985" max="9985"/>
    <col width="11.85546875" customWidth="1" style="8" min="9986" max="9987"/>
    <col width="14.140625" customWidth="1" style="8" min="9988" max="9988"/>
    <col width="12" customWidth="1" style="8" min="9989" max="9989"/>
    <col width="11" customWidth="1" style="8" min="9990" max="9990"/>
    <col width="11.5703125" customWidth="1" style="8" min="9991" max="9991"/>
    <col width="9.140625" customWidth="1" style="8" min="9992" max="10211"/>
    <col width="4" customWidth="1" style="8" min="10212" max="10212"/>
    <col width="21.140625" customWidth="1" style="8" min="10213" max="10230"/>
    <col width="4" customWidth="1" style="8" min="10231" max="10231"/>
    <col width="21.140625" customWidth="1" style="8" min="10232" max="10234"/>
    <col width="5.5703125" customWidth="1" style="8" min="10235" max="10235"/>
    <col width="4.7109375" customWidth="1" style="8" min="10236" max="10236"/>
    <col width="7.28515625" customWidth="1" style="8" min="10237" max="10237"/>
    <col width="6.5703125" customWidth="1" style="8" min="10238" max="10238"/>
    <col width="13.42578125" customWidth="1" style="8" min="10239" max="10239"/>
    <col width="12.42578125" customWidth="1" style="8" min="10240" max="10240"/>
    <col width="8.28515625" customWidth="1" style="8" min="10241" max="10241"/>
    <col width="11.85546875" customWidth="1" style="8" min="10242" max="10243"/>
    <col width="14.140625" customWidth="1" style="8" min="10244" max="10244"/>
    <col width="12" customWidth="1" style="8" min="10245" max="10245"/>
    <col width="11" customWidth="1" style="8" min="10246" max="10246"/>
    <col width="11.5703125" customWidth="1" style="8" min="10247" max="10247"/>
    <col width="9.140625" customWidth="1" style="8" min="10248" max="10467"/>
    <col width="4" customWidth="1" style="8" min="10468" max="10468"/>
    <col width="21.140625" customWidth="1" style="8" min="10469" max="10486"/>
    <col width="4" customWidth="1" style="8" min="10487" max="10487"/>
    <col width="21.140625" customWidth="1" style="8" min="10488" max="10490"/>
    <col width="5.5703125" customWidth="1" style="8" min="10491" max="10491"/>
    <col width="4.7109375" customWidth="1" style="8" min="10492" max="10492"/>
    <col width="7.28515625" customWidth="1" style="8" min="10493" max="10493"/>
    <col width="6.5703125" customWidth="1" style="8" min="10494" max="10494"/>
    <col width="13.42578125" customWidth="1" style="8" min="10495" max="10495"/>
    <col width="12.42578125" customWidth="1" style="8" min="10496" max="10496"/>
    <col width="8.28515625" customWidth="1" style="8" min="10497" max="10497"/>
    <col width="11.85546875" customWidth="1" style="8" min="10498" max="10499"/>
    <col width="14.140625" customWidth="1" style="8" min="10500" max="10500"/>
    <col width="12" customWidth="1" style="8" min="10501" max="10501"/>
    <col width="11" customWidth="1" style="8" min="10502" max="10502"/>
    <col width="11.5703125" customWidth="1" style="8" min="10503" max="10503"/>
    <col width="9.140625" customWidth="1" style="8" min="10504" max="10723"/>
    <col width="4" customWidth="1" style="8" min="10724" max="10724"/>
    <col width="21.140625" customWidth="1" style="8" min="10725" max="10742"/>
    <col width="4" customWidth="1" style="8" min="10743" max="10743"/>
    <col width="21.140625" customWidth="1" style="8" min="10744" max="10746"/>
    <col width="5.5703125" customWidth="1" style="8" min="10747" max="10747"/>
    <col width="4.7109375" customWidth="1" style="8" min="10748" max="10748"/>
    <col width="7.28515625" customWidth="1" style="8" min="10749" max="10749"/>
    <col width="6.5703125" customWidth="1" style="8" min="10750" max="10750"/>
    <col width="13.42578125" customWidth="1" style="8" min="10751" max="10751"/>
    <col width="12.42578125" customWidth="1" style="8" min="10752" max="10752"/>
    <col width="8.28515625" customWidth="1" style="8" min="10753" max="10753"/>
    <col width="11.85546875" customWidth="1" style="8" min="10754" max="10755"/>
    <col width="14.140625" customWidth="1" style="8" min="10756" max="10756"/>
    <col width="12" customWidth="1" style="8" min="10757" max="10757"/>
    <col width="11" customWidth="1" style="8" min="10758" max="10758"/>
    <col width="11.5703125" customWidth="1" style="8" min="10759" max="10759"/>
    <col width="9.140625" customWidth="1" style="8" min="10760" max="10979"/>
    <col width="4" customWidth="1" style="8" min="10980" max="10980"/>
    <col width="21.140625" customWidth="1" style="8" min="10981" max="10998"/>
    <col width="4" customWidth="1" style="8" min="10999" max="10999"/>
    <col width="21.140625" customWidth="1" style="8" min="11000" max="11002"/>
    <col width="5.5703125" customWidth="1" style="8" min="11003" max="11003"/>
    <col width="4.7109375" customWidth="1" style="8" min="11004" max="11004"/>
    <col width="7.28515625" customWidth="1" style="8" min="11005" max="11005"/>
    <col width="6.5703125" customWidth="1" style="8" min="11006" max="11006"/>
    <col width="13.42578125" customWidth="1" style="8" min="11007" max="11007"/>
    <col width="12.42578125" customWidth="1" style="8" min="11008" max="11008"/>
    <col width="8.28515625" customWidth="1" style="8" min="11009" max="11009"/>
    <col width="11.85546875" customWidth="1" style="8" min="11010" max="11011"/>
    <col width="14.140625" customWidth="1" style="8" min="11012" max="11012"/>
    <col width="12" customWidth="1" style="8" min="11013" max="11013"/>
    <col width="11" customWidth="1" style="8" min="11014" max="11014"/>
    <col width="11.5703125" customWidth="1" style="8" min="11015" max="11015"/>
    <col width="9.140625" customWidth="1" style="8" min="11016" max="11235"/>
    <col width="4" customWidth="1" style="8" min="11236" max="11236"/>
    <col width="21.140625" customWidth="1" style="8" min="11237" max="11254"/>
    <col width="4" customWidth="1" style="8" min="11255" max="11255"/>
    <col width="21.140625" customWidth="1" style="8" min="11256" max="11258"/>
    <col width="5.5703125" customWidth="1" style="8" min="11259" max="11259"/>
    <col width="4.7109375" customWidth="1" style="8" min="11260" max="11260"/>
    <col width="7.28515625" customWidth="1" style="8" min="11261" max="11261"/>
    <col width="6.5703125" customWidth="1" style="8" min="11262" max="11262"/>
    <col width="13.42578125" customWidth="1" style="8" min="11263" max="11263"/>
    <col width="12.42578125" customWidth="1" style="8" min="11264" max="11264"/>
    <col width="8.28515625" customWidth="1" style="8" min="11265" max="11265"/>
    <col width="11.85546875" customWidth="1" style="8" min="11266" max="11267"/>
    <col width="14.140625" customWidth="1" style="8" min="11268" max="11268"/>
    <col width="12" customWidth="1" style="8" min="11269" max="11269"/>
    <col width="11" customWidth="1" style="8" min="11270" max="11270"/>
    <col width="11.5703125" customWidth="1" style="8" min="11271" max="11271"/>
    <col width="9.140625" customWidth="1" style="8" min="11272" max="11491"/>
    <col width="4" customWidth="1" style="8" min="11492" max="11492"/>
    <col width="21.140625" customWidth="1" style="8" min="11493" max="11510"/>
    <col width="4" customWidth="1" style="8" min="11511" max="11511"/>
    <col width="21.140625" customWidth="1" style="8" min="11512" max="11514"/>
    <col width="5.5703125" customWidth="1" style="8" min="11515" max="11515"/>
    <col width="4.7109375" customWidth="1" style="8" min="11516" max="11516"/>
    <col width="7.28515625" customWidth="1" style="8" min="11517" max="11517"/>
    <col width="6.5703125" customWidth="1" style="8" min="11518" max="11518"/>
    <col width="13.42578125" customWidth="1" style="8" min="11519" max="11519"/>
    <col width="12.42578125" customWidth="1" style="8" min="11520" max="11520"/>
    <col width="8.28515625" customWidth="1" style="8" min="11521" max="11521"/>
    <col width="11.85546875" customWidth="1" style="8" min="11522" max="11523"/>
    <col width="14.140625" customWidth="1" style="8" min="11524" max="11524"/>
    <col width="12" customWidth="1" style="8" min="11525" max="11525"/>
    <col width="11" customWidth="1" style="8" min="11526" max="11526"/>
    <col width="11.5703125" customWidth="1" style="8" min="11527" max="11527"/>
    <col width="9.140625" customWidth="1" style="8" min="11528" max="11747"/>
    <col width="4" customWidth="1" style="8" min="11748" max="11748"/>
    <col width="21.140625" customWidth="1" style="8" min="11749" max="11766"/>
    <col width="4" customWidth="1" style="8" min="11767" max="11767"/>
    <col width="21.140625" customWidth="1" style="8" min="11768" max="11770"/>
    <col width="5.5703125" customWidth="1" style="8" min="11771" max="11771"/>
    <col width="4.7109375" customWidth="1" style="8" min="11772" max="11772"/>
    <col width="7.28515625" customWidth="1" style="8" min="11773" max="11773"/>
    <col width="6.5703125" customWidth="1" style="8" min="11774" max="11774"/>
    <col width="13.42578125" customWidth="1" style="8" min="11775" max="11775"/>
    <col width="12.42578125" customWidth="1" style="8" min="11776" max="11776"/>
    <col width="8.28515625" customWidth="1" style="8" min="11777" max="11777"/>
    <col width="11.85546875" customWidth="1" style="8" min="11778" max="11779"/>
    <col width="14.140625" customWidth="1" style="8" min="11780" max="11780"/>
    <col width="12" customWidth="1" style="8" min="11781" max="11781"/>
    <col width="11" customWidth="1" style="8" min="11782" max="11782"/>
    <col width="11.5703125" customWidth="1" style="8" min="11783" max="11783"/>
    <col width="9.140625" customWidth="1" style="8" min="11784" max="12003"/>
    <col width="4" customWidth="1" style="8" min="12004" max="12004"/>
    <col width="21.140625" customWidth="1" style="8" min="12005" max="12022"/>
    <col width="4" customWidth="1" style="8" min="12023" max="12023"/>
    <col width="21.140625" customWidth="1" style="8" min="12024" max="12026"/>
    <col width="5.5703125" customWidth="1" style="8" min="12027" max="12027"/>
    <col width="4.7109375" customWidth="1" style="8" min="12028" max="12028"/>
    <col width="7.28515625" customWidth="1" style="8" min="12029" max="12029"/>
    <col width="6.5703125" customWidth="1" style="8" min="12030" max="12030"/>
    <col width="13.42578125" customWidth="1" style="8" min="12031" max="12031"/>
    <col width="12.42578125" customWidth="1" style="8" min="12032" max="12032"/>
    <col width="8.28515625" customWidth="1" style="8" min="12033" max="12033"/>
    <col width="11.85546875" customWidth="1" style="8" min="12034" max="12035"/>
    <col width="14.140625" customWidth="1" style="8" min="12036" max="12036"/>
    <col width="12" customWidth="1" style="8" min="12037" max="12037"/>
    <col width="11" customWidth="1" style="8" min="12038" max="12038"/>
    <col width="11.5703125" customWidth="1" style="8" min="12039" max="12039"/>
    <col width="9.140625" customWidth="1" style="8" min="12040" max="12259"/>
    <col width="4" customWidth="1" style="8" min="12260" max="12260"/>
    <col width="21.140625" customWidth="1" style="8" min="12261" max="12278"/>
    <col width="4" customWidth="1" style="8" min="12279" max="12279"/>
    <col width="21.140625" customWidth="1" style="8" min="12280" max="12282"/>
    <col width="5.5703125" customWidth="1" style="8" min="12283" max="12283"/>
    <col width="4.7109375" customWidth="1" style="8" min="12284" max="12284"/>
    <col width="7.28515625" customWidth="1" style="8" min="12285" max="12285"/>
    <col width="6.5703125" customWidth="1" style="8" min="12286" max="12286"/>
    <col width="13.42578125" customWidth="1" style="8" min="12287" max="12287"/>
    <col width="12.42578125" customWidth="1" style="8" min="12288" max="12288"/>
    <col width="8.28515625" customWidth="1" style="8" min="12289" max="12289"/>
    <col width="11.85546875" customWidth="1" style="8" min="12290" max="12291"/>
    <col width="14.140625" customWidth="1" style="8" min="12292" max="12292"/>
    <col width="12" customWidth="1" style="8" min="12293" max="12293"/>
    <col width="11" customWidth="1" style="8" min="12294" max="12294"/>
    <col width="11.5703125" customWidth="1" style="8" min="12295" max="12295"/>
    <col width="9.140625" customWidth="1" style="8" min="12296" max="12515"/>
    <col width="4" customWidth="1" style="8" min="12516" max="12516"/>
    <col width="21.140625" customWidth="1" style="8" min="12517" max="12534"/>
    <col width="4" customWidth="1" style="8" min="12535" max="12535"/>
    <col width="21.140625" customWidth="1" style="8" min="12536" max="12538"/>
    <col width="5.5703125" customWidth="1" style="8" min="12539" max="12539"/>
    <col width="4.7109375" customWidth="1" style="8" min="12540" max="12540"/>
    <col width="7.28515625" customWidth="1" style="8" min="12541" max="12541"/>
    <col width="6.5703125" customWidth="1" style="8" min="12542" max="12542"/>
    <col width="13.42578125" customWidth="1" style="8" min="12543" max="12543"/>
    <col width="12.42578125" customWidth="1" style="8" min="12544" max="12544"/>
    <col width="8.28515625" customWidth="1" style="8" min="12545" max="12545"/>
    <col width="11.85546875" customWidth="1" style="8" min="12546" max="12547"/>
    <col width="14.140625" customWidth="1" style="8" min="12548" max="12548"/>
    <col width="12" customWidth="1" style="8" min="12549" max="12549"/>
    <col width="11" customWidth="1" style="8" min="12550" max="12550"/>
    <col width="11.5703125" customWidth="1" style="8" min="12551" max="12551"/>
    <col width="9.140625" customWidth="1" style="8" min="12552" max="12771"/>
    <col width="4" customWidth="1" style="8" min="12772" max="12772"/>
    <col width="21.140625" customWidth="1" style="8" min="12773" max="12790"/>
    <col width="4" customWidth="1" style="8" min="12791" max="12791"/>
    <col width="21.140625" customWidth="1" style="8" min="12792" max="12794"/>
    <col width="5.5703125" customWidth="1" style="8" min="12795" max="12795"/>
    <col width="4.7109375" customWidth="1" style="8" min="12796" max="12796"/>
    <col width="7.28515625" customWidth="1" style="8" min="12797" max="12797"/>
    <col width="6.5703125" customWidth="1" style="8" min="12798" max="12798"/>
    <col width="13.42578125" customWidth="1" style="8" min="12799" max="12799"/>
    <col width="12.42578125" customWidth="1" style="8" min="12800" max="12800"/>
    <col width="8.28515625" customWidth="1" style="8" min="12801" max="12801"/>
    <col width="11.85546875" customWidth="1" style="8" min="12802" max="12803"/>
    <col width="14.140625" customWidth="1" style="8" min="12804" max="12804"/>
    <col width="12" customWidth="1" style="8" min="12805" max="12805"/>
    <col width="11" customWidth="1" style="8" min="12806" max="12806"/>
    <col width="11.5703125" customWidth="1" style="8" min="12807" max="12807"/>
    <col width="9.140625" customWidth="1" style="8" min="12808" max="13027"/>
    <col width="4" customWidth="1" style="8" min="13028" max="13028"/>
    <col width="21.140625" customWidth="1" style="8" min="13029" max="13046"/>
    <col width="4" customWidth="1" style="8" min="13047" max="13047"/>
    <col width="21.140625" customWidth="1" style="8" min="13048" max="13050"/>
    <col width="5.5703125" customWidth="1" style="8" min="13051" max="13051"/>
    <col width="4.7109375" customWidth="1" style="8" min="13052" max="13052"/>
    <col width="7.28515625" customWidth="1" style="8" min="13053" max="13053"/>
    <col width="6.5703125" customWidth="1" style="8" min="13054" max="13054"/>
    <col width="13.42578125" customWidth="1" style="8" min="13055" max="13055"/>
    <col width="12.42578125" customWidth="1" style="8" min="13056" max="13056"/>
    <col width="8.28515625" customWidth="1" style="8" min="13057" max="13057"/>
    <col width="11.85546875" customWidth="1" style="8" min="13058" max="13059"/>
    <col width="14.140625" customWidth="1" style="8" min="13060" max="13060"/>
    <col width="12" customWidth="1" style="8" min="13061" max="13061"/>
    <col width="11" customWidth="1" style="8" min="13062" max="13062"/>
    <col width="11.5703125" customWidth="1" style="8" min="13063" max="13063"/>
    <col width="9.140625" customWidth="1" style="8" min="13064" max="13283"/>
    <col width="4" customWidth="1" style="8" min="13284" max="13284"/>
    <col width="21.140625" customWidth="1" style="8" min="13285" max="13302"/>
    <col width="4" customWidth="1" style="8" min="13303" max="13303"/>
    <col width="21.140625" customWidth="1" style="8" min="13304" max="13306"/>
    <col width="5.5703125" customWidth="1" style="8" min="13307" max="13307"/>
    <col width="4.7109375" customWidth="1" style="8" min="13308" max="13308"/>
    <col width="7.28515625" customWidth="1" style="8" min="13309" max="13309"/>
    <col width="6.5703125" customWidth="1" style="8" min="13310" max="13310"/>
    <col width="13.42578125" customWidth="1" style="8" min="13311" max="13311"/>
    <col width="12.42578125" customWidth="1" style="8" min="13312" max="13312"/>
    <col width="8.28515625" customWidth="1" style="8" min="13313" max="13313"/>
    <col width="11.85546875" customWidth="1" style="8" min="13314" max="13315"/>
    <col width="14.140625" customWidth="1" style="8" min="13316" max="13316"/>
    <col width="12" customWidth="1" style="8" min="13317" max="13317"/>
    <col width="11" customWidth="1" style="8" min="13318" max="13318"/>
    <col width="11.5703125" customWidth="1" style="8" min="13319" max="13319"/>
    <col width="9.140625" customWidth="1" style="8" min="13320" max="13539"/>
    <col width="4" customWidth="1" style="8" min="13540" max="13540"/>
    <col width="21.140625" customWidth="1" style="8" min="13541" max="13558"/>
    <col width="4" customWidth="1" style="8" min="13559" max="13559"/>
    <col width="21.140625" customWidth="1" style="8" min="13560" max="13562"/>
    <col width="5.5703125" customWidth="1" style="8" min="13563" max="13563"/>
    <col width="4.7109375" customWidth="1" style="8" min="13564" max="13564"/>
    <col width="7.28515625" customWidth="1" style="8" min="13565" max="13565"/>
    <col width="6.5703125" customWidth="1" style="8" min="13566" max="13566"/>
    <col width="13.42578125" customWidth="1" style="8" min="13567" max="13567"/>
    <col width="12.42578125" customWidth="1" style="8" min="13568" max="13568"/>
    <col width="8.28515625" customWidth="1" style="8" min="13569" max="13569"/>
    <col width="11.85546875" customWidth="1" style="8" min="13570" max="13571"/>
    <col width="14.140625" customWidth="1" style="8" min="13572" max="13572"/>
    <col width="12" customWidth="1" style="8" min="13573" max="13573"/>
    <col width="11" customWidth="1" style="8" min="13574" max="13574"/>
    <col width="11.5703125" customWidth="1" style="8" min="13575" max="13575"/>
    <col width="9.140625" customWidth="1" style="8" min="13576" max="13795"/>
    <col width="4" customWidth="1" style="8" min="13796" max="13796"/>
    <col width="21.140625" customWidth="1" style="8" min="13797" max="13814"/>
    <col width="4" customWidth="1" style="8" min="13815" max="13815"/>
    <col width="21.140625" customWidth="1" style="8" min="13816" max="13818"/>
    <col width="5.5703125" customWidth="1" style="8" min="13819" max="13819"/>
    <col width="4.7109375" customWidth="1" style="8" min="13820" max="13820"/>
    <col width="7.28515625" customWidth="1" style="8" min="13821" max="13821"/>
    <col width="6.5703125" customWidth="1" style="8" min="13822" max="13822"/>
    <col width="13.42578125" customWidth="1" style="8" min="13823" max="13823"/>
    <col width="12.42578125" customWidth="1" style="8" min="13824" max="13824"/>
    <col width="8.28515625" customWidth="1" style="8" min="13825" max="13825"/>
    <col width="11.85546875" customWidth="1" style="8" min="13826" max="13827"/>
    <col width="14.140625" customWidth="1" style="8" min="13828" max="13828"/>
    <col width="12" customWidth="1" style="8" min="13829" max="13829"/>
    <col width="11" customWidth="1" style="8" min="13830" max="13830"/>
    <col width="11.5703125" customWidth="1" style="8" min="13831" max="13831"/>
    <col width="9.140625" customWidth="1" style="8" min="13832" max="14051"/>
    <col width="4" customWidth="1" style="8" min="14052" max="14052"/>
    <col width="21.140625" customWidth="1" style="8" min="14053" max="14070"/>
    <col width="4" customWidth="1" style="8" min="14071" max="14071"/>
    <col width="21.140625" customWidth="1" style="8" min="14072" max="14074"/>
    <col width="5.5703125" customWidth="1" style="8" min="14075" max="14075"/>
    <col width="4.7109375" customWidth="1" style="8" min="14076" max="14076"/>
    <col width="7.28515625" customWidth="1" style="8" min="14077" max="14077"/>
    <col width="6.5703125" customWidth="1" style="8" min="14078" max="14078"/>
    <col width="13.42578125" customWidth="1" style="8" min="14079" max="14079"/>
    <col width="12.42578125" customWidth="1" style="8" min="14080" max="14080"/>
    <col width="8.28515625" customWidth="1" style="8" min="14081" max="14081"/>
    <col width="11.85546875" customWidth="1" style="8" min="14082" max="14083"/>
    <col width="14.140625" customWidth="1" style="8" min="14084" max="14084"/>
    <col width="12" customWidth="1" style="8" min="14085" max="14085"/>
    <col width="11" customWidth="1" style="8" min="14086" max="14086"/>
    <col width="11.5703125" customWidth="1" style="8" min="14087" max="14087"/>
    <col width="9.140625" customWidth="1" style="8" min="14088" max="14307"/>
    <col width="4" customWidth="1" style="8" min="14308" max="14308"/>
    <col width="21.140625" customWidth="1" style="8" min="14309" max="14326"/>
    <col width="4" customWidth="1" style="8" min="14327" max="14327"/>
    <col width="21.140625" customWidth="1" style="8" min="14328" max="14330"/>
    <col width="5.5703125" customWidth="1" style="8" min="14331" max="14331"/>
    <col width="4.7109375" customWidth="1" style="8" min="14332" max="14332"/>
    <col width="7.28515625" customWidth="1" style="8" min="14333" max="14333"/>
    <col width="6.5703125" customWidth="1" style="8" min="14334" max="14334"/>
    <col width="13.42578125" customWidth="1" style="8" min="14335" max="14335"/>
    <col width="12.42578125" customWidth="1" style="8" min="14336" max="14336"/>
    <col width="8.28515625" customWidth="1" style="8" min="14337" max="14337"/>
    <col width="11.85546875" customWidth="1" style="8" min="14338" max="14339"/>
    <col width="14.140625" customWidth="1" style="8" min="14340" max="14340"/>
    <col width="12" customWidth="1" style="8" min="14341" max="14341"/>
    <col width="11" customWidth="1" style="8" min="14342" max="14342"/>
    <col width="11.5703125" customWidth="1" style="8" min="14343" max="14343"/>
    <col width="9.140625" customWidth="1" style="8" min="14344" max="14563"/>
    <col width="4" customWidth="1" style="8" min="14564" max="14564"/>
    <col width="21.140625" customWidth="1" style="8" min="14565" max="14582"/>
    <col width="4" customWidth="1" style="8" min="14583" max="14583"/>
    <col width="21.140625" customWidth="1" style="8" min="14584" max="14586"/>
    <col width="5.5703125" customWidth="1" style="8" min="14587" max="14587"/>
    <col width="4.7109375" customWidth="1" style="8" min="14588" max="14588"/>
    <col width="7.28515625" customWidth="1" style="8" min="14589" max="14589"/>
    <col width="6.5703125" customWidth="1" style="8" min="14590" max="14590"/>
    <col width="13.42578125" customWidth="1" style="8" min="14591" max="14591"/>
    <col width="12.42578125" customWidth="1" style="8" min="14592" max="14592"/>
    <col width="8.28515625" customWidth="1" style="8" min="14593" max="14593"/>
    <col width="11.85546875" customWidth="1" style="8" min="14594" max="14595"/>
    <col width="14.140625" customWidth="1" style="8" min="14596" max="14596"/>
    <col width="12" customWidth="1" style="8" min="14597" max="14597"/>
    <col width="11" customWidth="1" style="8" min="14598" max="14598"/>
    <col width="11.5703125" customWidth="1" style="8" min="14599" max="14599"/>
    <col width="9.140625" customWidth="1" style="8" min="14600" max="14819"/>
    <col width="4" customWidth="1" style="8" min="14820" max="14820"/>
    <col width="21.140625" customWidth="1" style="8" min="14821" max="14838"/>
    <col width="4" customWidth="1" style="8" min="14839" max="14839"/>
    <col width="21.140625" customWidth="1" style="8" min="14840" max="14842"/>
    <col width="5.5703125" customWidth="1" style="8" min="14843" max="14843"/>
    <col width="4.7109375" customWidth="1" style="8" min="14844" max="14844"/>
    <col width="7.28515625" customWidth="1" style="8" min="14845" max="14845"/>
    <col width="6.5703125" customWidth="1" style="8" min="14846" max="14846"/>
    <col width="13.42578125" customWidth="1" style="8" min="14847" max="14847"/>
    <col width="12.42578125" customWidth="1" style="8" min="14848" max="14848"/>
    <col width="8.28515625" customWidth="1" style="8" min="14849" max="14849"/>
    <col width="11.85546875" customWidth="1" style="8" min="14850" max="14851"/>
    <col width="14.140625" customWidth="1" style="8" min="14852" max="14852"/>
    <col width="12" customWidth="1" style="8" min="14853" max="14853"/>
    <col width="11" customWidth="1" style="8" min="14854" max="14854"/>
    <col width="11.5703125" customWidth="1" style="8" min="14855" max="14855"/>
    <col width="9.140625" customWidth="1" style="8" min="14856" max="15075"/>
    <col width="4" customWidth="1" style="8" min="15076" max="15076"/>
    <col width="21.140625" customWidth="1" style="8" min="15077" max="15094"/>
    <col width="4" customWidth="1" style="8" min="15095" max="15095"/>
    <col width="21.140625" customWidth="1" style="8" min="15096" max="15098"/>
    <col width="5.5703125" customWidth="1" style="8" min="15099" max="15099"/>
    <col width="4.7109375" customWidth="1" style="8" min="15100" max="15100"/>
    <col width="7.28515625" customWidth="1" style="8" min="15101" max="15101"/>
    <col width="6.5703125" customWidth="1" style="8" min="15102" max="15102"/>
    <col width="13.42578125" customWidth="1" style="8" min="15103" max="15103"/>
    <col width="12.42578125" customWidth="1" style="8" min="15104" max="15104"/>
    <col width="8.28515625" customWidth="1" style="8" min="15105" max="15105"/>
    <col width="11.85546875" customWidth="1" style="8" min="15106" max="15107"/>
    <col width="14.140625" customWidth="1" style="8" min="15108" max="15108"/>
    <col width="12" customWidth="1" style="8" min="15109" max="15109"/>
    <col width="11" customWidth="1" style="8" min="15110" max="15110"/>
    <col width="11.5703125" customWidth="1" style="8" min="15111" max="15111"/>
    <col width="9.140625" customWidth="1" style="8" min="15112" max="15331"/>
    <col width="4" customWidth="1" style="8" min="15332" max="15332"/>
    <col width="21.140625" customWidth="1" style="8" min="15333" max="15350"/>
    <col width="4" customWidth="1" style="8" min="15351" max="15351"/>
    <col width="21.140625" customWidth="1" style="8" min="15352" max="15354"/>
    <col width="5.5703125" customWidth="1" style="8" min="15355" max="15355"/>
    <col width="4.7109375" customWidth="1" style="8" min="15356" max="15356"/>
    <col width="7.28515625" customWidth="1" style="8" min="15357" max="15357"/>
    <col width="6.5703125" customWidth="1" style="8" min="15358" max="15358"/>
    <col width="13.42578125" customWidth="1" style="8" min="15359" max="15359"/>
    <col width="12.42578125" customWidth="1" style="8" min="15360" max="15360"/>
    <col width="8.28515625" customWidth="1" style="8" min="15361" max="15361"/>
    <col width="11.85546875" customWidth="1" style="8" min="15362" max="15363"/>
    <col width="14.140625" customWidth="1" style="8" min="15364" max="15364"/>
    <col width="12" customWidth="1" style="8" min="15365" max="15365"/>
    <col width="11" customWidth="1" style="8" min="15366" max="15366"/>
    <col width="11.5703125" customWidth="1" style="8" min="15367" max="15367"/>
    <col width="9.140625" customWidth="1" style="8" min="15368" max="15587"/>
    <col width="4" customWidth="1" style="8" min="15588" max="15588"/>
    <col width="21.140625" customWidth="1" style="8" min="15589" max="15606"/>
    <col width="4" customWidth="1" style="8" min="15607" max="15607"/>
    <col width="21.140625" customWidth="1" style="8" min="15608" max="15610"/>
    <col width="5.5703125" customWidth="1" style="8" min="15611" max="15611"/>
    <col width="4.7109375" customWidth="1" style="8" min="15612" max="15612"/>
    <col width="7.28515625" customWidth="1" style="8" min="15613" max="15613"/>
    <col width="6.5703125" customWidth="1" style="8" min="15614" max="15614"/>
    <col width="13.42578125" customWidth="1" style="8" min="15615" max="15615"/>
    <col width="12.42578125" customWidth="1" style="8" min="15616" max="15616"/>
    <col width="8.28515625" customWidth="1" style="8" min="15617" max="15617"/>
    <col width="11.85546875" customWidth="1" style="8" min="15618" max="15619"/>
    <col width="14.140625" customWidth="1" style="8" min="15620" max="15620"/>
    <col width="12" customWidth="1" style="8" min="15621" max="15621"/>
    <col width="11" customWidth="1" style="8" min="15622" max="15622"/>
    <col width="11.5703125" customWidth="1" style="8" min="15623" max="15623"/>
    <col width="9.140625" customWidth="1" style="8" min="15624" max="15843"/>
    <col width="4" customWidth="1" style="8" min="15844" max="15844"/>
    <col width="21.140625" customWidth="1" style="8" min="15845" max="15862"/>
    <col width="4" customWidth="1" style="8" min="15863" max="15863"/>
    <col width="21.140625" customWidth="1" style="8" min="15864" max="15866"/>
    <col width="5.5703125" customWidth="1" style="8" min="15867" max="15867"/>
    <col width="4.7109375" customWidth="1" style="8" min="15868" max="15868"/>
    <col width="7.28515625" customWidth="1" style="8" min="15869" max="15869"/>
    <col width="6.5703125" customWidth="1" style="8" min="15870" max="15870"/>
    <col width="13.42578125" customWidth="1" style="8" min="15871" max="15871"/>
    <col width="12.42578125" customWidth="1" style="8" min="15872" max="15872"/>
    <col width="8.28515625" customWidth="1" style="8" min="15873" max="15873"/>
    <col width="11.85546875" customWidth="1" style="8" min="15874" max="15875"/>
    <col width="14.140625" customWidth="1" style="8" min="15876" max="15876"/>
    <col width="12" customWidth="1" style="8" min="15877" max="15877"/>
    <col width="11" customWidth="1" style="8" min="15878" max="15878"/>
    <col width="11.5703125" customWidth="1" style="8" min="15879" max="15879"/>
    <col width="9.140625" customWidth="1" style="8" min="15880" max="16099"/>
    <col width="4" customWidth="1" style="8" min="16100" max="16100"/>
    <col width="21.140625" customWidth="1" style="8" min="16101" max="16118"/>
    <col width="4" customWidth="1" style="8" min="16119" max="16119"/>
    <col width="21.140625" customWidth="1" style="8" min="16120" max="16122"/>
    <col width="5.5703125" customWidth="1" style="8" min="16123" max="16123"/>
    <col width="4.7109375" customWidth="1" style="8" min="16124" max="16124"/>
    <col width="7.28515625" customWidth="1" style="8" min="16125" max="16125"/>
    <col width="6.5703125" customWidth="1" style="8" min="16126" max="16126"/>
    <col width="13.42578125" customWidth="1" style="8" min="16127" max="16127"/>
    <col width="12.42578125" customWidth="1" style="8" min="16128" max="16128"/>
    <col width="8.28515625" customWidth="1" style="8" min="16129" max="16129"/>
    <col width="11.85546875" customWidth="1" style="8" min="16130" max="16131"/>
    <col width="14.140625" customWidth="1" style="8" min="16132" max="16132"/>
    <col width="12" customWidth="1" style="8" min="16133" max="16133"/>
    <col width="11" customWidth="1" style="8" min="16134" max="16134"/>
    <col width="11.5703125" customWidth="1" style="8" min="16135" max="16135"/>
    <col width="9.140625" customWidth="1" style="8" min="16136" max="16355"/>
    <col width="4" customWidth="1" style="8" min="16356" max="16356"/>
    <col width="21.140625" customWidth="1" style="8" min="16357" max="16384"/>
  </cols>
  <sheetData>
    <row r="1" ht="20.25" customHeight="1">
      <c r="A1" s="5" t="inlineStr">
        <is>
          <t>BV TRƯỜNG ĐHYD CẦN THƠ</t>
        </is>
      </c>
      <c r="B1" s="5" t="n"/>
      <c r="C1" s="5" t="n"/>
      <c r="D1" s="27" t="n"/>
      <c r="E1" s="26" t="n"/>
      <c r="F1" s="41" t="n"/>
      <c r="G1" s="7" t="n"/>
      <c r="H1" s="4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  <c r="CI1" s="1" t="n"/>
      <c r="CJ1" s="1" t="n"/>
      <c r="CK1" s="1" t="n"/>
      <c r="CL1" s="1" t="n"/>
      <c r="CM1" s="1" t="n"/>
      <c r="CN1" s="1" t="n"/>
      <c r="CO1" s="1" t="n"/>
      <c r="CP1" s="1" t="n"/>
      <c r="CQ1" s="1" t="n"/>
      <c r="CR1" s="1" t="n"/>
      <c r="CS1" s="1" t="n"/>
      <c r="CT1" s="1" t="n"/>
      <c r="CU1" s="1" t="n"/>
      <c r="CV1" s="1" t="n"/>
      <c r="CW1" s="1" t="n"/>
      <c r="CX1" s="1" t="n"/>
      <c r="CY1" s="1" t="n"/>
      <c r="CZ1" s="1" t="n"/>
      <c r="DA1" s="1" t="n"/>
      <c r="DB1" s="1" t="n"/>
      <c r="DC1" s="1" t="n"/>
      <c r="DD1" s="1" t="n"/>
      <c r="DE1" s="1" t="n"/>
      <c r="DF1" s="1" t="n"/>
      <c r="DG1" s="1" t="n"/>
      <c r="DH1" s="1" t="n"/>
      <c r="DI1" s="1" t="n"/>
      <c r="DJ1" s="1" t="n"/>
      <c r="DK1" s="1" t="n"/>
      <c r="DL1" s="1" t="n"/>
      <c r="DM1" s="1" t="n"/>
      <c r="DN1" s="1" t="n"/>
      <c r="DO1" s="1" t="n"/>
      <c r="DP1" s="1" t="n"/>
      <c r="DQ1" s="1" t="n"/>
      <c r="DR1" s="1" t="n"/>
      <c r="DS1" s="1" t="n"/>
      <c r="DT1" s="1" t="n"/>
      <c r="DU1" s="1" t="n"/>
      <c r="DV1" s="1" t="n"/>
      <c r="DW1" s="1" t="n"/>
      <c r="DX1" s="1" t="n"/>
      <c r="DY1" s="1" t="n"/>
      <c r="DZ1" s="1" t="n"/>
      <c r="EA1" s="1" t="n"/>
      <c r="EB1" s="1" t="n"/>
      <c r="EC1" s="1" t="n"/>
      <c r="ED1" s="1" t="n"/>
      <c r="EE1" s="1" t="n"/>
      <c r="EF1" s="1" t="n"/>
      <c r="EG1" s="1" t="n"/>
      <c r="EH1" s="1" t="n"/>
      <c r="EI1" s="1" t="n"/>
      <c r="EJ1" s="1" t="n"/>
      <c r="EK1" s="1" t="n"/>
      <c r="EL1" s="1" t="n"/>
      <c r="EM1" s="1" t="n"/>
      <c r="EN1" s="1" t="n"/>
      <c r="EO1" s="1" t="n"/>
      <c r="EP1" s="1" t="n"/>
      <c r="EQ1" s="1" t="n"/>
      <c r="ER1" s="1" t="n"/>
      <c r="ES1" s="1" t="n"/>
      <c r="ET1" s="1" t="n"/>
      <c r="EU1" s="1" t="n"/>
      <c r="EV1" s="1" t="n"/>
      <c r="EW1" s="1" t="n"/>
      <c r="EX1" s="1" t="n"/>
      <c r="EY1" s="1" t="n"/>
      <c r="EZ1" s="1" t="n"/>
      <c r="FA1" s="1" t="n"/>
      <c r="FB1" s="1" t="n"/>
      <c r="FC1" s="1" t="n"/>
      <c r="FD1" s="1" t="n"/>
      <c r="FE1" s="1" t="n"/>
      <c r="FF1" s="1" t="n"/>
      <c r="FG1" s="1" t="n"/>
      <c r="FH1" s="1" t="n"/>
      <c r="FI1" s="1" t="n"/>
      <c r="FJ1" s="1" t="n"/>
      <c r="FK1" s="1" t="n"/>
      <c r="FL1" s="1" t="n"/>
      <c r="FM1" s="1" t="n"/>
      <c r="FN1" s="1" t="n"/>
      <c r="FO1" s="1" t="n"/>
      <c r="FP1" s="1" t="n"/>
      <c r="FQ1" s="1" t="n"/>
      <c r="FR1" s="1" t="n"/>
      <c r="FS1" s="1" t="n"/>
      <c r="FT1" s="1" t="n"/>
      <c r="FU1" s="1" t="n"/>
      <c r="FV1" s="1" t="n"/>
      <c r="FW1" s="1" t="n"/>
      <c r="FX1" s="1" t="n"/>
      <c r="FY1" s="1" t="n"/>
      <c r="FZ1" s="1" t="n"/>
      <c r="GA1" s="1" t="n"/>
      <c r="GB1" s="1" t="n"/>
      <c r="GC1" s="1" t="n"/>
      <c r="GD1" s="1" t="n"/>
      <c r="GE1" s="1" t="n"/>
    </row>
    <row r="2" ht="20.25" customHeight="1">
      <c r="A2" s="13" t="inlineStr">
        <is>
          <t>KHOA NGOẠI CTCH-TK</t>
        </is>
      </c>
      <c r="B2" s="13" t="n"/>
      <c r="C2" s="13" t="n"/>
      <c r="D2" s="28" t="n"/>
      <c r="F2" s="41" t="n"/>
      <c r="G2" s="7" t="n"/>
      <c r="H2" s="4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n"/>
      <c r="BO2" s="1" t="n"/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n"/>
      <c r="CE2" s="1" t="n"/>
      <c r="CF2" s="1" t="n"/>
      <c r="CG2" s="1" t="n"/>
      <c r="CH2" s="1" t="n"/>
      <c r="CI2" s="1" t="n"/>
      <c r="CJ2" s="1" t="n"/>
      <c r="CK2" s="1" t="n"/>
      <c r="CL2" s="1" t="n"/>
      <c r="CM2" s="1" t="n"/>
      <c r="CN2" s="1" t="n"/>
      <c r="CO2" s="1" t="n"/>
      <c r="CP2" s="1" t="n"/>
      <c r="CQ2" s="1" t="n"/>
      <c r="CR2" s="1" t="n"/>
      <c r="CS2" s="1" t="n"/>
      <c r="CT2" s="1" t="n"/>
      <c r="CU2" s="1" t="n"/>
      <c r="CV2" s="1" t="n"/>
      <c r="CW2" s="1" t="n"/>
      <c r="CX2" s="1" t="n"/>
      <c r="CY2" s="1" t="n"/>
      <c r="CZ2" s="1" t="n"/>
      <c r="DA2" s="1" t="n"/>
      <c r="DB2" s="1" t="n"/>
      <c r="DC2" s="1" t="n"/>
      <c r="DD2" s="1" t="n"/>
      <c r="DE2" s="1" t="n"/>
      <c r="DF2" s="1" t="n"/>
      <c r="DG2" s="1" t="n"/>
      <c r="DH2" s="1" t="n"/>
      <c r="DI2" s="1" t="n"/>
      <c r="DJ2" s="1" t="n"/>
      <c r="DK2" s="1" t="n"/>
      <c r="DL2" s="1" t="n"/>
      <c r="DM2" s="1" t="n"/>
      <c r="DN2" s="1" t="n"/>
      <c r="DO2" s="1" t="n"/>
      <c r="DP2" s="1" t="n"/>
      <c r="DQ2" s="1" t="n"/>
      <c r="DR2" s="1" t="n"/>
      <c r="DS2" s="1" t="n"/>
      <c r="DT2" s="1" t="n"/>
      <c r="DU2" s="1" t="n"/>
      <c r="DV2" s="1" t="n"/>
      <c r="DW2" s="1" t="n"/>
      <c r="DX2" s="1" t="n"/>
      <c r="DY2" s="1" t="n"/>
      <c r="DZ2" s="1" t="n"/>
      <c r="EA2" s="1" t="n"/>
      <c r="EB2" s="1" t="n"/>
      <c r="EC2" s="1" t="n"/>
      <c r="ED2" s="1" t="n"/>
      <c r="EE2" s="1" t="n"/>
      <c r="EF2" s="1" t="n"/>
      <c r="EG2" s="1" t="n"/>
      <c r="EH2" s="1" t="n"/>
      <c r="EI2" s="1" t="n"/>
      <c r="EJ2" s="1" t="n"/>
      <c r="EK2" s="1" t="n"/>
      <c r="EL2" s="1" t="n"/>
      <c r="EM2" s="1" t="n"/>
      <c r="EN2" s="1" t="n"/>
      <c r="EO2" s="1" t="n"/>
      <c r="EP2" s="1" t="n"/>
      <c r="EQ2" s="1" t="n"/>
      <c r="ER2" s="1" t="n"/>
      <c r="ES2" s="1" t="n"/>
      <c r="ET2" s="1" t="n"/>
      <c r="EU2" s="1" t="n"/>
      <c r="EV2" s="1" t="n"/>
      <c r="EW2" s="1" t="n"/>
      <c r="EX2" s="1" t="n"/>
      <c r="EY2" s="1" t="n"/>
      <c r="EZ2" s="1" t="n"/>
      <c r="FA2" s="1" t="n"/>
      <c r="FB2" s="1" t="n"/>
      <c r="FC2" s="1" t="n"/>
      <c r="FD2" s="1" t="n"/>
      <c r="FE2" s="1" t="n"/>
      <c r="FF2" s="1" t="n"/>
      <c r="FG2" s="1" t="n"/>
      <c r="FH2" s="1" t="n"/>
      <c r="FI2" s="1" t="n"/>
      <c r="FJ2" s="1" t="n"/>
      <c r="FK2" s="1" t="n"/>
      <c r="FL2" s="1" t="n"/>
      <c r="FM2" s="1" t="n"/>
      <c r="FN2" s="1" t="n"/>
      <c r="FO2" s="1" t="n"/>
      <c r="FP2" s="1" t="n"/>
      <c r="FQ2" s="1" t="n"/>
      <c r="FR2" s="1" t="n"/>
      <c r="FS2" s="1" t="n"/>
      <c r="FT2" s="1" t="n"/>
      <c r="FU2" s="1" t="n"/>
      <c r="FV2" s="1" t="n"/>
      <c r="FW2" s="1" t="n"/>
      <c r="FX2" s="1" t="n"/>
      <c r="FY2" s="1" t="n"/>
      <c r="FZ2" s="1" t="n"/>
      <c r="GA2" s="1" t="n"/>
      <c r="GB2" s="1" t="n"/>
      <c r="GC2" s="1" t="n"/>
      <c r="GD2" s="1" t="n"/>
      <c r="GE2" s="1" t="n"/>
    </row>
    <row r="3" ht="20.25" customHeight="1">
      <c r="A3" s="198" t="inlineStr">
        <is>
          <t>BẢNG KÊ TIỀN TIỂU THỦ THUẬT</t>
        </is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  <c r="BC3" s="1" t="n"/>
      <c r="BD3" s="1" t="n"/>
      <c r="BE3" s="1" t="n"/>
      <c r="BF3" s="1" t="n"/>
      <c r="BG3" s="1" t="n"/>
      <c r="BH3" s="1" t="n"/>
      <c r="BI3" s="1" t="n"/>
      <c r="BJ3" s="1" t="n"/>
      <c r="BK3" s="1" t="n"/>
      <c r="BL3" s="1" t="n"/>
      <c r="BM3" s="1" t="n"/>
      <c r="BN3" s="1" t="n"/>
      <c r="BO3" s="1" t="n"/>
      <c r="BP3" s="1" t="n"/>
      <c r="BQ3" s="1" t="n"/>
      <c r="BR3" s="1" t="n"/>
      <c r="BS3" s="1" t="n"/>
      <c r="BT3" s="1" t="n"/>
      <c r="BU3" s="1" t="n"/>
      <c r="BV3" s="1" t="n"/>
      <c r="BW3" s="1" t="n"/>
      <c r="BX3" s="1" t="n"/>
      <c r="BY3" s="1" t="n"/>
      <c r="BZ3" s="1" t="n"/>
      <c r="CA3" s="1" t="n"/>
      <c r="CB3" s="1" t="n"/>
      <c r="CC3" s="1" t="n"/>
      <c r="CD3" s="1" t="n"/>
      <c r="CE3" s="1" t="n"/>
      <c r="CF3" s="1" t="n"/>
      <c r="CG3" s="1" t="n"/>
      <c r="CH3" s="1" t="n"/>
      <c r="CI3" s="1" t="n"/>
      <c r="CJ3" s="1" t="n"/>
      <c r="CK3" s="1" t="n"/>
      <c r="CL3" s="1" t="n"/>
      <c r="CM3" s="1" t="n"/>
      <c r="CN3" s="1" t="n"/>
      <c r="CO3" s="1" t="n"/>
      <c r="CP3" s="1" t="n"/>
      <c r="CQ3" s="1" t="n"/>
      <c r="CR3" s="1" t="n"/>
      <c r="CS3" s="1" t="n"/>
      <c r="CT3" s="1" t="n"/>
      <c r="CU3" s="1" t="n"/>
      <c r="CV3" s="1" t="n"/>
      <c r="CW3" s="1" t="n"/>
      <c r="CX3" s="1" t="n"/>
      <c r="CY3" s="1" t="n"/>
      <c r="CZ3" s="1" t="n"/>
      <c r="DA3" s="1" t="n"/>
      <c r="DB3" s="1" t="n"/>
      <c r="DC3" s="1" t="n"/>
      <c r="DD3" s="1" t="n"/>
      <c r="DE3" s="1" t="n"/>
      <c r="DF3" s="1" t="n"/>
      <c r="DG3" s="1" t="n"/>
      <c r="DH3" s="1" t="n"/>
      <c r="DI3" s="1" t="n"/>
      <c r="DJ3" s="1" t="n"/>
      <c r="DK3" s="1" t="n"/>
      <c r="DL3" s="1" t="n"/>
      <c r="DM3" s="1" t="n"/>
      <c r="DN3" s="1" t="n"/>
      <c r="DO3" s="1" t="n"/>
      <c r="DP3" s="1" t="n"/>
      <c r="DQ3" s="1" t="n"/>
      <c r="DR3" s="1" t="n"/>
      <c r="DS3" s="1" t="n"/>
      <c r="DT3" s="1" t="n"/>
      <c r="DU3" s="1" t="n"/>
      <c r="DV3" s="1" t="n"/>
      <c r="DW3" s="1" t="n"/>
      <c r="DX3" s="1" t="n"/>
      <c r="DY3" s="1" t="n"/>
      <c r="DZ3" s="1" t="n"/>
      <c r="EA3" s="1" t="n"/>
      <c r="EB3" s="1" t="n"/>
      <c r="EC3" s="1" t="n"/>
      <c r="ED3" s="1" t="n"/>
      <c r="EE3" s="1" t="n"/>
      <c r="EF3" s="1" t="n"/>
      <c r="EG3" s="1" t="n"/>
      <c r="EH3" s="1" t="n"/>
      <c r="EI3" s="1" t="n"/>
      <c r="EJ3" s="1" t="n"/>
      <c r="EK3" s="1" t="n"/>
      <c r="EL3" s="1" t="n"/>
      <c r="EM3" s="1" t="n"/>
      <c r="EN3" s="1" t="n"/>
      <c r="EO3" s="1" t="n"/>
      <c r="EP3" s="1" t="n"/>
      <c r="EQ3" s="1" t="n"/>
      <c r="ER3" s="1" t="n"/>
      <c r="ES3" s="1" t="n"/>
      <c r="ET3" s="1" t="n"/>
      <c r="EU3" s="1" t="n"/>
      <c r="EV3" s="1" t="n"/>
      <c r="EW3" s="1" t="n"/>
      <c r="EX3" s="1" t="n"/>
      <c r="EY3" s="1" t="n"/>
      <c r="EZ3" s="1" t="n"/>
      <c r="FA3" s="1" t="n"/>
      <c r="FB3" s="1" t="n"/>
      <c r="FC3" s="1" t="n"/>
      <c r="FD3" s="1" t="n"/>
      <c r="FE3" s="1" t="n"/>
      <c r="FF3" s="1" t="n"/>
      <c r="FG3" s="1" t="n"/>
      <c r="FH3" s="1" t="n"/>
      <c r="FI3" s="1" t="n"/>
      <c r="FJ3" s="1" t="n"/>
      <c r="FK3" s="1" t="n"/>
      <c r="FL3" s="1" t="n"/>
      <c r="FM3" s="1" t="n"/>
      <c r="FN3" s="1" t="n"/>
      <c r="FO3" s="1" t="n"/>
      <c r="FP3" s="1" t="n"/>
      <c r="FQ3" s="1" t="n"/>
      <c r="FR3" s="1" t="n"/>
      <c r="FS3" s="1" t="n"/>
      <c r="FT3" s="1" t="n"/>
      <c r="FU3" s="1" t="n"/>
      <c r="FV3" s="1" t="n"/>
      <c r="FW3" s="1" t="n"/>
      <c r="FX3" s="1" t="n"/>
      <c r="FY3" s="1" t="n"/>
      <c r="FZ3" s="1" t="n"/>
      <c r="GA3" s="1" t="n"/>
      <c r="GB3" s="1" t="n"/>
      <c r="GC3" s="1" t="n"/>
      <c r="GD3" s="1" t="n"/>
      <c r="GE3" s="1" t="n"/>
    </row>
    <row r="4" ht="20.25" customHeight="1">
      <c r="A4" s="199">
        <f>GB!A4</f>
        <v/>
      </c>
      <c r="B4" s="235" t="n"/>
      <c r="C4" s="235" t="n"/>
      <c r="D4" s="235" t="n"/>
      <c r="E4" s="235" t="n"/>
      <c r="F4" s="235" t="n"/>
      <c r="G4" s="235" t="n"/>
      <c r="H4" s="235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  <c r="BA4" s="1" t="n"/>
      <c r="BB4" s="1" t="n"/>
      <c r="BC4" s="1" t="n"/>
      <c r="BD4" s="1" t="n"/>
      <c r="BE4" s="1" t="n"/>
      <c r="BF4" s="1" t="n"/>
      <c r="BG4" s="1" t="n"/>
      <c r="BH4" s="1" t="n"/>
      <c r="BI4" s="1" t="n"/>
      <c r="BJ4" s="1" t="n"/>
      <c r="BK4" s="1" t="n"/>
      <c r="BL4" s="1" t="n"/>
      <c r="BM4" s="1" t="n"/>
      <c r="BN4" s="1" t="n"/>
      <c r="BO4" s="1" t="n"/>
      <c r="BP4" s="1" t="n"/>
      <c r="BQ4" s="1" t="n"/>
      <c r="BR4" s="1" t="n"/>
      <c r="BS4" s="1" t="n"/>
      <c r="BT4" s="1" t="n"/>
      <c r="BU4" s="1" t="n"/>
      <c r="BV4" s="1" t="n"/>
      <c r="BW4" s="1" t="n"/>
      <c r="BX4" s="1" t="n"/>
      <c r="BY4" s="1" t="n"/>
      <c r="BZ4" s="1" t="n"/>
      <c r="CA4" s="1" t="n"/>
      <c r="CB4" s="1" t="n"/>
      <c r="CC4" s="1" t="n"/>
      <c r="CD4" s="1" t="n"/>
      <c r="CE4" s="1" t="n"/>
      <c r="CF4" s="1" t="n"/>
      <c r="CG4" s="1" t="n"/>
      <c r="CH4" s="1" t="n"/>
      <c r="CI4" s="1" t="n"/>
      <c r="CJ4" s="1" t="n"/>
      <c r="CK4" s="1" t="n"/>
      <c r="CL4" s="1" t="n"/>
      <c r="CM4" s="1" t="n"/>
      <c r="CN4" s="1" t="n"/>
      <c r="CO4" s="1" t="n"/>
      <c r="CP4" s="1" t="n"/>
      <c r="CQ4" s="1" t="n"/>
      <c r="CR4" s="1" t="n"/>
      <c r="CS4" s="1" t="n"/>
      <c r="CT4" s="1" t="n"/>
      <c r="CU4" s="1" t="n"/>
      <c r="CV4" s="1" t="n"/>
      <c r="CW4" s="1" t="n"/>
      <c r="CX4" s="1" t="n"/>
      <c r="CY4" s="1" t="n"/>
      <c r="CZ4" s="1" t="n"/>
      <c r="DA4" s="1" t="n"/>
      <c r="DB4" s="1" t="n"/>
      <c r="DC4" s="1" t="n"/>
      <c r="DD4" s="1" t="n"/>
      <c r="DE4" s="1" t="n"/>
      <c r="DF4" s="1" t="n"/>
      <c r="DG4" s="1" t="n"/>
      <c r="DH4" s="1" t="n"/>
      <c r="DI4" s="1" t="n"/>
      <c r="DJ4" s="1" t="n"/>
      <c r="DK4" s="1" t="n"/>
      <c r="DL4" s="1" t="n"/>
      <c r="DM4" s="1" t="n"/>
      <c r="DN4" s="1" t="n"/>
      <c r="DO4" s="1" t="n"/>
      <c r="DP4" s="1" t="n"/>
      <c r="DQ4" s="1" t="n"/>
      <c r="DR4" s="1" t="n"/>
      <c r="DS4" s="1" t="n"/>
      <c r="DT4" s="1" t="n"/>
      <c r="DU4" s="1" t="n"/>
      <c r="DV4" s="1" t="n"/>
      <c r="DW4" s="1" t="n"/>
      <c r="DX4" s="1" t="n"/>
      <c r="DY4" s="1" t="n"/>
      <c r="DZ4" s="1" t="n"/>
      <c r="EA4" s="1" t="n"/>
      <c r="EB4" s="1" t="n"/>
      <c r="EC4" s="1" t="n"/>
      <c r="ED4" s="1" t="n"/>
      <c r="EE4" s="1" t="n"/>
      <c r="EF4" s="1" t="n"/>
      <c r="EG4" s="1" t="n"/>
      <c r="EH4" s="1" t="n"/>
      <c r="EI4" s="1" t="n"/>
      <c r="EJ4" s="1" t="n"/>
      <c r="EK4" s="1" t="n"/>
      <c r="EL4" s="1" t="n"/>
      <c r="EM4" s="1" t="n"/>
      <c r="EN4" s="1" t="n"/>
      <c r="EO4" s="1" t="n"/>
      <c r="EP4" s="1" t="n"/>
      <c r="EQ4" s="1" t="n"/>
      <c r="ER4" s="1" t="n"/>
      <c r="ES4" s="1" t="n"/>
      <c r="ET4" s="1" t="n"/>
      <c r="EU4" s="1" t="n"/>
      <c r="EV4" s="1" t="n"/>
      <c r="EW4" s="1" t="n"/>
      <c r="EX4" s="1" t="n"/>
      <c r="EY4" s="1" t="n"/>
      <c r="EZ4" s="1" t="n"/>
      <c r="FA4" s="1" t="n"/>
      <c r="FB4" s="1" t="n"/>
      <c r="FC4" s="1" t="n"/>
      <c r="FD4" s="1" t="n"/>
      <c r="FE4" s="1" t="n"/>
      <c r="FF4" s="1" t="n"/>
      <c r="FG4" s="1" t="n"/>
      <c r="FH4" s="1" t="n"/>
      <c r="FI4" s="1" t="n"/>
      <c r="FJ4" s="1" t="n"/>
      <c r="FK4" s="1" t="n"/>
      <c r="FL4" s="1" t="n"/>
      <c r="FM4" s="1" t="n"/>
      <c r="FN4" s="1" t="n"/>
      <c r="FO4" s="1" t="n"/>
      <c r="FP4" s="1" t="n"/>
      <c r="FQ4" s="1" t="n"/>
      <c r="FR4" s="1" t="n"/>
      <c r="FS4" s="1" t="n"/>
      <c r="FT4" s="1" t="n"/>
      <c r="FU4" s="1" t="n"/>
      <c r="FV4" s="1" t="n"/>
      <c r="FW4" s="1" t="n"/>
      <c r="FX4" s="1" t="n"/>
      <c r="FY4" s="1" t="n"/>
      <c r="FZ4" s="1" t="n"/>
      <c r="GA4" s="1" t="n"/>
      <c r="GB4" s="1" t="n"/>
      <c r="GC4" s="1" t="n"/>
      <c r="GD4" s="1" t="n"/>
      <c r="GE4" s="1" t="n"/>
    </row>
    <row r="5" ht="18.75" customFormat="1" customHeight="1" s="21">
      <c r="A5" s="132" t="inlineStr">
        <is>
          <t>STT</t>
        </is>
      </c>
      <c r="B5" s="132" t="inlineStr">
        <is>
          <t>Ngày</t>
        </is>
      </c>
      <c r="C5" s="132" t="inlineStr">
        <is>
          <t>Họ và tên</t>
        </is>
      </c>
      <c r="D5" s="131" t="inlineStr">
        <is>
          <t>Tuổi</t>
        </is>
      </c>
      <c r="E5" s="133" t="inlineStr">
        <is>
          <t>Tên CLS</t>
        </is>
      </c>
      <c r="F5" s="133" t="inlineStr">
        <is>
          <t>Số Lượng</t>
        </is>
      </c>
      <c r="G5" s="130" t="inlineStr">
        <is>
          <t>Thành tiền</t>
        </is>
      </c>
      <c r="H5" s="133" t="inlineStr">
        <is>
          <t>THỰC LÃNH</t>
        </is>
      </c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6" t="n"/>
      <c r="V5" s="36" t="n"/>
      <c r="W5" s="36" t="n"/>
      <c r="X5" s="36" t="n"/>
      <c r="Y5" s="36" t="n"/>
      <c r="Z5" s="36" t="n"/>
      <c r="AA5" s="36" t="n"/>
      <c r="AB5" s="36" t="n"/>
      <c r="AC5" s="36" t="n"/>
      <c r="AD5" s="36" t="n"/>
      <c r="AE5" s="36" t="n"/>
      <c r="AF5" s="36" t="n"/>
      <c r="AG5" s="36" t="n"/>
      <c r="AH5" s="36" t="n"/>
      <c r="AI5" s="36" t="n"/>
      <c r="AJ5" s="36" t="n"/>
      <c r="AK5" s="36" t="n"/>
      <c r="AL5" s="36" t="n"/>
      <c r="AM5" s="36" t="n"/>
      <c r="AN5" s="36" t="n"/>
      <c r="AO5" s="36" t="n"/>
      <c r="AP5" s="36" t="n"/>
      <c r="AQ5" s="36" t="n"/>
      <c r="AR5" s="36" t="n"/>
      <c r="AS5" s="36" t="n"/>
      <c r="AT5" s="36" t="n"/>
      <c r="AU5" s="36" t="n"/>
      <c r="AV5" s="36" t="n"/>
      <c r="AW5" s="36" t="n"/>
      <c r="AX5" s="36" t="n"/>
      <c r="AY5" s="36" t="n"/>
      <c r="AZ5" s="36" t="n"/>
      <c r="BA5" s="36" t="n"/>
      <c r="BB5" s="36" t="n"/>
      <c r="BC5" s="36" t="n"/>
      <c r="BD5" s="36" t="n"/>
      <c r="BE5" s="36" t="n"/>
      <c r="BF5" s="36" t="n"/>
      <c r="BG5" s="36" t="n"/>
      <c r="BH5" s="36" t="n"/>
      <c r="BI5" s="36" t="n"/>
      <c r="BJ5" s="36" t="n"/>
      <c r="BK5" s="36" t="n"/>
      <c r="BL5" s="36" t="n"/>
      <c r="BM5" s="36" t="n"/>
      <c r="BN5" s="36" t="n"/>
      <c r="BO5" s="36" t="n"/>
      <c r="BP5" s="36" t="n"/>
      <c r="BQ5" s="36" t="n"/>
      <c r="BR5" s="36" t="n"/>
      <c r="BS5" s="36" t="n"/>
      <c r="BT5" s="36" t="n"/>
      <c r="BU5" s="36" t="n"/>
      <c r="BV5" s="36" t="n"/>
      <c r="BW5" s="36" t="n"/>
      <c r="BX5" s="36" t="n"/>
      <c r="BY5" s="36" t="n"/>
      <c r="BZ5" s="36" t="n"/>
      <c r="CA5" s="36" t="n"/>
      <c r="CB5" s="36" t="n"/>
      <c r="CC5" s="36" t="n"/>
      <c r="CD5" s="36" t="n"/>
      <c r="CE5" s="36" t="n"/>
      <c r="CF5" s="36" t="n"/>
      <c r="CG5" s="36" t="n"/>
      <c r="CH5" s="36" t="n"/>
      <c r="CI5" s="36" t="n"/>
      <c r="CJ5" s="36" t="n"/>
      <c r="CK5" s="36" t="n"/>
      <c r="CL5" s="36" t="n"/>
      <c r="CM5" s="36" t="n"/>
      <c r="CN5" s="36" t="n"/>
      <c r="CO5" s="36" t="n"/>
      <c r="CP5" s="36" t="n"/>
      <c r="CQ5" s="36" t="n"/>
      <c r="CR5" s="36" t="n"/>
      <c r="CS5" s="36" t="n"/>
      <c r="CT5" s="36" t="n"/>
      <c r="CU5" s="36" t="n"/>
      <c r="CV5" s="36" t="n"/>
      <c r="CW5" s="36" t="n"/>
      <c r="CX5" s="36" t="n"/>
      <c r="CY5" s="36" t="n"/>
      <c r="CZ5" s="36" t="n"/>
      <c r="DA5" s="36" t="n"/>
      <c r="DB5" s="36" t="n"/>
      <c r="DC5" s="36" t="n"/>
      <c r="DD5" s="36" t="n"/>
      <c r="DE5" s="36" t="n"/>
      <c r="DF5" s="36" t="n"/>
      <c r="DG5" s="36" t="n"/>
      <c r="DH5" s="36" t="n"/>
      <c r="DI5" s="36" t="n"/>
      <c r="DJ5" s="36" t="n"/>
      <c r="DK5" s="36" t="n"/>
      <c r="DL5" s="36" t="n"/>
      <c r="DM5" s="36" t="n"/>
      <c r="DN5" s="36" t="n"/>
      <c r="DO5" s="36" t="n"/>
      <c r="DP5" s="36" t="n"/>
      <c r="DQ5" s="36" t="n"/>
      <c r="DR5" s="36" t="n"/>
      <c r="DS5" s="36" t="n"/>
      <c r="DT5" s="36" t="n"/>
      <c r="DU5" s="36" t="n"/>
      <c r="DV5" s="36" t="n"/>
      <c r="DW5" s="36" t="n"/>
      <c r="DX5" s="36" t="n"/>
      <c r="DY5" s="36" t="n"/>
      <c r="DZ5" s="36" t="n"/>
      <c r="EA5" s="36" t="n"/>
      <c r="EB5" s="36" t="n"/>
      <c r="EC5" s="36" t="n"/>
      <c r="ED5" s="36" t="n"/>
      <c r="EE5" s="36" t="n"/>
      <c r="EF5" s="36" t="n"/>
      <c r="EG5" s="36" t="n"/>
      <c r="EH5" s="36" t="n"/>
      <c r="EI5" s="36" t="n"/>
      <c r="EJ5" s="36" t="n"/>
      <c r="EK5" s="36" t="n"/>
      <c r="EL5" s="36" t="n"/>
      <c r="EM5" s="36" t="n"/>
      <c r="EN5" s="36" t="n"/>
      <c r="EO5" s="36" t="n"/>
      <c r="EP5" s="36" t="n"/>
      <c r="EQ5" s="36" t="n"/>
      <c r="ER5" s="36" t="n"/>
      <c r="ES5" s="36" t="n"/>
      <c r="ET5" s="36" t="n"/>
      <c r="EU5" s="36" t="n"/>
      <c r="EV5" s="36" t="n"/>
      <c r="EW5" s="36" t="n"/>
      <c r="EX5" s="36" t="n"/>
      <c r="EY5" s="36" t="n"/>
      <c r="EZ5" s="36" t="n"/>
      <c r="FA5" s="36" t="n"/>
      <c r="FB5" s="36" t="n"/>
      <c r="FC5" s="36" t="n"/>
      <c r="FD5" s="36" t="n"/>
      <c r="FE5" s="36" t="n"/>
      <c r="FF5" s="36" t="n"/>
      <c r="FG5" s="36" t="n"/>
      <c r="FH5" s="36" t="n"/>
      <c r="FI5" s="36" t="n"/>
      <c r="FJ5" s="36" t="n"/>
      <c r="FK5" s="36" t="n"/>
      <c r="FL5" s="36" t="n"/>
      <c r="FM5" s="36" t="n"/>
      <c r="FN5" s="36" t="n"/>
      <c r="FO5" s="36" t="n"/>
      <c r="FP5" s="36" t="n"/>
      <c r="FQ5" s="36" t="n"/>
      <c r="FR5" s="36" t="n"/>
      <c r="FS5" s="36" t="n"/>
      <c r="FT5" s="36" t="n"/>
      <c r="FU5" s="36" t="n"/>
      <c r="FV5" s="36" t="n"/>
      <c r="FW5" s="36" t="n"/>
      <c r="FX5" s="36" t="n"/>
      <c r="FY5" s="36" t="n"/>
      <c r="FZ5" s="36" t="n"/>
      <c r="GA5" s="36" t="n"/>
      <c r="GB5" s="36" t="n"/>
      <c r="GC5" s="36" t="n"/>
      <c r="GD5" s="36" t="n"/>
      <c r="GE5" s="36" t="n"/>
    </row>
    <row r="6" ht="15.75" customFormat="1" customHeight="1" s="21">
      <c r="A6" s="94" t="n">
        <v>1</v>
      </c>
      <c r="B6" s="105" t="inlineStr">
        <is>
          <t>2026/07/20 16:00</t>
        </is>
      </c>
      <c r="C6" s="105" t="inlineStr">
        <is>
          <t>VÕ THỊ HUỆ</t>
        </is>
      </c>
      <c r="D6" s="105" t="inlineStr">
        <is>
          <t>01/01/1948</t>
        </is>
      </c>
      <c r="E6" s="105" t="inlineStr">
        <is>
          <t>Xét nghiệm đường máu mao mạch tại giường (một lần)[Nội trú]</t>
        </is>
      </c>
      <c r="F6" s="108" t="n">
        <v>1</v>
      </c>
      <c r="G6" s="236" t="n">
        <v>16000</v>
      </c>
      <c r="H6" s="95">
        <f>G6*21.21%</f>
        <v/>
      </c>
      <c r="I6" s="37" t="n"/>
    </row>
    <row r="7" ht="15.75" customFormat="1" customHeight="1" s="21">
      <c r="A7" s="94" t="n">
        <v>2</v>
      </c>
      <c r="B7" s="105" t="inlineStr">
        <is>
          <t>2026/07/22 16:00</t>
        </is>
      </c>
      <c r="C7" s="105" t="inlineStr">
        <is>
          <t>PHẠM THỊ NGỌC ÁNH</t>
        </is>
      </c>
      <c r="D7" s="105" t="inlineStr">
        <is>
          <t>01/01/1957</t>
        </is>
      </c>
      <c r="E7" s="105" t="inlineStr">
        <is>
          <t>Xét nghiệm đường máu mao mạch tại giường (một lần)[Nội trú]</t>
        </is>
      </c>
      <c r="F7" s="108" t="n">
        <v>1</v>
      </c>
      <c r="G7" s="236" t="n">
        <v>35000</v>
      </c>
      <c r="H7" s="95">
        <f>G7*21.21%</f>
        <v/>
      </c>
      <c r="I7" s="37" t="n"/>
    </row>
    <row r="8" ht="15.75" customFormat="1" customHeight="1" s="21">
      <c r="A8" s="94" t="n">
        <v>3</v>
      </c>
      <c r="B8" s="105" t="inlineStr">
        <is>
          <t>2026/07/23 05:00</t>
        </is>
      </c>
      <c r="C8" s="105" t="inlineStr">
        <is>
          <t>PHẠM THỊ NGỌC ÁNH</t>
        </is>
      </c>
      <c r="D8" s="105" t="inlineStr">
        <is>
          <t>01/01/1957</t>
        </is>
      </c>
      <c r="E8" s="105" t="inlineStr">
        <is>
          <t>Xét nghiệm đường máu mao mạch tại giường (một lần)[Nội trú]</t>
        </is>
      </c>
      <c r="F8" s="108" t="n">
        <v>1</v>
      </c>
      <c r="G8" s="236" t="n">
        <v>35000</v>
      </c>
      <c r="H8" s="95">
        <f>G8*21.21%</f>
        <v/>
      </c>
      <c r="I8" s="37" t="n"/>
    </row>
    <row r="9" ht="15.75" customFormat="1" customHeight="1" s="21">
      <c r="A9" s="94" t="n">
        <v>4</v>
      </c>
      <c r="B9" s="105" t="inlineStr">
        <is>
          <t>2026/07/23 16:00</t>
        </is>
      </c>
      <c r="C9" s="105" t="inlineStr">
        <is>
          <t>PHẠM THỊ NGỌC ÁNH</t>
        </is>
      </c>
      <c r="D9" s="105" t="inlineStr">
        <is>
          <t>01/01/1957</t>
        </is>
      </c>
      <c r="E9" s="105" t="inlineStr">
        <is>
          <t>Xét nghiệm đường máu mao mạch tại giường (một lần)[Nội trú]</t>
        </is>
      </c>
      <c r="F9" s="108" t="n">
        <v>1</v>
      </c>
      <c r="G9" s="236" t="n">
        <v>35000</v>
      </c>
      <c r="H9" s="95">
        <f>G9*21.21%</f>
        <v/>
      </c>
      <c r="I9" s="37" t="n"/>
    </row>
    <row r="10" ht="15.75" customFormat="1" customHeight="1" s="21">
      <c r="A10" s="94" t="n">
        <v>5</v>
      </c>
      <c r="B10" s="105" t="inlineStr">
        <is>
          <t>2026/07/24 05:00</t>
        </is>
      </c>
      <c r="C10" s="105" t="inlineStr">
        <is>
          <t>NGUYỄN THỊ NĂM</t>
        </is>
      </c>
      <c r="D10" s="105" t="inlineStr">
        <is>
          <t>01/01/1939</t>
        </is>
      </c>
      <c r="E10" s="105" t="inlineStr">
        <is>
          <t>Xét nghiệm đường máu mao mạch tại giường (một lần)[Nội trú]</t>
        </is>
      </c>
      <c r="F10" s="108" t="n">
        <v>1</v>
      </c>
      <c r="G10" s="236" t="n">
        <v>35000</v>
      </c>
      <c r="H10" s="95">
        <f>G10*21.21%</f>
        <v/>
      </c>
      <c r="I10" s="37" t="n"/>
    </row>
    <row r="11" ht="15.75" customFormat="1" customHeight="1" s="21">
      <c r="A11" s="94" t="n">
        <v>6</v>
      </c>
      <c r="B11" s="105" t="inlineStr">
        <is>
          <t>2026/07/24 05:00</t>
        </is>
      </c>
      <c r="C11" s="105" t="inlineStr">
        <is>
          <t>PHẠM THỊ NGỌC ÁNH</t>
        </is>
      </c>
      <c r="D11" s="105" t="inlineStr">
        <is>
          <t>01/01/1957</t>
        </is>
      </c>
      <c r="E11" s="105" t="inlineStr">
        <is>
          <t>Xét nghiệm đường máu mao mạch tại giường (một lần)[Nội trú]</t>
        </is>
      </c>
      <c r="F11" s="108" t="n">
        <v>1</v>
      </c>
      <c r="G11" s="236" t="n">
        <v>35000</v>
      </c>
      <c r="H11" s="95">
        <f>G11*21.21%</f>
        <v/>
      </c>
      <c r="I11" s="37" t="n"/>
    </row>
    <row r="12" ht="15.75" customFormat="1" customHeight="1" s="21">
      <c r="A12" s="94" t="n">
        <v>7</v>
      </c>
      <c r="B12" s="105" t="inlineStr">
        <is>
          <t>2026/07/24 16:00</t>
        </is>
      </c>
      <c r="C12" s="105" t="inlineStr">
        <is>
          <t>NGUYỄN THỊ NĂM</t>
        </is>
      </c>
      <c r="D12" s="105" t="inlineStr">
        <is>
          <t>01/01/1939</t>
        </is>
      </c>
      <c r="E12" s="105" t="inlineStr">
        <is>
          <t>Xét nghiệm đường máu mao mạch tại giường (một lần)[Nội trú]</t>
        </is>
      </c>
      <c r="F12" s="108" t="n">
        <v>1</v>
      </c>
      <c r="G12" s="236" t="n">
        <v>35000</v>
      </c>
      <c r="H12" s="95">
        <f>G12*21.21%</f>
        <v/>
      </c>
      <c r="I12" s="37" t="n"/>
    </row>
    <row r="13" ht="15.75" customFormat="1" customHeight="1" s="21">
      <c r="A13" s="94" t="n">
        <v>8</v>
      </c>
      <c r="B13" s="105" t="inlineStr">
        <is>
          <t>2026/07/24 16:00</t>
        </is>
      </c>
      <c r="C13" s="105" t="inlineStr">
        <is>
          <t>NGUYỄN VĂN CƯ</t>
        </is>
      </c>
      <c r="D13" s="105" t="inlineStr">
        <is>
          <t>20/09/1951</t>
        </is>
      </c>
      <c r="E13" s="105" t="inlineStr">
        <is>
          <t>Xét nghiệm đường máu mao mạch tại giường (một lần)[Nội trú]</t>
        </is>
      </c>
      <c r="F13" s="108" t="n">
        <v>1</v>
      </c>
      <c r="G13" s="236" t="n">
        <v>16000</v>
      </c>
      <c r="H13" s="95">
        <f>G13*21.21%</f>
        <v/>
      </c>
      <c r="I13" s="37" t="n"/>
    </row>
    <row r="14" ht="15.75" customFormat="1" customHeight="1" s="21">
      <c r="A14" s="94" t="n">
        <v>9</v>
      </c>
      <c r="B14" s="105" t="inlineStr">
        <is>
          <t>2026/07/24 16:00</t>
        </is>
      </c>
      <c r="C14" s="105" t="inlineStr">
        <is>
          <t>PHẠM THỊ NGỌC ÁNH</t>
        </is>
      </c>
      <c r="D14" s="105" t="inlineStr">
        <is>
          <t>01/01/1957</t>
        </is>
      </c>
      <c r="E14" s="105" t="inlineStr">
        <is>
          <t>Xét nghiệm đường máu mao mạch tại giường (một lần)[Nội trú]</t>
        </is>
      </c>
      <c r="F14" s="108" t="n">
        <v>1</v>
      </c>
      <c r="G14" s="236" t="n">
        <v>35000</v>
      </c>
      <c r="H14" s="95">
        <f>G14*21.21%</f>
        <v/>
      </c>
      <c r="I14" s="37" t="n"/>
    </row>
    <row r="15" ht="15.75" customFormat="1" customHeight="1" s="21">
      <c r="A15" s="94" t="n">
        <v>10</v>
      </c>
      <c r="B15" s="105" t="inlineStr">
        <is>
          <t>2026/07/26 16:00</t>
        </is>
      </c>
      <c r="C15" s="105" t="inlineStr">
        <is>
          <t>PHẠM THỊ NGỌC ÁNH</t>
        </is>
      </c>
      <c r="D15" s="105" t="inlineStr">
        <is>
          <t>01/01/1957</t>
        </is>
      </c>
      <c r="E15" s="105" t="inlineStr">
        <is>
          <t>Xét nghiệm đường máu mao mạch tại giường (một lần)[Nội trú]</t>
        </is>
      </c>
      <c r="F15" s="108" t="n">
        <v>1</v>
      </c>
      <c r="G15" s="236" t="n">
        <v>35000</v>
      </c>
      <c r="H15" s="95">
        <f>G15*21.21%</f>
        <v/>
      </c>
      <c r="I15" s="37" t="n"/>
    </row>
    <row r="16" ht="15.75" customFormat="1" customHeight="1" s="21">
      <c r="A16" s="94" t="n">
        <v>11</v>
      </c>
      <c r="B16" s="105" t="inlineStr">
        <is>
          <t>2026/07/27 05:00</t>
        </is>
      </c>
      <c r="C16" s="105" t="inlineStr">
        <is>
          <t>PHẠM THỊ NGỌC ÁNH</t>
        </is>
      </c>
      <c r="D16" s="105" t="inlineStr">
        <is>
          <t>01/01/1957</t>
        </is>
      </c>
      <c r="E16" s="105" t="inlineStr">
        <is>
          <t>Xét nghiệm đường máu mao mạch tại giường (một lần)[Nội trú]</t>
        </is>
      </c>
      <c r="F16" s="108" t="n">
        <v>1</v>
      </c>
      <c r="G16" s="236" t="n">
        <v>35000</v>
      </c>
      <c r="H16" s="95">
        <f>G16*21.21%</f>
        <v/>
      </c>
      <c r="I16" s="37" t="n"/>
    </row>
    <row r="17" ht="15.75" customFormat="1" customHeight="1" s="21">
      <c r="A17" s="94" t="n">
        <v>12</v>
      </c>
      <c r="B17" s="105" t="inlineStr">
        <is>
          <t>2026/07/27 16:00</t>
        </is>
      </c>
      <c r="C17" s="105" t="inlineStr">
        <is>
          <t>NGUYỄN THỊ PHỤNG</t>
        </is>
      </c>
      <c r="D17" s="105" t="inlineStr">
        <is>
          <t>01/01/1956</t>
        </is>
      </c>
      <c r="E17" s="105" t="inlineStr">
        <is>
          <t>Xét nghiệm đường máu mao mạch tại giường (một lần)[Nội trú]</t>
        </is>
      </c>
      <c r="F17" s="108" t="n">
        <v>1</v>
      </c>
      <c r="G17" s="236" t="n">
        <v>16000</v>
      </c>
      <c r="H17" s="95">
        <f>G17*21.21%</f>
        <v/>
      </c>
      <c r="I17" s="37" t="n"/>
    </row>
    <row r="18" ht="15.75" customFormat="1" customHeight="1" s="21">
      <c r="A18" s="94" t="n">
        <v>13</v>
      </c>
      <c r="B18" s="105" t="inlineStr">
        <is>
          <t>2026/07/27 16:00</t>
        </is>
      </c>
      <c r="C18" s="105" t="inlineStr">
        <is>
          <t>NGUYỄN THỊ THANH HÒA</t>
        </is>
      </c>
      <c r="D18" s="105" t="inlineStr">
        <is>
          <t>19/03/1973</t>
        </is>
      </c>
      <c r="E18" s="105" t="inlineStr">
        <is>
          <t>Xét nghiệm đường máu mao mạch tại giường (một lần)[Nội trú]</t>
        </is>
      </c>
      <c r="F18" s="108" t="n">
        <v>1</v>
      </c>
      <c r="G18" s="236" t="n">
        <v>35000</v>
      </c>
      <c r="H18" s="95">
        <f>G18*21.21%</f>
        <v/>
      </c>
      <c r="I18" s="37" t="n"/>
    </row>
    <row r="19" ht="15.75" customFormat="1" customHeight="1" s="21">
      <c r="A19" s="94" t="n">
        <v>14</v>
      </c>
      <c r="B19" s="105" t="inlineStr">
        <is>
          <t>2026/07/27 16:15</t>
        </is>
      </c>
      <c r="C19" s="105" t="inlineStr">
        <is>
          <t>PHẠM THỊ NGỌC ÁNH</t>
        </is>
      </c>
      <c r="D19" s="105" t="inlineStr">
        <is>
          <t>01/01/1957</t>
        </is>
      </c>
      <c r="E19" s="105" t="inlineStr">
        <is>
          <t>Xét nghiệm đường máu mao mạch tại giường (một lần)[Nội trú]</t>
        </is>
      </c>
      <c r="F19" s="108" t="n">
        <v>1</v>
      </c>
      <c r="G19" s="236" t="n">
        <v>35000</v>
      </c>
      <c r="H19" s="95">
        <f>G19*21.21%</f>
        <v/>
      </c>
      <c r="I19" s="37" t="n"/>
    </row>
    <row r="20" ht="15.75" customFormat="1" customHeight="1" s="21">
      <c r="A20" s="94" t="n">
        <v>15</v>
      </c>
      <c r="B20" s="105" t="inlineStr">
        <is>
          <t>2026/07/28 05:00</t>
        </is>
      </c>
      <c r="C20" s="105" t="inlineStr">
        <is>
          <t>NGUYỄN VĂN CƯ</t>
        </is>
      </c>
      <c r="D20" s="105" t="inlineStr">
        <is>
          <t>20/09/1951</t>
        </is>
      </c>
      <c r="E20" s="105" t="inlineStr">
        <is>
          <t>Xét nghiệm đường máu mao mạch tại giường (một lần)[Nội trú]</t>
        </is>
      </c>
      <c r="F20" s="108" t="n">
        <v>1</v>
      </c>
      <c r="G20" s="236" t="n">
        <v>35000</v>
      </c>
      <c r="H20" s="95">
        <f>G20*21.21%</f>
        <v/>
      </c>
      <c r="I20" s="37" t="n"/>
    </row>
    <row r="21" ht="15.75" customFormat="1" customHeight="1" s="21">
      <c r="A21" s="94" t="n">
        <v>16</v>
      </c>
      <c r="B21" s="105" t="inlineStr">
        <is>
          <t>2026/07/28 05:00</t>
        </is>
      </c>
      <c r="C21" s="105" t="inlineStr">
        <is>
          <t>PHẠM THỊ NGỌC ÁNH</t>
        </is>
      </c>
      <c r="D21" s="105" t="inlineStr">
        <is>
          <t>01/01/1957</t>
        </is>
      </c>
      <c r="E21" s="105" t="inlineStr">
        <is>
          <t>Xét nghiệm đường máu mao mạch tại giường (một lần)[Nội trú]</t>
        </is>
      </c>
      <c r="F21" s="108" t="n">
        <v>1</v>
      </c>
      <c r="G21" s="236" t="n">
        <v>35000</v>
      </c>
      <c r="H21" s="95">
        <f>G21*21.21%</f>
        <v/>
      </c>
      <c r="I21" s="37" t="n"/>
    </row>
    <row r="22" ht="15.75" customFormat="1" customHeight="1" s="21">
      <c r="A22" s="94" t="n">
        <v>17</v>
      </c>
      <c r="B22" s="105" t="inlineStr">
        <is>
          <t>2026/07/28 16:00</t>
        </is>
      </c>
      <c r="C22" s="105" t="inlineStr">
        <is>
          <t>NGUYỄN THỊ NĂM</t>
        </is>
      </c>
      <c r="D22" s="105" t="inlineStr">
        <is>
          <t>01/01/1939</t>
        </is>
      </c>
      <c r="E22" s="105" t="inlineStr">
        <is>
          <t>Xét nghiệm đường máu mao mạch tại giường (một lần)[Nội trú]</t>
        </is>
      </c>
      <c r="F22" s="108" t="n">
        <v>1</v>
      </c>
      <c r="G22" s="236" t="n">
        <v>35000</v>
      </c>
      <c r="H22" s="95">
        <f>G22*21.21%</f>
        <v/>
      </c>
      <c r="I22" s="37" t="n"/>
    </row>
    <row r="23" ht="15.75" customFormat="1" customHeight="1" s="21">
      <c r="A23" s="94" t="n">
        <v>18</v>
      </c>
      <c r="B23" s="105" t="inlineStr">
        <is>
          <t>2026/07/28 16:00</t>
        </is>
      </c>
      <c r="C23" s="105" t="inlineStr">
        <is>
          <t>NGUYỄN THỊ PHỤNG</t>
        </is>
      </c>
      <c r="D23" s="105" t="inlineStr">
        <is>
          <t>01/01/1956</t>
        </is>
      </c>
      <c r="E23" s="105" t="inlineStr">
        <is>
          <t>Xét nghiệm đường máu mao mạch tại giường (một lần)[Nội trú]</t>
        </is>
      </c>
      <c r="F23" s="108" t="n">
        <v>1</v>
      </c>
      <c r="G23" s="236" t="n">
        <v>16000</v>
      </c>
      <c r="H23" s="95">
        <f>G23*21.21%</f>
        <v/>
      </c>
      <c r="I23" s="37" t="n"/>
    </row>
    <row r="24" ht="15.75" customFormat="1" customHeight="1" s="21">
      <c r="A24" s="94" t="n">
        <v>19</v>
      </c>
      <c r="B24" s="105" t="inlineStr">
        <is>
          <t>2026/07/29 05:00</t>
        </is>
      </c>
      <c r="C24" s="105" t="inlineStr">
        <is>
          <t>LÊ THỊ ỬNG</t>
        </is>
      </c>
      <c r="D24" s="105" t="inlineStr">
        <is>
          <t>02/09/1953</t>
        </is>
      </c>
      <c r="E24" s="105" t="inlineStr">
        <is>
          <t>Xét nghiệm đường máu mao mạch tại giường (một lần)[Nội trú]</t>
        </is>
      </c>
      <c r="F24" s="108" t="n">
        <v>1</v>
      </c>
      <c r="G24" s="236" t="n">
        <v>35000</v>
      </c>
      <c r="H24" s="95">
        <f>G24*21.21%</f>
        <v/>
      </c>
      <c r="I24" s="37" t="n"/>
    </row>
    <row r="25" ht="15.75" customFormat="1" customHeight="1" s="21">
      <c r="A25" s="94" t="n">
        <v>20</v>
      </c>
      <c r="B25" s="105" t="inlineStr">
        <is>
          <t>2026/07/29 05:00</t>
        </is>
      </c>
      <c r="C25" s="105" t="inlineStr">
        <is>
          <t>NGUYỄN THỊ NĂM</t>
        </is>
      </c>
      <c r="D25" s="105" t="inlineStr">
        <is>
          <t>01/01/1939</t>
        </is>
      </c>
      <c r="E25" s="105" t="inlineStr">
        <is>
          <t>Xét nghiệm đường máu mao mạch tại giường (một lần)[Nội trú]</t>
        </is>
      </c>
      <c r="F25" s="108" t="n">
        <v>1</v>
      </c>
      <c r="G25" s="236" t="n">
        <v>35000</v>
      </c>
      <c r="H25" s="95">
        <f>G25*21.21%</f>
        <v/>
      </c>
      <c r="I25" s="37" t="n"/>
    </row>
    <row r="26" ht="15.75" customFormat="1" customHeight="1" s="21">
      <c r="A26" s="94" t="n">
        <v>21</v>
      </c>
      <c r="B26" s="105" t="inlineStr">
        <is>
          <t>2026/07/29 05:00</t>
        </is>
      </c>
      <c r="C26" s="105" t="inlineStr">
        <is>
          <t>NGUYỄN THỊ PHỤNG</t>
        </is>
      </c>
      <c r="D26" s="105" t="inlineStr">
        <is>
          <t>01/01/1956</t>
        </is>
      </c>
      <c r="E26" s="105" t="inlineStr">
        <is>
          <t>Xét nghiệm đường máu mao mạch tại giường (một lần)[Nội trú]</t>
        </is>
      </c>
      <c r="F26" s="108" t="n">
        <v>1</v>
      </c>
      <c r="G26" s="236" t="n">
        <v>16000</v>
      </c>
      <c r="H26" s="95">
        <f>G26*21.21%</f>
        <v/>
      </c>
      <c r="I26" s="37" t="n"/>
    </row>
    <row r="27" ht="15.75" customFormat="1" customHeight="1" s="21">
      <c r="A27" s="94" t="n">
        <v>22</v>
      </c>
      <c r="B27" s="105" t="inlineStr">
        <is>
          <t>2026/07/29 05:00</t>
        </is>
      </c>
      <c r="C27" s="105" t="inlineStr">
        <is>
          <t>NGUYỄN THỊ THANH HÒA</t>
        </is>
      </c>
      <c r="D27" s="105" t="inlineStr">
        <is>
          <t>19/03/1973</t>
        </is>
      </c>
      <c r="E27" s="105" t="inlineStr">
        <is>
          <t>Xét nghiệm đường máu mao mạch tại giường (một lần)[Nội trú]</t>
        </is>
      </c>
      <c r="F27" s="108" t="n">
        <v>1</v>
      </c>
      <c r="G27" s="236" t="n">
        <v>35000</v>
      </c>
      <c r="H27" s="95">
        <f>G27*21.21%</f>
        <v/>
      </c>
      <c r="I27" s="37" t="n"/>
    </row>
    <row r="28" ht="15.75" customFormat="1" customHeight="1" s="21">
      <c r="A28" s="94" t="n">
        <v>23</v>
      </c>
      <c r="B28" s="105" t="inlineStr">
        <is>
          <t>2026/07/29 05:00</t>
        </is>
      </c>
      <c r="C28" s="105" t="inlineStr">
        <is>
          <t>NGUYỄN VĂN CƯ</t>
        </is>
      </c>
      <c r="D28" s="105" t="inlineStr">
        <is>
          <t>20/09/1951</t>
        </is>
      </c>
      <c r="E28" s="105" t="inlineStr">
        <is>
          <t>Xét nghiệm đường máu mao mạch tại giường (một lần)[Nội trú]</t>
        </is>
      </c>
      <c r="F28" s="108" t="n">
        <v>1</v>
      </c>
      <c r="G28" s="236" t="n">
        <v>35000</v>
      </c>
      <c r="H28" s="95">
        <f>G28*21.21%</f>
        <v/>
      </c>
      <c r="I28" s="37" t="n"/>
    </row>
    <row r="29" ht="15.75" customFormat="1" customHeight="1" s="21">
      <c r="A29" s="94" t="n">
        <v>24</v>
      </c>
      <c r="B29" s="105" t="inlineStr">
        <is>
          <t>2026/07/29 16:00</t>
        </is>
      </c>
      <c r="C29" s="105" t="inlineStr">
        <is>
          <t>NGUYỄN THỊ PHỤNG</t>
        </is>
      </c>
      <c r="D29" s="105" t="inlineStr">
        <is>
          <t>01/01/1956</t>
        </is>
      </c>
      <c r="E29" s="105" t="inlineStr">
        <is>
          <t>Xét nghiệm đường máu mao mạch tại giường (một lần)[Nội trú]</t>
        </is>
      </c>
      <c r="F29" s="108" t="n">
        <v>1</v>
      </c>
      <c r="G29" s="236" t="n">
        <v>16000</v>
      </c>
      <c r="H29" s="95">
        <f>G29*21.21%</f>
        <v/>
      </c>
      <c r="I29" s="37" t="n"/>
    </row>
    <row r="30" ht="15.75" customFormat="1" customHeight="1" s="21">
      <c r="A30" s="94" t="n">
        <v>25</v>
      </c>
      <c r="B30" s="105" t="inlineStr">
        <is>
          <t>2026/07/29 16:00</t>
        </is>
      </c>
      <c r="C30" s="105" t="inlineStr">
        <is>
          <t>NGUYỄN THỊ THANH HÒA</t>
        </is>
      </c>
      <c r="D30" s="105" t="inlineStr">
        <is>
          <t>19/03/1973</t>
        </is>
      </c>
      <c r="E30" s="105" t="inlineStr">
        <is>
          <t>Xét nghiệm đường máu mao mạch tại giường (một lần)[Nội trú]</t>
        </is>
      </c>
      <c r="F30" s="108" t="n">
        <v>1</v>
      </c>
      <c r="G30" s="236" t="n">
        <v>35000</v>
      </c>
      <c r="H30" s="95">
        <f>G30*21.21%</f>
        <v/>
      </c>
      <c r="I30" s="37" t="n"/>
    </row>
    <row r="31" ht="15.75" customFormat="1" customHeight="1" s="21">
      <c r="A31" s="94" t="n">
        <v>26</v>
      </c>
      <c r="B31" s="105" t="inlineStr">
        <is>
          <t>2026/07/30 05:00</t>
        </is>
      </c>
      <c r="C31" s="105" t="inlineStr">
        <is>
          <t>LÊ THỊ ỬNG</t>
        </is>
      </c>
      <c r="D31" s="105" t="inlineStr">
        <is>
          <t>02/09/1953</t>
        </is>
      </c>
      <c r="E31" s="105" t="inlineStr">
        <is>
          <t>Xét nghiệm đường máu mao mạch tại giường (một lần)[Nội trú]</t>
        </is>
      </c>
      <c r="F31" s="108" t="n">
        <v>1</v>
      </c>
      <c r="G31" s="236" t="n">
        <v>35000</v>
      </c>
      <c r="H31" s="95">
        <f>G31*21.21%</f>
        <v/>
      </c>
      <c r="I31" s="37" t="n"/>
    </row>
    <row r="32" ht="15.75" customFormat="1" customHeight="1" s="21">
      <c r="A32" s="94" t="n">
        <v>27</v>
      </c>
      <c r="B32" s="105" t="inlineStr">
        <is>
          <t>2026/07/30 05:00</t>
        </is>
      </c>
      <c r="C32" s="105" t="inlineStr">
        <is>
          <t>NGUYỄN THỊ NĂM</t>
        </is>
      </c>
      <c r="D32" s="105" t="inlineStr">
        <is>
          <t>01/01/1939</t>
        </is>
      </c>
      <c r="E32" s="105" t="inlineStr">
        <is>
          <t>Xét nghiệm đường máu mao mạch tại giường (một lần)[Nội trú]</t>
        </is>
      </c>
      <c r="F32" s="108" t="n">
        <v>1</v>
      </c>
      <c r="G32" s="236" t="n">
        <v>35000</v>
      </c>
      <c r="H32" s="95">
        <f>G32*21.21%</f>
        <v/>
      </c>
      <c r="I32" s="37" t="n"/>
    </row>
    <row r="33" ht="15.75" customFormat="1" customHeight="1" s="21">
      <c r="A33" s="94" t="n">
        <v>28</v>
      </c>
      <c r="B33" s="105" t="inlineStr">
        <is>
          <t>2026/07/30 05:00</t>
        </is>
      </c>
      <c r="C33" s="105" t="inlineStr">
        <is>
          <t>NGUYỄN THỊ PHỤNG</t>
        </is>
      </c>
      <c r="D33" s="105" t="inlineStr">
        <is>
          <t>01/01/1956</t>
        </is>
      </c>
      <c r="E33" s="105" t="inlineStr">
        <is>
          <t>Xét nghiệm đường máu mao mạch tại giường (một lần)[Nội trú]</t>
        </is>
      </c>
      <c r="F33" s="108" t="n">
        <v>1</v>
      </c>
      <c r="G33" s="236" t="n">
        <v>16000</v>
      </c>
      <c r="H33" s="95">
        <f>G33*21.21%</f>
        <v/>
      </c>
      <c r="I33" s="37" t="n"/>
    </row>
    <row r="34" ht="15.75" customFormat="1" customHeight="1" s="21">
      <c r="A34" s="94" t="n">
        <v>29</v>
      </c>
      <c r="B34" s="105" t="inlineStr">
        <is>
          <t>2026/07/30 05:00</t>
        </is>
      </c>
      <c r="C34" s="105" t="inlineStr">
        <is>
          <t>NGUYỄN THỊ THANH HÒA</t>
        </is>
      </c>
      <c r="D34" s="105" t="inlineStr">
        <is>
          <t>19/03/1973</t>
        </is>
      </c>
      <c r="E34" s="105" t="inlineStr">
        <is>
          <t>Xét nghiệm đường máu mao mạch tại giường (một lần)[Nội trú]</t>
        </is>
      </c>
      <c r="F34" s="108" t="n">
        <v>1</v>
      </c>
      <c r="G34" s="236" t="n">
        <v>35000</v>
      </c>
      <c r="H34" s="95">
        <f>G34*21.21%</f>
        <v/>
      </c>
      <c r="I34" s="37" t="n"/>
    </row>
    <row r="35" ht="15.75" customFormat="1" customHeight="1" s="21">
      <c r="A35" s="94" t="n">
        <v>30</v>
      </c>
      <c r="B35" s="105" t="inlineStr">
        <is>
          <t>2026/07/30 05:00</t>
        </is>
      </c>
      <c r="C35" s="105" t="inlineStr">
        <is>
          <t>NGUYỄN VĂN CƯ</t>
        </is>
      </c>
      <c r="D35" s="105" t="inlineStr">
        <is>
          <t>20/09/1951</t>
        </is>
      </c>
      <c r="E35" s="105" t="inlineStr">
        <is>
          <t>Xét nghiệm đường máu mao mạch tại giường (một lần)[Nội trú]</t>
        </is>
      </c>
      <c r="F35" s="108" t="n">
        <v>1</v>
      </c>
      <c r="G35" s="236" t="n">
        <v>35000</v>
      </c>
      <c r="H35" s="95">
        <f>G35*21.21%</f>
        <v/>
      </c>
      <c r="I35" s="37" t="n"/>
    </row>
    <row r="36" ht="15.75" customFormat="1" customHeight="1" s="21">
      <c r="A36" s="94" t="n">
        <v>31</v>
      </c>
      <c r="B36" s="105" t="inlineStr">
        <is>
          <t>2026/07/30 05:00</t>
        </is>
      </c>
      <c r="C36" s="105" t="inlineStr">
        <is>
          <t>PHẠM THỊ NGỌC ÁNH</t>
        </is>
      </c>
      <c r="D36" s="105" t="inlineStr">
        <is>
          <t>01/01/1957</t>
        </is>
      </c>
      <c r="E36" s="105" t="inlineStr">
        <is>
          <t>Xét nghiệm đường máu mao mạch tại giường (một lần)[Nội trú]</t>
        </is>
      </c>
      <c r="F36" s="108" t="n">
        <v>1</v>
      </c>
      <c r="G36" s="236" t="n">
        <v>35000</v>
      </c>
      <c r="H36" s="95">
        <f>G36*21.21%</f>
        <v/>
      </c>
      <c r="I36" s="37" t="n"/>
    </row>
    <row r="37" ht="15.75" customFormat="1" customHeight="1" s="21">
      <c r="A37" s="94" t="n">
        <v>32</v>
      </c>
      <c r="B37" s="105" t="inlineStr">
        <is>
          <t>2026/07/30 16:00</t>
        </is>
      </c>
      <c r="C37" s="105" t="inlineStr">
        <is>
          <t>NGUYỄN THỊ NĂM</t>
        </is>
      </c>
      <c r="D37" s="105" t="inlineStr">
        <is>
          <t>01/01/1939</t>
        </is>
      </c>
      <c r="E37" s="105" t="inlineStr">
        <is>
          <t>Xét nghiệm đường máu mao mạch tại giường (một lần)[Nội trú]</t>
        </is>
      </c>
      <c r="F37" s="108" t="n">
        <v>1</v>
      </c>
      <c r="G37" s="236" t="n">
        <v>35000</v>
      </c>
      <c r="H37" s="95">
        <f>G37*21.21%</f>
        <v/>
      </c>
      <c r="I37" s="37" t="n"/>
    </row>
    <row r="38" ht="15.75" customFormat="1" customHeight="1" s="21">
      <c r="A38" s="94" t="n">
        <v>33</v>
      </c>
      <c r="B38" s="105" t="inlineStr">
        <is>
          <t>2026/07/30 16:00</t>
        </is>
      </c>
      <c r="C38" s="105" t="inlineStr">
        <is>
          <t>NGUYỄN THỊ PHỤNG</t>
        </is>
      </c>
      <c r="D38" s="105" t="inlineStr">
        <is>
          <t>01/01/1956</t>
        </is>
      </c>
      <c r="E38" s="105" t="inlineStr">
        <is>
          <t>Xét nghiệm đường máu mao mạch tại giường (một lần)[Nội trú]</t>
        </is>
      </c>
      <c r="F38" s="108" t="n">
        <v>1</v>
      </c>
      <c r="G38" s="236" t="n">
        <v>16000</v>
      </c>
      <c r="H38" s="95">
        <f>G38*21.21%</f>
        <v/>
      </c>
      <c r="I38" s="37" t="n"/>
    </row>
    <row r="39" ht="15.75" customFormat="1" customHeight="1" s="21">
      <c r="A39" s="94" t="n">
        <v>34</v>
      </c>
      <c r="B39" s="105" t="inlineStr">
        <is>
          <t>2026/07/30 16:00</t>
        </is>
      </c>
      <c r="C39" s="105" t="inlineStr">
        <is>
          <t>NGUYỄN THỊ THANH HÒA</t>
        </is>
      </c>
      <c r="D39" s="105" t="inlineStr">
        <is>
          <t>19/03/1973</t>
        </is>
      </c>
      <c r="E39" s="105" t="inlineStr">
        <is>
          <t>Xét nghiệm đường máu mao mạch tại giường (một lần)[Nội trú]</t>
        </is>
      </c>
      <c r="F39" s="108" t="n">
        <v>1</v>
      </c>
      <c r="G39" s="236" t="n">
        <v>35000</v>
      </c>
      <c r="H39" s="95">
        <f>G39*21.21%</f>
        <v/>
      </c>
      <c r="I39" s="37" t="n"/>
    </row>
    <row r="40" ht="15.75" customFormat="1" customHeight="1" s="21">
      <c r="A40" s="94" t="n">
        <v>35</v>
      </c>
      <c r="B40" s="105" t="inlineStr">
        <is>
          <t>2026/07/30 16:00</t>
        </is>
      </c>
      <c r="C40" s="105" t="inlineStr">
        <is>
          <t>PHẠM THỊ NGỌC ÁNH</t>
        </is>
      </c>
      <c r="D40" s="105" t="inlineStr">
        <is>
          <t>01/01/1957</t>
        </is>
      </c>
      <c r="E40" s="105" t="inlineStr">
        <is>
          <t>Xét nghiệm đường máu mao mạch tại giường (một lần)[Nội trú]</t>
        </is>
      </c>
      <c r="F40" s="108" t="n">
        <v>1</v>
      </c>
      <c r="G40" s="236" t="n">
        <v>35000</v>
      </c>
      <c r="H40" s="95">
        <f>G40*21.21%</f>
        <v/>
      </c>
      <c r="I40" s="37" t="n"/>
    </row>
    <row r="41" ht="15.75" customFormat="1" customHeight="1" s="21">
      <c r="A41" s="94" t="n">
        <v>36</v>
      </c>
      <c r="B41" s="105" t="inlineStr">
        <is>
          <t>2026/07/31 05:00</t>
        </is>
      </c>
      <c r="C41" s="105" t="inlineStr">
        <is>
          <t>LÂM PHI DŨNG</t>
        </is>
      </c>
      <c r="D41" s="105" t="inlineStr">
        <is>
          <t>12/12/1965</t>
        </is>
      </c>
      <c r="E41" s="105" t="inlineStr">
        <is>
          <t>Xét nghiệm đường máu mao mạch tại giường (một lần)[Nội trú]</t>
        </is>
      </c>
      <c r="F41" s="108" t="n">
        <v>1</v>
      </c>
      <c r="G41" s="236" t="n">
        <v>35000</v>
      </c>
      <c r="H41" s="95">
        <f>G41*21.21%</f>
        <v/>
      </c>
      <c r="I41" s="37" t="n"/>
    </row>
    <row r="42" ht="15.75" customFormat="1" customHeight="1" s="21">
      <c r="A42" s="94" t="n">
        <v>37</v>
      </c>
      <c r="B42" s="105" t="inlineStr">
        <is>
          <t>2026/07/31 05:00</t>
        </is>
      </c>
      <c r="C42" s="105" t="inlineStr">
        <is>
          <t>NGUYỄN THỊ NĂM</t>
        </is>
      </c>
      <c r="D42" s="105" t="inlineStr">
        <is>
          <t>01/01/1939</t>
        </is>
      </c>
      <c r="E42" s="105" t="inlineStr">
        <is>
          <t>Xét nghiệm đường máu mao mạch tại giường (một lần)[Nội trú]</t>
        </is>
      </c>
      <c r="F42" s="108" t="n">
        <v>1</v>
      </c>
      <c r="G42" s="236" t="n">
        <v>35000</v>
      </c>
      <c r="H42" s="95">
        <f>G42*21.21%</f>
        <v/>
      </c>
      <c r="I42" s="37" t="n"/>
    </row>
    <row r="43" ht="15.75" customFormat="1" customHeight="1" s="21">
      <c r="A43" s="94" t="n">
        <v>38</v>
      </c>
      <c r="B43" s="105" t="inlineStr">
        <is>
          <t>2026/07/31 05:00</t>
        </is>
      </c>
      <c r="C43" s="105" t="inlineStr">
        <is>
          <t>NGUYỄN THỊ PHỤNG</t>
        </is>
      </c>
      <c r="D43" s="105" t="inlineStr">
        <is>
          <t>01/01/1956</t>
        </is>
      </c>
      <c r="E43" s="105" t="inlineStr">
        <is>
          <t>Xét nghiệm đường máu mao mạch tại giường (một lần)[Nội trú]</t>
        </is>
      </c>
      <c r="F43" s="108" t="n">
        <v>1</v>
      </c>
      <c r="G43" s="236" t="n">
        <v>16000</v>
      </c>
      <c r="H43" s="95">
        <f>G43*21.21%</f>
        <v/>
      </c>
      <c r="I43" s="37" t="n"/>
    </row>
    <row r="44" ht="15.75" customFormat="1" customHeight="1" s="21">
      <c r="A44" s="94" t="n">
        <v>39</v>
      </c>
      <c r="B44" s="105" t="inlineStr">
        <is>
          <t>2026/07/31 05:00</t>
        </is>
      </c>
      <c r="C44" s="105" t="inlineStr">
        <is>
          <t>PHẠM THỊ NGỌC ÁNH</t>
        </is>
      </c>
      <c r="D44" s="105" t="inlineStr">
        <is>
          <t>01/01/1957</t>
        </is>
      </c>
      <c r="E44" s="105" t="inlineStr">
        <is>
          <t>Xét nghiệm đường máu mao mạch tại giường (một lần)[Nội trú]</t>
        </is>
      </c>
      <c r="F44" s="108" t="n">
        <v>1</v>
      </c>
      <c r="G44" s="236" t="n">
        <v>35000</v>
      </c>
      <c r="H44" s="95">
        <f>G44*21.21%</f>
        <v/>
      </c>
      <c r="I44" s="37" t="n"/>
    </row>
    <row r="45" ht="15.75" customFormat="1" customHeight="1" s="21">
      <c r="A45" s="94" t="n">
        <v>40</v>
      </c>
      <c r="B45" s="105" t="inlineStr">
        <is>
          <t>2026/08/02 16:00</t>
        </is>
      </c>
      <c r="C45" s="105" t="inlineStr">
        <is>
          <t>VÕ THỊ XIÊNG</t>
        </is>
      </c>
      <c r="D45" s="105" t="inlineStr">
        <is>
          <t>01/01/1971</t>
        </is>
      </c>
      <c r="E45" s="105" t="inlineStr">
        <is>
          <t>Xét nghiệm đường máu mao mạch tại giường (một lần)[Nội trú]</t>
        </is>
      </c>
      <c r="F45" s="108" t="n">
        <v>1</v>
      </c>
      <c r="G45" s="236" t="n">
        <v>35000</v>
      </c>
      <c r="H45" s="95">
        <f>G45*21.21%</f>
        <v/>
      </c>
      <c r="I45" s="37" t="n"/>
    </row>
    <row r="46" ht="15.75" customFormat="1" customHeight="1" s="21">
      <c r="A46" s="94" t="n">
        <v>41</v>
      </c>
      <c r="B46" s="105" t="inlineStr">
        <is>
          <t>2026/08/03 05:00</t>
        </is>
      </c>
      <c r="C46" s="105" t="inlineStr">
        <is>
          <t>VÕ THỊ XIÊNG</t>
        </is>
      </c>
      <c r="D46" s="105" t="inlineStr">
        <is>
          <t>01/01/1971</t>
        </is>
      </c>
      <c r="E46" s="105" t="inlineStr">
        <is>
          <t>Xét nghiệm đường máu mao mạch tại giường (một lần)[Nội trú]</t>
        </is>
      </c>
      <c r="F46" s="108" t="n">
        <v>1</v>
      </c>
      <c r="G46" s="236" t="n">
        <v>35000</v>
      </c>
      <c r="H46" s="95">
        <f>G46*21.21%</f>
        <v/>
      </c>
      <c r="I46" s="37" t="n"/>
    </row>
    <row r="47" ht="15.75" customFormat="1" customHeight="1" s="21">
      <c r="A47" s="94" t="n">
        <v>42</v>
      </c>
      <c r="B47" s="105" t="inlineStr">
        <is>
          <t>2026/08/04 05:00</t>
        </is>
      </c>
      <c r="C47" s="105" t="inlineStr">
        <is>
          <t>NGUYỄN THỊ NĂM</t>
        </is>
      </c>
      <c r="D47" s="105" t="inlineStr">
        <is>
          <t>30/04/1955</t>
        </is>
      </c>
      <c r="E47" s="105" t="inlineStr">
        <is>
          <t>Xét nghiệm đường máu mao mạch tại giường (một lần)[Nội trú]</t>
        </is>
      </c>
      <c r="F47" s="108" t="n">
        <v>1</v>
      </c>
      <c r="G47" s="236" t="n">
        <v>35000</v>
      </c>
      <c r="H47" s="95">
        <f>G47*21.21%</f>
        <v/>
      </c>
      <c r="I47" s="37" t="n"/>
    </row>
    <row r="48" ht="15.75" customFormat="1" customHeight="1" s="21">
      <c r="A48" s="94" t="n">
        <v>43</v>
      </c>
      <c r="B48" s="105" t="inlineStr">
        <is>
          <t>2026/08/04 05:00</t>
        </is>
      </c>
      <c r="C48" s="105" t="inlineStr">
        <is>
          <t>NGUYỄN THỊ TIÊN</t>
        </is>
      </c>
      <c r="D48" s="105" t="inlineStr">
        <is>
          <t>16/10/1961</t>
        </is>
      </c>
      <c r="E48" s="105" t="inlineStr">
        <is>
          <t>Xét nghiệm đường máu mao mạch tại giường (một lần)[Nội trú]</t>
        </is>
      </c>
      <c r="F48" s="108" t="n">
        <v>1</v>
      </c>
      <c r="G48" s="236" t="n">
        <v>35000</v>
      </c>
      <c r="H48" s="95">
        <f>G48*21.21%</f>
        <v/>
      </c>
      <c r="I48" s="37" t="n"/>
    </row>
    <row r="49" ht="15.75" customFormat="1" customHeight="1" s="21">
      <c r="A49" s="94" t="n">
        <v>44</v>
      </c>
      <c r="B49" s="105" t="inlineStr">
        <is>
          <t>2026/08/04 05:00</t>
        </is>
      </c>
      <c r="C49" s="105" t="inlineStr">
        <is>
          <t>TRẦN THỊ ƠN</t>
        </is>
      </c>
      <c r="D49" s="105" t="inlineStr">
        <is>
          <t>01/01/1957</t>
        </is>
      </c>
      <c r="E49" s="105" t="inlineStr">
        <is>
          <t>Xét nghiệm đường máu mao mạch tại giường (một lần)[Nội trú]</t>
        </is>
      </c>
      <c r="F49" s="108" t="n">
        <v>1</v>
      </c>
      <c r="G49" s="236" t="n">
        <v>35000</v>
      </c>
      <c r="H49" s="95">
        <f>G49*21.21%</f>
        <v/>
      </c>
      <c r="I49" s="37" t="n"/>
    </row>
    <row r="50" ht="15.75" customFormat="1" customHeight="1" s="21">
      <c r="A50" s="94" t="n">
        <v>45</v>
      </c>
      <c r="B50" s="105" t="inlineStr">
        <is>
          <t>2026/08/04 05:00</t>
        </is>
      </c>
      <c r="C50" s="105" t="inlineStr">
        <is>
          <t>VÕ THỊ XIÊNG</t>
        </is>
      </c>
      <c r="D50" s="105" t="inlineStr">
        <is>
          <t>01/01/1971</t>
        </is>
      </c>
      <c r="E50" s="105" t="inlineStr">
        <is>
          <t>Xét nghiệm đường máu mao mạch tại giường (một lần)[Nội trú]</t>
        </is>
      </c>
      <c r="F50" s="108" t="n">
        <v>1</v>
      </c>
      <c r="G50" s="236" t="n">
        <v>35000</v>
      </c>
      <c r="H50" s="95">
        <f>G50*21.21%</f>
        <v/>
      </c>
      <c r="I50" s="37" t="n"/>
    </row>
    <row r="51" ht="15.75" customFormat="1" customHeight="1" s="21">
      <c r="A51" s="94" t="n">
        <v>46</v>
      </c>
      <c r="B51" s="105" t="inlineStr">
        <is>
          <t>2026/08/04 15:30</t>
        </is>
      </c>
      <c r="C51" s="105" t="inlineStr">
        <is>
          <t>PHẠM THỊ NGỌC ÁNH</t>
        </is>
      </c>
      <c r="D51" s="105" t="inlineStr">
        <is>
          <t>01/01/1957</t>
        </is>
      </c>
      <c r="E51" s="105" t="inlineStr">
        <is>
          <t>Xét nghiệm đường máu mao mạch tại giường (một lần)[Nội trú]</t>
        </is>
      </c>
      <c r="F51" s="108" t="n">
        <v>1</v>
      </c>
      <c r="G51" s="236" t="n">
        <v>35000</v>
      </c>
      <c r="H51" s="95">
        <f>G51*21.21%</f>
        <v/>
      </c>
      <c r="I51" s="37" t="n"/>
    </row>
    <row r="52" ht="15.75" customFormat="1" customHeight="1" s="21">
      <c r="A52" s="94" t="n">
        <v>47</v>
      </c>
      <c r="B52" s="105" t="inlineStr">
        <is>
          <t>2026/08/04 16:00</t>
        </is>
      </c>
      <c r="C52" s="105" t="inlineStr">
        <is>
          <t>NGUYỄN THỊ NĂM</t>
        </is>
      </c>
      <c r="D52" s="105" t="inlineStr">
        <is>
          <t>30/04/1955</t>
        </is>
      </c>
      <c r="E52" s="105" t="inlineStr">
        <is>
          <t>Xét nghiệm đường máu mao mạch tại giường (một lần)[Nội trú]</t>
        </is>
      </c>
      <c r="F52" s="108" t="n">
        <v>1</v>
      </c>
      <c r="G52" s="236" t="n">
        <v>35000</v>
      </c>
      <c r="H52" s="95">
        <f>G52*21.21%</f>
        <v/>
      </c>
      <c r="I52" s="37" t="n"/>
    </row>
    <row r="53" ht="15.75" customFormat="1" customHeight="1" s="21">
      <c r="A53" s="94" t="n">
        <v>48</v>
      </c>
      <c r="B53" s="105" t="inlineStr">
        <is>
          <t>2026/08/04 16:00</t>
        </is>
      </c>
      <c r="C53" s="105" t="inlineStr">
        <is>
          <t>TRẦN THỊ ƠN</t>
        </is>
      </c>
      <c r="D53" s="105" t="inlineStr">
        <is>
          <t>01/01/1957</t>
        </is>
      </c>
      <c r="E53" s="105" t="inlineStr">
        <is>
          <t>Xét nghiệm đường máu mao mạch tại giường (một lần)[Nội trú]</t>
        </is>
      </c>
      <c r="F53" s="108" t="n">
        <v>1</v>
      </c>
      <c r="G53" s="236" t="n">
        <v>35000</v>
      </c>
      <c r="H53" s="95">
        <f>G53*21.21%</f>
        <v/>
      </c>
      <c r="I53" s="37" t="n"/>
    </row>
    <row r="54" ht="15.75" customFormat="1" customHeight="1" s="21">
      <c r="A54" s="94" t="n">
        <v>49</v>
      </c>
      <c r="B54" s="105" t="inlineStr">
        <is>
          <t>2026/08/05 05:00</t>
        </is>
      </c>
      <c r="C54" s="105" t="inlineStr">
        <is>
          <t>DƯƠNG HOÀNG TRUNG</t>
        </is>
      </c>
      <c r="D54" s="105" t="inlineStr">
        <is>
          <t>20/09/1983</t>
        </is>
      </c>
      <c r="E54" s="105" t="inlineStr">
        <is>
          <t>Xét nghiệm đường máu mao mạch tại giường (một lần)[Nội trú]</t>
        </is>
      </c>
      <c r="F54" s="108" t="n">
        <v>1</v>
      </c>
      <c r="G54" s="236" t="n">
        <v>35000</v>
      </c>
      <c r="H54" s="95">
        <f>G54*21.21%</f>
        <v/>
      </c>
      <c r="I54" s="37" t="n"/>
    </row>
    <row r="55" ht="15.75" customFormat="1" customHeight="1" s="21">
      <c r="A55" s="94" t="n">
        <v>50</v>
      </c>
      <c r="B55" s="105" t="inlineStr">
        <is>
          <t>2026/08/05 05:00</t>
        </is>
      </c>
      <c r="C55" s="105" t="inlineStr">
        <is>
          <t>NGUYỄN THỊ NĂM</t>
        </is>
      </c>
      <c r="D55" s="105" t="inlineStr">
        <is>
          <t>30/04/1955</t>
        </is>
      </c>
      <c r="E55" s="105" t="inlineStr">
        <is>
          <t>Xét nghiệm đường máu mao mạch tại giường (một lần)[Nội trú]</t>
        </is>
      </c>
      <c r="F55" s="108" t="n">
        <v>1</v>
      </c>
      <c r="G55" s="236" t="n">
        <v>16000</v>
      </c>
      <c r="H55" s="95">
        <f>G55*21.21%</f>
        <v/>
      </c>
      <c r="I55" s="37" t="n"/>
    </row>
    <row r="56" ht="15.75" customFormat="1" customHeight="1" s="21">
      <c r="A56" s="94" t="n">
        <v>51</v>
      </c>
      <c r="B56" s="105" t="inlineStr">
        <is>
          <t>2026/08/05 05:00</t>
        </is>
      </c>
      <c r="C56" s="105" t="inlineStr">
        <is>
          <t>NGUYỄN THỊ XUÂN LAN</t>
        </is>
      </c>
      <c r="D56" s="105" t="inlineStr">
        <is>
          <t>30/12/1956</t>
        </is>
      </c>
      <c r="E56" s="105" t="inlineStr">
        <is>
          <t>Xét nghiệm đường máu mao mạch tại giường (một lần)[Nội trú]</t>
        </is>
      </c>
      <c r="F56" s="108" t="n">
        <v>1</v>
      </c>
      <c r="G56" s="236" t="n">
        <v>35000</v>
      </c>
      <c r="H56" s="95">
        <f>G56*21.21%</f>
        <v/>
      </c>
      <c r="I56" s="37" t="n"/>
    </row>
    <row r="57" ht="15.75" customFormat="1" customHeight="1" s="21">
      <c r="A57" s="94" t="n">
        <v>52</v>
      </c>
      <c r="B57" s="105" t="inlineStr">
        <is>
          <t>2026/08/05 05:00</t>
        </is>
      </c>
      <c r="C57" s="105" t="inlineStr">
        <is>
          <t>TRẦN THỊ ƠN</t>
        </is>
      </c>
      <c r="D57" s="105" t="inlineStr">
        <is>
          <t>01/01/1957</t>
        </is>
      </c>
      <c r="E57" s="105" t="inlineStr">
        <is>
          <t>Xét nghiệm đường máu mao mạch tại giường (một lần)[Nội trú]</t>
        </is>
      </c>
      <c r="F57" s="108" t="n">
        <v>1</v>
      </c>
      <c r="G57" s="236" t="n">
        <v>35000</v>
      </c>
      <c r="H57" s="95">
        <f>G57*21.21%</f>
        <v/>
      </c>
      <c r="I57" s="37" t="n"/>
    </row>
    <row r="58" ht="15.75" customFormat="1" customHeight="1" s="21">
      <c r="A58" s="94" t="n">
        <v>53</v>
      </c>
      <c r="B58" s="105" t="inlineStr">
        <is>
          <t>2026/08/05 16:00</t>
        </is>
      </c>
      <c r="C58" s="105" t="inlineStr">
        <is>
          <t>DƯƠNG HOÀNG TRUNG</t>
        </is>
      </c>
      <c r="D58" s="105" t="inlineStr">
        <is>
          <t>20/09/1983</t>
        </is>
      </c>
      <c r="E58" s="105" t="inlineStr">
        <is>
          <t>Xét nghiệm đường máu mao mạch tại giường (một lần)[Nội trú]</t>
        </is>
      </c>
      <c r="F58" s="108" t="n">
        <v>1</v>
      </c>
      <c r="G58" s="236" t="n">
        <v>35000</v>
      </c>
      <c r="H58" s="95">
        <f>G58*21.21%</f>
        <v/>
      </c>
      <c r="I58" s="37" t="n"/>
    </row>
    <row r="59" ht="15.75" customFormat="1" customHeight="1" s="21">
      <c r="A59" s="94" t="n">
        <v>54</v>
      </c>
      <c r="B59" s="105" t="inlineStr">
        <is>
          <t>2026/08/05 16:00</t>
        </is>
      </c>
      <c r="C59" s="105" t="inlineStr">
        <is>
          <t>NGUYỄN THỊ NĂM</t>
        </is>
      </c>
      <c r="D59" s="105" t="inlineStr">
        <is>
          <t>30/04/1955</t>
        </is>
      </c>
      <c r="E59" s="105" t="inlineStr">
        <is>
          <t>Xét nghiệm đường máu mao mạch tại giường (một lần)[Nội trú]</t>
        </is>
      </c>
      <c r="F59" s="108" t="n">
        <v>1</v>
      </c>
      <c r="G59" s="236" t="n">
        <v>35000</v>
      </c>
      <c r="H59" s="95">
        <f>G59*21.21%</f>
        <v/>
      </c>
      <c r="I59" s="37" t="n"/>
    </row>
    <row r="60" ht="15.75" customFormat="1" customHeight="1" s="21">
      <c r="A60" s="94" t="n">
        <v>55</v>
      </c>
      <c r="B60" s="105" t="inlineStr">
        <is>
          <t>2026/08/05 16:00</t>
        </is>
      </c>
      <c r="C60" s="105" t="inlineStr">
        <is>
          <t>NGUYỄN THỊ XUÂN LAN</t>
        </is>
      </c>
      <c r="D60" s="105" t="inlineStr">
        <is>
          <t>30/12/1956</t>
        </is>
      </c>
      <c r="E60" s="105" t="inlineStr">
        <is>
          <t>Xét nghiệm đường máu mao mạch tại giường (một lần)[Nội trú]</t>
        </is>
      </c>
      <c r="F60" s="108" t="n">
        <v>1</v>
      </c>
      <c r="G60" s="236" t="n">
        <v>35000</v>
      </c>
      <c r="H60" s="95">
        <f>G60*21.21%</f>
        <v/>
      </c>
      <c r="I60" s="37" t="n"/>
    </row>
    <row r="61" ht="15.75" customFormat="1" customHeight="1" s="21">
      <c r="A61" s="94" t="n">
        <v>56</v>
      </c>
      <c r="B61" s="105" t="inlineStr">
        <is>
          <t>2026/08/05 16:00</t>
        </is>
      </c>
      <c r="C61" s="105" t="inlineStr">
        <is>
          <t>TRẦN THỊ ƠN</t>
        </is>
      </c>
      <c r="D61" s="105" t="inlineStr">
        <is>
          <t>01/01/1957</t>
        </is>
      </c>
      <c r="E61" s="105" t="inlineStr">
        <is>
          <t>Xét nghiệm đường máu mao mạch tại giường (một lần)[Nội trú]</t>
        </is>
      </c>
      <c r="F61" s="108" t="n">
        <v>1</v>
      </c>
      <c r="G61" s="236" t="n">
        <v>35000</v>
      </c>
      <c r="H61" s="95">
        <f>G61*21.21%</f>
        <v/>
      </c>
      <c r="I61" s="37" t="n"/>
    </row>
    <row r="62" ht="15.75" customFormat="1" customHeight="1" s="21">
      <c r="A62" s="94" t="n">
        <v>57</v>
      </c>
      <c r="B62" s="105" t="inlineStr">
        <is>
          <t>2026/08/06 05:00</t>
        </is>
      </c>
      <c r="C62" s="105" t="inlineStr">
        <is>
          <t>DƯƠNG HOÀNG TRUNG</t>
        </is>
      </c>
      <c r="D62" s="105" t="inlineStr">
        <is>
          <t>20/09/1983</t>
        </is>
      </c>
      <c r="E62" s="105" t="inlineStr">
        <is>
          <t>Xét nghiệm đường máu mao mạch tại giường (một lần)[Nội trú]</t>
        </is>
      </c>
      <c r="F62" s="108" t="n">
        <v>1</v>
      </c>
      <c r="G62" s="236" t="n">
        <v>35000</v>
      </c>
      <c r="H62" s="95">
        <f>G62*21.21%</f>
        <v/>
      </c>
      <c r="I62" s="37" t="n"/>
    </row>
    <row r="63" ht="15.75" customFormat="1" customHeight="1" s="21">
      <c r="A63" s="94" t="n">
        <v>58</v>
      </c>
      <c r="B63" s="105" t="inlineStr">
        <is>
          <t>2026/08/06 05:00</t>
        </is>
      </c>
      <c r="C63" s="105" t="inlineStr">
        <is>
          <t>DƯƠNG HOÀNG TRUNG</t>
        </is>
      </c>
      <c r="D63" s="105" t="inlineStr">
        <is>
          <t>20/09/1983</t>
        </is>
      </c>
      <c r="E63" s="105" t="inlineStr">
        <is>
          <t>Xét nghiệm đường máu mao mạch tại giường (một lần)[Nội trú]</t>
        </is>
      </c>
      <c r="F63" s="108" t="n">
        <v>1</v>
      </c>
      <c r="G63" s="236" t="n">
        <v>35000</v>
      </c>
      <c r="H63" s="95">
        <f>G63*21.21%</f>
        <v/>
      </c>
      <c r="I63" s="37" t="n"/>
    </row>
    <row r="64" ht="15.75" customFormat="1" customHeight="1" s="21">
      <c r="A64" s="94" t="n">
        <v>59</v>
      </c>
      <c r="B64" s="105" t="inlineStr">
        <is>
          <t>2026/08/06 05:00</t>
        </is>
      </c>
      <c r="C64" s="105" t="inlineStr">
        <is>
          <t>NGUYỄN THỊ XUÂN LAN</t>
        </is>
      </c>
      <c r="D64" s="105" t="inlineStr">
        <is>
          <t>30/12/1956</t>
        </is>
      </c>
      <c r="E64" s="105" t="inlineStr">
        <is>
          <t>Xét nghiệm đường máu mao mạch tại giường (một lần)[Nội trú]</t>
        </is>
      </c>
      <c r="F64" s="108" t="n">
        <v>1</v>
      </c>
      <c r="G64" s="236" t="n">
        <v>35000</v>
      </c>
      <c r="H64" s="95">
        <f>G64*21.21%</f>
        <v/>
      </c>
      <c r="I64" s="37" t="n"/>
    </row>
    <row r="65" ht="15.75" customFormat="1" customHeight="1" s="21">
      <c r="A65" s="94" t="n">
        <v>60</v>
      </c>
      <c r="B65" s="105" t="inlineStr">
        <is>
          <t>2026/08/06 05:00</t>
        </is>
      </c>
      <c r="C65" s="105" t="inlineStr">
        <is>
          <t>TRẦN THỊ ƠN</t>
        </is>
      </c>
      <c r="D65" s="105" t="inlineStr">
        <is>
          <t>01/01/1957</t>
        </is>
      </c>
      <c r="E65" s="105" t="inlineStr">
        <is>
          <t>Xét nghiệm đường máu mao mạch tại giường (một lần)[Nội trú]</t>
        </is>
      </c>
      <c r="F65" s="108" t="n">
        <v>1</v>
      </c>
      <c r="G65" s="236" t="n">
        <v>35000</v>
      </c>
      <c r="H65" s="95">
        <f>G65*21.21%</f>
        <v/>
      </c>
      <c r="I65" s="37" t="n"/>
    </row>
    <row r="66" ht="15.75" customFormat="1" customHeight="1" s="21">
      <c r="A66" s="94" t="n">
        <v>61</v>
      </c>
      <c r="B66" s="105" t="inlineStr">
        <is>
          <t>2026/08/06 16:00</t>
        </is>
      </c>
      <c r="C66" s="105" t="inlineStr">
        <is>
          <t>DƯƠNG HOÀNG TRUNG</t>
        </is>
      </c>
      <c r="D66" s="105" t="inlineStr">
        <is>
          <t>20/09/1983</t>
        </is>
      </c>
      <c r="E66" s="105" t="inlineStr">
        <is>
          <t>Xét nghiệm đường máu mao mạch tại giường (một lần)[Nội trú]</t>
        </is>
      </c>
      <c r="F66" s="108" t="n">
        <v>1</v>
      </c>
      <c r="G66" s="236" t="n">
        <v>35000</v>
      </c>
      <c r="H66" s="95">
        <f>G66*21.21%</f>
        <v/>
      </c>
      <c r="I66" s="37" t="n"/>
    </row>
    <row r="67" ht="15.75" customFormat="1" customHeight="1" s="21">
      <c r="A67" s="94" t="n">
        <v>62</v>
      </c>
      <c r="B67" s="105" t="inlineStr">
        <is>
          <t>2026/08/06 16:00</t>
        </is>
      </c>
      <c r="C67" s="105" t="inlineStr">
        <is>
          <t>ĐOÀN THỊ NGUYÊN</t>
        </is>
      </c>
      <c r="D67" s="105" t="inlineStr">
        <is>
          <t>01/01/1936</t>
        </is>
      </c>
      <c r="E67" s="105" t="inlineStr">
        <is>
          <t>Xét nghiệm đường máu mao mạch tại giường (một lần)[Nội trú]</t>
        </is>
      </c>
      <c r="F67" s="108" t="n">
        <v>1</v>
      </c>
      <c r="G67" s="236" t="n">
        <v>35000</v>
      </c>
      <c r="H67" s="95">
        <f>G67*21.21%</f>
        <v/>
      </c>
      <c r="I67" s="37" t="n"/>
    </row>
    <row r="68" ht="15.75" customFormat="1" customHeight="1" s="21">
      <c r="A68" s="94" t="n">
        <v>63</v>
      </c>
      <c r="B68" s="105" t="inlineStr">
        <is>
          <t>2026/08/07 05:00</t>
        </is>
      </c>
      <c r="C68" s="105" t="inlineStr">
        <is>
          <t>DƯƠNG HOÀNG TRUNG</t>
        </is>
      </c>
      <c r="D68" s="105" t="inlineStr">
        <is>
          <t>20/09/1983</t>
        </is>
      </c>
      <c r="E68" s="105" t="inlineStr">
        <is>
          <t>Xét nghiệm đường máu mao mạch tại giường (một lần)[Nội trú]</t>
        </is>
      </c>
      <c r="F68" s="108" t="n">
        <v>1</v>
      </c>
      <c r="G68" s="236" t="n">
        <v>35000</v>
      </c>
      <c r="H68" s="95">
        <f>G68*21.21%</f>
        <v/>
      </c>
      <c r="I68" s="37" t="n"/>
    </row>
    <row r="69" ht="15.75" customFormat="1" customHeight="1" s="21">
      <c r="A69" s="94" t="n">
        <v>64</v>
      </c>
      <c r="B69" s="105" t="inlineStr">
        <is>
          <t>2026/08/07 05:00</t>
        </is>
      </c>
      <c r="C69" s="105" t="inlineStr">
        <is>
          <t>NGUYỄN THỊ XUÂN LAN</t>
        </is>
      </c>
      <c r="D69" s="105" t="inlineStr">
        <is>
          <t>30/12/1956</t>
        </is>
      </c>
      <c r="E69" s="105" t="inlineStr">
        <is>
          <t>Xét nghiệm đường máu mao mạch tại giường (một lần)[Nội trú]</t>
        </is>
      </c>
      <c r="F69" s="108" t="n">
        <v>1</v>
      </c>
      <c r="G69" s="236" t="n">
        <v>35000</v>
      </c>
      <c r="H69" s="95">
        <f>G69*21.21%</f>
        <v/>
      </c>
      <c r="I69" s="37" t="n"/>
    </row>
    <row r="70" ht="15.75" customFormat="1" customHeight="1" s="21">
      <c r="A70" s="94" t="n">
        <v>65</v>
      </c>
      <c r="B70" s="105" t="inlineStr">
        <is>
          <t>2026/08/07 16:00</t>
        </is>
      </c>
      <c r="C70" s="105" t="inlineStr">
        <is>
          <t>PHẠM THỊ BẨN</t>
        </is>
      </c>
      <c r="D70" s="105" t="inlineStr">
        <is>
          <t>17/12/1965</t>
        </is>
      </c>
      <c r="E70" s="105" t="inlineStr">
        <is>
          <t>Xét nghiệm đường máu mao mạch tại giường (một lần)[Nội trú]</t>
        </is>
      </c>
      <c r="F70" s="108" t="n">
        <v>1</v>
      </c>
      <c r="G70" s="236" t="n">
        <v>35000</v>
      </c>
      <c r="H70" s="95">
        <f>G70*21.21%</f>
        <v/>
      </c>
      <c r="I70" s="37" t="n"/>
    </row>
    <row r="71" ht="15.75" customFormat="1" customHeight="1" s="21">
      <c r="A71" s="94" t="n">
        <v>66</v>
      </c>
      <c r="B71" s="105" t="inlineStr">
        <is>
          <t>2026/08/08 05:00</t>
        </is>
      </c>
      <c r="C71" s="105" t="inlineStr">
        <is>
          <t>LÊ THỊ DIỆU HIỀN</t>
        </is>
      </c>
      <c r="D71" s="105" t="inlineStr">
        <is>
          <t>13/05/1961</t>
        </is>
      </c>
      <c r="E71" s="105" t="inlineStr">
        <is>
          <t>Xét nghiệm đường máu mao mạch tại giường (một lần)[Nội trú]</t>
        </is>
      </c>
      <c r="F71" s="108" t="n">
        <v>1</v>
      </c>
      <c r="G71" s="236" t="n">
        <v>35000</v>
      </c>
      <c r="H71" s="95">
        <f>G71*21.21%</f>
        <v/>
      </c>
      <c r="I71" s="37" t="n"/>
    </row>
    <row r="72" ht="15.75" customFormat="1" customHeight="1" s="21">
      <c r="A72" s="94" t="n">
        <v>67</v>
      </c>
      <c r="B72" s="105" t="inlineStr">
        <is>
          <t>2026/08/08 05:00</t>
        </is>
      </c>
      <c r="C72" s="105" t="inlineStr">
        <is>
          <t>NGUYỄN THỊ XUÂN LAN</t>
        </is>
      </c>
      <c r="D72" s="105" t="inlineStr">
        <is>
          <t>30/12/1956</t>
        </is>
      </c>
      <c r="E72" s="105" t="inlineStr">
        <is>
          <t>Xét nghiệm đường máu mao mạch tại giường (một lần)[Nội trú]</t>
        </is>
      </c>
      <c r="F72" s="108" t="n">
        <v>1</v>
      </c>
      <c r="G72" s="236" t="n">
        <v>16000</v>
      </c>
      <c r="H72" s="95">
        <f>G72*21.21%</f>
        <v/>
      </c>
      <c r="I72" s="37" t="n"/>
    </row>
    <row r="73" ht="15.75" customFormat="1" customHeight="1" s="21">
      <c r="A73" s="94" t="n">
        <v>68</v>
      </c>
      <c r="B73" s="105" t="inlineStr">
        <is>
          <t>2026/08/08 05:00</t>
        </is>
      </c>
      <c r="C73" s="105" t="inlineStr">
        <is>
          <t>TRƯƠNG TRUNG TRỰC</t>
        </is>
      </c>
      <c r="D73" s="105" t="inlineStr">
        <is>
          <t>01/09/1942</t>
        </is>
      </c>
      <c r="E73" s="105" t="inlineStr">
        <is>
          <t>Xét nghiệm đường máu mao mạch tại giường (một lần)[Nội trú]</t>
        </is>
      </c>
      <c r="F73" s="108" t="n">
        <v>1</v>
      </c>
      <c r="G73" s="236" t="n">
        <v>35000</v>
      </c>
      <c r="H73" s="95">
        <f>G73*21.21%</f>
        <v/>
      </c>
      <c r="I73" s="37" t="n"/>
    </row>
    <row r="74" ht="15.75" customFormat="1" customHeight="1" s="21">
      <c r="A74" s="94" t="n">
        <v>69</v>
      </c>
      <c r="B74" s="105" t="inlineStr">
        <is>
          <t>2026/08/09 16:00</t>
        </is>
      </c>
      <c r="C74" s="105" t="inlineStr">
        <is>
          <t>TRƯƠNG TRUNG TRỰC</t>
        </is>
      </c>
      <c r="D74" s="105" t="inlineStr">
        <is>
          <t>01/09/1942</t>
        </is>
      </c>
      <c r="E74" s="105" t="inlineStr">
        <is>
          <t>Xét nghiệm đường máu mao mạch tại giường (một lần)[Nội trú]</t>
        </is>
      </c>
      <c r="F74" s="108" t="n">
        <v>1</v>
      </c>
      <c r="G74" s="236" t="n">
        <v>35000</v>
      </c>
      <c r="H74" s="95">
        <f>G74*21.21%</f>
        <v/>
      </c>
      <c r="I74" s="37" t="n"/>
    </row>
    <row r="75" ht="15.75" customFormat="1" customHeight="1" s="21">
      <c r="A75" s="94" t="n">
        <v>70</v>
      </c>
      <c r="B75" s="105" t="inlineStr">
        <is>
          <t>2026/08/10 05:00</t>
        </is>
      </c>
      <c r="C75" s="105" t="inlineStr">
        <is>
          <t>TRƯƠNG TRUNG TRỰC</t>
        </is>
      </c>
      <c r="D75" s="105" t="inlineStr">
        <is>
          <t>01/09/1942</t>
        </is>
      </c>
      <c r="E75" s="105" t="inlineStr">
        <is>
          <t>Xét nghiệm đường máu mao mạch tại giường (một lần)[Nội trú]</t>
        </is>
      </c>
      <c r="F75" s="108" t="n">
        <v>1</v>
      </c>
      <c r="G75" s="236" t="n">
        <v>35000</v>
      </c>
      <c r="H75" s="95">
        <f>G75*21.21%</f>
        <v/>
      </c>
      <c r="I75" s="37" t="n"/>
    </row>
    <row r="76" ht="15.75" customFormat="1" customHeight="1" s="21">
      <c r="A76" s="94" t="n">
        <v>71</v>
      </c>
      <c r="B76" s="105" t="inlineStr">
        <is>
          <t>2026/08/10 16:00</t>
        </is>
      </c>
      <c r="C76" s="105" t="inlineStr">
        <is>
          <t>TRẦN THỊ KÍNH</t>
        </is>
      </c>
      <c r="D76" s="105" t="inlineStr">
        <is>
          <t>01/01/1951</t>
        </is>
      </c>
      <c r="E76" s="105" t="inlineStr">
        <is>
          <t>Xét nghiệm đường máu mao mạch tại giường (một lần)[Nội trú]</t>
        </is>
      </c>
      <c r="F76" s="108" t="n">
        <v>1</v>
      </c>
      <c r="G76" s="236" t="n">
        <v>35000</v>
      </c>
      <c r="H76" s="95">
        <f>G76*21.21%</f>
        <v/>
      </c>
      <c r="I76" s="37" t="n"/>
    </row>
    <row r="77" ht="15.75" customFormat="1" customHeight="1" s="21">
      <c r="A77" s="94" t="n">
        <v>72</v>
      </c>
      <c r="B77" s="105" t="inlineStr">
        <is>
          <t>2026/08/10 16:00</t>
        </is>
      </c>
      <c r="C77" s="105" t="inlineStr">
        <is>
          <t>TRƯƠNG TRUNG TRỰC</t>
        </is>
      </c>
      <c r="D77" s="105" t="inlineStr">
        <is>
          <t>01/09/1942</t>
        </is>
      </c>
      <c r="E77" s="105" t="inlineStr">
        <is>
          <t>Xét nghiệm đường máu mao mạch tại giường (một lần)[Nội trú]</t>
        </is>
      </c>
      <c r="F77" s="108" t="n">
        <v>1</v>
      </c>
      <c r="G77" s="236" t="n">
        <v>16000</v>
      </c>
      <c r="H77" s="95">
        <f>G77*21.21%</f>
        <v/>
      </c>
      <c r="I77" s="37" t="n"/>
    </row>
    <row r="78" ht="15.75" customFormat="1" customHeight="1" s="21">
      <c r="A78" s="94" t="n">
        <v>73</v>
      </c>
      <c r="B78" s="105" t="inlineStr">
        <is>
          <t>2026/08/10 23:30</t>
        </is>
      </c>
      <c r="C78" s="105" t="inlineStr">
        <is>
          <t>NGUYỄN THỊ PHƯỢNG</t>
        </is>
      </c>
      <c r="D78" s="105" t="inlineStr">
        <is>
          <t>01/01/1977</t>
        </is>
      </c>
      <c r="E78" s="105" t="inlineStr">
        <is>
          <t>Xét nghiệm đường máu mao mạch tại giường (một lần)[Nội trú]</t>
        </is>
      </c>
      <c r="F78" s="108" t="n">
        <v>1</v>
      </c>
      <c r="G78" s="236" t="n">
        <v>35000</v>
      </c>
      <c r="H78" s="95">
        <f>G78*21.21%</f>
        <v/>
      </c>
      <c r="I78" s="37" t="n"/>
    </row>
    <row r="79" ht="15.75" customFormat="1" customHeight="1" s="21">
      <c r="A79" s="94" t="n">
        <v>74</v>
      </c>
      <c r="B79" s="105" t="inlineStr">
        <is>
          <t>2026/08/11 05:00</t>
        </is>
      </c>
      <c r="C79" s="105" t="inlineStr">
        <is>
          <t>BÙI VĂN BẢY</t>
        </is>
      </c>
      <c r="D79" s="105" t="inlineStr">
        <is>
          <t>01/01/1963</t>
        </is>
      </c>
      <c r="E79" s="105" t="inlineStr">
        <is>
          <t>Xét nghiệm đường máu mao mạch tại giường (một lần)[Nội trú]</t>
        </is>
      </c>
      <c r="F79" s="108" t="n">
        <v>1</v>
      </c>
      <c r="G79" s="236" t="n">
        <v>35000</v>
      </c>
      <c r="H79" s="95">
        <f>G79*21.21%</f>
        <v/>
      </c>
      <c r="I79" s="37" t="n"/>
    </row>
    <row r="80" ht="15.75" customFormat="1" customHeight="1" s="21">
      <c r="A80" s="94" t="n">
        <v>75</v>
      </c>
      <c r="B80" s="105" t="inlineStr">
        <is>
          <t>2026/08/11 05:00</t>
        </is>
      </c>
      <c r="C80" s="105" t="inlineStr">
        <is>
          <t>LÊ THỊ DIỆU HIỀN</t>
        </is>
      </c>
      <c r="D80" s="105" t="inlineStr">
        <is>
          <t>13/05/1961</t>
        </is>
      </c>
      <c r="E80" s="105" t="inlineStr">
        <is>
          <t>Xét nghiệm đường máu mao mạch tại giường (một lần)[Nội trú]</t>
        </is>
      </c>
      <c r="F80" s="108" t="n">
        <v>1</v>
      </c>
      <c r="G80" s="236" t="n">
        <v>35000</v>
      </c>
      <c r="H80" s="95">
        <f>G80*21.21%</f>
        <v/>
      </c>
      <c r="I80" s="37" t="n"/>
    </row>
    <row r="81" ht="15.75" customFormat="1" customHeight="1" s="21">
      <c r="A81" s="94" t="n">
        <v>76</v>
      </c>
      <c r="B81" s="105" t="inlineStr">
        <is>
          <t>2026/08/11 05:00</t>
        </is>
      </c>
      <c r="C81" s="105" t="inlineStr">
        <is>
          <t>NGUYỄN THỊ HƯỞNG</t>
        </is>
      </c>
      <c r="D81" s="105" t="inlineStr">
        <is>
          <t>12/04/1971</t>
        </is>
      </c>
      <c r="E81" s="105" t="inlineStr">
        <is>
          <t>Xét nghiệm đường máu mao mạch tại giường (một lần)[Nội trú]</t>
        </is>
      </c>
      <c r="F81" s="108" t="n">
        <v>1</v>
      </c>
      <c r="G81" s="236" t="n">
        <v>35000</v>
      </c>
      <c r="H81" s="95">
        <f>G81*21.21%</f>
        <v/>
      </c>
      <c r="I81" s="37" t="n"/>
    </row>
    <row r="82" ht="15.75" customFormat="1" customHeight="1" s="21">
      <c r="A82" s="94" t="n">
        <v>77</v>
      </c>
      <c r="B82" s="105" t="inlineStr">
        <is>
          <t>2026/08/11 05:00</t>
        </is>
      </c>
      <c r="C82" s="105" t="inlineStr">
        <is>
          <t>NGUYỄN THỊ PHƯỢNG</t>
        </is>
      </c>
      <c r="D82" s="105" t="inlineStr">
        <is>
          <t>01/01/1977</t>
        </is>
      </c>
      <c r="E82" s="105" t="inlineStr">
        <is>
          <t>Xét nghiệm đường máu mao mạch tại giường (một lần)[Nội trú]</t>
        </is>
      </c>
      <c r="F82" s="108" t="n">
        <v>1</v>
      </c>
      <c r="G82" s="236" t="n">
        <v>35000</v>
      </c>
      <c r="H82" s="95">
        <f>G82*21.21%</f>
        <v/>
      </c>
      <c r="I82" s="37" t="n"/>
    </row>
    <row r="83" ht="15.75" customFormat="1" customHeight="1" s="21">
      <c r="A83" s="94" t="n">
        <v>78</v>
      </c>
      <c r="B83" s="105" t="inlineStr">
        <is>
          <t>2026/08/11 05:00</t>
        </is>
      </c>
      <c r="C83" s="105" t="inlineStr">
        <is>
          <t>NGÔ HỒNG QUẢNG</t>
        </is>
      </c>
      <c r="D83" s="105" t="inlineStr">
        <is>
          <t>13/03/1962</t>
        </is>
      </c>
      <c r="E83" s="105" t="inlineStr">
        <is>
          <t>Xét nghiệm đường máu mao mạch tại giường (một lần)[Nội trú]</t>
        </is>
      </c>
      <c r="F83" s="108" t="n">
        <v>1</v>
      </c>
      <c r="G83" s="236" t="n">
        <v>16000</v>
      </c>
      <c r="H83" s="95">
        <f>G83*21.21%</f>
        <v/>
      </c>
      <c r="I83" s="37" t="n"/>
    </row>
    <row r="84" ht="15.75" customFormat="1" customHeight="1" s="21">
      <c r="A84" s="94" t="n">
        <v>79</v>
      </c>
      <c r="B84" s="105" t="inlineStr">
        <is>
          <t>2026/08/11 05:00</t>
        </is>
      </c>
      <c r="C84" s="105" t="inlineStr">
        <is>
          <t>TRẦN THỊ KÍNH</t>
        </is>
      </c>
      <c r="D84" s="105" t="inlineStr">
        <is>
          <t>01/01/1951</t>
        </is>
      </c>
      <c r="E84" s="105" t="inlineStr">
        <is>
          <t>Xét nghiệm đường máu mao mạch tại giường (một lần)[Nội trú]</t>
        </is>
      </c>
      <c r="F84" s="108" t="n">
        <v>1</v>
      </c>
      <c r="G84" s="236" t="n">
        <v>35000</v>
      </c>
      <c r="H84" s="95">
        <f>G84*21.21%</f>
        <v/>
      </c>
      <c r="I84" s="37" t="n"/>
    </row>
    <row r="85" ht="15.75" customFormat="1" customHeight="1" s="21">
      <c r="A85" s="94" t="n">
        <v>80</v>
      </c>
      <c r="B85" s="105" t="inlineStr">
        <is>
          <t>2026/08/11 05:00</t>
        </is>
      </c>
      <c r="C85" s="105" t="inlineStr">
        <is>
          <t>VÕ THÀNH LONG</t>
        </is>
      </c>
      <c r="D85" s="105" t="inlineStr">
        <is>
          <t>06/06/1966</t>
        </is>
      </c>
      <c r="E85" s="105" t="inlineStr">
        <is>
          <t>Xét nghiệm đường máu mao mạch tại giường (một lần)[Nội trú]</t>
        </is>
      </c>
      <c r="F85" s="108" t="n">
        <v>1</v>
      </c>
      <c r="G85" s="236" t="n">
        <v>35000</v>
      </c>
      <c r="H85" s="95">
        <f>G85*21.21%</f>
        <v/>
      </c>
      <c r="I85" s="37" t="n"/>
    </row>
    <row r="86" ht="15.75" customFormat="1" customHeight="1" s="21">
      <c r="A86" s="94" t="n">
        <v>81</v>
      </c>
      <c r="B86" s="105" t="inlineStr">
        <is>
          <t>2026/08/11 05:00</t>
        </is>
      </c>
      <c r="C86" s="105" t="inlineStr">
        <is>
          <t>TRƯƠNG TRUNG TRỰC</t>
        </is>
      </c>
      <c r="D86" s="105" t="inlineStr">
        <is>
          <t>01/09/1942</t>
        </is>
      </c>
      <c r="E86" s="105" t="inlineStr">
        <is>
          <t>Xét nghiệm đường máu mao mạch tại giường (một lần)[Nội trú]</t>
        </is>
      </c>
      <c r="F86" s="108" t="n">
        <v>1</v>
      </c>
      <c r="G86" s="236" t="n">
        <v>16000</v>
      </c>
      <c r="H86" s="95">
        <f>G86*21.21%</f>
        <v/>
      </c>
      <c r="I86" s="37" t="n"/>
    </row>
    <row r="87" ht="15.75" customFormat="1" customHeight="1" s="21">
      <c r="A87" s="94" t="n">
        <v>82</v>
      </c>
      <c r="B87" s="105" t="inlineStr">
        <is>
          <t>2026/08/11 08:00</t>
        </is>
      </c>
      <c r="C87" s="105" t="inlineStr">
        <is>
          <t>NGUYỄN THỊ PHƯỢNG</t>
        </is>
      </c>
      <c r="D87" s="105" t="inlineStr">
        <is>
          <t>01/01/1977</t>
        </is>
      </c>
      <c r="E87" s="105" t="inlineStr">
        <is>
          <t>Xét nghiệm đường máu mao mạch tại giường (một lần)[Nội trú]</t>
        </is>
      </c>
      <c r="F87" s="108" t="n">
        <v>1</v>
      </c>
      <c r="G87" s="236" t="n">
        <v>35000</v>
      </c>
      <c r="H87" s="95">
        <f>G87*21.21%</f>
        <v/>
      </c>
      <c r="I87" s="37" t="n"/>
    </row>
    <row r="88" ht="15.75" customFormat="1" customHeight="1" s="21">
      <c r="A88" s="94" t="n">
        <v>83</v>
      </c>
      <c r="B88" s="105" t="inlineStr">
        <is>
          <t>2026/08/11 11:00</t>
        </is>
      </c>
      <c r="C88" s="105" t="inlineStr">
        <is>
          <t>TRƯƠNG TRUNG TRỰC</t>
        </is>
      </c>
      <c r="D88" s="105" t="inlineStr">
        <is>
          <t>01/09/1942</t>
        </is>
      </c>
      <c r="E88" s="105" t="inlineStr">
        <is>
          <t>Xét nghiệm đường máu mao mạch tại giường (một lần)[Nội trú]</t>
        </is>
      </c>
      <c r="F88" s="108" t="n">
        <v>1</v>
      </c>
      <c r="G88" s="236" t="n">
        <v>35000</v>
      </c>
      <c r="H88" s="95">
        <f>G88*21.21%</f>
        <v/>
      </c>
      <c r="I88" s="37" t="n"/>
    </row>
    <row r="89" ht="15.75" customFormat="1" customHeight="1" s="21">
      <c r="A89" s="94" t="n">
        <v>84</v>
      </c>
      <c r="B89" s="105" t="inlineStr">
        <is>
          <t>2026/08/11 16:00</t>
        </is>
      </c>
      <c r="C89" s="105" t="inlineStr">
        <is>
          <t>BÙI VĂN BẢY</t>
        </is>
      </c>
      <c r="D89" s="105" t="inlineStr">
        <is>
          <t>01/01/1963</t>
        </is>
      </c>
      <c r="E89" s="105" t="inlineStr">
        <is>
          <t>Xét nghiệm đường máu mao mạch tại giường (một lần)[Nội trú]</t>
        </is>
      </c>
      <c r="F89" s="108" t="n">
        <v>1</v>
      </c>
      <c r="G89" s="236" t="n">
        <v>35000</v>
      </c>
      <c r="H89" s="95">
        <f>G89*21.21%</f>
        <v/>
      </c>
      <c r="I89" s="37" t="n"/>
    </row>
    <row r="90" ht="15.75" customFormat="1" customHeight="1" s="21">
      <c r="A90" s="94" t="n">
        <v>85</v>
      </c>
      <c r="B90" s="105" t="inlineStr">
        <is>
          <t>2026/08/11 16:00</t>
        </is>
      </c>
      <c r="C90" s="105" t="inlineStr">
        <is>
          <t>NGUYỄN THỊ HƯỞNG</t>
        </is>
      </c>
      <c r="D90" s="105" t="inlineStr">
        <is>
          <t>12/04/1971</t>
        </is>
      </c>
      <c r="E90" s="105" t="inlineStr">
        <is>
          <t>Xét nghiệm đường máu mao mạch tại giường (một lần)[Nội trú]</t>
        </is>
      </c>
      <c r="F90" s="108" t="n">
        <v>1</v>
      </c>
      <c r="G90" s="236" t="n">
        <v>35000</v>
      </c>
      <c r="H90" s="95">
        <f>G90*21.21%</f>
        <v/>
      </c>
      <c r="I90" s="37" t="n"/>
    </row>
    <row r="91" ht="15.75" customFormat="1" customHeight="1" s="21">
      <c r="A91" s="94" t="n">
        <v>86</v>
      </c>
      <c r="B91" s="105" t="inlineStr">
        <is>
          <t>2026/08/11 16:00</t>
        </is>
      </c>
      <c r="C91" s="105" t="inlineStr">
        <is>
          <t>NGUYỄN THỊ HẰNG</t>
        </is>
      </c>
      <c r="D91" s="105" t="inlineStr">
        <is>
          <t>15/02/1963</t>
        </is>
      </c>
      <c r="E91" s="105" t="inlineStr">
        <is>
          <t>Xét nghiệm đường máu mao mạch tại giường (một lần)[Nội trú]</t>
        </is>
      </c>
      <c r="F91" s="108" t="n">
        <v>1</v>
      </c>
      <c r="G91" s="236" t="n">
        <v>35000</v>
      </c>
      <c r="H91" s="95">
        <f>G91*21.21%</f>
        <v/>
      </c>
      <c r="I91" s="37" t="n"/>
    </row>
    <row r="92" ht="15.75" customFormat="1" customHeight="1" s="21">
      <c r="A92" s="94" t="n">
        <v>87</v>
      </c>
      <c r="B92" s="105" t="inlineStr">
        <is>
          <t>2026/08/11 16:00</t>
        </is>
      </c>
      <c r="C92" s="105" t="inlineStr">
        <is>
          <t>VÕ THÀNH LONG</t>
        </is>
      </c>
      <c r="D92" s="105" t="inlineStr">
        <is>
          <t>06/06/1966</t>
        </is>
      </c>
      <c r="E92" s="105" t="inlineStr">
        <is>
          <t>Xét nghiệm đường máu mao mạch tại giường (một lần)[Nội trú]</t>
        </is>
      </c>
      <c r="F92" s="108" t="n">
        <v>1</v>
      </c>
      <c r="G92" s="236" t="n">
        <v>35000</v>
      </c>
      <c r="H92" s="95">
        <f>G92*21.21%</f>
        <v/>
      </c>
      <c r="I92" s="37" t="n"/>
    </row>
    <row r="93" ht="15.75" customFormat="1" customHeight="1" s="21">
      <c r="A93" s="94" t="n">
        <v>88</v>
      </c>
      <c r="B93" s="105" t="inlineStr">
        <is>
          <t>2026/08/11 16:00</t>
        </is>
      </c>
      <c r="C93" s="105" t="inlineStr">
        <is>
          <t>TRẦN THỊ KÍNH</t>
        </is>
      </c>
      <c r="D93" s="105" t="inlineStr">
        <is>
          <t>01/01/1951</t>
        </is>
      </c>
      <c r="E93" s="105" t="inlineStr">
        <is>
          <t>Xét nghiệm đường máu mao mạch tại giường (một lần)[Nội trú]</t>
        </is>
      </c>
      <c r="F93" s="108" t="n">
        <v>1</v>
      </c>
      <c r="G93" s="236" t="n">
        <v>16000</v>
      </c>
      <c r="H93" s="95">
        <f>G93*21.21%</f>
        <v/>
      </c>
      <c r="I93" s="37" t="n"/>
    </row>
    <row r="94" ht="15.75" customFormat="1" customHeight="1" s="21">
      <c r="A94" s="94" t="n">
        <v>89</v>
      </c>
      <c r="B94" s="105" t="inlineStr">
        <is>
          <t>2026/08/12 05:00</t>
        </is>
      </c>
      <c r="C94" s="105" t="inlineStr">
        <is>
          <t>BÙI VĂN BẢY</t>
        </is>
      </c>
      <c r="D94" s="105" t="inlineStr">
        <is>
          <t>01/01/1963</t>
        </is>
      </c>
      <c r="E94" s="105" t="inlineStr">
        <is>
          <t>Xét nghiệm đường máu mao mạch tại giường (một lần)[Nội trú]</t>
        </is>
      </c>
      <c r="F94" s="108" t="n">
        <v>1</v>
      </c>
      <c r="G94" s="236" t="n">
        <v>16000</v>
      </c>
      <c r="H94" s="95">
        <f>G94*21.21%</f>
        <v/>
      </c>
      <c r="I94" s="37" t="n"/>
    </row>
    <row r="95" ht="15.75" customFormat="1" customHeight="1" s="21">
      <c r="A95" s="94" t="n">
        <v>90</v>
      </c>
      <c r="B95" s="105" t="inlineStr">
        <is>
          <t>2026/08/12 05:00</t>
        </is>
      </c>
      <c r="C95" s="105" t="inlineStr">
        <is>
          <t>NGUYỄN THỊ HẰNG</t>
        </is>
      </c>
      <c r="D95" s="105" t="inlineStr">
        <is>
          <t>15/02/1963</t>
        </is>
      </c>
      <c r="E95" s="105" t="inlineStr">
        <is>
          <t>Xét nghiệm đường máu mao mạch tại giường (một lần)[Nội trú]</t>
        </is>
      </c>
      <c r="F95" s="108" t="n">
        <v>1</v>
      </c>
      <c r="G95" s="236" t="n">
        <v>35000</v>
      </c>
      <c r="H95" s="95">
        <f>G95*21.21%</f>
        <v/>
      </c>
      <c r="I95" s="37" t="n"/>
    </row>
    <row r="96" ht="15.75" customFormat="1" customHeight="1" s="21">
      <c r="A96" s="94" t="n">
        <v>91</v>
      </c>
      <c r="B96" s="105" t="inlineStr">
        <is>
          <t>2026/08/12 05:00</t>
        </is>
      </c>
      <c r="C96" s="105" t="inlineStr">
        <is>
          <t>NGUYỄN THỊ XUÂN LAN</t>
        </is>
      </c>
      <c r="D96" s="105" t="inlineStr">
        <is>
          <t>30/12/1956</t>
        </is>
      </c>
      <c r="E96" s="105" t="inlineStr">
        <is>
          <t>Xét nghiệm đường máu mao mạch tại giường (một lần)[Nội trú]</t>
        </is>
      </c>
      <c r="F96" s="108" t="n">
        <v>1</v>
      </c>
      <c r="G96" s="236" t="n">
        <v>35000</v>
      </c>
      <c r="H96" s="95">
        <f>G96*21.21%</f>
        <v/>
      </c>
      <c r="I96" s="37" t="n"/>
    </row>
    <row r="97" ht="15.75" customFormat="1" customHeight="1" s="21">
      <c r="A97" s="94" t="n">
        <v>92</v>
      </c>
      <c r="B97" s="105" t="inlineStr">
        <is>
          <t>2026/08/12 05:00</t>
        </is>
      </c>
      <c r="C97" s="105" t="inlineStr">
        <is>
          <t>NGÔ HỒNG QUẢNG</t>
        </is>
      </c>
      <c r="D97" s="105" t="inlineStr">
        <is>
          <t>13/03/1962</t>
        </is>
      </c>
      <c r="E97" s="105" t="inlineStr">
        <is>
          <t>Xét nghiệm đường máu mao mạch tại giường (một lần)[Nội trú]</t>
        </is>
      </c>
      <c r="F97" s="108" t="n">
        <v>1</v>
      </c>
      <c r="G97" s="236" t="n">
        <v>16000</v>
      </c>
      <c r="H97" s="95">
        <f>G97*21.21%</f>
        <v/>
      </c>
      <c r="I97" s="37" t="n"/>
    </row>
    <row r="98" ht="15.75" customFormat="1" customHeight="1" s="21">
      <c r="A98" s="94" t="n">
        <v>93</v>
      </c>
      <c r="B98" s="105" t="inlineStr">
        <is>
          <t>2026/08/12 05:00</t>
        </is>
      </c>
      <c r="C98" s="105" t="inlineStr">
        <is>
          <t>TRƯƠNG TRUNG TRỰC</t>
        </is>
      </c>
      <c r="D98" s="105" t="inlineStr">
        <is>
          <t>01/09/1942</t>
        </is>
      </c>
      <c r="E98" s="105" t="inlineStr">
        <is>
          <t>Xét nghiệm đường máu mao mạch tại giường (một lần)[Nội trú]</t>
        </is>
      </c>
      <c r="F98" s="108" t="n">
        <v>1</v>
      </c>
      <c r="G98" s="236" t="n">
        <v>35000</v>
      </c>
      <c r="H98" s="95">
        <f>G98*21.21%</f>
        <v/>
      </c>
      <c r="I98" s="37" t="n"/>
    </row>
    <row r="99" ht="15.75" customFormat="1" customHeight="1" s="21">
      <c r="A99" s="94" t="n">
        <v>94</v>
      </c>
      <c r="B99" s="105" t="inlineStr">
        <is>
          <t>2026/08/12 05:00</t>
        </is>
      </c>
      <c r="C99" s="105" t="inlineStr">
        <is>
          <t>TRẦN THỊ KÍNH</t>
        </is>
      </c>
      <c r="D99" s="105" t="inlineStr">
        <is>
          <t>01/01/1951</t>
        </is>
      </c>
      <c r="E99" s="105" t="inlineStr">
        <is>
          <t>Xét nghiệm đường máu mao mạch tại giường (một lần)[Nội trú]</t>
        </is>
      </c>
      <c r="F99" s="108" t="n">
        <v>1</v>
      </c>
      <c r="G99" s="236" t="n">
        <v>16000</v>
      </c>
      <c r="H99" s="95">
        <f>G99*21.21%</f>
        <v/>
      </c>
      <c r="I99" s="37" t="n"/>
    </row>
    <row r="100" ht="15.75" customFormat="1" customHeight="1" s="21">
      <c r="A100" s="94" t="n">
        <v>95</v>
      </c>
      <c r="B100" s="105" t="inlineStr">
        <is>
          <t>2026/08/12 16:00</t>
        </is>
      </c>
      <c r="C100" s="105" t="inlineStr">
        <is>
          <t>BÙI VĂN BẢY</t>
        </is>
      </c>
      <c r="D100" s="105" t="inlineStr">
        <is>
          <t>01/01/1963</t>
        </is>
      </c>
      <c r="E100" s="105" t="inlineStr">
        <is>
          <t>Xét nghiệm đường máu mao mạch tại giường (một lần)[Nội trú]</t>
        </is>
      </c>
      <c r="F100" s="108" t="n">
        <v>1</v>
      </c>
      <c r="G100" s="236" t="n">
        <v>35000</v>
      </c>
      <c r="H100" s="95">
        <f>G100*21.21%</f>
        <v/>
      </c>
      <c r="I100" s="37" t="n"/>
    </row>
    <row r="101" ht="15.75" customFormat="1" customHeight="1" s="21">
      <c r="A101" s="94" t="n">
        <v>96</v>
      </c>
      <c r="B101" s="105" t="inlineStr">
        <is>
          <t>2026/08/12 16:00</t>
        </is>
      </c>
      <c r="C101" s="105" t="inlineStr">
        <is>
          <t>NGUYỄN THỊ HẰNG</t>
        </is>
      </c>
      <c r="D101" s="105" t="inlineStr">
        <is>
          <t>15/02/1963</t>
        </is>
      </c>
      <c r="E101" s="105" t="inlineStr">
        <is>
          <t>Xét nghiệm đường máu mao mạch tại giường (một lần)[Nội trú]</t>
        </is>
      </c>
      <c r="F101" s="108" t="n">
        <v>1</v>
      </c>
      <c r="G101" s="236" t="n">
        <v>35000</v>
      </c>
      <c r="H101" s="95">
        <f>G101*21.21%</f>
        <v/>
      </c>
      <c r="I101" s="37" t="n"/>
    </row>
    <row r="102" ht="15.75" customFormat="1" customHeight="1" s="21">
      <c r="A102" s="94" t="n">
        <v>97</v>
      </c>
      <c r="B102" s="105" t="inlineStr">
        <is>
          <t>2026/08/12 16:00</t>
        </is>
      </c>
      <c r="C102" s="105" t="inlineStr">
        <is>
          <t>NGUYỄN THỊ XUÂN LAN</t>
        </is>
      </c>
      <c r="D102" s="105" t="inlineStr">
        <is>
          <t>30/12/1956</t>
        </is>
      </c>
      <c r="E102" s="105" t="inlineStr">
        <is>
          <t>Xét nghiệm đường máu mao mạch tại giường (một lần)[Nội trú]</t>
        </is>
      </c>
      <c r="F102" s="108" t="n">
        <v>1</v>
      </c>
      <c r="G102" s="236" t="n">
        <v>35000</v>
      </c>
      <c r="H102" s="95">
        <f>G102*21.21%</f>
        <v/>
      </c>
      <c r="I102" s="37" t="n"/>
    </row>
    <row r="103" ht="15.75" customFormat="1" customHeight="1" s="21">
      <c r="A103" s="94" t="n">
        <v>98</v>
      </c>
      <c r="B103" s="105" t="inlineStr">
        <is>
          <t>2026/08/12 16:00</t>
        </is>
      </c>
      <c r="C103" s="105" t="inlineStr">
        <is>
          <t>TRẦN THỊ KÍNH</t>
        </is>
      </c>
      <c r="D103" s="105" t="inlineStr">
        <is>
          <t>01/01/1951</t>
        </is>
      </c>
      <c r="E103" s="105" t="inlineStr">
        <is>
          <t>Xét nghiệm đường máu mao mạch tại giường (một lần)[Nội trú]</t>
        </is>
      </c>
      <c r="F103" s="108" t="n">
        <v>1</v>
      </c>
      <c r="G103" s="236" t="n">
        <v>35000</v>
      </c>
      <c r="H103" s="95">
        <f>G103*21.21%</f>
        <v/>
      </c>
      <c r="I103" s="37" t="n"/>
    </row>
    <row r="104" ht="15.75" customFormat="1" customHeight="1" s="21">
      <c r="A104" s="94" t="n">
        <v>99</v>
      </c>
      <c r="B104" s="105" t="inlineStr">
        <is>
          <t>2026/08/12 16:00</t>
        </is>
      </c>
      <c r="C104" s="105" t="inlineStr">
        <is>
          <t>VÕ VĂN ĐOÀN</t>
        </is>
      </c>
      <c r="D104" s="105" t="inlineStr">
        <is>
          <t>15/08/1978</t>
        </is>
      </c>
      <c r="E104" s="105" t="inlineStr">
        <is>
          <t>Xét nghiệm đường máu mao mạch tại giường (một lần)[Nội trú]</t>
        </is>
      </c>
      <c r="F104" s="108" t="n">
        <v>1</v>
      </c>
      <c r="G104" s="236" t="n">
        <v>35000</v>
      </c>
      <c r="H104" s="95">
        <f>G104*21.21%</f>
        <v/>
      </c>
      <c r="I104" s="37" t="n"/>
    </row>
    <row r="105" ht="15.75" customFormat="1" customHeight="1" s="21">
      <c r="A105" s="94" t="n">
        <v>100</v>
      </c>
      <c r="B105" s="105" t="inlineStr">
        <is>
          <t>2026/08/12 16:00</t>
        </is>
      </c>
      <c r="C105" s="105" t="inlineStr">
        <is>
          <t>TRƯƠNG TRUNG TRỰC</t>
        </is>
      </c>
      <c r="D105" s="105" t="inlineStr">
        <is>
          <t>01/09/1942</t>
        </is>
      </c>
      <c r="E105" s="105" t="inlineStr">
        <is>
          <t>Xét nghiệm đường máu mao mạch tại giường (một lần)[Nội trú]</t>
        </is>
      </c>
      <c r="F105" s="108" t="n">
        <v>1</v>
      </c>
      <c r="G105" s="236" t="n">
        <v>16000</v>
      </c>
      <c r="H105" s="95">
        <f>G105*21.21%</f>
        <v/>
      </c>
      <c r="I105" s="37" t="n"/>
    </row>
    <row r="106" ht="15.75" customFormat="1" customHeight="1" s="21">
      <c r="A106" s="94" t="n">
        <v>101</v>
      </c>
      <c r="B106" s="105" t="inlineStr">
        <is>
          <t>2026/08/13 05:00</t>
        </is>
      </c>
      <c r="C106" s="105" t="inlineStr">
        <is>
          <t>BÙI VĂN BẢY</t>
        </is>
      </c>
      <c r="D106" s="105" t="inlineStr">
        <is>
          <t>01/01/1963</t>
        </is>
      </c>
      <c r="E106" s="105" t="inlineStr">
        <is>
          <t>Xét nghiệm đường máu mao mạch tại giường (một lần)[Nội trú]</t>
        </is>
      </c>
      <c r="F106" s="108" t="n">
        <v>1</v>
      </c>
      <c r="G106" s="236" t="n">
        <v>35000</v>
      </c>
      <c r="H106" s="95">
        <f>G106*21.21%</f>
        <v/>
      </c>
      <c r="I106" s="37" t="n"/>
    </row>
    <row r="107" ht="15.75" customFormat="1" customHeight="1" s="21">
      <c r="A107" s="94" t="n">
        <v>102</v>
      </c>
      <c r="B107" s="105" t="inlineStr">
        <is>
          <t>2026/08/13 05:00</t>
        </is>
      </c>
      <c r="C107" s="105" t="inlineStr">
        <is>
          <t>NGUYỄN THỊ HẰNG</t>
        </is>
      </c>
      <c r="D107" s="105" t="inlineStr">
        <is>
          <t>15/02/1963</t>
        </is>
      </c>
      <c r="E107" s="105" t="inlineStr">
        <is>
          <t>Xét nghiệm đường máu mao mạch tại giường (một lần)[Nội trú]</t>
        </is>
      </c>
      <c r="F107" s="108" t="n">
        <v>1</v>
      </c>
      <c r="G107" s="236" t="n">
        <v>16000</v>
      </c>
      <c r="H107" s="95">
        <f>G107*21.21%</f>
        <v/>
      </c>
      <c r="I107" s="37" t="n"/>
    </row>
    <row r="108" ht="15.75" customFormat="1" customHeight="1" s="21">
      <c r="A108" s="94" t="n">
        <v>103</v>
      </c>
      <c r="B108" s="105" t="inlineStr">
        <is>
          <t>2026/08/13 05:00</t>
        </is>
      </c>
      <c r="C108" s="105" t="inlineStr">
        <is>
          <t>NGUYỄN THỊ XUÂN LAN</t>
        </is>
      </c>
      <c r="D108" s="105" t="inlineStr">
        <is>
          <t>30/12/1956</t>
        </is>
      </c>
      <c r="E108" s="105" t="inlineStr">
        <is>
          <t>Xét nghiệm đường máu mao mạch tại giường (một lần)[Nội trú]</t>
        </is>
      </c>
      <c r="F108" s="108" t="n">
        <v>1</v>
      </c>
      <c r="G108" s="236" t="n">
        <v>16000</v>
      </c>
      <c r="H108" s="95">
        <f>G108*21.21%</f>
        <v/>
      </c>
      <c r="I108" s="37" t="n"/>
    </row>
    <row r="109" ht="15.75" customFormat="1" customHeight="1" s="21">
      <c r="A109" s="94" t="n">
        <v>104</v>
      </c>
      <c r="B109" s="105" t="inlineStr">
        <is>
          <t>2026/08/13 05:00</t>
        </is>
      </c>
      <c r="C109" s="105" t="inlineStr">
        <is>
          <t>VÕ VĂN ĐOÀN</t>
        </is>
      </c>
      <c r="D109" s="105" t="inlineStr">
        <is>
          <t>15/08/1978</t>
        </is>
      </c>
      <c r="E109" s="105" t="inlineStr">
        <is>
          <t>Xét nghiệm đường máu mao mạch tại giường (một lần)[Nội trú]</t>
        </is>
      </c>
      <c r="F109" s="108" t="n">
        <v>1</v>
      </c>
      <c r="G109" s="236" t="n">
        <v>35000</v>
      </c>
      <c r="H109" s="95">
        <f>G109*21.21%</f>
        <v/>
      </c>
      <c r="I109" s="37" t="n"/>
    </row>
    <row r="110" ht="15.75" customFormat="1" customHeight="1" s="21">
      <c r="A110" s="94" t="n">
        <v>105</v>
      </c>
      <c r="B110" s="105" t="inlineStr">
        <is>
          <t>2026/08/13 05:00</t>
        </is>
      </c>
      <c r="C110" s="105" t="inlineStr">
        <is>
          <t>TRƯƠNG TRUNG TRỰC</t>
        </is>
      </c>
      <c r="D110" s="105" t="inlineStr">
        <is>
          <t>01/09/1942</t>
        </is>
      </c>
      <c r="E110" s="105" t="inlineStr">
        <is>
          <t>Xét nghiệm đường máu mao mạch tại giường (một lần)[Nội trú]</t>
        </is>
      </c>
      <c r="F110" s="108" t="n">
        <v>1</v>
      </c>
      <c r="G110" s="236" t="n">
        <v>16000</v>
      </c>
      <c r="H110" s="95">
        <f>G110*21.21%</f>
        <v/>
      </c>
      <c r="I110" s="37" t="n"/>
    </row>
    <row r="111" ht="15.75" customFormat="1" customHeight="1" s="21">
      <c r="A111" s="94" t="n">
        <v>106</v>
      </c>
      <c r="B111" s="105" t="inlineStr">
        <is>
          <t>2026/08/13 16:00</t>
        </is>
      </c>
      <c r="C111" s="105" t="inlineStr">
        <is>
          <t>BÙI VĂN BẢY</t>
        </is>
      </c>
      <c r="D111" s="105" t="inlineStr">
        <is>
          <t>01/01/1963</t>
        </is>
      </c>
      <c r="E111" s="105" t="inlineStr">
        <is>
          <t>Xét nghiệm đường máu mao mạch tại giường (một lần)[Nội trú]</t>
        </is>
      </c>
      <c r="F111" s="108" t="n">
        <v>1</v>
      </c>
      <c r="G111" s="236" t="n">
        <v>35000</v>
      </c>
      <c r="H111" s="95">
        <f>G111*21.21%</f>
        <v/>
      </c>
      <c r="I111" s="37" t="n"/>
    </row>
    <row r="112" ht="15.75" customFormat="1" customHeight="1" s="21">
      <c r="A112" s="94" t="n">
        <v>107</v>
      </c>
      <c r="B112" s="105" t="inlineStr">
        <is>
          <t>2026/08/13 16:00</t>
        </is>
      </c>
      <c r="C112" s="105" t="inlineStr">
        <is>
          <t>NGUYỄN THỊ HẢI</t>
        </is>
      </c>
      <c r="D112" s="105" t="inlineStr">
        <is>
          <t>01/01/1951</t>
        </is>
      </c>
      <c r="E112" s="105" t="inlineStr">
        <is>
          <t>Xét nghiệm đường máu mao mạch tại giường (một lần)[Nội trú]</t>
        </is>
      </c>
      <c r="F112" s="108" t="n">
        <v>1</v>
      </c>
      <c r="G112" s="236" t="n">
        <v>35000</v>
      </c>
      <c r="H112" s="95">
        <f>G112*21.21%</f>
        <v/>
      </c>
      <c r="I112" s="37" t="n"/>
    </row>
    <row r="113" ht="15.75" customFormat="1" customHeight="1" s="21">
      <c r="A113" s="94" t="n">
        <v>108</v>
      </c>
      <c r="B113" s="105" t="inlineStr">
        <is>
          <t>2026/08/13 16:00</t>
        </is>
      </c>
      <c r="C113" s="105" t="inlineStr">
        <is>
          <t>NGUYỄN THỊ HẰNG</t>
        </is>
      </c>
      <c r="D113" s="105" t="inlineStr">
        <is>
          <t>15/02/1963</t>
        </is>
      </c>
      <c r="E113" s="105" t="inlineStr">
        <is>
          <t>Xét nghiệm đường máu mao mạch tại giường (một lần)[Nội trú]</t>
        </is>
      </c>
      <c r="F113" s="108" t="n">
        <v>1</v>
      </c>
      <c r="G113" s="236" t="n">
        <v>35000</v>
      </c>
      <c r="H113" s="95">
        <f>G113*21.21%</f>
        <v/>
      </c>
      <c r="I113" s="37" t="n"/>
    </row>
    <row r="114" ht="15.75" customFormat="1" customHeight="1" s="21">
      <c r="A114" s="94" t="n">
        <v>109</v>
      </c>
      <c r="B114" s="105" t="inlineStr">
        <is>
          <t>2026/08/13 16:00</t>
        </is>
      </c>
      <c r="C114" s="105" t="inlineStr">
        <is>
          <t>NGUYỄN THỊ XUÂN LAN</t>
        </is>
      </c>
      <c r="D114" s="105" t="inlineStr">
        <is>
          <t>30/12/1956</t>
        </is>
      </c>
      <c r="E114" s="105" t="inlineStr">
        <is>
          <t>Xét nghiệm đường máu mao mạch tại giường (một lần)[Nội trú]</t>
        </is>
      </c>
      <c r="F114" s="108" t="n">
        <v>1</v>
      </c>
      <c r="G114" s="236" t="n">
        <v>35000</v>
      </c>
      <c r="H114" s="95">
        <f>G114*21.21%</f>
        <v/>
      </c>
      <c r="I114" s="37" t="n"/>
    </row>
    <row r="115" ht="15.75" customFormat="1" customHeight="1" s="21">
      <c r="A115" s="94" t="n">
        <v>110</v>
      </c>
      <c r="B115" s="105" t="inlineStr">
        <is>
          <t>2026/08/13 16:00</t>
        </is>
      </c>
      <c r="C115" s="105" t="inlineStr">
        <is>
          <t>TRƯƠNG TRUNG TRỰC</t>
        </is>
      </c>
      <c r="D115" s="105" t="inlineStr">
        <is>
          <t>01/09/1942</t>
        </is>
      </c>
      <c r="E115" s="105" t="inlineStr">
        <is>
          <t>Xét nghiệm đường máu mao mạch tại giường (một lần)[Nội trú]</t>
        </is>
      </c>
      <c r="F115" s="108" t="n">
        <v>1</v>
      </c>
      <c r="G115" s="236" t="n">
        <v>16000</v>
      </c>
      <c r="H115" s="95">
        <f>G115*21.21%</f>
        <v/>
      </c>
      <c r="I115" s="37" t="n"/>
    </row>
    <row r="116" ht="15.75" customFormat="1" customHeight="1" s="21">
      <c r="A116" s="94" t="n">
        <v>111</v>
      </c>
      <c r="B116" s="105" t="inlineStr">
        <is>
          <t>2026/08/14 05:00</t>
        </is>
      </c>
      <c r="C116" s="105" t="inlineStr">
        <is>
          <t>BÙI THỊ NGỜI</t>
        </is>
      </c>
      <c r="D116" s="105" t="inlineStr">
        <is>
          <t>01/01/1952</t>
        </is>
      </c>
      <c r="E116" s="105" t="inlineStr">
        <is>
          <t>Xét nghiệm đường máu mao mạch tại giường (một lần)[Nội trú]</t>
        </is>
      </c>
      <c r="F116" s="108" t="n">
        <v>1</v>
      </c>
      <c r="G116" s="236" t="n">
        <v>35000</v>
      </c>
      <c r="H116" s="95">
        <f>G116*21.21%</f>
        <v/>
      </c>
      <c r="I116" s="37" t="n"/>
    </row>
    <row r="117" ht="15.75" customFormat="1" customHeight="1" s="21">
      <c r="A117" s="94" t="n">
        <v>112</v>
      </c>
      <c r="B117" s="105" t="inlineStr">
        <is>
          <t>2026/08/14 05:00</t>
        </is>
      </c>
      <c r="C117" s="105" t="inlineStr">
        <is>
          <t>BÙI VĂN BẢY</t>
        </is>
      </c>
      <c r="D117" s="105" t="inlineStr">
        <is>
          <t>01/01/1963</t>
        </is>
      </c>
      <c r="E117" s="105" t="inlineStr">
        <is>
          <t>Xét nghiệm đường máu mao mạch tại giường (một lần)[Nội trú]</t>
        </is>
      </c>
      <c r="F117" s="108" t="n">
        <v>1</v>
      </c>
      <c r="G117" s="236" t="n">
        <v>16000</v>
      </c>
      <c r="H117" s="95">
        <f>G117*21.21%</f>
        <v/>
      </c>
      <c r="I117" s="37" t="n"/>
    </row>
    <row r="118" ht="15.75" customFormat="1" customHeight="1" s="21">
      <c r="A118" s="94" t="n">
        <v>113</v>
      </c>
      <c r="B118" s="105" t="inlineStr">
        <is>
          <t>2026/08/14 05:00</t>
        </is>
      </c>
      <c r="C118" s="105" t="inlineStr">
        <is>
          <t>NGUYỄN THỊ HẢI</t>
        </is>
      </c>
      <c r="D118" s="105" t="inlineStr">
        <is>
          <t>01/01/1951</t>
        </is>
      </c>
      <c r="E118" s="105" t="inlineStr">
        <is>
          <t>Xét nghiệm đường máu mao mạch tại giường (một lần)[Nội trú]</t>
        </is>
      </c>
      <c r="F118" s="108" t="n">
        <v>1</v>
      </c>
      <c r="G118" s="236" t="n">
        <v>35000</v>
      </c>
      <c r="H118" s="95">
        <f>G118*21.21%</f>
        <v/>
      </c>
      <c r="I118" s="37" t="n"/>
    </row>
    <row r="119" ht="15.75" customFormat="1" customHeight="1" s="21">
      <c r="A119" s="94" t="n">
        <v>114</v>
      </c>
      <c r="B119" s="105" t="inlineStr">
        <is>
          <t>2026/08/14 05:00</t>
        </is>
      </c>
      <c r="C119" s="105" t="inlineStr">
        <is>
          <t>NGUYỄN THỊ HẰNG</t>
        </is>
      </c>
      <c r="D119" s="105" t="inlineStr">
        <is>
          <t>15/02/1963</t>
        </is>
      </c>
      <c r="E119" s="105" t="inlineStr">
        <is>
          <t>Xét nghiệm đường máu mao mạch tại giường (một lần)[Nội trú]</t>
        </is>
      </c>
      <c r="F119" s="108" t="n">
        <v>1</v>
      </c>
      <c r="G119" s="236" t="n">
        <v>16000</v>
      </c>
      <c r="H119" s="95">
        <f>G119*21.21%</f>
        <v/>
      </c>
      <c r="I119" s="37" t="n"/>
    </row>
    <row r="120" ht="15.75" customFormat="1" customHeight="1" s="21">
      <c r="A120" s="94" t="n">
        <v>115</v>
      </c>
      <c r="B120" s="105" t="inlineStr">
        <is>
          <t>2026/08/14 05:00</t>
        </is>
      </c>
      <c r="C120" s="105" t="inlineStr">
        <is>
          <t>NGUYỄN THỊ LAN</t>
        </is>
      </c>
      <c r="D120" s="105" t="inlineStr">
        <is>
          <t>10/10/1958</t>
        </is>
      </c>
      <c r="E120" s="105" t="inlineStr">
        <is>
          <t>Xét nghiệm đường máu mao mạch tại giường (một lần)[Nội trú]</t>
        </is>
      </c>
      <c r="F120" s="108" t="n">
        <v>1</v>
      </c>
      <c r="G120" s="236" t="n">
        <v>35000</v>
      </c>
      <c r="H120" s="95">
        <f>G120*21.21%</f>
        <v/>
      </c>
      <c r="I120" s="37" t="n"/>
    </row>
    <row r="121" ht="15.75" customFormat="1" customHeight="1" s="21">
      <c r="A121" s="94" t="n">
        <v>116</v>
      </c>
      <c r="B121" s="105" t="inlineStr">
        <is>
          <t>2026/08/14 05:00</t>
        </is>
      </c>
      <c r="C121" s="105" t="inlineStr">
        <is>
          <t>TRƯƠNG TRUNG TRỰC</t>
        </is>
      </c>
      <c r="D121" s="105" t="inlineStr">
        <is>
          <t>01/09/1942</t>
        </is>
      </c>
      <c r="E121" s="105" t="inlineStr">
        <is>
          <t>Xét nghiệm đường máu mao mạch tại giường (một lần)[Nội trú]</t>
        </is>
      </c>
      <c r="F121" s="108" t="n">
        <v>1</v>
      </c>
      <c r="G121" s="236" t="n">
        <v>35000</v>
      </c>
      <c r="H121" s="95">
        <f>G121*21.21%</f>
        <v/>
      </c>
      <c r="I121" s="37" t="n"/>
    </row>
    <row r="122" ht="15.75" customFormat="1" customHeight="1" s="21">
      <c r="A122" s="94" t="n">
        <v>117</v>
      </c>
      <c r="B122" s="105" t="inlineStr">
        <is>
          <t>2026/08/14 05:00</t>
        </is>
      </c>
      <c r="C122" s="105" t="inlineStr">
        <is>
          <t>VÕ THÀNH LONG</t>
        </is>
      </c>
      <c r="D122" s="105" t="inlineStr">
        <is>
          <t>06/06/1966</t>
        </is>
      </c>
      <c r="E122" s="105" t="inlineStr">
        <is>
          <t>Xét nghiệm đường máu mao mạch tại giường (một lần)[Nội trú]</t>
        </is>
      </c>
      <c r="F122" s="108" t="n">
        <v>1</v>
      </c>
      <c r="G122" s="236" t="n">
        <v>35000</v>
      </c>
      <c r="H122" s="95">
        <f>G122*21.21%</f>
        <v/>
      </c>
      <c r="I122" s="37" t="n"/>
    </row>
    <row r="123" ht="15.75" customFormat="1" customHeight="1" s="21">
      <c r="A123" s="94" t="n">
        <v>118</v>
      </c>
      <c r="B123" s="105" t="inlineStr">
        <is>
          <t>2026/08/14 05:00</t>
        </is>
      </c>
      <c r="C123" s="105" t="inlineStr">
        <is>
          <t>VÕ VĂN ĐOÀN</t>
        </is>
      </c>
      <c r="D123" s="105" t="inlineStr">
        <is>
          <t>15/08/1978</t>
        </is>
      </c>
      <c r="E123" s="105" t="inlineStr">
        <is>
          <t>Xét nghiệm đường máu mao mạch tại giường (một lần)[Nội trú]</t>
        </is>
      </c>
      <c r="F123" s="108" t="n">
        <v>1</v>
      </c>
      <c r="G123" s="236" t="n">
        <v>35000</v>
      </c>
      <c r="H123" s="95">
        <f>G123*21.21%</f>
        <v/>
      </c>
      <c r="I123" s="37" t="n"/>
    </row>
    <row r="124" ht="15.75" customFormat="1" customHeight="1" s="21">
      <c r="A124" s="94" t="n">
        <v>119</v>
      </c>
      <c r="B124" s="105" t="inlineStr">
        <is>
          <t>2026/08/14 10:30</t>
        </is>
      </c>
      <c r="C124" s="105" t="inlineStr">
        <is>
          <t>NGUYỄN THỊ HƯỞNG</t>
        </is>
      </c>
      <c r="D124" s="105" t="inlineStr">
        <is>
          <t>12/04/1971</t>
        </is>
      </c>
      <c r="E124" s="105" t="inlineStr">
        <is>
          <t>Xét nghiệm đường máu mao mạch tại giường (một lần)[Nội trú]</t>
        </is>
      </c>
      <c r="F124" s="108" t="n">
        <v>1</v>
      </c>
      <c r="G124" s="236" t="n">
        <v>35000</v>
      </c>
      <c r="H124" s="95">
        <f>G124*21.21%</f>
        <v/>
      </c>
      <c r="I124" s="37" t="n"/>
    </row>
    <row r="125" ht="15.75" customFormat="1" customHeight="1" s="21">
      <c r="A125" s="94" t="n">
        <v>120</v>
      </c>
      <c r="B125" s="105" t="inlineStr">
        <is>
          <t>2026/08/14 11:00</t>
        </is>
      </c>
      <c r="C125" s="105" t="inlineStr">
        <is>
          <t>BÙI VĂN BẢY</t>
        </is>
      </c>
      <c r="D125" s="105" t="inlineStr">
        <is>
          <t>01/01/1963</t>
        </is>
      </c>
      <c r="E125" s="105" t="inlineStr">
        <is>
          <t>Xét nghiệm đường máu mao mạch tại giường (một lần)[Nội trú]</t>
        </is>
      </c>
      <c r="F125" s="108" t="n">
        <v>1</v>
      </c>
      <c r="G125" s="236" t="n">
        <v>35000</v>
      </c>
      <c r="H125" s="95">
        <f>G125*21.21%</f>
        <v/>
      </c>
      <c r="I125" s="37" t="n"/>
    </row>
    <row r="126" ht="15.75" customFormat="1" customHeight="1" s="21">
      <c r="A126" s="94" t="n">
        <v>121</v>
      </c>
      <c r="B126" s="105" t="inlineStr">
        <is>
          <t>2026/08/14 16:00</t>
        </is>
      </c>
      <c r="C126" s="105" t="inlineStr">
        <is>
          <t>BÙI VĂN BẢY</t>
        </is>
      </c>
      <c r="D126" s="105" t="inlineStr">
        <is>
          <t>01/01/1963</t>
        </is>
      </c>
      <c r="E126" s="105" t="inlineStr">
        <is>
          <t>Xét nghiệm đường máu mao mạch tại giường (một lần)[Nội trú]</t>
        </is>
      </c>
      <c r="F126" s="108" t="n">
        <v>1</v>
      </c>
      <c r="G126" s="236" t="n">
        <v>35000</v>
      </c>
      <c r="H126" s="95">
        <f>G126*21.21%</f>
        <v/>
      </c>
      <c r="I126" s="37" t="n"/>
    </row>
    <row r="127" ht="15.75" customFormat="1" customHeight="1" s="21">
      <c r="A127" s="94" t="n">
        <v>122</v>
      </c>
      <c r="B127" s="105" t="inlineStr">
        <is>
          <t>2026/08/14 16:00</t>
        </is>
      </c>
      <c r="C127" s="105" t="inlineStr">
        <is>
          <t>NGUYỄN THỊ HẰNG</t>
        </is>
      </c>
      <c r="D127" s="105" t="inlineStr">
        <is>
          <t>15/02/1963</t>
        </is>
      </c>
      <c r="E127" s="105" t="inlineStr">
        <is>
          <t>Xét nghiệm đường máu mao mạch tại giường (một lần)[Nội trú]</t>
        </is>
      </c>
      <c r="F127" s="108" t="n">
        <v>1</v>
      </c>
      <c r="G127" s="236" t="n">
        <v>35000</v>
      </c>
      <c r="H127" s="95">
        <f>G127*21.21%</f>
        <v/>
      </c>
      <c r="I127" s="37" t="n"/>
    </row>
    <row r="128" ht="15.75" customFormat="1" customHeight="1" s="21">
      <c r="A128" s="94" t="n">
        <v>123</v>
      </c>
      <c r="B128" s="105" t="inlineStr">
        <is>
          <t>2026/08/14 16:00</t>
        </is>
      </c>
      <c r="C128" s="105" t="inlineStr">
        <is>
          <t>VÕ THÀNH LONG</t>
        </is>
      </c>
      <c r="D128" s="105" t="inlineStr">
        <is>
          <t>06/06/1966</t>
        </is>
      </c>
      <c r="E128" s="105" t="inlineStr">
        <is>
          <t>Xét nghiệm đường máu mao mạch tại giường (một lần)[Nội trú]</t>
        </is>
      </c>
      <c r="F128" s="108" t="n">
        <v>1</v>
      </c>
      <c r="G128" s="236" t="n">
        <v>16000</v>
      </c>
      <c r="H128" s="95">
        <f>G128*21.21%</f>
        <v/>
      </c>
      <c r="I128" s="37" t="n"/>
    </row>
    <row r="129" ht="15.75" customFormat="1" customHeight="1" s="21">
      <c r="A129" s="94" t="n">
        <v>124</v>
      </c>
      <c r="B129" s="105" t="inlineStr">
        <is>
          <t>2026/08/14 16:00</t>
        </is>
      </c>
      <c r="C129" s="105" t="inlineStr">
        <is>
          <t>VÕ VĂN ĐOÀN</t>
        </is>
      </c>
      <c r="D129" s="105" t="inlineStr">
        <is>
          <t>15/08/1978</t>
        </is>
      </c>
      <c r="E129" s="105" t="inlineStr">
        <is>
          <t>Xét nghiệm đường máu mao mạch tại giường (một lần)[Nội trú]</t>
        </is>
      </c>
      <c r="F129" s="108" t="n">
        <v>1</v>
      </c>
      <c r="G129" s="236" t="n">
        <v>35000</v>
      </c>
      <c r="H129" s="95">
        <f>G129*21.21%</f>
        <v/>
      </c>
      <c r="I129" s="37" t="n"/>
    </row>
    <row r="130" ht="15.75" customFormat="1" customHeight="1" s="21">
      <c r="A130" s="94" t="n">
        <v>125</v>
      </c>
      <c r="B130" s="105" t="inlineStr">
        <is>
          <t>2026/08/14 16:00</t>
        </is>
      </c>
      <c r="C130" s="105" t="inlineStr">
        <is>
          <t>BÙI THỊ NGỜI</t>
        </is>
      </c>
      <c r="D130" s="105" t="inlineStr">
        <is>
          <t>01/01/1952</t>
        </is>
      </c>
      <c r="E130" s="105" t="inlineStr">
        <is>
          <t>Xét nghiệm đường máu mao mạch tại giường (một lần)[Nội trú]</t>
        </is>
      </c>
      <c r="F130" s="108" t="n">
        <v>1</v>
      </c>
      <c r="G130" s="236" t="n">
        <v>16000</v>
      </c>
      <c r="H130" s="95">
        <f>G130*21.21%</f>
        <v/>
      </c>
      <c r="I130" s="37" t="n"/>
    </row>
    <row r="131" ht="15.75" customFormat="1" customHeight="1" s="21">
      <c r="A131" s="94" t="n">
        <v>126</v>
      </c>
      <c r="B131" s="105" t="inlineStr">
        <is>
          <t>2026/08/14 16:00</t>
        </is>
      </c>
      <c r="C131" s="105" t="inlineStr">
        <is>
          <t>NGUYỄN THỊ HẢI</t>
        </is>
      </c>
      <c r="D131" s="105" t="inlineStr">
        <is>
          <t>01/01/1951</t>
        </is>
      </c>
      <c r="E131" s="105" t="inlineStr">
        <is>
          <t>Xét nghiệm đường máu mao mạch tại giường (một lần)[Nội trú]</t>
        </is>
      </c>
      <c r="F131" s="108" t="n">
        <v>1</v>
      </c>
      <c r="G131" s="236" t="n">
        <v>16000</v>
      </c>
      <c r="H131" s="95">
        <f>G131*21.21%</f>
        <v/>
      </c>
      <c r="I131" s="37" t="n"/>
    </row>
    <row r="132" ht="15.75" customFormat="1" customHeight="1" s="21">
      <c r="A132" s="94" t="n">
        <v>127</v>
      </c>
      <c r="B132" s="105" t="inlineStr">
        <is>
          <t>2026/08/14 16:00</t>
        </is>
      </c>
      <c r="C132" s="105" t="inlineStr">
        <is>
          <t>TRƯƠNG TRUNG TRỰC</t>
        </is>
      </c>
      <c r="D132" s="105" t="inlineStr">
        <is>
          <t>01/09/1942</t>
        </is>
      </c>
      <c r="E132" s="105" t="inlineStr">
        <is>
          <t>Xét nghiệm đường máu mao mạch tại giường (một lần)[Nội trú]</t>
        </is>
      </c>
      <c r="F132" s="108" t="n">
        <v>1</v>
      </c>
      <c r="G132" s="236" t="n">
        <v>16000</v>
      </c>
      <c r="H132" s="95">
        <f>G132*21.21%</f>
        <v/>
      </c>
      <c r="I132" s="37" t="n"/>
    </row>
    <row r="133" ht="15.75" customFormat="1" customHeight="1" s="21">
      <c r="A133" s="94" t="n">
        <v>128</v>
      </c>
      <c r="B133" s="105" t="inlineStr">
        <is>
          <t>2026/08/14 16:45</t>
        </is>
      </c>
      <c r="C133" s="105" t="inlineStr">
        <is>
          <t>NGUYỄN THỊ HƯỞNG</t>
        </is>
      </c>
      <c r="D133" s="105" t="inlineStr">
        <is>
          <t>12/04/1971</t>
        </is>
      </c>
      <c r="E133" s="105" t="inlineStr">
        <is>
          <t>Xét nghiệm đường máu mao mạch tại giường (một lần)[Nội trú]</t>
        </is>
      </c>
      <c r="F133" s="108" t="n">
        <v>1</v>
      </c>
      <c r="G133" s="236" t="n">
        <v>35000</v>
      </c>
      <c r="H133" s="95">
        <f>G133*21.21%</f>
        <v/>
      </c>
      <c r="I133" s="37" t="n"/>
    </row>
    <row r="134" ht="15.75" customFormat="1" customHeight="1" s="21">
      <c r="A134" s="94" t="n">
        <v>129</v>
      </c>
      <c r="B134" s="105" t="inlineStr">
        <is>
          <t>2026/08/15 05:00</t>
        </is>
      </c>
      <c r="C134" s="105" t="inlineStr">
        <is>
          <t>BÙI THỊ NGỜI</t>
        </is>
      </c>
      <c r="D134" s="105" t="inlineStr">
        <is>
          <t>01/01/1952</t>
        </is>
      </c>
      <c r="E134" s="105" t="inlineStr">
        <is>
          <t>Xét nghiệm đường máu mao mạch tại giường (một lần)[Nội trú]</t>
        </is>
      </c>
      <c r="F134" s="108" t="n">
        <v>1</v>
      </c>
      <c r="G134" s="236" t="n">
        <v>35000</v>
      </c>
      <c r="H134" s="95">
        <f>G134*21.21%</f>
        <v/>
      </c>
      <c r="I134" s="37" t="n"/>
    </row>
    <row r="135" ht="15.75" customFormat="1" customHeight="1" s="21">
      <c r="A135" s="94" t="n">
        <v>130</v>
      </c>
      <c r="B135" s="105" t="inlineStr">
        <is>
          <t>2026/08/15 05:00</t>
        </is>
      </c>
      <c r="C135" s="105" t="inlineStr">
        <is>
          <t>BÙI VĂN BẢY</t>
        </is>
      </c>
      <c r="D135" s="105" t="inlineStr">
        <is>
          <t>01/01/1963</t>
        </is>
      </c>
      <c r="E135" s="105" t="inlineStr">
        <is>
          <t>Xét nghiệm đường máu mao mạch tại giường (một lần)[Nội trú]</t>
        </is>
      </c>
      <c r="F135" s="108" t="n">
        <v>1</v>
      </c>
      <c r="G135" s="236" t="n">
        <v>16000</v>
      </c>
      <c r="H135" s="95">
        <f>G135*21.21%</f>
        <v/>
      </c>
      <c r="I135" s="37" t="n"/>
    </row>
    <row r="136" ht="15.75" customFormat="1" customHeight="1" s="21">
      <c r="A136" s="94" t="n">
        <v>131</v>
      </c>
      <c r="B136" s="105" t="inlineStr">
        <is>
          <t>2026/08/15 05:00</t>
        </is>
      </c>
      <c r="C136" s="105" t="inlineStr">
        <is>
          <t>NGUYỄN THỊ HƯỞNG</t>
        </is>
      </c>
      <c r="D136" s="105" t="inlineStr">
        <is>
          <t>12/04/1971</t>
        </is>
      </c>
      <c r="E136" s="105" t="inlineStr">
        <is>
          <t>Xét nghiệm đường máu mao mạch tại giường (một lần)[Nội trú]</t>
        </is>
      </c>
      <c r="F136" s="108" t="n">
        <v>1</v>
      </c>
      <c r="G136" s="236" t="n">
        <v>35000</v>
      </c>
      <c r="H136" s="95">
        <f>G136*21.21%</f>
        <v/>
      </c>
      <c r="I136" s="37" t="n"/>
    </row>
    <row r="137" ht="15.75" customFormat="1" customHeight="1" s="21">
      <c r="A137" s="94" t="n">
        <v>132</v>
      </c>
      <c r="B137" s="105" t="inlineStr">
        <is>
          <t>2026/08/15 05:00</t>
        </is>
      </c>
      <c r="C137" s="105" t="inlineStr">
        <is>
          <t>NGUYỄN THỊ HẰNG</t>
        </is>
      </c>
      <c r="D137" s="105" t="inlineStr">
        <is>
          <t>15/02/1963</t>
        </is>
      </c>
      <c r="E137" s="105" t="inlineStr">
        <is>
          <t>Xét nghiệm đường máu mao mạch tại giường (một lần)[Nội trú]</t>
        </is>
      </c>
      <c r="F137" s="108" t="n">
        <v>1</v>
      </c>
      <c r="G137" s="236" t="n">
        <v>16000</v>
      </c>
      <c r="H137" s="95">
        <f>G137*21.21%</f>
        <v/>
      </c>
      <c r="I137" s="37" t="n"/>
    </row>
    <row r="138" ht="15.75" customFormat="1" customHeight="1" s="21">
      <c r="A138" s="94" t="n">
        <v>133</v>
      </c>
      <c r="B138" s="105" t="inlineStr">
        <is>
          <t>2026/08/15 05:00</t>
        </is>
      </c>
      <c r="C138" s="105" t="inlineStr">
        <is>
          <t>TRẦN HIỀN</t>
        </is>
      </c>
      <c r="D138" s="105" t="inlineStr">
        <is>
          <t>01/01/1971</t>
        </is>
      </c>
      <c r="E138" s="105" t="inlineStr">
        <is>
          <t>Xét nghiệm đường máu mao mạch tại giường (một lần)[Nội trú]</t>
        </is>
      </c>
      <c r="F138" s="108" t="n">
        <v>1</v>
      </c>
      <c r="G138" s="236" t="n">
        <v>35000</v>
      </c>
      <c r="H138" s="95">
        <f>G138*21.21%</f>
        <v/>
      </c>
      <c r="I138" s="37" t="n"/>
    </row>
    <row r="139" ht="15.75" customFormat="1" customHeight="1" s="21">
      <c r="A139" s="94" t="n">
        <v>134</v>
      </c>
      <c r="B139" s="105" t="inlineStr">
        <is>
          <t>2026/08/15 05:00</t>
        </is>
      </c>
      <c r="C139" s="105" t="inlineStr">
        <is>
          <t>VÕ THÀNH LONG</t>
        </is>
      </c>
      <c r="D139" s="105" t="inlineStr">
        <is>
          <t>06/06/1966</t>
        </is>
      </c>
      <c r="E139" s="105" t="inlineStr">
        <is>
          <t>Xét nghiệm đường máu mao mạch tại giường (một lần)[Nội trú]</t>
        </is>
      </c>
      <c r="F139" s="108" t="n">
        <v>1</v>
      </c>
      <c r="G139" s="236" t="n">
        <v>35000</v>
      </c>
      <c r="H139" s="95">
        <f>G139*21.21%</f>
        <v/>
      </c>
      <c r="I139" s="37" t="n"/>
    </row>
    <row r="140" ht="15.75" customFormat="1" customHeight="1" s="21">
      <c r="A140" s="94" t="n">
        <v>135</v>
      </c>
      <c r="B140" s="105" t="inlineStr">
        <is>
          <t>2026/08/15 05:00</t>
        </is>
      </c>
      <c r="C140" s="105" t="inlineStr">
        <is>
          <t>NGUYỄN THỊ HẢI</t>
        </is>
      </c>
      <c r="D140" s="105" t="inlineStr">
        <is>
          <t>01/01/1951</t>
        </is>
      </c>
      <c r="E140" s="105" t="inlineStr">
        <is>
          <t>Xét nghiệm đường máu mao mạch tại giường (một lần)[Nội trú]</t>
        </is>
      </c>
      <c r="F140" s="108" t="n">
        <v>1</v>
      </c>
      <c r="G140" s="236" t="n">
        <v>16000</v>
      </c>
      <c r="H140" s="95">
        <f>G140*21.21%</f>
        <v/>
      </c>
      <c r="I140" s="37" t="n"/>
    </row>
    <row r="141" ht="15.75" customFormat="1" customHeight="1" s="21">
      <c r="A141" s="94" t="n">
        <v>136</v>
      </c>
      <c r="B141" s="105" t="inlineStr">
        <is>
          <t>2026/08/15 05:00</t>
        </is>
      </c>
      <c r="C141" s="105" t="inlineStr">
        <is>
          <t>VÕ VĂN ĐOÀN</t>
        </is>
      </c>
      <c r="D141" s="105" t="inlineStr">
        <is>
          <t>15/08/1978</t>
        </is>
      </c>
      <c r="E141" s="105" t="inlineStr">
        <is>
          <t>Xét nghiệm đường máu mao mạch tại giường (một lần)[Nội trú]</t>
        </is>
      </c>
      <c r="F141" s="108" t="n">
        <v>1</v>
      </c>
      <c r="G141" s="236" t="n">
        <v>16000</v>
      </c>
      <c r="H141" s="95">
        <f>G141*21.21%</f>
        <v/>
      </c>
      <c r="I141" s="37" t="n"/>
    </row>
    <row r="142" ht="15.75" customFormat="1" customHeight="1" s="21">
      <c r="A142" s="94" t="n">
        <v>137</v>
      </c>
      <c r="B142" s="105" t="inlineStr">
        <is>
          <t>2026/08/15 16:00</t>
        </is>
      </c>
      <c r="C142" s="105" t="inlineStr">
        <is>
          <t>BÙI VĂN BẢY</t>
        </is>
      </c>
      <c r="D142" s="105" t="inlineStr">
        <is>
          <t>01/01/1963</t>
        </is>
      </c>
      <c r="E142" s="105" t="inlineStr">
        <is>
          <t>Xét nghiệm đường máu mao mạch tại giường (một lần)[Nội trú]</t>
        </is>
      </c>
      <c r="F142" s="108" t="n">
        <v>1</v>
      </c>
      <c r="G142" s="236" t="n">
        <v>16000</v>
      </c>
      <c r="H142" s="95">
        <f>G142*21.21%</f>
        <v/>
      </c>
      <c r="I142" s="37" t="n"/>
    </row>
    <row r="143" ht="15.75" customFormat="1" customHeight="1" s="21">
      <c r="A143" s="94" t="n">
        <v>138</v>
      </c>
      <c r="B143" s="105" t="inlineStr">
        <is>
          <t>2026/08/15 16:00</t>
        </is>
      </c>
      <c r="C143" s="105" t="inlineStr">
        <is>
          <t>TRẦN HIỀN</t>
        </is>
      </c>
      <c r="D143" s="105" t="inlineStr">
        <is>
          <t>01/01/1971</t>
        </is>
      </c>
      <c r="E143" s="105" t="inlineStr">
        <is>
          <t>Xét nghiệm đường máu mao mạch tại giường (một lần)[Nội trú]</t>
        </is>
      </c>
      <c r="F143" s="108" t="n">
        <v>1</v>
      </c>
      <c r="G143" s="236" t="n">
        <v>35000</v>
      </c>
      <c r="H143" s="95">
        <f>G143*21.21%</f>
        <v/>
      </c>
      <c r="I143" s="37" t="n"/>
    </row>
    <row r="144" ht="15.75" customFormat="1" customHeight="1" s="21">
      <c r="A144" s="94" t="n">
        <v>139</v>
      </c>
      <c r="B144" s="105" t="inlineStr">
        <is>
          <t>2026/08/15 16:00</t>
        </is>
      </c>
      <c r="C144" s="105" t="inlineStr">
        <is>
          <t>VÕ THÀNH LONG</t>
        </is>
      </c>
      <c r="D144" s="105" t="inlineStr">
        <is>
          <t>06/06/1966</t>
        </is>
      </c>
      <c r="E144" s="105" t="inlineStr">
        <is>
          <t>Xét nghiệm đường máu mao mạch tại giường (một lần)[Nội trú]</t>
        </is>
      </c>
      <c r="F144" s="108" t="n">
        <v>1</v>
      </c>
      <c r="G144" s="236" t="n">
        <v>16000</v>
      </c>
      <c r="H144" s="95">
        <f>G144*21.21%</f>
        <v/>
      </c>
      <c r="I144" s="37" t="n"/>
    </row>
    <row r="145" ht="15.75" customFormat="1" customHeight="1" s="21">
      <c r="A145" s="94" t="n">
        <v>140</v>
      </c>
      <c r="B145" s="105" t="inlineStr">
        <is>
          <t>2026/08/15 16:00</t>
        </is>
      </c>
      <c r="C145" s="105" t="inlineStr">
        <is>
          <t>BÙI THỊ NGỜI</t>
        </is>
      </c>
      <c r="D145" s="105" t="inlineStr">
        <is>
          <t>01/01/1952</t>
        </is>
      </c>
      <c r="E145" s="105" t="inlineStr">
        <is>
          <t>Xét nghiệm đường máu mao mạch tại giường (một lần)[Nội trú]</t>
        </is>
      </c>
      <c r="F145" s="108" t="n">
        <v>1</v>
      </c>
      <c r="G145" s="236" t="n">
        <v>16000</v>
      </c>
      <c r="H145" s="95">
        <f>G145*21.21%</f>
        <v/>
      </c>
      <c r="I145" s="37" t="n"/>
    </row>
    <row r="146" ht="15.75" customFormat="1" customHeight="1" s="21">
      <c r="A146" s="94" t="n">
        <v>141</v>
      </c>
      <c r="B146" s="105" t="inlineStr">
        <is>
          <t>2026/08/15 16:00</t>
        </is>
      </c>
      <c r="C146" s="105" t="inlineStr">
        <is>
          <t>NGUYỄN THỊ HƯỞNG</t>
        </is>
      </c>
      <c r="D146" s="105" t="inlineStr">
        <is>
          <t>12/04/1971</t>
        </is>
      </c>
      <c r="E146" s="105" t="inlineStr">
        <is>
          <t>Xét nghiệm đường máu mao mạch tại giường (một lần)[Nội trú]</t>
        </is>
      </c>
      <c r="F146" s="108" t="n">
        <v>1</v>
      </c>
      <c r="G146" s="236" t="n">
        <v>16000</v>
      </c>
      <c r="H146" s="95">
        <f>G146*21.21%</f>
        <v/>
      </c>
      <c r="I146" s="37" t="n"/>
    </row>
    <row r="147" ht="15.75" customFormat="1" customHeight="1" s="21">
      <c r="A147" s="94" t="n">
        <v>142</v>
      </c>
      <c r="B147" s="105" t="inlineStr">
        <is>
          <t>2026/08/15 16:00</t>
        </is>
      </c>
      <c r="C147" s="105" t="inlineStr">
        <is>
          <t>NGUYỄN THỊ HẢI</t>
        </is>
      </c>
      <c r="D147" s="105" t="inlineStr">
        <is>
          <t>01/01/1951</t>
        </is>
      </c>
      <c r="E147" s="105" t="inlineStr">
        <is>
          <t>Xét nghiệm đường máu mao mạch tại giường (một lần)[Nội trú]</t>
        </is>
      </c>
      <c r="F147" s="108" t="n">
        <v>1</v>
      </c>
      <c r="G147" s="236" t="n">
        <v>16000</v>
      </c>
      <c r="H147" s="95">
        <f>G147*21.21%</f>
        <v/>
      </c>
      <c r="I147" s="37" t="n"/>
    </row>
    <row r="148" ht="15.75" customFormat="1" customHeight="1" s="21">
      <c r="A148" s="94" t="n">
        <v>143</v>
      </c>
      <c r="B148" s="105" t="inlineStr">
        <is>
          <t>2026/08/15 16:00</t>
        </is>
      </c>
      <c r="C148" s="105" t="inlineStr">
        <is>
          <t>VÕ VĂN ĐOÀN</t>
        </is>
      </c>
      <c r="D148" s="105" t="inlineStr">
        <is>
          <t>15/08/1978</t>
        </is>
      </c>
      <c r="E148" s="105" t="inlineStr">
        <is>
          <t>Xét nghiệm đường máu mao mạch tại giường (một lần)[Nội trú]</t>
        </is>
      </c>
      <c r="F148" s="108" t="n">
        <v>1</v>
      </c>
      <c r="G148" s="236" t="n">
        <v>16000</v>
      </c>
      <c r="H148" s="95">
        <f>G148*21.21%</f>
        <v/>
      </c>
      <c r="I148" s="37" t="n"/>
    </row>
    <row r="149" ht="15.75" customFormat="1" customHeight="1" s="21">
      <c r="A149" s="94" t="n">
        <v>144</v>
      </c>
      <c r="B149" s="105" t="inlineStr">
        <is>
          <t>2026/08/16 05:00</t>
        </is>
      </c>
      <c r="C149" s="105" t="inlineStr">
        <is>
          <t>BÙI HỮU THỌ</t>
        </is>
      </c>
      <c r="D149" s="105" t="inlineStr">
        <is>
          <t>01/02/1981</t>
        </is>
      </c>
      <c r="E149" s="105" t="inlineStr">
        <is>
          <t>Xét nghiệm đường máu mao mạch tại giường (một lần)[Nội trú]</t>
        </is>
      </c>
      <c r="F149" s="108" t="n">
        <v>1</v>
      </c>
      <c r="G149" s="236" t="n">
        <v>16000</v>
      </c>
      <c r="H149" s="95">
        <f>G149*21.21%</f>
        <v/>
      </c>
      <c r="I149" s="37" t="n"/>
    </row>
    <row r="150" ht="15.75" customFormat="1" customHeight="1" s="21">
      <c r="A150" s="94" t="n">
        <v>145</v>
      </c>
      <c r="B150" s="105" t="inlineStr">
        <is>
          <t>2026/08/16 05:00</t>
        </is>
      </c>
      <c r="C150" s="105" t="inlineStr">
        <is>
          <t>BÙI VĂN BẢY</t>
        </is>
      </c>
      <c r="D150" s="105" t="inlineStr">
        <is>
          <t>01/01/1963</t>
        </is>
      </c>
      <c r="E150" s="105" t="inlineStr">
        <is>
          <t>Xét nghiệm đường máu mao mạch tại giường (một lần)[Nội trú]</t>
        </is>
      </c>
      <c r="F150" s="108" t="n">
        <v>1</v>
      </c>
      <c r="G150" s="236" t="n">
        <v>16000</v>
      </c>
      <c r="H150" s="95">
        <f>G150*21.21%</f>
        <v/>
      </c>
      <c r="I150" s="37" t="n"/>
    </row>
    <row r="151" ht="15.75" customFormat="1" customHeight="1" s="21">
      <c r="A151" s="94" t="n">
        <v>146</v>
      </c>
      <c r="B151" s="105" t="inlineStr">
        <is>
          <t>2026/08/16 05:00</t>
        </is>
      </c>
      <c r="C151" s="105" t="inlineStr">
        <is>
          <t>NGUYỄN THỊ HẰNG</t>
        </is>
      </c>
      <c r="D151" s="105" t="inlineStr">
        <is>
          <t>15/02/1963</t>
        </is>
      </c>
      <c r="E151" s="105" t="inlineStr">
        <is>
          <t>Xét nghiệm đường máu mao mạch tại giường (một lần)[Nội trú]</t>
        </is>
      </c>
      <c r="F151" s="108" t="n">
        <v>1</v>
      </c>
      <c r="G151" s="236" t="n">
        <v>35000</v>
      </c>
      <c r="H151" s="95">
        <f>G151*21.21%</f>
        <v/>
      </c>
      <c r="I151" s="37" t="n"/>
    </row>
    <row r="152" ht="15.75" customFormat="1" customHeight="1" s="21">
      <c r="A152" s="94" t="n">
        <v>147</v>
      </c>
      <c r="B152" s="105" t="inlineStr">
        <is>
          <t>2026/08/16 05:00</t>
        </is>
      </c>
      <c r="C152" s="105" t="inlineStr">
        <is>
          <t>NGUYỄN THỊ HƯỞNG</t>
        </is>
      </c>
      <c r="D152" s="105" t="inlineStr">
        <is>
          <t>12/04/1971</t>
        </is>
      </c>
      <c r="E152" s="105" t="inlineStr">
        <is>
          <t>Xét nghiệm đường máu mao mạch tại giường (một lần)[Nội trú]</t>
        </is>
      </c>
      <c r="F152" s="108" t="n">
        <v>1</v>
      </c>
      <c r="G152" s="236" t="n">
        <v>16000</v>
      </c>
      <c r="H152" s="95">
        <f>G152*21.21%</f>
        <v/>
      </c>
      <c r="I152" s="37" t="n"/>
    </row>
    <row r="153" ht="15.75" customFormat="1" customHeight="1" s="21">
      <c r="A153" s="94" t="n">
        <v>148</v>
      </c>
      <c r="B153" s="105" t="inlineStr">
        <is>
          <t>2026/08/16 11:00</t>
        </is>
      </c>
      <c r="C153" s="105" t="inlineStr">
        <is>
          <t>BÙI HỮU THỌ</t>
        </is>
      </c>
      <c r="D153" s="105" t="inlineStr">
        <is>
          <t>01/02/1981</t>
        </is>
      </c>
      <c r="E153" s="105" t="inlineStr">
        <is>
          <t>Xét nghiệm đường máu mao mạch tại giường (một lần)[Nội trú]</t>
        </is>
      </c>
      <c r="F153" s="108" t="n">
        <v>1</v>
      </c>
      <c r="G153" s="236" t="n">
        <v>16000</v>
      </c>
      <c r="H153" s="95">
        <f>G153*21.21%</f>
        <v/>
      </c>
      <c r="I153" s="37" t="n"/>
    </row>
    <row r="154" ht="15.75" customFormat="1" customHeight="1" s="21">
      <c r="A154" s="94" t="n">
        <v>149</v>
      </c>
      <c r="B154" s="105" t="inlineStr">
        <is>
          <t>2026/08/16 16:00</t>
        </is>
      </c>
      <c r="C154" s="105" t="inlineStr">
        <is>
          <t>BÙI HỮU THỌ</t>
        </is>
      </c>
      <c r="D154" s="105" t="inlineStr">
        <is>
          <t>01/02/1981</t>
        </is>
      </c>
      <c r="E154" s="105" t="inlineStr">
        <is>
          <t>Xét nghiệm đường máu mao mạch tại giường (một lần)[Nội trú]</t>
        </is>
      </c>
      <c r="F154" s="108" t="n">
        <v>1</v>
      </c>
      <c r="G154" s="236" t="n">
        <v>16000</v>
      </c>
      <c r="H154" s="95">
        <f>G154*21.21%</f>
        <v/>
      </c>
      <c r="I154" s="37" t="n"/>
    </row>
    <row r="155" ht="15.75" customFormat="1" customHeight="1" s="21">
      <c r="A155" s="94" t="n">
        <v>150</v>
      </c>
      <c r="B155" s="105" t="inlineStr">
        <is>
          <t>2026/08/16 16:00</t>
        </is>
      </c>
      <c r="C155" s="105" t="inlineStr">
        <is>
          <t>BÙI VĂN BẢY</t>
        </is>
      </c>
      <c r="D155" s="105" t="inlineStr">
        <is>
          <t>01/01/1963</t>
        </is>
      </c>
      <c r="E155" s="105" t="inlineStr">
        <is>
          <t>Xét nghiệm đường máu mao mạch tại giường (một lần)[Nội trú]</t>
        </is>
      </c>
      <c r="F155" s="108" t="n">
        <v>1</v>
      </c>
      <c r="G155" s="236" t="n">
        <v>35000</v>
      </c>
      <c r="H155" s="95">
        <f>G155*21.21%</f>
        <v/>
      </c>
      <c r="I155" s="37" t="n"/>
    </row>
    <row r="156" ht="15.75" customFormat="1" customHeight="1" s="21">
      <c r="A156" s="94" t="n">
        <v>151</v>
      </c>
      <c r="B156" s="105" t="inlineStr">
        <is>
          <t>2026/08/16 16:00</t>
        </is>
      </c>
      <c r="C156" s="105" t="inlineStr">
        <is>
          <t>NGUYỄN THỊ HƯỞNG</t>
        </is>
      </c>
      <c r="D156" s="105" t="inlineStr">
        <is>
          <t>12/04/1971</t>
        </is>
      </c>
      <c r="E156" s="105" t="inlineStr">
        <is>
          <t>Xét nghiệm đường máu mao mạch tại giường (một lần)[Nội trú]</t>
        </is>
      </c>
      <c r="F156" s="108" t="n">
        <v>1</v>
      </c>
      <c r="G156" s="236" t="n">
        <v>35000</v>
      </c>
      <c r="H156" s="95">
        <f>G156*21.21%</f>
        <v/>
      </c>
      <c r="I156" s="37" t="n"/>
    </row>
    <row r="157" ht="15.75" customFormat="1" customHeight="1" s="21">
      <c r="A157" s="94" t="n">
        <v>152</v>
      </c>
      <c r="B157" s="105" t="inlineStr">
        <is>
          <t>2026/08/16 16:00</t>
        </is>
      </c>
      <c r="C157" s="105" t="inlineStr">
        <is>
          <t>NGUYỄN THỊ HẰNG</t>
        </is>
      </c>
      <c r="D157" s="105" t="inlineStr">
        <is>
          <t>15/02/1963</t>
        </is>
      </c>
      <c r="E157" s="105" t="inlineStr">
        <is>
          <t>Xét nghiệm đường máu mao mạch tại giường (một lần)[Nội trú]</t>
        </is>
      </c>
      <c r="F157" s="108" t="n">
        <v>1</v>
      </c>
      <c r="G157" s="236" t="n">
        <v>35000</v>
      </c>
      <c r="H157" s="95">
        <f>G157*21.21%</f>
        <v/>
      </c>
      <c r="I157" s="37" t="n"/>
    </row>
    <row r="158" ht="15.75" customFormat="1" customHeight="1" s="21">
      <c r="A158" s="94" t="n">
        <v>153</v>
      </c>
      <c r="B158" s="105" t="inlineStr">
        <is>
          <t>2026/08/16 16:00</t>
        </is>
      </c>
      <c r="C158" s="105" t="inlineStr">
        <is>
          <t>TRƯƠNG TRUNG TRỰC</t>
        </is>
      </c>
      <c r="D158" s="105" t="inlineStr">
        <is>
          <t>01/09/1942</t>
        </is>
      </c>
      <c r="E158" s="105" t="inlineStr">
        <is>
          <t>Xét nghiệm đường máu mao mạch tại giường (một lần)[Nội trú]</t>
        </is>
      </c>
      <c r="F158" s="108" t="n">
        <v>1</v>
      </c>
      <c r="G158" s="236" t="n">
        <v>35000</v>
      </c>
      <c r="H158" s="95">
        <f>G158*21.21%</f>
        <v/>
      </c>
      <c r="I158" s="37" t="n"/>
    </row>
    <row r="159" ht="15.75" customFormat="1" customHeight="1" s="21">
      <c r="A159" s="94" t="n">
        <v>154</v>
      </c>
      <c r="B159" s="105" t="inlineStr">
        <is>
          <t>2026/08/16 16:00</t>
        </is>
      </c>
      <c r="C159" s="105" t="inlineStr">
        <is>
          <t>TRẦN HIỀN</t>
        </is>
      </c>
      <c r="D159" s="105" t="inlineStr">
        <is>
          <t>01/01/1971</t>
        </is>
      </c>
      <c r="E159" s="105" t="inlineStr">
        <is>
          <t>Xét nghiệm đường máu mao mạch tại giường (một lần)[Nội trú]</t>
        </is>
      </c>
      <c r="F159" s="108" t="n">
        <v>1</v>
      </c>
      <c r="G159" s="236" t="n">
        <v>35000</v>
      </c>
      <c r="H159" s="95">
        <f>G159*21.21%</f>
        <v/>
      </c>
      <c r="I159" s="37" t="n"/>
    </row>
    <row r="160" ht="15.75" customFormat="1" customHeight="1" s="21">
      <c r="A160" s="94" t="n">
        <v>155</v>
      </c>
      <c r="B160" s="105" t="inlineStr">
        <is>
          <t>2026/08/17 05:00</t>
        </is>
      </c>
      <c r="C160" s="105" t="inlineStr">
        <is>
          <t>BÙI HỮU THỌ</t>
        </is>
      </c>
      <c r="D160" s="105" t="inlineStr">
        <is>
          <t>01/02/1981</t>
        </is>
      </c>
      <c r="E160" s="105" t="inlineStr">
        <is>
          <t>Xét nghiệm đường máu mao mạch tại giường (một lần)[Nội trú]</t>
        </is>
      </c>
      <c r="F160" s="108" t="n">
        <v>1</v>
      </c>
      <c r="G160" s="236" t="n">
        <v>16000</v>
      </c>
      <c r="H160" s="95">
        <f>G160*21.21%</f>
        <v/>
      </c>
      <c r="I160" s="37" t="n"/>
    </row>
    <row r="161" ht="15.75" customFormat="1" customHeight="1" s="21">
      <c r="A161" s="94" t="n">
        <v>156</v>
      </c>
      <c r="B161" s="105" t="inlineStr">
        <is>
          <t>2026/08/17 05:00</t>
        </is>
      </c>
      <c r="C161" s="105" t="inlineStr">
        <is>
          <t>BÙI THỊ NGỜI</t>
        </is>
      </c>
      <c r="D161" s="105" t="inlineStr">
        <is>
          <t>01/01/1952</t>
        </is>
      </c>
      <c r="E161" s="105" t="inlineStr">
        <is>
          <t>Xét nghiệm đường máu mao mạch tại giường (một lần)[Nội trú]</t>
        </is>
      </c>
      <c r="F161" s="108" t="n">
        <v>1</v>
      </c>
      <c r="G161" s="236" t="n">
        <v>35000</v>
      </c>
      <c r="H161" s="95">
        <f>G161*21.21%</f>
        <v/>
      </c>
      <c r="I161" s="37" t="n"/>
    </row>
    <row r="162" ht="15.75" customFormat="1" customHeight="1" s="21">
      <c r="A162" s="94" t="n">
        <v>157</v>
      </c>
      <c r="B162" s="105" t="inlineStr">
        <is>
          <t>2026/08/17 05:00</t>
        </is>
      </c>
      <c r="C162" s="105" t="inlineStr">
        <is>
          <t>BÙI VĂN BẢY</t>
        </is>
      </c>
      <c r="D162" s="105" t="inlineStr">
        <is>
          <t>01/01/1963</t>
        </is>
      </c>
      <c r="E162" s="105" t="inlineStr">
        <is>
          <t>Xét nghiệm đường máu mao mạch tại giường (một lần)[Nội trú]</t>
        </is>
      </c>
      <c r="F162" s="108" t="n">
        <v>1</v>
      </c>
      <c r="G162" s="236" t="n">
        <v>35000</v>
      </c>
      <c r="H162" s="95">
        <f>G162*21.21%</f>
        <v/>
      </c>
      <c r="I162" s="37" t="n"/>
    </row>
    <row r="163" ht="15.75" customFormat="1" customHeight="1" s="21">
      <c r="A163" s="94" t="n">
        <v>158</v>
      </c>
      <c r="B163" s="105" t="inlineStr">
        <is>
          <t>2026/08/17 05:00</t>
        </is>
      </c>
      <c r="C163" s="105" t="inlineStr">
        <is>
          <t>NGUYỄN THỊ HƯỞNG</t>
        </is>
      </c>
      <c r="D163" s="105" t="inlineStr">
        <is>
          <t>12/04/1971</t>
        </is>
      </c>
      <c r="E163" s="105" t="inlineStr">
        <is>
          <t>Xét nghiệm đường máu mao mạch tại giường (một lần)[Nội trú]</t>
        </is>
      </c>
      <c r="F163" s="108" t="n">
        <v>1</v>
      </c>
      <c r="G163" s="236" t="n">
        <v>35000</v>
      </c>
      <c r="H163" s="95">
        <f>G163*21.21%</f>
        <v/>
      </c>
      <c r="I163" s="37" t="n"/>
    </row>
    <row r="164" ht="15.75" customFormat="1" customHeight="1" s="21">
      <c r="A164" s="94" t="n">
        <v>159</v>
      </c>
      <c r="B164" s="105" t="inlineStr">
        <is>
          <t>2026/08/17 05:00</t>
        </is>
      </c>
      <c r="C164" s="105" t="inlineStr">
        <is>
          <t>NGUYỄN THỊ HẰNG</t>
        </is>
      </c>
      <c r="D164" s="105" t="inlineStr">
        <is>
          <t>15/02/1963</t>
        </is>
      </c>
      <c r="E164" s="105" t="inlineStr">
        <is>
          <t>Xét nghiệm đường máu mao mạch tại giường (một lần)[Nội trú]</t>
        </is>
      </c>
      <c r="F164" s="108" t="n">
        <v>1</v>
      </c>
      <c r="G164" s="236" t="n">
        <v>35000</v>
      </c>
      <c r="H164" s="95">
        <f>G164*21.21%</f>
        <v/>
      </c>
      <c r="I164" s="37" t="n"/>
    </row>
    <row r="165" ht="15.75" customFormat="1" customHeight="1" s="21">
      <c r="A165" s="94" t="n">
        <v>160</v>
      </c>
      <c r="B165" s="105" t="inlineStr">
        <is>
          <t>2026/08/17 05:00</t>
        </is>
      </c>
      <c r="C165" s="105" t="inlineStr">
        <is>
          <t>NGUYỄN THỊ LAN</t>
        </is>
      </c>
      <c r="D165" s="105" t="inlineStr">
        <is>
          <t>10/10/1958</t>
        </is>
      </c>
      <c r="E165" s="105" t="inlineStr">
        <is>
          <t>Xét nghiệm đường máu mao mạch tại giường (một lần)[Nội trú]</t>
        </is>
      </c>
      <c r="F165" s="108" t="n">
        <v>1</v>
      </c>
      <c r="G165" s="236" t="n">
        <v>35000</v>
      </c>
      <c r="H165" s="95">
        <f>G165*21.21%</f>
        <v/>
      </c>
      <c r="I165" s="37" t="n"/>
    </row>
    <row r="166" ht="15.75" customFormat="1" customHeight="1" s="21">
      <c r="A166" s="94" t="n">
        <v>161</v>
      </c>
      <c r="B166" s="105" t="inlineStr">
        <is>
          <t>2026/08/17 05:00</t>
        </is>
      </c>
      <c r="C166" s="105" t="inlineStr">
        <is>
          <t>VÕ THÀNH LONG</t>
        </is>
      </c>
      <c r="D166" s="105" t="inlineStr">
        <is>
          <t>06/06/1966</t>
        </is>
      </c>
      <c r="E166" s="105" t="inlineStr">
        <is>
          <t>Xét nghiệm đường máu mao mạch tại giường (một lần)[Nội trú]</t>
        </is>
      </c>
      <c r="F166" s="108" t="n">
        <v>1</v>
      </c>
      <c r="G166" s="236" t="n">
        <v>35000</v>
      </c>
      <c r="H166" s="95">
        <f>G166*21.21%</f>
        <v/>
      </c>
      <c r="I166" s="37" t="n"/>
    </row>
    <row r="167" ht="15.75" customFormat="1" customHeight="1" s="21">
      <c r="A167" s="94" t="n">
        <v>162</v>
      </c>
      <c r="B167" s="105" t="inlineStr">
        <is>
          <t>2026/08/17 05:00</t>
        </is>
      </c>
      <c r="C167" s="105" t="inlineStr">
        <is>
          <t>VÕ VĂN ĐOÀN</t>
        </is>
      </c>
      <c r="D167" s="105" t="inlineStr">
        <is>
          <t>15/08/1978</t>
        </is>
      </c>
      <c r="E167" s="105" t="inlineStr">
        <is>
          <t>Xét nghiệm đường máu mao mạch tại giường (một lần)[Nội trú]</t>
        </is>
      </c>
      <c r="F167" s="108" t="n">
        <v>1</v>
      </c>
      <c r="G167" s="236" t="n">
        <v>35000</v>
      </c>
      <c r="H167" s="95">
        <f>G167*21.21%</f>
        <v/>
      </c>
      <c r="I167" s="37" t="n"/>
    </row>
    <row r="168" ht="15.75" customFormat="1" customHeight="1" s="21">
      <c r="A168" s="94" t="n">
        <v>163</v>
      </c>
      <c r="B168" s="105" t="inlineStr">
        <is>
          <t>2026/08/17 05:00</t>
        </is>
      </c>
      <c r="C168" s="105" t="inlineStr">
        <is>
          <t>NGUYỄN THỊ HẢI</t>
        </is>
      </c>
      <c r="D168" s="105" t="inlineStr">
        <is>
          <t>01/01/1951</t>
        </is>
      </c>
      <c r="E168" s="105" t="inlineStr">
        <is>
          <t>Xét nghiệm đường máu mao mạch tại giường (một lần)[Nội trú]</t>
        </is>
      </c>
      <c r="F168" s="108" t="n">
        <v>1</v>
      </c>
      <c r="G168" s="236" t="n">
        <v>16000</v>
      </c>
      <c r="H168" s="95">
        <f>G168*21.21%</f>
        <v/>
      </c>
      <c r="I168" s="37" t="n"/>
    </row>
    <row r="169" ht="15.75" customFormat="1" customHeight="1" s="21">
      <c r="A169" s="94" t="n">
        <v>164</v>
      </c>
      <c r="B169" s="105" t="inlineStr">
        <is>
          <t>2026/08/17 11:00</t>
        </is>
      </c>
      <c r="C169" s="105" t="inlineStr">
        <is>
          <t>BÙI HỮU THỌ</t>
        </is>
      </c>
      <c r="D169" s="105" t="inlineStr">
        <is>
          <t>01/02/1981</t>
        </is>
      </c>
      <c r="E169" s="105" t="inlineStr">
        <is>
          <t>Xét nghiệm đường máu mao mạch tại giường (một lần)[Nội trú]</t>
        </is>
      </c>
      <c r="F169" s="108" t="n">
        <v>1</v>
      </c>
      <c r="G169" s="236" t="n">
        <v>16000</v>
      </c>
      <c r="H169" s="95">
        <f>G169*21.21%</f>
        <v/>
      </c>
      <c r="I169" s="37" t="n"/>
    </row>
    <row r="170" ht="15.75" customFormat="1" customHeight="1" s="21">
      <c r="A170" s="94" t="n">
        <v>165</v>
      </c>
      <c r="B170" s="105" t="inlineStr">
        <is>
          <t>2026/08/17 11:00</t>
        </is>
      </c>
      <c r="C170" s="105" t="inlineStr">
        <is>
          <t>NGUYỄN THỊ HẰNG</t>
        </is>
      </c>
      <c r="D170" s="105" t="inlineStr">
        <is>
          <t>15/02/1963</t>
        </is>
      </c>
      <c r="E170" s="105" t="inlineStr">
        <is>
          <t>Xét nghiệm đường máu mao mạch tại giường (một lần)[Nội trú]</t>
        </is>
      </c>
      <c r="F170" s="108" t="n">
        <v>1</v>
      </c>
      <c r="G170" s="236" t="n">
        <v>35000</v>
      </c>
      <c r="H170" s="95">
        <f>G170*21.21%</f>
        <v/>
      </c>
      <c r="I170" s="37" t="n"/>
    </row>
    <row r="171" ht="15.75" customFormat="1" customHeight="1" s="21">
      <c r="A171" s="94" t="n">
        <v>166</v>
      </c>
      <c r="B171" s="105" t="inlineStr">
        <is>
          <t>2026/08/17 16:00</t>
        </is>
      </c>
      <c r="C171" s="105" t="inlineStr">
        <is>
          <t>BÙI HỮU THỌ</t>
        </is>
      </c>
      <c r="D171" s="105" t="inlineStr">
        <is>
          <t>01/02/1981</t>
        </is>
      </c>
      <c r="E171" s="105" t="inlineStr">
        <is>
          <t>Xét nghiệm đường máu mao mạch tại giường (một lần)[Nội trú]</t>
        </is>
      </c>
      <c r="F171" s="108" t="n">
        <v>1</v>
      </c>
      <c r="G171" s="236" t="n">
        <v>16000</v>
      </c>
      <c r="H171" s="95">
        <f>G171*21.21%</f>
        <v/>
      </c>
      <c r="I171" s="37" t="n"/>
    </row>
    <row r="172" ht="15.75" customFormat="1" customHeight="1" s="21">
      <c r="A172" s="94" t="n">
        <v>167</v>
      </c>
      <c r="B172" s="105" t="inlineStr">
        <is>
          <t>2026/08/17 16:00</t>
        </is>
      </c>
      <c r="C172" s="105" t="inlineStr">
        <is>
          <t>BÙI THỊ NGỜI</t>
        </is>
      </c>
      <c r="D172" s="105" t="inlineStr">
        <is>
          <t>01/01/1952</t>
        </is>
      </c>
      <c r="E172" s="105" t="inlineStr">
        <is>
          <t>Xét nghiệm đường máu mao mạch tại giường (một lần)[Nội trú]</t>
        </is>
      </c>
      <c r="F172" s="108" t="n">
        <v>1</v>
      </c>
      <c r="G172" s="236" t="n">
        <v>35000</v>
      </c>
      <c r="H172" s="95">
        <f>G172*21.21%</f>
        <v/>
      </c>
      <c r="I172" s="37" t="n"/>
    </row>
    <row r="173" ht="15.75" customFormat="1" customHeight="1" s="21">
      <c r="A173" s="94" t="n">
        <v>168</v>
      </c>
      <c r="B173" s="105" t="inlineStr">
        <is>
          <t>2026/08/17 16:00</t>
        </is>
      </c>
      <c r="C173" s="105" t="inlineStr">
        <is>
          <t>BÙI VĂN BẢY</t>
        </is>
      </c>
      <c r="D173" s="105" t="inlineStr">
        <is>
          <t>01/01/1963</t>
        </is>
      </c>
      <c r="E173" s="105" t="inlineStr">
        <is>
          <t>Xét nghiệm đường máu mao mạch tại giường (một lần)[Nội trú]</t>
        </is>
      </c>
      <c r="F173" s="108" t="n">
        <v>1</v>
      </c>
      <c r="G173" s="236" t="n">
        <v>35000</v>
      </c>
      <c r="H173" s="95">
        <f>G173*21.21%</f>
        <v/>
      </c>
      <c r="I173" s="37" t="n"/>
    </row>
    <row r="174" ht="15.75" customFormat="1" customHeight="1" s="21">
      <c r="A174" s="94" t="n">
        <v>169</v>
      </c>
      <c r="B174" s="105" t="inlineStr">
        <is>
          <t>2026/08/17 16:00</t>
        </is>
      </c>
      <c r="C174" s="105" t="inlineStr">
        <is>
          <t>NGUYỄN THỊ HẰNG</t>
        </is>
      </c>
      <c r="D174" s="105" t="inlineStr">
        <is>
          <t>15/02/1963</t>
        </is>
      </c>
      <c r="E174" s="105" t="inlineStr">
        <is>
          <t>Xét nghiệm đường máu mao mạch tại giường (một lần)[Nội trú]</t>
        </is>
      </c>
      <c r="F174" s="108" t="n">
        <v>1</v>
      </c>
      <c r="G174" s="236" t="n">
        <v>35000</v>
      </c>
      <c r="H174" s="95">
        <f>G174*21.21%</f>
        <v/>
      </c>
      <c r="I174" s="37" t="n"/>
    </row>
    <row r="175" ht="15.75" customFormat="1" customHeight="1" s="21">
      <c r="A175" s="94" t="n">
        <v>170</v>
      </c>
      <c r="B175" s="105" t="inlineStr">
        <is>
          <t>2026/08/17 16:02</t>
        </is>
      </c>
      <c r="C175" s="105" t="inlineStr">
        <is>
          <t>NGUYỄN THỊ LAN</t>
        </is>
      </c>
      <c r="D175" s="105" t="inlineStr">
        <is>
          <t>10/10/1958</t>
        </is>
      </c>
      <c r="E175" s="105" t="inlineStr">
        <is>
          <t>Xét nghiệm đường máu mao mạch tại giường (một lần)[Nội trú]</t>
        </is>
      </c>
      <c r="F175" s="108" t="n">
        <v>1</v>
      </c>
      <c r="G175" s="236" t="n">
        <v>35000</v>
      </c>
      <c r="H175" s="95">
        <f>G175*21.21%</f>
        <v/>
      </c>
      <c r="I175" s="37" t="n"/>
    </row>
    <row r="176" ht="15.75" customFormat="1" customHeight="1" s="21">
      <c r="A176" s="94" t="n">
        <v>171</v>
      </c>
      <c r="B176" s="105" t="inlineStr">
        <is>
          <t>2026/08/17 20:00</t>
        </is>
      </c>
      <c r="C176" s="105" t="inlineStr">
        <is>
          <t>BÙI HỮU THỌ</t>
        </is>
      </c>
      <c r="D176" s="105" t="inlineStr">
        <is>
          <t>01/02/1981</t>
        </is>
      </c>
      <c r="E176" s="105" t="inlineStr">
        <is>
          <t>Xét nghiệm đường máu mao mạch tại giường (một lần)[Nội trú]</t>
        </is>
      </c>
      <c r="F176" s="108" t="n">
        <v>1</v>
      </c>
      <c r="G176" s="236" t="n">
        <v>16000</v>
      </c>
      <c r="H176" s="95">
        <f>G176*21.21%</f>
        <v/>
      </c>
      <c r="I176" s="37" t="n"/>
    </row>
    <row r="177" ht="15.75" customFormat="1" customHeight="1" s="21">
      <c r="A177" s="94" t="n">
        <v>172</v>
      </c>
      <c r="B177" s="105" t="inlineStr">
        <is>
          <t>2026/08/18 05:00</t>
        </is>
      </c>
      <c r="C177" s="105" t="inlineStr">
        <is>
          <t>BÙI HỮU THỌ</t>
        </is>
      </c>
      <c r="D177" s="105" t="inlineStr">
        <is>
          <t>01/02/1981</t>
        </is>
      </c>
      <c r="E177" s="105" t="inlineStr">
        <is>
          <t>Xét nghiệm đường máu mao mạch tại giường (một lần)[Nội trú]</t>
        </is>
      </c>
      <c r="F177" s="108" t="n">
        <v>1</v>
      </c>
      <c r="G177" s="236" t="n">
        <v>16000</v>
      </c>
      <c r="H177" s="95">
        <f>G177*21.21%</f>
        <v/>
      </c>
      <c r="I177" s="37" t="n"/>
    </row>
    <row r="178" ht="15.75" customFormat="1" customHeight="1" s="21">
      <c r="A178" s="94" t="n">
        <v>173</v>
      </c>
      <c r="B178" s="105" t="inlineStr">
        <is>
          <t>2026/08/18 05:00</t>
        </is>
      </c>
      <c r="C178" s="105" t="inlineStr">
        <is>
          <t>BÙI THỊ NGỜI</t>
        </is>
      </c>
      <c r="D178" s="105" t="inlineStr">
        <is>
          <t>01/01/1952</t>
        </is>
      </c>
      <c r="E178" s="105" t="inlineStr">
        <is>
          <t>Xét nghiệm đường máu mao mạch tại giường (một lần)[Nội trú]</t>
        </is>
      </c>
      <c r="F178" s="108" t="n">
        <v>1</v>
      </c>
      <c r="G178" s="236" t="n">
        <v>35000</v>
      </c>
      <c r="H178" s="95">
        <f>G178*21.21%</f>
        <v/>
      </c>
      <c r="I178" s="37" t="n"/>
    </row>
    <row r="179" ht="15.75" customFormat="1" customHeight="1" s="21">
      <c r="A179" s="94" t="n">
        <v>174</v>
      </c>
      <c r="B179" s="105" t="inlineStr">
        <is>
          <t>2026/08/18 05:00</t>
        </is>
      </c>
      <c r="C179" s="105" t="inlineStr">
        <is>
          <t>BÙI VĂN BẢY</t>
        </is>
      </c>
      <c r="D179" s="105" t="inlineStr">
        <is>
          <t>01/01/1963</t>
        </is>
      </c>
      <c r="E179" s="105" t="inlineStr">
        <is>
          <t>Xét nghiệm đường máu mao mạch tại giường (một lần)[Nội trú]</t>
        </is>
      </c>
      <c r="F179" s="108" t="n">
        <v>1</v>
      </c>
      <c r="G179" s="236" t="n">
        <v>35000</v>
      </c>
      <c r="H179" s="95">
        <f>G179*21.21%</f>
        <v/>
      </c>
      <c r="I179" s="37" t="n"/>
    </row>
    <row r="180" ht="15.75" customFormat="1" customHeight="1" s="21">
      <c r="A180" s="94" t="n">
        <v>175</v>
      </c>
      <c r="B180" s="105" t="inlineStr">
        <is>
          <t>2026/08/18 05:00</t>
        </is>
      </c>
      <c r="C180" s="105" t="inlineStr">
        <is>
          <t>NGUYỄN THỊ HÈ</t>
        </is>
      </c>
      <c r="D180" s="105" t="inlineStr">
        <is>
          <t>01/01/1968</t>
        </is>
      </c>
      <c r="E180" s="105" t="inlineStr">
        <is>
          <t>Xét nghiệm đường máu mao mạch tại giường (một lần)[Nội trú]</t>
        </is>
      </c>
      <c r="F180" s="108" t="n">
        <v>1</v>
      </c>
      <c r="G180" s="236" t="n">
        <v>35000</v>
      </c>
      <c r="H180" s="95">
        <f>G180*21.21%</f>
        <v/>
      </c>
      <c r="I180" s="37" t="n"/>
    </row>
    <row r="181" ht="15.75" customFormat="1" customHeight="1" s="21">
      <c r="A181" s="94" t="n">
        <v>176</v>
      </c>
      <c r="B181" s="105" t="inlineStr">
        <is>
          <t>2026/08/18 05:00</t>
        </is>
      </c>
      <c r="C181" s="105" t="inlineStr">
        <is>
          <t>NGUYỄN THỊ HẰNG</t>
        </is>
      </c>
      <c r="D181" s="105" t="inlineStr">
        <is>
          <t>15/02/1963</t>
        </is>
      </c>
      <c r="E181" s="105" t="inlineStr">
        <is>
          <t>Xét nghiệm đường máu mao mạch tại giường (một lần)[Nội trú]</t>
        </is>
      </c>
      <c r="F181" s="108" t="n">
        <v>1</v>
      </c>
      <c r="G181" s="236" t="n">
        <v>35000</v>
      </c>
      <c r="H181" s="95">
        <f>G181*21.21%</f>
        <v/>
      </c>
      <c r="I181" s="37" t="n"/>
    </row>
    <row r="182" ht="15.75" customFormat="1" customHeight="1" s="21">
      <c r="A182" s="94" t="n">
        <v>177</v>
      </c>
      <c r="B182" s="105" t="inlineStr">
        <is>
          <t>2026/08/18 05:00</t>
        </is>
      </c>
      <c r="C182" s="105" t="inlineStr">
        <is>
          <t>NGUYỄN THỊ LAN</t>
        </is>
      </c>
      <c r="D182" s="105" t="inlineStr">
        <is>
          <t>10/10/1958</t>
        </is>
      </c>
      <c r="E182" s="105" t="inlineStr">
        <is>
          <t>Xét nghiệm đường máu mao mạch tại giường (một lần)[Nội trú]</t>
        </is>
      </c>
      <c r="F182" s="108" t="n">
        <v>1</v>
      </c>
      <c r="G182" s="236" t="n">
        <v>35000</v>
      </c>
      <c r="H182" s="95">
        <f>G182*21.21%</f>
        <v/>
      </c>
      <c r="I182" s="37" t="n"/>
    </row>
    <row r="183" ht="15.75" customFormat="1" customHeight="1" s="21">
      <c r="A183" s="94" t="n">
        <v>178</v>
      </c>
      <c r="B183" s="105" t="inlineStr">
        <is>
          <t>2026/08/18 07:00</t>
        </is>
      </c>
      <c r="C183" s="105" t="inlineStr">
        <is>
          <t>NGUYỄN THỊ HÈ</t>
        </is>
      </c>
      <c r="D183" s="105" t="inlineStr">
        <is>
          <t>01/01/1968</t>
        </is>
      </c>
      <c r="E183" s="105" t="inlineStr">
        <is>
          <t>Xét nghiệm đường máu mao mạch tại giường (một lần)[Nội trú]</t>
        </is>
      </c>
      <c r="F183" s="108" t="n">
        <v>1</v>
      </c>
      <c r="G183" s="236" t="n">
        <v>35000</v>
      </c>
      <c r="H183" s="95">
        <f>G183*21.21%</f>
        <v/>
      </c>
      <c r="I183" s="37" t="n"/>
    </row>
    <row r="184" ht="15.75" customFormat="1" customHeight="1" s="21">
      <c r="A184" s="94" t="n">
        <v>179</v>
      </c>
      <c r="B184" s="105" t="inlineStr">
        <is>
          <t>2026/08/18 11:00</t>
        </is>
      </c>
      <c r="C184" s="105" t="inlineStr">
        <is>
          <t>BÙI HỮU THỌ</t>
        </is>
      </c>
      <c r="D184" s="105" t="inlineStr">
        <is>
          <t>01/02/1981</t>
        </is>
      </c>
      <c r="E184" s="105" t="inlineStr">
        <is>
          <t>Xét nghiệm đường máu mao mạch tại giường (một lần)[Nội trú]</t>
        </is>
      </c>
      <c r="F184" s="108" t="n">
        <v>1</v>
      </c>
      <c r="G184" s="236" t="n">
        <v>16000</v>
      </c>
      <c r="H184" s="95">
        <f>G184*21.21%</f>
        <v/>
      </c>
      <c r="I184" s="37" t="n"/>
    </row>
    <row r="185" ht="15.75" customFormat="1" customHeight="1" s="21">
      <c r="A185" s="94" t="n">
        <v>180</v>
      </c>
      <c r="B185" s="105" t="inlineStr">
        <is>
          <t>2026/08/18 16:00</t>
        </is>
      </c>
      <c r="C185" s="105" t="inlineStr">
        <is>
          <t>BÙI THỊ NGỜI</t>
        </is>
      </c>
      <c r="D185" s="105" t="inlineStr">
        <is>
          <t>01/01/1952</t>
        </is>
      </c>
      <c r="E185" s="105" t="inlineStr">
        <is>
          <t>Xét nghiệm đường máu mao mạch tại giường (một lần)[Nội trú]</t>
        </is>
      </c>
      <c r="F185" s="108" t="n">
        <v>1</v>
      </c>
      <c r="G185" s="236" t="n">
        <v>35000</v>
      </c>
      <c r="H185" s="95">
        <f>G185*21.21%</f>
        <v/>
      </c>
      <c r="I185" s="37" t="n"/>
    </row>
    <row r="186" ht="15.75" customFormat="1" customHeight="1" s="21">
      <c r="A186" s="94" t="n">
        <v>181</v>
      </c>
      <c r="B186" s="105" t="inlineStr">
        <is>
          <t>2026/08/19 05:00</t>
        </is>
      </c>
      <c r="C186" s="105" t="inlineStr">
        <is>
          <t>BÙI HỮU THỌ</t>
        </is>
      </c>
      <c r="D186" s="105" t="inlineStr">
        <is>
          <t>01/02/1981</t>
        </is>
      </c>
      <c r="E186" s="105" t="inlineStr">
        <is>
          <t>Xét nghiệm đường máu mao mạch tại giường (một lần)[Nội trú]</t>
        </is>
      </c>
      <c r="F186" s="108" t="n">
        <v>1</v>
      </c>
      <c r="G186" s="236" t="n">
        <v>16000</v>
      </c>
      <c r="H186" s="95">
        <f>G186*21.21%</f>
        <v/>
      </c>
      <c r="I186" s="37" t="n"/>
    </row>
    <row r="187" ht="15.75" customFormat="1" customHeight="1" s="21">
      <c r="A187" s="94" t="n">
        <v>182</v>
      </c>
      <c r="B187" s="105" t="inlineStr">
        <is>
          <t>2026/08/19 05:00</t>
        </is>
      </c>
      <c r="C187" s="105" t="inlineStr">
        <is>
          <t>NGUYỄN THỊ HÈ</t>
        </is>
      </c>
      <c r="D187" s="105" t="inlineStr">
        <is>
          <t>01/01/1968</t>
        </is>
      </c>
      <c r="E187" s="105" t="inlineStr">
        <is>
          <t>Xét nghiệm đường máu mao mạch tại giường (một lần)[Nội trú]</t>
        </is>
      </c>
      <c r="F187" s="108" t="n">
        <v>1</v>
      </c>
      <c r="G187" s="236" t="n">
        <v>35000</v>
      </c>
      <c r="H187" s="95">
        <f>G187*21.21%</f>
        <v/>
      </c>
      <c r="I187" s="37" t="n"/>
    </row>
    <row r="188" ht="15.75" customFormat="1" customHeight="1" s="21">
      <c r="A188" s="94" t="n">
        <v>183</v>
      </c>
      <c r="B188" s="105" t="inlineStr">
        <is>
          <t>2026/08/19 05:00</t>
        </is>
      </c>
      <c r="C188" s="105" t="inlineStr">
        <is>
          <t>NGUYỄN THỊ THẮM</t>
        </is>
      </c>
      <c r="D188" s="105" t="inlineStr">
        <is>
          <t>01/01/1962</t>
        </is>
      </c>
      <c r="E188" s="105" t="inlineStr">
        <is>
          <t>Xét nghiệm đường máu mao mạch tại giường (một lần)[Nội trú]</t>
        </is>
      </c>
      <c r="F188" s="108" t="n">
        <v>1</v>
      </c>
      <c r="G188" s="236" t="n">
        <v>16000</v>
      </c>
      <c r="H188" s="95">
        <f>G188*21.21%</f>
        <v/>
      </c>
      <c r="I188" s="37" t="n"/>
    </row>
    <row r="189" ht="15.75" customFormat="1" customHeight="1" s="21">
      <c r="A189" s="94" t="n">
        <v>184</v>
      </c>
      <c r="B189" s="105" t="inlineStr">
        <is>
          <t>2026/08/19 05:00</t>
        </is>
      </c>
      <c r="C189" s="105" t="inlineStr">
        <is>
          <t>BÙI THỊ NGỜI</t>
        </is>
      </c>
      <c r="D189" s="105" t="inlineStr">
        <is>
          <t>01/01/1952</t>
        </is>
      </c>
      <c r="E189" s="105" t="inlineStr">
        <is>
          <t>Xét nghiệm đường máu mao mạch tại giường (một lần)[Nội trú]</t>
        </is>
      </c>
      <c r="F189" s="108" t="n">
        <v>1</v>
      </c>
      <c r="G189" s="236" t="n">
        <v>16000</v>
      </c>
      <c r="H189" s="95">
        <f>G189*21.21%</f>
        <v/>
      </c>
      <c r="I189" s="37" t="n"/>
    </row>
    <row r="190" ht="15.75" customFormat="1" customHeight="1" s="21">
      <c r="A190" s="94" t="n">
        <v>185</v>
      </c>
      <c r="B190" s="105" t="inlineStr">
        <is>
          <t>2026/08/19 11:00</t>
        </is>
      </c>
      <c r="C190" s="105" t="inlineStr">
        <is>
          <t>BÙI HỮU THỌ</t>
        </is>
      </c>
      <c r="D190" s="105" t="inlineStr">
        <is>
          <t>01/02/1981</t>
        </is>
      </c>
      <c r="E190" s="105" t="inlineStr">
        <is>
          <t>Xét nghiệm đường máu mao mạch tại giường (một lần)[Nội trú]</t>
        </is>
      </c>
      <c r="F190" s="108" t="n">
        <v>1</v>
      </c>
      <c r="G190" s="236" t="n">
        <v>16000</v>
      </c>
      <c r="H190" s="95">
        <f>G190*21.21%</f>
        <v/>
      </c>
      <c r="I190" s="37" t="n"/>
    </row>
    <row r="191" ht="15.75" customFormat="1" customHeight="1" s="21">
      <c r="A191" s="94" t="n">
        <v>186</v>
      </c>
      <c r="B191" s="105" t="inlineStr">
        <is>
          <t>2026/08/19 16:00</t>
        </is>
      </c>
      <c r="C191" s="105" t="inlineStr">
        <is>
          <t>BÙI HỮU THỌ</t>
        </is>
      </c>
      <c r="D191" s="105" t="inlineStr">
        <is>
          <t>01/02/1981</t>
        </is>
      </c>
      <c r="E191" s="105" t="inlineStr">
        <is>
          <t>Xét nghiệm đường máu mao mạch tại giường (một lần)[Nội trú]</t>
        </is>
      </c>
      <c r="F191" s="108" t="n">
        <v>1</v>
      </c>
      <c r="G191" s="236" t="n">
        <v>16000</v>
      </c>
      <c r="H191" s="95">
        <f>G191*21.21%</f>
        <v/>
      </c>
      <c r="I191" s="37" t="n"/>
    </row>
    <row r="192" ht="15.75" customFormat="1" customHeight="1" s="21">
      <c r="A192" s="94" t="n">
        <v>187</v>
      </c>
      <c r="B192" s="105" t="inlineStr">
        <is>
          <t>2026/08/19 16:00</t>
        </is>
      </c>
      <c r="C192" s="105" t="inlineStr">
        <is>
          <t>BÙI THỊ NGỜI</t>
        </is>
      </c>
      <c r="D192" s="105" t="inlineStr">
        <is>
          <t>01/01/1952</t>
        </is>
      </c>
      <c r="E192" s="105" t="inlineStr">
        <is>
          <t>Xét nghiệm đường máu mao mạch tại giường (một lần)[Nội trú]</t>
        </is>
      </c>
      <c r="F192" s="108" t="n">
        <v>1</v>
      </c>
      <c r="G192" s="236" t="n">
        <v>35000</v>
      </c>
      <c r="H192" s="95">
        <f>G192*21.21%</f>
        <v/>
      </c>
      <c r="I192" s="37" t="n"/>
    </row>
    <row r="193" ht="15.75" customFormat="1" customHeight="1" s="21">
      <c r="A193" s="94" t="n">
        <v>188</v>
      </c>
      <c r="B193" s="105" t="inlineStr">
        <is>
          <t>2026/08/19 16:00</t>
        </is>
      </c>
      <c r="C193" s="105" t="inlineStr">
        <is>
          <t>NGUYỄN THỊ HÈ</t>
        </is>
      </c>
      <c r="D193" s="105" t="inlineStr">
        <is>
          <t>01/01/1968</t>
        </is>
      </c>
      <c r="E193" s="105" t="inlineStr">
        <is>
          <t>Xét nghiệm đường máu mao mạch tại giường (một lần)[Nội trú]</t>
        </is>
      </c>
      <c r="F193" s="108" t="n">
        <v>1</v>
      </c>
      <c r="G193" s="236" t="n">
        <v>16000</v>
      </c>
      <c r="H193" s="95">
        <f>G193*21.21%</f>
        <v/>
      </c>
      <c r="I193" s="37" t="n"/>
    </row>
    <row r="194" ht="15.75" customFormat="1" customHeight="1" s="21">
      <c r="A194" s="94" t="n">
        <v>189</v>
      </c>
      <c r="B194" s="105" t="inlineStr">
        <is>
          <t>2026/08/20 05:00</t>
        </is>
      </c>
      <c r="C194" s="105" t="inlineStr">
        <is>
          <t>BÙI HỮU THỌ</t>
        </is>
      </c>
      <c r="D194" s="105" t="inlineStr">
        <is>
          <t>01/02/1981</t>
        </is>
      </c>
      <c r="E194" s="105" t="inlineStr">
        <is>
          <t>Xét nghiệm đường máu mao mạch tại giường (một lần)[Nội trú]</t>
        </is>
      </c>
      <c r="F194" s="108" t="n">
        <v>1</v>
      </c>
      <c r="G194" s="236" t="n">
        <v>16000</v>
      </c>
      <c r="H194" s="95">
        <f>G194*21.21%</f>
        <v/>
      </c>
      <c r="I194" s="37" t="n"/>
    </row>
    <row r="195" ht="15.75" customFormat="1" customHeight="1" s="21">
      <c r="A195" s="94" t="n">
        <v>190</v>
      </c>
      <c r="B195" s="105" t="inlineStr">
        <is>
          <t>2026/08/20 05:00</t>
        </is>
      </c>
      <c r="C195" s="105" t="inlineStr">
        <is>
          <t>NGUYỄN THỊ HÈ</t>
        </is>
      </c>
      <c r="D195" s="105" t="inlineStr">
        <is>
          <t>01/01/1968</t>
        </is>
      </c>
      <c r="E195" s="105" t="inlineStr">
        <is>
          <t>Xét nghiệm đường máu mao mạch tại giường (một lần)[Nội trú]</t>
        </is>
      </c>
      <c r="F195" s="108" t="n">
        <v>1</v>
      </c>
      <c r="G195" s="236" t="n">
        <v>16000</v>
      </c>
      <c r="H195" s="95">
        <f>G195*21.21%</f>
        <v/>
      </c>
      <c r="I195" s="37" t="n"/>
    </row>
    <row r="196" ht="15.75" customFormat="1" customHeight="1" s="21">
      <c r="A196" s="94" t="n">
        <v>191</v>
      </c>
      <c r="B196" s="105" t="inlineStr">
        <is>
          <t>2026/08/20 05:00</t>
        </is>
      </c>
      <c r="C196" s="105" t="inlineStr">
        <is>
          <t>NGUYỄN THỊ THẮM</t>
        </is>
      </c>
      <c r="D196" s="105" t="inlineStr">
        <is>
          <t>01/01/1962</t>
        </is>
      </c>
      <c r="E196" s="105" t="inlineStr">
        <is>
          <t>Xét nghiệm đường máu mao mạch tại giường (một lần)[Nội trú]</t>
        </is>
      </c>
      <c r="F196" s="108" t="n">
        <v>1</v>
      </c>
      <c r="G196" s="236" t="n">
        <v>16000</v>
      </c>
      <c r="H196" s="95">
        <f>G196*21.21%</f>
        <v/>
      </c>
      <c r="I196" s="37" t="n"/>
    </row>
    <row r="197" ht="15.75" customFormat="1" customHeight="1" s="21">
      <c r="A197" s="94" t="n">
        <v>192</v>
      </c>
      <c r="B197" s="105" t="inlineStr">
        <is>
          <t>2026/08/20 11:00</t>
        </is>
      </c>
      <c r="C197" s="105" t="inlineStr">
        <is>
          <t>BÙI HỮU THỌ</t>
        </is>
      </c>
      <c r="D197" s="105" t="inlineStr">
        <is>
          <t>01/02/1981</t>
        </is>
      </c>
      <c r="E197" s="105" t="inlineStr">
        <is>
          <t>Xét nghiệm đường máu mao mạch tại giường (một lần)[Nội trú]</t>
        </is>
      </c>
      <c r="F197" s="108" t="n">
        <v>1</v>
      </c>
      <c r="G197" s="236" t="n">
        <v>16000</v>
      </c>
      <c r="H197" s="95">
        <f>G197*21.21%</f>
        <v/>
      </c>
      <c r="I197" s="37" t="n"/>
    </row>
    <row r="198" ht="15.75" customFormat="1" customHeight="1" s="21">
      <c r="A198" s="94" t="n">
        <v>193</v>
      </c>
      <c r="B198" s="105" t="inlineStr">
        <is>
          <t>2026/08/20 16:00</t>
        </is>
      </c>
      <c r="C198" s="105" t="inlineStr">
        <is>
          <t>BÙI HỮU THỌ</t>
        </is>
      </c>
      <c r="D198" s="105" t="inlineStr">
        <is>
          <t>01/02/1981</t>
        </is>
      </c>
      <c r="E198" s="105" t="inlineStr">
        <is>
          <t>Xét nghiệm đường máu mao mạch tại giường (một lần)[Nội trú]</t>
        </is>
      </c>
      <c r="F198" s="108" t="n">
        <v>1</v>
      </c>
      <c r="G198" s="236" t="n">
        <v>16000</v>
      </c>
      <c r="H198" s="95">
        <f>G198*21.21%</f>
        <v/>
      </c>
      <c r="I198" s="37" t="n"/>
    </row>
    <row r="199" ht="15.75" customHeight="1">
      <c r="A199" s="94" t="n">
        <v>194</v>
      </c>
      <c r="B199" s="141" t="inlineStr">
        <is>
          <t>2026/08/20 16:00</t>
        </is>
      </c>
      <c r="C199" s="141" t="inlineStr">
        <is>
          <t>NGUYỄN THỊ HÈ</t>
        </is>
      </c>
      <c r="D199" s="141" t="inlineStr">
        <is>
          <t>01/01/1968</t>
        </is>
      </c>
      <c r="E199" s="141" t="inlineStr">
        <is>
          <t>Xét nghiệm đường máu mao mạch tại giường (một lần)[Nội trú]</t>
        </is>
      </c>
      <c r="F199" s="237" t="n">
        <v>1</v>
      </c>
      <c r="G199" s="237" t="n">
        <v>35000</v>
      </c>
      <c r="H199" s="95">
        <f>G199*21.21%</f>
        <v/>
      </c>
    </row>
    <row r="200" ht="15.75" customHeight="1">
      <c r="A200" s="94" t="n">
        <v>195</v>
      </c>
      <c r="B200" s="141" t="inlineStr">
        <is>
          <t>2026/08/21 05:00</t>
        </is>
      </c>
      <c r="C200" s="141" t="inlineStr">
        <is>
          <t>BÙI HỮU THỌ</t>
        </is>
      </c>
      <c r="D200" s="141" t="inlineStr">
        <is>
          <t>01/02/1981</t>
        </is>
      </c>
      <c r="E200" s="141" t="inlineStr">
        <is>
          <t>Xét nghiệm đường máu mao mạch tại giường (một lần)[Nội trú]</t>
        </is>
      </c>
      <c r="F200" s="237" t="n">
        <v>1</v>
      </c>
      <c r="G200" s="237" t="n">
        <v>16000</v>
      </c>
      <c r="H200" s="95">
        <f>G200*21.21%</f>
        <v/>
      </c>
    </row>
    <row r="201" ht="15.75" customHeight="1">
      <c r="A201" s="94" t="n">
        <v>196</v>
      </c>
      <c r="B201" s="141" t="inlineStr">
        <is>
          <t>2026/08/21 05:00</t>
        </is>
      </c>
      <c r="C201" s="141" t="inlineStr">
        <is>
          <t>NGUYỄN THỊ HÈ</t>
        </is>
      </c>
      <c r="D201" s="141" t="inlineStr">
        <is>
          <t>01/01/1968</t>
        </is>
      </c>
      <c r="E201" s="141" t="inlineStr">
        <is>
          <t>Xét nghiệm đường máu mao mạch tại giường (một lần)[Nội trú]</t>
        </is>
      </c>
      <c r="F201" s="237" t="n">
        <v>1</v>
      </c>
      <c r="G201" s="237" t="n">
        <v>16000</v>
      </c>
      <c r="H201" s="95">
        <f>G201*21.21%</f>
        <v/>
      </c>
    </row>
    <row r="202" ht="15.75" customHeight="1">
      <c r="A202" s="94" t="n">
        <v>197</v>
      </c>
      <c r="B202" s="141" t="inlineStr">
        <is>
          <t>2026/08/21 05:00</t>
        </is>
      </c>
      <c r="C202" s="141" t="inlineStr">
        <is>
          <t>NGUYỄN THỊ THẮM</t>
        </is>
      </c>
      <c r="D202" s="141" t="inlineStr">
        <is>
          <t>01/01/1962</t>
        </is>
      </c>
      <c r="E202" s="141" t="inlineStr">
        <is>
          <t>Xét nghiệm đường máu mao mạch tại giường (một lần)[Nội trú]</t>
        </is>
      </c>
      <c r="F202" s="237" t="n">
        <v>1</v>
      </c>
      <c r="G202" s="237" t="n">
        <v>16000</v>
      </c>
      <c r="H202" s="95">
        <f>G202*21.21%</f>
        <v/>
      </c>
    </row>
    <row r="203" ht="15.75" customHeight="1">
      <c r="A203" s="94" t="n">
        <v>198</v>
      </c>
      <c r="B203" s="141" t="inlineStr">
        <is>
          <t>2026/08/21 14:20</t>
        </is>
      </c>
      <c r="C203" s="141" t="inlineStr">
        <is>
          <t>BÙI HỮU THỌ</t>
        </is>
      </c>
      <c r="D203" s="141" t="inlineStr">
        <is>
          <t>01/02/1981</t>
        </is>
      </c>
      <c r="E203" s="141" t="inlineStr">
        <is>
          <t>Xét nghiệm đường máu mao mạch tại giường (một lần)[Nội trú]</t>
        </is>
      </c>
      <c r="F203" s="237" t="n">
        <v>1</v>
      </c>
      <c r="G203" s="237" t="n">
        <v>16000</v>
      </c>
      <c r="H203" s="95">
        <f>G203*21.21%</f>
        <v/>
      </c>
    </row>
    <row r="204" ht="15.75" customHeight="1">
      <c r="A204" s="94" t="n">
        <v>199</v>
      </c>
      <c r="B204" s="141" t="inlineStr">
        <is>
          <t>2026/08/21 16:00</t>
        </is>
      </c>
      <c r="C204" s="141" t="inlineStr">
        <is>
          <t>BÙI THỊ NGỜI</t>
        </is>
      </c>
      <c r="D204" s="141" t="inlineStr">
        <is>
          <t>01/01/1952</t>
        </is>
      </c>
      <c r="E204" s="141" t="inlineStr">
        <is>
          <t>Xét nghiệm đường máu mao mạch tại giường (một lần)[Nội trú]</t>
        </is>
      </c>
      <c r="F204" s="237" t="n">
        <v>1</v>
      </c>
      <c r="G204" s="237" t="n">
        <v>35000</v>
      </c>
      <c r="H204" s="95">
        <f>G204*21.21%</f>
        <v/>
      </c>
    </row>
    <row r="205" ht="15.75" customHeight="1">
      <c r="A205" s="94" t="n">
        <v>200</v>
      </c>
      <c r="B205" s="141" t="inlineStr">
        <is>
          <t>2026/08/22 04:30</t>
        </is>
      </c>
      <c r="C205" s="141" t="inlineStr">
        <is>
          <t>BÙI HỮU THỌ</t>
        </is>
      </c>
      <c r="D205" s="141" t="inlineStr">
        <is>
          <t>01/02/1981</t>
        </is>
      </c>
      <c r="E205" s="141" t="inlineStr">
        <is>
          <t>Xét nghiệm đường máu mao mạch tại giường (một lần)[Nội trú]</t>
        </is>
      </c>
      <c r="F205" s="237" t="n">
        <v>1</v>
      </c>
      <c r="G205" s="237" t="n">
        <v>16000</v>
      </c>
      <c r="H205" s="95">
        <f>G205*21.21%</f>
        <v/>
      </c>
    </row>
    <row r="206" ht="15.75" customHeight="1">
      <c r="A206" s="94" t="n">
        <v>201</v>
      </c>
      <c r="B206" s="141" t="inlineStr">
        <is>
          <t>2026/08/22 05:00</t>
        </is>
      </c>
      <c r="C206" s="141" t="inlineStr">
        <is>
          <t>BÙI THỊ NGỜI</t>
        </is>
      </c>
      <c r="D206" s="141" t="inlineStr">
        <is>
          <t>01/01/1952</t>
        </is>
      </c>
      <c r="E206" s="141" t="inlineStr">
        <is>
          <t>Xét nghiệm đường máu mao mạch tại giường (một lần)[Nội trú]</t>
        </is>
      </c>
      <c r="F206" s="237" t="n">
        <v>1</v>
      </c>
      <c r="G206" s="237" t="n">
        <v>35000</v>
      </c>
      <c r="H206" s="95">
        <f>G206*21.21%</f>
        <v/>
      </c>
    </row>
    <row r="207" ht="15.75" customHeight="1">
      <c r="A207" s="94" t="n">
        <v>202</v>
      </c>
      <c r="B207" s="141" t="inlineStr">
        <is>
          <t>2026/08/22 05:00</t>
        </is>
      </c>
      <c r="C207" s="141" t="inlineStr">
        <is>
          <t>HỒ THỊ THANH HÀ</t>
        </is>
      </c>
      <c r="D207" s="141" t="inlineStr">
        <is>
          <t>18/11/1967</t>
        </is>
      </c>
      <c r="E207" s="141" t="inlineStr">
        <is>
          <t>Xét nghiệm đường máu mao mạch tại giường (một lần)[Nội trú]</t>
        </is>
      </c>
      <c r="F207" s="237" t="n">
        <v>1</v>
      </c>
      <c r="G207" s="237" t="n">
        <v>16000</v>
      </c>
      <c r="H207" s="95">
        <f>G207*21.21%</f>
        <v/>
      </c>
    </row>
    <row r="208" ht="15.75" customHeight="1">
      <c r="A208" s="94" t="n">
        <v>203</v>
      </c>
      <c r="B208" s="141" t="inlineStr">
        <is>
          <t>2026/08/22 16:00</t>
        </is>
      </c>
      <c r="C208" s="141" t="inlineStr">
        <is>
          <t>BÙI HỮU THỌ</t>
        </is>
      </c>
      <c r="D208" s="141" t="inlineStr">
        <is>
          <t>01/02/1981</t>
        </is>
      </c>
      <c r="E208" s="141" t="inlineStr">
        <is>
          <t>Xét nghiệm đường máu mao mạch tại giường (một lần)[Nội trú]</t>
        </is>
      </c>
      <c r="F208" s="237" t="n">
        <v>1</v>
      </c>
      <c r="G208" s="237" t="n">
        <v>16000</v>
      </c>
      <c r="H208" s="95">
        <f>G208*21.21%</f>
        <v/>
      </c>
    </row>
    <row r="209" ht="15.75" customHeight="1">
      <c r="A209" s="94" t="n">
        <v>204</v>
      </c>
      <c r="B209" s="141" t="inlineStr">
        <is>
          <t>2026/08/22 16:00</t>
        </is>
      </c>
      <c r="C209" s="141" t="inlineStr">
        <is>
          <t>BÙI THỊ NGỜI</t>
        </is>
      </c>
      <c r="D209" s="141" t="inlineStr">
        <is>
          <t>01/01/1952</t>
        </is>
      </c>
      <c r="E209" s="141" t="inlineStr">
        <is>
          <t>Xét nghiệm đường máu mao mạch tại giường (một lần)[Nội trú]</t>
        </is>
      </c>
      <c r="F209" s="237" t="n">
        <v>1</v>
      </c>
      <c r="G209" s="237" t="n">
        <v>35000</v>
      </c>
      <c r="H209" s="95">
        <f>G209*21.21%</f>
        <v/>
      </c>
    </row>
    <row r="210" ht="15.75" customHeight="1">
      <c r="A210" s="94" t="n">
        <v>205</v>
      </c>
      <c r="B210" s="141" t="inlineStr">
        <is>
          <t>2026/08/22 16:00</t>
        </is>
      </c>
      <c r="C210" s="141" t="inlineStr">
        <is>
          <t>HỒ THỊ THANH HÀ</t>
        </is>
      </c>
      <c r="D210" s="141" t="inlineStr">
        <is>
          <t>18/11/1967</t>
        </is>
      </c>
      <c r="E210" s="141" t="inlineStr">
        <is>
          <t>Xét nghiệm đường máu mao mạch tại giường (một lần)[Nội trú]</t>
        </is>
      </c>
      <c r="F210" s="237" t="n">
        <v>1</v>
      </c>
      <c r="G210" s="237" t="n">
        <v>16000</v>
      </c>
      <c r="H210" s="95">
        <f>G210*21.21%</f>
        <v/>
      </c>
    </row>
    <row r="211" ht="15.75" customHeight="1">
      <c r="A211" s="94" t="n">
        <v>206</v>
      </c>
      <c r="B211" s="141" t="inlineStr">
        <is>
          <t>2026/08/23 05:00</t>
        </is>
      </c>
      <c r="C211" s="141" t="inlineStr">
        <is>
          <t>BÙI HỮU THỌ</t>
        </is>
      </c>
      <c r="D211" s="141" t="inlineStr">
        <is>
          <t>01/02/1981</t>
        </is>
      </c>
      <c r="E211" s="141" t="inlineStr">
        <is>
          <t>Xét nghiệm đường máu mao mạch tại giường (một lần)[Nội trú]</t>
        </is>
      </c>
      <c r="F211" s="237" t="n">
        <v>1</v>
      </c>
      <c r="G211" s="237" t="n">
        <v>16000</v>
      </c>
      <c r="H211" s="95">
        <f>G211*21.21%</f>
        <v/>
      </c>
    </row>
    <row r="212" ht="15.75" customHeight="1">
      <c r="A212" s="94" t="n">
        <v>207</v>
      </c>
      <c r="B212" s="141" t="inlineStr">
        <is>
          <t>2026/08/23 05:00</t>
        </is>
      </c>
      <c r="C212" s="141" t="inlineStr">
        <is>
          <t>BÙI THỊ NGỜI</t>
        </is>
      </c>
      <c r="D212" s="141" t="inlineStr">
        <is>
          <t>01/01/1952</t>
        </is>
      </c>
      <c r="E212" s="141" t="inlineStr">
        <is>
          <t>Xét nghiệm đường máu mao mạch tại giường (một lần)[Nội trú]</t>
        </is>
      </c>
      <c r="F212" s="237" t="n">
        <v>1</v>
      </c>
      <c r="G212" s="237" t="n">
        <v>35000</v>
      </c>
      <c r="H212" s="95">
        <f>G212*21.21%</f>
        <v/>
      </c>
    </row>
    <row r="213" ht="15.75" customHeight="1">
      <c r="A213" s="94" t="n">
        <v>208</v>
      </c>
      <c r="B213" s="141" t="inlineStr">
        <is>
          <t>2026/08/23 05:00</t>
        </is>
      </c>
      <c r="C213" s="141" t="inlineStr">
        <is>
          <t>HỒ THỊ THANH HÀ</t>
        </is>
      </c>
      <c r="D213" s="141" t="inlineStr">
        <is>
          <t>18/11/1967</t>
        </is>
      </c>
      <c r="E213" s="141" t="inlineStr">
        <is>
          <t>Xét nghiệm đường máu mao mạch tại giường (một lần)[Nội trú]</t>
        </is>
      </c>
      <c r="F213" s="237" t="n">
        <v>1</v>
      </c>
      <c r="G213" s="237" t="n">
        <v>16000</v>
      </c>
      <c r="H213" s="95">
        <f>G213*21.21%</f>
        <v/>
      </c>
    </row>
    <row r="214" ht="15.75" customHeight="1">
      <c r="A214" s="94" t="n">
        <v>209</v>
      </c>
      <c r="B214" s="141" t="inlineStr">
        <is>
          <t>2026/08/23 11:00</t>
        </is>
      </c>
      <c r="C214" s="141" t="inlineStr">
        <is>
          <t>BÙI HỮU THỌ</t>
        </is>
      </c>
      <c r="D214" s="141" t="inlineStr">
        <is>
          <t>01/02/1981</t>
        </is>
      </c>
      <c r="E214" s="141" t="inlineStr">
        <is>
          <t>Xét nghiệm đường máu mao mạch tại giường (một lần)[Nội trú]</t>
        </is>
      </c>
      <c r="F214" s="237" t="n">
        <v>1</v>
      </c>
      <c r="G214" s="237" t="n">
        <v>16000</v>
      </c>
      <c r="H214" s="95">
        <f>G214*21.21%</f>
        <v/>
      </c>
    </row>
    <row r="215" ht="15.75" customHeight="1">
      <c r="A215" s="94" t="n">
        <v>210</v>
      </c>
      <c r="B215" s="141" t="inlineStr">
        <is>
          <t>2026/08/23 16:00</t>
        </is>
      </c>
      <c r="C215" s="141" t="inlineStr">
        <is>
          <t>BÙI HỮU THỌ</t>
        </is>
      </c>
      <c r="D215" s="141" t="inlineStr">
        <is>
          <t>01/02/1981</t>
        </is>
      </c>
      <c r="E215" s="141" t="inlineStr">
        <is>
          <t>Xét nghiệm đường máu mao mạch tại giường (một lần)[Nội trú]</t>
        </is>
      </c>
      <c r="F215" s="237" t="n">
        <v>1</v>
      </c>
      <c r="G215" s="237" t="n">
        <v>16000</v>
      </c>
      <c r="H215" s="95">
        <f>G215*21.21%</f>
        <v/>
      </c>
    </row>
    <row r="216" ht="15.75" customHeight="1">
      <c r="A216" s="94" t="n">
        <v>211</v>
      </c>
      <c r="B216" s="141" t="inlineStr">
        <is>
          <t>2026/08/23 16:30</t>
        </is>
      </c>
      <c r="C216" s="141" t="inlineStr">
        <is>
          <t>HỒ THỊ THANH HÀ</t>
        </is>
      </c>
      <c r="D216" s="141" t="inlineStr">
        <is>
          <t>18/11/1967</t>
        </is>
      </c>
      <c r="E216" s="141" t="inlineStr">
        <is>
          <t>Xét nghiệm đường máu mao mạch tại giường (một lần)[Nội trú]</t>
        </is>
      </c>
      <c r="F216" s="237" t="n">
        <v>1</v>
      </c>
      <c r="G216" s="237" t="n">
        <v>16000</v>
      </c>
      <c r="H216" s="95">
        <f>G216*21.21%</f>
        <v/>
      </c>
    </row>
    <row r="217" ht="15.75" customHeight="1">
      <c r="A217" s="94" t="n">
        <v>212</v>
      </c>
      <c r="B217" s="141" t="inlineStr">
        <is>
          <t>2026/08/24 05:00</t>
        </is>
      </c>
      <c r="C217" s="141" t="inlineStr">
        <is>
          <t>BÙI HỮU THỌ</t>
        </is>
      </c>
      <c r="D217" s="141" t="inlineStr">
        <is>
          <t>01/02/1981</t>
        </is>
      </c>
      <c r="E217" s="141" t="inlineStr">
        <is>
          <t>Xét nghiệm đường máu mao mạch tại giường (một lần)[Nội trú]</t>
        </is>
      </c>
      <c r="F217" s="237" t="n">
        <v>1</v>
      </c>
      <c r="G217" s="237" t="n">
        <v>16000</v>
      </c>
      <c r="H217" s="95">
        <f>G217*21.21%</f>
        <v/>
      </c>
    </row>
    <row r="218" ht="15.75" customHeight="1">
      <c r="A218" s="94" t="n">
        <v>213</v>
      </c>
      <c r="B218" s="141" t="inlineStr">
        <is>
          <t>2026/08/24 05:00</t>
        </is>
      </c>
      <c r="C218" s="141" t="inlineStr">
        <is>
          <t>BÙI THỊ NGỜI</t>
        </is>
      </c>
      <c r="D218" s="141" t="inlineStr">
        <is>
          <t>01/01/1952</t>
        </is>
      </c>
      <c r="E218" s="141" t="inlineStr">
        <is>
          <t>Xét nghiệm đường máu mao mạch tại giường (một lần)[Nội trú]</t>
        </is>
      </c>
      <c r="F218" s="237" t="n">
        <v>1</v>
      </c>
      <c r="G218" s="237" t="n">
        <v>35000</v>
      </c>
      <c r="H218" s="95">
        <f>G218*21.21%</f>
        <v/>
      </c>
    </row>
    <row r="219" ht="15.75" customHeight="1">
      <c r="A219" s="94" t="n">
        <v>214</v>
      </c>
      <c r="B219" s="141" t="inlineStr">
        <is>
          <t>2026/08/24 05:00</t>
        </is>
      </c>
      <c r="C219" s="141" t="inlineStr">
        <is>
          <t>HỒ THỊ THANH HÀ</t>
        </is>
      </c>
      <c r="D219" s="141" t="inlineStr">
        <is>
          <t>18/11/1967</t>
        </is>
      </c>
      <c r="E219" s="141" t="inlineStr">
        <is>
          <t>Xét nghiệm đường máu mao mạch tại giường (một lần)[Nội trú]</t>
        </is>
      </c>
      <c r="F219" s="237" t="n">
        <v>1</v>
      </c>
      <c r="G219" s="237" t="n">
        <v>16000</v>
      </c>
      <c r="H219" s="95">
        <f>G219*21.21%</f>
        <v/>
      </c>
    </row>
    <row r="220" ht="15.75" customHeight="1">
      <c r="A220" s="94" t="n">
        <v>215</v>
      </c>
      <c r="B220" s="141" t="inlineStr">
        <is>
          <t>2026/08/24 05:00</t>
        </is>
      </c>
      <c r="C220" s="141" t="inlineStr">
        <is>
          <t>LÂM VĂN TẤN</t>
        </is>
      </c>
      <c r="D220" s="141" t="inlineStr">
        <is>
          <t>01/01/1969</t>
        </is>
      </c>
      <c r="E220" s="141" t="inlineStr">
        <is>
          <t>Xét nghiệm đường máu mao mạch tại giường (một lần)[Nội trú]</t>
        </is>
      </c>
      <c r="F220" s="237" t="n">
        <v>1</v>
      </c>
      <c r="G220" s="237" t="n">
        <v>35000</v>
      </c>
      <c r="H220" s="95">
        <f>G220*21.21%</f>
        <v/>
      </c>
    </row>
    <row r="221" ht="15.75" customHeight="1">
      <c r="A221" s="94" t="n">
        <v>216</v>
      </c>
      <c r="B221" s="141" t="inlineStr">
        <is>
          <t>2026/08/24 11:00</t>
        </is>
      </c>
      <c r="C221" s="141" t="inlineStr">
        <is>
          <t>BÙI HỮU THỌ</t>
        </is>
      </c>
      <c r="D221" s="141" t="inlineStr">
        <is>
          <t>01/02/1981</t>
        </is>
      </c>
      <c r="E221" s="141" t="inlineStr">
        <is>
          <t>Xét nghiệm đường máu mao mạch tại giường (một lần)[Nội trú]</t>
        </is>
      </c>
      <c r="F221" s="237" t="n">
        <v>1</v>
      </c>
      <c r="G221" s="237" t="n">
        <v>16000</v>
      </c>
      <c r="H221" s="95">
        <f>G221*21.21%</f>
        <v/>
      </c>
    </row>
    <row r="222" ht="15.75" customHeight="1">
      <c r="A222" s="94" t="n">
        <v>217</v>
      </c>
      <c r="B222" s="141" t="inlineStr">
        <is>
          <t>2026/08/24 16:00</t>
        </is>
      </c>
      <c r="C222" s="141" t="inlineStr">
        <is>
          <t>BÙI HỮU THỌ</t>
        </is>
      </c>
      <c r="D222" s="141" t="inlineStr">
        <is>
          <t>01/02/1981</t>
        </is>
      </c>
      <c r="E222" s="141" t="inlineStr">
        <is>
          <t>Xét nghiệm đường máu mao mạch tại giường (một lần)[Nội trú]</t>
        </is>
      </c>
      <c r="F222" s="237" t="n">
        <v>1</v>
      </c>
      <c r="G222" s="237" t="n">
        <v>16000</v>
      </c>
      <c r="H222" s="95">
        <f>G222*21.21%</f>
        <v/>
      </c>
    </row>
    <row r="223" ht="15.75" customHeight="1">
      <c r="A223" s="94" t="n">
        <v>218</v>
      </c>
      <c r="B223" s="141" t="inlineStr">
        <is>
          <t>2026/08/24 16:00</t>
        </is>
      </c>
      <c r="C223" s="141" t="inlineStr">
        <is>
          <t>HỒ THỊ THANH HÀ</t>
        </is>
      </c>
      <c r="D223" s="141" t="inlineStr">
        <is>
          <t>18/11/1967</t>
        </is>
      </c>
      <c r="E223" s="141" t="inlineStr">
        <is>
          <t>Xét nghiệm đường máu mao mạch tại giường (một lần)[Nội trú]</t>
        </is>
      </c>
      <c r="F223" s="237" t="n">
        <v>1</v>
      </c>
      <c r="G223" s="237" t="n">
        <v>16000</v>
      </c>
      <c r="H223" s="95">
        <f>G223*21.21%</f>
        <v/>
      </c>
    </row>
    <row r="224" ht="15.75" customHeight="1">
      <c r="A224" s="94" t="n">
        <v>219</v>
      </c>
      <c r="B224" s="141" t="inlineStr">
        <is>
          <t>2026/08/24 16:00</t>
        </is>
      </c>
      <c r="C224" s="141" t="inlineStr">
        <is>
          <t>LÂM VĂN TẤN</t>
        </is>
      </c>
      <c r="D224" s="141" t="inlineStr">
        <is>
          <t>01/01/1969</t>
        </is>
      </c>
      <c r="E224" s="141" t="inlineStr">
        <is>
          <t>Xét nghiệm đường máu mao mạch tại giường (một lần)[Nội trú]</t>
        </is>
      </c>
      <c r="F224" s="237" t="n">
        <v>1</v>
      </c>
      <c r="G224" s="237" t="n">
        <v>35000</v>
      </c>
      <c r="H224" s="95">
        <f>G224*21.21%</f>
        <v/>
      </c>
    </row>
    <row r="225" ht="15.75" customHeight="1">
      <c r="A225" s="94" t="n">
        <v>220</v>
      </c>
      <c r="B225" s="141" t="inlineStr">
        <is>
          <t>2026/08/24 16:00</t>
        </is>
      </c>
      <c r="C225" s="141" t="inlineStr">
        <is>
          <t>NGUYỄN THỊ THẮM</t>
        </is>
      </c>
      <c r="D225" s="141" t="inlineStr">
        <is>
          <t>01/01/1962</t>
        </is>
      </c>
      <c r="E225" s="141" t="inlineStr">
        <is>
          <t>Xét nghiệm đường máu mao mạch tại giường (một lần)[Nội trú]</t>
        </is>
      </c>
      <c r="F225" s="237" t="n">
        <v>1</v>
      </c>
      <c r="G225" s="237" t="n">
        <v>16000</v>
      </c>
      <c r="H225" s="95">
        <f>G225*21.21%</f>
        <v/>
      </c>
    </row>
    <row r="226" ht="15.75" customHeight="1">
      <c r="A226" s="94" t="n">
        <v>221</v>
      </c>
      <c r="B226" s="141" t="inlineStr">
        <is>
          <t>2026/08/25 05:00</t>
        </is>
      </c>
      <c r="C226" s="141" t="inlineStr">
        <is>
          <t>HỒ THỊ THANH HÀ</t>
        </is>
      </c>
      <c r="D226" s="141" t="inlineStr">
        <is>
          <t>18/11/1967</t>
        </is>
      </c>
      <c r="E226" s="141" t="inlineStr">
        <is>
          <t>Xét nghiệm đường máu mao mạch tại giường (một lần)[Nội trú]</t>
        </is>
      </c>
      <c r="F226" s="237" t="n">
        <v>1</v>
      </c>
      <c r="G226" s="237" t="n">
        <v>16000</v>
      </c>
      <c r="H226" s="95">
        <f>G226*21.21%</f>
        <v/>
      </c>
    </row>
    <row r="227" ht="15.75" customHeight="1">
      <c r="A227" s="94" t="n">
        <v>222</v>
      </c>
      <c r="B227" s="141" t="inlineStr">
        <is>
          <t>2026/08/25 05:00</t>
        </is>
      </c>
      <c r="C227" s="141" t="inlineStr">
        <is>
          <t>LÂM VĂN TẤN</t>
        </is>
      </c>
      <c r="D227" s="141" t="inlineStr">
        <is>
          <t>01/01/1969</t>
        </is>
      </c>
      <c r="E227" s="141" t="inlineStr">
        <is>
          <t>Xét nghiệm đường máu mao mạch tại giường (một lần)[Nội trú]</t>
        </is>
      </c>
      <c r="F227" s="237" t="n">
        <v>1</v>
      </c>
      <c r="G227" s="237" t="n">
        <v>35000</v>
      </c>
      <c r="H227" s="95">
        <f>G227*21.21%</f>
        <v/>
      </c>
    </row>
    <row r="228" ht="15.75" customHeight="1">
      <c r="A228" s="94" t="n">
        <v>223</v>
      </c>
      <c r="B228" s="141" t="inlineStr">
        <is>
          <t>2026/08/25 05:00</t>
        </is>
      </c>
      <c r="C228" s="141" t="inlineStr">
        <is>
          <t>NGUYỄN THỊ THẮM</t>
        </is>
      </c>
      <c r="D228" s="141" t="inlineStr">
        <is>
          <t>01/01/1962</t>
        </is>
      </c>
      <c r="E228" s="141" t="inlineStr">
        <is>
          <t>Xét nghiệm đường máu mao mạch tại giường (một lần)[Nội trú]</t>
        </is>
      </c>
      <c r="F228" s="237" t="n">
        <v>1</v>
      </c>
      <c r="G228" s="237" t="n">
        <v>16000</v>
      </c>
      <c r="H228" s="95">
        <f>G228*21.21%</f>
        <v/>
      </c>
    </row>
    <row r="229" ht="15.75" customHeight="1">
      <c r="A229" s="94" t="n">
        <v>224</v>
      </c>
      <c r="B229" s="141" t="inlineStr">
        <is>
          <t>2026/08/25 16:00</t>
        </is>
      </c>
      <c r="C229" s="141" t="inlineStr">
        <is>
          <t>HỒ THỊ THANH HÀ</t>
        </is>
      </c>
      <c r="D229" s="141" t="inlineStr">
        <is>
          <t>18/11/1967</t>
        </is>
      </c>
      <c r="E229" s="141" t="inlineStr">
        <is>
          <t>Xét nghiệm đường máu mao mạch tại giường (một lần)[Nội trú]</t>
        </is>
      </c>
      <c r="F229" s="237" t="n">
        <v>1</v>
      </c>
      <c r="G229" s="237" t="n">
        <v>16000</v>
      </c>
      <c r="H229" s="95">
        <f>G229*21.21%</f>
        <v/>
      </c>
    </row>
    <row r="230" ht="15.75" customHeight="1">
      <c r="A230" s="94" t="n">
        <v>225</v>
      </c>
      <c r="B230" s="141" t="inlineStr">
        <is>
          <t>2026/08/25 16:00</t>
        </is>
      </c>
      <c r="C230" s="141" t="inlineStr">
        <is>
          <t>NGUYỄN THỊ THẮM</t>
        </is>
      </c>
      <c r="D230" s="141" t="inlineStr">
        <is>
          <t>01/01/1962</t>
        </is>
      </c>
      <c r="E230" s="141" t="inlineStr">
        <is>
          <t>Xét nghiệm đường máu mao mạch tại giường (một lần)[Nội trú]</t>
        </is>
      </c>
      <c r="F230" s="237" t="n">
        <v>1</v>
      </c>
      <c r="G230" s="237" t="n">
        <v>35000</v>
      </c>
      <c r="H230" s="95">
        <f>G230*21.21%</f>
        <v/>
      </c>
    </row>
    <row r="231" ht="15.75" customHeight="1">
      <c r="A231" s="94" t="n">
        <v>226</v>
      </c>
      <c r="B231" s="141" t="inlineStr">
        <is>
          <t>2026/08/26 05:00</t>
        </is>
      </c>
      <c r="C231" s="141" t="inlineStr">
        <is>
          <t>HỒ THỊ THANH HÀ</t>
        </is>
      </c>
      <c r="D231" s="141" t="inlineStr">
        <is>
          <t>18/11/1967</t>
        </is>
      </c>
      <c r="E231" s="141" t="inlineStr">
        <is>
          <t>Xét nghiệm đường máu mao mạch tại giường (một lần)[Nội trú]</t>
        </is>
      </c>
      <c r="F231" s="237" t="n">
        <v>1</v>
      </c>
      <c r="G231" s="237" t="n">
        <v>16000</v>
      </c>
      <c r="H231" s="95">
        <f>G231*21.21%</f>
        <v/>
      </c>
    </row>
    <row r="232" ht="15.75" customHeight="1">
      <c r="A232" s="94" t="n">
        <v>227</v>
      </c>
      <c r="B232" s="141" t="inlineStr">
        <is>
          <t>2026/08/26 05:00</t>
        </is>
      </c>
      <c r="C232" s="141" t="inlineStr">
        <is>
          <t>LÂM VĂN TẤN</t>
        </is>
      </c>
      <c r="D232" s="141" t="inlineStr">
        <is>
          <t>01/01/1969</t>
        </is>
      </c>
      <c r="E232" s="141" t="inlineStr">
        <is>
          <t>Xét nghiệm đường máu mao mạch tại giường (một lần)[Nội trú]</t>
        </is>
      </c>
      <c r="F232" s="237" t="n">
        <v>1</v>
      </c>
      <c r="G232" s="237" t="n">
        <v>35000</v>
      </c>
      <c r="H232" s="95">
        <f>G232*21.21%</f>
        <v/>
      </c>
    </row>
    <row r="233" ht="15.75" customHeight="1">
      <c r="A233" s="94" t="n">
        <v>228</v>
      </c>
      <c r="B233" s="141" t="inlineStr">
        <is>
          <t>2026/08/26 05:00</t>
        </is>
      </c>
      <c r="C233" s="141" t="inlineStr">
        <is>
          <t>NGUYỄN THỊ THẮM</t>
        </is>
      </c>
      <c r="D233" s="141" t="inlineStr">
        <is>
          <t>01/01/1962</t>
        </is>
      </c>
      <c r="E233" s="141" t="inlineStr">
        <is>
          <t>Xét nghiệm đường máu mao mạch tại giường (một lần)[Nội trú]</t>
        </is>
      </c>
      <c r="F233" s="237" t="n">
        <v>1</v>
      </c>
      <c r="G233" s="237" t="n">
        <v>35000</v>
      </c>
      <c r="H233" s="95">
        <f>G233*21.21%</f>
        <v/>
      </c>
    </row>
    <row r="234" ht="15.75" customHeight="1">
      <c r="A234" s="94" t="n">
        <v>229</v>
      </c>
      <c r="B234" s="141" t="inlineStr">
        <is>
          <t>2026/08/26 05:00</t>
        </is>
      </c>
      <c r="C234" s="141" t="inlineStr">
        <is>
          <t>TRƯƠNG THỊ ĐỨC</t>
        </is>
      </c>
      <c r="D234" s="141" t="inlineStr">
        <is>
          <t>17/03/1958</t>
        </is>
      </c>
      <c r="E234" s="141" t="inlineStr">
        <is>
          <t>Xét nghiệm đường máu mao mạch tại giường (một lần)[Nội trú]</t>
        </is>
      </c>
      <c r="F234" s="237" t="n">
        <v>1</v>
      </c>
      <c r="G234" s="237" t="n">
        <v>16000</v>
      </c>
      <c r="H234" s="95">
        <f>G234*21.21%</f>
        <v/>
      </c>
    </row>
    <row r="235" ht="15.75" customHeight="1">
      <c r="A235" s="94" t="n">
        <v>230</v>
      </c>
      <c r="B235" s="141" t="inlineStr">
        <is>
          <t>2026/08/26 16:00</t>
        </is>
      </c>
      <c r="C235" s="141" t="inlineStr">
        <is>
          <t>HỒ THỊ THANH HÀ</t>
        </is>
      </c>
      <c r="D235" s="141" t="inlineStr">
        <is>
          <t>18/11/1967</t>
        </is>
      </c>
      <c r="E235" s="141" t="inlineStr">
        <is>
          <t>Xét nghiệm đường máu mao mạch tại giường (một lần)[Nội trú]</t>
        </is>
      </c>
      <c r="F235" s="237" t="n">
        <v>1</v>
      </c>
      <c r="G235" s="237" t="n">
        <v>16000</v>
      </c>
      <c r="H235" s="95">
        <f>G235*21.21%</f>
        <v/>
      </c>
    </row>
    <row r="236" ht="15.75" customHeight="1">
      <c r="A236" s="94" t="n">
        <v>231</v>
      </c>
      <c r="B236" s="141" t="inlineStr">
        <is>
          <t>2026/08/26 16:00</t>
        </is>
      </c>
      <c r="C236" s="141" t="inlineStr">
        <is>
          <t>LÂM VĂN TẤN</t>
        </is>
      </c>
      <c r="D236" s="141" t="inlineStr">
        <is>
          <t>01/01/1969</t>
        </is>
      </c>
      <c r="E236" s="141" t="inlineStr">
        <is>
          <t>Xét nghiệm đường máu mao mạch tại giường (một lần)[Nội trú]</t>
        </is>
      </c>
      <c r="F236" s="237" t="n">
        <v>1</v>
      </c>
      <c r="G236" s="237" t="n">
        <v>16000</v>
      </c>
      <c r="H236" s="95">
        <f>G236*21.21%</f>
        <v/>
      </c>
    </row>
    <row r="237" ht="15.75" customHeight="1">
      <c r="A237" s="94" t="n">
        <v>232</v>
      </c>
      <c r="B237" s="141" t="inlineStr">
        <is>
          <t>2026/08/26 16:00</t>
        </is>
      </c>
      <c r="C237" s="141" t="inlineStr">
        <is>
          <t>THẠCH THỊ MƯỢNG</t>
        </is>
      </c>
      <c r="D237" s="141" t="inlineStr">
        <is>
          <t>01/01/1943</t>
        </is>
      </c>
      <c r="E237" s="141" t="inlineStr">
        <is>
          <t>Xét nghiệm đường máu mao mạch tại giường (một lần)[Nội trú]</t>
        </is>
      </c>
      <c r="F237" s="237" t="n">
        <v>1</v>
      </c>
      <c r="G237" s="237" t="n">
        <v>35000</v>
      </c>
      <c r="H237" s="95">
        <f>G237*21.21%</f>
        <v/>
      </c>
    </row>
    <row r="238" ht="15.75" customHeight="1">
      <c r="A238" s="94" t="n">
        <v>233</v>
      </c>
      <c r="B238" s="141" t="inlineStr">
        <is>
          <t>2026/08/26 16:00</t>
        </is>
      </c>
      <c r="C238" s="141" t="inlineStr">
        <is>
          <t>TRƯƠNG THỊ ĐỨC</t>
        </is>
      </c>
      <c r="D238" s="141" t="inlineStr">
        <is>
          <t>17/03/1958</t>
        </is>
      </c>
      <c r="E238" s="141" t="inlineStr">
        <is>
          <t>Xét nghiệm đường máu mao mạch tại giường (một lần)[Nội trú]</t>
        </is>
      </c>
      <c r="F238" s="237" t="n">
        <v>1</v>
      </c>
      <c r="G238" s="237" t="n">
        <v>16000</v>
      </c>
      <c r="H238" s="95">
        <f>G238*21.21%</f>
        <v/>
      </c>
    </row>
    <row r="239" ht="15.75" customHeight="1">
      <c r="A239" s="94" t="n">
        <v>234</v>
      </c>
      <c r="B239" s="141" t="inlineStr">
        <is>
          <t>2026/08/27 05:00</t>
        </is>
      </c>
      <c r="C239" s="141" t="inlineStr">
        <is>
          <t>HỒ THỊ THANH HÀ</t>
        </is>
      </c>
      <c r="D239" s="141" t="inlineStr">
        <is>
          <t>18/11/1967</t>
        </is>
      </c>
      <c r="E239" s="141" t="inlineStr">
        <is>
          <t>Xét nghiệm đường máu mao mạch tại giường (một lần)[Nội trú]</t>
        </is>
      </c>
      <c r="F239" s="237" t="n">
        <v>1</v>
      </c>
      <c r="G239" s="237" t="n">
        <v>16000</v>
      </c>
      <c r="H239" s="95">
        <f>G239*21.21%</f>
        <v/>
      </c>
    </row>
    <row r="240" ht="15.75" customHeight="1">
      <c r="A240" s="94" t="n">
        <v>235</v>
      </c>
      <c r="B240" s="141" t="inlineStr">
        <is>
          <t>2026/08/27 05:00</t>
        </is>
      </c>
      <c r="C240" s="141" t="inlineStr">
        <is>
          <t>LÂM VĂN TẤN</t>
        </is>
      </c>
      <c r="D240" s="141" t="inlineStr">
        <is>
          <t>01/01/1969</t>
        </is>
      </c>
      <c r="E240" s="141" t="inlineStr">
        <is>
          <t>Xét nghiệm đường máu mao mạch tại giường (một lần)[Nội trú]</t>
        </is>
      </c>
      <c r="F240" s="237" t="n">
        <v>1</v>
      </c>
      <c r="G240" s="237" t="n">
        <v>35000</v>
      </c>
      <c r="H240" s="95">
        <f>G240*21.21%</f>
        <v/>
      </c>
    </row>
    <row r="241" ht="15.75" customHeight="1">
      <c r="A241" s="94" t="n">
        <v>236</v>
      </c>
      <c r="B241" s="141" t="inlineStr">
        <is>
          <t>2026/08/27 05:00</t>
        </is>
      </c>
      <c r="C241" s="141" t="inlineStr">
        <is>
          <t>TRƯƠNG THỊ ĐỨC</t>
        </is>
      </c>
      <c r="D241" s="141" t="inlineStr">
        <is>
          <t>17/03/1958</t>
        </is>
      </c>
      <c r="E241" s="141" t="inlineStr">
        <is>
          <t>Xét nghiệm đường máu mao mạch tại giường (một lần)[Nội trú]</t>
        </is>
      </c>
      <c r="F241" s="237" t="n">
        <v>1</v>
      </c>
      <c r="G241" s="237" t="n">
        <v>16000</v>
      </c>
      <c r="H241" s="95">
        <f>G241*21.21%</f>
        <v/>
      </c>
    </row>
    <row r="242" ht="15.75" customHeight="1">
      <c r="A242" s="94" t="n">
        <v>237</v>
      </c>
      <c r="B242" s="141" t="inlineStr">
        <is>
          <t>2026/08/27 05:00</t>
        </is>
      </c>
      <c r="C242" s="141" t="inlineStr">
        <is>
          <t>THẠCH THỊ MƯỢNG</t>
        </is>
      </c>
      <c r="D242" s="141" t="inlineStr">
        <is>
          <t>01/01/1943</t>
        </is>
      </c>
      <c r="E242" s="141" t="inlineStr">
        <is>
          <t>Xét nghiệm đường máu mao mạch tại giường (một lần)[Nội trú]</t>
        </is>
      </c>
      <c r="F242" s="237" t="n">
        <v>1</v>
      </c>
      <c r="G242" s="237" t="n">
        <v>16000</v>
      </c>
      <c r="H242" s="95">
        <f>G242*21.21%</f>
        <v/>
      </c>
    </row>
    <row r="243" ht="15.75" customHeight="1">
      <c r="A243" s="94" t="n">
        <v>238</v>
      </c>
      <c r="B243" s="141" t="inlineStr">
        <is>
          <t>2026/08/27 16:00</t>
        </is>
      </c>
      <c r="C243" s="141" t="inlineStr">
        <is>
          <t>HỒ THỊ THANH HÀ</t>
        </is>
      </c>
      <c r="D243" s="141" t="inlineStr">
        <is>
          <t>18/11/1967</t>
        </is>
      </c>
      <c r="E243" s="141" t="inlineStr">
        <is>
          <t>Xét nghiệm đường máu mao mạch tại giường (một lần)[Nội trú]</t>
        </is>
      </c>
      <c r="F243" s="237" t="n">
        <v>1</v>
      </c>
      <c r="G243" s="237" t="n">
        <v>16000</v>
      </c>
      <c r="H243" s="95">
        <f>G243*21.21%</f>
        <v/>
      </c>
    </row>
    <row r="244" ht="15.75" customHeight="1">
      <c r="A244" s="94" t="n">
        <v>239</v>
      </c>
      <c r="B244" s="141" t="inlineStr">
        <is>
          <t>2026/08/27 16:00</t>
        </is>
      </c>
      <c r="C244" s="141" t="inlineStr">
        <is>
          <t>LÂM VĂN TẤN</t>
        </is>
      </c>
      <c r="D244" s="141" t="inlineStr">
        <is>
          <t>01/01/1969</t>
        </is>
      </c>
      <c r="E244" s="141" t="inlineStr">
        <is>
          <t>Xét nghiệm đường máu mao mạch tại giường (một lần)[Nội trú]</t>
        </is>
      </c>
      <c r="F244" s="237" t="n">
        <v>1</v>
      </c>
      <c r="G244" s="237" t="n">
        <v>16000</v>
      </c>
      <c r="H244" s="95">
        <f>G244*21.21%</f>
        <v/>
      </c>
    </row>
    <row r="245" ht="15.75" customHeight="1">
      <c r="A245" s="94" t="n">
        <v>240</v>
      </c>
      <c r="B245" s="141" t="inlineStr">
        <is>
          <t>2026/08/27 16:00</t>
        </is>
      </c>
      <c r="C245" s="141" t="inlineStr">
        <is>
          <t>THẠCH THỊ MƯỢNG</t>
        </is>
      </c>
      <c r="D245" s="141" t="inlineStr">
        <is>
          <t>01/01/1943</t>
        </is>
      </c>
      <c r="E245" s="141" t="inlineStr">
        <is>
          <t>Xét nghiệm đường máu mao mạch tại giường (một lần)[Nội trú]</t>
        </is>
      </c>
      <c r="F245" s="237" t="n">
        <v>1</v>
      </c>
      <c r="G245" s="237" t="n">
        <v>16000</v>
      </c>
      <c r="H245" s="95">
        <f>G245*21.21%</f>
        <v/>
      </c>
    </row>
    <row r="246" ht="15.75" customHeight="1">
      <c r="A246" s="94" t="n">
        <v>241</v>
      </c>
      <c r="B246" s="141" t="inlineStr">
        <is>
          <t>2026/08/28 05:00</t>
        </is>
      </c>
      <c r="C246" s="141" t="inlineStr">
        <is>
          <t>HỒ THỊ THANH HÀ</t>
        </is>
      </c>
      <c r="D246" s="141" t="inlineStr">
        <is>
          <t>18/11/1967</t>
        </is>
      </c>
      <c r="E246" s="141" t="inlineStr">
        <is>
          <t>Xét nghiệm đường máu mao mạch tại giường (một lần)[Nội trú]</t>
        </is>
      </c>
      <c r="F246" s="237" t="n">
        <v>1</v>
      </c>
      <c r="G246" s="237" t="n">
        <v>16000</v>
      </c>
      <c r="H246" s="95">
        <f>G246*21.21%</f>
        <v/>
      </c>
    </row>
    <row r="247" ht="15.75" customHeight="1">
      <c r="A247" s="94" t="n">
        <v>242</v>
      </c>
      <c r="B247" s="141" t="inlineStr">
        <is>
          <t>2026/07/22 07:00</t>
        </is>
      </c>
      <c r="C247" s="141" t="inlineStr">
        <is>
          <t>LÊ TRƯỜNG GIANG</t>
        </is>
      </c>
      <c r="D247" s="141" t="inlineStr">
        <is>
          <t>01/01/1980</t>
        </is>
      </c>
      <c r="E247" s="141" t="inlineStr">
        <is>
          <t>Thay băng, cắt chỉ vết mổ [chiều dài ≤ 15cm]</t>
        </is>
      </c>
      <c r="F247" s="237" t="n">
        <v>1</v>
      </c>
      <c r="G247" s="237" t="n">
        <v>100000</v>
      </c>
      <c r="H247" s="95">
        <f>25%*75%</f>
        <v/>
      </c>
    </row>
    <row r="248" ht="15.75" customHeight="1">
      <c r="A248" s="94" t="n">
        <v>243</v>
      </c>
      <c r="B248" s="141" t="inlineStr">
        <is>
          <t>2026/07/22 07:30</t>
        </is>
      </c>
      <c r="C248" s="141" t="inlineStr">
        <is>
          <t>LÂM THỊ THÚY</t>
        </is>
      </c>
      <c r="D248" s="141" t="inlineStr">
        <is>
          <t>01/01/1972</t>
        </is>
      </c>
      <c r="E248" s="141" t="inlineStr">
        <is>
          <t>Thay băng, cắt chỉ vết mổ [chiều dài ≤ 15cm]</t>
        </is>
      </c>
      <c r="F248" s="237" t="n">
        <v>1</v>
      </c>
      <c r="G248" s="237" t="n">
        <v>100000</v>
      </c>
      <c r="H248" s="95">
        <f>25%*75%</f>
        <v/>
      </c>
    </row>
    <row r="249" ht="15.75" customHeight="1">
      <c r="A249" s="94" t="n">
        <v>244</v>
      </c>
      <c r="B249" s="141" t="inlineStr">
        <is>
          <t>2026/07/23 07:00</t>
        </is>
      </c>
      <c r="C249" s="141" t="inlineStr">
        <is>
          <t>LÊ TRƯỜNG GIANG</t>
        </is>
      </c>
      <c r="D249" s="141" t="inlineStr">
        <is>
          <t>01/01/1980</t>
        </is>
      </c>
      <c r="E249" s="141" t="inlineStr">
        <is>
          <t>Thay băng, cắt chỉ vết mổ [chiều dài ≤ 15cm]</t>
        </is>
      </c>
      <c r="F249" s="237" t="n">
        <v>1</v>
      </c>
      <c r="G249" s="237" t="n">
        <v>100000</v>
      </c>
      <c r="H249" s="95">
        <f>25%*75%</f>
        <v/>
      </c>
    </row>
    <row r="250" ht="15.75" customHeight="1">
      <c r="A250" s="94" t="n">
        <v>245</v>
      </c>
      <c r="B250" s="141" t="inlineStr">
        <is>
          <t>2026/07/23 07:30</t>
        </is>
      </c>
      <c r="C250" s="141" t="inlineStr">
        <is>
          <t>LÂM THỊ THÚY</t>
        </is>
      </c>
      <c r="D250" s="141" t="inlineStr">
        <is>
          <t>01/01/1972</t>
        </is>
      </c>
      <c r="E250" s="141" t="inlineStr">
        <is>
          <t>Thay băng, cắt chỉ vết mổ [chiều dài ≤ 15cm]</t>
        </is>
      </c>
      <c r="F250" s="237" t="n">
        <v>1</v>
      </c>
      <c r="G250" s="237" t="n">
        <v>100000</v>
      </c>
      <c r="H250" s="95">
        <f>25%*75%</f>
        <v/>
      </c>
    </row>
    <row r="251" ht="15.75" customHeight="1">
      <c r="A251" s="94" t="n">
        <v>246</v>
      </c>
      <c r="B251" s="141" t="inlineStr">
        <is>
          <t>2026/07/24 07:00</t>
        </is>
      </c>
      <c r="C251" s="141" t="inlineStr">
        <is>
          <t>LÊ TRƯỜNG GIANG</t>
        </is>
      </c>
      <c r="D251" s="141" t="inlineStr">
        <is>
          <t>01/01/1980</t>
        </is>
      </c>
      <c r="E251" s="141" t="inlineStr">
        <is>
          <t>Thay băng, cắt chỉ vết mổ [chiều dài ≤ 15cm]</t>
        </is>
      </c>
      <c r="F251" s="237" t="n">
        <v>1</v>
      </c>
      <c r="G251" s="237" t="n">
        <v>100000</v>
      </c>
      <c r="H251" s="95">
        <f>25%*75%</f>
        <v/>
      </c>
    </row>
    <row r="252" ht="15.75" customHeight="1">
      <c r="A252" s="94" t="n">
        <v>247</v>
      </c>
      <c r="B252" s="141" t="inlineStr">
        <is>
          <t>2026/07/24 07:30</t>
        </is>
      </c>
      <c r="C252" s="141" t="inlineStr">
        <is>
          <t>LÂM THỊ THÚY</t>
        </is>
      </c>
      <c r="D252" s="141" t="inlineStr">
        <is>
          <t>01/01/1972</t>
        </is>
      </c>
      <c r="E252" s="141" t="inlineStr">
        <is>
          <t>Thay băng, cắt chỉ vết mổ [chiều dài ≤ 15cm]</t>
        </is>
      </c>
      <c r="F252" s="237" t="n">
        <v>1</v>
      </c>
      <c r="G252" s="237" t="n">
        <v>100000</v>
      </c>
      <c r="H252" s="95">
        <f>25%*75%</f>
        <v/>
      </c>
    </row>
    <row r="253" ht="15.75" customHeight="1">
      <c r="A253" s="94" t="n">
        <v>248</v>
      </c>
      <c r="B253" s="141" t="inlineStr">
        <is>
          <t>2026/07/24 11:30</t>
        </is>
      </c>
      <c r="C253" s="141" t="inlineStr">
        <is>
          <t>LÂM THỊ THÚY</t>
        </is>
      </c>
      <c r="D253" s="141" t="inlineStr">
        <is>
          <t>01/01/1972</t>
        </is>
      </c>
      <c r="E253" s="141" t="inlineStr">
        <is>
          <t>Thông bàng quang</t>
        </is>
      </c>
      <c r="F253" s="237" t="n">
        <v>1</v>
      </c>
      <c r="G253" s="237" t="n">
        <v>101800</v>
      </c>
      <c r="H253" s="95">
        <f>25%*75%</f>
        <v/>
      </c>
    </row>
    <row r="254" ht="15.75" customHeight="1">
      <c r="A254" s="94" t="n">
        <v>249</v>
      </c>
      <c r="B254" s="141" t="inlineStr">
        <is>
          <t>2026/07/25 05:00</t>
        </is>
      </c>
      <c r="C254" s="141" t="inlineStr">
        <is>
          <t>LÂM THỊ THÚY</t>
        </is>
      </c>
      <c r="D254" s="141" t="inlineStr">
        <is>
          <t>01/01/1972</t>
        </is>
      </c>
      <c r="E254" s="141" t="inlineStr">
        <is>
          <t>Thay băng, cắt chỉ vết mổ [chiều dài ≤ 15cm]</t>
        </is>
      </c>
      <c r="F254" s="237" t="n">
        <v>1</v>
      </c>
      <c r="G254" s="237" t="n">
        <v>100000</v>
      </c>
      <c r="H254" s="95">
        <f>25%*75%</f>
        <v/>
      </c>
    </row>
    <row r="255" ht="15.75" customHeight="1">
      <c r="A255" s="94" t="n">
        <v>250</v>
      </c>
      <c r="B255" s="141" t="inlineStr">
        <is>
          <t>2026/07/25 05:00</t>
        </is>
      </c>
      <c r="C255" s="141" t="inlineStr">
        <is>
          <t>LÊ TRƯỜNG GIANG</t>
        </is>
      </c>
      <c r="D255" s="141" t="inlineStr">
        <is>
          <t>01/01/1980</t>
        </is>
      </c>
      <c r="E255" s="141" t="inlineStr">
        <is>
          <t>Thay băng, cắt chỉ vết mổ [chiều dài ≤ 15cm]</t>
        </is>
      </c>
      <c r="F255" s="237" t="n">
        <v>1</v>
      </c>
      <c r="G255" s="237" t="n">
        <v>100000</v>
      </c>
      <c r="H255" s="95">
        <f>25%*75%</f>
        <v/>
      </c>
    </row>
    <row r="256" ht="15.75" customHeight="1">
      <c r="A256" s="94" t="n">
        <v>251</v>
      </c>
      <c r="B256" s="141" t="inlineStr">
        <is>
          <t>2026/07/26 05:00</t>
        </is>
      </c>
      <c r="C256" s="141" t="inlineStr">
        <is>
          <t>LÂM THỊ THÚY</t>
        </is>
      </c>
      <c r="D256" s="141" t="inlineStr">
        <is>
          <t>01/01/1972</t>
        </is>
      </c>
      <c r="E256" s="141" t="inlineStr">
        <is>
          <t>Thay băng, cắt chỉ vết mổ [chiều dài ≤ 15cm]</t>
        </is>
      </c>
      <c r="F256" s="237" t="n">
        <v>1</v>
      </c>
      <c r="G256" s="237" t="n">
        <v>100000</v>
      </c>
      <c r="H256" s="95">
        <f>25%*75%</f>
        <v/>
      </c>
    </row>
    <row r="257" ht="15.75" customHeight="1">
      <c r="A257" s="94" t="n">
        <v>252</v>
      </c>
      <c r="B257" s="141" t="inlineStr">
        <is>
          <t>2026/07/26 05:00</t>
        </is>
      </c>
      <c r="C257" s="141" t="inlineStr">
        <is>
          <t>LÊ TRƯỜNG GIANG</t>
        </is>
      </c>
      <c r="D257" s="141" t="inlineStr">
        <is>
          <t>01/01/1980</t>
        </is>
      </c>
      <c r="E257" s="141" t="inlineStr">
        <is>
          <t>Thay băng, cắt chỉ vết mổ [chiều dài ≤ 15cm]</t>
        </is>
      </c>
      <c r="F257" s="237" t="n">
        <v>1</v>
      </c>
      <c r="G257" s="237" t="n">
        <v>100000</v>
      </c>
      <c r="H257" s="95">
        <f>25%*75%</f>
        <v/>
      </c>
    </row>
    <row r="258" ht="15.75" customHeight="1">
      <c r="A258" s="94" t="n">
        <v>253</v>
      </c>
      <c r="B258" s="141" t="inlineStr">
        <is>
          <t>2026/07/27 05:00</t>
        </is>
      </c>
      <c r="C258" s="141" t="inlineStr">
        <is>
          <t>LÂM THỊ THÚY</t>
        </is>
      </c>
      <c r="D258" s="141" t="inlineStr">
        <is>
          <t>01/01/1972</t>
        </is>
      </c>
      <c r="E258" s="141" t="inlineStr">
        <is>
          <t>Thay băng, cắt chỉ vết mổ [chiều dài ≤ 15cm]</t>
        </is>
      </c>
      <c r="F258" s="237" t="n">
        <v>1</v>
      </c>
      <c r="G258" s="237" t="n">
        <v>100000</v>
      </c>
      <c r="H258" s="95">
        <f>25%*75%</f>
        <v/>
      </c>
    </row>
    <row r="259" ht="15.75" customHeight="1">
      <c r="A259" s="94" t="n">
        <v>254</v>
      </c>
      <c r="B259" s="141" t="inlineStr">
        <is>
          <t>2026/07/27 05:00</t>
        </is>
      </c>
      <c r="C259" s="141" t="inlineStr">
        <is>
          <t>LÊ TRƯỜNG GIANG</t>
        </is>
      </c>
      <c r="D259" s="141" t="inlineStr">
        <is>
          <t>01/01/1980</t>
        </is>
      </c>
      <c r="E259" s="141" t="inlineStr">
        <is>
          <t>Thay băng, cắt chỉ vết mổ [chiều dài ≤ 15cm]</t>
        </is>
      </c>
      <c r="F259" s="237" t="n">
        <v>1</v>
      </c>
      <c r="G259" s="237" t="n">
        <v>100000</v>
      </c>
      <c r="H259" s="95">
        <f>25%*75%</f>
        <v/>
      </c>
    </row>
    <row r="260" ht="15.75" customHeight="1">
      <c r="A260" s="94" t="n">
        <v>255</v>
      </c>
      <c r="B260" s="141" t="inlineStr">
        <is>
          <t>2026/07/28 05:00</t>
        </is>
      </c>
      <c r="C260" s="141" t="inlineStr">
        <is>
          <t>LÊ TRƯỜNG GIANG</t>
        </is>
      </c>
      <c r="D260" s="141" t="inlineStr">
        <is>
          <t>01/01/1980</t>
        </is>
      </c>
      <c r="E260" s="141" t="inlineStr">
        <is>
          <t>Thay băng, cắt chỉ vết mổ [chiều dài ≤ 15cm]</t>
        </is>
      </c>
      <c r="F260" s="237" t="n">
        <v>1</v>
      </c>
      <c r="G260" s="237" t="n">
        <v>100000</v>
      </c>
      <c r="H260" s="95">
        <f>25%*75%</f>
        <v/>
      </c>
    </row>
    <row r="261" ht="15.75" customHeight="1">
      <c r="A261" s="94" t="n">
        <v>256</v>
      </c>
      <c r="B261" s="141" t="inlineStr">
        <is>
          <t>2026/07/28 07:00</t>
        </is>
      </c>
      <c r="C261" s="141" t="inlineStr">
        <is>
          <t>PHẠM THỊ NGỌC ÁNH</t>
        </is>
      </c>
      <c r="D261" s="141" t="inlineStr">
        <is>
          <t>01/01/1957</t>
        </is>
      </c>
      <c r="E261" s="141" t="inlineStr">
        <is>
          <t>Thay băng, cắt chỉ vết mổ [chiều dài ≤ 15cm]</t>
        </is>
      </c>
      <c r="F261" s="237" t="n">
        <v>1</v>
      </c>
      <c r="G261" s="237" t="n">
        <v>100000</v>
      </c>
      <c r="H261" s="95">
        <f>25%*75%</f>
        <v/>
      </c>
    </row>
    <row r="262" ht="15.75" customHeight="1">
      <c r="A262" s="94" t="n">
        <v>257</v>
      </c>
      <c r="B262" s="141" t="inlineStr">
        <is>
          <t>2026/07/28 07:00</t>
        </is>
      </c>
      <c r="C262" s="141" t="inlineStr">
        <is>
          <t>TĂNG THỊ MIỀN</t>
        </is>
      </c>
      <c r="D262" s="141" t="inlineStr">
        <is>
          <t>01/01/1951</t>
        </is>
      </c>
      <c r="E262" s="141" t="inlineStr">
        <is>
          <t>Thay băng, cắt chỉ vết mổ [chiều dài ≤ 15cm]</t>
        </is>
      </c>
      <c r="F262" s="237" t="n">
        <v>1</v>
      </c>
      <c r="G262" s="237" t="n">
        <v>100000</v>
      </c>
      <c r="H262" s="95">
        <f>25%*75%</f>
        <v/>
      </c>
    </row>
    <row r="263" ht="15.75" customHeight="1">
      <c r="A263" s="94" t="n">
        <v>258</v>
      </c>
      <c r="B263" s="141" t="inlineStr">
        <is>
          <t>2026/07/28 07:15</t>
        </is>
      </c>
      <c r="C263" s="141" t="inlineStr">
        <is>
          <t>LÂM THỊ THÚY</t>
        </is>
      </c>
      <c r="D263" s="141" t="inlineStr">
        <is>
          <t>01/01/1972</t>
        </is>
      </c>
      <c r="E263" s="141" t="inlineStr">
        <is>
          <t>Thay băng, cắt chỉ vết mổ [chiều dài ≤ 15cm]</t>
        </is>
      </c>
      <c r="F263" s="237" t="n">
        <v>1</v>
      </c>
      <c r="G263" s="237" t="n">
        <v>100000</v>
      </c>
      <c r="H263" s="95">
        <f>25%*75%</f>
        <v/>
      </c>
    </row>
    <row r="264" ht="15.75" customHeight="1">
      <c r="A264" s="94" t="n">
        <v>259</v>
      </c>
      <c r="B264" s="141" t="inlineStr">
        <is>
          <t>2026/07/28 15:00</t>
        </is>
      </c>
      <c r="C264" s="141" t="inlineStr">
        <is>
          <t>TĂNG THỊ MIỀN</t>
        </is>
      </c>
      <c r="D264" s="141" t="inlineStr">
        <is>
          <t>01/01/1951</t>
        </is>
      </c>
      <c r="E264" s="141" t="inlineStr">
        <is>
          <t>Thay băng, cắt chỉ vết mổ [chiều dài ≤ 15cm]</t>
        </is>
      </c>
      <c r="F264" s="237" t="n">
        <v>1</v>
      </c>
      <c r="G264" s="237" t="n">
        <v>100000</v>
      </c>
      <c r="H264" s="95">
        <f>25%*75%</f>
        <v/>
      </c>
    </row>
    <row r="265" ht="15.75" customHeight="1">
      <c r="A265" s="94" t="n">
        <v>260</v>
      </c>
      <c r="B265" s="141" t="inlineStr">
        <is>
          <t>2026/07/29 05:00</t>
        </is>
      </c>
      <c r="C265" s="141" t="inlineStr">
        <is>
          <t>LÂM THỊ THÚY</t>
        </is>
      </c>
      <c r="D265" s="141" t="inlineStr">
        <is>
          <t>01/01/1972</t>
        </is>
      </c>
      <c r="E265" s="141" t="inlineStr">
        <is>
          <t>Thay băng, cắt chỉ vết mổ [chiều dài ≤ 15cm]</t>
        </is>
      </c>
      <c r="F265" s="237" t="n">
        <v>1</v>
      </c>
      <c r="G265" s="237" t="n">
        <v>100000</v>
      </c>
      <c r="H265" s="95">
        <f>25%*75%</f>
        <v/>
      </c>
    </row>
    <row r="266" ht="15.75" customHeight="1">
      <c r="A266" s="94" t="n">
        <v>261</v>
      </c>
      <c r="B266" s="141" t="inlineStr">
        <is>
          <t>2026/07/29 05:00</t>
        </is>
      </c>
      <c r="C266" s="141" t="inlineStr">
        <is>
          <t>LÊ TRƯỜNG GIANG</t>
        </is>
      </c>
      <c r="D266" s="141" t="inlineStr">
        <is>
          <t>01/01/1980</t>
        </is>
      </c>
      <c r="E266" s="141" t="inlineStr">
        <is>
          <t>Thay băng, cắt chỉ vết mổ [chiều dài ≤ 15cm]</t>
        </is>
      </c>
      <c r="F266" s="237" t="n">
        <v>1</v>
      </c>
      <c r="G266" s="237" t="n">
        <v>100000</v>
      </c>
      <c r="H266" s="95">
        <f>25%*75%</f>
        <v/>
      </c>
    </row>
    <row r="267" ht="15.75" customHeight="1">
      <c r="A267" s="94" t="n">
        <v>262</v>
      </c>
      <c r="B267" s="141" t="inlineStr">
        <is>
          <t>2026/07/29 07:00</t>
        </is>
      </c>
      <c r="C267" s="141" t="inlineStr">
        <is>
          <t>LÊ THỊ ỬNG</t>
        </is>
      </c>
      <c r="D267" s="141" t="inlineStr">
        <is>
          <t>02/09/1953</t>
        </is>
      </c>
      <c r="E267" s="141" t="inlineStr">
        <is>
          <t>Thay băng, cắt chỉ vết mổ [chiều dài ≤ 15cm]</t>
        </is>
      </c>
      <c r="F267" s="237" t="n">
        <v>1</v>
      </c>
      <c r="G267" s="237" t="n">
        <v>100000</v>
      </c>
      <c r="H267" s="95">
        <f>25%*75%</f>
        <v/>
      </c>
    </row>
    <row r="268" ht="15.75" customHeight="1">
      <c r="A268" s="94" t="n">
        <v>263</v>
      </c>
      <c r="B268" s="141" t="inlineStr">
        <is>
          <t>2026/07/29 07:00</t>
        </is>
      </c>
      <c r="C268" s="141" t="inlineStr">
        <is>
          <t>PHẠM THỊ NGỌC ÁNH</t>
        </is>
      </c>
      <c r="D268" s="141" t="inlineStr">
        <is>
          <t>01/01/1957</t>
        </is>
      </c>
      <c r="E268" s="141" t="inlineStr">
        <is>
          <t>Thay băng, cắt chỉ vết mổ [chiều dài ≤ 15cm]</t>
        </is>
      </c>
      <c r="F268" s="237" t="n">
        <v>1</v>
      </c>
      <c r="G268" s="237" t="n">
        <v>100000</v>
      </c>
      <c r="H268" s="95">
        <f>25%*75%</f>
        <v/>
      </c>
    </row>
    <row r="269" ht="15.75" customHeight="1">
      <c r="A269" s="94" t="n">
        <v>264</v>
      </c>
      <c r="B269" s="141" t="inlineStr">
        <is>
          <t>2026/07/30 05:00</t>
        </is>
      </c>
      <c r="C269" s="141" t="inlineStr">
        <is>
          <t>LÂM THỊ THÚY</t>
        </is>
      </c>
      <c r="D269" s="141" t="inlineStr">
        <is>
          <t>01/01/1972</t>
        </is>
      </c>
      <c r="E269" s="141" t="inlineStr">
        <is>
          <t>Thay băng, cắt chỉ vết mổ [chiều dài ≤ 15cm]</t>
        </is>
      </c>
      <c r="F269" s="237" t="n">
        <v>1</v>
      </c>
      <c r="G269" s="237" t="n">
        <v>100000</v>
      </c>
      <c r="H269" s="95">
        <f>25%*75%</f>
        <v/>
      </c>
    </row>
    <row r="270" ht="15.75" customHeight="1">
      <c r="A270" s="94" t="n">
        <v>265</v>
      </c>
      <c r="B270" s="141" t="inlineStr">
        <is>
          <t>2026/07/30 05:00</t>
        </is>
      </c>
      <c r="C270" s="141" t="inlineStr">
        <is>
          <t>LÊ THỊ ỬNG</t>
        </is>
      </c>
      <c r="D270" s="141" t="inlineStr">
        <is>
          <t>02/09/1953</t>
        </is>
      </c>
      <c r="E270" s="141" t="inlineStr">
        <is>
          <t>Thay băng, cắt chỉ vết mổ [chiều dài ≤ 15cm]</t>
        </is>
      </c>
      <c r="F270" s="237" t="n">
        <v>1</v>
      </c>
      <c r="G270" s="237" t="n">
        <v>100000</v>
      </c>
      <c r="H270" s="95">
        <f>25%*75%</f>
        <v/>
      </c>
    </row>
    <row r="271" ht="15.75" customHeight="1">
      <c r="A271" s="94" t="n">
        <v>266</v>
      </c>
      <c r="B271" s="141" t="inlineStr">
        <is>
          <t>2026/07/30 05:00</t>
        </is>
      </c>
      <c r="C271" s="141" t="inlineStr">
        <is>
          <t>LÊ TRƯỜNG GIANG</t>
        </is>
      </c>
      <c r="D271" s="141" t="inlineStr">
        <is>
          <t>01/01/1980</t>
        </is>
      </c>
      <c r="E271" s="141" t="inlineStr">
        <is>
          <t>Thay băng, cắt chỉ vết mổ [chiều dài ≤ 15cm]</t>
        </is>
      </c>
      <c r="F271" s="237" t="n">
        <v>1</v>
      </c>
      <c r="G271" s="237" t="n">
        <v>100000</v>
      </c>
      <c r="H271" s="95">
        <f>25%*75%</f>
        <v/>
      </c>
    </row>
    <row r="272" ht="15.75" customHeight="1">
      <c r="A272" s="94" t="n">
        <v>267</v>
      </c>
      <c r="B272" s="141" t="inlineStr">
        <is>
          <t>2026/07/30 06:14</t>
        </is>
      </c>
      <c r="C272" s="141" t="inlineStr">
        <is>
          <t>TĂNG THỊ MIỀN</t>
        </is>
      </c>
      <c r="D272" s="141" t="inlineStr">
        <is>
          <t>01/01/1951</t>
        </is>
      </c>
      <c r="E272" s="141" t="inlineStr">
        <is>
          <t>Thay băng, cắt chỉ vết mổ [chiều dài ≤ 15cm]</t>
        </is>
      </c>
      <c r="F272" s="237" t="n">
        <v>1</v>
      </c>
      <c r="G272" s="237" t="n">
        <v>100000</v>
      </c>
      <c r="H272" s="95">
        <f>25%*75%</f>
        <v/>
      </c>
    </row>
    <row r="273" ht="15.75" customHeight="1">
      <c r="A273" s="94" t="n">
        <v>268</v>
      </c>
      <c r="B273" s="141" t="inlineStr">
        <is>
          <t>2026/07/30 06:56</t>
        </is>
      </c>
      <c r="C273" s="141" t="inlineStr">
        <is>
          <t>NGUYỄN NHẬT VÂN</t>
        </is>
      </c>
      <c r="D273" s="141" t="inlineStr">
        <is>
          <t>01/01/1967</t>
        </is>
      </c>
      <c r="E273" s="141" t="inlineStr">
        <is>
          <t>Thay băng, cắt chỉ vết mổ [chiều dài ≤ 15cm]</t>
        </is>
      </c>
      <c r="F273" s="237" t="n">
        <v>1</v>
      </c>
      <c r="G273" s="237" t="n">
        <v>100000</v>
      </c>
      <c r="H273" s="95">
        <f>25%*75%</f>
        <v/>
      </c>
    </row>
    <row r="274" ht="15.75" customHeight="1">
      <c r="A274" s="94" t="n">
        <v>269</v>
      </c>
      <c r="B274" s="141" t="inlineStr">
        <is>
          <t>2026/07/30 07:00</t>
        </is>
      </c>
      <c r="C274" s="141" t="inlineStr">
        <is>
          <t>LÂM CHÍ VỈNH</t>
        </is>
      </c>
      <c r="D274" s="141" t="inlineStr">
        <is>
          <t>13/07/2006</t>
        </is>
      </c>
      <c r="E274" s="141" t="inlineStr">
        <is>
          <t>Thay băng, cắt chỉ vết mổ [chiều dài ≤ 15cm]</t>
        </is>
      </c>
      <c r="F274" s="237" t="n">
        <v>1</v>
      </c>
      <c r="G274" s="237" t="n">
        <v>100000</v>
      </c>
      <c r="H274" s="95">
        <f>25%*75%</f>
        <v/>
      </c>
    </row>
    <row r="275" ht="15.75" customHeight="1">
      <c r="A275" s="94" t="n">
        <v>270</v>
      </c>
      <c r="B275" s="141" t="inlineStr">
        <is>
          <t>2026/07/30 07:00</t>
        </is>
      </c>
      <c r="C275" s="141" t="inlineStr">
        <is>
          <t>NGUYỄN THỊ HỒNG THO</t>
        </is>
      </c>
      <c r="D275" s="141" t="inlineStr">
        <is>
          <t>19/05/1997</t>
        </is>
      </c>
      <c r="E275" s="141" t="inlineStr">
        <is>
          <t>Thay băng, cắt chỉ vết mổ [chiều dài ≤ 15cm]</t>
        </is>
      </c>
      <c r="F275" s="237" t="n">
        <v>1</v>
      </c>
      <c r="G275" s="237" t="n">
        <v>100000</v>
      </c>
      <c r="H275" s="95">
        <f>25%*75%</f>
        <v/>
      </c>
    </row>
    <row r="276" ht="15.75" customHeight="1">
      <c r="A276" s="94" t="n">
        <v>271</v>
      </c>
      <c r="B276" s="141" t="inlineStr">
        <is>
          <t>2026/07/30 07:00</t>
        </is>
      </c>
      <c r="C276" s="141" t="inlineStr">
        <is>
          <t>PHẠM THỊ NGỌC ÁNH</t>
        </is>
      </c>
      <c r="D276" s="141" t="inlineStr">
        <is>
          <t>01/01/1957</t>
        </is>
      </c>
      <c r="E276" s="141" t="inlineStr">
        <is>
          <t>Thay băng, cắt chỉ vết mổ [chiều dài ≤ 15cm]</t>
        </is>
      </c>
      <c r="F276" s="237" t="n">
        <v>1</v>
      </c>
      <c r="G276" s="237" t="n">
        <v>100000</v>
      </c>
      <c r="H276" s="95">
        <f>25%*75%</f>
        <v/>
      </c>
    </row>
    <row r="277" ht="15.75" customHeight="1">
      <c r="A277" s="94" t="n">
        <v>272</v>
      </c>
      <c r="B277" s="141" t="inlineStr">
        <is>
          <t>2026/07/30 07:00</t>
        </is>
      </c>
      <c r="C277" s="141" t="inlineStr">
        <is>
          <t>THỊ MỸ</t>
        </is>
      </c>
      <c r="D277" s="141" t="inlineStr">
        <is>
          <t>01/01/1971</t>
        </is>
      </c>
      <c r="E277" s="141" t="inlineStr">
        <is>
          <t>Truyền hóa chất tĩnh mạch [nội trú]</t>
        </is>
      </c>
      <c r="F277" s="237" t="n">
        <v>1</v>
      </c>
      <c r="G277" s="237" t="n">
        <v>400000</v>
      </c>
      <c r="H277" s="95">
        <f>25%*75%</f>
        <v/>
      </c>
    </row>
    <row r="278" ht="15.75" customHeight="1">
      <c r="A278" s="94" t="n">
        <v>273</v>
      </c>
      <c r="B278" s="141" t="inlineStr">
        <is>
          <t>2026/07/30 07:15</t>
        </is>
      </c>
      <c r="C278" s="141" t="inlineStr">
        <is>
          <t>LÊ THỊ THANH NHANH</t>
        </is>
      </c>
      <c r="D278" s="141" t="inlineStr">
        <is>
          <t>01/01/1976</t>
        </is>
      </c>
      <c r="E278" s="141" t="inlineStr">
        <is>
          <t>Thay băng, cắt chỉ vết mổ [chiều dài ≤ 15cm]</t>
        </is>
      </c>
      <c r="F278" s="237" t="n">
        <v>1</v>
      </c>
      <c r="G278" s="237" t="n">
        <v>100000</v>
      </c>
      <c r="H278" s="95">
        <f>25%*75%</f>
        <v/>
      </c>
    </row>
    <row r="279" ht="15.75" customHeight="1">
      <c r="A279" s="94" t="n">
        <v>274</v>
      </c>
      <c r="B279" s="141" t="inlineStr">
        <is>
          <t>2026/07/30 07:56</t>
        </is>
      </c>
      <c r="C279" s="141" t="inlineStr">
        <is>
          <t>NGUYỄN THỊ THANH HÒA</t>
        </is>
      </c>
      <c r="D279" s="141" t="inlineStr">
        <is>
          <t>19/03/1973</t>
        </is>
      </c>
      <c r="E279" s="141" t="inlineStr">
        <is>
          <t>Thay băng, cắt chỉ vết mổ [chiều dài ≤ 15cm]</t>
        </is>
      </c>
      <c r="F279" s="237" t="n">
        <v>1</v>
      </c>
      <c r="G279" s="237" t="n">
        <v>100000</v>
      </c>
      <c r="H279" s="95">
        <f>25%*75%</f>
        <v/>
      </c>
    </row>
    <row r="280" ht="15.75" customHeight="1">
      <c r="A280" s="94" t="n">
        <v>275</v>
      </c>
      <c r="B280" s="141" t="inlineStr">
        <is>
          <t>2026/07/30 15:00</t>
        </is>
      </c>
      <c r="C280" s="141" t="inlineStr">
        <is>
          <t>TĂNG THỊ MIỀN</t>
        </is>
      </c>
      <c r="D280" s="141" t="inlineStr">
        <is>
          <t>01/01/1951</t>
        </is>
      </c>
      <c r="E280" s="141" t="inlineStr">
        <is>
          <t>Thay băng, cắt chỉ vết mổ [chiều dài ≤ 15cm]</t>
        </is>
      </c>
      <c r="F280" s="237" t="n">
        <v>1</v>
      </c>
      <c r="G280" s="237" t="n">
        <v>100000</v>
      </c>
      <c r="H280" s="95">
        <f>25%*75%</f>
        <v/>
      </c>
    </row>
    <row r="281" ht="15.75" customHeight="1">
      <c r="A281" s="94" t="n">
        <v>276</v>
      </c>
      <c r="B281" s="141" t="inlineStr">
        <is>
          <t>2026/07/30 19:16</t>
        </is>
      </c>
      <c r="C281" s="141" t="inlineStr">
        <is>
          <t>TRƯƠNG TRIỀU DŨNG</t>
        </is>
      </c>
      <c r="D281" s="141" t="inlineStr">
        <is>
          <t>27/11/2008</t>
        </is>
      </c>
      <c r="E281" s="141" t="inlineStr">
        <is>
          <t>Đặt sonde bàng quang</t>
        </is>
      </c>
      <c r="F281" s="237" t="n">
        <v>1</v>
      </c>
      <c r="G281" s="237" t="n">
        <v>101800</v>
      </c>
      <c r="H281" s="95">
        <f>25%*75%</f>
        <v/>
      </c>
    </row>
    <row r="282" ht="15.75" customHeight="1">
      <c r="A282" s="94" t="n">
        <v>277</v>
      </c>
      <c r="B282" s="141" t="inlineStr">
        <is>
          <t>2026/07/31 05:00</t>
        </is>
      </c>
      <c r="C282" s="141" t="inlineStr">
        <is>
          <t>HUỲNH VĂN CHÓT</t>
        </is>
      </c>
      <c r="D282" s="141" t="inlineStr">
        <is>
          <t>01/01/1964</t>
        </is>
      </c>
      <c r="E282" s="141" t="inlineStr">
        <is>
          <t>Thay băng, cắt chỉ vết mổ [chiều dài ≤ 15cm]</t>
        </is>
      </c>
      <c r="F282" s="237" t="n">
        <v>1</v>
      </c>
      <c r="G282" s="237" t="n">
        <v>100000</v>
      </c>
      <c r="H282" s="95">
        <f>25%*75%</f>
        <v/>
      </c>
    </row>
    <row r="283" ht="15.75" customHeight="1">
      <c r="A283" s="94" t="n">
        <v>278</v>
      </c>
      <c r="B283" s="141" t="inlineStr">
        <is>
          <t>2026/07/31 05:00</t>
        </is>
      </c>
      <c r="C283" s="141" t="inlineStr">
        <is>
          <t>HỒ MINH TUẤN</t>
        </is>
      </c>
      <c r="D283" s="141" t="inlineStr">
        <is>
          <t>25/08/1987</t>
        </is>
      </c>
      <c r="E283" s="141" t="inlineStr">
        <is>
          <t>Thay băng, cắt chỉ vết mổ [chiều dài ≤ 15cm]</t>
        </is>
      </c>
      <c r="F283" s="237" t="n">
        <v>1</v>
      </c>
      <c r="G283" s="237" t="n">
        <v>100000</v>
      </c>
      <c r="H283" s="95">
        <f>25%*75%</f>
        <v/>
      </c>
    </row>
    <row r="284" ht="15.75" customHeight="1">
      <c r="A284" s="94" t="n">
        <v>279</v>
      </c>
      <c r="B284" s="141" t="inlineStr">
        <is>
          <t>2026/07/31 05:00</t>
        </is>
      </c>
      <c r="C284" s="141" t="inlineStr">
        <is>
          <t>LÂM THỊ THÚY</t>
        </is>
      </c>
      <c r="D284" s="141" t="inlineStr">
        <is>
          <t>01/01/1972</t>
        </is>
      </c>
      <c r="E284" s="141" t="inlineStr">
        <is>
          <t>Thay băng, cắt chỉ vết mổ [chiều dài ≤ 15cm]</t>
        </is>
      </c>
      <c r="F284" s="237" t="n">
        <v>1</v>
      </c>
      <c r="G284" s="237" t="n">
        <v>100000</v>
      </c>
      <c r="H284" s="95">
        <f>25%*75%</f>
        <v/>
      </c>
    </row>
    <row r="285" ht="15.75" customHeight="1">
      <c r="A285" s="94" t="n">
        <v>280</v>
      </c>
      <c r="B285" s="141" t="inlineStr">
        <is>
          <t>2026/07/31 05:00</t>
        </is>
      </c>
      <c r="C285" s="141" t="inlineStr">
        <is>
          <t>LÊ THỊ ỬNG</t>
        </is>
      </c>
      <c r="D285" s="141" t="inlineStr">
        <is>
          <t>02/09/1953</t>
        </is>
      </c>
      <c r="E285" s="141" t="inlineStr">
        <is>
          <t>Thay băng, cắt chỉ vết mổ [chiều dài ≤ 15cm]</t>
        </is>
      </c>
      <c r="F285" s="237" t="n">
        <v>1</v>
      </c>
      <c r="G285" s="237" t="n">
        <v>100000</v>
      </c>
      <c r="H285" s="95">
        <f>25%*75%</f>
        <v/>
      </c>
    </row>
    <row r="286" ht="15.75" customHeight="1">
      <c r="A286" s="94" t="n">
        <v>281</v>
      </c>
      <c r="B286" s="141" t="inlineStr">
        <is>
          <t>2026/07/31 05:00</t>
        </is>
      </c>
      <c r="C286" s="141" t="inlineStr">
        <is>
          <t>LÊ TRƯỜNG GIANG</t>
        </is>
      </c>
      <c r="D286" s="141" t="inlineStr">
        <is>
          <t>01/01/1980</t>
        </is>
      </c>
      <c r="E286" s="141" t="inlineStr">
        <is>
          <t>Thay băng, cắt chỉ vết mổ [chiều dài ≤ 15cm]</t>
        </is>
      </c>
      <c r="F286" s="237" t="n">
        <v>1</v>
      </c>
      <c r="G286" s="237" t="n">
        <v>100000</v>
      </c>
      <c r="H286" s="95">
        <f>25%*75%</f>
        <v/>
      </c>
    </row>
    <row r="287" ht="15.75" customHeight="1">
      <c r="A287" s="94" t="n">
        <v>282</v>
      </c>
      <c r="B287" s="141" t="inlineStr">
        <is>
          <t>2026/07/31 05:00</t>
        </is>
      </c>
      <c r="C287" s="141" t="inlineStr">
        <is>
          <t>NGUYỄN THỊ HỒNG THO</t>
        </is>
      </c>
      <c r="D287" s="141" t="inlineStr">
        <is>
          <t>19/05/1997</t>
        </is>
      </c>
      <c r="E287" s="141" t="inlineStr">
        <is>
          <t>Thay băng, cắt chỉ vết mổ [chiều dài ≤ 15cm]</t>
        </is>
      </c>
      <c r="F287" s="237" t="n">
        <v>1</v>
      </c>
      <c r="G287" s="237" t="n">
        <v>100000</v>
      </c>
      <c r="H287" s="95">
        <f>25%*75%</f>
        <v/>
      </c>
    </row>
    <row r="288" ht="15.75" customHeight="1">
      <c r="A288" s="94" t="n">
        <v>283</v>
      </c>
      <c r="B288" s="141" t="inlineStr">
        <is>
          <t>2026/07/31 05:00</t>
        </is>
      </c>
      <c r="C288" s="141" t="inlineStr">
        <is>
          <t>NGUYỄN THỊ THANH HÒA</t>
        </is>
      </c>
      <c r="D288" s="141" t="inlineStr">
        <is>
          <t>19/03/1973</t>
        </is>
      </c>
      <c r="E288" s="141" t="inlineStr">
        <is>
          <t>Thay băng, cắt chỉ vết mổ [chiều dài ≤ 15cm]</t>
        </is>
      </c>
      <c r="F288" s="237" t="n">
        <v>1</v>
      </c>
      <c r="G288" s="237" t="n">
        <v>100000</v>
      </c>
      <c r="H288" s="95">
        <f>25%*75%</f>
        <v/>
      </c>
    </row>
    <row r="289" ht="15.75" customHeight="1">
      <c r="A289" s="94" t="n">
        <v>284</v>
      </c>
      <c r="B289" s="141" t="inlineStr">
        <is>
          <t>2026/07/31 05:00</t>
        </is>
      </c>
      <c r="C289" s="141" t="inlineStr">
        <is>
          <t>TĂNG THỊ MIỀN</t>
        </is>
      </c>
      <c r="D289" s="141" t="inlineStr">
        <is>
          <t>01/01/1951</t>
        </is>
      </c>
      <c r="E289" s="141" t="inlineStr">
        <is>
          <t>Thay băng, cắt chỉ vết mổ [chiều dài ≤ 15cm]</t>
        </is>
      </c>
      <c r="F289" s="237" t="n">
        <v>1</v>
      </c>
      <c r="G289" s="237" t="n">
        <v>100000</v>
      </c>
      <c r="H289" s="95">
        <f>25%*75%</f>
        <v/>
      </c>
    </row>
    <row r="290" ht="15.75" customHeight="1">
      <c r="A290" s="94" t="n">
        <v>285</v>
      </c>
      <c r="B290" s="141" t="inlineStr">
        <is>
          <t>2026/07/31 07:00</t>
        </is>
      </c>
      <c r="C290" s="141" t="inlineStr">
        <is>
          <t>LÂM CHÍ VỈNH</t>
        </is>
      </c>
      <c r="D290" s="141" t="inlineStr">
        <is>
          <t>13/07/2006</t>
        </is>
      </c>
      <c r="E290" s="141" t="inlineStr">
        <is>
          <t>Thay băng, cắt chỉ vết mổ [chiều dài ≤ 15cm]</t>
        </is>
      </c>
      <c r="F290" s="237" t="n">
        <v>1</v>
      </c>
      <c r="G290" s="237" t="n">
        <v>100000</v>
      </c>
      <c r="H290" s="95">
        <f>25%*75%</f>
        <v/>
      </c>
    </row>
    <row r="291" ht="15.75" customHeight="1">
      <c r="A291" s="94" t="n">
        <v>286</v>
      </c>
      <c r="B291" s="141" t="inlineStr">
        <is>
          <t>2026/07/31 07:00</t>
        </is>
      </c>
      <c r="C291" s="141" t="inlineStr">
        <is>
          <t>LÊ THỊ GHI</t>
        </is>
      </c>
      <c r="D291" s="141" t="inlineStr">
        <is>
          <t>01/01/1963</t>
        </is>
      </c>
      <c r="E291" s="141" t="inlineStr">
        <is>
          <t>Thay băng, cắt chỉ vết mổ [chiều dài ≤ 15cm]</t>
        </is>
      </c>
      <c r="F291" s="237" t="n">
        <v>1</v>
      </c>
      <c r="G291" s="237" t="n">
        <v>100000</v>
      </c>
      <c r="H291" s="95">
        <f>25%*75%</f>
        <v/>
      </c>
    </row>
    <row r="292" ht="15.75" customHeight="1">
      <c r="A292" s="94" t="n">
        <v>287</v>
      </c>
      <c r="B292" s="141" t="inlineStr">
        <is>
          <t>2026/07/31 07:00</t>
        </is>
      </c>
      <c r="C292" s="141" t="inlineStr">
        <is>
          <t>NGUYỄN NHẬT VÂN</t>
        </is>
      </c>
      <c r="D292" s="141" t="inlineStr">
        <is>
          <t>01/01/1967</t>
        </is>
      </c>
      <c r="E292" s="141" t="inlineStr">
        <is>
          <t>Thay băng, cắt chỉ vết mổ [chiều dài ≤ 15cm]</t>
        </is>
      </c>
      <c r="F292" s="237" t="n">
        <v>1</v>
      </c>
      <c r="G292" s="237" t="n">
        <v>100000</v>
      </c>
      <c r="H292" s="95">
        <f>25%*75%</f>
        <v/>
      </c>
    </row>
    <row r="293" ht="15.75" customHeight="1">
      <c r="A293" s="94" t="n">
        <v>288</v>
      </c>
      <c r="B293" s="141" t="inlineStr">
        <is>
          <t>2026/07/31 07:00</t>
        </is>
      </c>
      <c r="C293" s="141" t="inlineStr">
        <is>
          <t>PHẠM THỊ NGỌC ÁNH</t>
        </is>
      </c>
      <c r="D293" s="141" t="inlineStr">
        <is>
          <t>01/01/1957</t>
        </is>
      </c>
      <c r="E293" s="141" t="inlineStr">
        <is>
          <t>Thay băng, cắt chỉ vết mổ [chiều dài ≤ 15cm]</t>
        </is>
      </c>
      <c r="F293" s="237" t="n">
        <v>1</v>
      </c>
      <c r="G293" s="237" t="n">
        <v>100000</v>
      </c>
      <c r="H293" s="95">
        <f>25%*75%</f>
        <v/>
      </c>
    </row>
    <row r="294" ht="15.75" customHeight="1">
      <c r="A294" s="94" t="n">
        <v>289</v>
      </c>
      <c r="B294" s="141" t="inlineStr">
        <is>
          <t>2026/07/31 07:30</t>
        </is>
      </c>
      <c r="C294" s="141" t="inlineStr">
        <is>
          <t>LÊ THỊ THANH NHANH</t>
        </is>
      </c>
      <c r="D294" s="141" t="inlineStr">
        <is>
          <t>01/01/1976</t>
        </is>
      </c>
      <c r="E294" s="141" t="inlineStr">
        <is>
          <t>Thay băng, cắt chỉ vết mổ [chiều dài ≤ 15cm]</t>
        </is>
      </c>
      <c r="F294" s="237" t="n">
        <v>1</v>
      </c>
      <c r="G294" s="237" t="n">
        <v>100000</v>
      </c>
      <c r="H294" s="95">
        <f>25%*75%</f>
        <v/>
      </c>
    </row>
    <row r="295" ht="15.75" customHeight="1">
      <c r="A295" s="94" t="n">
        <v>290</v>
      </c>
      <c r="B295" s="141" t="inlineStr">
        <is>
          <t>2026/07/31 07:30</t>
        </is>
      </c>
      <c r="C295" s="141" t="inlineStr">
        <is>
          <t>TRƯƠNG TRIỀU DŨNG</t>
        </is>
      </c>
      <c r="D295" s="141" t="inlineStr">
        <is>
          <t>27/11/2008</t>
        </is>
      </c>
      <c r="E295" s="141" t="inlineStr">
        <is>
          <t>Thay băng, cắt chỉ vết mổ [chiều dài ≤ 15cm]</t>
        </is>
      </c>
      <c r="F295" s="237" t="n">
        <v>1</v>
      </c>
      <c r="G295" s="237" t="n">
        <v>100000</v>
      </c>
      <c r="H295" s="95">
        <f>25%*75%</f>
        <v/>
      </c>
    </row>
    <row r="296" ht="15.75" customHeight="1">
      <c r="A296" s="94" t="n">
        <v>291</v>
      </c>
      <c r="B296" s="141" t="inlineStr">
        <is>
          <t>2026/07/31 08:00</t>
        </is>
      </c>
      <c r="C296" s="141" t="inlineStr">
        <is>
          <t>NGUYỄN THỊ PHỤNG</t>
        </is>
      </c>
      <c r="D296" s="141" t="inlineStr">
        <is>
          <t>01/01/1956</t>
        </is>
      </c>
      <c r="E296" s="141" t="inlineStr">
        <is>
          <t>Thay băng, cắt chỉ vết mổ [chiều dài ≤ 15cm]</t>
        </is>
      </c>
      <c r="F296" s="237" t="n">
        <v>1</v>
      </c>
      <c r="G296" s="237" t="n">
        <v>100000</v>
      </c>
      <c r="H296" s="95">
        <f>25%*75%</f>
        <v/>
      </c>
    </row>
    <row r="297" ht="15.75" customHeight="1">
      <c r="A297" s="94" t="n">
        <v>292</v>
      </c>
      <c r="B297" s="141" t="inlineStr">
        <is>
          <t>2026/07/31 21:45</t>
        </is>
      </c>
      <c r="C297" s="141" t="inlineStr">
        <is>
          <t>ĐOÀN THỊ VÂN</t>
        </is>
      </c>
      <c r="D297" s="141" t="inlineStr">
        <is>
          <t>01/01/1988</t>
        </is>
      </c>
      <c r="E297" s="141" t="inlineStr">
        <is>
          <t>Thay băng, cắt chỉ vết mổ [chiều dài ≤ 15cm]</t>
        </is>
      </c>
      <c r="F297" s="237" t="n">
        <v>1</v>
      </c>
      <c r="G297" s="237" t="n">
        <v>100000</v>
      </c>
      <c r="H297" s="95">
        <f>25%*75%</f>
        <v/>
      </c>
    </row>
    <row r="298" ht="15.75" customHeight="1">
      <c r="A298" s="94" t="n">
        <v>293</v>
      </c>
      <c r="B298" s="141" t="inlineStr">
        <is>
          <t>2026/08/01 05:00</t>
        </is>
      </c>
      <c r="C298" s="141" t="inlineStr">
        <is>
          <t>HUỲNH VĂN CHÓT</t>
        </is>
      </c>
      <c r="D298" s="141" t="inlineStr">
        <is>
          <t>01/01/1964</t>
        </is>
      </c>
      <c r="E298" s="141" t="inlineStr">
        <is>
          <t>Thay băng, cắt chỉ vết mổ [chiều dài ≤ 15cm]</t>
        </is>
      </c>
      <c r="F298" s="237" t="n">
        <v>1</v>
      </c>
      <c r="G298" s="237" t="n">
        <v>100000</v>
      </c>
      <c r="H298" s="95">
        <f>25%*75%</f>
        <v/>
      </c>
    </row>
    <row r="299" ht="15.75" customHeight="1">
      <c r="A299" s="94" t="n">
        <v>294</v>
      </c>
      <c r="B299" s="141" t="inlineStr">
        <is>
          <t>2026/08/01 05:00</t>
        </is>
      </c>
      <c r="C299" s="141" t="inlineStr">
        <is>
          <t>LÊ THỊ GHI</t>
        </is>
      </c>
      <c r="D299" s="141" t="inlineStr">
        <is>
          <t>01/01/1963</t>
        </is>
      </c>
      <c r="E299" s="141" t="inlineStr">
        <is>
          <t>Thay băng, cắt chỉ vết mổ [chiều dài ≤ 15cm]</t>
        </is>
      </c>
      <c r="F299" s="237" t="n">
        <v>1</v>
      </c>
      <c r="G299" s="237" t="n">
        <v>100000</v>
      </c>
      <c r="H299" s="95">
        <f>25%*75%</f>
        <v/>
      </c>
    </row>
    <row r="300" ht="15.75" customHeight="1">
      <c r="A300" s="94" t="n">
        <v>295</v>
      </c>
      <c r="B300" s="141" t="inlineStr">
        <is>
          <t>2026/08/01 05:00</t>
        </is>
      </c>
      <c r="C300" s="141" t="inlineStr">
        <is>
          <t>LÊ THỊ ỬNG</t>
        </is>
      </c>
      <c r="D300" s="141" t="inlineStr">
        <is>
          <t>02/09/1953</t>
        </is>
      </c>
      <c r="E300" s="141" t="inlineStr">
        <is>
          <t>Thay băng, cắt chỉ vết mổ [chiều dài ≤ 15cm]</t>
        </is>
      </c>
      <c r="F300" s="237" t="n">
        <v>1</v>
      </c>
      <c r="G300" s="237" t="n">
        <v>100000</v>
      </c>
      <c r="H300" s="95">
        <f>25%*75%</f>
        <v/>
      </c>
    </row>
    <row r="301" ht="15.75" customHeight="1">
      <c r="A301" s="94" t="n">
        <v>296</v>
      </c>
      <c r="B301" s="141" t="inlineStr">
        <is>
          <t>2026/08/01 05:00</t>
        </is>
      </c>
      <c r="C301" s="141" t="inlineStr">
        <is>
          <t>LÊ TRƯỜNG GIANG</t>
        </is>
      </c>
      <c r="D301" s="141" t="inlineStr">
        <is>
          <t>01/01/1980</t>
        </is>
      </c>
      <c r="E301" s="141" t="inlineStr">
        <is>
          <t>Thay băng, cắt chỉ vết mổ [chiều dài ≤ 15cm]</t>
        </is>
      </c>
      <c r="F301" s="237" t="n">
        <v>1</v>
      </c>
      <c r="G301" s="237" t="n">
        <v>100000</v>
      </c>
      <c r="H301" s="95">
        <f>25%*75%</f>
        <v/>
      </c>
    </row>
    <row r="302" ht="15.75" customHeight="1">
      <c r="A302" s="94" t="n">
        <v>297</v>
      </c>
      <c r="B302" s="141" t="inlineStr">
        <is>
          <t>2026/08/01 05:00</t>
        </is>
      </c>
      <c r="C302" s="141" t="inlineStr">
        <is>
          <t>NGUYỄN THỊ HỒNG THO</t>
        </is>
      </c>
      <c r="D302" s="141" t="inlineStr">
        <is>
          <t>19/05/1997</t>
        </is>
      </c>
      <c r="E302" s="141" t="inlineStr">
        <is>
          <t>Thay băng, cắt chỉ vết mổ [chiều dài ≤ 15cm]</t>
        </is>
      </c>
      <c r="F302" s="237" t="n">
        <v>1</v>
      </c>
      <c r="G302" s="237" t="n">
        <v>100000</v>
      </c>
      <c r="H302" s="95">
        <f>25%*75%</f>
        <v/>
      </c>
    </row>
    <row r="303" ht="15.75" customHeight="1">
      <c r="A303" s="94" t="n">
        <v>298</v>
      </c>
      <c r="B303" s="141" t="inlineStr">
        <is>
          <t>2026/08/01 05:00</t>
        </is>
      </c>
      <c r="C303" s="141" t="inlineStr">
        <is>
          <t>TRƯƠNG PHƯỚC HIẾU</t>
        </is>
      </c>
      <c r="D303" s="141" t="inlineStr">
        <is>
          <t>02/09/1991</t>
        </is>
      </c>
      <c r="E303" s="141" t="inlineStr">
        <is>
          <t>Thay băng, cắt chỉ vết mổ [chiều dài ≤ 15cm]</t>
        </is>
      </c>
      <c r="F303" s="237" t="n">
        <v>1</v>
      </c>
      <c r="G303" s="237" t="n">
        <v>100000</v>
      </c>
      <c r="H303" s="95">
        <f>25%*75%</f>
        <v/>
      </c>
    </row>
    <row r="304" ht="15.75" customHeight="1">
      <c r="A304" s="94" t="n">
        <v>299</v>
      </c>
      <c r="B304" s="141" t="inlineStr">
        <is>
          <t>2026/08/01 05:00</t>
        </is>
      </c>
      <c r="C304" s="141" t="inlineStr">
        <is>
          <t>TRƯƠNG TRIỀU DŨNG</t>
        </is>
      </c>
      <c r="D304" s="141" t="inlineStr">
        <is>
          <t>27/11/2008</t>
        </is>
      </c>
      <c r="E304" s="141" t="inlineStr">
        <is>
          <t>Thay băng, cắt chỉ vết mổ [chiều dài ≤ 15cm]</t>
        </is>
      </c>
      <c r="F304" s="237" t="n">
        <v>1</v>
      </c>
      <c r="G304" s="237" t="n">
        <v>100000</v>
      </c>
      <c r="H304" s="95">
        <f>25%*75%</f>
        <v/>
      </c>
    </row>
    <row r="305" ht="15.75" customHeight="1">
      <c r="A305" s="94" t="n">
        <v>300</v>
      </c>
      <c r="B305" s="141" t="inlineStr">
        <is>
          <t>2026/08/01 05:00</t>
        </is>
      </c>
      <c r="C305" s="141" t="inlineStr">
        <is>
          <t>TRẦN THỊ NGỌC XỨNG</t>
        </is>
      </c>
      <c r="D305" s="141" t="inlineStr">
        <is>
          <t>15/06/1962</t>
        </is>
      </c>
      <c r="E305" s="141" t="inlineStr">
        <is>
          <t>Thay băng, cắt chỉ vết mổ [chiều dài ≤ 15cm]</t>
        </is>
      </c>
      <c r="F305" s="237" t="n">
        <v>1</v>
      </c>
      <c r="G305" s="237" t="n">
        <v>100000</v>
      </c>
      <c r="H305" s="95">
        <f>25%*75%</f>
        <v/>
      </c>
    </row>
    <row r="306" ht="15.75" customHeight="1">
      <c r="A306" s="94" t="n">
        <v>301</v>
      </c>
      <c r="B306" s="141" t="inlineStr">
        <is>
          <t>2026/08/01 05:00</t>
        </is>
      </c>
      <c r="C306" s="141" t="inlineStr">
        <is>
          <t>TĂNG THỊ MIỀN</t>
        </is>
      </c>
      <c r="D306" s="141" t="inlineStr">
        <is>
          <t>01/01/1951</t>
        </is>
      </c>
      <c r="E306" s="141" t="inlineStr">
        <is>
          <t>Thay băng, cắt chỉ vết mổ [chiều dài ≤ 15cm]</t>
        </is>
      </c>
      <c r="F306" s="237" t="n">
        <v>1</v>
      </c>
      <c r="G306" s="237" t="n">
        <v>100000</v>
      </c>
      <c r="H306" s="95">
        <f>25%*75%</f>
        <v/>
      </c>
    </row>
    <row r="307" ht="15.75" customHeight="1">
      <c r="A307" s="94" t="n">
        <v>302</v>
      </c>
      <c r="B307" s="141" t="inlineStr">
        <is>
          <t>2026/08/01 08:00</t>
        </is>
      </c>
      <c r="C307" s="141" t="inlineStr">
        <is>
          <t>LÂM PHI DŨNG</t>
        </is>
      </c>
      <c r="D307" s="141" t="inlineStr">
        <is>
          <t>12/12/1965</t>
        </is>
      </c>
      <c r="E307" s="141" t="inlineStr">
        <is>
          <t>Thay băng, cắt chỉ vết mổ [chiều dài ≤ 15cm]</t>
        </is>
      </c>
      <c r="F307" s="237" t="n">
        <v>1</v>
      </c>
      <c r="G307" s="237" t="n">
        <v>100000</v>
      </c>
      <c r="H307" s="95">
        <f>25%*75%</f>
        <v/>
      </c>
    </row>
    <row r="308" ht="15.75" customHeight="1">
      <c r="A308" s="94" t="n">
        <v>303</v>
      </c>
      <c r="B308" s="141" t="inlineStr">
        <is>
          <t>2026/08/01 08:00</t>
        </is>
      </c>
      <c r="C308" s="141" t="inlineStr">
        <is>
          <t>NGUYỄN NHẬT VÂN</t>
        </is>
      </c>
      <c r="D308" s="141" t="inlineStr">
        <is>
          <t>01/01/1967</t>
        </is>
      </c>
      <c r="E308" s="141" t="inlineStr">
        <is>
          <t>Thay băng, cắt chỉ vết mổ [chiều dài ≤ 15cm]</t>
        </is>
      </c>
      <c r="F308" s="237" t="n">
        <v>1</v>
      </c>
      <c r="G308" s="237" t="n">
        <v>100000</v>
      </c>
      <c r="H308" s="95">
        <f>25%*75%</f>
        <v/>
      </c>
    </row>
    <row r="309" ht="15.75" customHeight="1">
      <c r="A309" s="94" t="n">
        <v>304</v>
      </c>
      <c r="B309" s="141" t="inlineStr">
        <is>
          <t>2026/08/01 08:00</t>
        </is>
      </c>
      <c r="C309" s="141" t="inlineStr">
        <is>
          <t>TRẦN MINH TƯỞNG</t>
        </is>
      </c>
      <c r="D309" s="141" t="inlineStr">
        <is>
          <t>29/11/2002</t>
        </is>
      </c>
      <c r="E309" s="141" t="inlineStr">
        <is>
          <t>Thay băng, cắt chỉ vết mổ [chiều dài ≤ 15cm]</t>
        </is>
      </c>
      <c r="F309" s="237" t="n">
        <v>1</v>
      </c>
      <c r="G309" s="237" t="n">
        <v>100000</v>
      </c>
      <c r="H309" s="95">
        <f>25%*75%</f>
        <v/>
      </c>
    </row>
    <row r="310" ht="15.75" customHeight="1">
      <c r="A310" s="94" t="n">
        <v>305</v>
      </c>
      <c r="B310" s="141" t="inlineStr">
        <is>
          <t>2026/08/01 08:00</t>
        </is>
      </c>
      <c r="C310" s="141" t="inlineStr">
        <is>
          <t>ĐOÀN THỊ VÂN</t>
        </is>
      </c>
      <c r="D310" s="141" t="inlineStr">
        <is>
          <t>01/01/1988</t>
        </is>
      </c>
      <c r="E310" s="141" t="inlineStr">
        <is>
          <t>Thay băng, cắt chỉ vết mổ [chiều dài ≤ 15cm]</t>
        </is>
      </c>
      <c r="F310" s="237" t="n">
        <v>1</v>
      </c>
      <c r="G310" s="237" t="n">
        <v>100000</v>
      </c>
      <c r="H310" s="95">
        <f>25%*75%</f>
        <v/>
      </c>
    </row>
    <row r="311" ht="15.75" customHeight="1">
      <c r="A311" s="94" t="n">
        <v>306</v>
      </c>
      <c r="B311" s="141" t="inlineStr">
        <is>
          <t>2026/08/01 17:30</t>
        </is>
      </c>
      <c r="C311" s="141" t="inlineStr">
        <is>
          <t>TRẦN THỊ NGỌC XỨNG</t>
        </is>
      </c>
      <c r="D311" s="141" t="inlineStr">
        <is>
          <t>15/06/1962</t>
        </is>
      </c>
      <c r="E311" s="141" t="inlineStr">
        <is>
          <t>Thay băng, cắt chỉ vết mổ [chiều dài ≤ 15cm]</t>
        </is>
      </c>
      <c r="F311" s="237" t="n">
        <v>1</v>
      </c>
      <c r="G311" s="237" t="n">
        <v>100000</v>
      </c>
      <c r="H311" s="95">
        <f>25%*75%</f>
        <v/>
      </c>
    </row>
    <row r="312" ht="15.75" customHeight="1">
      <c r="A312" s="94" t="n">
        <v>307</v>
      </c>
      <c r="B312" s="141" t="inlineStr">
        <is>
          <t>2026/08/02 05:00</t>
        </is>
      </c>
      <c r="C312" s="141" t="inlineStr">
        <is>
          <t>HUỲNH VĂN CHÓT</t>
        </is>
      </c>
      <c r="D312" s="141" t="inlineStr">
        <is>
          <t>01/01/1964</t>
        </is>
      </c>
      <c r="E312" s="141" t="inlineStr">
        <is>
          <t>Thay băng, cắt chỉ vết mổ [chiều dài ≤ 15cm]</t>
        </is>
      </c>
      <c r="F312" s="237" t="n">
        <v>1</v>
      </c>
      <c r="G312" s="237" t="n">
        <v>100000</v>
      </c>
      <c r="H312" s="95">
        <f>25%*75%</f>
        <v/>
      </c>
    </row>
    <row r="313" ht="15.75" customHeight="1">
      <c r="A313" s="94" t="n">
        <v>308</v>
      </c>
      <c r="B313" s="141" t="inlineStr">
        <is>
          <t>2026/08/02 05:00</t>
        </is>
      </c>
      <c r="C313" s="141" t="inlineStr">
        <is>
          <t>HỒ MINH TUẤN</t>
        </is>
      </c>
      <c r="D313" s="141" t="inlineStr">
        <is>
          <t>25/08/1987</t>
        </is>
      </c>
      <c r="E313" s="141" t="inlineStr">
        <is>
          <t>Thay băng, cắt chỉ vết mổ [chiều dài ≤ 15cm]</t>
        </is>
      </c>
      <c r="F313" s="237" t="n">
        <v>1</v>
      </c>
      <c r="G313" s="237" t="n">
        <v>100000</v>
      </c>
      <c r="H313" s="95">
        <f>25%*75%</f>
        <v/>
      </c>
    </row>
    <row r="314" ht="15.75" customHeight="1">
      <c r="A314" s="94" t="n">
        <v>309</v>
      </c>
      <c r="B314" s="141" t="inlineStr">
        <is>
          <t>2026/08/02 05:00</t>
        </is>
      </c>
      <c r="C314" s="141" t="inlineStr">
        <is>
          <t>LÂM THỊ THÚY</t>
        </is>
      </c>
      <c r="D314" s="141" t="inlineStr">
        <is>
          <t>01/01/1972</t>
        </is>
      </c>
      <c r="E314" s="141" t="inlineStr">
        <is>
          <t>Thay băng, cắt chỉ vết mổ [chiều dài ≤ 15cm]</t>
        </is>
      </c>
      <c r="F314" s="237" t="n">
        <v>1</v>
      </c>
      <c r="G314" s="237" t="n">
        <v>100000</v>
      </c>
      <c r="H314" s="95">
        <f>25%*75%</f>
        <v/>
      </c>
    </row>
    <row r="315" ht="15.75" customHeight="1">
      <c r="A315" s="94" t="n">
        <v>310</v>
      </c>
      <c r="B315" s="141" t="inlineStr">
        <is>
          <t>2026/08/02 05:00</t>
        </is>
      </c>
      <c r="C315" s="141" t="inlineStr">
        <is>
          <t>LÊ NHƯ Ý</t>
        </is>
      </c>
      <c r="D315" s="141" t="inlineStr">
        <is>
          <t>09/08/2003</t>
        </is>
      </c>
      <c r="E315" s="141" t="inlineStr">
        <is>
          <t>Thay băng, cắt chỉ vết mổ [chiều dài ≤ 15cm]</t>
        </is>
      </c>
      <c r="F315" s="237" t="n">
        <v>1</v>
      </c>
      <c r="G315" s="237" t="n">
        <v>100000</v>
      </c>
      <c r="H315" s="95">
        <f>25%*75%</f>
        <v/>
      </c>
    </row>
    <row r="316" ht="15.75" customHeight="1">
      <c r="A316" s="94" t="n">
        <v>311</v>
      </c>
      <c r="B316" s="141" t="inlineStr">
        <is>
          <t>2026/08/02 05:00</t>
        </is>
      </c>
      <c r="C316" s="141" t="inlineStr">
        <is>
          <t>LÊ THỊ GHI</t>
        </is>
      </c>
      <c r="D316" s="141" t="inlineStr">
        <is>
          <t>01/01/1963</t>
        </is>
      </c>
      <c r="E316" s="141" t="inlineStr">
        <is>
          <t>Thay băng, cắt chỉ vết mổ [chiều dài ≤ 15cm]</t>
        </is>
      </c>
      <c r="F316" s="237" t="n">
        <v>1</v>
      </c>
      <c r="G316" s="237" t="n">
        <v>100000</v>
      </c>
      <c r="H316" s="95">
        <f>25%*75%</f>
        <v/>
      </c>
    </row>
    <row r="317" ht="15.75" customHeight="1">
      <c r="A317" s="94" t="n">
        <v>312</v>
      </c>
      <c r="B317" s="141" t="inlineStr">
        <is>
          <t>2026/08/02 05:00</t>
        </is>
      </c>
      <c r="C317" s="141" t="inlineStr">
        <is>
          <t>LÊ THỊ ỬNG</t>
        </is>
      </c>
      <c r="D317" s="141" t="inlineStr">
        <is>
          <t>02/09/1953</t>
        </is>
      </c>
      <c r="E317" s="141" t="inlineStr">
        <is>
          <t>Thay băng, cắt chỉ vết mổ [chiều dài ≤ 15cm]</t>
        </is>
      </c>
      <c r="F317" s="237" t="n">
        <v>1</v>
      </c>
      <c r="G317" s="237" t="n">
        <v>100000</v>
      </c>
      <c r="H317" s="95">
        <f>25%*75%</f>
        <v/>
      </c>
    </row>
    <row r="318" ht="15.75" customHeight="1">
      <c r="A318" s="94" t="n">
        <v>313</v>
      </c>
      <c r="B318" s="141" t="inlineStr">
        <is>
          <t>2026/08/02 05:00</t>
        </is>
      </c>
      <c r="C318" s="141" t="inlineStr">
        <is>
          <t>LÊ TRƯỜNG GIANG</t>
        </is>
      </c>
      <c r="D318" s="141" t="inlineStr">
        <is>
          <t>01/01/1980</t>
        </is>
      </c>
      <c r="E318" s="141" t="inlineStr">
        <is>
          <t>Thay băng, cắt chỉ vết mổ [chiều dài ≤ 15cm]</t>
        </is>
      </c>
      <c r="F318" s="237" t="n">
        <v>1</v>
      </c>
      <c r="G318" s="237" t="n">
        <v>100000</v>
      </c>
      <c r="H318" s="95">
        <f>25%*75%</f>
        <v/>
      </c>
    </row>
    <row r="319" ht="15.75" customHeight="1">
      <c r="A319" s="94" t="n">
        <v>314</v>
      </c>
      <c r="B319" s="141" t="inlineStr">
        <is>
          <t>2026/08/02 05:00</t>
        </is>
      </c>
      <c r="C319" s="141" t="inlineStr">
        <is>
          <t>NGUYỄN NHẬT VÂN</t>
        </is>
      </c>
      <c r="D319" s="141" t="inlineStr">
        <is>
          <t>01/01/1967</t>
        </is>
      </c>
      <c r="E319" s="141" t="inlineStr">
        <is>
          <t>Thay băng, cắt chỉ vết mổ [chiều dài ≤ 15cm]</t>
        </is>
      </c>
      <c r="F319" s="237" t="n">
        <v>1</v>
      </c>
      <c r="G319" s="237" t="n">
        <v>100000</v>
      </c>
      <c r="H319" s="95">
        <f>25%*75%</f>
        <v/>
      </c>
    </row>
    <row r="320" ht="15.75" customHeight="1">
      <c r="A320" s="94" t="n">
        <v>315</v>
      </c>
      <c r="B320" s="141" t="inlineStr">
        <is>
          <t>2026/08/02 05:00</t>
        </is>
      </c>
      <c r="C320" s="141" t="inlineStr">
        <is>
          <t>NGUYỄN THỊ HỒNG THO</t>
        </is>
      </c>
      <c r="D320" s="141" t="inlineStr">
        <is>
          <t>19/05/1997</t>
        </is>
      </c>
      <c r="E320" s="141" t="inlineStr">
        <is>
          <t>Thay băng, cắt chỉ vết mổ [chiều dài ≤ 15cm]</t>
        </is>
      </c>
      <c r="F320" s="237" t="n">
        <v>1</v>
      </c>
      <c r="G320" s="237" t="n">
        <v>100000</v>
      </c>
      <c r="H320" s="95">
        <f>25%*75%</f>
        <v/>
      </c>
    </row>
    <row r="321" ht="15.75" customHeight="1">
      <c r="A321" s="94" t="n">
        <v>316</v>
      </c>
      <c r="B321" s="141" t="inlineStr">
        <is>
          <t>2026/08/02 05:00</t>
        </is>
      </c>
      <c r="C321" s="141" t="inlineStr">
        <is>
          <t>NGUYỄN THỊ THANH HÒA</t>
        </is>
      </c>
      <c r="D321" s="141" t="inlineStr">
        <is>
          <t>19/03/1973</t>
        </is>
      </c>
      <c r="E321" s="141" t="inlineStr">
        <is>
          <t>Thay băng, cắt chỉ vết mổ [chiều dài ≤ 15cm]</t>
        </is>
      </c>
      <c r="F321" s="237" t="n">
        <v>1</v>
      </c>
      <c r="G321" s="237" t="n">
        <v>100000</v>
      </c>
      <c r="H321" s="95">
        <f>25%*75%</f>
        <v/>
      </c>
    </row>
    <row r="322" ht="15.75" customHeight="1">
      <c r="A322" s="94" t="n">
        <v>317</v>
      </c>
      <c r="B322" s="141" t="inlineStr">
        <is>
          <t>2026/08/02 05:00</t>
        </is>
      </c>
      <c r="C322" s="141" t="inlineStr">
        <is>
          <t>NGUYỄN VĂN CƯ</t>
        </is>
      </c>
      <c r="D322" s="141" t="inlineStr">
        <is>
          <t>20/09/1951</t>
        </is>
      </c>
      <c r="E322" s="141" t="inlineStr">
        <is>
          <t>Thay băng, cắt chỉ vết mổ [chiều dài ≤ 15cm]</t>
        </is>
      </c>
      <c r="F322" s="237" t="n">
        <v>1</v>
      </c>
      <c r="G322" s="237" t="n">
        <v>100000</v>
      </c>
      <c r="H322" s="95">
        <f>25%*75%</f>
        <v/>
      </c>
    </row>
    <row r="323" ht="15.75" customHeight="1">
      <c r="A323" s="94" t="n">
        <v>318</v>
      </c>
      <c r="B323" s="141" t="inlineStr">
        <is>
          <t>2026/08/02 05:00</t>
        </is>
      </c>
      <c r="C323" s="141" t="inlineStr">
        <is>
          <t>PHAN HOÀNG ÂN</t>
        </is>
      </c>
      <c r="D323" s="141" t="inlineStr">
        <is>
          <t>05/03/2001</t>
        </is>
      </c>
      <c r="E323" s="141" t="inlineStr">
        <is>
          <t>Thay băng, cắt chỉ vết mổ [chiều dài ≤ 15cm]</t>
        </is>
      </c>
      <c r="F323" s="237" t="n">
        <v>1</v>
      </c>
      <c r="G323" s="237" t="n">
        <v>100000</v>
      </c>
      <c r="H323" s="95">
        <f>25%*75%</f>
        <v/>
      </c>
    </row>
    <row r="324" ht="15.75" customHeight="1">
      <c r="A324" s="94" t="n">
        <v>319</v>
      </c>
      <c r="B324" s="141" t="inlineStr">
        <is>
          <t>2026/08/02 05:00</t>
        </is>
      </c>
      <c r="C324" s="141" t="inlineStr">
        <is>
          <t>PHẠM THỊ NGỌC ÁNH</t>
        </is>
      </c>
      <c r="D324" s="141" t="inlineStr">
        <is>
          <t>01/01/1957</t>
        </is>
      </c>
      <c r="E324" s="141" t="inlineStr">
        <is>
          <t>Thay băng, cắt chỉ vết mổ [chiều dài ≤ 15cm]</t>
        </is>
      </c>
      <c r="F324" s="237" t="n">
        <v>1</v>
      </c>
      <c r="G324" s="237" t="n">
        <v>100000</v>
      </c>
      <c r="H324" s="95">
        <f>25%*75%</f>
        <v/>
      </c>
    </row>
    <row r="325" ht="15.75" customHeight="1">
      <c r="A325" s="94" t="n">
        <v>320</v>
      </c>
      <c r="B325" s="141" t="inlineStr">
        <is>
          <t>2026/08/02 05:00</t>
        </is>
      </c>
      <c r="C325" s="141" t="inlineStr">
        <is>
          <t>TRƯƠNG PHƯỚC HIẾU</t>
        </is>
      </c>
      <c r="D325" s="141" t="inlineStr">
        <is>
          <t>02/09/1991</t>
        </is>
      </c>
      <c r="E325" s="141" t="inlineStr">
        <is>
          <t>Thay băng, cắt chỉ vết mổ [chiều dài ≤ 15cm]</t>
        </is>
      </c>
      <c r="F325" s="237" t="n">
        <v>1</v>
      </c>
      <c r="G325" s="237" t="n">
        <v>100000</v>
      </c>
      <c r="H325" s="95">
        <f>25%*75%</f>
        <v/>
      </c>
    </row>
    <row r="326" ht="15.75" customHeight="1">
      <c r="A326" s="94" t="n">
        <v>321</v>
      </c>
      <c r="B326" s="141" t="inlineStr">
        <is>
          <t>2026/08/02 05:00</t>
        </is>
      </c>
      <c r="C326" s="141" t="inlineStr">
        <is>
          <t>TRƯƠNG TRIỀU DŨNG</t>
        </is>
      </c>
      <c r="D326" s="141" t="inlineStr">
        <is>
          <t>27/11/2008</t>
        </is>
      </c>
      <c r="E326" s="141" t="inlineStr">
        <is>
          <t>Thay băng, cắt chỉ vết mổ [chiều dài ≤ 15cm]</t>
        </is>
      </c>
      <c r="F326" s="237" t="n">
        <v>1</v>
      </c>
      <c r="G326" s="237" t="n">
        <v>100000</v>
      </c>
      <c r="H326" s="95">
        <f>25%*75%</f>
        <v/>
      </c>
    </row>
    <row r="327" ht="15.75" customHeight="1">
      <c r="A327" s="94" t="n">
        <v>322</v>
      </c>
      <c r="B327" s="141" t="inlineStr">
        <is>
          <t>2026/08/02 05:00</t>
        </is>
      </c>
      <c r="C327" s="141" t="inlineStr">
        <is>
          <t>TRẦN MINH TƯỞNG</t>
        </is>
      </c>
      <c r="D327" s="141" t="inlineStr">
        <is>
          <t>29/11/2002</t>
        </is>
      </c>
      <c r="E327" s="141" t="inlineStr">
        <is>
          <t>Thay băng, cắt chỉ vết mổ [chiều dài ≤ 15cm]</t>
        </is>
      </c>
      <c r="F327" s="237" t="n">
        <v>1</v>
      </c>
      <c r="G327" s="237" t="n">
        <v>100000</v>
      </c>
      <c r="H327" s="95">
        <f>25%*75%</f>
        <v/>
      </c>
    </row>
    <row r="328" ht="15.75" customHeight="1">
      <c r="A328" s="94" t="n">
        <v>323</v>
      </c>
      <c r="B328" s="141" t="inlineStr">
        <is>
          <t>2026/08/02 05:00</t>
        </is>
      </c>
      <c r="C328" s="141" t="inlineStr">
        <is>
          <t>TRẦN THỊ NGỌC XỨNG</t>
        </is>
      </c>
      <c r="D328" s="141" t="inlineStr">
        <is>
          <t>15/06/1962</t>
        </is>
      </c>
      <c r="E328" s="141" t="inlineStr">
        <is>
          <t>Thay băng, cắt chỉ vết mổ [chiều dài ≤ 15cm]</t>
        </is>
      </c>
      <c r="F328" s="237" t="n">
        <v>1</v>
      </c>
      <c r="G328" s="237" t="n">
        <v>100000</v>
      </c>
      <c r="H328" s="95">
        <f>25%*75%</f>
        <v/>
      </c>
    </row>
    <row r="329" ht="15.75" customHeight="1">
      <c r="A329" s="94" t="n">
        <v>324</v>
      </c>
      <c r="B329" s="141" t="inlineStr">
        <is>
          <t>2026/08/02 05:00</t>
        </is>
      </c>
      <c r="C329" s="141" t="inlineStr">
        <is>
          <t>TĂNG THỊ MIỀN</t>
        </is>
      </c>
      <c r="D329" s="141" t="inlineStr">
        <is>
          <t>01/01/1951</t>
        </is>
      </c>
      <c r="E329" s="141" t="inlineStr">
        <is>
          <t>Thay băng, cắt chỉ vết mổ [chiều dài ≤ 15cm]</t>
        </is>
      </c>
      <c r="F329" s="237" t="n">
        <v>1</v>
      </c>
      <c r="G329" s="237" t="n">
        <v>100000</v>
      </c>
      <c r="H329" s="95">
        <f>25%*75%</f>
        <v/>
      </c>
    </row>
    <row r="330" ht="15.75" customHeight="1">
      <c r="A330" s="94" t="n">
        <v>325</v>
      </c>
      <c r="B330" s="141" t="inlineStr">
        <is>
          <t>2026/08/02 22:00</t>
        </is>
      </c>
      <c r="C330" s="141" t="inlineStr">
        <is>
          <t>TĂNG THỊ MIỀN</t>
        </is>
      </c>
      <c r="D330" s="141" t="inlineStr">
        <is>
          <t>01/01/1951</t>
        </is>
      </c>
      <c r="E330" s="141" t="inlineStr">
        <is>
          <t>Thay băng, cắt chỉ vết mổ [chiều dài ≤ 15cm]</t>
        </is>
      </c>
      <c r="F330" s="237" t="n">
        <v>1</v>
      </c>
      <c r="G330" s="237" t="n">
        <v>100000</v>
      </c>
      <c r="H330" s="95">
        <f>25%*75%</f>
        <v/>
      </c>
    </row>
    <row r="331" ht="15.75" customHeight="1">
      <c r="A331" s="94" t="n">
        <v>326</v>
      </c>
      <c r="B331" s="141" t="inlineStr">
        <is>
          <t>2026/08/03 05:00</t>
        </is>
      </c>
      <c r="C331" s="141" t="inlineStr">
        <is>
          <t>HUỲNH VĂN CHÓT</t>
        </is>
      </c>
      <c r="D331" s="141" t="inlineStr">
        <is>
          <t>01/01/1964</t>
        </is>
      </c>
      <c r="E331" s="141" t="inlineStr">
        <is>
          <t>Thay băng, cắt chỉ vết mổ [chiều dài ≤ 15cm]</t>
        </is>
      </c>
      <c r="F331" s="237" t="n">
        <v>1</v>
      </c>
      <c r="G331" s="237" t="n">
        <v>100000</v>
      </c>
      <c r="H331" s="95">
        <f>25%*75%</f>
        <v/>
      </c>
    </row>
    <row r="332" ht="15.75" customHeight="1">
      <c r="A332" s="94" t="n">
        <v>327</v>
      </c>
      <c r="B332" s="141" t="inlineStr">
        <is>
          <t>2026/08/03 05:00</t>
        </is>
      </c>
      <c r="C332" s="141" t="inlineStr">
        <is>
          <t>LÂM THỊ THÚY</t>
        </is>
      </c>
      <c r="D332" s="141" t="inlineStr">
        <is>
          <t>01/01/1972</t>
        </is>
      </c>
      <c r="E332" s="141" t="inlineStr">
        <is>
          <t>Thay băng, cắt chỉ vết mổ [chiều dài ≤ 15cm]</t>
        </is>
      </c>
      <c r="F332" s="237" t="n">
        <v>1</v>
      </c>
      <c r="G332" s="237" t="n">
        <v>100000</v>
      </c>
      <c r="H332" s="95">
        <f>25%*75%</f>
        <v/>
      </c>
    </row>
    <row r="333" ht="15.75" customHeight="1">
      <c r="A333" s="94" t="n">
        <v>328</v>
      </c>
      <c r="B333" s="141" t="inlineStr">
        <is>
          <t>2026/08/03 05:00</t>
        </is>
      </c>
      <c r="C333" s="141" t="inlineStr">
        <is>
          <t>LÊ THỊ GHI</t>
        </is>
      </c>
      <c r="D333" s="141" t="inlineStr">
        <is>
          <t>01/01/1963</t>
        </is>
      </c>
      <c r="E333" s="141" t="inlineStr">
        <is>
          <t>Thay băng, cắt chỉ vết mổ [chiều dài ≤ 15cm]</t>
        </is>
      </c>
      <c r="F333" s="237" t="n">
        <v>1</v>
      </c>
      <c r="G333" s="237" t="n">
        <v>100000</v>
      </c>
      <c r="H333" s="95">
        <f>25%*75%</f>
        <v/>
      </c>
    </row>
    <row r="334" ht="15.75" customHeight="1">
      <c r="A334" s="94" t="n">
        <v>329</v>
      </c>
      <c r="B334" s="141" t="inlineStr">
        <is>
          <t>2026/08/03 05:00</t>
        </is>
      </c>
      <c r="C334" s="141" t="inlineStr">
        <is>
          <t>LÊ TRƯỜNG GIANG</t>
        </is>
      </c>
      <c r="D334" s="141" t="inlineStr">
        <is>
          <t>01/01/1980</t>
        </is>
      </c>
      <c r="E334" s="141" t="inlineStr">
        <is>
          <t>Thay băng, cắt chỉ vết mổ [chiều dài ≤ 15cm]</t>
        </is>
      </c>
      <c r="F334" s="237" t="n">
        <v>1</v>
      </c>
      <c r="G334" s="237" t="n">
        <v>100000</v>
      </c>
      <c r="H334" s="95">
        <f>25%*75%</f>
        <v/>
      </c>
    </row>
    <row r="335" ht="15.75" customHeight="1">
      <c r="A335" s="94" t="n">
        <v>330</v>
      </c>
      <c r="B335" s="141" t="inlineStr">
        <is>
          <t>2026/08/03 05:00</t>
        </is>
      </c>
      <c r="C335" s="141" t="inlineStr">
        <is>
          <t>TRƯƠNG PHƯỚC HIẾU</t>
        </is>
      </c>
      <c r="D335" s="141" t="inlineStr">
        <is>
          <t>02/09/1991</t>
        </is>
      </c>
      <c r="E335" s="141" t="inlineStr">
        <is>
          <t>Thay băng, cắt chỉ vết mổ [chiều dài ≤ 15cm]</t>
        </is>
      </c>
      <c r="F335" s="237" t="n">
        <v>1</v>
      </c>
      <c r="G335" s="237" t="n">
        <v>100000</v>
      </c>
      <c r="H335" s="95">
        <f>25%*75%</f>
        <v/>
      </c>
    </row>
    <row r="336" ht="15.75" customHeight="1">
      <c r="A336" s="94" t="n">
        <v>331</v>
      </c>
      <c r="B336" s="141" t="inlineStr">
        <is>
          <t>2026/08/03 05:00</t>
        </is>
      </c>
      <c r="C336" s="141" t="inlineStr">
        <is>
          <t>TRƯƠNG TRIỀU DŨNG</t>
        </is>
      </c>
      <c r="D336" s="141" t="inlineStr">
        <is>
          <t>27/11/2008</t>
        </is>
      </c>
      <c r="E336" s="141" t="inlineStr">
        <is>
          <t>Thay băng, cắt chỉ vết mổ [chiều dài ≤ 15cm]</t>
        </is>
      </c>
      <c r="F336" s="237" t="n">
        <v>1</v>
      </c>
      <c r="G336" s="237" t="n">
        <v>100000</v>
      </c>
      <c r="H336" s="95">
        <f>25%*75%</f>
        <v/>
      </c>
    </row>
    <row r="337" ht="15.75" customHeight="1">
      <c r="A337" s="94" t="n">
        <v>332</v>
      </c>
      <c r="B337" s="141" t="inlineStr">
        <is>
          <t>2026/08/03 05:00</t>
        </is>
      </c>
      <c r="C337" s="141" t="inlineStr">
        <is>
          <t>TĂNG THỊ MIỀN</t>
        </is>
      </c>
      <c r="D337" s="141" t="inlineStr">
        <is>
          <t>01/01/1951</t>
        </is>
      </c>
      <c r="E337" s="141" t="inlineStr">
        <is>
          <t>Thay băng, cắt chỉ vết mổ [chiều dài ≤ 15cm]</t>
        </is>
      </c>
      <c r="F337" s="237" t="n">
        <v>1</v>
      </c>
      <c r="G337" s="237" t="n">
        <v>100000</v>
      </c>
      <c r="H337" s="95">
        <f>25%*75%</f>
        <v/>
      </c>
    </row>
    <row r="338" ht="15.75" customHeight="1">
      <c r="A338" s="94" t="n">
        <v>333</v>
      </c>
      <c r="B338" s="141" t="inlineStr">
        <is>
          <t>2026/08/03 07:00</t>
        </is>
      </c>
      <c r="C338" s="141" t="inlineStr">
        <is>
          <t>DƯƠNG BÁ NHẪN</t>
        </is>
      </c>
      <c r="D338" s="141" t="inlineStr">
        <is>
          <t>13/12/1999</t>
        </is>
      </c>
      <c r="E338" s="141" t="inlineStr">
        <is>
          <t>Thay băng, cắt chỉ vết mổ [chiều dài ≤ 15cm]</t>
        </is>
      </c>
      <c r="F338" s="237" t="n">
        <v>1</v>
      </c>
      <c r="G338" s="237" t="n">
        <v>100000</v>
      </c>
      <c r="H338" s="95">
        <f>25%*75%</f>
        <v/>
      </c>
    </row>
    <row r="339" ht="15.75" customHeight="1">
      <c r="A339" s="94" t="n">
        <v>334</v>
      </c>
      <c r="B339" s="141" t="inlineStr">
        <is>
          <t>2026/08/03 07:00</t>
        </is>
      </c>
      <c r="C339" s="141" t="inlineStr">
        <is>
          <t>HỒ MINH TUẤN</t>
        </is>
      </c>
      <c r="D339" s="141" t="inlineStr">
        <is>
          <t>25/08/1987</t>
        </is>
      </c>
      <c r="E339" s="141" t="inlineStr">
        <is>
          <t>Thay băng, cắt chỉ vết mổ [chiều dài ≤ 15cm]</t>
        </is>
      </c>
      <c r="F339" s="237" t="n">
        <v>1</v>
      </c>
      <c r="G339" s="237" t="n">
        <v>100000</v>
      </c>
      <c r="H339" s="95">
        <f>25%*75%</f>
        <v/>
      </c>
    </row>
    <row r="340" ht="15.75" customHeight="1">
      <c r="A340" s="94" t="n">
        <v>335</v>
      </c>
      <c r="B340" s="141" t="inlineStr">
        <is>
          <t>2026/08/03 07:00</t>
        </is>
      </c>
      <c r="C340" s="141" t="inlineStr">
        <is>
          <t>LÂM CHÍ VỈNH</t>
        </is>
      </c>
      <c r="D340" s="141" t="inlineStr">
        <is>
          <t>13/07/2006</t>
        </is>
      </c>
      <c r="E340" s="141" t="inlineStr">
        <is>
          <t>Thay băng, cắt chỉ vết mổ [chiều dài ≤ 15cm]</t>
        </is>
      </c>
      <c r="F340" s="237" t="n">
        <v>1</v>
      </c>
      <c r="G340" s="237" t="n">
        <v>100000</v>
      </c>
      <c r="H340" s="95">
        <f>25%*75%</f>
        <v/>
      </c>
    </row>
    <row r="341" ht="15.75" customHeight="1">
      <c r="A341" s="94" t="n">
        <v>336</v>
      </c>
      <c r="B341" s="141" t="inlineStr">
        <is>
          <t>2026/08/03 07:00</t>
        </is>
      </c>
      <c r="C341" s="141" t="inlineStr">
        <is>
          <t>LÂM PHI DŨNG</t>
        </is>
      </c>
      <c r="D341" s="141" t="inlineStr">
        <is>
          <t>12/12/1965</t>
        </is>
      </c>
      <c r="E341" s="141" t="inlineStr">
        <is>
          <t>Thay băng, cắt chỉ vết mổ [chiều dài ≤ 15cm]</t>
        </is>
      </c>
      <c r="F341" s="237" t="n">
        <v>1</v>
      </c>
      <c r="G341" s="237" t="n">
        <v>100000</v>
      </c>
      <c r="H341" s="95">
        <f>25%*75%</f>
        <v/>
      </c>
    </row>
    <row r="342" ht="15.75" customHeight="1">
      <c r="A342" s="94" t="n">
        <v>337</v>
      </c>
      <c r="B342" s="141" t="inlineStr">
        <is>
          <t>2026/08/03 07:00</t>
        </is>
      </c>
      <c r="C342" s="141" t="inlineStr">
        <is>
          <t>LÊ NHƯ Ý</t>
        </is>
      </c>
      <c r="D342" s="141" t="inlineStr">
        <is>
          <t>09/08/2003</t>
        </is>
      </c>
      <c r="E342" s="141" t="inlineStr">
        <is>
          <t>Thay băng, cắt chỉ vết mổ [chiều dài ≤ 15cm]</t>
        </is>
      </c>
      <c r="F342" s="237" t="n">
        <v>1</v>
      </c>
      <c r="G342" s="237" t="n">
        <v>100000</v>
      </c>
      <c r="H342" s="95">
        <f>25%*75%</f>
        <v/>
      </c>
    </row>
    <row r="343" ht="15.75" customHeight="1">
      <c r="A343" s="94" t="n">
        <v>338</v>
      </c>
      <c r="B343" s="141" t="inlineStr">
        <is>
          <t>2026/08/03 07:00</t>
        </is>
      </c>
      <c r="C343" s="141" t="inlineStr">
        <is>
          <t>NGUYỄN NHẬT VÂN</t>
        </is>
      </c>
      <c r="D343" s="141" t="inlineStr">
        <is>
          <t>01/01/1967</t>
        </is>
      </c>
      <c r="E343" s="141" t="inlineStr">
        <is>
          <t>Thay băng, cắt chỉ vết mổ [chiều dài ≤ 15cm]</t>
        </is>
      </c>
      <c r="F343" s="237" t="n">
        <v>1</v>
      </c>
      <c r="G343" s="237" t="n">
        <v>100000</v>
      </c>
      <c r="H343" s="95">
        <f>25%*75%</f>
        <v/>
      </c>
    </row>
    <row r="344" ht="15.75" customHeight="1">
      <c r="A344" s="94" t="n">
        <v>339</v>
      </c>
      <c r="B344" s="141" t="inlineStr">
        <is>
          <t>2026/08/03 07:00</t>
        </is>
      </c>
      <c r="C344" s="141" t="inlineStr">
        <is>
          <t>NGUYỄN THỊ THANH HÒA</t>
        </is>
      </c>
      <c r="D344" s="141" t="inlineStr">
        <is>
          <t>19/03/1973</t>
        </is>
      </c>
      <c r="E344" s="141" t="inlineStr">
        <is>
          <t>Thay băng, cắt chỉ vết mổ [chiều dài ≤ 15cm]</t>
        </is>
      </c>
      <c r="F344" s="237" t="n">
        <v>1</v>
      </c>
      <c r="G344" s="237" t="n">
        <v>100000</v>
      </c>
      <c r="H344" s="95">
        <f>25%*75%</f>
        <v/>
      </c>
    </row>
    <row r="345" ht="15.75" customHeight="1">
      <c r="A345" s="94" t="n">
        <v>340</v>
      </c>
      <c r="B345" s="141" t="inlineStr">
        <is>
          <t>2026/08/03 07:00</t>
        </is>
      </c>
      <c r="C345" s="141" t="inlineStr">
        <is>
          <t>PHAN HOÀNG ÂN</t>
        </is>
      </c>
      <c r="D345" s="141" t="inlineStr">
        <is>
          <t>05/03/2001</t>
        </is>
      </c>
      <c r="E345" s="141" t="inlineStr">
        <is>
          <t>Thay băng, cắt chỉ vết mổ [chiều dài ≤ 15cm]</t>
        </is>
      </c>
      <c r="F345" s="237" t="n">
        <v>1</v>
      </c>
      <c r="G345" s="237" t="n">
        <v>100000</v>
      </c>
      <c r="H345" s="95">
        <f>25%*75%</f>
        <v/>
      </c>
    </row>
    <row r="346" ht="15.75" customHeight="1">
      <c r="A346" s="94" t="n">
        <v>341</v>
      </c>
      <c r="B346" s="141" t="inlineStr">
        <is>
          <t>2026/08/03 07:00</t>
        </is>
      </c>
      <c r="C346" s="141" t="inlineStr">
        <is>
          <t>PHẠM THỊ NGỌC ÁNH</t>
        </is>
      </c>
      <c r="D346" s="141" t="inlineStr">
        <is>
          <t>01/01/1957</t>
        </is>
      </c>
      <c r="E346" s="141" t="inlineStr">
        <is>
          <t>Thay băng, cắt chỉ vết mổ [chiều dài ≤ 15cm]</t>
        </is>
      </c>
      <c r="F346" s="237" t="n">
        <v>1</v>
      </c>
      <c r="G346" s="237" t="n">
        <v>100000</v>
      </c>
      <c r="H346" s="95">
        <f>25%*75%</f>
        <v/>
      </c>
    </row>
    <row r="347" ht="15.75" customHeight="1">
      <c r="A347" s="94" t="n">
        <v>342</v>
      </c>
      <c r="B347" s="141" t="inlineStr">
        <is>
          <t>2026/08/03 07:00</t>
        </is>
      </c>
      <c r="C347" s="141" t="inlineStr">
        <is>
          <t>TRẦN THỊ NGỌC XỨNG</t>
        </is>
      </c>
      <c r="D347" s="141" t="inlineStr">
        <is>
          <t>15/06/1962</t>
        </is>
      </c>
      <c r="E347" s="141" t="inlineStr">
        <is>
          <t>Thay băng, cắt chỉ vết mổ [chiều dài ≤ 15cm]</t>
        </is>
      </c>
      <c r="F347" s="237" t="n">
        <v>1</v>
      </c>
      <c r="G347" s="237" t="n">
        <v>100000</v>
      </c>
      <c r="H347" s="95">
        <f>25%*75%</f>
        <v/>
      </c>
    </row>
    <row r="348" ht="15.75" customHeight="1">
      <c r="A348" s="94" t="n">
        <v>343</v>
      </c>
      <c r="B348" s="141" t="inlineStr">
        <is>
          <t>2026/08/03 07:00</t>
        </is>
      </c>
      <c r="C348" s="141" t="inlineStr">
        <is>
          <t>ĐOÀN THỊ VÂN</t>
        </is>
      </c>
      <c r="D348" s="141" t="inlineStr">
        <is>
          <t>01/01/1988</t>
        </is>
      </c>
      <c r="E348" s="141" t="inlineStr">
        <is>
          <t>Thay băng, cắt chỉ vết mổ [chiều dài ≤ 15cm]</t>
        </is>
      </c>
      <c r="F348" s="237" t="n">
        <v>1</v>
      </c>
      <c r="G348" s="237" t="n">
        <v>100000</v>
      </c>
      <c r="H348" s="95">
        <f>25%*75%</f>
        <v/>
      </c>
    </row>
    <row r="349" ht="15.75" customHeight="1">
      <c r="A349" s="94" t="n">
        <v>344</v>
      </c>
      <c r="B349" s="141" t="inlineStr">
        <is>
          <t>2026/08/03 07:15</t>
        </is>
      </c>
      <c r="C349" s="141" t="inlineStr">
        <is>
          <t>LÊ THỊ THANH NHANH</t>
        </is>
      </c>
      <c r="D349" s="141" t="inlineStr">
        <is>
          <t>01/01/1976</t>
        </is>
      </c>
      <c r="E349" s="141" t="inlineStr">
        <is>
          <t>Thay băng, cắt chỉ vết mổ [chiều dài ≤ 15cm]</t>
        </is>
      </c>
      <c r="F349" s="237" t="n">
        <v>1</v>
      </c>
      <c r="G349" s="237" t="n">
        <v>100000</v>
      </c>
      <c r="H349" s="95">
        <f>25%*75%</f>
        <v/>
      </c>
    </row>
    <row r="350" ht="15.75" customHeight="1">
      <c r="A350" s="94" t="n">
        <v>345</v>
      </c>
      <c r="B350" s="141" t="inlineStr">
        <is>
          <t>2026/08/03 08:00</t>
        </is>
      </c>
      <c r="C350" s="141" t="inlineStr">
        <is>
          <t>NGUYỄN THỊ PHỤNG</t>
        </is>
      </c>
      <c r="D350" s="141" t="inlineStr">
        <is>
          <t>01/01/1956</t>
        </is>
      </c>
      <c r="E350" s="141" t="inlineStr">
        <is>
          <t>Thay băng, cắt chỉ vết mổ [chiều dài ≤ 15cm]</t>
        </is>
      </c>
      <c r="F350" s="237" t="n">
        <v>1</v>
      </c>
      <c r="G350" s="237" t="n">
        <v>100000</v>
      </c>
      <c r="H350" s="95">
        <f>25%*75%</f>
        <v/>
      </c>
    </row>
    <row r="351" ht="15.75" customHeight="1">
      <c r="A351" s="94" t="n">
        <v>346</v>
      </c>
      <c r="B351" s="141" t="inlineStr">
        <is>
          <t>2026/08/04 05:00</t>
        </is>
      </c>
      <c r="C351" s="141" t="inlineStr">
        <is>
          <t>LÂM THỊ THÚY</t>
        </is>
      </c>
      <c r="D351" s="141" t="inlineStr">
        <is>
          <t>01/01/1972</t>
        </is>
      </c>
      <c r="E351" s="141" t="inlineStr">
        <is>
          <t>Thay băng, cắt chỉ vết mổ [chiều dài ≤ 15cm]</t>
        </is>
      </c>
      <c r="F351" s="237" t="n">
        <v>1</v>
      </c>
      <c r="G351" s="237" t="n">
        <v>100000</v>
      </c>
      <c r="H351" s="95">
        <f>25%*75%</f>
        <v/>
      </c>
    </row>
    <row r="352" ht="15.75" customHeight="1">
      <c r="A352" s="94" t="n">
        <v>347</v>
      </c>
      <c r="B352" s="141" t="inlineStr">
        <is>
          <t>2026/08/04 05:00</t>
        </is>
      </c>
      <c r="C352" s="141" t="inlineStr">
        <is>
          <t>LÊ THỊ GHI</t>
        </is>
      </c>
      <c r="D352" s="141" t="inlineStr">
        <is>
          <t>01/01/1963</t>
        </is>
      </c>
      <c r="E352" s="141" t="inlineStr">
        <is>
          <t>Thay băng, cắt chỉ vết mổ [chiều dài ≤ 15cm]</t>
        </is>
      </c>
      <c r="F352" s="237" t="n">
        <v>1</v>
      </c>
      <c r="G352" s="237" t="n">
        <v>100000</v>
      </c>
      <c r="H352" s="95">
        <f>25%*75%</f>
        <v/>
      </c>
    </row>
    <row r="353" ht="15.75" customHeight="1">
      <c r="A353" s="94" t="n">
        <v>348</v>
      </c>
      <c r="B353" s="141" t="inlineStr">
        <is>
          <t>2026/08/04 05:00</t>
        </is>
      </c>
      <c r="C353" s="141" t="inlineStr">
        <is>
          <t>LÊ TRƯỜNG GIANG</t>
        </is>
      </c>
      <c r="D353" s="141" t="inlineStr">
        <is>
          <t>01/01/1980</t>
        </is>
      </c>
      <c r="E353" s="141" t="inlineStr">
        <is>
          <t>Thay băng, cắt chỉ vết mổ [chiều dài ≤ 15cm]</t>
        </is>
      </c>
      <c r="F353" s="237" t="n">
        <v>1</v>
      </c>
      <c r="G353" s="237" t="n">
        <v>100000</v>
      </c>
      <c r="H353" s="95">
        <f>25%*75%</f>
        <v/>
      </c>
    </row>
    <row r="354" ht="15.75" customHeight="1">
      <c r="A354" s="94" t="n">
        <v>349</v>
      </c>
      <c r="B354" s="141" t="inlineStr">
        <is>
          <t>2026/08/04 05:00</t>
        </is>
      </c>
      <c r="C354" s="141" t="inlineStr">
        <is>
          <t>NGUYỄN THỊ THANH HÒA</t>
        </is>
      </c>
      <c r="D354" s="141" t="inlineStr">
        <is>
          <t>19/03/1973</t>
        </is>
      </c>
      <c r="E354" s="141" t="inlineStr">
        <is>
          <t>Thay băng, cắt chỉ vết mổ [chiều dài ≤ 15cm]</t>
        </is>
      </c>
      <c r="F354" s="237" t="n">
        <v>1</v>
      </c>
      <c r="G354" s="237" t="n">
        <v>100000</v>
      </c>
      <c r="H354" s="95">
        <f>25%*75%</f>
        <v/>
      </c>
    </row>
    <row r="355" ht="15.75" customHeight="1">
      <c r="A355" s="94" t="n">
        <v>350</v>
      </c>
      <c r="B355" s="141" t="inlineStr">
        <is>
          <t>2026/08/04 05:00</t>
        </is>
      </c>
      <c r="C355" s="141" t="inlineStr">
        <is>
          <t>TĂNG THỊ MIỀN</t>
        </is>
      </c>
      <c r="D355" s="141" t="inlineStr">
        <is>
          <t>01/01/1951</t>
        </is>
      </c>
      <c r="E355" s="141" t="inlineStr">
        <is>
          <t>Thay băng, cắt chỉ vết mổ [chiều dài ≤ 15cm]</t>
        </is>
      </c>
      <c r="F355" s="237" t="n">
        <v>1</v>
      </c>
      <c r="G355" s="237" t="n">
        <v>100000</v>
      </c>
      <c r="H355" s="95">
        <f>25%*75%</f>
        <v/>
      </c>
    </row>
    <row r="356" ht="15.75" customHeight="1">
      <c r="A356" s="94" t="n">
        <v>351</v>
      </c>
      <c r="B356" s="141" t="inlineStr">
        <is>
          <t>2026/08/04 06:29</t>
        </is>
      </c>
      <c r="C356" s="141" t="inlineStr">
        <is>
          <t>BÙI VĂN TRƯỜNG</t>
        </is>
      </c>
      <c r="D356" s="141" t="inlineStr">
        <is>
          <t>01/01/1972</t>
        </is>
      </c>
      <c r="E356" s="141" t="inlineStr">
        <is>
          <t>Thay băng, cắt chỉ vết mổ [chiều dài ≤ 15cm]</t>
        </is>
      </c>
      <c r="F356" s="237" t="n">
        <v>1</v>
      </c>
      <c r="G356" s="237" t="n">
        <v>100000</v>
      </c>
      <c r="H356" s="95">
        <f>25%*75%</f>
        <v/>
      </c>
    </row>
    <row r="357" ht="15.75" customHeight="1">
      <c r="A357" s="94" t="n">
        <v>352</v>
      </c>
      <c r="B357" s="141" t="inlineStr">
        <is>
          <t>2026/08/04 07:00</t>
        </is>
      </c>
      <c r="C357" s="141" t="inlineStr">
        <is>
          <t>DƯƠNG BÁ NHẪN</t>
        </is>
      </c>
      <c r="D357" s="141" t="inlineStr">
        <is>
          <t>13/12/1999</t>
        </is>
      </c>
      <c r="E357" s="141" t="inlineStr">
        <is>
          <t>Thay băng, cắt chỉ vết mổ [chiều dài ≤ 15cm]</t>
        </is>
      </c>
      <c r="F357" s="237" t="n">
        <v>1</v>
      </c>
      <c r="G357" s="237" t="n">
        <v>100000</v>
      </c>
      <c r="H357" s="95">
        <f>25%*75%</f>
        <v/>
      </c>
    </row>
    <row r="358" ht="15.75" customHeight="1">
      <c r="A358" s="94" t="n">
        <v>353</v>
      </c>
      <c r="B358" s="141" t="inlineStr">
        <is>
          <t>2026/08/04 07:00</t>
        </is>
      </c>
      <c r="C358" s="141" t="inlineStr">
        <is>
          <t>LÂM PHI DŨNG</t>
        </is>
      </c>
      <c r="D358" s="141" t="inlineStr">
        <is>
          <t>12/12/1965</t>
        </is>
      </c>
      <c r="E358" s="141" t="inlineStr">
        <is>
          <t>Thay băng, cắt chỉ vết mổ [chiều dài ≤ 15cm]</t>
        </is>
      </c>
      <c r="F358" s="237" t="n">
        <v>1</v>
      </c>
      <c r="G358" s="237" t="n">
        <v>100000</v>
      </c>
      <c r="H358" s="95">
        <f>25%*75%</f>
        <v/>
      </c>
    </row>
    <row r="359" ht="15.75" customHeight="1">
      <c r="A359" s="94" t="n">
        <v>354</v>
      </c>
      <c r="B359" s="141" t="inlineStr">
        <is>
          <t>2026/08/04 07:00</t>
        </is>
      </c>
      <c r="C359" s="141" t="inlineStr">
        <is>
          <t>LÊ THỊ ỬNG</t>
        </is>
      </c>
      <c r="D359" s="141" t="inlineStr">
        <is>
          <t>02/09/1953</t>
        </is>
      </c>
      <c r="E359" s="141" t="inlineStr">
        <is>
          <t>Thay băng, cắt chỉ vết mổ [chiều dài ≤ 15cm]</t>
        </is>
      </c>
      <c r="F359" s="237" t="n">
        <v>1</v>
      </c>
      <c r="G359" s="237" t="n">
        <v>100000</v>
      </c>
      <c r="H359" s="95">
        <f>25%*75%</f>
        <v/>
      </c>
    </row>
    <row r="360" ht="15.75" customHeight="1">
      <c r="A360" s="94" t="n">
        <v>355</v>
      </c>
      <c r="B360" s="141" t="inlineStr">
        <is>
          <t>2026/08/04 07:00</t>
        </is>
      </c>
      <c r="C360" s="141" t="inlineStr">
        <is>
          <t>NGUYỄN THỊ HƯƠNG</t>
        </is>
      </c>
      <c r="D360" s="141" t="inlineStr">
        <is>
          <t>02/07/1965</t>
        </is>
      </c>
      <c r="E360" s="141" t="inlineStr">
        <is>
          <t>Thay băng, cắt chỉ vết mổ [chiều dài ≤ 15cm]</t>
        </is>
      </c>
      <c r="F360" s="237" t="n">
        <v>1</v>
      </c>
      <c r="G360" s="237" t="n">
        <v>100000</v>
      </c>
      <c r="H360" s="95">
        <f>25%*75%</f>
        <v/>
      </c>
    </row>
    <row r="361" ht="15.75" customHeight="1">
      <c r="A361" s="94" t="n">
        <v>356</v>
      </c>
      <c r="B361" s="141" t="inlineStr">
        <is>
          <t>2026/08/04 07:00</t>
        </is>
      </c>
      <c r="C361" s="141" t="inlineStr">
        <is>
          <t>NGUYỄN THỊ HỒNG THO</t>
        </is>
      </c>
      <c r="D361" s="141" t="inlineStr">
        <is>
          <t>19/05/1997</t>
        </is>
      </c>
      <c r="E361" s="141" t="inlineStr">
        <is>
          <t>Thay băng, cắt chỉ vết mổ [chiều dài ≤ 15cm]</t>
        </is>
      </c>
      <c r="F361" s="237" t="n">
        <v>1</v>
      </c>
      <c r="G361" s="237" t="n">
        <v>100000</v>
      </c>
      <c r="H361" s="95">
        <f>25%*75%</f>
        <v/>
      </c>
    </row>
    <row r="362" ht="15.75" customHeight="1">
      <c r="A362" s="94" t="n">
        <v>357</v>
      </c>
      <c r="B362" s="141" t="inlineStr">
        <is>
          <t>2026/08/04 07:00</t>
        </is>
      </c>
      <c r="C362" s="141" t="inlineStr">
        <is>
          <t>PHẠM THỊ NGỌC ÁNH</t>
        </is>
      </c>
      <c r="D362" s="141" t="inlineStr">
        <is>
          <t>01/01/1957</t>
        </is>
      </c>
      <c r="E362" s="141" t="inlineStr">
        <is>
          <t>Thay băng, cắt chỉ vết mổ [chiều dài ≤ 15cm]</t>
        </is>
      </c>
      <c r="F362" s="237" t="n">
        <v>1</v>
      </c>
      <c r="G362" s="237" t="n">
        <v>100000</v>
      </c>
      <c r="H362" s="95">
        <f>25%*75%</f>
        <v/>
      </c>
    </row>
    <row r="363" ht="15.75" customHeight="1">
      <c r="A363" s="94" t="n">
        <v>358</v>
      </c>
      <c r="B363" s="141" t="inlineStr">
        <is>
          <t>2026/08/04 07:00</t>
        </is>
      </c>
      <c r="C363" s="141" t="inlineStr">
        <is>
          <t>TRƯƠNG PHƯỚC HIẾU</t>
        </is>
      </c>
      <c r="D363" s="141" t="inlineStr">
        <is>
          <t>02/09/1991</t>
        </is>
      </c>
      <c r="E363" s="141" t="inlineStr">
        <is>
          <t>Thay băng, cắt chỉ vết mổ [chiều dài ≤ 15cm]</t>
        </is>
      </c>
      <c r="F363" s="237" t="n">
        <v>1</v>
      </c>
      <c r="G363" s="237" t="n">
        <v>100000</v>
      </c>
      <c r="H363" s="95">
        <f>25%*75%</f>
        <v/>
      </c>
    </row>
    <row r="364" ht="15.75" customHeight="1">
      <c r="A364" s="94" t="n">
        <v>359</v>
      </c>
      <c r="B364" s="141" t="inlineStr">
        <is>
          <t>2026/08/04 07:00</t>
        </is>
      </c>
      <c r="C364" s="141" t="inlineStr">
        <is>
          <t>TRẦN THỊ NGỌC XỨNG</t>
        </is>
      </c>
      <c r="D364" s="141" t="inlineStr">
        <is>
          <t>15/06/1962</t>
        </is>
      </c>
      <c r="E364" s="141" t="inlineStr">
        <is>
          <t>Thay băng, cắt chỉ vết mổ [chiều dài ≤ 15cm]</t>
        </is>
      </c>
      <c r="F364" s="237" t="n">
        <v>1</v>
      </c>
      <c r="G364" s="237" t="n">
        <v>100000</v>
      </c>
      <c r="H364" s="95">
        <f>25%*75%</f>
        <v/>
      </c>
    </row>
    <row r="365" ht="15.75" customHeight="1">
      <c r="A365" s="94" t="n">
        <v>360</v>
      </c>
      <c r="B365" s="141" t="inlineStr">
        <is>
          <t>2026/08/04 07:00</t>
        </is>
      </c>
      <c r="C365" s="141" t="inlineStr">
        <is>
          <t>VÕ THỊ HUỆ</t>
        </is>
      </c>
      <c r="D365" s="141" t="inlineStr">
        <is>
          <t>01/01/1948</t>
        </is>
      </c>
      <c r="E365" s="141" t="inlineStr">
        <is>
          <t>Thay băng, cắt chỉ vết mổ [chiều dài ≤ 15cm]</t>
        </is>
      </c>
      <c r="F365" s="237" t="n">
        <v>1</v>
      </c>
      <c r="G365" s="237" t="n">
        <v>100000</v>
      </c>
      <c r="H365" s="95">
        <f>25%*75%</f>
        <v/>
      </c>
    </row>
    <row r="366" ht="15.75" customHeight="1">
      <c r="A366" s="94" t="n">
        <v>361</v>
      </c>
      <c r="B366" s="141" t="inlineStr">
        <is>
          <t>2026/08/04 07:00</t>
        </is>
      </c>
      <c r="C366" s="141" t="inlineStr">
        <is>
          <t>VÕ THỊ XIÊNG</t>
        </is>
      </c>
      <c r="D366" s="141" t="inlineStr">
        <is>
          <t>01/01/1971</t>
        </is>
      </c>
      <c r="E366" s="141" t="inlineStr">
        <is>
          <t>Thay băng, cắt chỉ vết mổ [chiều dài ≤ 15cm]</t>
        </is>
      </c>
      <c r="F366" s="237" t="n">
        <v>1</v>
      </c>
      <c r="G366" s="237" t="n">
        <v>100000</v>
      </c>
      <c r="H366" s="95">
        <f>25%*75%</f>
        <v/>
      </c>
    </row>
    <row r="367" ht="15.75" customHeight="1">
      <c r="A367" s="94" t="n">
        <v>362</v>
      </c>
      <c r="B367" s="141" t="inlineStr">
        <is>
          <t>2026/08/04 07:15</t>
        </is>
      </c>
      <c r="C367" s="141" t="inlineStr">
        <is>
          <t>LÂM THỊ THÚY</t>
        </is>
      </c>
      <c r="D367" s="141" t="inlineStr">
        <is>
          <t>01/01/1972</t>
        </is>
      </c>
      <c r="E367" s="141" t="inlineStr">
        <is>
          <t>Cắt chỉ kim loại</t>
        </is>
      </c>
      <c r="F367" s="237" t="n">
        <v>1</v>
      </c>
      <c r="G367" s="237" t="n">
        <v>120000</v>
      </c>
      <c r="H367" s="95">
        <f>25%*75%</f>
        <v/>
      </c>
    </row>
    <row r="368" ht="15.75" customHeight="1">
      <c r="A368" s="94" t="n">
        <v>363</v>
      </c>
      <c r="B368" s="141" t="inlineStr">
        <is>
          <t>2026/08/04 07:15</t>
        </is>
      </c>
      <c r="C368" s="141" t="inlineStr">
        <is>
          <t>MAI THỊ LIỄU</t>
        </is>
      </c>
      <c r="D368" s="141" t="inlineStr">
        <is>
          <t>02/07/1969</t>
        </is>
      </c>
      <c r="E368" s="141" t="inlineStr">
        <is>
          <t>Thay băng điều trị vết bỏng dưới 10% diện tích cơ thể ở người lớn [dưới 10% diện tích cơ thể]</t>
        </is>
      </c>
      <c r="F368" s="237" t="n">
        <v>1</v>
      </c>
      <c r="G368" s="237" t="n">
        <v>262900</v>
      </c>
      <c r="H368" s="95">
        <f>25%*75%</f>
        <v/>
      </c>
    </row>
    <row r="369" ht="15.75" customHeight="1">
      <c r="A369" s="94" t="n">
        <v>364</v>
      </c>
      <c r="B369" s="141" t="inlineStr">
        <is>
          <t>2026/08/04 07:15</t>
        </is>
      </c>
      <c r="C369" s="141" t="inlineStr">
        <is>
          <t>NGUYỄN THỊ TIÊN</t>
        </is>
      </c>
      <c r="D369" s="141" t="inlineStr">
        <is>
          <t>16/10/1961</t>
        </is>
      </c>
      <c r="E369" s="141" t="inlineStr">
        <is>
          <t>Thay băng, cắt chỉ vết mổ [chiều dài ≤ 15cm]</t>
        </is>
      </c>
      <c r="F369" s="237" t="n">
        <v>1</v>
      </c>
      <c r="G369" s="237" t="n">
        <v>100000</v>
      </c>
      <c r="H369" s="95">
        <f>25%*75%</f>
        <v/>
      </c>
    </row>
    <row r="370" ht="15.75" customHeight="1">
      <c r="A370" s="94" t="n">
        <v>365</v>
      </c>
      <c r="B370" s="141" t="inlineStr">
        <is>
          <t>2026/08/04 07:15</t>
        </is>
      </c>
      <c r="C370" s="141" t="inlineStr">
        <is>
          <t>PHẠM THỊ KIM GIÀU</t>
        </is>
      </c>
      <c r="D370" s="141" t="inlineStr">
        <is>
          <t>26/08/2007</t>
        </is>
      </c>
      <c r="E370" s="141" t="inlineStr">
        <is>
          <t>Thay băng, cắt chỉ vết mổ [chiều dài ≤ 15cm]</t>
        </is>
      </c>
      <c r="F370" s="237" t="n">
        <v>1</v>
      </c>
      <c r="G370" s="237" t="n">
        <v>100000</v>
      </c>
      <c r="H370" s="95">
        <f>25%*75%</f>
        <v/>
      </c>
    </row>
    <row r="371" ht="15.75" customHeight="1">
      <c r="A371" s="94" t="n">
        <v>366</v>
      </c>
      <c r="B371" s="141" t="inlineStr">
        <is>
          <t>2026/08/05 05:00</t>
        </is>
      </c>
      <c r="C371" s="141" t="inlineStr">
        <is>
          <t>LÂM THỊ THÚY</t>
        </is>
      </c>
      <c r="D371" s="141" t="inlineStr">
        <is>
          <t>01/01/1972</t>
        </is>
      </c>
      <c r="E371" s="141" t="inlineStr">
        <is>
          <t>Thay băng, cắt chỉ vết mổ [chiều dài ≤ 15cm]</t>
        </is>
      </c>
      <c r="F371" s="237" t="n">
        <v>1</v>
      </c>
      <c r="G371" s="237" t="n">
        <v>100000</v>
      </c>
      <c r="H371" s="95">
        <f>25%*75%</f>
        <v/>
      </c>
    </row>
    <row r="372" ht="15.75" customHeight="1">
      <c r="A372" s="94" t="n">
        <v>367</v>
      </c>
      <c r="B372" s="141" t="inlineStr">
        <is>
          <t>2026/08/05 05:00</t>
        </is>
      </c>
      <c r="C372" s="141" t="inlineStr">
        <is>
          <t>LÊ THỊ GHI</t>
        </is>
      </c>
      <c r="D372" s="141" t="inlineStr">
        <is>
          <t>01/01/1963</t>
        </is>
      </c>
      <c r="E372" s="141" t="inlineStr">
        <is>
          <t>Thay băng, cắt chỉ vết mổ [chiều dài ≤ 15cm]</t>
        </is>
      </c>
      <c r="F372" s="237" t="n">
        <v>1</v>
      </c>
      <c r="G372" s="237" t="n">
        <v>100000</v>
      </c>
      <c r="H372" s="95">
        <f>25%*75%</f>
        <v/>
      </c>
    </row>
    <row r="373" ht="15.75" customHeight="1">
      <c r="A373" s="94" t="n">
        <v>368</v>
      </c>
      <c r="B373" s="141" t="inlineStr">
        <is>
          <t>2026/08/05 05:00</t>
        </is>
      </c>
      <c r="C373" s="141" t="inlineStr">
        <is>
          <t>LÊ THỊ ỬNG</t>
        </is>
      </c>
      <c r="D373" s="141" t="inlineStr">
        <is>
          <t>02/09/1953</t>
        </is>
      </c>
      <c r="E373" s="141" t="inlineStr">
        <is>
          <t>Thay băng, cắt chỉ vết mổ [chiều dài ≤ 15cm]</t>
        </is>
      </c>
      <c r="F373" s="237" t="n">
        <v>1</v>
      </c>
      <c r="G373" s="237" t="n">
        <v>100000</v>
      </c>
      <c r="H373" s="95">
        <f>25%*75%</f>
        <v/>
      </c>
    </row>
    <row r="374" ht="15.75" customHeight="1">
      <c r="A374" s="94" t="n">
        <v>369</v>
      </c>
      <c r="B374" s="141" t="inlineStr">
        <is>
          <t>2026/08/05 05:00</t>
        </is>
      </c>
      <c r="C374" s="141" t="inlineStr">
        <is>
          <t>LÊ TRƯỜNG GIANG</t>
        </is>
      </c>
      <c r="D374" s="141" t="inlineStr">
        <is>
          <t>01/01/1980</t>
        </is>
      </c>
      <c r="E374" s="141" t="inlineStr">
        <is>
          <t>Thay băng, cắt chỉ vết mổ [chiều dài ≤ 15cm]</t>
        </is>
      </c>
      <c r="F374" s="237" t="n">
        <v>1</v>
      </c>
      <c r="G374" s="237" t="n">
        <v>100000</v>
      </c>
      <c r="H374" s="95">
        <f>25%*75%</f>
        <v/>
      </c>
    </row>
    <row r="375" ht="15.75" customHeight="1">
      <c r="A375" s="94" t="n">
        <v>370</v>
      </c>
      <c r="B375" s="141" t="inlineStr">
        <is>
          <t>2026/08/05 05:00</t>
        </is>
      </c>
      <c r="C375" s="141" t="inlineStr">
        <is>
          <t>NGUYỄN THỊ HỒNG THO</t>
        </is>
      </c>
      <c r="D375" s="141" t="inlineStr">
        <is>
          <t>19/05/1997</t>
        </is>
      </c>
      <c r="E375" s="141" t="inlineStr">
        <is>
          <t>Thay băng, cắt chỉ vết mổ [chiều dài ≤ 15cm]</t>
        </is>
      </c>
      <c r="F375" s="237" t="n">
        <v>1</v>
      </c>
      <c r="G375" s="237" t="n">
        <v>100000</v>
      </c>
      <c r="H375" s="95">
        <f>25%*75%</f>
        <v/>
      </c>
    </row>
    <row r="376" ht="15.75" customHeight="1">
      <c r="A376" s="94" t="n">
        <v>371</v>
      </c>
      <c r="B376" s="141" t="inlineStr">
        <is>
          <t>2026/08/05 05:00</t>
        </is>
      </c>
      <c r="C376" s="141" t="inlineStr">
        <is>
          <t>TĂNG THỊ MIỀN</t>
        </is>
      </c>
      <c r="D376" s="141" t="inlineStr">
        <is>
          <t>01/01/1951</t>
        </is>
      </c>
      <c r="E376" s="141" t="inlineStr">
        <is>
          <t>Thay băng, cắt chỉ vết mổ [chiều dài ≤ 15cm]</t>
        </is>
      </c>
      <c r="F376" s="237" t="n">
        <v>1</v>
      </c>
      <c r="G376" s="237" t="n">
        <v>100000</v>
      </c>
      <c r="H376" s="95">
        <f>25%*75%</f>
        <v/>
      </c>
    </row>
    <row r="377" ht="15.75" customHeight="1">
      <c r="A377" s="94" t="n">
        <v>372</v>
      </c>
      <c r="B377" s="141" t="inlineStr">
        <is>
          <t>2026/08/05 06:43</t>
        </is>
      </c>
      <c r="C377" s="141" t="inlineStr">
        <is>
          <t>BÙI VĂN TRƯỜNG</t>
        </is>
      </c>
      <c r="D377" s="141" t="inlineStr">
        <is>
          <t>01/01/1972</t>
        </is>
      </c>
      <c r="E377" s="141" t="inlineStr">
        <is>
          <t>Thay băng, cắt chỉ vết mổ [chiều dài ≤ 15cm]</t>
        </is>
      </c>
      <c r="F377" s="237" t="n">
        <v>1</v>
      </c>
      <c r="G377" s="237" t="n">
        <v>100000</v>
      </c>
      <c r="H377" s="95">
        <f>25%*75%</f>
        <v/>
      </c>
    </row>
    <row r="378" ht="15.75" customHeight="1">
      <c r="A378" s="94" t="n">
        <v>373</v>
      </c>
      <c r="B378" s="141" t="inlineStr">
        <is>
          <t>2026/08/05 06:51</t>
        </is>
      </c>
      <c r="C378" s="141" t="inlineStr">
        <is>
          <t>TRƯƠNG CẨM TÚ</t>
        </is>
      </c>
      <c r="D378" s="141" t="inlineStr">
        <is>
          <t>09/02/1994</t>
        </is>
      </c>
      <c r="E378" s="141" t="inlineStr">
        <is>
          <t>Thay băng, cắt chỉ vết mổ [chiều dài ≤ 15cm]</t>
        </is>
      </c>
      <c r="F378" s="237" t="n">
        <v>1</v>
      </c>
      <c r="G378" s="237" t="n">
        <v>100000</v>
      </c>
      <c r="H378" s="95">
        <f>25%*75%</f>
        <v/>
      </c>
    </row>
    <row r="379" ht="15.75" customHeight="1">
      <c r="A379" s="94" t="n">
        <v>374</v>
      </c>
      <c r="B379" s="141" t="inlineStr">
        <is>
          <t>2026/08/05 06:59</t>
        </is>
      </c>
      <c r="C379" s="141" t="inlineStr">
        <is>
          <t>NGUYỄN THỊ NĂM</t>
        </is>
      </c>
      <c r="D379" s="141" t="inlineStr">
        <is>
          <t>30/04/1955</t>
        </is>
      </c>
      <c r="E379" s="141" t="inlineStr">
        <is>
          <t>Thay băng, cắt chỉ vết mổ [chiều dài ≤ 15cm]</t>
        </is>
      </c>
      <c r="F379" s="237" t="n">
        <v>1</v>
      </c>
      <c r="G379" s="237" t="n">
        <v>100000</v>
      </c>
      <c r="H379" s="95">
        <f>25%*75%</f>
        <v/>
      </c>
    </row>
    <row r="380" ht="15.75" customHeight="1">
      <c r="A380" s="94" t="n">
        <v>375</v>
      </c>
      <c r="B380" s="141" t="inlineStr">
        <is>
          <t>2026/08/05 07:00</t>
        </is>
      </c>
      <c r="C380" s="141" t="inlineStr">
        <is>
          <t>DƯƠNG BÁ NHẪN</t>
        </is>
      </c>
      <c r="D380" s="141" t="inlineStr">
        <is>
          <t>13/12/1999</t>
        </is>
      </c>
      <c r="E380" s="141" t="inlineStr">
        <is>
          <t>Thay băng, cắt chỉ vết mổ [chiều dài ≤ 15cm]</t>
        </is>
      </c>
      <c r="F380" s="237" t="n">
        <v>1</v>
      </c>
      <c r="G380" s="237" t="n">
        <v>100000</v>
      </c>
      <c r="H380" s="95">
        <f>25%*75%</f>
        <v/>
      </c>
    </row>
    <row r="381" ht="15.75" customHeight="1">
      <c r="A381" s="94" t="n">
        <v>376</v>
      </c>
      <c r="B381" s="141" t="inlineStr">
        <is>
          <t>2026/08/05 07:00</t>
        </is>
      </c>
      <c r="C381" s="141" t="inlineStr">
        <is>
          <t>DƯƠNG HOÀNG TRUNG</t>
        </is>
      </c>
      <c r="D381" s="141" t="inlineStr">
        <is>
          <t>20/09/1983</t>
        </is>
      </c>
      <c r="E381" s="141" t="inlineStr">
        <is>
          <t>Thay băng, cắt chỉ vết mổ [chiều dài ≤ 15cm]</t>
        </is>
      </c>
      <c r="F381" s="237" t="n">
        <v>1</v>
      </c>
      <c r="G381" s="237" t="n">
        <v>100000</v>
      </c>
      <c r="H381" s="95">
        <f>25%*75%</f>
        <v/>
      </c>
    </row>
    <row r="382" ht="15.75" customHeight="1">
      <c r="A382" s="94" t="n">
        <v>377</v>
      </c>
      <c r="B382" s="141" t="inlineStr">
        <is>
          <t>2026/08/05 07:00</t>
        </is>
      </c>
      <c r="C382" s="141" t="inlineStr">
        <is>
          <t>LA BÍCH LỆ</t>
        </is>
      </c>
      <c r="D382" s="141" t="inlineStr">
        <is>
          <t>01/01/1949</t>
        </is>
      </c>
      <c r="E382" s="141" t="inlineStr">
        <is>
          <t>Thay băng, cắt chỉ vết mổ [chiều dài ≤ 15cm]</t>
        </is>
      </c>
      <c r="F382" s="237" t="n">
        <v>1</v>
      </c>
      <c r="G382" s="237" t="n">
        <v>100000</v>
      </c>
      <c r="H382" s="95">
        <f>25%*75%</f>
        <v/>
      </c>
    </row>
    <row r="383" ht="15.75" customHeight="1">
      <c r="A383" s="94" t="n">
        <v>378</v>
      </c>
      <c r="B383" s="141" t="inlineStr">
        <is>
          <t>2026/08/05 07:00</t>
        </is>
      </c>
      <c r="C383" s="141" t="inlineStr">
        <is>
          <t>LÂM PHI DŨNG</t>
        </is>
      </c>
      <c r="D383" s="141" t="inlineStr">
        <is>
          <t>12/12/1965</t>
        </is>
      </c>
      <c r="E383" s="141" t="inlineStr">
        <is>
          <t>Thay băng, cắt chỉ vết mổ [chiều dài ≤ 15cm]</t>
        </is>
      </c>
      <c r="F383" s="237" t="n">
        <v>1</v>
      </c>
      <c r="G383" s="237" t="n">
        <v>100000</v>
      </c>
      <c r="H383" s="95">
        <f>25%*75%</f>
        <v/>
      </c>
    </row>
    <row r="384" ht="15.75" customHeight="1">
      <c r="A384" s="94" t="n">
        <v>379</v>
      </c>
      <c r="B384" s="141" t="inlineStr">
        <is>
          <t>2026/08/05 07:00</t>
        </is>
      </c>
      <c r="C384" s="141" t="inlineStr">
        <is>
          <t>NGUYỄN THỊ HƯƠNG</t>
        </is>
      </c>
      <c r="D384" s="141" t="inlineStr">
        <is>
          <t>02/07/1965</t>
        </is>
      </c>
      <c r="E384" s="141" t="inlineStr">
        <is>
          <t>Thay băng, cắt chỉ vết mổ [chiều dài ≤ 15cm]</t>
        </is>
      </c>
      <c r="F384" s="237" t="n">
        <v>1</v>
      </c>
      <c r="G384" s="237" t="n">
        <v>100000</v>
      </c>
      <c r="H384" s="95">
        <f>25%*75%</f>
        <v/>
      </c>
    </row>
    <row r="385" ht="15.75" customHeight="1">
      <c r="A385" s="94" t="n">
        <v>380</v>
      </c>
      <c r="B385" s="141" t="inlineStr">
        <is>
          <t>2026/08/05 07:00</t>
        </is>
      </c>
      <c r="C385" s="141" t="inlineStr">
        <is>
          <t>THÁI THIỆN THẢO</t>
        </is>
      </c>
      <c r="D385" s="141" t="inlineStr">
        <is>
          <t>15/12/1969</t>
        </is>
      </c>
      <c r="E385" s="141" t="inlineStr">
        <is>
          <t>Thay băng, cắt chỉ vết mổ [chiều dài ≤ 15cm]</t>
        </is>
      </c>
      <c r="F385" s="237" t="n">
        <v>1</v>
      </c>
      <c r="G385" s="237" t="n">
        <v>100000</v>
      </c>
      <c r="H385" s="95">
        <f>25%*75%</f>
        <v/>
      </c>
    </row>
    <row r="386" ht="15.75" customHeight="1">
      <c r="A386" s="94" t="n">
        <v>381</v>
      </c>
      <c r="B386" s="141" t="inlineStr">
        <is>
          <t>2026/08/05 07:00</t>
        </is>
      </c>
      <c r="C386" s="141" t="inlineStr">
        <is>
          <t>TRẦN PHƯƠNG ĐÔNG</t>
        </is>
      </c>
      <c r="D386" s="141" t="inlineStr">
        <is>
          <t>01/01/1977</t>
        </is>
      </c>
      <c r="E386" s="141" t="inlineStr">
        <is>
          <t>Thay băng, cắt chỉ vết mổ [chiều dài ≤ 15cm]</t>
        </is>
      </c>
      <c r="F386" s="237" t="n">
        <v>1</v>
      </c>
      <c r="G386" s="237" t="n">
        <v>100000</v>
      </c>
      <c r="H386" s="95">
        <f>25%*75%</f>
        <v/>
      </c>
    </row>
    <row r="387" ht="15.75" customHeight="1">
      <c r="A387" s="94" t="n">
        <v>382</v>
      </c>
      <c r="B387" s="141" t="inlineStr">
        <is>
          <t>2026/08/05 07:00</t>
        </is>
      </c>
      <c r="C387" s="141" t="inlineStr">
        <is>
          <t>VÕ THỊ HUỆ</t>
        </is>
      </c>
      <c r="D387" s="141" t="inlineStr">
        <is>
          <t>01/01/1948</t>
        </is>
      </c>
      <c r="E387" s="141" t="inlineStr">
        <is>
          <t>Thay băng, cắt chỉ vết mổ [chiều dài ≤ 15cm]</t>
        </is>
      </c>
      <c r="F387" s="237" t="n">
        <v>1</v>
      </c>
      <c r="G387" s="237" t="n">
        <v>100000</v>
      </c>
      <c r="H387" s="95">
        <f>25%*75%</f>
        <v/>
      </c>
    </row>
    <row r="388" ht="15.75" customHeight="1">
      <c r="A388" s="94" t="n">
        <v>383</v>
      </c>
      <c r="B388" s="141" t="inlineStr">
        <is>
          <t>2026/08/05 07:00</t>
        </is>
      </c>
      <c r="C388" s="141" t="inlineStr">
        <is>
          <t>VÕ THỊ XIÊNG</t>
        </is>
      </c>
      <c r="D388" s="141" t="inlineStr">
        <is>
          <t>01/01/1971</t>
        </is>
      </c>
      <c r="E388" s="141" t="inlineStr">
        <is>
          <t>Thay băng, cắt chỉ vết mổ [chiều dài ≤ 15cm]</t>
        </is>
      </c>
      <c r="F388" s="237" t="n">
        <v>1</v>
      </c>
      <c r="G388" s="237" t="n">
        <v>100000</v>
      </c>
      <c r="H388" s="95">
        <f>25%*75%</f>
        <v/>
      </c>
    </row>
    <row r="389" ht="15.75" customHeight="1">
      <c r="A389" s="94" t="n">
        <v>384</v>
      </c>
      <c r="B389" s="141" t="inlineStr">
        <is>
          <t>2026/08/05 07:05</t>
        </is>
      </c>
      <c r="C389" s="141" t="inlineStr">
        <is>
          <t>NGUYỄN THỊ ÁNH LOAN</t>
        </is>
      </c>
      <c r="D389" s="141" t="inlineStr">
        <is>
          <t>30/10/1967</t>
        </is>
      </c>
      <c r="E389" s="141" t="inlineStr">
        <is>
          <t>Thay băng, cắt chỉ vết mổ [chiều dài ≤ 15cm]</t>
        </is>
      </c>
      <c r="F389" s="237" t="n">
        <v>1</v>
      </c>
      <c r="G389" s="237" t="n">
        <v>100000</v>
      </c>
      <c r="H389" s="95">
        <f>25%*75%</f>
        <v/>
      </c>
    </row>
    <row r="390" ht="15.75" customHeight="1">
      <c r="A390" s="94" t="n">
        <v>385</v>
      </c>
      <c r="B390" s="141" t="inlineStr">
        <is>
          <t>2026/08/05 07:15</t>
        </is>
      </c>
      <c r="C390" s="141" t="inlineStr">
        <is>
          <t>MAI THỊ LIỄU</t>
        </is>
      </c>
      <c r="D390" s="141" t="inlineStr">
        <is>
          <t>02/07/1969</t>
        </is>
      </c>
      <c r="E390" s="141" t="inlineStr">
        <is>
          <t>Thay băng điều trị vết bỏng dưới 10% diện tích cơ thể ở người lớn [dưới 10% diện tích cơ thể]</t>
        </is>
      </c>
      <c r="F390" s="237" t="n">
        <v>1</v>
      </c>
      <c r="G390" s="237" t="n">
        <v>262900</v>
      </c>
      <c r="H390" s="95">
        <f>25%*75%</f>
        <v/>
      </c>
    </row>
    <row r="391" ht="15.75" customHeight="1">
      <c r="A391" s="94" t="n">
        <v>386</v>
      </c>
      <c r="B391" s="141" t="inlineStr">
        <is>
          <t>2026/08/05 07:15</t>
        </is>
      </c>
      <c r="C391" s="141" t="inlineStr">
        <is>
          <t>PHẠM THỊ THANH TRÚC</t>
        </is>
      </c>
      <c r="D391" s="141" t="inlineStr">
        <is>
          <t>20/06/1978</t>
        </is>
      </c>
      <c r="E391" s="141" t="inlineStr">
        <is>
          <t>Thay băng, cắt chỉ vết mổ [chiều dài ≤ 15cm]</t>
        </is>
      </c>
      <c r="F391" s="237" t="n">
        <v>1</v>
      </c>
      <c r="G391" s="237" t="n">
        <v>100000</v>
      </c>
      <c r="H391" s="95">
        <f>25%*75%</f>
        <v/>
      </c>
    </row>
    <row r="392" ht="15.75" customHeight="1">
      <c r="A392" s="94" t="n">
        <v>387</v>
      </c>
      <c r="B392" s="141" t="inlineStr">
        <is>
          <t>2026/08/05 07:19</t>
        </is>
      </c>
      <c r="C392" s="141" t="inlineStr">
        <is>
          <t>TRẦN MINH KHA</t>
        </is>
      </c>
      <c r="D392" s="141" t="inlineStr">
        <is>
          <t>15/02/1994</t>
        </is>
      </c>
      <c r="E392" s="141" t="inlineStr">
        <is>
          <t>Thay băng, cắt chỉ vết mổ [chiều dài ≤ 15cm]</t>
        </is>
      </c>
      <c r="F392" s="237" t="n">
        <v>1</v>
      </c>
      <c r="G392" s="237" t="n">
        <v>100000</v>
      </c>
      <c r="H392" s="95">
        <f>25%*75%</f>
        <v/>
      </c>
    </row>
    <row r="393" ht="15.75" customHeight="1">
      <c r="A393" s="94" t="n">
        <v>388</v>
      </c>
      <c r="B393" s="141" t="inlineStr">
        <is>
          <t>2026/08/05 07:36</t>
        </is>
      </c>
      <c r="C393" s="141" t="inlineStr">
        <is>
          <t>PHẠM THỊ KIM GIÀU</t>
        </is>
      </c>
      <c r="D393" s="141" t="inlineStr">
        <is>
          <t>26/08/2007</t>
        </is>
      </c>
      <c r="E393" s="141" t="inlineStr">
        <is>
          <t>Thay băng, cắt chỉ vết mổ [chiều dài ≤ 15cm]</t>
        </is>
      </c>
      <c r="F393" s="237" t="n">
        <v>1</v>
      </c>
      <c r="G393" s="237" t="n">
        <v>100000</v>
      </c>
      <c r="H393" s="95">
        <f>25%*75%</f>
        <v/>
      </c>
    </row>
    <row r="394" ht="15.75" customHeight="1">
      <c r="A394" s="94" t="n">
        <v>389</v>
      </c>
      <c r="B394" s="141" t="inlineStr">
        <is>
          <t>2026/08/05 07:47</t>
        </is>
      </c>
      <c r="C394" s="141" t="inlineStr">
        <is>
          <t>PHẠM THỊ NGỌC ÁNH</t>
        </is>
      </c>
      <c r="D394" s="141" t="inlineStr">
        <is>
          <t>01/01/1957</t>
        </is>
      </c>
      <c r="E394" s="141" t="inlineStr">
        <is>
          <t>Thay băng, cắt chỉ vết mổ [chiều dài ≤ 15cm]</t>
        </is>
      </c>
      <c r="F394" s="237" t="n">
        <v>1</v>
      </c>
      <c r="G394" s="237" t="n">
        <v>100000</v>
      </c>
      <c r="H394" s="95">
        <f>25%*75%</f>
        <v/>
      </c>
    </row>
    <row r="395" ht="15.75" customHeight="1">
      <c r="A395" s="94" t="n">
        <v>390</v>
      </c>
      <c r="B395" s="141" t="inlineStr">
        <is>
          <t>2026/08/05 07:55</t>
        </is>
      </c>
      <c r="C395" s="141" t="inlineStr">
        <is>
          <t>NGUYỄN HỮU HIỆP</t>
        </is>
      </c>
      <c r="D395" s="141" t="inlineStr">
        <is>
          <t>01/01/1973</t>
        </is>
      </c>
      <c r="E395" s="141" t="inlineStr">
        <is>
          <t>Thay băng, cắt chỉ vết mổ [chiều dài ≤ 15cm]</t>
        </is>
      </c>
      <c r="F395" s="237" t="n">
        <v>1</v>
      </c>
      <c r="G395" s="237" t="n">
        <v>100000</v>
      </c>
      <c r="H395" s="95">
        <f>25%*75%</f>
        <v/>
      </c>
    </row>
    <row r="396" ht="15.75" customHeight="1">
      <c r="A396" s="94" t="n">
        <v>391</v>
      </c>
      <c r="B396" s="141" t="inlineStr">
        <is>
          <t>2026/08/05 09:52</t>
        </is>
      </c>
      <c r="C396" s="141" t="inlineStr">
        <is>
          <t>NGUYỄN TUYẾT HOA</t>
        </is>
      </c>
      <c r="D396" s="141" t="inlineStr">
        <is>
          <t>25/05/1950</t>
        </is>
      </c>
      <c r="E396" s="141" t="inlineStr">
        <is>
          <t>Truyền hóa chất tĩnh mạch [nội trú]</t>
        </is>
      </c>
      <c r="F396" s="237" t="n">
        <v>1</v>
      </c>
      <c r="G396" s="237" t="n">
        <v>400000</v>
      </c>
      <c r="H396" s="95">
        <f>25%*75%</f>
        <v/>
      </c>
    </row>
    <row r="397" ht="15.75" customHeight="1">
      <c r="A397" s="94" t="n">
        <v>392</v>
      </c>
      <c r="B397" s="141" t="inlineStr">
        <is>
          <t>2026/08/05 10:45</t>
        </is>
      </c>
      <c r="C397" s="141" t="inlineStr">
        <is>
          <t>LÊ THỊ CHÍN</t>
        </is>
      </c>
      <c r="D397" s="141" t="inlineStr">
        <is>
          <t>16/06/1941</t>
        </is>
      </c>
      <c r="E397" s="141" t="inlineStr">
        <is>
          <t>Truyền hóa chất tĩnh mạch [nội trú]</t>
        </is>
      </c>
      <c r="F397" s="237" t="n">
        <v>1</v>
      </c>
      <c r="G397" s="237" t="n">
        <v>400000</v>
      </c>
      <c r="H397" s="95">
        <f>25%*75%</f>
        <v/>
      </c>
    </row>
    <row r="398" ht="15.75" customHeight="1">
      <c r="A398" s="94" t="n">
        <v>393</v>
      </c>
      <c r="B398" s="141" t="inlineStr">
        <is>
          <t>2026/08/05 11:06</t>
        </is>
      </c>
      <c r="C398" s="141" t="inlineStr">
        <is>
          <t>LÊ THỊ VẸN</t>
        </is>
      </c>
      <c r="D398" s="141" t="inlineStr">
        <is>
          <t>01/01/1949</t>
        </is>
      </c>
      <c r="E398" s="141" t="inlineStr">
        <is>
          <t>Truyền hóa chất tĩnh mạch [nội trú]</t>
        </is>
      </c>
      <c r="F398" s="237" t="n">
        <v>1</v>
      </c>
      <c r="G398" s="237" t="n">
        <v>400000</v>
      </c>
      <c r="H398" s="95">
        <f>25%*75%</f>
        <v/>
      </c>
    </row>
    <row r="399" ht="15.75" customHeight="1">
      <c r="A399" s="94" t="n">
        <v>394</v>
      </c>
      <c r="B399" s="141" t="inlineStr">
        <is>
          <t>2026/08/06 05:00</t>
        </is>
      </c>
      <c r="C399" s="141" t="inlineStr">
        <is>
          <t>LÊ THỊ ỬNG</t>
        </is>
      </c>
      <c r="D399" s="141" t="inlineStr">
        <is>
          <t>02/09/1953</t>
        </is>
      </c>
      <c r="E399" s="141" t="inlineStr">
        <is>
          <t>Thay băng, cắt chỉ vết mổ [chiều dài ≤ 15cm]</t>
        </is>
      </c>
      <c r="F399" s="237" t="n">
        <v>1</v>
      </c>
      <c r="G399" s="237" t="n">
        <v>100000</v>
      </c>
      <c r="H399" s="95">
        <f>25%*75%</f>
        <v/>
      </c>
    </row>
    <row r="400" ht="15.75" customHeight="1">
      <c r="A400" s="94" t="n">
        <v>395</v>
      </c>
      <c r="B400" s="141" t="inlineStr">
        <is>
          <t>2026/08/06 05:00</t>
        </is>
      </c>
      <c r="C400" s="141" t="inlineStr">
        <is>
          <t>LÊ TRƯỜNG GIANG</t>
        </is>
      </c>
      <c r="D400" s="141" t="inlineStr">
        <is>
          <t>01/01/1980</t>
        </is>
      </c>
      <c r="E400" s="141" t="inlineStr">
        <is>
          <t>Thay băng, cắt chỉ vết mổ [chiều dài ≤ 15cm]</t>
        </is>
      </c>
      <c r="F400" s="237" t="n">
        <v>1</v>
      </c>
      <c r="G400" s="237" t="n">
        <v>100000</v>
      </c>
      <c r="H400" s="95">
        <f>25%*75%</f>
        <v/>
      </c>
    </row>
    <row r="401" ht="15.75" customHeight="1">
      <c r="A401" s="94" t="n">
        <v>396</v>
      </c>
      <c r="B401" s="141" t="inlineStr">
        <is>
          <t>2026/08/06 05:00</t>
        </is>
      </c>
      <c r="C401" s="141" t="inlineStr">
        <is>
          <t>NGUYỄN THỊ HỒNG THO</t>
        </is>
      </c>
      <c r="D401" s="141" t="inlineStr">
        <is>
          <t>19/05/1997</t>
        </is>
      </c>
      <c r="E401" s="141" t="inlineStr">
        <is>
          <t>Thay băng, cắt chỉ vết mổ [chiều dài ≤ 15cm]</t>
        </is>
      </c>
      <c r="F401" s="237" t="n">
        <v>1</v>
      </c>
      <c r="G401" s="237" t="n">
        <v>100000</v>
      </c>
      <c r="H401" s="95">
        <f>25%*75%</f>
        <v/>
      </c>
    </row>
    <row r="402" ht="15.75" customHeight="1">
      <c r="A402" s="94" t="n">
        <v>397</v>
      </c>
      <c r="B402" s="141" t="inlineStr">
        <is>
          <t>2026/08/06 05:00</t>
        </is>
      </c>
      <c r="C402" s="141" t="inlineStr">
        <is>
          <t>NGUYỄN THỊ ÁNH LOAN</t>
        </is>
      </c>
      <c r="D402" s="141" t="inlineStr">
        <is>
          <t>30/10/1967</t>
        </is>
      </c>
      <c r="E402" s="141" t="inlineStr">
        <is>
          <t>Thay băng, cắt chỉ vết mổ [chiều dài ≤ 15cm]</t>
        </is>
      </c>
      <c r="F402" s="237" t="n">
        <v>1</v>
      </c>
      <c r="G402" s="237" t="n">
        <v>100000</v>
      </c>
      <c r="H402" s="95">
        <f>25%*75%</f>
        <v/>
      </c>
    </row>
    <row r="403" ht="15.75" customHeight="1">
      <c r="A403" s="94" t="n">
        <v>398</v>
      </c>
      <c r="B403" s="141" t="inlineStr">
        <is>
          <t>2026/08/06 05:00</t>
        </is>
      </c>
      <c r="C403" s="141" t="inlineStr">
        <is>
          <t>TRẦN MINH KHA</t>
        </is>
      </c>
      <c r="D403" s="141" t="inlineStr">
        <is>
          <t>15/02/1994</t>
        </is>
      </c>
      <c r="E403" s="141" t="inlineStr">
        <is>
          <t>Thay băng, cắt chỉ vết mổ [chiều dài ≤ 15cm]</t>
        </is>
      </c>
      <c r="F403" s="237" t="n">
        <v>1</v>
      </c>
      <c r="G403" s="237" t="n">
        <v>100000</v>
      </c>
      <c r="H403" s="95">
        <f>25%*75%</f>
        <v/>
      </c>
    </row>
    <row r="404" ht="15.75" customHeight="1">
      <c r="A404" s="94" t="n">
        <v>399</v>
      </c>
      <c r="B404" s="141" t="inlineStr">
        <is>
          <t>2026/08/06 05:00</t>
        </is>
      </c>
      <c r="C404" s="141" t="inlineStr">
        <is>
          <t>TRẦN PHƯƠNG ĐÔNG</t>
        </is>
      </c>
      <c r="D404" s="141" t="inlineStr">
        <is>
          <t>01/01/1977</t>
        </is>
      </c>
      <c r="E404" s="141" t="inlineStr">
        <is>
          <t>Thay băng, cắt chỉ vết mổ [chiều dài ≤ 15cm]</t>
        </is>
      </c>
      <c r="F404" s="237" t="n">
        <v>1</v>
      </c>
      <c r="G404" s="237" t="n">
        <v>100000</v>
      </c>
      <c r="H404" s="95">
        <f>25%*75%</f>
        <v/>
      </c>
    </row>
    <row r="405" ht="15.75" customHeight="1">
      <c r="A405" s="94" t="n">
        <v>400</v>
      </c>
      <c r="B405" s="141" t="inlineStr">
        <is>
          <t>2026/08/06 05:00</t>
        </is>
      </c>
      <c r="C405" s="141" t="inlineStr">
        <is>
          <t>TĂNG THỊ MIỀN</t>
        </is>
      </c>
      <c r="D405" s="141" t="inlineStr">
        <is>
          <t>01/01/1951</t>
        </is>
      </c>
      <c r="E405" s="141" t="inlineStr">
        <is>
          <t>Thay băng, cắt chỉ vết mổ [chiều dài ≤ 15cm]</t>
        </is>
      </c>
      <c r="F405" s="237" t="n">
        <v>1</v>
      </c>
      <c r="G405" s="237" t="n">
        <v>100000</v>
      </c>
      <c r="H405" s="95">
        <f>25%*75%</f>
        <v/>
      </c>
    </row>
    <row r="406" ht="15.75" customHeight="1">
      <c r="A406" s="94" t="n">
        <v>401</v>
      </c>
      <c r="B406" s="141" t="inlineStr">
        <is>
          <t>2026/08/06 06:00</t>
        </is>
      </c>
      <c r="C406" s="141" t="inlineStr">
        <is>
          <t>DƯƠNG NHẬT THÁI</t>
        </is>
      </c>
      <c r="D406" s="141" t="inlineStr">
        <is>
          <t>01/06/2008</t>
        </is>
      </c>
      <c r="E406" s="141" t="inlineStr">
        <is>
          <t>Thay băng, cắt chỉ vết mổ [chiều dài ≤ 15cm]</t>
        </is>
      </c>
      <c r="F406" s="237" t="n">
        <v>1</v>
      </c>
      <c r="G406" s="237" t="n">
        <v>100000</v>
      </c>
      <c r="H406" s="95">
        <f>25%*75%</f>
        <v/>
      </c>
    </row>
    <row r="407" ht="15.75" customHeight="1">
      <c r="A407" s="94" t="n">
        <v>402</v>
      </c>
      <c r="B407" s="141" t="inlineStr">
        <is>
          <t>2026/08/06 06:36</t>
        </is>
      </c>
      <c r="C407" s="141" t="inlineStr">
        <is>
          <t>BÙI VĂN TRƯỜNG</t>
        </is>
      </c>
      <c r="D407" s="141" t="inlineStr">
        <is>
          <t>01/01/1972</t>
        </is>
      </c>
      <c r="E407" s="141" t="inlineStr">
        <is>
          <t>Thay băng, cắt chỉ vết mổ [chiều dài ≤ 15cm]</t>
        </is>
      </c>
      <c r="F407" s="237" t="n">
        <v>1</v>
      </c>
      <c r="G407" s="237" t="n">
        <v>100000</v>
      </c>
      <c r="H407" s="95">
        <f>25%*75%</f>
        <v/>
      </c>
    </row>
    <row r="408" ht="15.75" customHeight="1">
      <c r="A408" s="94" t="n">
        <v>403</v>
      </c>
      <c r="B408" s="141" t="inlineStr">
        <is>
          <t>2026/08/06 06:42</t>
        </is>
      </c>
      <c r="C408" s="141" t="inlineStr">
        <is>
          <t>TRƯƠNG CẨM TÚ</t>
        </is>
      </c>
      <c r="D408" s="141" t="inlineStr">
        <is>
          <t>09/02/1994</t>
        </is>
      </c>
      <c r="E408" s="141" t="inlineStr">
        <is>
          <t>Thay băng, cắt chỉ vết mổ [chiều dài ≤ 15cm]</t>
        </is>
      </c>
      <c r="F408" s="237" t="n">
        <v>1</v>
      </c>
      <c r="G408" s="237" t="n">
        <v>100000</v>
      </c>
      <c r="H408" s="95">
        <f>25%*75%</f>
        <v/>
      </c>
    </row>
    <row r="409" ht="15.75" customHeight="1">
      <c r="A409" s="94" t="n">
        <v>404</v>
      </c>
      <c r="B409" s="141" t="inlineStr">
        <is>
          <t>2026/08/06 06:52</t>
        </is>
      </c>
      <c r="C409" s="141" t="inlineStr">
        <is>
          <t>NGUYỄN THỊ NĂM</t>
        </is>
      </c>
      <c r="D409" s="141" t="inlineStr">
        <is>
          <t>30/04/1955</t>
        </is>
      </c>
      <c r="E409" s="141" t="inlineStr">
        <is>
          <t>Thay băng, cắt chỉ vết mổ [chiều dài ≤ 15cm]</t>
        </is>
      </c>
      <c r="F409" s="237" t="n">
        <v>1</v>
      </c>
      <c r="G409" s="237" t="n">
        <v>100000</v>
      </c>
      <c r="H409" s="95">
        <f>25%*75%</f>
        <v/>
      </c>
    </row>
    <row r="410" ht="15.75" customHeight="1">
      <c r="A410" s="94" t="n">
        <v>405</v>
      </c>
      <c r="B410" s="141" t="inlineStr">
        <is>
          <t>2026/08/06 07:00</t>
        </is>
      </c>
      <c r="C410" s="141" t="inlineStr">
        <is>
          <t>DƯƠNG BÁ NHẪN</t>
        </is>
      </c>
      <c r="D410" s="141" t="inlineStr">
        <is>
          <t>13/12/1999</t>
        </is>
      </c>
      <c r="E410" s="141" t="inlineStr">
        <is>
          <t>Thay băng, cắt chỉ vết mổ [chiều dài ≤ 15cm]</t>
        </is>
      </c>
      <c r="F410" s="237" t="n">
        <v>1</v>
      </c>
      <c r="G410" s="237" t="n">
        <v>100000</v>
      </c>
      <c r="H410" s="95">
        <f>25%*75%</f>
        <v/>
      </c>
    </row>
    <row r="411" ht="15.75" customHeight="1">
      <c r="A411" s="94" t="n">
        <v>406</v>
      </c>
      <c r="B411" s="141" t="inlineStr">
        <is>
          <t>2026/08/06 07:00</t>
        </is>
      </c>
      <c r="C411" s="141" t="inlineStr">
        <is>
          <t>DƯƠNG HOÀNG TRUNG</t>
        </is>
      </c>
      <c r="D411" s="141" t="inlineStr">
        <is>
          <t>20/09/1983</t>
        </is>
      </c>
      <c r="E411" s="141" t="inlineStr">
        <is>
          <t>Thay băng, cắt chỉ vết mổ [chiều dài ≤ 15cm]</t>
        </is>
      </c>
      <c r="F411" s="237" t="n">
        <v>1</v>
      </c>
      <c r="G411" s="237" t="n">
        <v>100000</v>
      </c>
      <c r="H411" s="95">
        <f>25%*75%</f>
        <v/>
      </c>
    </row>
    <row r="412" ht="15.75" customHeight="1">
      <c r="A412" s="94" t="n">
        <v>407</v>
      </c>
      <c r="B412" s="141" t="inlineStr">
        <is>
          <t>2026/08/06 07:00</t>
        </is>
      </c>
      <c r="C412" s="141" t="inlineStr">
        <is>
          <t>LA BÍCH LỆ</t>
        </is>
      </c>
      <c r="D412" s="141" t="inlineStr">
        <is>
          <t>01/01/1949</t>
        </is>
      </c>
      <c r="E412" s="141" t="inlineStr">
        <is>
          <t>Thay băng, cắt chỉ vết mổ [chiều dài ≤ 15cm]</t>
        </is>
      </c>
      <c r="F412" s="237" t="n">
        <v>1</v>
      </c>
      <c r="G412" s="237" t="n">
        <v>100000</v>
      </c>
      <c r="H412" s="95">
        <f>25%*75%</f>
        <v/>
      </c>
    </row>
    <row r="413" ht="15.75" customHeight="1">
      <c r="A413" s="94" t="n">
        <v>408</v>
      </c>
      <c r="B413" s="141" t="inlineStr">
        <is>
          <t>2026/08/06 07:00</t>
        </is>
      </c>
      <c r="C413" s="141" t="inlineStr">
        <is>
          <t>NGUYỄN THỊ HƯƠNG</t>
        </is>
      </c>
      <c r="D413" s="141" t="inlineStr">
        <is>
          <t>02/07/1965</t>
        </is>
      </c>
      <c r="E413" s="141" t="inlineStr">
        <is>
          <t>Thay băng, cắt chỉ vết mổ [chiều dài ≤ 15cm]</t>
        </is>
      </c>
      <c r="F413" s="237" t="n">
        <v>1</v>
      </c>
      <c r="G413" s="237" t="n">
        <v>100000</v>
      </c>
      <c r="H413" s="95">
        <f>25%*75%</f>
        <v/>
      </c>
    </row>
    <row r="414" ht="15.75" customHeight="1">
      <c r="A414" s="94" t="n">
        <v>409</v>
      </c>
      <c r="B414" s="141" t="inlineStr">
        <is>
          <t>2026/08/06 07:00</t>
        </is>
      </c>
      <c r="C414" s="141" t="inlineStr">
        <is>
          <t>NGUYỄN VĂN HƯỞNG</t>
        </is>
      </c>
      <c r="D414" s="141" t="inlineStr">
        <is>
          <t>11/12/1992</t>
        </is>
      </c>
      <c r="E414" s="141" t="inlineStr">
        <is>
          <t>Thay băng, cắt chỉ vết mổ [chiều dài ≤ 15cm]</t>
        </is>
      </c>
      <c r="F414" s="237" t="n">
        <v>1</v>
      </c>
      <c r="G414" s="237" t="n">
        <v>100000</v>
      </c>
      <c r="H414" s="95">
        <f>25%*75%</f>
        <v/>
      </c>
    </row>
    <row r="415" ht="15.75" customHeight="1">
      <c r="A415" s="94" t="n">
        <v>410</v>
      </c>
      <c r="B415" s="141" t="inlineStr">
        <is>
          <t>2026/08/06 07:00</t>
        </is>
      </c>
      <c r="C415" s="141" t="inlineStr">
        <is>
          <t>VÕ MINH TRÍ</t>
        </is>
      </c>
      <c r="D415" s="141" t="inlineStr">
        <is>
          <t>03/01/1994</t>
        </is>
      </c>
      <c r="E415" s="141" t="inlineStr">
        <is>
          <t>Thay băng, cắt chỉ vết mổ [chiều dài ≤ 15cm]</t>
        </is>
      </c>
      <c r="F415" s="237" t="n">
        <v>1</v>
      </c>
      <c r="G415" s="237" t="n">
        <v>100000</v>
      </c>
      <c r="H415" s="95">
        <f>25%*75%</f>
        <v/>
      </c>
    </row>
    <row r="416" ht="15.75" customHeight="1">
      <c r="A416" s="94" t="n">
        <v>411</v>
      </c>
      <c r="B416" s="141" t="inlineStr">
        <is>
          <t>2026/08/06 07:00</t>
        </is>
      </c>
      <c r="C416" s="141" t="inlineStr">
        <is>
          <t>VÕ THỊ XIÊNG</t>
        </is>
      </c>
      <c r="D416" s="141" t="inlineStr">
        <is>
          <t>01/01/1971</t>
        </is>
      </c>
      <c r="E416" s="141" t="inlineStr">
        <is>
          <t>Thay băng, cắt chỉ vết mổ [chiều dài ≤ 15cm]</t>
        </is>
      </c>
      <c r="F416" s="237" t="n">
        <v>1</v>
      </c>
      <c r="G416" s="237" t="n">
        <v>100000</v>
      </c>
      <c r="H416" s="95">
        <f>25%*75%</f>
        <v/>
      </c>
    </row>
    <row r="417" ht="15.75" customHeight="1">
      <c r="A417" s="94" t="n">
        <v>412</v>
      </c>
      <c r="B417" s="141" t="inlineStr">
        <is>
          <t>2026/08/06 07:05</t>
        </is>
      </c>
      <c r="C417" s="141" t="inlineStr">
        <is>
          <t>MAI THỊ LIỄU</t>
        </is>
      </c>
      <c r="D417" s="141" t="inlineStr">
        <is>
          <t>02/07/1969</t>
        </is>
      </c>
      <c r="E417" s="141" t="inlineStr">
        <is>
          <t>Thay băng điều trị vết bỏng dưới 10% diện tích cơ thể ở người lớn [dưới 10% diện tích cơ thể]</t>
        </is>
      </c>
      <c r="F417" s="237" t="n">
        <v>1</v>
      </c>
      <c r="G417" s="237" t="n">
        <v>262900</v>
      </c>
      <c r="H417" s="95">
        <f>25%*75%</f>
        <v/>
      </c>
    </row>
    <row r="418" ht="15.75" customHeight="1">
      <c r="A418" s="94" t="n">
        <v>413</v>
      </c>
      <c r="B418" s="141" t="inlineStr">
        <is>
          <t>2026/08/06 07:26</t>
        </is>
      </c>
      <c r="C418" s="141" t="inlineStr">
        <is>
          <t>PHAN HỮU HƯNG</t>
        </is>
      </c>
      <c r="D418" s="141" t="inlineStr">
        <is>
          <t>19/02/1983</t>
        </is>
      </c>
      <c r="E418" s="141" t="inlineStr">
        <is>
          <t>Thay băng điều trị vết bỏng từ 10% - 19% diện tích cơ thể ở người lớn</t>
        </is>
      </c>
      <c r="F418" s="237" t="n">
        <v>1</v>
      </c>
      <c r="G418" s="237" t="n">
        <v>458200</v>
      </c>
      <c r="H418" s="95">
        <f>25%*75%</f>
        <v/>
      </c>
    </row>
    <row r="419" ht="15.75" customHeight="1">
      <c r="A419" s="94" t="n">
        <v>414</v>
      </c>
      <c r="B419" s="141" t="inlineStr">
        <is>
          <t>2026/08/06 07:39</t>
        </is>
      </c>
      <c r="C419" s="141" t="inlineStr">
        <is>
          <t>PHẠM THỊ KIM GIÀU</t>
        </is>
      </c>
      <c r="D419" s="141" t="inlineStr">
        <is>
          <t>26/08/2007</t>
        </is>
      </c>
      <c r="E419" s="141" t="inlineStr">
        <is>
          <t>Thay băng, cắt chỉ vết mổ [chiều dài ≤ 15cm]</t>
        </is>
      </c>
      <c r="F419" s="237" t="n">
        <v>1</v>
      </c>
      <c r="G419" s="237" t="n">
        <v>100000</v>
      </c>
      <c r="H419" s="95">
        <f>25%*75%</f>
        <v/>
      </c>
    </row>
    <row r="420" ht="15.75" customHeight="1">
      <c r="A420" s="94" t="n">
        <v>415</v>
      </c>
      <c r="B420" s="141" t="inlineStr">
        <is>
          <t>2026/08/06 07:47</t>
        </is>
      </c>
      <c r="C420" s="141" t="inlineStr">
        <is>
          <t>PHẠM THỊ NGỌC ÁNH</t>
        </is>
      </c>
      <c r="D420" s="141" t="inlineStr">
        <is>
          <t>01/01/1957</t>
        </is>
      </c>
      <c r="E420" s="141" t="inlineStr">
        <is>
          <t>Thay băng, cắt chỉ vết mổ [chiều dài ≤ 15cm]</t>
        </is>
      </c>
      <c r="F420" s="237" t="n">
        <v>1</v>
      </c>
      <c r="G420" s="237" t="n">
        <v>100000</v>
      </c>
      <c r="H420" s="95">
        <f>25%*75%</f>
        <v/>
      </c>
    </row>
    <row r="421" ht="15.75" customHeight="1">
      <c r="A421" s="94" t="n">
        <v>416</v>
      </c>
      <c r="B421" s="141" t="inlineStr">
        <is>
          <t>2026/08/06 18:59</t>
        </is>
      </c>
      <c r="C421" s="141" t="inlineStr">
        <is>
          <t>DƯƠNG HOÀNG TRUNG</t>
        </is>
      </c>
      <c r="D421" s="141" t="inlineStr">
        <is>
          <t>20/09/1983</t>
        </is>
      </c>
      <c r="E421" s="141" t="inlineStr">
        <is>
          <t>Thay băng cho các vết thương hoại tử rộng (một lần) [chiều dài từ trên 15 cm đến 30 cm]</t>
        </is>
      </c>
      <c r="F421" s="237" t="n">
        <v>1</v>
      </c>
      <c r="G421" s="237" t="n">
        <v>250000</v>
      </c>
      <c r="H421" s="95">
        <f>25%*75%</f>
        <v/>
      </c>
    </row>
    <row r="422" ht="15.75" customHeight="1">
      <c r="A422" s="94" t="n">
        <v>417</v>
      </c>
      <c r="B422" s="141" t="inlineStr">
        <is>
          <t>2026/08/07 05:00</t>
        </is>
      </c>
      <c r="C422" s="141" t="inlineStr">
        <is>
          <t>DƯƠNG NHẬT THÁI</t>
        </is>
      </c>
      <c r="D422" s="141" t="inlineStr">
        <is>
          <t>01/06/2008</t>
        </is>
      </c>
      <c r="E422" s="141" t="inlineStr">
        <is>
          <t>Thay băng, cắt chỉ vết mổ [chiều dài ≤ 15cm]</t>
        </is>
      </c>
      <c r="F422" s="237" t="n">
        <v>1</v>
      </c>
      <c r="G422" s="237" t="n">
        <v>100000</v>
      </c>
      <c r="H422" s="95">
        <f>25%*75%</f>
        <v/>
      </c>
    </row>
    <row r="423" ht="15.75" customHeight="1">
      <c r="A423" s="94" t="n">
        <v>418</v>
      </c>
      <c r="B423" s="141" t="inlineStr">
        <is>
          <t>2026/08/07 05:00</t>
        </is>
      </c>
      <c r="C423" s="141" t="inlineStr">
        <is>
          <t>LÊ THỊ ỬNG</t>
        </is>
      </c>
      <c r="D423" s="141" t="inlineStr">
        <is>
          <t>02/09/1953</t>
        </is>
      </c>
      <c r="E423" s="141" t="inlineStr">
        <is>
          <t>Thay băng, cắt chỉ vết mổ [chiều dài ≤ 15cm]</t>
        </is>
      </c>
      <c r="F423" s="237" t="n">
        <v>1</v>
      </c>
      <c r="G423" s="237" t="n">
        <v>100000</v>
      </c>
      <c r="H423" s="95">
        <f>25%*75%</f>
        <v/>
      </c>
    </row>
    <row r="424" ht="15.75" customHeight="1">
      <c r="A424" s="94" t="n">
        <v>419</v>
      </c>
      <c r="B424" s="141" t="inlineStr">
        <is>
          <t>2026/08/07 05:00</t>
        </is>
      </c>
      <c r="C424" s="141" t="inlineStr">
        <is>
          <t>NGUYỄN THỊ ÁNH LOAN</t>
        </is>
      </c>
      <c r="D424" s="141" t="inlineStr">
        <is>
          <t>30/10/1967</t>
        </is>
      </c>
      <c r="E424" s="141" t="inlineStr">
        <is>
          <t>Thay băng, cắt chỉ vết mổ [chiều dài ≤ 15cm]</t>
        </is>
      </c>
      <c r="F424" s="237" t="n">
        <v>1</v>
      </c>
      <c r="G424" s="237" t="n">
        <v>100000</v>
      </c>
      <c r="H424" s="95">
        <f>25%*75%</f>
        <v/>
      </c>
    </row>
    <row r="425" ht="15.75" customHeight="1">
      <c r="A425" s="94" t="n">
        <v>420</v>
      </c>
      <c r="B425" s="141" t="inlineStr">
        <is>
          <t>2026/08/07 05:00</t>
        </is>
      </c>
      <c r="C425" s="141" t="inlineStr">
        <is>
          <t>TRẦN PHƯƠNG ĐÔNG</t>
        </is>
      </c>
      <c r="D425" s="141" t="inlineStr">
        <is>
          <t>01/01/1977</t>
        </is>
      </c>
      <c r="E425" s="141" t="inlineStr">
        <is>
          <t>Thay băng, cắt chỉ vết mổ [chiều dài ≤ 15cm]</t>
        </is>
      </c>
      <c r="F425" s="237" t="n">
        <v>1</v>
      </c>
      <c r="G425" s="237" t="n">
        <v>100000</v>
      </c>
      <c r="H425" s="95">
        <f>25%*75%</f>
        <v/>
      </c>
    </row>
    <row r="426" ht="15.75" customHeight="1">
      <c r="A426" s="94" t="n">
        <v>421</v>
      </c>
      <c r="B426" s="141" t="inlineStr">
        <is>
          <t>2026/08/07 06:35</t>
        </is>
      </c>
      <c r="C426" s="141" t="inlineStr">
        <is>
          <t>NGUYỄN THỊ NĂM</t>
        </is>
      </c>
      <c r="D426" s="141" t="inlineStr">
        <is>
          <t>30/04/1955</t>
        </is>
      </c>
      <c r="E426" s="141" t="inlineStr">
        <is>
          <t>Thay băng, cắt chỉ vết mổ [chiều dài ≤ 15cm]</t>
        </is>
      </c>
      <c r="F426" s="237" t="n">
        <v>1</v>
      </c>
      <c r="G426" s="237" t="n">
        <v>100000</v>
      </c>
      <c r="H426" s="95">
        <f>25%*75%</f>
        <v/>
      </c>
    </row>
    <row r="427" ht="15.75" customHeight="1">
      <c r="A427" s="94" t="n">
        <v>422</v>
      </c>
      <c r="B427" s="141" t="inlineStr">
        <is>
          <t>2026/08/07 06:49</t>
        </is>
      </c>
      <c r="C427" s="141" t="inlineStr">
        <is>
          <t>TRƯƠNG CẨM TÚ</t>
        </is>
      </c>
      <c r="D427" s="141" t="inlineStr">
        <is>
          <t>09/02/1994</t>
        </is>
      </c>
      <c r="E427" s="141" t="inlineStr">
        <is>
          <t>Thay băng, cắt chỉ vết mổ [chiều dài ≤ 15cm]</t>
        </is>
      </c>
      <c r="F427" s="237" t="n">
        <v>1</v>
      </c>
      <c r="G427" s="237" t="n">
        <v>100000</v>
      </c>
      <c r="H427" s="95">
        <f>25%*75%</f>
        <v/>
      </c>
    </row>
    <row r="428" ht="15.75" customHeight="1">
      <c r="A428" s="94" t="n">
        <v>423</v>
      </c>
      <c r="B428" s="141" t="inlineStr">
        <is>
          <t>2026/08/07 06:50</t>
        </is>
      </c>
      <c r="C428" s="141" t="inlineStr">
        <is>
          <t>NGUYỄN VĂN KHẢI</t>
        </is>
      </c>
      <c r="D428" s="141" t="inlineStr">
        <is>
          <t>04/11/1951</t>
        </is>
      </c>
      <c r="E428" s="141" t="inlineStr">
        <is>
          <t>Thay băng, cắt chỉ vết mổ [chiều dài ≤ 15cm]</t>
        </is>
      </c>
      <c r="F428" s="237" t="n">
        <v>1</v>
      </c>
      <c r="G428" s="237" t="n">
        <v>100000</v>
      </c>
      <c r="H428" s="95">
        <f>25%*75%</f>
        <v/>
      </c>
    </row>
    <row r="429" ht="15.75" customHeight="1">
      <c r="A429" s="94" t="n">
        <v>424</v>
      </c>
      <c r="B429" s="141" t="inlineStr">
        <is>
          <t>2026/08/07 07:00</t>
        </is>
      </c>
      <c r="C429" s="141" t="inlineStr">
        <is>
          <t>BÙI VĂN TRƯỜNG</t>
        </is>
      </c>
      <c r="D429" s="141" t="inlineStr">
        <is>
          <t>01/01/1972</t>
        </is>
      </c>
      <c r="E429" s="141" t="inlineStr">
        <is>
          <t>Thay băng, cắt chỉ vết mổ [chiều dài ≤ 15cm]</t>
        </is>
      </c>
      <c r="F429" s="237" t="n">
        <v>1</v>
      </c>
      <c r="G429" s="237" t="n">
        <v>100000</v>
      </c>
      <c r="H429" s="95">
        <f>25%*75%</f>
        <v/>
      </c>
    </row>
    <row r="430" ht="15.75" customHeight="1">
      <c r="A430" s="94" t="n">
        <v>425</v>
      </c>
      <c r="B430" s="141" t="inlineStr">
        <is>
          <t>2026/08/07 07:00</t>
        </is>
      </c>
      <c r="C430" s="141" t="inlineStr">
        <is>
          <t>DƯƠNG BÁ NHẪN</t>
        </is>
      </c>
      <c r="D430" s="141" t="inlineStr">
        <is>
          <t>13/12/1999</t>
        </is>
      </c>
      <c r="E430" s="141" t="inlineStr">
        <is>
          <t>Thay băng, cắt chỉ vết mổ [chiều dài ≤ 15cm]</t>
        </is>
      </c>
      <c r="F430" s="237" t="n">
        <v>1</v>
      </c>
      <c r="G430" s="237" t="n">
        <v>100000</v>
      </c>
      <c r="H430" s="95">
        <f>25%*75%</f>
        <v/>
      </c>
    </row>
    <row r="431" ht="15.75" customHeight="1">
      <c r="A431" s="94" t="n">
        <v>426</v>
      </c>
      <c r="B431" s="141" t="inlineStr">
        <is>
          <t>2026/08/07 07:00</t>
        </is>
      </c>
      <c r="C431" s="141" t="inlineStr">
        <is>
          <t>LA BÍCH LỆ</t>
        </is>
      </c>
      <c r="D431" s="141" t="inlineStr">
        <is>
          <t>01/01/1949</t>
        </is>
      </c>
      <c r="E431" s="141" t="inlineStr">
        <is>
          <t>Thay băng, cắt chỉ vết mổ [chiều dài ≤ 15cm]</t>
        </is>
      </c>
      <c r="F431" s="237" t="n">
        <v>1</v>
      </c>
      <c r="G431" s="237" t="n">
        <v>100000</v>
      </c>
      <c r="H431" s="95">
        <f>25%*75%</f>
        <v/>
      </c>
    </row>
    <row r="432" ht="15.75" customHeight="1">
      <c r="A432" s="94" t="n">
        <v>427</v>
      </c>
      <c r="B432" s="141" t="inlineStr">
        <is>
          <t>2026/08/07 07:00</t>
        </is>
      </c>
      <c r="C432" s="141" t="inlineStr">
        <is>
          <t>LÊ TRƯỜNG GIANG</t>
        </is>
      </c>
      <c r="D432" s="141" t="inlineStr">
        <is>
          <t>01/01/1980</t>
        </is>
      </c>
      <c r="E432" s="141" t="inlineStr">
        <is>
          <t>Thay băng, cắt chỉ vết mổ [chiều dài ≤ 15cm]</t>
        </is>
      </c>
      <c r="F432" s="237" t="n">
        <v>1</v>
      </c>
      <c r="G432" s="237" t="n">
        <v>100000</v>
      </c>
      <c r="H432" s="95">
        <f>25%*75%</f>
        <v/>
      </c>
    </row>
    <row r="433" ht="15.75" customHeight="1">
      <c r="A433" s="94" t="n">
        <v>428</v>
      </c>
      <c r="B433" s="141" t="inlineStr">
        <is>
          <t>2026/08/07 07:00</t>
        </is>
      </c>
      <c r="C433" s="141" t="inlineStr">
        <is>
          <t>NGUYỄN THỊ HƯƠNG</t>
        </is>
      </c>
      <c r="D433" s="141" t="inlineStr">
        <is>
          <t>02/07/1965</t>
        </is>
      </c>
      <c r="E433" s="141" t="inlineStr">
        <is>
          <t>Thay băng, cắt chỉ vết mổ [chiều dài ≤ 15cm]</t>
        </is>
      </c>
      <c r="F433" s="237" t="n">
        <v>1</v>
      </c>
      <c r="G433" s="237" t="n">
        <v>100000</v>
      </c>
      <c r="H433" s="95">
        <f>25%*75%</f>
        <v/>
      </c>
    </row>
    <row r="434" ht="15.75" customHeight="1">
      <c r="A434" s="94" t="n">
        <v>429</v>
      </c>
      <c r="B434" s="141" t="inlineStr">
        <is>
          <t>2026/08/07 07:00</t>
        </is>
      </c>
      <c r="C434" s="141" t="inlineStr">
        <is>
          <t>NGUYỄN VĂN HƯỞNG</t>
        </is>
      </c>
      <c r="D434" s="141" t="inlineStr">
        <is>
          <t>11/12/1992</t>
        </is>
      </c>
      <c r="E434" s="141" t="inlineStr">
        <is>
          <t>Thay băng, cắt chỉ vết mổ [chiều dài ≤ 15cm]</t>
        </is>
      </c>
      <c r="F434" s="237" t="n">
        <v>1</v>
      </c>
      <c r="G434" s="237" t="n">
        <v>100000</v>
      </c>
      <c r="H434" s="95">
        <f>25%*75%</f>
        <v/>
      </c>
    </row>
    <row r="435" ht="15.75" customHeight="1">
      <c r="A435" s="94" t="n">
        <v>430</v>
      </c>
      <c r="B435" s="141" t="inlineStr">
        <is>
          <t>2026/08/07 07:00</t>
        </is>
      </c>
      <c r="C435" s="141" t="inlineStr">
        <is>
          <t>ĐẶNG THANH PHONG</t>
        </is>
      </c>
      <c r="D435" s="141" t="inlineStr">
        <is>
          <t>01/01/1976</t>
        </is>
      </c>
      <c r="E435" s="141" t="inlineStr">
        <is>
          <t>Thay băng, cắt chỉ vết mổ [chiều dài ≤ 15cm]</t>
        </is>
      </c>
      <c r="F435" s="237" t="n">
        <v>1</v>
      </c>
      <c r="G435" s="237" t="n">
        <v>100000</v>
      </c>
      <c r="H435" s="95">
        <f>25%*75%</f>
        <v/>
      </c>
    </row>
    <row r="436" ht="15.75" customHeight="1">
      <c r="A436" s="94" t="n">
        <v>431</v>
      </c>
      <c r="B436" s="141" t="inlineStr">
        <is>
          <t>2026/08/07 07:02</t>
        </is>
      </c>
      <c r="C436" s="141" t="inlineStr">
        <is>
          <t>PHAN THƯỢNG HẢI</t>
        </is>
      </c>
      <c r="D436" s="141" t="inlineStr">
        <is>
          <t>15/07/1972</t>
        </is>
      </c>
      <c r="E436" s="141" t="inlineStr">
        <is>
          <t>Thay băng, cắt chỉ vết mổ [chiều dài ≤ 15cm]</t>
        </is>
      </c>
      <c r="F436" s="237" t="n">
        <v>1</v>
      </c>
      <c r="G436" s="237" t="n">
        <v>100000</v>
      </c>
      <c r="H436" s="95">
        <f>25%*75%</f>
        <v/>
      </c>
    </row>
    <row r="437" ht="15.75" customHeight="1">
      <c r="A437" s="94" t="n">
        <v>432</v>
      </c>
      <c r="B437" s="141" t="inlineStr">
        <is>
          <t>2026/08/07 07:15</t>
        </is>
      </c>
      <c r="C437" s="141" t="inlineStr">
        <is>
          <t>LÂM THỊ THÚY</t>
        </is>
      </c>
      <c r="D437" s="141" t="inlineStr">
        <is>
          <t>01/01/1972</t>
        </is>
      </c>
      <c r="E437" s="141" t="inlineStr">
        <is>
          <t>Thay băng, cắt chỉ vết mổ [chiều dài ≤ 15cm]</t>
        </is>
      </c>
      <c r="F437" s="237" t="n">
        <v>1</v>
      </c>
      <c r="G437" s="237" t="n">
        <v>100000</v>
      </c>
      <c r="H437" s="95">
        <f>25%*75%</f>
        <v/>
      </c>
    </row>
    <row r="438" ht="15.75" customHeight="1">
      <c r="A438" s="94" t="n">
        <v>433</v>
      </c>
      <c r="B438" s="141" t="inlineStr">
        <is>
          <t>2026/08/07 07:15</t>
        </is>
      </c>
      <c r="C438" s="141" t="inlineStr">
        <is>
          <t>PHAN HỮU HƯNG</t>
        </is>
      </c>
      <c r="D438" s="141" t="inlineStr">
        <is>
          <t>19/02/1983</t>
        </is>
      </c>
      <c r="E438" s="141" t="inlineStr">
        <is>
          <t>Thay băng điều trị vết bỏng từ 10% - 19% diện tích cơ thể ở người lớn</t>
        </is>
      </c>
      <c r="F438" s="237" t="n">
        <v>1</v>
      </c>
      <c r="G438" s="237" t="n">
        <v>458200</v>
      </c>
      <c r="H438" s="95">
        <f>25%*75%</f>
        <v/>
      </c>
    </row>
    <row r="439" ht="15.75" customHeight="1">
      <c r="A439" s="94" t="n">
        <v>434</v>
      </c>
      <c r="B439" s="141" t="inlineStr">
        <is>
          <t>2026/08/08 05:00</t>
        </is>
      </c>
      <c r="C439" s="141" t="inlineStr">
        <is>
          <t>BÙI VĂN TRƯỜNG</t>
        </is>
      </c>
      <c r="D439" s="141" t="inlineStr">
        <is>
          <t>01/01/1972</t>
        </is>
      </c>
      <c r="E439" s="141" t="inlineStr">
        <is>
          <t>Thay băng, cắt chỉ vết mổ [chiều dài ≤ 15cm]</t>
        </is>
      </c>
      <c r="F439" s="237" t="n">
        <v>1</v>
      </c>
      <c r="G439" s="237" t="n">
        <v>100000</v>
      </c>
      <c r="H439" s="95">
        <f>25%*75%</f>
        <v/>
      </c>
    </row>
    <row r="440" ht="15.75" customHeight="1">
      <c r="A440" s="94" t="n">
        <v>435</v>
      </c>
      <c r="B440" s="141" t="inlineStr">
        <is>
          <t>2026/08/08 05:00</t>
        </is>
      </c>
      <c r="C440" s="141" t="inlineStr">
        <is>
          <t>LA BÍCH LỆ</t>
        </is>
      </c>
      <c r="D440" s="141" t="inlineStr">
        <is>
          <t>01/01/1949</t>
        </is>
      </c>
      <c r="E440" s="141" t="inlineStr">
        <is>
          <t>Thay băng, cắt chỉ vết mổ [chiều dài ≤ 15cm]</t>
        </is>
      </c>
      <c r="F440" s="237" t="n">
        <v>1</v>
      </c>
      <c r="G440" s="237" t="n">
        <v>100000</v>
      </c>
      <c r="H440" s="95">
        <f>25%*75%</f>
        <v/>
      </c>
    </row>
    <row r="441" ht="15.75" customHeight="1">
      <c r="A441" s="94" t="n">
        <v>436</v>
      </c>
      <c r="B441" s="141" t="inlineStr">
        <is>
          <t>2026/08/08 05:00</t>
        </is>
      </c>
      <c r="C441" s="141" t="inlineStr">
        <is>
          <t>LÊ THỊ ỬNG</t>
        </is>
      </c>
      <c r="D441" s="141" t="inlineStr">
        <is>
          <t>02/09/1953</t>
        </is>
      </c>
      <c r="E441" s="141" t="inlineStr">
        <is>
          <t>Thay băng, cắt chỉ vết mổ [chiều dài ≤ 15cm]</t>
        </is>
      </c>
      <c r="F441" s="237" t="n">
        <v>1</v>
      </c>
      <c r="G441" s="237" t="n">
        <v>100000</v>
      </c>
      <c r="H441" s="95">
        <f>25%*75%</f>
        <v/>
      </c>
    </row>
    <row r="442" ht="15.75" customHeight="1">
      <c r="A442" s="94" t="n">
        <v>437</v>
      </c>
      <c r="B442" s="141" t="inlineStr">
        <is>
          <t>2026/08/08 05:00</t>
        </is>
      </c>
      <c r="C442" s="141" t="inlineStr">
        <is>
          <t>NGUYỄN HỮU HIỆP</t>
        </is>
      </c>
      <c r="D442" s="141" t="inlineStr">
        <is>
          <t>01/01/1973</t>
        </is>
      </c>
      <c r="E442" s="141" t="inlineStr">
        <is>
          <t>Thay băng, cắt chỉ vết mổ [chiều dài ≤ 15cm]</t>
        </is>
      </c>
      <c r="F442" s="237" t="n">
        <v>1</v>
      </c>
      <c r="G442" s="237" t="n">
        <v>100000</v>
      </c>
      <c r="H442" s="95">
        <f>25%*75%</f>
        <v/>
      </c>
    </row>
    <row r="443" ht="15.75" customHeight="1">
      <c r="A443" s="94" t="n">
        <v>438</v>
      </c>
      <c r="B443" s="141" t="inlineStr">
        <is>
          <t>2026/08/08 05:00</t>
        </is>
      </c>
      <c r="C443" s="141" t="inlineStr">
        <is>
          <t>NGUYỄN THỊ HƯƠNG</t>
        </is>
      </c>
      <c r="D443" s="141" t="inlineStr">
        <is>
          <t>02/07/1965</t>
        </is>
      </c>
      <c r="E443" s="141" t="inlineStr">
        <is>
          <t>Thay băng, cắt chỉ vết mổ [chiều dài ≤ 15cm]</t>
        </is>
      </c>
      <c r="F443" s="237" t="n">
        <v>1</v>
      </c>
      <c r="G443" s="237" t="n">
        <v>100000</v>
      </c>
      <c r="H443" s="95">
        <f>25%*75%</f>
        <v/>
      </c>
    </row>
    <row r="444" ht="15.75" customHeight="1">
      <c r="A444" s="94" t="n">
        <v>439</v>
      </c>
      <c r="B444" s="141" t="inlineStr">
        <is>
          <t>2026/08/08 05:00</t>
        </is>
      </c>
      <c r="C444" s="141" t="inlineStr">
        <is>
          <t>NGUYỄN VĂN KHẢI</t>
        </is>
      </c>
      <c r="D444" s="141" t="inlineStr">
        <is>
          <t>04/11/1951</t>
        </is>
      </c>
      <c r="E444" s="141" t="inlineStr">
        <is>
          <t>Thay băng, cắt chỉ vết mổ [chiều dài ≤ 15cm]</t>
        </is>
      </c>
      <c r="F444" s="237" t="n">
        <v>1</v>
      </c>
      <c r="G444" s="237" t="n">
        <v>100000</v>
      </c>
      <c r="H444" s="95">
        <f>25%*75%</f>
        <v/>
      </c>
    </row>
    <row r="445" ht="15.75" customHeight="1">
      <c r="A445" s="94" t="n">
        <v>440</v>
      </c>
      <c r="B445" s="141" t="inlineStr">
        <is>
          <t>2026/08/08 05:00</t>
        </is>
      </c>
      <c r="C445" s="141" t="inlineStr">
        <is>
          <t>PHAN THƯỢNG HẢI</t>
        </is>
      </c>
      <c r="D445" s="141" t="inlineStr">
        <is>
          <t>15/07/1972</t>
        </is>
      </c>
      <c r="E445" s="141" t="inlineStr">
        <is>
          <t>Thay băng, cắt chỉ vết mổ [chiều dài ≤ 15cm]</t>
        </is>
      </c>
      <c r="F445" s="237" t="n">
        <v>1</v>
      </c>
      <c r="G445" s="237" t="n">
        <v>100000</v>
      </c>
      <c r="H445" s="95">
        <f>25%*75%</f>
        <v/>
      </c>
    </row>
    <row r="446" ht="15.75" customHeight="1">
      <c r="A446" s="94" t="n">
        <v>441</v>
      </c>
      <c r="B446" s="141" t="inlineStr">
        <is>
          <t>2026/08/08 05:00</t>
        </is>
      </c>
      <c r="C446" s="141" t="inlineStr">
        <is>
          <t>PHẠM THỊ BẨN</t>
        </is>
      </c>
      <c r="D446" s="141" t="inlineStr">
        <is>
          <t>17/12/1965</t>
        </is>
      </c>
      <c r="E446" s="141" t="inlineStr">
        <is>
          <t>Thay băng, cắt chỉ vết mổ [chiều dài ≤ 15cm]</t>
        </is>
      </c>
      <c r="F446" s="237" t="n">
        <v>1</v>
      </c>
      <c r="G446" s="237" t="n">
        <v>100000</v>
      </c>
      <c r="H446" s="95">
        <f>25%*75%</f>
        <v/>
      </c>
    </row>
    <row r="447" ht="15.75" customHeight="1">
      <c r="A447" s="94" t="n">
        <v>442</v>
      </c>
      <c r="B447" s="141" t="inlineStr">
        <is>
          <t>2026/08/08 05:00</t>
        </is>
      </c>
      <c r="C447" s="141" t="inlineStr">
        <is>
          <t>TRƯƠNG CẨM TÚ</t>
        </is>
      </c>
      <c r="D447" s="141" t="inlineStr">
        <is>
          <t>09/02/1994</t>
        </is>
      </c>
      <c r="E447" s="141" t="inlineStr">
        <is>
          <t>Thay băng, cắt chỉ vết mổ [chiều dài ≤ 15cm]</t>
        </is>
      </c>
      <c r="F447" s="237" t="n">
        <v>1</v>
      </c>
      <c r="G447" s="237" t="n">
        <v>100000</v>
      </c>
      <c r="H447" s="95">
        <f>25%*75%</f>
        <v/>
      </c>
    </row>
    <row r="448" ht="15.75" customHeight="1">
      <c r="A448" s="94" t="n">
        <v>443</v>
      </c>
      <c r="B448" s="141" t="inlineStr">
        <is>
          <t>2026/08/08 05:00</t>
        </is>
      </c>
      <c r="C448" s="141" t="inlineStr">
        <is>
          <t>TRƯƠNG VĂN ÚT</t>
        </is>
      </c>
      <c r="D448" s="141" t="inlineStr">
        <is>
          <t>01/01/1948</t>
        </is>
      </c>
      <c r="E448" s="141" t="inlineStr">
        <is>
          <t>Thay băng, cắt chỉ vết mổ [chiều dài ≤ 15cm]</t>
        </is>
      </c>
      <c r="F448" s="237" t="n">
        <v>1</v>
      </c>
      <c r="G448" s="237" t="n">
        <v>100000</v>
      </c>
      <c r="H448" s="95">
        <f>25%*75%</f>
        <v/>
      </c>
    </row>
    <row r="449" ht="15.75" customHeight="1">
      <c r="A449" s="94" t="n">
        <v>444</v>
      </c>
      <c r="B449" s="141" t="inlineStr">
        <is>
          <t>2026/08/08 05:00</t>
        </is>
      </c>
      <c r="C449" s="141" t="inlineStr">
        <is>
          <t>TRẦN MINH TƯỞNG</t>
        </is>
      </c>
      <c r="D449" s="141" t="inlineStr">
        <is>
          <t>29/11/2002</t>
        </is>
      </c>
      <c r="E449" s="141" t="inlineStr">
        <is>
          <t>Thay băng, cắt chỉ vết mổ [chiều dài ≤ 15cm]</t>
        </is>
      </c>
      <c r="F449" s="237" t="n">
        <v>1</v>
      </c>
      <c r="G449" s="237" t="n">
        <v>100000</v>
      </c>
      <c r="H449" s="95">
        <f>25%*75%</f>
        <v/>
      </c>
    </row>
    <row r="450" ht="15.75" customHeight="1">
      <c r="A450" s="94" t="n">
        <v>445</v>
      </c>
      <c r="B450" s="141" t="inlineStr">
        <is>
          <t>2026/08/08 09:00</t>
        </is>
      </c>
      <c r="C450" s="141" t="inlineStr">
        <is>
          <t>LÂM THỊ THÚY</t>
        </is>
      </c>
      <c r="D450" s="141" t="inlineStr">
        <is>
          <t>01/01/1972</t>
        </is>
      </c>
      <c r="E450" s="141" t="inlineStr">
        <is>
          <t>Thay băng, cắt chỉ vết mổ [chiều dài ≤ 15cm]</t>
        </is>
      </c>
      <c r="F450" s="237" t="n">
        <v>1</v>
      </c>
      <c r="G450" s="237" t="n">
        <v>100000</v>
      </c>
      <c r="H450" s="95">
        <f>25%*75%</f>
        <v/>
      </c>
    </row>
    <row r="451" ht="15.75" customHeight="1">
      <c r="A451" s="94" t="n">
        <v>446</v>
      </c>
      <c r="B451" s="141" t="inlineStr">
        <is>
          <t>2026/08/08 09:00</t>
        </is>
      </c>
      <c r="C451" s="141" t="inlineStr">
        <is>
          <t>NGUYỄN VĂN HƯỞNG</t>
        </is>
      </c>
      <c r="D451" s="141" t="inlineStr">
        <is>
          <t>11/12/1992</t>
        </is>
      </c>
      <c r="E451" s="141" t="inlineStr">
        <is>
          <t>Thay băng, cắt chỉ vết mổ [chiều dài ≤ 15cm]</t>
        </is>
      </c>
      <c r="F451" s="237" t="n">
        <v>1</v>
      </c>
      <c r="G451" s="237" t="n">
        <v>100000</v>
      </c>
      <c r="H451" s="95">
        <f>25%*75%</f>
        <v/>
      </c>
    </row>
    <row r="452" ht="15.75" customHeight="1">
      <c r="A452" s="94" t="n">
        <v>447</v>
      </c>
      <c r="B452" s="141" t="inlineStr">
        <is>
          <t>2026/08/08 09:00</t>
        </is>
      </c>
      <c r="C452" s="141" t="inlineStr">
        <is>
          <t>PHAN HỮU HƯNG</t>
        </is>
      </c>
      <c r="D452" s="141" t="inlineStr">
        <is>
          <t>19/02/1983</t>
        </is>
      </c>
      <c r="E452" s="141" t="inlineStr">
        <is>
          <t>Thay băng điều trị vết bỏng từ 10% - 19% diện tích cơ thể ở người lớn</t>
        </is>
      </c>
      <c r="F452" s="237" t="n">
        <v>1</v>
      </c>
      <c r="G452" s="237" t="n">
        <v>458200</v>
      </c>
      <c r="H452" s="95">
        <f>25%*75%</f>
        <v/>
      </c>
    </row>
    <row r="453" ht="15.75" customHeight="1">
      <c r="A453" s="94" t="n">
        <v>448</v>
      </c>
      <c r="B453" s="141" t="inlineStr">
        <is>
          <t>2026/08/08 09:00</t>
        </is>
      </c>
      <c r="C453" s="141" t="inlineStr">
        <is>
          <t>TRẦN THỊ KÍNH</t>
        </is>
      </c>
      <c r="D453" s="141" t="inlineStr">
        <is>
          <t>01/01/1951</t>
        </is>
      </c>
      <c r="E453" s="141" t="inlineStr">
        <is>
          <t>Thay băng, cắt chỉ vết mổ [chiều dài ≤ 15cm]</t>
        </is>
      </c>
      <c r="F453" s="237" t="n">
        <v>1</v>
      </c>
      <c r="G453" s="237" t="n">
        <v>100000</v>
      </c>
      <c r="H453" s="95">
        <f>25%*75%</f>
        <v/>
      </c>
    </row>
    <row r="454" ht="15.75" customHeight="1">
      <c r="A454" s="94" t="n">
        <v>449</v>
      </c>
      <c r="B454" s="141" t="inlineStr">
        <is>
          <t>2026/08/08 09:00</t>
        </is>
      </c>
      <c r="C454" s="141" t="inlineStr">
        <is>
          <t>TĂNG THỊ MIỀN</t>
        </is>
      </c>
      <c r="D454" s="141" t="inlineStr">
        <is>
          <t>01/01/1951</t>
        </is>
      </c>
      <c r="E454" s="141" t="inlineStr">
        <is>
          <t>Thay băng, cắt chỉ vết mổ [chiều dài ≤ 15cm]</t>
        </is>
      </c>
      <c r="F454" s="237" t="n">
        <v>1</v>
      </c>
      <c r="G454" s="237" t="n">
        <v>100000</v>
      </c>
      <c r="H454" s="95">
        <f>25%*75%</f>
        <v/>
      </c>
    </row>
    <row r="455" ht="15.75" customHeight="1">
      <c r="A455" s="94" t="n">
        <v>450</v>
      </c>
      <c r="B455" s="141" t="inlineStr">
        <is>
          <t>2026/08/08 09:00</t>
        </is>
      </c>
      <c r="C455" s="141" t="inlineStr">
        <is>
          <t>ĐẶNG THANH PHONG</t>
        </is>
      </c>
      <c r="D455" s="141" t="inlineStr">
        <is>
          <t>01/01/1976</t>
        </is>
      </c>
      <c r="E455" s="141" t="inlineStr">
        <is>
          <t>Thay băng, cắt chỉ vết mổ [chiều dài ≤ 15cm]</t>
        </is>
      </c>
      <c r="F455" s="237" t="n">
        <v>1</v>
      </c>
      <c r="G455" s="237" t="n">
        <v>100000</v>
      </c>
      <c r="H455" s="95">
        <f>25%*75%</f>
        <v/>
      </c>
    </row>
    <row r="456" ht="15.75" customHeight="1">
      <c r="A456" s="94" t="n">
        <v>451</v>
      </c>
      <c r="B456" s="141" t="inlineStr">
        <is>
          <t>2026/08/09 05:00</t>
        </is>
      </c>
      <c r="C456" s="141" t="inlineStr">
        <is>
          <t>BÙI VĂN TRƯỜNG</t>
        </is>
      </c>
      <c r="D456" s="141" t="inlineStr">
        <is>
          <t>01/01/1972</t>
        </is>
      </c>
      <c r="E456" s="141" t="inlineStr">
        <is>
          <t>Thay băng, cắt chỉ vết mổ [chiều dài ≤ 15cm]</t>
        </is>
      </c>
      <c r="F456" s="237" t="n">
        <v>1</v>
      </c>
      <c r="G456" s="237" t="n">
        <v>100000</v>
      </c>
      <c r="H456" s="95">
        <f>25%*75%</f>
        <v/>
      </c>
    </row>
    <row r="457" ht="15.75" customHeight="1">
      <c r="A457" s="94" t="n">
        <v>452</v>
      </c>
      <c r="B457" s="141" t="inlineStr">
        <is>
          <t>2026/08/09 05:00</t>
        </is>
      </c>
      <c r="C457" s="141" t="inlineStr">
        <is>
          <t>LA BÍCH LỆ</t>
        </is>
      </c>
      <c r="D457" s="141" t="inlineStr">
        <is>
          <t>01/01/1949</t>
        </is>
      </c>
      <c r="E457" s="141" t="inlineStr">
        <is>
          <t>Thay băng, cắt chỉ vết mổ [chiều dài ≤ 15cm]</t>
        </is>
      </c>
      <c r="F457" s="237" t="n">
        <v>1</v>
      </c>
      <c r="G457" s="237" t="n">
        <v>100000</v>
      </c>
      <c r="H457" s="95">
        <f>25%*75%</f>
        <v/>
      </c>
    </row>
    <row r="458" ht="15.75" customHeight="1">
      <c r="A458" s="94" t="n">
        <v>453</v>
      </c>
      <c r="B458" s="141" t="inlineStr">
        <is>
          <t>2026/08/09 05:00</t>
        </is>
      </c>
      <c r="C458" s="141" t="inlineStr">
        <is>
          <t>LÂM THỊ THÚY</t>
        </is>
      </c>
      <c r="D458" s="141" t="inlineStr">
        <is>
          <t>01/01/1972</t>
        </is>
      </c>
      <c r="E458" s="141" t="inlineStr">
        <is>
          <t>Thay băng, cắt chỉ vết mổ [chiều dài ≤ 15cm]</t>
        </is>
      </c>
      <c r="F458" s="237" t="n">
        <v>1</v>
      </c>
      <c r="G458" s="237" t="n">
        <v>100000</v>
      </c>
      <c r="H458" s="95">
        <f>25%*75%</f>
        <v/>
      </c>
    </row>
    <row r="459" ht="15.75" customHeight="1">
      <c r="A459" s="94" t="n">
        <v>454</v>
      </c>
      <c r="B459" s="141" t="inlineStr">
        <is>
          <t>2026/08/09 05:00</t>
        </is>
      </c>
      <c r="C459" s="141" t="inlineStr">
        <is>
          <t>LÊ THỊ ỬNG</t>
        </is>
      </c>
      <c r="D459" s="141" t="inlineStr">
        <is>
          <t>02/09/1953</t>
        </is>
      </c>
      <c r="E459" s="141" t="inlineStr">
        <is>
          <t>Thay băng, cắt chỉ vết mổ [chiều dài ≤ 15cm]</t>
        </is>
      </c>
      <c r="F459" s="237" t="n">
        <v>1</v>
      </c>
      <c r="G459" s="237" t="n">
        <v>100000</v>
      </c>
      <c r="H459" s="95">
        <f>25%*75%</f>
        <v/>
      </c>
    </row>
    <row r="460" ht="15.75" customHeight="1">
      <c r="A460" s="94" t="n">
        <v>455</v>
      </c>
      <c r="B460" s="141" t="inlineStr">
        <is>
          <t>2026/08/09 05:00</t>
        </is>
      </c>
      <c r="C460" s="141" t="inlineStr">
        <is>
          <t>NGUYỄN HỮU HIỆP</t>
        </is>
      </c>
      <c r="D460" s="141" t="inlineStr">
        <is>
          <t>01/01/1973</t>
        </is>
      </c>
      <c r="E460" s="141" t="inlineStr">
        <is>
          <t>Thay băng, cắt chỉ vết mổ [chiều dài ≤ 15cm]</t>
        </is>
      </c>
      <c r="F460" s="237" t="n">
        <v>1</v>
      </c>
      <c r="G460" s="237" t="n">
        <v>100000</v>
      </c>
      <c r="H460" s="95">
        <f>25%*75%</f>
        <v/>
      </c>
    </row>
    <row r="461" ht="15.75" customHeight="1">
      <c r="A461" s="94" t="n">
        <v>456</v>
      </c>
      <c r="B461" s="141" t="inlineStr">
        <is>
          <t>2026/08/09 05:00</t>
        </is>
      </c>
      <c r="C461" s="141" t="inlineStr">
        <is>
          <t>NGUYỄN VĂN KHẢI</t>
        </is>
      </c>
      <c r="D461" s="141" t="inlineStr">
        <is>
          <t>04/11/1951</t>
        </is>
      </c>
      <c r="E461" s="141" t="inlineStr">
        <is>
          <t>Thay băng, cắt chỉ vết mổ [chiều dài ≤ 15cm]</t>
        </is>
      </c>
      <c r="F461" s="237" t="n">
        <v>1</v>
      </c>
      <c r="G461" s="237" t="n">
        <v>100000</v>
      </c>
      <c r="H461" s="95">
        <f>25%*75%</f>
        <v/>
      </c>
    </row>
    <row r="462" ht="15.75" customHeight="1">
      <c r="A462" s="94" t="n">
        <v>457</v>
      </c>
      <c r="B462" s="141" t="inlineStr">
        <is>
          <t>2026/08/09 05:00</t>
        </is>
      </c>
      <c r="C462" s="141" t="inlineStr">
        <is>
          <t>PHAN THƯỢNG HẢI</t>
        </is>
      </c>
      <c r="D462" s="141" t="inlineStr">
        <is>
          <t>15/07/1972</t>
        </is>
      </c>
      <c r="E462" s="141" t="inlineStr">
        <is>
          <t>Thay băng, cắt chỉ vết mổ [chiều dài ≤ 15cm]</t>
        </is>
      </c>
      <c r="F462" s="237" t="n">
        <v>1</v>
      </c>
      <c r="G462" s="237" t="n">
        <v>100000</v>
      </c>
      <c r="H462" s="95">
        <f>25%*75%</f>
        <v/>
      </c>
    </row>
    <row r="463" ht="15.75" customHeight="1">
      <c r="A463" s="94" t="n">
        <v>458</v>
      </c>
      <c r="B463" s="141" t="inlineStr">
        <is>
          <t>2026/08/09 05:00</t>
        </is>
      </c>
      <c r="C463" s="141" t="inlineStr">
        <is>
          <t>TRƯƠNG VĂN ÚT</t>
        </is>
      </c>
      <c r="D463" s="141" t="inlineStr">
        <is>
          <t>01/01/1948</t>
        </is>
      </c>
      <c r="E463" s="141" t="inlineStr">
        <is>
          <t>Thay băng, cắt chỉ vết mổ [chiều dài ≤ 15cm]</t>
        </is>
      </c>
      <c r="F463" s="237" t="n">
        <v>1</v>
      </c>
      <c r="G463" s="237" t="n">
        <v>100000</v>
      </c>
      <c r="H463" s="95">
        <f>25%*75%</f>
        <v/>
      </c>
    </row>
    <row r="464" ht="15.75" customHeight="1">
      <c r="A464" s="94" t="n">
        <v>459</v>
      </c>
      <c r="B464" s="141" t="inlineStr">
        <is>
          <t>2026/08/09 05:00</t>
        </is>
      </c>
      <c r="C464" s="141" t="inlineStr">
        <is>
          <t>TRẦN MINH TƯỞNG</t>
        </is>
      </c>
      <c r="D464" s="141" t="inlineStr">
        <is>
          <t>29/11/2002</t>
        </is>
      </c>
      <c r="E464" s="141" t="inlineStr">
        <is>
          <t>Thay băng, cắt chỉ vết mổ [chiều dài ≤ 15cm]</t>
        </is>
      </c>
      <c r="F464" s="237" t="n">
        <v>1</v>
      </c>
      <c r="G464" s="237" t="n">
        <v>100000</v>
      </c>
      <c r="H464" s="95">
        <f>25%*75%</f>
        <v/>
      </c>
    </row>
    <row r="465" ht="15.75" customHeight="1">
      <c r="A465" s="94" t="n">
        <v>460</v>
      </c>
      <c r="B465" s="141" t="inlineStr">
        <is>
          <t>2026/08/10 05:00</t>
        </is>
      </c>
      <c r="C465" s="141" t="inlineStr">
        <is>
          <t>BÙI VĂN TRƯỜNG</t>
        </is>
      </c>
      <c r="D465" s="141" t="inlineStr">
        <is>
          <t>01/01/1972</t>
        </is>
      </c>
      <c r="E465" s="141" t="inlineStr">
        <is>
          <t>Thay băng, cắt chỉ vết mổ [chiều dài ≤ 15cm]</t>
        </is>
      </c>
      <c r="F465" s="237" t="n">
        <v>1</v>
      </c>
      <c r="G465" s="237" t="n">
        <v>100000</v>
      </c>
      <c r="H465" s="95">
        <f>25%*75%</f>
        <v/>
      </c>
    </row>
    <row r="466" ht="15.75" customHeight="1">
      <c r="A466" s="94" t="n">
        <v>461</v>
      </c>
      <c r="B466" s="141" t="inlineStr">
        <is>
          <t>2026/08/10 05:00</t>
        </is>
      </c>
      <c r="C466" s="141" t="inlineStr">
        <is>
          <t>LA BÍCH LỆ</t>
        </is>
      </c>
      <c r="D466" s="141" t="inlineStr">
        <is>
          <t>01/01/1949</t>
        </is>
      </c>
      <c r="E466" s="141" t="inlineStr">
        <is>
          <t>Thay băng, cắt chỉ vết mổ [chiều dài ≤ 15cm]</t>
        </is>
      </c>
      <c r="F466" s="237" t="n">
        <v>1</v>
      </c>
      <c r="G466" s="237" t="n">
        <v>100000</v>
      </c>
      <c r="H466" s="95">
        <f>25%*75%</f>
        <v/>
      </c>
    </row>
    <row r="467" ht="15.75" customHeight="1">
      <c r="A467" s="94" t="n">
        <v>462</v>
      </c>
      <c r="B467" s="141" t="inlineStr">
        <is>
          <t>2026/08/10 05:00</t>
        </is>
      </c>
      <c r="C467" s="141" t="inlineStr">
        <is>
          <t>NGUYỄN THỊ HƯƠNG</t>
        </is>
      </c>
      <c r="D467" s="141" t="inlineStr">
        <is>
          <t>02/07/1965</t>
        </is>
      </c>
      <c r="E467" s="141" t="inlineStr">
        <is>
          <t>Thay băng, cắt chỉ vết mổ [chiều dài ≤ 15cm]</t>
        </is>
      </c>
      <c r="F467" s="237" t="n">
        <v>1</v>
      </c>
      <c r="G467" s="237" t="n">
        <v>100000</v>
      </c>
      <c r="H467" s="95">
        <f>25%*75%</f>
        <v/>
      </c>
    </row>
    <row r="468" ht="15.75" customHeight="1">
      <c r="A468" s="94" t="n">
        <v>463</v>
      </c>
      <c r="B468" s="141" t="inlineStr">
        <is>
          <t>2026/08/10 05:00</t>
        </is>
      </c>
      <c r="C468" s="141" t="inlineStr">
        <is>
          <t>PHAN THƯỢNG HẢI</t>
        </is>
      </c>
      <c r="D468" s="141" t="inlineStr">
        <is>
          <t>15/07/1972</t>
        </is>
      </c>
      <c r="E468" s="141" t="inlineStr">
        <is>
          <t>Thay băng, cắt chỉ vết mổ [chiều dài ≤ 15cm]</t>
        </is>
      </c>
      <c r="F468" s="237" t="n">
        <v>1</v>
      </c>
      <c r="G468" s="237" t="n">
        <v>100000</v>
      </c>
      <c r="H468" s="95">
        <f>25%*75%</f>
        <v/>
      </c>
    </row>
    <row r="469" ht="15.75" customHeight="1">
      <c r="A469" s="94" t="n">
        <v>464</v>
      </c>
      <c r="B469" s="141" t="inlineStr">
        <is>
          <t>2026/08/10 05:00</t>
        </is>
      </c>
      <c r="C469" s="141" t="inlineStr">
        <is>
          <t>PHẠM THỊ BẨN</t>
        </is>
      </c>
      <c r="D469" s="141" t="inlineStr">
        <is>
          <t>17/12/1965</t>
        </is>
      </c>
      <c r="E469" s="141" t="inlineStr">
        <is>
          <t>Thay băng, cắt chỉ vết mổ [chiều dài ≤ 15cm]</t>
        </is>
      </c>
      <c r="F469" s="237" t="n">
        <v>1</v>
      </c>
      <c r="G469" s="237" t="n">
        <v>100000</v>
      </c>
      <c r="H469" s="95">
        <f>25%*75%</f>
        <v/>
      </c>
    </row>
    <row r="470" ht="15.75" customHeight="1">
      <c r="A470" s="94" t="n">
        <v>465</v>
      </c>
      <c r="B470" s="141" t="inlineStr">
        <is>
          <t>2026/08/10 05:00</t>
        </is>
      </c>
      <c r="C470" s="141" t="inlineStr">
        <is>
          <t>TRẦN MINH TƯỞNG</t>
        </is>
      </c>
      <c r="D470" s="141" t="inlineStr">
        <is>
          <t>29/11/2002</t>
        </is>
      </c>
      <c r="E470" s="141" t="inlineStr">
        <is>
          <t>Thay băng, cắt chỉ vết mổ [chiều dài ≤ 15cm]</t>
        </is>
      </c>
      <c r="F470" s="237" t="n">
        <v>1</v>
      </c>
      <c r="G470" s="237" t="n">
        <v>100000</v>
      </c>
      <c r="H470" s="95">
        <f>25%*75%</f>
        <v/>
      </c>
    </row>
    <row r="471" ht="15.75" customHeight="1">
      <c r="A471" s="94" t="n">
        <v>466</v>
      </c>
      <c r="B471" s="141" t="inlineStr">
        <is>
          <t>2026/08/10 07:00</t>
        </is>
      </c>
      <c r="C471" s="141" t="inlineStr">
        <is>
          <t>NGUYỄN VĂN HƯỞNG</t>
        </is>
      </c>
      <c r="D471" s="141" t="inlineStr">
        <is>
          <t>11/12/1992</t>
        </is>
      </c>
      <c r="E471" s="141" t="inlineStr">
        <is>
          <t>Thay băng, cắt chỉ vết mổ [chiều dài ≤ 15cm]</t>
        </is>
      </c>
      <c r="F471" s="237" t="n">
        <v>1</v>
      </c>
      <c r="G471" s="237" t="n">
        <v>100000</v>
      </c>
      <c r="H471" s="95">
        <f>25%*75%</f>
        <v/>
      </c>
    </row>
    <row r="472" ht="15.75" customHeight="1">
      <c r="A472" s="94" t="n">
        <v>467</v>
      </c>
      <c r="B472" s="141" t="inlineStr">
        <is>
          <t>2026/08/10 07:00</t>
        </is>
      </c>
      <c r="C472" s="141" t="inlineStr">
        <is>
          <t>NGUYỄN VĂN KHẢI</t>
        </is>
      </c>
      <c r="D472" s="141" t="inlineStr">
        <is>
          <t>04/11/1951</t>
        </is>
      </c>
      <c r="E472" s="141" t="inlineStr">
        <is>
          <t>Thay băng, cắt chỉ vết mổ [chiều dài ≤ 15cm]</t>
        </is>
      </c>
      <c r="F472" s="237" t="n">
        <v>1</v>
      </c>
      <c r="G472" s="237" t="n">
        <v>100000</v>
      </c>
      <c r="H472" s="95">
        <f>25%*75%</f>
        <v/>
      </c>
    </row>
    <row r="473" ht="15.75" customHeight="1">
      <c r="A473" s="94" t="n">
        <v>468</v>
      </c>
      <c r="B473" s="141" t="inlineStr">
        <is>
          <t>2026/08/10 07:00</t>
        </is>
      </c>
      <c r="C473" s="141" t="inlineStr">
        <is>
          <t>TRƯƠNG CẨM TÚ</t>
        </is>
      </c>
      <c r="D473" s="141" t="inlineStr">
        <is>
          <t>09/02/1994</t>
        </is>
      </c>
      <c r="E473" s="141" t="inlineStr">
        <is>
          <t>Thay băng, cắt chỉ vết mổ [chiều dài ≤ 15cm]</t>
        </is>
      </c>
      <c r="F473" s="237" t="n">
        <v>1</v>
      </c>
      <c r="G473" s="237" t="n">
        <v>100000</v>
      </c>
      <c r="H473" s="95">
        <f>25%*75%</f>
        <v/>
      </c>
    </row>
    <row r="474" ht="15.75" customHeight="1">
      <c r="A474" s="94" t="n">
        <v>469</v>
      </c>
      <c r="B474" s="141" t="inlineStr">
        <is>
          <t>2026/08/10 07:00</t>
        </is>
      </c>
      <c r="C474" s="141" t="inlineStr">
        <is>
          <t>TRẦN THỊ KÍNH</t>
        </is>
      </c>
      <c r="D474" s="141" t="inlineStr">
        <is>
          <t>01/01/1951</t>
        </is>
      </c>
      <c r="E474" s="141" t="inlineStr">
        <is>
          <t>Thay băng, cắt chỉ vết mổ [chiều dài ≤ 15cm]</t>
        </is>
      </c>
      <c r="F474" s="237" t="n">
        <v>1</v>
      </c>
      <c r="G474" s="237" t="n">
        <v>100000</v>
      </c>
      <c r="H474" s="95">
        <f>25%*75%</f>
        <v/>
      </c>
    </row>
    <row r="475" ht="15.75" customHeight="1">
      <c r="A475" s="94" t="n">
        <v>470</v>
      </c>
      <c r="B475" s="141" t="inlineStr">
        <is>
          <t>2026/08/10 07:00</t>
        </is>
      </c>
      <c r="C475" s="141" t="inlineStr">
        <is>
          <t>TĂNG THỊ MIỀN</t>
        </is>
      </c>
      <c r="D475" s="141" t="inlineStr">
        <is>
          <t>01/01/1951</t>
        </is>
      </c>
      <c r="E475" s="141" t="inlineStr">
        <is>
          <t>Thay băng, cắt chỉ vết mổ [chiều dài ≤ 15cm]</t>
        </is>
      </c>
      <c r="F475" s="237" t="n">
        <v>1</v>
      </c>
      <c r="G475" s="237" t="n">
        <v>100000</v>
      </c>
      <c r="H475" s="95">
        <f>25%*75%</f>
        <v/>
      </c>
    </row>
    <row r="476" ht="15.75" customHeight="1">
      <c r="A476" s="94" t="n">
        <v>471</v>
      </c>
      <c r="B476" s="141" t="inlineStr">
        <is>
          <t>2026/08/10 07:00</t>
        </is>
      </c>
      <c r="C476" s="141" t="inlineStr">
        <is>
          <t>VÕ THÀNH DƯƠNG</t>
        </is>
      </c>
      <c r="D476" s="141" t="inlineStr">
        <is>
          <t>27/01/1999</t>
        </is>
      </c>
      <c r="E476" s="141" t="inlineStr">
        <is>
          <t>Thay băng, cắt chỉ vết mổ [chiều dài ≤ 15cm]</t>
        </is>
      </c>
      <c r="F476" s="237" t="n">
        <v>1</v>
      </c>
      <c r="G476" s="237" t="n">
        <v>100000</v>
      </c>
      <c r="H476" s="95">
        <f>25%*75%</f>
        <v/>
      </c>
    </row>
    <row r="477" ht="15.75" customHeight="1">
      <c r="A477" s="94" t="n">
        <v>472</v>
      </c>
      <c r="B477" s="141" t="inlineStr">
        <is>
          <t>2026/08/10 07:00</t>
        </is>
      </c>
      <c r="C477" s="141" t="inlineStr">
        <is>
          <t>ĐẶNG THANH PHONG</t>
        </is>
      </c>
      <c r="D477" s="141" t="inlineStr">
        <is>
          <t>01/01/1976</t>
        </is>
      </c>
      <c r="E477" s="141" t="inlineStr">
        <is>
          <t>Thay băng, cắt chỉ vết mổ [chiều dài ≤ 15cm]</t>
        </is>
      </c>
      <c r="F477" s="237" t="n">
        <v>1</v>
      </c>
      <c r="G477" s="237" t="n">
        <v>100000</v>
      </c>
      <c r="H477" s="95">
        <f>25%*75%</f>
        <v/>
      </c>
    </row>
    <row r="478" ht="15.75" customHeight="1">
      <c r="A478" s="94" t="n">
        <v>473</v>
      </c>
      <c r="B478" s="141" t="inlineStr">
        <is>
          <t>2026/08/10 07:15</t>
        </is>
      </c>
      <c r="C478" s="141" t="inlineStr">
        <is>
          <t>LÂM THỊ THÚY</t>
        </is>
      </c>
      <c r="D478" s="141" t="inlineStr">
        <is>
          <t>01/01/1972</t>
        </is>
      </c>
      <c r="E478" s="141" t="inlineStr">
        <is>
          <t>Thay băng, cắt chỉ vết mổ [chiều dài ≤ 15cm]</t>
        </is>
      </c>
      <c r="F478" s="237" t="n">
        <v>1</v>
      </c>
      <c r="G478" s="237" t="n">
        <v>100000</v>
      </c>
      <c r="H478" s="95">
        <f>25%*75%</f>
        <v/>
      </c>
    </row>
    <row r="479" ht="15.75" customHeight="1">
      <c r="A479" s="94" t="n">
        <v>474</v>
      </c>
      <c r="B479" s="141" t="inlineStr">
        <is>
          <t>2026/08/10 07:15</t>
        </is>
      </c>
      <c r="C479" s="141" t="inlineStr">
        <is>
          <t>PHAN HỮU HƯNG</t>
        </is>
      </c>
      <c r="D479" s="141" t="inlineStr">
        <is>
          <t>19/02/1983</t>
        </is>
      </c>
      <c r="E479" s="141" t="inlineStr">
        <is>
          <t>Thay băng điều trị vết bỏng từ 10% - 19% diện tích cơ thể ở người lớn</t>
        </is>
      </c>
      <c r="F479" s="237" t="n">
        <v>1</v>
      </c>
      <c r="G479" s="237" t="n">
        <v>458200</v>
      </c>
      <c r="H479" s="95">
        <f>25%*75%</f>
        <v/>
      </c>
    </row>
    <row r="480" ht="15.75" customHeight="1">
      <c r="A480" s="94" t="n">
        <v>475</v>
      </c>
      <c r="B480" s="141" t="inlineStr">
        <is>
          <t>2026/08/10 07:18</t>
        </is>
      </c>
      <c r="C480" s="141" t="inlineStr">
        <is>
          <t>NGUYỄN HỮU HIỆP</t>
        </is>
      </c>
      <c r="D480" s="141" t="inlineStr">
        <is>
          <t>01/01/1973</t>
        </is>
      </c>
      <c r="E480" s="141" t="inlineStr">
        <is>
          <t>Thay băng, cắt chỉ vết mổ [chiều dài ≤ 15cm]</t>
        </is>
      </c>
      <c r="F480" s="237" t="n">
        <v>1</v>
      </c>
      <c r="G480" s="237" t="n">
        <v>100000</v>
      </c>
      <c r="H480" s="95">
        <f>25%*75%</f>
        <v/>
      </c>
    </row>
    <row r="481" ht="15.75" customHeight="1">
      <c r="A481" s="94" t="n">
        <v>476</v>
      </c>
      <c r="B481" s="141" t="inlineStr">
        <is>
          <t>2026/08/11 05:00</t>
        </is>
      </c>
      <c r="C481" s="141" t="inlineStr">
        <is>
          <t>LA BÍCH LỆ</t>
        </is>
      </c>
      <c r="D481" s="141" t="inlineStr">
        <is>
          <t>01/01/1949</t>
        </is>
      </c>
      <c r="E481" s="141" t="inlineStr">
        <is>
          <t>Thay băng, cắt chỉ vết mổ [chiều dài ≤ 15cm]</t>
        </is>
      </c>
      <c r="F481" s="237" t="n">
        <v>1</v>
      </c>
      <c r="G481" s="237" t="n">
        <v>100000</v>
      </c>
      <c r="H481" s="95">
        <f>25%*75%</f>
        <v/>
      </c>
    </row>
    <row r="482" ht="15.75" customHeight="1">
      <c r="A482" s="94" t="n">
        <v>477</v>
      </c>
      <c r="B482" s="141" t="inlineStr">
        <is>
          <t>2026/08/11 05:00</t>
        </is>
      </c>
      <c r="C482" s="141" t="inlineStr">
        <is>
          <t>NGUYỄN THỊ HƯƠNG</t>
        </is>
      </c>
      <c r="D482" s="141" t="inlineStr">
        <is>
          <t>02/07/1965</t>
        </is>
      </c>
      <c r="E482" s="141" t="inlineStr">
        <is>
          <t>Thay băng, cắt chỉ vết mổ [chiều dài ≤ 15cm]</t>
        </is>
      </c>
      <c r="F482" s="237" t="n">
        <v>1</v>
      </c>
      <c r="G482" s="237" t="n">
        <v>100000</v>
      </c>
      <c r="H482" s="95">
        <f>25%*75%</f>
        <v/>
      </c>
    </row>
    <row r="483" ht="15.75" customHeight="1">
      <c r="A483" s="94" t="n">
        <v>478</v>
      </c>
      <c r="B483" s="141" t="inlineStr">
        <is>
          <t>2026/08/11 05:00</t>
        </is>
      </c>
      <c r="C483" s="141" t="inlineStr">
        <is>
          <t>NGUYỄN VĂN KHẢI</t>
        </is>
      </c>
      <c r="D483" s="141" t="inlineStr">
        <is>
          <t>04/11/1951</t>
        </is>
      </c>
      <c r="E483" s="141" t="inlineStr">
        <is>
          <t>Thay băng, cắt chỉ vết mổ [chiều dài ≤ 15cm]</t>
        </is>
      </c>
      <c r="F483" s="237" t="n">
        <v>1</v>
      </c>
      <c r="G483" s="237" t="n">
        <v>100000</v>
      </c>
      <c r="H483" s="95">
        <f>25%*75%</f>
        <v/>
      </c>
    </row>
    <row r="484" ht="15.75" customHeight="1">
      <c r="A484" s="94" t="n">
        <v>479</v>
      </c>
      <c r="B484" s="141" t="inlineStr">
        <is>
          <t>2026/08/11 05:00</t>
        </is>
      </c>
      <c r="C484" s="141" t="inlineStr">
        <is>
          <t>TRẦN THỊ KÍNH</t>
        </is>
      </c>
      <c r="D484" s="141" t="inlineStr">
        <is>
          <t>01/01/1951</t>
        </is>
      </c>
      <c r="E484" s="141" t="inlineStr">
        <is>
          <t>Thay băng, cắt chỉ vết mổ [chiều dài ≤ 15cm]</t>
        </is>
      </c>
      <c r="F484" s="237" t="n">
        <v>1</v>
      </c>
      <c r="G484" s="237" t="n">
        <v>100000</v>
      </c>
      <c r="H484" s="95">
        <f>25%*75%</f>
        <v/>
      </c>
    </row>
    <row r="485" ht="15.75" customHeight="1">
      <c r="A485" s="94" t="n">
        <v>480</v>
      </c>
      <c r="B485" s="141" t="inlineStr">
        <is>
          <t>2026/08/11 05:00</t>
        </is>
      </c>
      <c r="C485" s="141" t="inlineStr">
        <is>
          <t>TĂNG THỊ MIỀN</t>
        </is>
      </c>
      <c r="D485" s="141" t="inlineStr">
        <is>
          <t>01/01/1951</t>
        </is>
      </c>
      <c r="E485" s="141" t="inlineStr">
        <is>
          <t>Thay băng, cắt chỉ vết mổ [chiều dài ≤ 15cm]</t>
        </is>
      </c>
      <c r="F485" s="237" t="n">
        <v>1</v>
      </c>
      <c r="G485" s="237" t="n">
        <v>100000</v>
      </c>
      <c r="H485" s="95">
        <f>25%*75%</f>
        <v/>
      </c>
    </row>
    <row r="486" ht="15.75" customHeight="1">
      <c r="A486" s="94" t="n">
        <v>481</v>
      </c>
      <c r="B486" s="141" t="inlineStr">
        <is>
          <t>2026/08/11 06:45</t>
        </is>
      </c>
      <c r="C486" s="141" t="inlineStr">
        <is>
          <t>HUỲNH THU HỒNG</t>
        </is>
      </c>
      <c r="D486" s="141" t="inlineStr">
        <is>
          <t>10/12/1957</t>
        </is>
      </c>
      <c r="E486" s="141" t="inlineStr">
        <is>
          <t>Thay băng, cắt chỉ vết mổ [chiều dài ≤ 15cm]</t>
        </is>
      </c>
      <c r="F486" s="237" t="n">
        <v>1</v>
      </c>
      <c r="G486" s="237" t="n">
        <v>100000</v>
      </c>
      <c r="H486" s="95">
        <f>25%*75%</f>
        <v/>
      </c>
    </row>
    <row r="487" ht="15.75" customHeight="1">
      <c r="A487" s="94" t="n">
        <v>482</v>
      </c>
      <c r="B487" s="141" t="inlineStr">
        <is>
          <t>2026/08/11 07:00</t>
        </is>
      </c>
      <c r="C487" s="141" t="inlineStr">
        <is>
          <t>LÊ THỊ ỬNG</t>
        </is>
      </c>
      <c r="D487" s="141" t="inlineStr">
        <is>
          <t>02/09/1953</t>
        </is>
      </c>
      <c r="E487" s="141" t="inlineStr">
        <is>
          <t>Thay băng, cắt chỉ vết mổ [chiều dài ≤ 15cm]</t>
        </is>
      </c>
      <c r="F487" s="237" t="n">
        <v>1</v>
      </c>
      <c r="G487" s="237" t="n">
        <v>100000</v>
      </c>
      <c r="H487" s="95">
        <f>25%*75%</f>
        <v/>
      </c>
    </row>
    <row r="488" ht="15.75" customHeight="1">
      <c r="A488" s="94" t="n">
        <v>483</v>
      </c>
      <c r="B488" s="141" t="inlineStr">
        <is>
          <t>2026/08/11 07:00</t>
        </is>
      </c>
      <c r="C488" s="141" t="inlineStr">
        <is>
          <t>NGUYỄN THANH BÌNH</t>
        </is>
      </c>
      <c r="D488" s="141" t="inlineStr">
        <is>
          <t>20/09/1983</t>
        </is>
      </c>
      <c r="E488" s="141" t="inlineStr">
        <is>
          <t>Thay băng, cắt chỉ vết mổ [chiều dài ≤ 15cm]</t>
        </is>
      </c>
      <c r="F488" s="237" t="n">
        <v>1</v>
      </c>
      <c r="G488" s="237" t="n">
        <v>100000</v>
      </c>
      <c r="H488" s="95">
        <f>25%*75%</f>
        <v/>
      </c>
    </row>
    <row r="489" ht="15.75" customHeight="1">
      <c r="A489" s="94" t="n">
        <v>484</v>
      </c>
      <c r="B489" s="141" t="inlineStr">
        <is>
          <t>2026/08/11 07:00</t>
        </is>
      </c>
      <c r="C489" s="141" t="inlineStr">
        <is>
          <t>NGUYỄN THỊ ÁNH</t>
        </is>
      </c>
      <c r="D489" s="141" t="inlineStr">
        <is>
          <t>01/01/1958</t>
        </is>
      </c>
      <c r="E489" s="141" t="inlineStr">
        <is>
          <t>Truyền hóa chất tĩnh mạch [nội trú]</t>
        </is>
      </c>
      <c r="F489" s="237" t="n">
        <v>1</v>
      </c>
      <c r="G489" s="237" t="n">
        <v>400000</v>
      </c>
      <c r="H489" s="95">
        <f>25%*75%</f>
        <v/>
      </c>
    </row>
    <row r="490" ht="15.75" customHeight="1">
      <c r="A490" s="94" t="n">
        <v>485</v>
      </c>
      <c r="B490" s="141" t="inlineStr">
        <is>
          <t>2026/08/11 07:00</t>
        </is>
      </c>
      <c r="C490" s="141" t="inlineStr">
        <is>
          <t>PHAN THƯỢNG HẢI</t>
        </is>
      </c>
      <c r="D490" s="141" t="inlineStr">
        <is>
          <t>15/07/1972</t>
        </is>
      </c>
      <c r="E490" s="141" t="inlineStr">
        <is>
          <t>Thay băng, cắt chỉ vết mổ [chiều dài ≤ 15cm]</t>
        </is>
      </c>
      <c r="F490" s="237" t="n">
        <v>1</v>
      </c>
      <c r="G490" s="237" t="n">
        <v>100000</v>
      </c>
      <c r="H490" s="95">
        <f>25%*75%</f>
        <v/>
      </c>
    </row>
    <row r="491" ht="15.75" customHeight="1">
      <c r="A491" s="94" t="n">
        <v>486</v>
      </c>
      <c r="B491" s="141" t="inlineStr">
        <is>
          <t>2026/08/11 07:00</t>
        </is>
      </c>
      <c r="C491" s="141" t="inlineStr">
        <is>
          <t>TRƯƠNG VĂN ÚT</t>
        </is>
      </c>
      <c r="D491" s="141" t="inlineStr">
        <is>
          <t>01/01/1948</t>
        </is>
      </c>
      <c r="E491" s="141" t="inlineStr">
        <is>
          <t>Thay băng, cắt chỉ vết mổ [chiều dài ≤ 15cm]</t>
        </is>
      </c>
      <c r="F491" s="237" t="n">
        <v>1</v>
      </c>
      <c r="G491" s="237" t="n">
        <v>100000</v>
      </c>
      <c r="H491" s="95">
        <f>25%*75%</f>
        <v/>
      </c>
    </row>
    <row r="492" ht="15.75" customHeight="1">
      <c r="A492" s="94" t="n">
        <v>487</v>
      </c>
      <c r="B492" s="141" t="inlineStr">
        <is>
          <t>2026/08/11 07:00</t>
        </is>
      </c>
      <c r="C492" s="141" t="inlineStr">
        <is>
          <t>TRẦN THỊ MỸ TRỌNG</t>
        </is>
      </c>
      <c r="D492" s="141" t="inlineStr">
        <is>
          <t>26/04/1992</t>
        </is>
      </c>
      <c r="E492" s="141" t="inlineStr">
        <is>
          <t>Thay băng, cắt chỉ vết mổ [chiều dài ≤ 15cm]</t>
        </is>
      </c>
      <c r="F492" s="237" t="n">
        <v>1</v>
      </c>
      <c r="G492" s="237" t="n">
        <v>100000</v>
      </c>
      <c r="H492" s="95">
        <f>25%*75%</f>
        <v/>
      </c>
    </row>
    <row r="493" ht="15.75" customHeight="1">
      <c r="A493" s="94" t="n">
        <v>488</v>
      </c>
      <c r="B493" s="141" t="inlineStr">
        <is>
          <t>2026/08/11 07:00</t>
        </is>
      </c>
      <c r="C493" s="141" t="inlineStr">
        <is>
          <t>ĐẶNG THANH PHONG</t>
        </is>
      </c>
      <c r="D493" s="141" t="inlineStr">
        <is>
          <t>01/01/1976</t>
        </is>
      </c>
      <c r="E493" s="141" t="inlineStr">
        <is>
          <t>Thay băng, cắt chỉ vết mổ [chiều dài ≤ 15cm]</t>
        </is>
      </c>
      <c r="F493" s="237" t="n">
        <v>1</v>
      </c>
      <c r="G493" s="237" t="n">
        <v>100000</v>
      </c>
      <c r="H493" s="95">
        <f>25%*75%</f>
        <v/>
      </c>
    </row>
    <row r="494" ht="15.75" customHeight="1">
      <c r="A494" s="94" t="n">
        <v>489</v>
      </c>
      <c r="B494" s="141" t="inlineStr">
        <is>
          <t>2026/08/11 07:15</t>
        </is>
      </c>
      <c r="C494" s="141" t="inlineStr">
        <is>
          <t>PHAN HỮU HƯNG</t>
        </is>
      </c>
      <c r="D494" s="141" t="inlineStr">
        <is>
          <t>19/02/1983</t>
        </is>
      </c>
      <c r="E494" s="141" t="inlineStr">
        <is>
          <t>Thay băng điều trị vết bỏng từ 10% - 19% diện tích cơ thể ở người lớn</t>
        </is>
      </c>
      <c r="F494" s="237" t="n">
        <v>1</v>
      </c>
      <c r="G494" s="237" t="n">
        <v>458200</v>
      </c>
      <c r="H494" s="95">
        <f>25%*75%</f>
        <v/>
      </c>
    </row>
    <row r="495" ht="15.75" customHeight="1">
      <c r="A495" s="94" t="n">
        <v>490</v>
      </c>
      <c r="B495" s="141" t="inlineStr">
        <is>
          <t>2026/08/11 07:39</t>
        </is>
      </c>
      <c r="C495" s="141" t="inlineStr">
        <is>
          <t>HUỲNH GIA TIẾN</t>
        </is>
      </c>
      <c r="D495" s="141" t="inlineStr">
        <is>
          <t>09/07/1988</t>
        </is>
      </c>
      <c r="E495" s="141" t="inlineStr">
        <is>
          <t>Thay băng, cắt chỉ vết mổ [chiều dài ≤ 15cm]</t>
        </is>
      </c>
      <c r="F495" s="237" t="n">
        <v>1</v>
      </c>
      <c r="G495" s="237" t="n">
        <v>100000</v>
      </c>
      <c r="H495" s="95">
        <f>25%*75%</f>
        <v/>
      </c>
    </row>
    <row r="496" ht="15.75" customHeight="1">
      <c r="A496" s="94" t="n">
        <v>491</v>
      </c>
      <c r="B496" s="141" t="inlineStr">
        <is>
          <t>2026/08/12 05:00</t>
        </is>
      </c>
      <c r="C496" s="141" t="inlineStr">
        <is>
          <t>HUỲNH GIA TIẾN</t>
        </is>
      </c>
      <c r="D496" s="141" t="inlineStr">
        <is>
          <t>09/07/1988</t>
        </is>
      </c>
      <c r="E496" s="141" t="inlineStr">
        <is>
          <t>Thay băng, cắt chỉ vết mổ [chiều dài ≤ 15cm]</t>
        </is>
      </c>
      <c r="F496" s="237" t="n">
        <v>1</v>
      </c>
      <c r="G496" s="237" t="n">
        <v>100000</v>
      </c>
      <c r="H496" s="95">
        <f>25%*75%</f>
        <v/>
      </c>
    </row>
    <row r="497" ht="15.75" customHeight="1">
      <c r="A497" s="94" t="n">
        <v>492</v>
      </c>
      <c r="B497" s="141" t="inlineStr">
        <is>
          <t>2026/08/12 05:00</t>
        </is>
      </c>
      <c r="C497" s="141" t="inlineStr">
        <is>
          <t>NGUYỄN THỊ HƯƠNG</t>
        </is>
      </c>
      <c r="D497" s="141" t="inlineStr">
        <is>
          <t>02/07/1965</t>
        </is>
      </c>
      <c r="E497" s="141" t="inlineStr">
        <is>
          <t>Thay băng, cắt chỉ vết mổ [chiều dài ≤ 15cm]</t>
        </is>
      </c>
      <c r="F497" s="237" t="n">
        <v>1</v>
      </c>
      <c r="G497" s="237" t="n">
        <v>100000</v>
      </c>
      <c r="H497" s="95">
        <f>25%*75%</f>
        <v/>
      </c>
    </row>
    <row r="498" ht="15.75" customHeight="1">
      <c r="A498" s="94" t="n">
        <v>493</v>
      </c>
      <c r="B498" s="141" t="inlineStr">
        <is>
          <t>2026/08/12 05:00</t>
        </is>
      </c>
      <c r="C498" s="141" t="inlineStr">
        <is>
          <t>TRẦN THỊ KÍNH</t>
        </is>
      </c>
      <c r="D498" s="141" t="inlineStr">
        <is>
          <t>01/01/1951</t>
        </is>
      </c>
      <c r="E498" s="141" t="inlineStr">
        <is>
          <t>Thay băng, cắt chỉ vết mổ [chiều dài ≤ 15cm]</t>
        </is>
      </c>
      <c r="F498" s="237" t="n">
        <v>1</v>
      </c>
      <c r="G498" s="237" t="n">
        <v>100000</v>
      </c>
      <c r="H498" s="95">
        <f>25%*75%</f>
        <v/>
      </c>
    </row>
    <row r="499" ht="15.75" customHeight="1">
      <c r="A499" s="94" t="n">
        <v>494</v>
      </c>
      <c r="B499" s="141" t="inlineStr">
        <is>
          <t>2026/08/12 05:00</t>
        </is>
      </c>
      <c r="C499" s="141" t="inlineStr">
        <is>
          <t>TĂNG THỊ MIỀN</t>
        </is>
      </c>
      <c r="D499" s="141" t="inlineStr">
        <is>
          <t>01/01/1951</t>
        </is>
      </c>
      <c r="E499" s="141" t="inlineStr">
        <is>
          <t>Thay băng, cắt chỉ vết mổ [chiều dài ≤ 15cm]</t>
        </is>
      </c>
      <c r="F499" s="237" t="n">
        <v>1</v>
      </c>
      <c r="G499" s="237" t="n">
        <v>100000</v>
      </c>
      <c r="H499" s="95">
        <f>25%*75%</f>
        <v/>
      </c>
    </row>
    <row r="500" ht="15.75" customHeight="1">
      <c r="A500" s="94" t="n">
        <v>495</v>
      </c>
      <c r="B500" s="141" t="inlineStr">
        <is>
          <t>2026/08/12 06:24</t>
        </is>
      </c>
      <c r="C500" s="141" t="inlineStr">
        <is>
          <t>NGUYỄN ĐỨC TÍN</t>
        </is>
      </c>
      <c r="D500" s="141" t="inlineStr">
        <is>
          <t>04/01/1986</t>
        </is>
      </c>
      <c r="E500" s="141" t="inlineStr">
        <is>
          <t>Thay băng, cắt chỉ vết mổ [chiều dài ≤ 15cm]</t>
        </is>
      </c>
      <c r="F500" s="237" t="n">
        <v>1</v>
      </c>
      <c r="G500" s="237" t="n">
        <v>100000</v>
      </c>
      <c r="H500" s="95">
        <f>25%*75%</f>
        <v/>
      </c>
    </row>
    <row r="501" ht="15.75" customHeight="1">
      <c r="A501" s="94" t="n">
        <v>496</v>
      </c>
      <c r="B501" s="141" t="inlineStr">
        <is>
          <t>2026/08/12 06:26</t>
        </is>
      </c>
      <c r="C501" s="141" t="inlineStr">
        <is>
          <t>NGUYỄN THỊ PHƯỢNG</t>
        </is>
      </c>
      <c r="D501" s="141" t="inlineStr">
        <is>
          <t>01/01/1977</t>
        </is>
      </c>
      <c r="E501" s="141" t="inlineStr">
        <is>
          <t>Thay băng, cắt chỉ vết mổ [chiều dài ≤ 15cm]</t>
        </is>
      </c>
      <c r="F501" s="237" t="n">
        <v>1</v>
      </c>
      <c r="G501" s="237" t="n">
        <v>100000</v>
      </c>
      <c r="H501" s="95">
        <f>25%*75%</f>
        <v/>
      </c>
    </row>
    <row r="502" ht="15.75" customHeight="1">
      <c r="A502" s="94" t="n">
        <v>497</v>
      </c>
      <c r="B502" s="141" t="inlineStr">
        <is>
          <t>2026/08/12 06:48</t>
        </is>
      </c>
      <c r="C502" s="141" t="inlineStr">
        <is>
          <t>HUỲNH THU HỒNG</t>
        </is>
      </c>
      <c r="D502" s="141" t="inlineStr">
        <is>
          <t>10/12/1957</t>
        </is>
      </c>
      <c r="E502" s="141" t="inlineStr">
        <is>
          <t>Thay băng, cắt chỉ vết mổ [chiều dài ≤ 15cm]</t>
        </is>
      </c>
      <c r="F502" s="237" t="n">
        <v>1</v>
      </c>
      <c r="G502" s="237" t="n">
        <v>100000</v>
      </c>
      <c r="H502" s="95">
        <f>25%*75%</f>
        <v/>
      </c>
    </row>
    <row r="503" ht="15.75" customHeight="1">
      <c r="A503" s="94" t="n">
        <v>498</v>
      </c>
      <c r="B503" s="141" t="inlineStr">
        <is>
          <t>2026/08/12 07:00</t>
        </is>
      </c>
      <c r="C503" s="141" t="inlineStr">
        <is>
          <t>HỒ THỊ NGỰ</t>
        </is>
      </c>
      <c r="D503" s="141" t="inlineStr">
        <is>
          <t>01/01/1969</t>
        </is>
      </c>
      <c r="E503" s="141" t="inlineStr">
        <is>
          <t>Thay băng, cắt chỉ vết mổ [chiều dài ≤ 15cm]</t>
        </is>
      </c>
      <c r="F503" s="237" t="n">
        <v>1</v>
      </c>
      <c r="G503" s="237" t="n">
        <v>100000</v>
      </c>
      <c r="H503" s="95">
        <f>25%*75%</f>
        <v/>
      </c>
    </row>
    <row r="504" ht="15.75" customHeight="1">
      <c r="A504" s="94" t="n">
        <v>499</v>
      </c>
      <c r="B504" s="141" t="inlineStr">
        <is>
          <t>2026/08/12 07:00</t>
        </is>
      </c>
      <c r="C504" s="141" t="inlineStr">
        <is>
          <t>LÊ HOÀNG VIỆT</t>
        </is>
      </c>
      <c r="D504" s="141" t="inlineStr">
        <is>
          <t>22/08/1999</t>
        </is>
      </c>
      <c r="E504" s="141" t="inlineStr">
        <is>
          <t>Thay băng, cắt chỉ vết mổ [chiều dài ≤ 15cm]</t>
        </is>
      </c>
      <c r="F504" s="237" t="n">
        <v>1</v>
      </c>
      <c r="G504" s="237" t="n">
        <v>100000</v>
      </c>
      <c r="H504" s="95">
        <f>25%*75%</f>
        <v/>
      </c>
    </row>
    <row r="505" ht="15.75" customHeight="1">
      <c r="A505" s="94" t="n">
        <v>500</v>
      </c>
      <c r="B505" s="141" t="inlineStr">
        <is>
          <t>2026/08/12 07:00</t>
        </is>
      </c>
      <c r="C505" s="141" t="inlineStr">
        <is>
          <t>LÊ THỊ ỬNG</t>
        </is>
      </c>
      <c r="D505" s="141" t="inlineStr">
        <is>
          <t>02/09/1953</t>
        </is>
      </c>
      <c r="E505" s="141" t="inlineStr">
        <is>
          <t>Thay băng, cắt chỉ vết mổ [chiều dài ≤ 15cm]</t>
        </is>
      </c>
      <c r="F505" s="237" t="n">
        <v>1</v>
      </c>
      <c r="G505" s="237" t="n">
        <v>100000</v>
      </c>
      <c r="H505" s="95">
        <f>25%*75%</f>
        <v/>
      </c>
    </row>
    <row r="506" ht="15.75" customHeight="1">
      <c r="A506" s="94" t="n">
        <v>501</v>
      </c>
      <c r="B506" s="141" t="inlineStr">
        <is>
          <t>2026/08/12 07:00</t>
        </is>
      </c>
      <c r="C506" s="141" t="inlineStr">
        <is>
          <t>NGUYỄN THỊ LOAN</t>
        </is>
      </c>
      <c r="D506" s="141" t="inlineStr">
        <is>
          <t>01/01/1975</t>
        </is>
      </c>
      <c r="E506" s="141" t="inlineStr">
        <is>
          <t>Thay băng, cắt chỉ vết mổ [chiều dài ≤ 15cm]</t>
        </is>
      </c>
      <c r="F506" s="237" t="n">
        <v>1</v>
      </c>
      <c r="G506" s="237" t="n">
        <v>100000</v>
      </c>
      <c r="H506" s="95">
        <f>25%*75%</f>
        <v/>
      </c>
    </row>
    <row r="507" ht="15.75" customHeight="1">
      <c r="A507" s="94" t="n">
        <v>502</v>
      </c>
      <c r="B507" s="141" t="inlineStr">
        <is>
          <t>2026/08/12 07:00</t>
        </is>
      </c>
      <c r="C507" s="141" t="inlineStr">
        <is>
          <t>NGUYỄN THỊ TÁM</t>
        </is>
      </c>
      <c r="D507" s="141" t="inlineStr">
        <is>
          <t>01/01/1957</t>
        </is>
      </c>
      <c r="E507" s="141" t="inlineStr">
        <is>
          <t>Thay băng, cắt chỉ vết mổ [chiều dài ≤ 15cm]</t>
        </is>
      </c>
      <c r="F507" s="237" t="n">
        <v>1</v>
      </c>
      <c r="G507" s="237" t="n">
        <v>100000</v>
      </c>
      <c r="H507" s="95">
        <f>25%*75%</f>
        <v/>
      </c>
    </row>
    <row r="508" ht="15.75" customHeight="1">
      <c r="A508" s="94" t="n">
        <v>503</v>
      </c>
      <c r="B508" s="141" t="inlineStr">
        <is>
          <t>2026/08/12 07:00</t>
        </is>
      </c>
      <c r="C508" s="141" t="inlineStr">
        <is>
          <t>NGÔ HỒNG QUẢNG</t>
        </is>
      </c>
      <c r="D508" s="141" t="inlineStr">
        <is>
          <t>13/03/1962</t>
        </is>
      </c>
      <c r="E508" s="141" t="inlineStr">
        <is>
          <t>Thay băng, cắt chỉ vết mổ [chiều dài ≤ 15cm]</t>
        </is>
      </c>
      <c r="F508" s="237" t="n">
        <v>1</v>
      </c>
      <c r="G508" s="237" t="n">
        <v>100000</v>
      </c>
      <c r="H508" s="95">
        <f>25%*75%</f>
        <v/>
      </c>
    </row>
    <row r="509" ht="15.75" customHeight="1">
      <c r="A509" s="94" t="n">
        <v>504</v>
      </c>
      <c r="B509" s="141" t="inlineStr">
        <is>
          <t>2026/08/12 07:00</t>
        </is>
      </c>
      <c r="C509" s="141" t="inlineStr">
        <is>
          <t>TRƯƠNG TRUNG TRỰC</t>
        </is>
      </c>
      <c r="D509" s="141" t="inlineStr">
        <is>
          <t>01/09/1942</t>
        </is>
      </c>
      <c r="E509" s="141" t="inlineStr">
        <is>
          <t>Thay băng, cắt chỉ vết mổ [chiều dài ≤ 15cm]</t>
        </is>
      </c>
      <c r="F509" s="237" t="n">
        <v>1</v>
      </c>
      <c r="G509" s="237" t="n">
        <v>100000</v>
      </c>
      <c r="H509" s="95">
        <f>25%*75%</f>
        <v/>
      </c>
    </row>
    <row r="510" ht="15.75" customHeight="1">
      <c r="A510" s="94" t="n">
        <v>505</v>
      </c>
      <c r="B510" s="141" t="inlineStr">
        <is>
          <t>2026/08/12 07:00</t>
        </is>
      </c>
      <c r="C510" s="141" t="inlineStr">
        <is>
          <t>TRƯƠNG VĂN ÚT</t>
        </is>
      </c>
      <c r="D510" s="141" t="inlineStr">
        <is>
          <t>01/01/1948</t>
        </is>
      </c>
      <c r="E510" s="141" t="inlineStr">
        <is>
          <t>Thay băng, cắt chỉ vết mổ [chiều dài ≤ 15cm]</t>
        </is>
      </c>
      <c r="F510" s="237" t="n">
        <v>1</v>
      </c>
      <c r="G510" s="237" t="n">
        <v>100000</v>
      </c>
      <c r="H510" s="95">
        <f>25%*75%</f>
        <v/>
      </c>
    </row>
    <row r="511" ht="15.75" customHeight="1">
      <c r="A511" s="94" t="n">
        <v>506</v>
      </c>
      <c r="B511" s="141" t="inlineStr">
        <is>
          <t>2026/08/12 07:00</t>
        </is>
      </c>
      <c r="C511" s="141" t="inlineStr">
        <is>
          <t>VĂN ĐẮC SƠN TÂY</t>
        </is>
      </c>
      <c r="D511" s="141" t="inlineStr">
        <is>
          <t>15/11/1991</t>
        </is>
      </c>
      <c r="E511" s="141" t="inlineStr">
        <is>
          <t>Thay băng, cắt chỉ vết mổ [chiều dài ≤ 15cm]</t>
        </is>
      </c>
      <c r="F511" s="237" t="n">
        <v>1</v>
      </c>
      <c r="G511" s="237" t="n">
        <v>100000</v>
      </c>
      <c r="H511" s="95">
        <f>25%*75%</f>
        <v/>
      </c>
    </row>
    <row r="512" ht="15.75" customHeight="1">
      <c r="A512" s="94" t="n">
        <v>507</v>
      </c>
      <c r="B512" s="141" t="inlineStr">
        <is>
          <t>2026/08/12 07:00</t>
        </is>
      </c>
      <c r="C512" s="141" t="inlineStr">
        <is>
          <t>ĐẶNG THANH PHONG</t>
        </is>
      </c>
      <c r="D512" s="141" t="inlineStr">
        <is>
          <t>01/01/1976</t>
        </is>
      </c>
      <c r="E512" s="141" t="inlineStr">
        <is>
          <t>Thay băng, cắt chỉ vết mổ [chiều dài ≤ 15cm]</t>
        </is>
      </c>
      <c r="F512" s="237" t="n">
        <v>1</v>
      </c>
      <c r="G512" s="237" t="n">
        <v>100000</v>
      </c>
      <c r="H512" s="95">
        <f>25%*75%</f>
        <v/>
      </c>
    </row>
    <row r="513" ht="15.75" customHeight="1">
      <c r="A513" s="94" t="n">
        <v>508</v>
      </c>
      <c r="B513" s="141" t="inlineStr">
        <is>
          <t>2026/08/12 07:15</t>
        </is>
      </c>
      <c r="C513" s="141" t="inlineStr">
        <is>
          <t>NGUYỄN THỊ MAI CHI</t>
        </is>
      </c>
      <c r="D513" s="141" t="inlineStr">
        <is>
          <t>28/08/1990</t>
        </is>
      </c>
      <c r="E513" s="141" t="inlineStr">
        <is>
          <t>Thay băng, cắt chỉ vết mổ [chiều dài ≤ 15cm]</t>
        </is>
      </c>
      <c r="F513" s="237" t="n">
        <v>1</v>
      </c>
      <c r="G513" s="237" t="n">
        <v>100000</v>
      </c>
      <c r="H513" s="95">
        <f>25%*75%</f>
        <v/>
      </c>
    </row>
    <row r="514" ht="15.75" customHeight="1">
      <c r="A514" s="94" t="n">
        <v>509</v>
      </c>
      <c r="B514" s="141" t="inlineStr">
        <is>
          <t>2026/08/12 07:15</t>
        </is>
      </c>
      <c r="C514" s="141" t="inlineStr">
        <is>
          <t>VÕ VĂN ÚT</t>
        </is>
      </c>
      <c r="D514" s="141" t="inlineStr">
        <is>
          <t>01/01/1952</t>
        </is>
      </c>
      <c r="E514" s="141" t="inlineStr">
        <is>
          <t>Thay băng, cắt chỉ vết mổ [chiều dài ≤ 15cm]</t>
        </is>
      </c>
      <c r="F514" s="237" t="n">
        <v>1</v>
      </c>
      <c r="G514" s="237" t="n">
        <v>100000</v>
      </c>
      <c r="H514" s="95">
        <f>25%*75%</f>
        <v/>
      </c>
    </row>
    <row r="515" ht="15.75" customHeight="1">
      <c r="A515" s="94" t="n">
        <v>510</v>
      </c>
      <c r="B515" s="141" t="inlineStr">
        <is>
          <t>2026/08/12 08:11</t>
        </is>
      </c>
      <c r="C515" s="141" t="inlineStr">
        <is>
          <t>ĐẶNG ĐÌNH BẰNG</t>
        </is>
      </c>
      <c r="D515" s="141" t="inlineStr">
        <is>
          <t>25/08/1985</t>
        </is>
      </c>
      <c r="E515" s="141" t="inlineStr">
        <is>
          <t>Thay băng, cắt chỉ vết mổ [chiều dài ≤ 15cm]</t>
        </is>
      </c>
      <c r="F515" s="237" t="n">
        <v>1</v>
      </c>
      <c r="G515" s="237" t="n">
        <v>100000</v>
      </c>
      <c r="H515" s="95">
        <f>25%*75%</f>
        <v/>
      </c>
    </row>
    <row r="516" ht="15.75" customHeight="1">
      <c r="A516" s="94" t="n">
        <v>511</v>
      </c>
      <c r="B516" s="141" t="inlineStr">
        <is>
          <t>2026/08/12 08:56</t>
        </is>
      </c>
      <c r="C516" s="141" t="inlineStr">
        <is>
          <t>NGUYỄN HỮU HIỆP</t>
        </is>
      </c>
      <c r="D516" s="141" t="inlineStr">
        <is>
          <t>01/01/1973</t>
        </is>
      </c>
      <c r="E516" s="141" t="inlineStr">
        <is>
          <t>Thay băng, cắt chỉ vết mổ [chiều dài ≤ 15cm]</t>
        </is>
      </c>
      <c r="F516" s="237" t="n">
        <v>1</v>
      </c>
      <c r="G516" s="237" t="n">
        <v>100000</v>
      </c>
      <c r="H516" s="95">
        <f>25%*75%</f>
        <v/>
      </c>
    </row>
    <row r="517" ht="15.75" customHeight="1">
      <c r="A517" s="94" t="n">
        <v>512</v>
      </c>
      <c r="B517" s="141" t="inlineStr">
        <is>
          <t>2026/08/12 10:00</t>
        </is>
      </c>
      <c r="C517" s="141" t="inlineStr">
        <is>
          <t>HUỲNH VIỆT DŨNG</t>
        </is>
      </c>
      <c r="D517" s="141" t="inlineStr">
        <is>
          <t>11/04/2004</t>
        </is>
      </c>
      <c r="E517" s="141" t="inlineStr">
        <is>
          <t>Thay băng, cắt chỉ vết mổ [chiều dài ≤ 15cm]</t>
        </is>
      </c>
      <c r="F517" s="237" t="n">
        <v>1</v>
      </c>
      <c r="G517" s="237" t="n">
        <v>100000</v>
      </c>
      <c r="H517" s="95">
        <f>25%*75%</f>
        <v/>
      </c>
    </row>
    <row r="518" ht="15.75" customHeight="1">
      <c r="A518" s="94" t="n">
        <v>513</v>
      </c>
      <c r="B518" s="141" t="inlineStr">
        <is>
          <t>2026/08/12 22:00</t>
        </is>
      </c>
      <c r="C518" s="141" t="inlineStr">
        <is>
          <t>VĂNG VĂN ĐỒ</t>
        </is>
      </c>
      <c r="D518" s="141" t="inlineStr">
        <is>
          <t>25/05/1972</t>
        </is>
      </c>
      <c r="E518" s="141" t="inlineStr">
        <is>
          <t>Thay băng, cắt chỉ vết mổ [chiều dài ≤ 15cm]</t>
        </is>
      </c>
      <c r="F518" s="237" t="n">
        <v>1</v>
      </c>
      <c r="G518" s="237" t="n">
        <v>100000</v>
      </c>
      <c r="H518" s="95">
        <f>25%*75%</f>
        <v/>
      </c>
    </row>
    <row r="519" ht="15.75" customHeight="1">
      <c r="A519" s="94" t="n">
        <v>514</v>
      </c>
      <c r="B519" s="141" t="inlineStr">
        <is>
          <t>2026/08/13 05:00</t>
        </is>
      </c>
      <c r="C519" s="141" t="inlineStr">
        <is>
          <t>LÊ THỊ ÚT NHỎ</t>
        </is>
      </c>
      <c r="D519" s="141" t="inlineStr">
        <is>
          <t>15/10/1978</t>
        </is>
      </c>
      <c r="E519" s="141" t="inlineStr">
        <is>
          <t>Thay băng, cắt chỉ vết mổ [chiều dài ≤ 15cm]</t>
        </is>
      </c>
      <c r="F519" s="237" t="n">
        <v>1</v>
      </c>
      <c r="G519" s="237" t="n">
        <v>100000</v>
      </c>
      <c r="H519" s="95">
        <f>25%*75%</f>
        <v/>
      </c>
    </row>
    <row r="520" ht="15.75" customHeight="1">
      <c r="A520" s="94" t="n">
        <v>515</v>
      </c>
      <c r="B520" s="141" t="inlineStr">
        <is>
          <t>2026/08/13 05:00</t>
        </is>
      </c>
      <c r="C520" s="141" t="inlineStr">
        <is>
          <t>LÊ THỊ ỬNG</t>
        </is>
      </c>
      <c r="D520" s="141" t="inlineStr">
        <is>
          <t>02/09/1953</t>
        </is>
      </c>
      <c r="E520" s="141" t="inlineStr">
        <is>
          <t>Thay băng, cắt chỉ vết mổ [chiều dài ≤ 15cm]</t>
        </is>
      </c>
      <c r="F520" s="237" t="n">
        <v>1</v>
      </c>
      <c r="G520" s="237" t="n">
        <v>100000</v>
      </c>
      <c r="H520" s="95">
        <f>25%*75%</f>
        <v/>
      </c>
    </row>
    <row r="521" ht="15.75" customHeight="1">
      <c r="A521" s="94" t="n">
        <v>516</v>
      </c>
      <c r="B521" s="141" t="inlineStr">
        <is>
          <t>2026/08/13 05:00</t>
        </is>
      </c>
      <c r="C521" s="141" t="inlineStr">
        <is>
          <t>NGUYỄN THỊ HƯƠNG</t>
        </is>
      </c>
      <c r="D521" s="141" t="inlineStr">
        <is>
          <t>02/07/1965</t>
        </is>
      </c>
      <c r="E521" s="141" t="inlineStr">
        <is>
          <t>Thay băng, cắt chỉ vết mổ [chiều dài ≤ 15cm]</t>
        </is>
      </c>
      <c r="F521" s="237" t="n">
        <v>1</v>
      </c>
      <c r="G521" s="237" t="n">
        <v>100000</v>
      </c>
      <c r="H521" s="95">
        <f>25%*75%</f>
        <v/>
      </c>
    </row>
    <row r="522" ht="15.75" customHeight="1">
      <c r="A522" s="94" t="n">
        <v>517</v>
      </c>
      <c r="B522" s="141" t="inlineStr">
        <is>
          <t>2026/08/13 05:00</t>
        </is>
      </c>
      <c r="C522" s="141" t="inlineStr">
        <is>
          <t>TRƯƠNG VĂN ÚT</t>
        </is>
      </c>
      <c r="D522" s="141" t="inlineStr">
        <is>
          <t>01/01/1948</t>
        </is>
      </c>
      <c r="E522" s="141" t="inlineStr">
        <is>
          <t>Thay băng, cắt chỉ vết mổ [chiều dài ≤ 15cm]</t>
        </is>
      </c>
      <c r="F522" s="237" t="n">
        <v>1</v>
      </c>
      <c r="G522" s="237" t="n">
        <v>100000</v>
      </c>
      <c r="H522" s="95">
        <f>25%*75%</f>
        <v/>
      </c>
    </row>
    <row r="523" ht="15.75" customHeight="1">
      <c r="A523" s="94" t="n">
        <v>518</v>
      </c>
      <c r="B523" s="141" t="inlineStr">
        <is>
          <t>2026/08/13 05:00</t>
        </is>
      </c>
      <c r="C523" s="141" t="inlineStr">
        <is>
          <t>TRẦN THỊ KÍNH</t>
        </is>
      </c>
      <c r="D523" s="141" t="inlineStr">
        <is>
          <t>01/01/1951</t>
        </is>
      </c>
      <c r="E523" s="141" t="inlineStr">
        <is>
          <t>Thay băng, cắt chỉ vết mổ [chiều dài ≤ 15cm]</t>
        </is>
      </c>
      <c r="F523" s="237" t="n">
        <v>1</v>
      </c>
      <c r="G523" s="237" t="n">
        <v>100000</v>
      </c>
      <c r="H523" s="95">
        <f>25%*75%</f>
        <v/>
      </c>
    </row>
    <row r="524" ht="15.75" customHeight="1">
      <c r="A524" s="94" t="n">
        <v>519</v>
      </c>
      <c r="B524" s="141" t="inlineStr">
        <is>
          <t>2026/08/13 05:00</t>
        </is>
      </c>
      <c r="C524" s="141" t="inlineStr">
        <is>
          <t>TĂNG THỊ MIỀN</t>
        </is>
      </c>
      <c r="D524" s="141" t="inlineStr">
        <is>
          <t>01/01/1951</t>
        </is>
      </c>
      <c r="E524" s="141" t="inlineStr">
        <is>
          <t>Thay băng, cắt chỉ vết mổ [chiều dài ≤ 15cm]</t>
        </is>
      </c>
      <c r="F524" s="237" t="n">
        <v>1</v>
      </c>
      <c r="G524" s="237" t="n">
        <v>100000</v>
      </c>
      <c r="H524" s="95">
        <f>25%*75%</f>
        <v/>
      </c>
    </row>
    <row r="525" ht="15.75" customHeight="1">
      <c r="A525" s="94" t="n">
        <v>520</v>
      </c>
      <c r="B525" s="141" t="inlineStr">
        <is>
          <t>2026/08/13 05:00</t>
        </is>
      </c>
      <c r="C525" s="141" t="inlineStr">
        <is>
          <t>VÕ THÀNH LONG</t>
        </is>
      </c>
      <c r="D525" s="141" t="inlineStr">
        <is>
          <t>06/06/1966</t>
        </is>
      </c>
      <c r="E525" s="141" t="inlineStr">
        <is>
          <t>Thay băng, cắt chỉ vết mổ [chiều dài ≤ 15cm]</t>
        </is>
      </c>
      <c r="F525" s="237" t="n">
        <v>1</v>
      </c>
      <c r="G525" s="237" t="n">
        <v>100000</v>
      </c>
      <c r="H525" s="95">
        <f>25%*75%</f>
        <v/>
      </c>
    </row>
    <row r="526" ht="15.75" customHeight="1">
      <c r="A526" s="94" t="n">
        <v>521</v>
      </c>
      <c r="B526" s="141" t="inlineStr">
        <is>
          <t>2026/08/13 05:00</t>
        </is>
      </c>
      <c r="C526" s="141" t="inlineStr">
        <is>
          <t>ĐẶNG ĐÌNH BẰNG</t>
        </is>
      </c>
      <c r="D526" s="141" t="inlineStr">
        <is>
          <t>25/08/1985</t>
        </is>
      </c>
      <c r="E526" s="141" t="inlineStr">
        <is>
          <t>Thay băng, cắt chỉ vết mổ [chiều dài ≤ 15cm]</t>
        </is>
      </c>
      <c r="F526" s="237" t="n">
        <v>1</v>
      </c>
      <c r="G526" s="237" t="n">
        <v>100000</v>
      </c>
      <c r="H526" s="95">
        <f>25%*75%</f>
        <v/>
      </c>
    </row>
    <row r="527" ht="15.75" customHeight="1">
      <c r="A527" s="94" t="n">
        <v>522</v>
      </c>
      <c r="B527" s="141" t="inlineStr">
        <is>
          <t>2026/08/13 06:38</t>
        </is>
      </c>
      <c r="C527" s="141" t="inlineStr">
        <is>
          <t>TRẦN LỆ XUÂN</t>
        </is>
      </c>
      <c r="D527" s="141" t="inlineStr">
        <is>
          <t>01/01/1964</t>
        </is>
      </c>
      <c r="E527" s="141" t="inlineStr">
        <is>
          <t>Thay băng, cắt chỉ vết mổ [chiều dài ≤ 15cm]</t>
        </is>
      </c>
      <c r="F527" s="237" t="n">
        <v>1</v>
      </c>
      <c r="G527" s="237" t="n">
        <v>100000</v>
      </c>
      <c r="H527" s="95">
        <f>25%*75%</f>
        <v/>
      </c>
    </row>
    <row r="528" ht="15.75" customHeight="1">
      <c r="A528" s="94" t="n">
        <v>523</v>
      </c>
      <c r="B528" s="141" t="inlineStr">
        <is>
          <t>2026/08/13 06:46</t>
        </is>
      </c>
      <c r="C528" s="141" t="inlineStr">
        <is>
          <t>LÝ MỸ LIÊN</t>
        </is>
      </c>
      <c r="D528" s="141" t="inlineStr">
        <is>
          <t>01/01/1940</t>
        </is>
      </c>
      <c r="E528" s="141" t="inlineStr">
        <is>
          <t>Truyền hóa chất tĩnh mạch [nội trú]</t>
        </is>
      </c>
      <c r="F528" s="237" t="n">
        <v>1</v>
      </c>
      <c r="G528" s="237" t="n">
        <v>400000</v>
      </c>
      <c r="H528" s="95">
        <f>25%*75%</f>
        <v/>
      </c>
    </row>
    <row r="529" ht="15.75" customHeight="1">
      <c r="A529" s="94" t="n">
        <v>524</v>
      </c>
      <c r="B529" s="141" t="inlineStr">
        <is>
          <t>2026/08/13 06:51</t>
        </is>
      </c>
      <c r="C529" s="141" t="inlineStr">
        <is>
          <t>NGUYỄN ĐỨC TÍN</t>
        </is>
      </c>
      <c r="D529" s="141" t="inlineStr">
        <is>
          <t>04/01/1986</t>
        </is>
      </c>
      <c r="E529" s="141" t="inlineStr">
        <is>
          <t>Thay băng, cắt chỉ vết mổ [chiều dài ≤ 15cm]</t>
        </is>
      </c>
      <c r="F529" s="237" t="n">
        <v>1</v>
      </c>
      <c r="G529" s="237" t="n">
        <v>100000</v>
      </c>
      <c r="H529" s="95">
        <f>25%*75%</f>
        <v/>
      </c>
    </row>
    <row r="530" ht="15.75" customHeight="1">
      <c r="A530" s="94" t="n">
        <v>525</v>
      </c>
      <c r="B530" s="141" t="inlineStr">
        <is>
          <t>2026/08/13 06:55</t>
        </is>
      </c>
      <c r="C530" s="141" t="inlineStr">
        <is>
          <t>NGUYỄN THỊ ÚT EM</t>
        </is>
      </c>
      <c r="D530" s="141" t="inlineStr">
        <is>
          <t>01/01/1962</t>
        </is>
      </c>
      <c r="E530" s="141" t="inlineStr">
        <is>
          <t>Thay băng, cắt chỉ vết mổ [chiều dài ≤ 15cm]</t>
        </is>
      </c>
      <c r="F530" s="237" t="n">
        <v>1</v>
      </c>
      <c r="G530" s="237" t="n">
        <v>100000</v>
      </c>
      <c r="H530" s="95">
        <f>25%*75%</f>
        <v/>
      </c>
    </row>
    <row r="531" ht="15.75" customHeight="1">
      <c r="A531" s="94" t="n">
        <v>526</v>
      </c>
      <c r="B531" s="141" t="inlineStr">
        <is>
          <t>2026/08/13 07:00</t>
        </is>
      </c>
      <c r="C531" s="141" t="inlineStr">
        <is>
          <t>LÊ THANH TUẤN</t>
        </is>
      </c>
      <c r="D531" s="141" t="inlineStr">
        <is>
          <t>24/12/1980</t>
        </is>
      </c>
      <c r="E531" s="141" t="inlineStr">
        <is>
          <t>Thay băng, cắt chỉ vết mổ [chiều dài ≤ 15cm]</t>
        </is>
      </c>
      <c r="F531" s="237" t="n">
        <v>1</v>
      </c>
      <c r="G531" s="237" t="n">
        <v>100000</v>
      </c>
      <c r="H531" s="95">
        <f>25%*75%</f>
        <v/>
      </c>
    </row>
    <row r="532" ht="15.75" customHeight="1">
      <c r="A532" s="94" t="n">
        <v>527</v>
      </c>
      <c r="B532" s="141" t="inlineStr">
        <is>
          <t>2026/08/13 07:00</t>
        </is>
      </c>
      <c r="C532" s="141" t="inlineStr">
        <is>
          <t>NGUYỄN THỊ TÁM</t>
        </is>
      </c>
      <c r="D532" s="141" t="inlineStr">
        <is>
          <t>01/01/1957</t>
        </is>
      </c>
      <c r="E532" s="141" t="inlineStr">
        <is>
          <t>Thay băng, cắt chỉ vết mổ [chiều dài ≤ 15cm]</t>
        </is>
      </c>
      <c r="F532" s="237" t="n">
        <v>1</v>
      </c>
      <c r="G532" s="237" t="n">
        <v>100000</v>
      </c>
      <c r="H532" s="95">
        <f>25%*75%</f>
        <v/>
      </c>
    </row>
    <row r="533" ht="15.75" customHeight="1">
      <c r="A533" s="94" t="n">
        <v>528</v>
      </c>
      <c r="B533" s="141" t="inlineStr">
        <is>
          <t>2026/08/13 07:00</t>
        </is>
      </c>
      <c r="C533" s="141" t="inlineStr">
        <is>
          <t>TRƯƠNG TRUNG TRỰC</t>
        </is>
      </c>
      <c r="D533" s="141" t="inlineStr">
        <is>
          <t>01/09/1942</t>
        </is>
      </c>
      <c r="E533" s="141" t="inlineStr">
        <is>
          <t>Thay băng, cắt chỉ vết mổ [chiều dài ≤ 15cm]</t>
        </is>
      </c>
      <c r="F533" s="237" t="n">
        <v>1</v>
      </c>
      <c r="G533" s="237" t="n">
        <v>100000</v>
      </c>
      <c r="H533" s="95">
        <f>25%*75%</f>
        <v/>
      </c>
    </row>
    <row r="534" ht="15.75" customHeight="1">
      <c r="A534" s="94" t="n">
        <v>529</v>
      </c>
      <c r="B534" s="141" t="inlineStr">
        <is>
          <t>2026/08/13 07:00</t>
        </is>
      </c>
      <c r="C534" s="141" t="inlineStr">
        <is>
          <t>VĂN ĐẮC SƠN TÂY</t>
        </is>
      </c>
      <c r="D534" s="141" t="inlineStr">
        <is>
          <t>15/11/1991</t>
        </is>
      </c>
      <c r="E534" s="141" t="inlineStr">
        <is>
          <t>Thay băng, cắt chỉ vết mổ [chiều dài ≤ 15cm]</t>
        </is>
      </c>
      <c r="F534" s="237" t="n">
        <v>1</v>
      </c>
      <c r="G534" s="237" t="n">
        <v>100000</v>
      </c>
      <c r="H534" s="95">
        <f>25%*75%</f>
        <v/>
      </c>
    </row>
    <row r="535" ht="15.75" customHeight="1">
      <c r="A535" s="94" t="n">
        <v>530</v>
      </c>
      <c r="B535" s="141" t="inlineStr">
        <is>
          <t>2026/08/13 08:00</t>
        </is>
      </c>
      <c r="C535" s="141" t="inlineStr">
        <is>
          <t>VĂNG VĂN ĐỒ</t>
        </is>
      </c>
      <c r="D535" s="141" t="inlineStr">
        <is>
          <t>25/05/1972</t>
        </is>
      </c>
      <c r="E535" s="141" t="inlineStr">
        <is>
          <t>Thay băng, cắt chỉ vết mổ [chiều dài ≤ 15cm]</t>
        </is>
      </c>
      <c r="F535" s="237" t="n">
        <v>1</v>
      </c>
      <c r="G535" s="237" t="n">
        <v>100000</v>
      </c>
      <c r="H535" s="95">
        <f>25%*75%</f>
        <v/>
      </c>
    </row>
    <row r="536" ht="15.75" customHeight="1">
      <c r="A536" s="94" t="n">
        <v>531</v>
      </c>
      <c r="B536" s="141" t="inlineStr">
        <is>
          <t>2026/08/13 10:50</t>
        </is>
      </c>
      <c r="C536" s="141" t="inlineStr">
        <is>
          <t>NGUYỄN QUỐC HỌC</t>
        </is>
      </c>
      <c r="D536" s="141" t="inlineStr">
        <is>
          <t>01/09/2009</t>
        </is>
      </c>
      <c r="E536" s="141" t="inlineStr">
        <is>
          <t>Thay băng, cắt chỉ vết mổ [chiều dài ≤ 15cm]</t>
        </is>
      </c>
      <c r="F536" s="237" t="n">
        <v>1</v>
      </c>
      <c r="G536" s="237" t="n">
        <v>100000</v>
      </c>
      <c r="H536" s="95">
        <f>25%*75%</f>
        <v/>
      </c>
    </row>
    <row r="537" ht="15.75" customHeight="1">
      <c r="A537" s="94" t="n">
        <v>532</v>
      </c>
      <c r="B537" s="141" t="inlineStr">
        <is>
          <t>2026/08/13 16:18</t>
        </is>
      </c>
      <c r="C537" s="141" t="inlineStr">
        <is>
          <t>NGUYỄN QUỐC HỌC</t>
        </is>
      </c>
      <c r="D537" s="141" t="inlineStr">
        <is>
          <t>01/09/2009</t>
        </is>
      </c>
      <c r="E537" s="141" t="inlineStr">
        <is>
          <t>Thay băng, cắt chỉ vết mổ [chiều dài ≤ 15cm]</t>
        </is>
      </c>
      <c r="F537" s="237" t="n">
        <v>1</v>
      </c>
      <c r="G537" s="237" t="n">
        <v>100000</v>
      </c>
      <c r="H537" s="95">
        <f>25%*75%</f>
        <v/>
      </c>
    </row>
    <row r="538" ht="15.75" customHeight="1">
      <c r="A538" s="94" t="n">
        <v>533</v>
      </c>
      <c r="B538" s="141" t="inlineStr">
        <is>
          <t>2026/08/14 05:00</t>
        </is>
      </c>
      <c r="C538" s="141" t="inlineStr">
        <is>
          <t>HÀ MINH HUY</t>
        </is>
      </c>
      <c r="D538" s="141" t="inlineStr">
        <is>
          <t>28/01/1964</t>
        </is>
      </c>
      <c r="E538" s="141" t="inlineStr">
        <is>
          <t>Thay băng, cắt chỉ vết mổ [chiều dài ≤ 15cm]</t>
        </is>
      </c>
      <c r="F538" s="237" t="n">
        <v>1</v>
      </c>
      <c r="G538" s="237" t="n">
        <v>100000</v>
      </c>
      <c r="H538" s="95">
        <f>25%*75%</f>
        <v/>
      </c>
    </row>
    <row r="539" ht="15.75" customHeight="1">
      <c r="A539" s="94" t="n">
        <v>534</v>
      </c>
      <c r="B539" s="141" t="inlineStr">
        <is>
          <t>2026/08/14 05:00</t>
        </is>
      </c>
      <c r="C539" s="141" t="inlineStr">
        <is>
          <t>LÊ THANH TUẤN</t>
        </is>
      </c>
      <c r="D539" s="141" t="inlineStr">
        <is>
          <t>24/12/1980</t>
        </is>
      </c>
      <c r="E539" s="141" t="inlineStr">
        <is>
          <t>Thay băng, cắt chỉ vết mổ [chiều dài ≤ 15cm]</t>
        </is>
      </c>
      <c r="F539" s="237" t="n">
        <v>1</v>
      </c>
      <c r="G539" s="237" t="n">
        <v>100000</v>
      </c>
      <c r="H539" s="95">
        <f>25%*75%</f>
        <v/>
      </c>
    </row>
    <row r="540" ht="15.75" customHeight="1">
      <c r="A540" s="94" t="n">
        <v>535</v>
      </c>
      <c r="B540" s="141" t="inlineStr">
        <is>
          <t>2026/08/14 05:00</t>
        </is>
      </c>
      <c r="C540" s="141" t="inlineStr">
        <is>
          <t>LÊ THỊ ÚT NHỎ</t>
        </is>
      </c>
      <c r="D540" s="141" t="inlineStr">
        <is>
          <t>15/10/1978</t>
        </is>
      </c>
      <c r="E540" s="141" t="inlineStr">
        <is>
          <t>Thay băng, cắt chỉ vết mổ [chiều dài ≤ 15cm]</t>
        </is>
      </c>
      <c r="F540" s="237" t="n">
        <v>1</v>
      </c>
      <c r="G540" s="237" t="n">
        <v>100000</v>
      </c>
      <c r="H540" s="95">
        <f>25%*75%</f>
        <v/>
      </c>
    </row>
    <row r="541" ht="15.75" customHeight="1">
      <c r="A541" s="94" t="n">
        <v>536</v>
      </c>
      <c r="B541" s="141" t="inlineStr">
        <is>
          <t>2026/08/14 05:00</t>
        </is>
      </c>
      <c r="C541" s="141" t="inlineStr">
        <is>
          <t>LÊ THỊ ỬNG</t>
        </is>
      </c>
      <c r="D541" s="141" t="inlineStr">
        <is>
          <t>02/09/1953</t>
        </is>
      </c>
      <c r="E541" s="141" t="inlineStr">
        <is>
          <t>Thay băng, cắt chỉ vết mổ [chiều dài ≤ 15cm]</t>
        </is>
      </c>
      <c r="F541" s="237" t="n">
        <v>1</v>
      </c>
      <c r="G541" s="237" t="n">
        <v>100000</v>
      </c>
      <c r="H541" s="95">
        <f>25%*75%</f>
        <v/>
      </c>
    </row>
    <row r="542" ht="15.75" customHeight="1">
      <c r="A542" s="94" t="n">
        <v>537</v>
      </c>
      <c r="B542" s="141" t="inlineStr">
        <is>
          <t>2026/08/14 05:00</t>
        </is>
      </c>
      <c r="C542" s="141" t="inlineStr">
        <is>
          <t>NGUYỄN THỊ HƯƠNG</t>
        </is>
      </c>
      <c r="D542" s="141" t="inlineStr">
        <is>
          <t>02/07/1965</t>
        </is>
      </c>
      <c r="E542" s="141" t="inlineStr">
        <is>
          <t>Thay băng, cắt chỉ vết mổ [chiều dài ≤ 15cm]</t>
        </is>
      </c>
      <c r="F542" s="237" t="n">
        <v>1</v>
      </c>
      <c r="G542" s="237" t="n">
        <v>100000</v>
      </c>
      <c r="H542" s="95">
        <f>25%*75%</f>
        <v/>
      </c>
    </row>
    <row r="543" ht="15.75" customHeight="1">
      <c r="A543" s="94" t="n">
        <v>538</v>
      </c>
      <c r="B543" s="141" t="inlineStr">
        <is>
          <t>2026/08/14 05:00</t>
        </is>
      </c>
      <c r="C543" s="141" t="inlineStr">
        <is>
          <t>NGUYỄN THỊ ÚT EM</t>
        </is>
      </c>
      <c r="D543" s="141" t="inlineStr">
        <is>
          <t>01/01/1962</t>
        </is>
      </c>
      <c r="E543" s="141" t="inlineStr">
        <is>
          <t>Thay băng, cắt chỉ vết mổ [chiều dài ≤ 15cm]</t>
        </is>
      </c>
      <c r="F543" s="237" t="n">
        <v>1</v>
      </c>
      <c r="G543" s="237" t="n">
        <v>100000</v>
      </c>
      <c r="H543" s="95">
        <f>25%*75%</f>
        <v/>
      </c>
    </row>
    <row r="544" ht="15.75" customHeight="1">
      <c r="A544" s="94" t="n">
        <v>539</v>
      </c>
      <c r="B544" s="141" t="inlineStr">
        <is>
          <t>2026/08/14 05:00</t>
        </is>
      </c>
      <c r="C544" s="141" t="inlineStr">
        <is>
          <t>TĂNG THỊ MIỀN</t>
        </is>
      </c>
      <c r="D544" s="141" t="inlineStr">
        <is>
          <t>01/01/1951</t>
        </is>
      </c>
      <c r="E544" s="141" t="inlineStr">
        <is>
          <t>Thay băng, cắt chỉ vết mổ [chiều dài ≤ 15cm]</t>
        </is>
      </c>
      <c r="F544" s="237" t="n">
        <v>1</v>
      </c>
      <c r="G544" s="237" t="n">
        <v>100000</v>
      </c>
      <c r="H544" s="95">
        <f>25%*75%</f>
        <v/>
      </c>
    </row>
    <row r="545" ht="15.75" customHeight="1">
      <c r="A545" s="94" t="n">
        <v>540</v>
      </c>
      <c r="B545" s="141" t="inlineStr">
        <is>
          <t>2026/08/14 05:00</t>
        </is>
      </c>
      <c r="C545" s="141" t="inlineStr">
        <is>
          <t>VÕ THÀNH LONG</t>
        </is>
      </c>
      <c r="D545" s="141" t="inlineStr">
        <is>
          <t>06/06/1966</t>
        </is>
      </c>
      <c r="E545" s="141" t="inlineStr">
        <is>
          <t>Thay băng, cắt chỉ vết mổ [chiều dài ≤ 15cm]</t>
        </is>
      </c>
      <c r="F545" s="237" t="n">
        <v>1</v>
      </c>
      <c r="G545" s="237" t="n">
        <v>100000</v>
      </c>
      <c r="H545" s="95">
        <f>25%*75%</f>
        <v/>
      </c>
    </row>
    <row r="546" ht="15.75" customHeight="1">
      <c r="A546" s="94" t="n">
        <v>541</v>
      </c>
      <c r="B546" s="141" t="inlineStr">
        <is>
          <t>2026/08/14 05:00</t>
        </is>
      </c>
      <c r="C546" s="141" t="inlineStr">
        <is>
          <t>ĐẶNG ĐÌNH BẰNG</t>
        </is>
      </c>
      <c r="D546" s="141" t="inlineStr">
        <is>
          <t>25/08/1985</t>
        </is>
      </c>
      <c r="E546" s="141" t="inlineStr">
        <is>
          <t>Thay băng, cắt chỉ vết mổ [chiều dài ≤ 15cm]</t>
        </is>
      </c>
      <c r="F546" s="237" t="n">
        <v>1</v>
      </c>
      <c r="G546" s="237" t="n">
        <v>100000</v>
      </c>
      <c r="H546" s="95">
        <f>25%*75%</f>
        <v/>
      </c>
    </row>
    <row r="547" ht="15.75" customHeight="1">
      <c r="A547" s="94" t="n">
        <v>542</v>
      </c>
      <c r="B547" s="141" t="inlineStr">
        <is>
          <t>2026/08/14 06:26</t>
        </is>
      </c>
      <c r="C547" s="141" t="inlineStr">
        <is>
          <t>NGUYỄN QUỐC HỌC</t>
        </is>
      </c>
      <c r="D547" s="141" t="inlineStr">
        <is>
          <t>01/09/2009</t>
        </is>
      </c>
      <c r="E547" s="141" t="inlineStr">
        <is>
          <t>Thay băng, cắt chỉ vết mổ [chiều dài ≤ 15cm]</t>
        </is>
      </c>
      <c r="F547" s="237" t="n">
        <v>1</v>
      </c>
      <c r="G547" s="237" t="n">
        <v>100000</v>
      </c>
      <c r="H547" s="95">
        <f>25%*75%</f>
        <v/>
      </c>
    </row>
    <row r="548" ht="15.75" customHeight="1">
      <c r="A548" s="94" t="n">
        <v>543</v>
      </c>
      <c r="B548" s="141" t="inlineStr">
        <is>
          <t>2026/08/14 06:41</t>
        </is>
      </c>
      <c r="C548" s="141" t="inlineStr">
        <is>
          <t>TRẦN LỆ XUÂN</t>
        </is>
      </c>
      <c r="D548" s="141" t="inlineStr">
        <is>
          <t>01/01/1964</t>
        </is>
      </c>
      <c r="E548" s="141" t="inlineStr">
        <is>
          <t>Thay băng, cắt chỉ vết mổ [chiều dài ≤ 15cm]</t>
        </is>
      </c>
      <c r="F548" s="237" t="n">
        <v>1</v>
      </c>
      <c r="G548" s="237" t="n">
        <v>100000</v>
      </c>
      <c r="H548" s="95">
        <f>25%*75%</f>
        <v/>
      </c>
    </row>
    <row r="549" ht="15.75" customHeight="1">
      <c r="A549" s="94" t="n">
        <v>544</v>
      </c>
      <c r="B549" s="141" t="inlineStr">
        <is>
          <t>2026/08/14 07:00</t>
        </is>
      </c>
      <c r="C549" s="141" t="inlineStr">
        <is>
          <t>NGUYỄN THỊ TÁM</t>
        </is>
      </c>
      <c r="D549" s="141" t="inlineStr">
        <is>
          <t>01/01/1957</t>
        </is>
      </c>
      <c r="E549" s="141" t="inlineStr">
        <is>
          <t>Thay băng, cắt chỉ vết mổ [chiều dài ≤ 15cm]</t>
        </is>
      </c>
      <c r="F549" s="237" t="n">
        <v>1</v>
      </c>
      <c r="G549" s="237" t="n">
        <v>100000</v>
      </c>
      <c r="H549" s="95">
        <f>25%*75%</f>
        <v/>
      </c>
    </row>
    <row r="550" ht="15.75" customHeight="1">
      <c r="A550" s="94" t="n">
        <v>545</v>
      </c>
      <c r="B550" s="141" t="inlineStr">
        <is>
          <t>2026/08/14 07:00</t>
        </is>
      </c>
      <c r="C550" s="141" t="inlineStr">
        <is>
          <t>PHẠM VĂN LONG</t>
        </is>
      </c>
      <c r="D550" s="141" t="inlineStr">
        <is>
          <t>01/01/1986</t>
        </is>
      </c>
      <c r="E550" s="141" t="inlineStr">
        <is>
          <t>Thay băng, cắt chỉ vết mổ [chiều dài ≤ 15cm]</t>
        </is>
      </c>
      <c r="F550" s="237" t="n">
        <v>1</v>
      </c>
      <c r="G550" s="237" t="n">
        <v>100000</v>
      </c>
      <c r="H550" s="95">
        <f>25%*75%</f>
        <v/>
      </c>
    </row>
    <row r="551" ht="15.75" customHeight="1">
      <c r="A551" s="94" t="n">
        <v>546</v>
      </c>
      <c r="B551" s="141" t="inlineStr">
        <is>
          <t>2026/08/14 07:00</t>
        </is>
      </c>
      <c r="C551" s="141" t="inlineStr">
        <is>
          <t>TRƯƠNG TRUNG TRỰC</t>
        </is>
      </c>
      <c r="D551" s="141" t="inlineStr">
        <is>
          <t>01/09/1942</t>
        </is>
      </c>
      <c r="E551" s="141" t="inlineStr">
        <is>
          <t>Thay băng, cắt chỉ vết mổ [chiều dài ≤ 15cm]</t>
        </is>
      </c>
      <c r="F551" s="237" t="n">
        <v>1</v>
      </c>
      <c r="G551" s="237" t="n">
        <v>100000</v>
      </c>
      <c r="H551" s="95">
        <f>25%*75%</f>
        <v/>
      </c>
    </row>
    <row r="552" ht="15.75" customHeight="1">
      <c r="A552" s="94" t="n">
        <v>547</v>
      </c>
      <c r="B552" s="141" t="inlineStr">
        <is>
          <t>2026/08/14 07:00</t>
        </is>
      </c>
      <c r="C552" s="141" t="inlineStr">
        <is>
          <t>VÕ VĂN ĐOÀN</t>
        </is>
      </c>
      <c r="D552" s="141" t="inlineStr">
        <is>
          <t>15/08/1978</t>
        </is>
      </c>
      <c r="E552" s="141" t="inlineStr">
        <is>
          <t>Thay băng, cắt chỉ vết mổ [chiều dài ≤ 15cm]</t>
        </is>
      </c>
      <c r="F552" s="237" t="n">
        <v>1</v>
      </c>
      <c r="G552" s="237" t="n">
        <v>100000</v>
      </c>
      <c r="H552" s="95">
        <f>25%*75%</f>
        <v/>
      </c>
    </row>
    <row r="553" ht="15.75" customHeight="1">
      <c r="A553" s="94" t="n">
        <v>548</v>
      </c>
      <c r="B553" s="141" t="inlineStr">
        <is>
          <t>2026/08/14 07:15</t>
        </is>
      </c>
      <c r="C553" s="141" t="inlineStr">
        <is>
          <t>HUỲNH VIỆT DŨNG</t>
        </is>
      </c>
      <c r="D553" s="141" t="inlineStr">
        <is>
          <t>11/04/2004</t>
        </is>
      </c>
      <c r="E553" s="141" t="inlineStr">
        <is>
          <t>Thay băng, cắt chỉ vết mổ [chiều dài ≤ 15cm]</t>
        </is>
      </c>
      <c r="F553" s="237" t="n">
        <v>1</v>
      </c>
      <c r="G553" s="237" t="n">
        <v>100000</v>
      </c>
      <c r="H553" s="95">
        <f>25%*75%</f>
        <v/>
      </c>
    </row>
    <row r="554" ht="15.75" customHeight="1">
      <c r="A554" s="94" t="n">
        <v>549</v>
      </c>
      <c r="B554" s="141" t="inlineStr">
        <is>
          <t>2026/08/14 07:15</t>
        </is>
      </c>
      <c r="C554" s="141" t="inlineStr">
        <is>
          <t>LÊ NGỌC ĐIỆP</t>
        </is>
      </c>
      <c r="D554" s="141" t="inlineStr">
        <is>
          <t>29/08/1962</t>
        </is>
      </c>
      <c r="E554" s="141" t="inlineStr">
        <is>
          <t>Thay băng, cắt chỉ vết mổ [chiều dài ≤ 15cm]</t>
        </is>
      </c>
      <c r="F554" s="237" t="n">
        <v>1</v>
      </c>
      <c r="G554" s="237" t="n">
        <v>100000</v>
      </c>
      <c r="H554" s="95">
        <f>25%*75%</f>
        <v/>
      </c>
    </row>
    <row r="555" ht="15.75" customHeight="1">
      <c r="A555" s="94" t="n">
        <v>550</v>
      </c>
      <c r="B555" s="141" t="inlineStr">
        <is>
          <t>2026/08/14 07:15</t>
        </is>
      </c>
      <c r="C555" s="141" t="inlineStr">
        <is>
          <t>NGUYỄN THỊ HẢI</t>
        </is>
      </c>
      <c r="D555" s="141" t="inlineStr">
        <is>
          <t>01/01/1951</t>
        </is>
      </c>
      <c r="E555" s="141" t="inlineStr">
        <is>
          <t>Truyền hóa chất tĩnh mạch [nội trú]</t>
        </is>
      </c>
      <c r="F555" s="237" t="n">
        <v>1</v>
      </c>
      <c r="G555" s="237" t="n">
        <v>400000</v>
      </c>
      <c r="H555" s="95">
        <f>25%*75%</f>
        <v/>
      </c>
    </row>
    <row r="556" ht="15.75" customHeight="1">
      <c r="A556" s="94" t="n">
        <v>551</v>
      </c>
      <c r="B556" s="141" t="inlineStr">
        <is>
          <t>2026/08/14 07:20</t>
        </is>
      </c>
      <c r="C556" s="141" t="inlineStr">
        <is>
          <t>NGUYỄN THỊ XUÂN LAN</t>
        </is>
      </c>
      <c r="D556" s="141" t="inlineStr">
        <is>
          <t>30/12/1956</t>
        </is>
      </c>
      <c r="E556" s="141" t="inlineStr">
        <is>
          <t>Thay băng, cắt chỉ vết mổ [chiều dài ≤ 15cm]</t>
        </is>
      </c>
      <c r="F556" s="237" t="n">
        <v>1</v>
      </c>
      <c r="G556" s="237" t="n">
        <v>100000</v>
      </c>
      <c r="H556" s="95">
        <f>25%*75%</f>
        <v/>
      </c>
    </row>
    <row r="557" ht="15.75" customHeight="1">
      <c r="A557" s="94" t="n">
        <v>552</v>
      </c>
      <c r="B557" s="141" t="inlineStr">
        <is>
          <t>2026/08/14 08:00</t>
        </is>
      </c>
      <c r="C557" s="141" t="inlineStr">
        <is>
          <t>VĂNG VĂN ĐỒ</t>
        </is>
      </c>
      <c r="D557" s="141" t="inlineStr">
        <is>
          <t>25/05/1972</t>
        </is>
      </c>
      <c r="E557" s="141" t="inlineStr">
        <is>
          <t>Thay băng, cắt chỉ vết mổ [chiều dài ≤ 15cm]</t>
        </is>
      </c>
      <c r="F557" s="237" t="n">
        <v>1</v>
      </c>
      <c r="G557" s="237" t="n">
        <v>100000</v>
      </c>
      <c r="H557" s="95">
        <f>25%*75%</f>
        <v/>
      </c>
    </row>
    <row r="558" ht="15.75" customHeight="1">
      <c r="A558" s="94" t="n">
        <v>553</v>
      </c>
      <c r="B558" s="141" t="inlineStr">
        <is>
          <t>2026/08/14 17:15</t>
        </is>
      </c>
      <c r="C558" s="141" t="inlineStr">
        <is>
          <t>NGUYỄN QUỐC HỌC</t>
        </is>
      </c>
      <c r="D558" s="141" t="inlineStr">
        <is>
          <t>01/09/2009</t>
        </is>
      </c>
      <c r="E558" s="141" t="inlineStr">
        <is>
          <t>Thay băng, cắt chỉ vết mổ [chiều dài ≤ 15cm]</t>
        </is>
      </c>
      <c r="F558" s="237" t="n">
        <v>1</v>
      </c>
      <c r="G558" s="237" t="n">
        <v>100000</v>
      </c>
      <c r="H558" s="95">
        <f>25%*75%</f>
        <v/>
      </c>
    </row>
    <row r="559" ht="15.75" customHeight="1">
      <c r="A559" s="94" t="n">
        <v>554</v>
      </c>
      <c r="B559" s="141" t="inlineStr">
        <is>
          <t>2026/08/14 18:43</t>
        </is>
      </c>
      <c r="C559" s="141" t="inlineStr">
        <is>
          <t>NGUYỄN THỊ TÁM</t>
        </is>
      </c>
      <c r="D559" s="141" t="inlineStr">
        <is>
          <t>01/01/1957</t>
        </is>
      </c>
      <c r="E559" s="141" t="inlineStr">
        <is>
          <t>Thay băng, cắt chỉ vết mổ [chiều dài ≤ 15cm]</t>
        </is>
      </c>
      <c r="F559" s="237" t="n">
        <v>1</v>
      </c>
      <c r="G559" s="237" t="n">
        <v>100000</v>
      </c>
      <c r="H559" s="95">
        <f>25%*75%</f>
        <v/>
      </c>
    </row>
    <row r="560" ht="15.75" customHeight="1">
      <c r="A560" s="94" t="n">
        <v>555</v>
      </c>
      <c r="B560" s="141" t="inlineStr">
        <is>
          <t>2026/08/14 20:53</t>
        </is>
      </c>
      <c r="C560" s="141" t="inlineStr">
        <is>
          <t>TRƯƠNG VĂN ÚT</t>
        </is>
      </c>
      <c r="D560" s="141" t="inlineStr">
        <is>
          <t>01/01/1948</t>
        </is>
      </c>
      <c r="E560" s="141" t="inlineStr">
        <is>
          <t>Thay băng, cắt chỉ vết mổ [chiều dài ≤ 15cm]</t>
        </is>
      </c>
      <c r="F560" s="237" t="n">
        <v>1</v>
      </c>
      <c r="G560" s="237" t="n">
        <v>100000</v>
      </c>
      <c r="H560" s="95">
        <f>25%*75%</f>
        <v/>
      </c>
    </row>
    <row r="561" ht="15.75" customHeight="1">
      <c r="A561" s="94" t="n">
        <v>556</v>
      </c>
      <c r="B561" s="141" t="inlineStr">
        <is>
          <t>2026/08/15 05:00</t>
        </is>
      </c>
      <c r="C561" s="141" t="inlineStr">
        <is>
          <t>HUỲNH NGỌC SƠN</t>
        </is>
      </c>
      <c r="D561" s="141" t="inlineStr">
        <is>
          <t>21/10/2002</t>
        </is>
      </c>
      <c r="E561" s="141" t="inlineStr">
        <is>
          <t>Thay băng, cắt chỉ vết mổ [chiều dài ≤ 15cm]</t>
        </is>
      </c>
      <c r="F561" s="237" t="n">
        <v>1</v>
      </c>
      <c r="G561" s="237" t="n">
        <v>100000</v>
      </c>
      <c r="H561" s="95">
        <f>25%*75%</f>
        <v/>
      </c>
    </row>
    <row r="562" ht="15.75" customHeight="1">
      <c r="A562" s="94" t="n">
        <v>557</v>
      </c>
      <c r="B562" s="141" t="inlineStr">
        <is>
          <t>2026/08/15 05:00</t>
        </is>
      </c>
      <c r="C562" s="141" t="inlineStr">
        <is>
          <t>HÀ MINH HUY</t>
        </is>
      </c>
      <c r="D562" s="141" t="inlineStr">
        <is>
          <t>28/01/1964</t>
        </is>
      </c>
      <c r="E562" s="141" t="inlineStr">
        <is>
          <t>Thay băng, cắt chỉ vết mổ [chiều dài ≤ 15cm]</t>
        </is>
      </c>
      <c r="F562" s="237" t="n">
        <v>1</v>
      </c>
      <c r="G562" s="237" t="n">
        <v>100000</v>
      </c>
      <c r="H562" s="95">
        <f>25%*75%</f>
        <v/>
      </c>
    </row>
    <row r="563" ht="15.75" customHeight="1">
      <c r="A563" s="94" t="n">
        <v>558</v>
      </c>
      <c r="B563" s="141" t="inlineStr">
        <is>
          <t>2026/08/15 05:00</t>
        </is>
      </c>
      <c r="C563" s="141" t="inlineStr">
        <is>
          <t>LÊ NGỌC ĐIỆP</t>
        </is>
      </c>
      <c r="D563" s="141" t="inlineStr">
        <is>
          <t>29/08/1962</t>
        </is>
      </c>
      <c r="E563" s="141" t="inlineStr">
        <is>
          <t>Thay băng, cắt chỉ vết mổ [chiều dài ≤ 15cm]</t>
        </is>
      </c>
      <c r="F563" s="237" t="n">
        <v>1</v>
      </c>
      <c r="G563" s="237" t="n">
        <v>100000</v>
      </c>
      <c r="H563" s="95">
        <f>25%*75%</f>
        <v/>
      </c>
    </row>
    <row r="564" ht="15.75" customHeight="1">
      <c r="A564" s="94" t="n">
        <v>559</v>
      </c>
      <c r="B564" s="141" t="inlineStr">
        <is>
          <t>2026/08/15 05:00</t>
        </is>
      </c>
      <c r="C564" s="141" t="inlineStr">
        <is>
          <t>LÊ THANH HIỀN</t>
        </is>
      </c>
      <c r="D564" s="141" t="inlineStr">
        <is>
          <t>04/10/1989</t>
        </is>
      </c>
      <c r="E564" s="141" t="inlineStr">
        <is>
          <t>Thay băng, cắt chỉ vết mổ [chiều dài ≤ 15cm]</t>
        </is>
      </c>
      <c r="F564" s="237" t="n">
        <v>1</v>
      </c>
      <c r="G564" s="237" t="n">
        <v>100000</v>
      </c>
      <c r="H564" s="95">
        <f>25%*75%</f>
        <v/>
      </c>
    </row>
    <row r="565" ht="15.75" customHeight="1">
      <c r="A565" s="94" t="n">
        <v>560</v>
      </c>
      <c r="B565" s="141" t="inlineStr">
        <is>
          <t>2026/08/15 05:00</t>
        </is>
      </c>
      <c r="C565" s="141" t="inlineStr">
        <is>
          <t>LÊ THANH TUẤN</t>
        </is>
      </c>
      <c r="D565" s="141" t="inlineStr">
        <is>
          <t>24/12/1980</t>
        </is>
      </c>
      <c r="E565" s="141" t="inlineStr">
        <is>
          <t>Thay băng, cắt chỉ vết mổ [chiều dài ≤ 15cm]</t>
        </is>
      </c>
      <c r="F565" s="237" t="n">
        <v>1</v>
      </c>
      <c r="G565" s="237" t="n">
        <v>100000</v>
      </c>
      <c r="H565" s="95">
        <f>25%*75%</f>
        <v/>
      </c>
    </row>
    <row r="566" ht="15.75" customHeight="1">
      <c r="A566" s="94" t="n">
        <v>561</v>
      </c>
      <c r="B566" s="141" t="inlineStr">
        <is>
          <t>2026/08/15 05:00</t>
        </is>
      </c>
      <c r="C566" s="141" t="inlineStr">
        <is>
          <t>LÊ THỊ BUỐN</t>
        </is>
      </c>
      <c r="D566" s="141" t="inlineStr">
        <is>
          <t>24/10/1948</t>
        </is>
      </c>
      <c r="E566" s="141" t="inlineStr">
        <is>
          <t>Thay băng, cắt chỉ vết mổ [chiều dài ≤ 15cm]</t>
        </is>
      </c>
      <c r="F566" s="237" t="n">
        <v>1</v>
      </c>
      <c r="G566" s="237" t="n">
        <v>100000</v>
      </c>
      <c r="H566" s="95">
        <f>25%*75%</f>
        <v/>
      </c>
    </row>
    <row r="567" ht="15.75" customHeight="1">
      <c r="A567" s="94" t="n">
        <v>562</v>
      </c>
      <c r="B567" s="141" t="inlineStr">
        <is>
          <t>2026/08/15 05:00</t>
        </is>
      </c>
      <c r="C567" s="141" t="inlineStr">
        <is>
          <t>LÊ THỊ ÚT NHỎ</t>
        </is>
      </c>
      <c r="D567" s="141" t="inlineStr">
        <is>
          <t>15/10/1978</t>
        </is>
      </c>
      <c r="E567" s="141" t="inlineStr">
        <is>
          <t>Thay băng, cắt chỉ vết mổ [chiều dài ≤ 15cm]</t>
        </is>
      </c>
      <c r="F567" s="237" t="n">
        <v>1</v>
      </c>
      <c r="G567" s="237" t="n">
        <v>100000</v>
      </c>
      <c r="H567" s="95">
        <f>25%*75%</f>
        <v/>
      </c>
    </row>
    <row r="568" ht="15.75" customHeight="1">
      <c r="A568" s="94" t="n">
        <v>563</v>
      </c>
      <c r="B568" s="141" t="inlineStr">
        <is>
          <t>2026/08/15 05:00</t>
        </is>
      </c>
      <c r="C568" s="141" t="inlineStr">
        <is>
          <t>NGUYỄN QUỐC HỌC</t>
        </is>
      </c>
      <c r="D568" s="141" t="inlineStr">
        <is>
          <t>01/09/2009</t>
        </is>
      </c>
      <c r="E568" s="141" t="inlineStr">
        <is>
          <t>Thay băng, cắt chỉ vết mổ [chiều dài ≤ 15cm]</t>
        </is>
      </c>
      <c r="F568" s="237" t="n">
        <v>1</v>
      </c>
      <c r="G568" s="237" t="n">
        <v>100000</v>
      </c>
      <c r="H568" s="95">
        <f>25%*75%</f>
        <v/>
      </c>
    </row>
    <row r="569" ht="15.75" customHeight="1">
      <c r="A569" s="94" t="n">
        <v>564</v>
      </c>
      <c r="B569" s="141" t="inlineStr">
        <is>
          <t>2026/08/15 05:00</t>
        </is>
      </c>
      <c r="C569" s="141" t="inlineStr">
        <is>
          <t>NGUYỄN THỊ DUNG</t>
        </is>
      </c>
      <c r="D569" s="141" t="inlineStr">
        <is>
          <t>01/01/1944</t>
        </is>
      </c>
      <c r="E569" s="141" t="inlineStr">
        <is>
          <t>Thay băng, cắt chỉ vết mổ [chiều dài ≤ 15cm]</t>
        </is>
      </c>
      <c r="F569" s="237" t="n">
        <v>1</v>
      </c>
      <c r="G569" s="237" t="n">
        <v>100000</v>
      </c>
      <c r="H569" s="95">
        <f>25%*75%</f>
        <v/>
      </c>
    </row>
    <row r="570" ht="15.75" customHeight="1">
      <c r="A570" s="94" t="n">
        <v>565</v>
      </c>
      <c r="B570" s="141" t="inlineStr">
        <is>
          <t>2026/08/15 05:00</t>
        </is>
      </c>
      <c r="C570" s="141" t="inlineStr">
        <is>
          <t>NGUYỄN THỊ HƯƠNG</t>
        </is>
      </c>
      <c r="D570" s="141" t="inlineStr">
        <is>
          <t>02/07/1965</t>
        </is>
      </c>
      <c r="E570" s="141" t="inlineStr">
        <is>
          <t>Thay băng, cắt chỉ vết mổ [chiều dài ≤ 15cm]</t>
        </is>
      </c>
      <c r="F570" s="237" t="n">
        <v>1</v>
      </c>
      <c r="G570" s="237" t="n">
        <v>100000</v>
      </c>
      <c r="H570" s="95">
        <f>25%*75%</f>
        <v/>
      </c>
    </row>
    <row r="571" ht="15.75" customHeight="1">
      <c r="A571" s="94" t="n">
        <v>566</v>
      </c>
      <c r="B571" s="141" t="inlineStr">
        <is>
          <t>2026/08/15 05:00</t>
        </is>
      </c>
      <c r="C571" s="141" t="inlineStr">
        <is>
          <t>NGUYỄN THỊ HƯỞNG</t>
        </is>
      </c>
      <c r="D571" s="141" t="inlineStr">
        <is>
          <t>12/04/1971</t>
        </is>
      </c>
      <c r="E571" s="141" t="inlineStr">
        <is>
          <t>Thay băng, cắt chỉ vết mổ [chiều dài ≤ 15cm]</t>
        </is>
      </c>
      <c r="F571" s="237" t="n">
        <v>1</v>
      </c>
      <c r="G571" s="237" t="n">
        <v>100000</v>
      </c>
      <c r="H571" s="95">
        <f>25%*75%</f>
        <v/>
      </c>
    </row>
    <row r="572" ht="15.75" customHeight="1">
      <c r="A572" s="94" t="n">
        <v>567</v>
      </c>
      <c r="B572" s="141" t="inlineStr">
        <is>
          <t>2026/08/15 05:00</t>
        </is>
      </c>
      <c r="C572" s="141" t="inlineStr">
        <is>
          <t>NGUYỄN THỊ ÚT EM</t>
        </is>
      </c>
      <c r="D572" s="141" t="inlineStr">
        <is>
          <t>01/01/1962</t>
        </is>
      </c>
      <c r="E572" s="141" t="inlineStr">
        <is>
          <t>Thay băng, cắt chỉ vết mổ [chiều dài ≤ 15cm]</t>
        </is>
      </c>
      <c r="F572" s="237" t="n">
        <v>1</v>
      </c>
      <c r="G572" s="237" t="n">
        <v>100000</v>
      </c>
      <c r="H572" s="95">
        <f>25%*75%</f>
        <v/>
      </c>
    </row>
    <row r="573" ht="15.75" customHeight="1">
      <c r="A573" s="94" t="n">
        <v>568</v>
      </c>
      <c r="B573" s="141" t="inlineStr">
        <is>
          <t>2026/08/15 05:00</t>
        </is>
      </c>
      <c r="C573" s="141" t="inlineStr">
        <is>
          <t>TRƯƠNG TRUNG TRỰC</t>
        </is>
      </c>
      <c r="D573" s="141" t="inlineStr">
        <is>
          <t>01/09/1942</t>
        </is>
      </c>
      <c r="E573" s="141" t="inlineStr">
        <is>
          <t>Thay băng, cắt chỉ vết mổ [chiều dài ≤ 15cm]</t>
        </is>
      </c>
      <c r="F573" s="237" t="n">
        <v>1</v>
      </c>
      <c r="G573" s="237" t="n">
        <v>100000</v>
      </c>
      <c r="H573" s="95">
        <f>25%*75%</f>
        <v/>
      </c>
    </row>
    <row r="574" ht="15.75" customHeight="1">
      <c r="A574" s="94" t="n">
        <v>569</v>
      </c>
      <c r="B574" s="141" t="inlineStr">
        <is>
          <t>2026/08/15 05:00</t>
        </is>
      </c>
      <c r="C574" s="141" t="inlineStr">
        <is>
          <t>TRẦN LỆ XUÂN</t>
        </is>
      </c>
      <c r="D574" s="141" t="inlineStr">
        <is>
          <t>01/01/1964</t>
        </is>
      </c>
      <c r="E574" s="141" t="inlineStr">
        <is>
          <t>Thay băng, cắt chỉ vết mổ [chiều dài ≤ 15cm]</t>
        </is>
      </c>
      <c r="F574" s="237" t="n">
        <v>1</v>
      </c>
      <c r="G574" s="237" t="n">
        <v>100000</v>
      </c>
      <c r="H574" s="95">
        <f>25%*75%</f>
        <v/>
      </c>
    </row>
    <row r="575" ht="15.75" customHeight="1">
      <c r="A575" s="94" t="n">
        <v>570</v>
      </c>
      <c r="B575" s="141" t="inlineStr">
        <is>
          <t>2026/08/15 05:00</t>
        </is>
      </c>
      <c r="C575" s="141" t="inlineStr">
        <is>
          <t>TĂNG THỊ MIỀN</t>
        </is>
      </c>
      <c r="D575" s="141" t="inlineStr">
        <is>
          <t>01/01/1951</t>
        </is>
      </c>
      <c r="E575" s="141" t="inlineStr">
        <is>
          <t>Thay băng, cắt chỉ vết mổ [chiều dài ≤ 15cm]</t>
        </is>
      </c>
      <c r="F575" s="237" t="n">
        <v>1</v>
      </c>
      <c r="G575" s="237" t="n">
        <v>100000</v>
      </c>
      <c r="H575" s="95">
        <f>25%*75%</f>
        <v/>
      </c>
    </row>
    <row r="576" ht="15.75" customHeight="1">
      <c r="A576" s="94" t="n">
        <v>571</v>
      </c>
      <c r="B576" s="141" t="inlineStr">
        <is>
          <t>2026/08/15 05:00</t>
        </is>
      </c>
      <c r="C576" s="141" t="inlineStr">
        <is>
          <t>VÕ THÀNH LONG</t>
        </is>
      </c>
      <c r="D576" s="141" t="inlineStr">
        <is>
          <t>06/06/1966</t>
        </is>
      </c>
      <c r="E576" s="141" t="inlineStr">
        <is>
          <t>Thay băng, cắt chỉ vết mổ [chiều dài ≤ 15cm]</t>
        </is>
      </c>
      <c r="F576" s="237" t="n">
        <v>1</v>
      </c>
      <c r="G576" s="237" t="n">
        <v>100000</v>
      </c>
      <c r="H576" s="95">
        <f>25%*75%</f>
        <v/>
      </c>
    </row>
    <row r="577" ht="15.75" customHeight="1">
      <c r="A577" s="94" t="n">
        <v>572</v>
      </c>
      <c r="B577" s="141" t="inlineStr">
        <is>
          <t>2026/08/15 05:00</t>
        </is>
      </c>
      <c r="C577" s="141" t="inlineStr">
        <is>
          <t>VÕ VĂN ĐOÀN</t>
        </is>
      </c>
      <c r="D577" s="141" t="inlineStr">
        <is>
          <t>15/08/1978</t>
        </is>
      </c>
      <c r="E577" s="141" t="inlineStr">
        <is>
          <t>Thay băng, cắt chỉ vết mổ [chiều dài ≤ 15cm]</t>
        </is>
      </c>
      <c r="F577" s="237" t="n">
        <v>1</v>
      </c>
      <c r="G577" s="237" t="n">
        <v>100000</v>
      </c>
      <c r="H577" s="95">
        <f>25%*75%</f>
        <v/>
      </c>
    </row>
    <row r="578" ht="15.75" customHeight="1">
      <c r="A578" s="94" t="n">
        <v>573</v>
      </c>
      <c r="B578" s="141" t="inlineStr">
        <is>
          <t>2026/08/15 05:00</t>
        </is>
      </c>
      <c r="C578" s="141" t="inlineStr">
        <is>
          <t>ĐẶNG ĐÌNH BẰNG</t>
        </is>
      </c>
      <c r="D578" s="141" t="inlineStr">
        <is>
          <t>25/08/1985</t>
        </is>
      </c>
      <c r="E578" s="141" t="inlineStr">
        <is>
          <t>Thay băng, cắt chỉ vết mổ [chiều dài ≤ 15cm]</t>
        </is>
      </c>
      <c r="F578" s="237" t="n">
        <v>1</v>
      </c>
      <c r="G578" s="237" t="n">
        <v>100000</v>
      </c>
      <c r="H578" s="95">
        <f>25%*75%</f>
        <v/>
      </c>
    </row>
    <row r="579" ht="15.75" customHeight="1">
      <c r="A579" s="94" t="n">
        <v>574</v>
      </c>
      <c r="B579" s="141" t="inlineStr">
        <is>
          <t>2026/08/15 08:00</t>
        </is>
      </c>
      <c r="C579" s="141" t="inlineStr">
        <is>
          <t>MAI VĂN ANH</t>
        </is>
      </c>
      <c r="D579" s="141" t="inlineStr">
        <is>
          <t>01/01/1980</t>
        </is>
      </c>
      <c r="E579" s="141" t="inlineStr">
        <is>
          <t>Thay băng, cắt chỉ vết mổ [chiều dài ≤ 15cm]</t>
        </is>
      </c>
      <c r="F579" s="237" t="n">
        <v>1</v>
      </c>
      <c r="G579" s="237" t="n">
        <v>100000</v>
      </c>
      <c r="H579" s="95">
        <f>25%*75%</f>
        <v/>
      </c>
    </row>
    <row r="580" ht="15.75" customHeight="1">
      <c r="A580" s="94" t="n">
        <v>575</v>
      </c>
      <c r="B580" s="141" t="inlineStr">
        <is>
          <t>2026/08/15 08:00</t>
        </is>
      </c>
      <c r="C580" s="141" t="inlineStr">
        <is>
          <t>NGUYỄN THỊ TÁM</t>
        </is>
      </c>
      <c r="D580" s="141" t="inlineStr">
        <is>
          <t>01/01/1957</t>
        </is>
      </c>
      <c r="E580" s="141" t="inlineStr">
        <is>
          <t>Thay băng, cắt chỉ vết mổ [chiều dài ≤ 15cm]</t>
        </is>
      </c>
      <c r="F580" s="237" t="n">
        <v>1</v>
      </c>
      <c r="G580" s="237" t="n">
        <v>100000</v>
      </c>
      <c r="H580" s="95">
        <f>25%*75%</f>
        <v/>
      </c>
    </row>
    <row r="581" ht="15.75" customHeight="1">
      <c r="A581" s="94" t="n">
        <v>576</v>
      </c>
      <c r="B581" s="141" t="inlineStr">
        <is>
          <t>2026/08/15 08:00</t>
        </is>
      </c>
      <c r="C581" s="141" t="inlineStr">
        <is>
          <t>PHẠM VĂN LONG</t>
        </is>
      </c>
      <c r="D581" s="141" t="inlineStr">
        <is>
          <t>01/01/1986</t>
        </is>
      </c>
      <c r="E581" s="141" t="inlineStr">
        <is>
          <t>Thay băng, cắt chỉ vết mổ [chiều dài ≤ 15cm]</t>
        </is>
      </c>
      <c r="F581" s="237" t="n">
        <v>1</v>
      </c>
      <c r="G581" s="237" t="n">
        <v>100000</v>
      </c>
      <c r="H581" s="95">
        <f>25%*75%</f>
        <v/>
      </c>
    </row>
    <row r="582" ht="15.75" customHeight="1">
      <c r="A582" s="94" t="n">
        <v>577</v>
      </c>
      <c r="B582" s="141" t="inlineStr">
        <is>
          <t>2026/08/15 08:00</t>
        </is>
      </c>
      <c r="C582" s="141" t="inlineStr">
        <is>
          <t>TRƯƠNG VĂN ÚT</t>
        </is>
      </c>
      <c r="D582" s="141" t="inlineStr">
        <is>
          <t>01/01/1948</t>
        </is>
      </c>
      <c r="E582" s="141" t="inlineStr">
        <is>
          <t>Thay băng, cắt chỉ vết mổ [chiều dài ≤ 15cm]</t>
        </is>
      </c>
      <c r="F582" s="237" t="n">
        <v>1</v>
      </c>
      <c r="G582" s="237" t="n">
        <v>100000</v>
      </c>
      <c r="H582" s="95">
        <f>25%*75%</f>
        <v/>
      </c>
    </row>
    <row r="583" ht="15.75" customHeight="1">
      <c r="A583" s="94" t="n">
        <v>578</v>
      </c>
      <c r="B583" s="141" t="inlineStr">
        <is>
          <t>2026/08/16 05:00</t>
        </is>
      </c>
      <c r="C583" s="141" t="inlineStr">
        <is>
          <t>BÙI HỮU THỌ</t>
        </is>
      </c>
      <c r="D583" s="141" t="inlineStr">
        <is>
          <t>01/02/1981</t>
        </is>
      </c>
      <c r="E583" s="141" t="inlineStr">
        <is>
          <t>Thay băng, cắt chỉ vết mổ [chiều dài ≤ 15cm]</t>
        </is>
      </c>
      <c r="F583" s="237" t="n">
        <v>1</v>
      </c>
      <c r="G583" s="237" t="n">
        <v>100000</v>
      </c>
      <c r="H583" s="95">
        <f>25%*75%</f>
        <v/>
      </c>
    </row>
    <row r="584" ht="15.75" customHeight="1">
      <c r="A584" s="94" t="n">
        <v>579</v>
      </c>
      <c r="B584" s="141" t="inlineStr">
        <is>
          <t>2026/08/16 05:00</t>
        </is>
      </c>
      <c r="C584" s="141" t="inlineStr">
        <is>
          <t>LÊ NGỌC ĐIỆP</t>
        </is>
      </c>
      <c r="D584" s="141" t="inlineStr">
        <is>
          <t>29/08/1962</t>
        </is>
      </c>
      <c r="E584" s="141" t="inlineStr">
        <is>
          <t>Thay băng, cắt chỉ vết mổ [chiều dài ≤ 15cm]</t>
        </is>
      </c>
      <c r="F584" s="237" t="n">
        <v>1</v>
      </c>
      <c r="G584" s="237" t="n">
        <v>100000</v>
      </c>
      <c r="H584" s="95">
        <f>25%*75%</f>
        <v/>
      </c>
    </row>
    <row r="585" ht="15.75" customHeight="1">
      <c r="A585" s="94" t="n">
        <v>580</v>
      </c>
      <c r="B585" s="141" t="inlineStr">
        <is>
          <t>2026/08/16 05:00</t>
        </is>
      </c>
      <c r="C585" s="141" t="inlineStr">
        <is>
          <t>LÊ THANH HIỀN</t>
        </is>
      </c>
      <c r="D585" s="141" t="inlineStr">
        <is>
          <t>04/10/1989</t>
        </is>
      </c>
      <c r="E585" s="141" t="inlineStr">
        <is>
          <t>Thay băng, cắt chỉ vết mổ [chiều dài ≤ 15cm]</t>
        </is>
      </c>
      <c r="F585" s="237" t="n">
        <v>1</v>
      </c>
      <c r="G585" s="237" t="n">
        <v>100000</v>
      </c>
      <c r="H585" s="95">
        <f>25%*75%</f>
        <v/>
      </c>
    </row>
    <row r="586" ht="15.75" customHeight="1">
      <c r="A586" s="94" t="n">
        <v>581</v>
      </c>
      <c r="B586" s="141" t="inlineStr">
        <is>
          <t>2026/08/16 05:00</t>
        </is>
      </c>
      <c r="C586" s="141" t="inlineStr">
        <is>
          <t>LÊ THANH TUẤN</t>
        </is>
      </c>
      <c r="D586" s="141" t="inlineStr">
        <is>
          <t>24/12/1980</t>
        </is>
      </c>
      <c r="E586" s="141" t="inlineStr">
        <is>
          <t>Thay băng, cắt chỉ vết mổ [chiều dài ≤ 15cm]</t>
        </is>
      </c>
      <c r="F586" s="237" t="n">
        <v>1</v>
      </c>
      <c r="G586" s="237" t="n">
        <v>100000</v>
      </c>
      <c r="H586" s="95">
        <f>25%*75%</f>
        <v/>
      </c>
    </row>
    <row r="587" ht="15.75" customHeight="1">
      <c r="A587" s="94" t="n">
        <v>582</v>
      </c>
      <c r="B587" s="141" t="inlineStr">
        <is>
          <t>2026/08/16 05:00</t>
        </is>
      </c>
      <c r="C587" s="141" t="inlineStr">
        <is>
          <t>LÊ THỊ BUỐN</t>
        </is>
      </c>
      <c r="D587" s="141" t="inlineStr">
        <is>
          <t>24/10/1948</t>
        </is>
      </c>
      <c r="E587" s="141" t="inlineStr">
        <is>
          <t>Thay băng, cắt chỉ vết mổ [chiều dài ≤ 15cm]</t>
        </is>
      </c>
      <c r="F587" s="237" t="n">
        <v>1</v>
      </c>
      <c r="G587" s="237" t="n">
        <v>100000</v>
      </c>
      <c r="H587" s="95">
        <f>25%*75%</f>
        <v/>
      </c>
    </row>
    <row r="588" ht="15.75" customHeight="1">
      <c r="A588" s="94" t="n">
        <v>583</v>
      </c>
      <c r="B588" s="141" t="inlineStr">
        <is>
          <t>2026/08/16 05:00</t>
        </is>
      </c>
      <c r="C588" s="141" t="inlineStr">
        <is>
          <t>LÊ THỊ ÚT NHỎ</t>
        </is>
      </c>
      <c r="D588" s="141" t="inlineStr">
        <is>
          <t>15/10/1978</t>
        </is>
      </c>
      <c r="E588" s="141" t="inlineStr">
        <is>
          <t>Thay băng, cắt chỉ vết mổ [chiều dài ≤ 15cm]</t>
        </is>
      </c>
      <c r="F588" s="237" t="n">
        <v>1</v>
      </c>
      <c r="G588" s="237" t="n">
        <v>100000</v>
      </c>
      <c r="H588" s="95">
        <f>25%*75%</f>
        <v/>
      </c>
    </row>
    <row r="589" ht="15.75" customHeight="1">
      <c r="A589" s="94" t="n">
        <v>584</v>
      </c>
      <c r="B589" s="141" t="inlineStr">
        <is>
          <t>2026/08/16 05:00</t>
        </is>
      </c>
      <c r="C589" s="141" t="inlineStr">
        <is>
          <t>NGUYỄN QUỐC HỌC</t>
        </is>
      </c>
      <c r="D589" s="141" t="inlineStr">
        <is>
          <t>01/09/2009</t>
        </is>
      </c>
      <c r="E589" s="141" t="inlineStr">
        <is>
          <t>Thay băng, cắt chỉ vết mổ [chiều dài ≤ 15cm]</t>
        </is>
      </c>
      <c r="F589" s="237" t="n">
        <v>1</v>
      </c>
      <c r="G589" s="237" t="n">
        <v>100000</v>
      </c>
      <c r="H589" s="95">
        <f>25%*75%</f>
        <v/>
      </c>
    </row>
    <row r="590" ht="15.75" customHeight="1">
      <c r="A590" s="94" t="n">
        <v>585</v>
      </c>
      <c r="B590" s="141" t="inlineStr">
        <is>
          <t>2026/08/16 05:00</t>
        </is>
      </c>
      <c r="C590" s="141" t="inlineStr">
        <is>
          <t>NGUYỄN THỊ DUNG</t>
        </is>
      </c>
      <c r="D590" s="141" t="inlineStr">
        <is>
          <t>01/01/1944</t>
        </is>
      </c>
      <c r="E590" s="141" t="inlineStr">
        <is>
          <t>Thay băng, cắt chỉ vết mổ [chiều dài ≤ 15cm]</t>
        </is>
      </c>
      <c r="F590" s="237" t="n">
        <v>1</v>
      </c>
      <c r="G590" s="237" t="n">
        <v>100000</v>
      </c>
      <c r="H590" s="95">
        <f>25%*75%</f>
        <v/>
      </c>
    </row>
    <row r="591" ht="15.75" customHeight="1">
      <c r="A591" s="94" t="n">
        <v>586</v>
      </c>
      <c r="B591" s="141" t="inlineStr">
        <is>
          <t>2026/08/16 05:00</t>
        </is>
      </c>
      <c r="C591" s="141" t="inlineStr">
        <is>
          <t>NGUYỄN THỊ HƯƠNG</t>
        </is>
      </c>
      <c r="D591" s="141" t="inlineStr">
        <is>
          <t>02/07/1965</t>
        </is>
      </c>
      <c r="E591" s="141" t="inlineStr">
        <is>
          <t>Thay băng, cắt chỉ vết mổ [chiều dài ≤ 15cm]</t>
        </is>
      </c>
      <c r="F591" s="237" t="n">
        <v>1</v>
      </c>
      <c r="G591" s="237" t="n">
        <v>100000</v>
      </c>
      <c r="H591" s="95">
        <f>25%*75%</f>
        <v/>
      </c>
    </row>
    <row r="592" ht="15.75" customHeight="1">
      <c r="A592" s="94" t="n">
        <v>587</v>
      </c>
      <c r="B592" s="141" t="inlineStr">
        <is>
          <t>2026/08/16 05:00</t>
        </is>
      </c>
      <c r="C592" s="141" t="inlineStr">
        <is>
          <t>NGUYỄN THỊ HƯỞNG</t>
        </is>
      </c>
      <c r="D592" s="141" t="inlineStr">
        <is>
          <t>12/04/1971</t>
        </is>
      </c>
      <c r="E592" s="141" t="inlineStr">
        <is>
          <t>Thay băng, cắt chỉ vết mổ [chiều dài ≤ 15cm]</t>
        </is>
      </c>
      <c r="F592" s="237" t="n">
        <v>1</v>
      </c>
      <c r="G592" s="237" t="n">
        <v>100000</v>
      </c>
      <c r="H592" s="95">
        <f>25%*75%</f>
        <v/>
      </c>
    </row>
    <row r="593" ht="15.75" customHeight="1">
      <c r="A593" s="94" t="n">
        <v>588</v>
      </c>
      <c r="B593" s="141" t="inlineStr">
        <is>
          <t>2026/08/16 05:00</t>
        </is>
      </c>
      <c r="C593" s="141" t="inlineStr">
        <is>
          <t>NGUYỄN THỊ HẰNG</t>
        </is>
      </c>
      <c r="D593" s="141" t="inlineStr">
        <is>
          <t>15/02/1963</t>
        </is>
      </c>
      <c r="E593" s="141" t="inlineStr">
        <is>
          <t>Thay băng, cắt chỉ vết mổ [chiều dài ≤ 15cm]</t>
        </is>
      </c>
      <c r="F593" s="237" t="n">
        <v>1</v>
      </c>
      <c r="G593" s="237" t="n">
        <v>100000</v>
      </c>
      <c r="H593" s="95">
        <f>25%*75%</f>
        <v/>
      </c>
    </row>
    <row r="594" ht="15.75" customHeight="1">
      <c r="A594" s="94" t="n">
        <v>589</v>
      </c>
      <c r="B594" s="141" t="inlineStr">
        <is>
          <t>2026/08/16 05:00</t>
        </is>
      </c>
      <c r="C594" s="141" t="inlineStr">
        <is>
          <t>NGUYỄN THỊ ÚT EM</t>
        </is>
      </c>
      <c r="D594" s="141" t="inlineStr">
        <is>
          <t>01/01/1962</t>
        </is>
      </c>
      <c r="E594" s="141" t="inlineStr">
        <is>
          <t>Thay băng, cắt chỉ vết mổ [chiều dài ≤ 15cm]</t>
        </is>
      </c>
      <c r="F594" s="237" t="n">
        <v>1</v>
      </c>
      <c r="G594" s="237" t="n">
        <v>100000</v>
      </c>
      <c r="H594" s="95">
        <f>25%*75%</f>
        <v/>
      </c>
    </row>
    <row r="595" ht="15.75" customHeight="1">
      <c r="A595" s="94" t="n">
        <v>590</v>
      </c>
      <c r="B595" s="141" t="inlineStr">
        <is>
          <t>2026/08/16 05:00</t>
        </is>
      </c>
      <c r="C595" s="141" t="inlineStr">
        <is>
          <t>TRƯƠNG TRUNG TRỰC</t>
        </is>
      </c>
      <c r="D595" s="141" t="inlineStr">
        <is>
          <t>01/09/1942</t>
        </is>
      </c>
      <c r="E595" s="141" t="inlineStr">
        <is>
          <t>Thay băng, cắt chỉ vết mổ [chiều dài ≤ 15cm]</t>
        </is>
      </c>
      <c r="F595" s="237" t="n">
        <v>1</v>
      </c>
      <c r="G595" s="237" t="n">
        <v>100000</v>
      </c>
      <c r="H595" s="95">
        <f>25%*75%</f>
        <v/>
      </c>
    </row>
    <row r="596" ht="15.75" customHeight="1">
      <c r="A596" s="94" t="n">
        <v>591</v>
      </c>
      <c r="B596" s="141" t="inlineStr">
        <is>
          <t>2026/08/16 05:00</t>
        </is>
      </c>
      <c r="C596" s="141" t="inlineStr">
        <is>
          <t>TRẦN HIỀN</t>
        </is>
      </c>
      <c r="D596" s="141" t="inlineStr">
        <is>
          <t>01/01/1971</t>
        </is>
      </c>
      <c r="E596" s="141" t="inlineStr">
        <is>
          <t>Thay băng, cắt chỉ vết mổ [chiều dài ≤ 15cm]</t>
        </is>
      </c>
      <c r="F596" s="237" t="n">
        <v>1</v>
      </c>
      <c r="G596" s="237" t="n">
        <v>100000</v>
      </c>
      <c r="H596" s="95">
        <f>25%*75%</f>
        <v/>
      </c>
    </row>
    <row r="597" ht="15.75" customHeight="1">
      <c r="A597" s="94" t="n">
        <v>592</v>
      </c>
      <c r="B597" s="141" t="inlineStr">
        <is>
          <t>2026/08/16 05:00</t>
        </is>
      </c>
      <c r="C597" s="141" t="inlineStr">
        <is>
          <t>TRẦN LỆ XUÂN</t>
        </is>
      </c>
      <c r="D597" s="141" t="inlineStr">
        <is>
          <t>01/01/1964</t>
        </is>
      </c>
      <c r="E597" s="141" t="inlineStr">
        <is>
          <t>Thay băng, cắt chỉ vết mổ [chiều dài ≤ 15cm]</t>
        </is>
      </c>
      <c r="F597" s="237" t="n">
        <v>1</v>
      </c>
      <c r="G597" s="237" t="n">
        <v>100000</v>
      </c>
      <c r="H597" s="95">
        <f>25%*75%</f>
        <v/>
      </c>
    </row>
    <row r="598" ht="15.75" customHeight="1">
      <c r="A598" s="94" t="n">
        <v>593</v>
      </c>
      <c r="B598" s="141" t="inlineStr">
        <is>
          <t>2026/08/16 05:00</t>
        </is>
      </c>
      <c r="C598" s="141" t="inlineStr">
        <is>
          <t>TRẦN VĂN LẸ</t>
        </is>
      </c>
      <c r="D598" s="141" t="inlineStr">
        <is>
          <t>01/01/1975</t>
        </is>
      </c>
      <c r="E598" s="141" t="inlineStr">
        <is>
          <t>Thay băng, cắt chỉ vết mổ [chiều dài ≤ 15cm]</t>
        </is>
      </c>
      <c r="F598" s="237" t="n">
        <v>1</v>
      </c>
      <c r="G598" s="237" t="n">
        <v>100000</v>
      </c>
      <c r="H598" s="95">
        <f>25%*75%</f>
        <v/>
      </c>
    </row>
    <row r="599" ht="15.75" customHeight="1">
      <c r="A599" s="94" t="n">
        <v>594</v>
      </c>
      <c r="B599" s="141" t="inlineStr">
        <is>
          <t>2026/08/16 05:00</t>
        </is>
      </c>
      <c r="C599" s="141" t="inlineStr">
        <is>
          <t>TĂNG THỊ MIỀN</t>
        </is>
      </c>
      <c r="D599" s="141" t="inlineStr">
        <is>
          <t>01/01/1951</t>
        </is>
      </c>
      <c r="E599" s="141" t="inlineStr">
        <is>
          <t>Thay băng, cắt chỉ vết mổ [chiều dài ≤ 15cm]</t>
        </is>
      </c>
      <c r="F599" s="237" t="n">
        <v>1</v>
      </c>
      <c r="G599" s="237" t="n">
        <v>100000</v>
      </c>
      <c r="H599" s="95">
        <f>25%*75%</f>
        <v/>
      </c>
    </row>
    <row r="600" ht="15.75" customHeight="1">
      <c r="A600" s="94" t="n">
        <v>595</v>
      </c>
      <c r="B600" s="141" t="inlineStr">
        <is>
          <t>2026/08/16 05:00</t>
        </is>
      </c>
      <c r="C600" s="141" t="inlineStr">
        <is>
          <t>VÕ THÀNH LONG</t>
        </is>
      </c>
      <c r="D600" s="141" t="inlineStr">
        <is>
          <t>06/06/1966</t>
        </is>
      </c>
      <c r="E600" s="141" t="inlineStr">
        <is>
          <t>Thay băng, cắt chỉ vết mổ [chiều dài ≤ 15cm]</t>
        </is>
      </c>
      <c r="F600" s="237" t="n">
        <v>1</v>
      </c>
      <c r="G600" s="237" t="n">
        <v>100000</v>
      </c>
      <c r="H600" s="95">
        <f>25%*75%</f>
        <v/>
      </c>
    </row>
    <row r="601" ht="15.75" customHeight="1">
      <c r="A601" s="94" t="n">
        <v>596</v>
      </c>
      <c r="B601" s="141" t="inlineStr">
        <is>
          <t>2026/08/16 05:00</t>
        </is>
      </c>
      <c r="C601" s="141" t="inlineStr">
        <is>
          <t>VÕ VĂN ĐOÀN</t>
        </is>
      </c>
      <c r="D601" s="141" t="inlineStr">
        <is>
          <t>15/08/1978</t>
        </is>
      </c>
      <c r="E601" s="141" t="inlineStr">
        <is>
          <t>Thay băng, cắt chỉ vết mổ [chiều dài ≤ 15cm]</t>
        </is>
      </c>
      <c r="F601" s="237" t="n">
        <v>1</v>
      </c>
      <c r="G601" s="237" t="n">
        <v>100000</v>
      </c>
      <c r="H601" s="95">
        <f>25%*75%</f>
        <v/>
      </c>
    </row>
    <row r="602" ht="15.75" customHeight="1">
      <c r="A602" s="94" t="n">
        <v>597</v>
      </c>
      <c r="B602" s="141" t="inlineStr">
        <is>
          <t>2026/08/16 05:00</t>
        </is>
      </c>
      <c r="C602" s="141" t="inlineStr">
        <is>
          <t>ĐẶNG ĐÌNH BẰNG</t>
        </is>
      </c>
      <c r="D602" s="141" t="inlineStr">
        <is>
          <t>25/08/1985</t>
        </is>
      </c>
      <c r="E602" s="141" t="inlineStr">
        <is>
          <t>Thay băng, cắt chỉ vết mổ [chiều dài ≤ 15cm]</t>
        </is>
      </c>
      <c r="F602" s="237" t="n">
        <v>1</v>
      </c>
      <c r="G602" s="237" t="n">
        <v>100000</v>
      </c>
      <c r="H602" s="95">
        <f>25%*75%</f>
        <v/>
      </c>
    </row>
    <row r="603" ht="15.75" customHeight="1">
      <c r="A603" s="94" t="n">
        <v>598</v>
      </c>
      <c r="B603" s="141" t="inlineStr">
        <is>
          <t>2026/08/16 08:00</t>
        </is>
      </c>
      <c r="C603" s="141" t="inlineStr">
        <is>
          <t>MAI VĂN ANH</t>
        </is>
      </c>
      <c r="D603" s="141" t="inlineStr">
        <is>
          <t>01/01/1980</t>
        </is>
      </c>
      <c r="E603" s="141" t="inlineStr">
        <is>
          <t>Thay băng, cắt chỉ vết mổ [chiều dài ≤ 15cm]</t>
        </is>
      </c>
      <c r="F603" s="237" t="n">
        <v>1</v>
      </c>
      <c r="G603" s="237" t="n">
        <v>100000</v>
      </c>
      <c r="H603" s="95">
        <f>25%*75%</f>
        <v/>
      </c>
    </row>
    <row r="604" ht="15.75" customHeight="1">
      <c r="A604" s="94" t="n">
        <v>599</v>
      </c>
      <c r="B604" s="141" t="inlineStr">
        <is>
          <t>2026/08/16 08:00</t>
        </is>
      </c>
      <c r="C604" s="141" t="inlineStr">
        <is>
          <t>NGUYỄN THỊ XUÂN LAN</t>
        </is>
      </c>
      <c r="D604" s="141" t="inlineStr">
        <is>
          <t>30/12/1956</t>
        </is>
      </c>
      <c r="E604" s="141" t="inlineStr">
        <is>
          <t>Thay băng, cắt chỉ vết mổ [chiều dài ≤ 15cm]</t>
        </is>
      </c>
      <c r="F604" s="237" t="n">
        <v>1</v>
      </c>
      <c r="G604" s="237" t="n">
        <v>100000</v>
      </c>
      <c r="H604" s="95">
        <f>25%*75%</f>
        <v/>
      </c>
    </row>
    <row r="605" ht="15.75" customHeight="1">
      <c r="A605" s="94" t="n">
        <v>600</v>
      </c>
      <c r="B605" s="141" t="inlineStr">
        <is>
          <t>2026/08/16 08:00</t>
        </is>
      </c>
      <c r="C605" s="141" t="inlineStr">
        <is>
          <t>TRƯƠNG VĂN ÚT</t>
        </is>
      </c>
      <c r="D605" s="141" t="inlineStr">
        <is>
          <t>01/01/1948</t>
        </is>
      </c>
      <c r="E605" s="141" t="inlineStr">
        <is>
          <t>Thay băng, cắt chỉ vết mổ [chiều dài ≤ 15cm]</t>
        </is>
      </c>
      <c r="F605" s="237" t="n">
        <v>1</v>
      </c>
      <c r="G605" s="237" t="n">
        <v>100000</v>
      </c>
      <c r="H605" s="95">
        <f>25%*75%</f>
        <v/>
      </c>
    </row>
    <row r="606" ht="15.75" customHeight="1">
      <c r="A606" s="94" t="n">
        <v>601</v>
      </c>
      <c r="B606" s="141" t="inlineStr">
        <is>
          <t>2026/08/16 10:30</t>
        </is>
      </c>
      <c r="C606" s="141" t="inlineStr">
        <is>
          <t>PHẠM VĂN LONG</t>
        </is>
      </c>
      <c r="D606" s="141" t="inlineStr">
        <is>
          <t>01/01/1986</t>
        </is>
      </c>
      <c r="E606" s="141" t="inlineStr">
        <is>
          <t>Thay băng, cắt chỉ vết mổ [chiều dài ≤ 15cm]</t>
        </is>
      </c>
      <c r="F606" s="237" t="n">
        <v>1</v>
      </c>
      <c r="G606" s="237" t="n">
        <v>100000</v>
      </c>
      <c r="H606" s="95">
        <f>25%*75%</f>
        <v/>
      </c>
    </row>
    <row r="607" ht="15.75" customHeight="1">
      <c r="A607" s="94" t="n">
        <v>602</v>
      </c>
      <c r="B607" s="141" t="inlineStr">
        <is>
          <t>2026/08/16 10:30</t>
        </is>
      </c>
      <c r="C607" s="141" t="inlineStr">
        <is>
          <t>VĂNG VĂN ĐỒ</t>
        </is>
      </c>
      <c r="D607" s="141" t="inlineStr">
        <is>
          <t>25/05/1972</t>
        </is>
      </c>
      <c r="E607" s="141" t="inlineStr">
        <is>
          <t>Thay băng, cắt chỉ vết mổ [chiều dài ≤ 15cm]</t>
        </is>
      </c>
      <c r="F607" s="237" t="n">
        <v>1</v>
      </c>
      <c r="G607" s="237" t="n">
        <v>100000</v>
      </c>
      <c r="H607" s="95">
        <f>25%*75%</f>
        <v/>
      </c>
    </row>
    <row r="608" ht="15.75" customHeight="1">
      <c r="A608" s="94" t="n">
        <v>603</v>
      </c>
      <c r="B608" s="141" t="inlineStr">
        <is>
          <t>2026/08/16 10:31</t>
        </is>
      </c>
      <c r="C608" s="141" t="inlineStr">
        <is>
          <t>NGUYỄN CHÁNH HUY</t>
        </is>
      </c>
      <c r="D608" s="141" t="inlineStr">
        <is>
          <t>18/01/2003</t>
        </is>
      </c>
      <c r="E608" s="141" t="inlineStr">
        <is>
          <t>Thay băng, cắt chỉ vết mổ [chiều dài ≤ 15cm]</t>
        </is>
      </c>
      <c r="F608" s="237" t="n">
        <v>1</v>
      </c>
      <c r="G608" s="237" t="n">
        <v>100000</v>
      </c>
      <c r="H608" s="95">
        <f>25%*75%</f>
        <v/>
      </c>
    </row>
    <row r="609" ht="15.75" customHeight="1">
      <c r="A609" s="94" t="n">
        <v>604</v>
      </c>
      <c r="B609" s="141" t="inlineStr">
        <is>
          <t>2026/08/17 01:00</t>
        </is>
      </c>
      <c r="C609" s="141" t="inlineStr">
        <is>
          <t>NGUYỄN THỊ XUÂN LAN</t>
        </is>
      </c>
      <c r="D609" s="141" t="inlineStr">
        <is>
          <t>30/12/1956</t>
        </is>
      </c>
      <c r="E609" s="141" t="inlineStr">
        <is>
          <t>Đặt sonde bàng quang</t>
        </is>
      </c>
      <c r="F609" s="237" t="n">
        <v>1</v>
      </c>
      <c r="G609" s="237" t="n">
        <v>101800</v>
      </c>
      <c r="H609" s="95">
        <f>25%*75%</f>
        <v/>
      </c>
    </row>
    <row r="610" ht="15.75" customHeight="1">
      <c r="A610" s="94" t="n">
        <v>605</v>
      </c>
      <c r="B610" s="141" t="inlineStr">
        <is>
          <t>2026/08/17 05:00</t>
        </is>
      </c>
      <c r="C610" s="141" t="inlineStr">
        <is>
          <t>BÙI HỮU THỌ</t>
        </is>
      </c>
      <c r="D610" s="141" t="inlineStr">
        <is>
          <t>01/02/1981</t>
        </is>
      </c>
      <c r="E610" s="141" t="inlineStr">
        <is>
          <t>Thay băng, cắt chỉ vết mổ [chiều dài ≤ 15cm]</t>
        </is>
      </c>
      <c r="F610" s="237" t="n">
        <v>1</v>
      </c>
      <c r="G610" s="237" t="n">
        <v>100000</v>
      </c>
      <c r="H610" s="95">
        <f>25%*75%</f>
        <v/>
      </c>
    </row>
    <row r="611" ht="15.75" customHeight="1">
      <c r="A611" s="94" t="n">
        <v>606</v>
      </c>
      <c r="B611" s="141" t="inlineStr">
        <is>
          <t>2026/08/17 05:00</t>
        </is>
      </c>
      <c r="C611" s="141" t="inlineStr">
        <is>
          <t>BÙI VĂN BẢY</t>
        </is>
      </c>
      <c r="D611" s="141" t="inlineStr">
        <is>
          <t>01/01/1963</t>
        </is>
      </c>
      <c r="E611" s="141" t="inlineStr">
        <is>
          <t>Thay băng, cắt chỉ vết mổ [chiều dài ≤ 15cm]</t>
        </is>
      </c>
      <c r="F611" s="237" t="n">
        <v>1</v>
      </c>
      <c r="G611" s="237" t="n">
        <v>100000</v>
      </c>
      <c r="H611" s="95">
        <f>25%*75%</f>
        <v/>
      </c>
    </row>
    <row r="612" ht="15.75" customHeight="1">
      <c r="A612" s="94" t="n">
        <v>607</v>
      </c>
      <c r="B612" s="141" t="inlineStr">
        <is>
          <t>2026/08/17 05:00</t>
        </is>
      </c>
      <c r="C612" s="141" t="inlineStr">
        <is>
          <t>LÊ NGỌC ĐIỆP</t>
        </is>
      </c>
      <c r="D612" s="141" t="inlineStr">
        <is>
          <t>29/08/1962</t>
        </is>
      </c>
      <c r="E612" s="141" t="inlineStr">
        <is>
          <t>Thay băng, cắt chỉ vết mổ [chiều dài ≤ 15cm]</t>
        </is>
      </c>
      <c r="F612" s="237" t="n">
        <v>1</v>
      </c>
      <c r="G612" s="237" t="n">
        <v>100000</v>
      </c>
      <c r="H612" s="95">
        <f>25%*75%</f>
        <v/>
      </c>
    </row>
    <row r="613" ht="15.75" customHeight="1">
      <c r="A613" s="94" t="n">
        <v>608</v>
      </c>
      <c r="B613" s="141" t="inlineStr">
        <is>
          <t>2026/08/17 05:00</t>
        </is>
      </c>
      <c r="C613" s="141" t="inlineStr">
        <is>
          <t>LÊ THANH HIỀN</t>
        </is>
      </c>
      <c r="D613" s="141" t="inlineStr">
        <is>
          <t>04/10/1989</t>
        </is>
      </c>
      <c r="E613" s="141" t="inlineStr">
        <is>
          <t>Thay băng, cắt chỉ vết mổ [chiều dài ≤ 15cm]</t>
        </is>
      </c>
      <c r="F613" s="237" t="n">
        <v>1</v>
      </c>
      <c r="G613" s="237" t="n">
        <v>100000</v>
      </c>
      <c r="H613" s="95">
        <f>25%*75%</f>
        <v/>
      </c>
    </row>
    <row r="614" ht="15.75" customHeight="1">
      <c r="A614" s="94" t="n">
        <v>609</v>
      </c>
      <c r="B614" s="141" t="inlineStr">
        <is>
          <t>2026/08/17 05:00</t>
        </is>
      </c>
      <c r="C614" s="141" t="inlineStr">
        <is>
          <t>LÊ THANH TUẤN</t>
        </is>
      </c>
      <c r="D614" s="141" t="inlineStr">
        <is>
          <t>24/12/1980</t>
        </is>
      </c>
      <c r="E614" s="141" t="inlineStr">
        <is>
          <t>Thay băng, cắt chỉ vết mổ [chiều dài ≤ 15cm]</t>
        </is>
      </c>
      <c r="F614" s="237" t="n">
        <v>1</v>
      </c>
      <c r="G614" s="237" t="n">
        <v>100000</v>
      </c>
      <c r="H614" s="95">
        <f>25%*75%</f>
        <v/>
      </c>
    </row>
    <row r="615" ht="15.75" customHeight="1">
      <c r="A615" s="94" t="n">
        <v>610</v>
      </c>
      <c r="B615" s="141" t="inlineStr">
        <is>
          <t>2026/08/17 05:00</t>
        </is>
      </c>
      <c r="C615" s="141" t="inlineStr">
        <is>
          <t>LÊ THỊ BUỐN</t>
        </is>
      </c>
      <c r="D615" s="141" t="inlineStr">
        <is>
          <t>24/10/1948</t>
        </is>
      </c>
      <c r="E615" s="141" t="inlineStr">
        <is>
          <t>Thay băng, cắt chỉ vết mổ [chiều dài ≤ 15cm]</t>
        </is>
      </c>
      <c r="F615" s="237" t="n">
        <v>1</v>
      </c>
      <c r="G615" s="237" t="n">
        <v>100000</v>
      </c>
      <c r="H615" s="95">
        <f>25%*75%</f>
        <v/>
      </c>
    </row>
    <row r="616" ht="15.75" customHeight="1">
      <c r="A616" s="94" t="n">
        <v>611</v>
      </c>
      <c r="B616" s="141" t="inlineStr">
        <is>
          <t>2026/08/17 05:00</t>
        </is>
      </c>
      <c r="C616" s="141" t="inlineStr">
        <is>
          <t>LÊ THỊ ÚT NHỎ</t>
        </is>
      </c>
      <c r="D616" s="141" t="inlineStr">
        <is>
          <t>15/10/1978</t>
        </is>
      </c>
      <c r="E616" s="141" t="inlineStr">
        <is>
          <t>Thay băng, cắt chỉ vết mổ [chiều dài ≤ 15cm]</t>
        </is>
      </c>
      <c r="F616" s="237" t="n">
        <v>1</v>
      </c>
      <c r="G616" s="237" t="n">
        <v>100000</v>
      </c>
      <c r="H616" s="95">
        <f>25%*75%</f>
        <v/>
      </c>
    </row>
    <row r="617" ht="15.75" customHeight="1">
      <c r="A617" s="94" t="n">
        <v>612</v>
      </c>
      <c r="B617" s="141" t="inlineStr">
        <is>
          <t>2026/08/17 05:00</t>
        </is>
      </c>
      <c r="C617" s="141" t="inlineStr">
        <is>
          <t>NGUYỄN QUỐC HỌC</t>
        </is>
      </c>
      <c r="D617" s="141" t="inlineStr">
        <is>
          <t>01/09/2009</t>
        </is>
      </c>
      <c r="E617" s="141" t="inlineStr">
        <is>
          <t>Thay băng, cắt chỉ vết mổ [chiều dài ≤ 15cm]</t>
        </is>
      </c>
      <c r="F617" s="237" t="n">
        <v>1</v>
      </c>
      <c r="G617" s="237" t="n">
        <v>100000</v>
      </c>
      <c r="H617" s="95">
        <f>25%*75%</f>
        <v/>
      </c>
    </row>
    <row r="618" ht="15.75" customHeight="1">
      <c r="A618" s="94" t="n">
        <v>613</v>
      </c>
      <c r="B618" s="141" t="inlineStr">
        <is>
          <t>2026/08/17 05:00</t>
        </is>
      </c>
      <c r="C618" s="141" t="inlineStr">
        <is>
          <t>NGUYỄN THỊ DUNG</t>
        </is>
      </c>
      <c r="D618" s="141" t="inlineStr">
        <is>
          <t>01/01/1944</t>
        </is>
      </c>
      <c r="E618" s="141" t="inlineStr">
        <is>
          <t>Thay băng, cắt chỉ vết mổ [chiều dài ≤ 15cm]</t>
        </is>
      </c>
      <c r="F618" s="237" t="n">
        <v>1</v>
      </c>
      <c r="G618" s="237" t="n">
        <v>100000</v>
      </c>
      <c r="H618" s="95">
        <f>25%*75%</f>
        <v/>
      </c>
    </row>
    <row r="619" ht="15.75" customHeight="1">
      <c r="A619" s="94" t="n">
        <v>614</v>
      </c>
      <c r="B619" s="141" t="inlineStr">
        <is>
          <t>2026/08/17 05:00</t>
        </is>
      </c>
      <c r="C619" s="141" t="inlineStr">
        <is>
          <t>NGUYỄN THỊ HƯƠNG</t>
        </is>
      </c>
      <c r="D619" s="141" t="inlineStr">
        <is>
          <t>02/07/1965</t>
        </is>
      </c>
      <c r="E619" s="141" t="inlineStr">
        <is>
          <t>Thay băng, cắt chỉ vết mổ [chiều dài ≤ 15cm]</t>
        </is>
      </c>
      <c r="F619" s="237" t="n">
        <v>1</v>
      </c>
      <c r="G619" s="237" t="n">
        <v>100000</v>
      </c>
      <c r="H619" s="95">
        <f>25%*75%</f>
        <v/>
      </c>
    </row>
    <row r="620" ht="15.75" customHeight="1">
      <c r="A620" s="94" t="n">
        <v>615</v>
      </c>
      <c r="B620" s="141" t="inlineStr">
        <is>
          <t>2026/08/17 05:00</t>
        </is>
      </c>
      <c r="C620" s="141" t="inlineStr">
        <is>
          <t>NGUYỄN THỊ HƯỞNG</t>
        </is>
      </c>
      <c r="D620" s="141" t="inlineStr">
        <is>
          <t>12/04/1971</t>
        </is>
      </c>
      <c r="E620" s="141" t="inlineStr">
        <is>
          <t>Thay băng, cắt chỉ vết mổ [chiều dài ≤ 15cm]</t>
        </is>
      </c>
      <c r="F620" s="237" t="n">
        <v>1</v>
      </c>
      <c r="G620" s="237" t="n">
        <v>100000</v>
      </c>
      <c r="H620" s="95">
        <f>25%*75%</f>
        <v/>
      </c>
    </row>
    <row r="621" ht="15.75" customHeight="1">
      <c r="A621" s="94" t="n">
        <v>616</v>
      </c>
      <c r="B621" s="141" t="inlineStr">
        <is>
          <t>2026/08/17 05:00</t>
        </is>
      </c>
      <c r="C621" s="141" t="inlineStr">
        <is>
          <t>NGUYỄN THỊ HẰNG</t>
        </is>
      </c>
      <c r="D621" s="141" t="inlineStr">
        <is>
          <t>15/02/1963</t>
        </is>
      </c>
      <c r="E621" s="141" t="inlineStr">
        <is>
          <t>Thay băng, cắt chỉ vết mổ [chiều dài ≤ 15cm]</t>
        </is>
      </c>
      <c r="F621" s="237" t="n">
        <v>1</v>
      </c>
      <c r="G621" s="237" t="n">
        <v>100000</v>
      </c>
      <c r="H621" s="95">
        <f>25%*75%</f>
        <v/>
      </c>
    </row>
    <row r="622" ht="15.75" customHeight="1">
      <c r="A622" s="94" t="n">
        <v>617</v>
      </c>
      <c r="B622" s="141" t="inlineStr">
        <is>
          <t>2026/08/17 05:00</t>
        </is>
      </c>
      <c r="C622" s="141" t="inlineStr">
        <is>
          <t>NGUYỄN THỊ ÚT EM</t>
        </is>
      </c>
      <c r="D622" s="141" t="inlineStr">
        <is>
          <t>01/01/1962</t>
        </is>
      </c>
      <c r="E622" s="141" t="inlineStr">
        <is>
          <t>Thay băng, cắt chỉ vết mổ [chiều dài ≤ 15cm]</t>
        </is>
      </c>
      <c r="F622" s="237" t="n">
        <v>1</v>
      </c>
      <c r="G622" s="237" t="n">
        <v>100000</v>
      </c>
      <c r="H622" s="95">
        <f>25%*75%</f>
        <v/>
      </c>
    </row>
    <row r="623" ht="15.75" customHeight="1">
      <c r="A623" s="94" t="n">
        <v>618</v>
      </c>
      <c r="B623" s="141" t="inlineStr">
        <is>
          <t>2026/08/17 05:00</t>
        </is>
      </c>
      <c r="C623" s="141" t="inlineStr">
        <is>
          <t>TRƯƠNG TRUNG TRỰC</t>
        </is>
      </c>
      <c r="D623" s="141" t="inlineStr">
        <is>
          <t>01/09/1942</t>
        </is>
      </c>
      <c r="E623" s="141" t="inlineStr">
        <is>
          <t>Thay băng, cắt chỉ vết mổ [chiều dài ≤ 15cm]</t>
        </is>
      </c>
      <c r="F623" s="237" t="n">
        <v>1</v>
      </c>
      <c r="G623" s="237" t="n">
        <v>100000</v>
      </c>
      <c r="H623" s="95">
        <f>25%*75%</f>
        <v/>
      </c>
    </row>
    <row r="624" ht="15.75" customHeight="1">
      <c r="A624" s="94" t="n">
        <v>619</v>
      </c>
      <c r="B624" s="141" t="inlineStr">
        <is>
          <t>2026/08/17 05:00</t>
        </is>
      </c>
      <c r="C624" s="141" t="inlineStr">
        <is>
          <t>TRẦN HIỀN</t>
        </is>
      </c>
      <c r="D624" s="141" t="inlineStr">
        <is>
          <t>01/01/1971</t>
        </is>
      </c>
      <c r="E624" s="141" t="inlineStr">
        <is>
          <t>Thay băng, cắt chỉ vết mổ [chiều dài ≤ 15cm]</t>
        </is>
      </c>
      <c r="F624" s="237" t="n">
        <v>1</v>
      </c>
      <c r="G624" s="237" t="n">
        <v>100000</v>
      </c>
      <c r="H624" s="95">
        <f>25%*75%</f>
        <v/>
      </c>
    </row>
    <row r="625" ht="15.75" customHeight="1">
      <c r="A625" s="94" t="n">
        <v>620</v>
      </c>
      <c r="B625" s="141" t="inlineStr">
        <is>
          <t>2026/08/17 05:00</t>
        </is>
      </c>
      <c r="C625" s="141" t="inlineStr">
        <is>
          <t>TRẦN LỆ XUÂN</t>
        </is>
      </c>
      <c r="D625" s="141" t="inlineStr">
        <is>
          <t>01/01/1964</t>
        </is>
      </c>
      <c r="E625" s="141" t="inlineStr">
        <is>
          <t>Thay băng, cắt chỉ vết mổ [chiều dài ≤ 15cm]</t>
        </is>
      </c>
      <c r="F625" s="237" t="n">
        <v>1</v>
      </c>
      <c r="G625" s="237" t="n">
        <v>100000</v>
      </c>
      <c r="H625" s="95">
        <f>25%*75%</f>
        <v/>
      </c>
    </row>
    <row r="626" ht="15.75" customHeight="1">
      <c r="A626" s="94" t="n">
        <v>621</v>
      </c>
      <c r="B626" s="141" t="inlineStr">
        <is>
          <t>2026/08/17 05:00</t>
        </is>
      </c>
      <c r="C626" s="141" t="inlineStr">
        <is>
          <t>TRẦN VĂN LẸ</t>
        </is>
      </c>
      <c r="D626" s="141" t="inlineStr">
        <is>
          <t>01/01/1975</t>
        </is>
      </c>
      <c r="E626" s="141" t="inlineStr">
        <is>
          <t>Thay băng, cắt chỉ vết mổ [chiều dài ≤ 15cm]</t>
        </is>
      </c>
      <c r="F626" s="237" t="n">
        <v>1</v>
      </c>
      <c r="G626" s="237" t="n">
        <v>100000</v>
      </c>
      <c r="H626" s="95">
        <f>25%*75%</f>
        <v/>
      </c>
    </row>
    <row r="627" ht="15.75" customHeight="1">
      <c r="A627" s="94" t="n">
        <v>622</v>
      </c>
      <c r="B627" s="141" t="inlineStr">
        <is>
          <t>2026/08/17 05:00</t>
        </is>
      </c>
      <c r="C627" s="141" t="inlineStr">
        <is>
          <t>TĂNG THỊ MIỀN</t>
        </is>
      </c>
      <c r="D627" s="141" t="inlineStr">
        <is>
          <t>01/01/1951</t>
        </is>
      </c>
      <c r="E627" s="141" t="inlineStr">
        <is>
          <t>Thay băng, cắt chỉ vết mổ [chiều dài ≤ 15cm]</t>
        </is>
      </c>
      <c r="F627" s="237" t="n">
        <v>1</v>
      </c>
      <c r="G627" s="237" t="n">
        <v>100000</v>
      </c>
      <c r="H627" s="95">
        <f>25%*75%</f>
        <v/>
      </c>
    </row>
    <row r="628" ht="15.75" customHeight="1">
      <c r="A628" s="94" t="n">
        <v>623</v>
      </c>
      <c r="B628" s="141" t="inlineStr">
        <is>
          <t>2026/08/17 05:00</t>
        </is>
      </c>
      <c r="C628" s="141" t="inlineStr">
        <is>
          <t>VÕ THÀNH LONG</t>
        </is>
      </c>
      <c r="D628" s="141" t="inlineStr">
        <is>
          <t>06/06/1966</t>
        </is>
      </c>
      <c r="E628" s="141" t="inlineStr">
        <is>
          <t>Thay băng, cắt chỉ vết mổ [chiều dài ≤ 15cm]</t>
        </is>
      </c>
      <c r="F628" s="237" t="n">
        <v>1</v>
      </c>
      <c r="G628" s="237" t="n">
        <v>100000</v>
      </c>
      <c r="H628" s="95">
        <f>25%*75%</f>
        <v/>
      </c>
    </row>
    <row r="629" ht="15.75" customHeight="1">
      <c r="A629" s="94" t="n">
        <v>624</v>
      </c>
      <c r="B629" s="141" t="inlineStr">
        <is>
          <t>2026/08/17 05:00</t>
        </is>
      </c>
      <c r="C629" s="141" t="inlineStr">
        <is>
          <t>VÕ VĂN ĐOÀN</t>
        </is>
      </c>
      <c r="D629" s="141" t="inlineStr">
        <is>
          <t>15/08/1978</t>
        </is>
      </c>
      <c r="E629" s="141" t="inlineStr">
        <is>
          <t>Thay băng, cắt chỉ vết mổ [chiều dài ≤ 15cm]</t>
        </is>
      </c>
      <c r="F629" s="237" t="n">
        <v>1</v>
      </c>
      <c r="G629" s="237" t="n">
        <v>100000</v>
      </c>
      <c r="H629" s="95">
        <f>25%*75%</f>
        <v/>
      </c>
    </row>
    <row r="630" ht="15.75" customHeight="1">
      <c r="A630" s="94" t="n">
        <v>625</v>
      </c>
      <c r="B630" s="141" t="inlineStr">
        <is>
          <t>2026/08/17 05:00</t>
        </is>
      </c>
      <c r="C630" s="141" t="inlineStr">
        <is>
          <t>ĐẶNG ĐÌNH BẰNG</t>
        </is>
      </c>
      <c r="D630" s="141" t="inlineStr">
        <is>
          <t>25/08/1985</t>
        </is>
      </c>
      <c r="E630" s="141" t="inlineStr">
        <is>
          <t>Thay băng, cắt chỉ vết mổ [chiều dài ≤ 15cm]</t>
        </is>
      </c>
      <c r="F630" s="237" t="n">
        <v>1</v>
      </c>
      <c r="G630" s="237" t="n">
        <v>100000</v>
      </c>
      <c r="H630" s="95">
        <f>25%*75%</f>
        <v/>
      </c>
    </row>
    <row r="631" ht="15.75" customHeight="1">
      <c r="A631" s="94" t="n">
        <v>626</v>
      </c>
      <c r="B631" s="141" t="inlineStr">
        <is>
          <t>2026/08/17 07:00</t>
        </is>
      </c>
      <c r="C631" s="141" t="inlineStr">
        <is>
          <t>NGUYỄN THỊ TÁM</t>
        </is>
      </c>
      <c r="D631" s="141" t="inlineStr">
        <is>
          <t>01/01/1957</t>
        </is>
      </c>
      <c r="E631" s="141" t="inlineStr">
        <is>
          <t>Thay băng, cắt chỉ vết mổ [chiều dài ≤ 15cm]</t>
        </is>
      </c>
      <c r="F631" s="237" t="n">
        <v>1</v>
      </c>
      <c r="G631" s="237" t="n">
        <v>100000</v>
      </c>
      <c r="H631" s="95">
        <f>25%*75%</f>
        <v/>
      </c>
    </row>
    <row r="632" ht="15.75" customHeight="1">
      <c r="A632" s="94" t="n">
        <v>627</v>
      </c>
      <c r="B632" s="141" t="inlineStr">
        <is>
          <t>2026/08/17 07:00</t>
        </is>
      </c>
      <c r="C632" s="141" t="inlineStr">
        <is>
          <t>NGUYỄN THỊ TÁM</t>
        </is>
      </c>
      <c r="D632" s="141" t="inlineStr">
        <is>
          <t>01/01/1957</t>
        </is>
      </c>
      <c r="E632" s="141" t="inlineStr">
        <is>
          <t>Thay băng, cắt chỉ vết mổ [chiều dài ≤ 15cm]</t>
        </is>
      </c>
      <c r="F632" s="237" t="n">
        <v>1</v>
      </c>
      <c r="G632" s="237" t="n">
        <v>100000</v>
      </c>
      <c r="H632" s="95">
        <f>25%*75%</f>
        <v/>
      </c>
    </row>
    <row r="633" ht="15.75" customHeight="1">
      <c r="A633" s="94" t="n">
        <v>628</v>
      </c>
      <c r="B633" s="141" t="inlineStr">
        <is>
          <t>2026/08/17 07:00</t>
        </is>
      </c>
      <c r="C633" s="141" t="inlineStr">
        <is>
          <t>PHẠM VĂN LONG</t>
        </is>
      </c>
      <c r="D633" s="141" t="inlineStr">
        <is>
          <t>01/01/1986</t>
        </is>
      </c>
      <c r="E633" s="141" t="inlineStr">
        <is>
          <t>Thay băng, cắt chỉ vết mổ [chiều dài ≤ 15cm]</t>
        </is>
      </c>
      <c r="F633" s="237" t="n">
        <v>1</v>
      </c>
      <c r="G633" s="237" t="n">
        <v>100000</v>
      </c>
      <c r="H633" s="95">
        <f>25%*75%</f>
        <v/>
      </c>
    </row>
    <row r="634" ht="15.75" customHeight="1">
      <c r="A634" s="94" t="n">
        <v>629</v>
      </c>
      <c r="B634" s="141" t="inlineStr">
        <is>
          <t>2026/08/17 07:00</t>
        </is>
      </c>
      <c r="C634" s="141" t="inlineStr">
        <is>
          <t>TRƯƠNG VĂN ÚT</t>
        </is>
      </c>
      <c r="D634" s="141" t="inlineStr">
        <is>
          <t>01/01/1948</t>
        </is>
      </c>
      <c r="E634" s="141" t="inlineStr">
        <is>
          <t>Thay băng, cắt chỉ vết mổ [chiều dài ≤ 15cm]</t>
        </is>
      </c>
      <c r="F634" s="237" t="n">
        <v>1</v>
      </c>
      <c r="G634" s="237" t="n">
        <v>100000</v>
      </c>
      <c r="H634" s="95">
        <f>25%*75%</f>
        <v/>
      </c>
    </row>
    <row r="635" ht="15.75" customHeight="1">
      <c r="A635" s="94" t="n">
        <v>630</v>
      </c>
      <c r="B635" s="141" t="inlineStr">
        <is>
          <t>2026/08/17 07:00</t>
        </is>
      </c>
      <c r="C635" s="141" t="inlineStr">
        <is>
          <t>ĐẶNG THỊ GẤM</t>
        </is>
      </c>
      <c r="D635" s="141" t="inlineStr">
        <is>
          <t>01/01/1965</t>
        </is>
      </c>
      <c r="E635" s="141" t="inlineStr">
        <is>
          <t>Thay băng, cắt chỉ vết mổ [chiều dài ≤ 15cm]</t>
        </is>
      </c>
      <c r="F635" s="237" t="n">
        <v>1</v>
      </c>
      <c r="G635" s="237" t="n">
        <v>100000</v>
      </c>
      <c r="H635" s="95">
        <f>25%*75%</f>
        <v/>
      </c>
    </row>
    <row r="636" ht="15.75" customHeight="1">
      <c r="A636" s="94" t="n">
        <v>631</v>
      </c>
      <c r="B636" s="141" t="inlineStr">
        <is>
          <t>2026/08/17 07:15</t>
        </is>
      </c>
      <c r="C636" s="141" t="inlineStr">
        <is>
          <t>LÊ NGỌC ĐIỆP</t>
        </is>
      </c>
      <c r="D636" s="141" t="inlineStr">
        <is>
          <t>29/08/1962</t>
        </is>
      </c>
      <c r="E636" s="141" t="inlineStr">
        <is>
          <t>Thay băng, cắt chỉ vết mổ [chiều dài ≤ 15cm]</t>
        </is>
      </c>
      <c r="F636" s="237" t="n">
        <v>1</v>
      </c>
      <c r="G636" s="237" t="n">
        <v>100000</v>
      </c>
      <c r="H636" s="95">
        <f>25%*75%</f>
        <v/>
      </c>
    </row>
    <row r="637" ht="15.75" customHeight="1">
      <c r="A637" s="94" t="n">
        <v>632</v>
      </c>
      <c r="B637" s="141" t="inlineStr">
        <is>
          <t>2026/08/17 07:20</t>
        </is>
      </c>
      <c r="C637" s="141" t="inlineStr">
        <is>
          <t>NGUYỄN THỊ XUÂN LAN</t>
        </is>
      </c>
      <c r="D637" s="141" t="inlineStr">
        <is>
          <t>30/12/1956</t>
        </is>
      </c>
      <c r="E637" s="141" t="inlineStr">
        <is>
          <t>Thay băng, cắt chỉ vết mổ [chiều dài ≤ 15cm]</t>
        </is>
      </c>
      <c r="F637" s="237" t="n">
        <v>1</v>
      </c>
      <c r="G637" s="237" t="n">
        <v>100000</v>
      </c>
      <c r="H637" s="95">
        <f>25%*75%</f>
        <v/>
      </c>
    </row>
    <row r="638" ht="15.75" customHeight="1">
      <c r="A638" s="94" t="n">
        <v>633</v>
      </c>
      <c r="B638" s="141" t="inlineStr">
        <is>
          <t>2026/08/17 08:00</t>
        </is>
      </c>
      <c r="C638" s="141" t="inlineStr">
        <is>
          <t>VĂNG VĂN ĐỒ</t>
        </is>
      </c>
      <c r="D638" s="141" t="inlineStr">
        <is>
          <t>25/05/1972</t>
        </is>
      </c>
      <c r="E638" s="141" t="inlineStr">
        <is>
          <t>Thay băng, cắt chỉ vết mổ [chiều dài ≤ 15cm]</t>
        </is>
      </c>
      <c r="F638" s="237" t="n">
        <v>1</v>
      </c>
      <c r="G638" s="237" t="n">
        <v>100000</v>
      </c>
      <c r="H638" s="95">
        <f>25%*75%</f>
        <v/>
      </c>
    </row>
    <row r="639" ht="15.75" customHeight="1">
      <c r="A639" s="94" t="n">
        <v>634</v>
      </c>
      <c r="B639" s="141" t="inlineStr">
        <is>
          <t>2026/08/18 05:00</t>
        </is>
      </c>
      <c r="C639" s="141" t="inlineStr">
        <is>
          <t>BÙI HỮU THỌ</t>
        </is>
      </c>
      <c r="D639" s="141" t="inlineStr">
        <is>
          <t>01/02/1981</t>
        </is>
      </c>
      <c r="E639" s="141" t="inlineStr">
        <is>
          <t>Thay băng, cắt chỉ vết mổ [chiều dài ≤ 15cm]</t>
        </is>
      </c>
      <c r="F639" s="237" t="n">
        <v>1</v>
      </c>
      <c r="G639" s="237" t="n">
        <v>100000</v>
      </c>
      <c r="H639" s="95">
        <f>25%*75%</f>
        <v/>
      </c>
    </row>
    <row r="640" ht="15.75" customHeight="1">
      <c r="A640" s="94" t="n">
        <v>635</v>
      </c>
      <c r="B640" s="141" t="inlineStr">
        <is>
          <t>2026/08/18 05:00</t>
        </is>
      </c>
      <c r="C640" s="141" t="inlineStr">
        <is>
          <t>BÙI VĂN BẢY</t>
        </is>
      </c>
      <c r="D640" s="141" t="inlineStr">
        <is>
          <t>01/01/1963</t>
        </is>
      </c>
      <c r="E640" s="141" t="inlineStr">
        <is>
          <t>Thay băng, cắt chỉ vết mổ [chiều dài ≤ 15cm]</t>
        </is>
      </c>
      <c r="F640" s="237" t="n">
        <v>1</v>
      </c>
      <c r="G640" s="237" t="n">
        <v>100000</v>
      </c>
      <c r="H640" s="95">
        <f>25%*75%</f>
        <v/>
      </c>
    </row>
    <row r="641" ht="15.75" customHeight="1">
      <c r="A641" s="94" t="n">
        <v>636</v>
      </c>
      <c r="B641" s="141" t="inlineStr">
        <is>
          <t>2026/08/18 05:00</t>
        </is>
      </c>
      <c r="C641" s="141" t="inlineStr">
        <is>
          <t>LÊ NGỌC ĐIỆP</t>
        </is>
      </c>
      <c r="D641" s="141" t="inlineStr">
        <is>
          <t>29/08/1962</t>
        </is>
      </c>
      <c r="E641" s="141" t="inlineStr">
        <is>
          <t>Thay băng, cắt chỉ vết mổ [chiều dài ≤ 15cm]</t>
        </is>
      </c>
      <c r="F641" s="237" t="n">
        <v>1</v>
      </c>
      <c r="G641" s="237" t="n">
        <v>100000</v>
      </c>
      <c r="H641" s="95">
        <f>25%*75%</f>
        <v/>
      </c>
    </row>
    <row r="642" ht="15.75" customHeight="1">
      <c r="A642" s="94" t="n">
        <v>637</v>
      </c>
      <c r="B642" s="141" t="inlineStr">
        <is>
          <t>2026/08/18 05:00</t>
        </is>
      </c>
      <c r="C642" s="141" t="inlineStr">
        <is>
          <t>LÊ THANH HIỀN</t>
        </is>
      </c>
      <c r="D642" s="141" t="inlineStr">
        <is>
          <t>04/10/1989</t>
        </is>
      </c>
      <c r="E642" s="141" t="inlineStr">
        <is>
          <t>Thay băng, cắt chỉ vết mổ [chiều dài ≤ 15cm]</t>
        </is>
      </c>
      <c r="F642" s="237" t="n">
        <v>1</v>
      </c>
      <c r="G642" s="237" t="n">
        <v>100000</v>
      </c>
      <c r="H642" s="95">
        <f>25%*75%</f>
        <v/>
      </c>
    </row>
    <row r="643" ht="15.75" customHeight="1">
      <c r="A643" s="94" t="n">
        <v>638</v>
      </c>
      <c r="B643" s="141" t="inlineStr">
        <is>
          <t>2026/08/18 05:00</t>
        </is>
      </c>
      <c r="C643" s="141" t="inlineStr">
        <is>
          <t>LÊ THỊ BUỐN</t>
        </is>
      </c>
      <c r="D643" s="141" t="inlineStr">
        <is>
          <t>24/10/1948</t>
        </is>
      </c>
      <c r="E643" s="141" t="inlineStr">
        <is>
          <t>Thay băng, cắt chỉ vết mổ [chiều dài ≤ 15cm]</t>
        </is>
      </c>
      <c r="F643" s="237" t="n">
        <v>1</v>
      </c>
      <c r="G643" s="237" t="n">
        <v>100000</v>
      </c>
      <c r="H643" s="95">
        <f>25%*75%</f>
        <v/>
      </c>
    </row>
    <row r="644" ht="15.75" customHeight="1">
      <c r="A644" s="94" t="n">
        <v>639</v>
      </c>
      <c r="B644" s="141" t="inlineStr">
        <is>
          <t>2026/08/18 05:00</t>
        </is>
      </c>
      <c r="C644" s="141" t="inlineStr">
        <is>
          <t>NGUYỄN THỊ HƯỞNG</t>
        </is>
      </c>
      <c r="D644" s="141" t="inlineStr">
        <is>
          <t>12/04/1971</t>
        </is>
      </c>
      <c r="E644" s="141" t="inlineStr">
        <is>
          <t>Thay băng, cắt chỉ vết mổ [chiều dài ≤ 15cm]</t>
        </is>
      </c>
      <c r="F644" s="237" t="n">
        <v>1</v>
      </c>
      <c r="G644" s="237" t="n">
        <v>100000</v>
      </c>
      <c r="H644" s="95">
        <f>25%*75%</f>
        <v/>
      </c>
    </row>
    <row r="645" ht="15.75" customHeight="1">
      <c r="A645" s="94" t="n">
        <v>640</v>
      </c>
      <c r="B645" s="141" t="inlineStr">
        <is>
          <t>2026/08/18 05:00</t>
        </is>
      </c>
      <c r="C645" s="141" t="inlineStr">
        <is>
          <t>NGUYỄN THỊ HẰNG</t>
        </is>
      </c>
      <c r="D645" s="141" t="inlineStr">
        <is>
          <t>15/02/1963</t>
        </is>
      </c>
      <c r="E645" s="141" t="inlineStr">
        <is>
          <t>Thay băng, cắt chỉ vết mổ [chiều dài ≤ 15cm]</t>
        </is>
      </c>
      <c r="F645" s="237" t="n">
        <v>1</v>
      </c>
      <c r="G645" s="237" t="n">
        <v>100000</v>
      </c>
      <c r="H645" s="95">
        <f>25%*75%</f>
        <v/>
      </c>
    </row>
    <row r="646" ht="15.75" customHeight="1">
      <c r="A646" s="94" t="n">
        <v>641</v>
      </c>
      <c r="B646" s="141" t="inlineStr">
        <is>
          <t>2026/08/18 05:00</t>
        </is>
      </c>
      <c r="C646" s="141" t="inlineStr">
        <is>
          <t>TRƯƠNG VĂN ÚT</t>
        </is>
      </c>
      <c r="D646" s="141" t="inlineStr">
        <is>
          <t>01/01/1948</t>
        </is>
      </c>
      <c r="E646" s="141" t="inlineStr">
        <is>
          <t>Thay băng, cắt chỉ vết mổ [chiều dài ≤ 15cm]</t>
        </is>
      </c>
      <c r="F646" s="237" t="n">
        <v>1</v>
      </c>
      <c r="G646" s="237" t="n">
        <v>100000</v>
      </c>
      <c r="H646" s="95">
        <f>25%*75%</f>
        <v/>
      </c>
    </row>
    <row r="647" ht="15.75" customHeight="1">
      <c r="A647" s="94" t="n">
        <v>642</v>
      </c>
      <c r="B647" s="141" t="inlineStr">
        <is>
          <t>2026/08/18 05:00</t>
        </is>
      </c>
      <c r="C647" s="141" t="inlineStr">
        <is>
          <t>TRẦN HIỀN</t>
        </is>
      </c>
      <c r="D647" s="141" t="inlineStr">
        <is>
          <t>01/01/1971</t>
        </is>
      </c>
      <c r="E647" s="141" t="inlineStr">
        <is>
          <t>Thay băng, cắt chỉ vết mổ [chiều dài ≤ 15cm]</t>
        </is>
      </c>
      <c r="F647" s="237" t="n">
        <v>1</v>
      </c>
      <c r="G647" s="237" t="n">
        <v>100000</v>
      </c>
      <c r="H647" s="95">
        <f>25%*75%</f>
        <v/>
      </c>
    </row>
    <row r="648" ht="15.75" customHeight="1">
      <c r="A648" s="94" t="n">
        <v>643</v>
      </c>
      <c r="B648" s="141" t="inlineStr">
        <is>
          <t>2026/08/18 05:00</t>
        </is>
      </c>
      <c r="C648" s="141" t="inlineStr">
        <is>
          <t>TRẦN VĂN LẸ</t>
        </is>
      </c>
      <c r="D648" s="141" t="inlineStr">
        <is>
          <t>01/01/1975</t>
        </is>
      </c>
      <c r="E648" s="141" t="inlineStr">
        <is>
          <t>Thay băng, cắt chỉ vết mổ [chiều dài ≤ 15cm]</t>
        </is>
      </c>
      <c r="F648" s="237" t="n">
        <v>1</v>
      </c>
      <c r="G648" s="237" t="n">
        <v>100000</v>
      </c>
      <c r="H648" s="95">
        <f>25%*75%</f>
        <v/>
      </c>
    </row>
    <row r="649" ht="15.75" customHeight="1">
      <c r="A649" s="94" t="n">
        <v>644</v>
      </c>
      <c r="B649" s="141" t="inlineStr">
        <is>
          <t>2026/08/18 05:00</t>
        </is>
      </c>
      <c r="C649" s="141" t="inlineStr">
        <is>
          <t>TĂNG THỊ MIỀN</t>
        </is>
      </c>
      <c r="D649" s="141" t="inlineStr">
        <is>
          <t>01/01/1951</t>
        </is>
      </c>
      <c r="E649" s="141" t="inlineStr">
        <is>
          <t>Thay băng, cắt chỉ vết mổ [chiều dài ≤ 15cm]</t>
        </is>
      </c>
      <c r="F649" s="237" t="n">
        <v>1</v>
      </c>
      <c r="G649" s="237" t="n">
        <v>100000</v>
      </c>
      <c r="H649" s="95">
        <f>25%*75%</f>
        <v/>
      </c>
    </row>
    <row r="650" ht="15.75" customHeight="1">
      <c r="A650" s="94" t="n">
        <v>645</v>
      </c>
      <c r="B650" s="141" t="inlineStr">
        <is>
          <t>2026/08/18 06:44</t>
        </is>
      </c>
      <c r="C650" s="141" t="inlineStr">
        <is>
          <t>NGUYỄN THỊ LAN</t>
        </is>
      </c>
      <c r="D650" s="141" t="inlineStr">
        <is>
          <t>10/10/1958</t>
        </is>
      </c>
      <c r="E650" s="141" t="inlineStr">
        <is>
          <t>Thay băng, cắt chỉ vết mổ [chiều dài ≤ 15cm]</t>
        </is>
      </c>
      <c r="F650" s="237" t="n">
        <v>1</v>
      </c>
      <c r="G650" s="237" t="n">
        <v>100000</v>
      </c>
      <c r="H650" s="95">
        <f>25%*75%</f>
        <v/>
      </c>
    </row>
    <row r="651" ht="15.75" customHeight="1">
      <c r="A651" s="94" t="n">
        <v>646</v>
      </c>
      <c r="B651" s="141" t="inlineStr">
        <is>
          <t>2026/08/18 06:52</t>
        </is>
      </c>
      <c r="C651" s="141" t="inlineStr">
        <is>
          <t>TRẦN LỆ XUÂN</t>
        </is>
      </c>
      <c r="D651" s="141" t="inlineStr">
        <is>
          <t>01/01/1964</t>
        </is>
      </c>
      <c r="E651" s="141" t="inlineStr">
        <is>
          <t>Thay băng, cắt chỉ vết mổ [chiều dài ≤ 15cm]</t>
        </is>
      </c>
      <c r="F651" s="237" t="n">
        <v>1</v>
      </c>
      <c r="G651" s="237" t="n">
        <v>100000</v>
      </c>
      <c r="H651" s="95">
        <f>25%*75%</f>
        <v/>
      </c>
    </row>
    <row r="652" ht="15.75" customHeight="1">
      <c r="A652" s="94" t="n">
        <v>647</v>
      </c>
      <c r="B652" s="141" t="inlineStr">
        <is>
          <t>2026/08/18 07:00</t>
        </is>
      </c>
      <c r="C652" s="141" t="inlineStr">
        <is>
          <t>LÊ THỊ KIM ĐIỂU</t>
        </is>
      </c>
      <c r="D652" s="141" t="inlineStr">
        <is>
          <t>12/12/1958</t>
        </is>
      </c>
      <c r="E652" s="141" t="inlineStr">
        <is>
          <t>Thay băng, cắt chỉ vết mổ [chiều dài ≤ 15cm]</t>
        </is>
      </c>
      <c r="F652" s="237" t="n">
        <v>1</v>
      </c>
      <c r="G652" s="237" t="n">
        <v>100000</v>
      </c>
      <c r="H652" s="95">
        <f>25%*75%</f>
        <v/>
      </c>
    </row>
    <row r="653" ht="15.75" customHeight="1">
      <c r="A653" s="94" t="n">
        <v>648</v>
      </c>
      <c r="B653" s="141" t="inlineStr">
        <is>
          <t>2026/08/18 07:00</t>
        </is>
      </c>
      <c r="C653" s="141" t="inlineStr">
        <is>
          <t>NGUYỄN THỊ DUNG</t>
        </is>
      </c>
      <c r="D653" s="141" t="inlineStr">
        <is>
          <t>01/01/1944</t>
        </is>
      </c>
      <c r="E653" s="141" t="inlineStr">
        <is>
          <t>Thay băng, cắt chỉ vết mổ [chiều dài ≤ 15cm]</t>
        </is>
      </c>
      <c r="F653" s="237" t="n">
        <v>1</v>
      </c>
      <c r="G653" s="237" t="n">
        <v>100000</v>
      </c>
      <c r="H653" s="95">
        <f>25%*75%</f>
        <v/>
      </c>
    </row>
    <row r="654" ht="15.75" customHeight="1">
      <c r="A654" s="94" t="n">
        <v>649</v>
      </c>
      <c r="B654" s="141" t="inlineStr">
        <is>
          <t>2026/08/18 07:00</t>
        </is>
      </c>
      <c r="C654" s="141" t="inlineStr">
        <is>
          <t>NGUYỄN THỊ TÁM</t>
        </is>
      </c>
      <c r="D654" s="141" t="inlineStr">
        <is>
          <t>01/01/1957</t>
        </is>
      </c>
      <c r="E654" s="141" t="inlineStr">
        <is>
          <t>Thay băng, cắt chỉ vết mổ [chiều dài ≤ 15cm]</t>
        </is>
      </c>
      <c r="F654" s="237" t="n">
        <v>1</v>
      </c>
      <c r="G654" s="237" t="n">
        <v>100000</v>
      </c>
      <c r="H654" s="95">
        <f>25%*75%</f>
        <v/>
      </c>
    </row>
    <row r="655" ht="15.75" customHeight="1">
      <c r="A655" s="94" t="n">
        <v>650</v>
      </c>
      <c r="B655" s="141" t="inlineStr">
        <is>
          <t>2026/08/18 07:00</t>
        </is>
      </c>
      <c r="C655" s="141" t="inlineStr">
        <is>
          <t>ĐẶNG THỊ GẤM</t>
        </is>
      </c>
      <c r="D655" s="141" t="inlineStr">
        <is>
          <t>01/01/1965</t>
        </is>
      </c>
      <c r="E655" s="141" t="inlineStr">
        <is>
          <t>Thay băng, cắt chỉ vết mổ [chiều dài ≤ 15cm]</t>
        </is>
      </c>
      <c r="F655" s="237" t="n">
        <v>1</v>
      </c>
      <c r="G655" s="237" t="n">
        <v>100000</v>
      </c>
      <c r="H655" s="95">
        <f>25%*75%</f>
        <v/>
      </c>
    </row>
    <row r="656" ht="15.75" customHeight="1">
      <c r="A656" s="94" t="n">
        <v>651</v>
      </c>
      <c r="B656" s="141" t="inlineStr">
        <is>
          <t>2026/08/18 07:20</t>
        </is>
      </c>
      <c r="C656" s="141" t="inlineStr">
        <is>
          <t>NGUYỄN THỊ XUÂN LAN</t>
        </is>
      </c>
      <c r="D656" s="141" t="inlineStr">
        <is>
          <t>30/12/1956</t>
        </is>
      </c>
      <c r="E656" s="141" t="inlineStr">
        <is>
          <t>Thay băng, cắt chỉ vết mổ [chiều dài ≤ 15cm]</t>
        </is>
      </c>
      <c r="F656" s="237" t="n">
        <v>1</v>
      </c>
      <c r="G656" s="237" t="n">
        <v>100000</v>
      </c>
      <c r="H656" s="95">
        <f>25%*75%</f>
        <v/>
      </c>
    </row>
    <row r="657" ht="15.75" customHeight="1">
      <c r="A657" s="94" t="n">
        <v>652</v>
      </c>
      <c r="B657" s="141" t="inlineStr">
        <is>
          <t>2026/08/18 07:48</t>
        </is>
      </c>
      <c r="C657" s="141" t="inlineStr">
        <is>
          <t>VĂNG VĂN ĐỒ</t>
        </is>
      </c>
      <c r="D657" s="141" t="inlineStr">
        <is>
          <t>25/05/1972</t>
        </is>
      </c>
      <c r="E657" s="141" t="inlineStr">
        <is>
          <t>Thay băng, cắt chỉ vết mổ [chiều dài ≤ 15cm]</t>
        </is>
      </c>
      <c r="F657" s="237" t="n">
        <v>1</v>
      </c>
      <c r="G657" s="237" t="n">
        <v>100000</v>
      </c>
      <c r="H657" s="95">
        <f>25%*75%</f>
        <v/>
      </c>
    </row>
    <row r="658" ht="15.75" customHeight="1">
      <c r="A658" s="94" t="n">
        <v>653</v>
      </c>
      <c r="B658" s="141" t="inlineStr">
        <is>
          <t>2026/08/18 07:59</t>
        </is>
      </c>
      <c r="C658" s="141" t="inlineStr">
        <is>
          <t>ONG THỊ THÊU</t>
        </is>
      </c>
      <c r="D658" s="141" t="inlineStr">
        <is>
          <t>02/09/1972</t>
        </is>
      </c>
      <c r="E658" s="141" t="inlineStr">
        <is>
          <t>Thay băng, cắt chỉ vết mổ [chiều dài ≤ 15cm]</t>
        </is>
      </c>
      <c r="F658" s="237" t="n">
        <v>1</v>
      </c>
      <c r="G658" s="237" t="n">
        <v>100000</v>
      </c>
      <c r="H658" s="95">
        <f>25%*75%</f>
        <v/>
      </c>
    </row>
    <row r="659" ht="15.75" customHeight="1">
      <c r="A659" s="94" t="n">
        <v>654</v>
      </c>
      <c r="B659" s="141" t="inlineStr">
        <is>
          <t>2026/08/18 08:20</t>
        </is>
      </c>
      <c r="C659" s="141" t="inlineStr">
        <is>
          <t>LÊ THỊ NẮM CHỊ</t>
        </is>
      </c>
      <c r="D659" s="141" t="inlineStr">
        <is>
          <t>01/01/1967</t>
        </is>
      </c>
      <c r="E659" s="141" t="inlineStr">
        <is>
          <t>Truyền hóa chất tĩnh mạch [nội trú]</t>
        </is>
      </c>
      <c r="F659" s="237" t="n">
        <v>1</v>
      </c>
      <c r="G659" s="237" t="n">
        <v>400000</v>
      </c>
      <c r="H659" s="95">
        <f>25%*75%</f>
        <v/>
      </c>
    </row>
    <row r="660" ht="15.75" customHeight="1">
      <c r="A660" s="94" t="n">
        <v>655</v>
      </c>
      <c r="B660" s="141" t="inlineStr">
        <is>
          <t>2026/08/19 05:00</t>
        </is>
      </c>
      <c r="C660" s="141" t="inlineStr">
        <is>
          <t>MAI VĂN ANH</t>
        </is>
      </c>
      <c r="D660" s="141" t="inlineStr">
        <is>
          <t>01/01/1980</t>
        </is>
      </c>
      <c r="E660" s="141" t="inlineStr">
        <is>
          <t>Thay băng, cắt chỉ vết mổ [chiều dài ≤ 15cm]</t>
        </is>
      </c>
      <c r="F660" s="237" t="n">
        <v>1</v>
      </c>
      <c r="G660" s="237" t="n">
        <v>100000</v>
      </c>
      <c r="H660" s="95">
        <f>25%*75%</f>
        <v/>
      </c>
    </row>
    <row r="661" ht="15.75" customHeight="1">
      <c r="A661" s="94" t="n">
        <v>656</v>
      </c>
      <c r="B661" s="141" t="inlineStr">
        <is>
          <t>2026/08/19 05:00</t>
        </is>
      </c>
      <c r="C661" s="141" t="inlineStr">
        <is>
          <t>TRƯƠNG VĂN ÚT</t>
        </is>
      </c>
      <c r="D661" s="141" t="inlineStr">
        <is>
          <t>01/01/1948</t>
        </is>
      </c>
      <c r="E661" s="141" t="inlineStr">
        <is>
          <t>Thay băng, cắt chỉ vết mổ [chiều dài ≤ 15cm]</t>
        </is>
      </c>
      <c r="F661" s="237" t="n">
        <v>1</v>
      </c>
      <c r="G661" s="237" t="n">
        <v>100000</v>
      </c>
      <c r="H661" s="95">
        <f>25%*75%</f>
        <v/>
      </c>
    </row>
    <row r="662" ht="15.75" customHeight="1">
      <c r="A662" s="94" t="n">
        <v>657</v>
      </c>
      <c r="B662" s="141" t="inlineStr">
        <is>
          <t>2026/08/19 05:00</t>
        </is>
      </c>
      <c r="C662" s="141" t="inlineStr">
        <is>
          <t>TRẦN VĂN LẸ</t>
        </is>
      </c>
      <c r="D662" s="141" t="inlineStr">
        <is>
          <t>01/01/1975</t>
        </is>
      </c>
      <c r="E662" s="141" t="inlineStr">
        <is>
          <t>Thay băng, cắt chỉ vết mổ [chiều dài ≤ 15cm]</t>
        </is>
      </c>
      <c r="F662" s="237" t="n">
        <v>1</v>
      </c>
      <c r="G662" s="237" t="n">
        <v>100000</v>
      </c>
      <c r="H662" s="95">
        <f>25%*75%</f>
        <v/>
      </c>
    </row>
    <row r="663" ht="15.75" customHeight="1">
      <c r="A663" s="94" t="n">
        <v>658</v>
      </c>
      <c r="B663" s="141" t="inlineStr">
        <is>
          <t>2026/08/19 05:00</t>
        </is>
      </c>
      <c r="C663" s="141" t="inlineStr">
        <is>
          <t>TĂNG THỊ MIỀN</t>
        </is>
      </c>
      <c r="D663" s="141" t="inlineStr">
        <is>
          <t>01/01/1951</t>
        </is>
      </c>
      <c r="E663" s="141" t="inlineStr">
        <is>
          <t>Thay băng, cắt chỉ vết mổ [chiều dài ≤ 15cm]</t>
        </is>
      </c>
      <c r="F663" s="237" t="n">
        <v>1</v>
      </c>
      <c r="G663" s="237" t="n">
        <v>100000</v>
      </c>
      <c r="H663" s="95">
        <f>25%*75%</f>
        <v/>
      </c>
    </row>
    <row r="664" ht="15.75" customHeight="1">
      <c r="A664" s="94" t="n">
        <v>659</v>
      </c>
      <c r="B664" s="141" t="inlineStr">
        <is>
          <t>2026/08/19 05:00</t>
        </is>
      </c>
      <c r="C664" s="141" t="inlineStr">
        <is>
          <t>VÕ HỒNG CƠ</t>
        </is>
      </c>
      <c r="D664" s="141" t="inlineStr">
        <is>
          <t>25/12/1937</t>
        </is>
      </c>
      <c r="E664" s="141" t="inlineStr">
        <is>
          <t>Thay băng, cắt chỉ vết mổ [chiều dài ≤ 15cm]</t>
        </is>
      </c>
      <c r="F664" s="237" t="n">
        <v>1</v>
      </c>
      <c r="G664" s="237" t="n">
        <v>100000</v>
      </c>
      <c r="H664" s="95">
        <f>25%*75%</f>
        <v/>
      </c>
    </row>
    <row r="665" ht="15.75" customHeight="1">
      <c r="A665" s="94" t="n">
        <v>660</v>
      </c>
      <c r="B665" s="141" t="inlineStr">
        <is>
          <t>2026/08/19 06:30</t>
        </is>
      </c>
      <c r="C665" s="141" t="inlineStr">
        <is>
          <t>LÊ THỊ KIM ĐIỂU</t>
        </is>
      </c>
      <c r="D665" s="141" t="inlineStr">
        <is>
          <t>12/12/1958</t>
        </is>
      </c>
      <c r="E665" s="141" t="inlineStr">
        <is>
          <t>Thay băng, cắt chỉ vết mổ [chiều dài ≤ 15cm]</t>
        </is>
      </c>
      <c r="F665" s="237" t="n">
        <v>1</v>
      </c>
      <c r="G665" s="237" t="n">
        <v>100000</v>
      </c>
      <c r="H665" s="95">
        <f>25%*75%</f>
        <v/>
      </c>
    </row>
    <row r="666" ht="15.75" customHeight="1">
      <c r="A666" s="94" t="n">
        <v>661</v>
      </c>
      <c r="B666" s="141" t="inlineStr">
        <is>
          <t>2026/08/19 06:39</t>
        </is>
      </c>
      <c r="C666" s="141" t="inlineStr">
        <is>
          <t>NGUYỄN THỊ LAN</t>
        </is>
      </c>
      <c r="D666" s="141" t="inlineStr">
        <is>
          <t>10/10/1958</t>
        </is>
      </c>
      <c r="E666" s="141" t="inlineStr">
        <is>
          <t>Thay băng, cắt chỉ vết mổ [chiều dài ≤ 15cm]</t>
        </is>
      </c>
      <c r="F666" s="237" t="n">
        <v>1</v>
      </c>
      <c r="G666" s="237" t="n">
        <v>100000</v>
      </c>
      <c r="H666" s="95">
        <f>25%*75%</f>
        <v/>
      </c>
    </row>
    <row r="667" ht="15.75" customHeight="1">
      <c r="A667" s="94" t="n">
        <v>662</v>
      </c>
      <c r="B667" s="141" t="inlineStr">
        <is>
          <t>2026/08/19 06:59</t>
        </is>
      </c>
      <c r="C667" s="141" t="inlineStr">
        <is>
          <t>NGUYỄN THỊ XUÂN LAN</t>
        </is>
      </c>
      <c r="D667" s="141" t="inlineStr">
        <is>
          <t>30/12/1956</t>
        </is>
      </c>
      <c r="E667" s="141" t="inlineStr">
        <is>
          <t>Thay băng, cắt chỉ vết mổ [chiều dài ≤ 15cm]</t>
        </is>
      </c>
      <c r="F667" s="237" t="n">
        <v>1</v>
      </c>
      <c r="G667" s="237" t="n">
        <v>100000</v>
      </c>
      <c r="H667" s="95">
        <f>25%*75%</f>
        <v/>
      </c>
    </row>
    <row r="668" ht="15.75" customHeight="1">
      <c r="A668" s="94" t="n">
        <v>663</v>
      </c>
      <c r="B668" s="141" t="inlineStr">
        <is>
          <t>2026/08/19 07:00</t>
        </is>
      </c>
      <c r="C668" s="141" t="inlineStr">
        <is>
          <t>BÙI HỮU THỌ</t>
        </is>
      </c>
      <c r="D668" s="141" t="inlineStr">
        <is>
          <t>01/02/1981</t>
        </is>
      </c>
      <c r="E668" s="141" t="inlineStr">
        <is>
          <t>Thay băng, cắt chỉ vết mổ [chiều dài ≤ 15cm]</t>
        </is>
      </c>
      <c r="F668" s="237" t="n">
        <v>1</v>
      </c>
      <c r="G668" s="237" t="n">
        <v>100000</v>
      </c>
      <c r="H668" s="95">
        <f>25%*75%</f>
        <v/>
      </c>
    </row>
    <row r="669" ht="15.75" customHeight="1">
      <c r="A669" s="94" t="n">
        <v>664</v>
      </c>
      <c r="B669" s="141" t="inlineStr">
        <is>
          <t>2026/08/19 07:00</t>
        </is>
      </c>
      <c r="C669" s="141" t="inlineStr">
        <is>
          <t>BÙI THỊ NGỜI</t>
        </is>
      </c>
      <c r="D669" s="141" t="inlineStr">
        <is>
          <t>01/01/1952</t>
        </is>
      </c>
      <c r="E669" s="141" t="inlineStr">
        <is>
          <t>Thay băng, cắt chỉ vết mổ [chiều dài ≤ 15cm]</t>
        </is>
      </c>
      <c r="F669" s="237" t="n">
        <v>1</v>
      </c>
      <c r="G669" s="237" t="n">
        <v>100000</v>
      </c>
      <c r="H669" s="95">
        <f>25%*75%</f>
        <v/>
      </c>
    </row>
    <row r="670" ht="15.75" customHeight="1">
      <c r="A670" s="94" t="n">
        <v>665</v>
      </c>
      <c r="B670" s="141" t="inlineStr">
        <is>
          <t>2026/08/19 07:00</t>
        </is>
      </c>
      <c r="C670" s="141" t="inlineStr">
        <is>
          <t>NGUYỄN THỊ DUNG</t>
        </is>
      </c>
      <c r="D670" s="141" t="inlineStr">
        <is>
          <t>01/01/1944</t>
        </is>
      </c>
      <c r="E670" s="141" t="inlineStr">
        <is>
          <t>Thay băng, cắt chỉ vết mổ [chiều dài ≤ 15cm]</t>
        </is>
      </c>
      <c r="F670" s="237" t="n">
        <v>1</v>
      </c>
      <c r="G670" s="237" t="n">
        <v>100000</v>
      </c>
      <c r="H670" s="95">
        <f>25%*75%</f>
        <v/>
      </c>
    </row>
    <row r="671" ht="15.75" customHeight="1">
      <c r="A671" s="94" t="n">
        <v>666</v>
      </c>
      <c r="B671" s="141" t="inlineStr">
        <is>
          <t>2026/08/19 07:00</t>
        </is>
      </c>
      <c r="C671" s="141" t="inlineStr">
        <is>
          <t>NGUYỄN THỊ HÈ</t>
        </is>
      </c>
      <c r="D671" s="141" t="inlineStr">
        <is>
          <t>01/01/1968</t>
        </is>
      </c>
      <c r="E671" s="141" t="inlineStr">
        <is>
          <t>Thay băng, cắt chỉ vết mổ [chiều dài ≤ 15cm]</t>
        </is>
      </c>
      <c r="F671" s="237" t="n">
        <v>1</v>
      </c>
      <c r="G671" s="237" t="n">
        <v>100000</v>
      </c>
      <c r="H671" s="95">
        <f>25%*75%</f>
        <v/>
      </c>
    </row>
    <row r="672" ht="15.75" customHeight="1">
      <c r="A672" s="94" t="n">
        <v>667</v>
      </c>
      <c r="B672" s="141" t="inlineStr">
        <is>
          <t>2026/08/19 07:15</t>
        </is>
      </c>
      <c r="C672" s="141" t="inlineStr">
        <is>
          <t>LÊ NGỌC ĐIỆP</t>
        </is>
      </c>
      <c r="D672" s="141" t="inlineStr">
        <is>
          <t>29/08/1962</t>
        </is>
      </c>
      <c r="E672" s="141" t="inlineStr">
        <is>
          <t>Thay băng, cắt chỉ vết mổ [chiều dài ≤ 15cm]</t>
        </is>
      </c>
      <c r="F672" s="237" t="n">
        <v>1</v>
      </c>
      <c r="G672" s="237" t="n">
        <v>100000</v>
      </c>
      <c r="H672" s="95">
        <f>25%*75%</f>
        <v/>
      </c>
    </row>
    <row r="673" ht="15.75" customHeight="1">
      <c r="A673" s="94" t="n">
        <v>668</v>
      </c>
      <c r="B673" s="141" t="inlineStr">
        <is>
          <t>2026/08/19 07:15</t>
        </is>
      </c>
      <c r="C673" s="141" t="inlineStr">
        <is>
          <t>PHẠM NGỌC SƠN</t>
        </is>
      </c>
      <c r="D673" s="141" t="inlineStr">
        <is>
          <t>06/07/1989</t>
        </is>
      </c>
      <c r="E673" s="141" t="inlineStr">
        <is>
          <t>Thay băng, cắt chỉ vết mổ [chiều dài ≤ 15cm]</t>
        </is>
      </c>
      <c r="F673" s="237" t="n">
        <v>1</v>
      </c>
      <c r="G673" s="237" t="n">
        <v>100000</v>
      </c>
      <c r="H673" s="95">
        <f>25%*75%</f>
        <v/>
      </c>
    </row>
    <row r="674" ht="15.75" customHeight="1">
      <c r="A674" s="94" t="n">
        <v>669</v>
      </c>
      <c r="B674" s="141" t="inlineStr">
        <is>
          <t>2026/08/19 07:35</t>
        </is>
      </c>
      <c r="C674" s="141" t="inlineStr">
        <is>
          <t>NGUYỄN THÀNH LONG</t>
        </is>
      </c>
      <c r="D674" s="141" t="inlineStr">
        <is>
          <t>03/01/1971</t>
        </is>
      </c>
      <c r="E674" s="141" t="inlineStr">
        <is>
          <t>Thay băng, cắt chỉ vết mổ [chiều dài ≤ 15cm]</t>
        </is>
      </c>
      <c r="F674" s="237" t="n">
        <v>1</v>
      </c>
      <c r="G674" s="237" t="n">
        <v>100000</v>
      </c>
      <c r="H674" s="95">
        <f>25%*75%</f>
        <v/>
      </c>
    </row>
    <row r="675" ht="15.75" customHeight="1">
      <c r="A675" s="94" t="n">
        <v>670</v>
      </c>
      <c r="B675" s="141" t="inlineStr">
        <is>
          <t>2026/08/19 07:55</t>
        </is>
      </c>
      <c r="C675" s="141" t="inlineStr">
        <is>
          <t>TRẦN THỊ DIỄM TRANG</t>
        </is>
      </c>
      <c r="D675" s="141" t="inlineStr">
        <is>
          <t>15/04/1984</t>
        </is>
      </c>
      <c r="E675" s="141" t="inlineStr">
        <is>
          <t>Thay băng, cắt chỉ vết mổ [chiều dài ≤ 15cm]</t>
        </is>
      </c>
      <c r="F675" s="237" t="n">
        <v>1</v>
      </c>
      <c r="G675" s="237" t="n">
        <v>100000</v>
      </c>
      <c r="H675" s="95">
        <f>25%*75%</f>
        <v/>
      </c>
    </row>
    <row r="676" ht="15.75" customHeight="1">
      <c r="A676" s="94" t="n">
        <v>671</v>
      </c>
      <c r="B676" s="141" t="inlineStr">
        <is>
          <t>2026/08/19 08:00</t>
        </is>
      </c>
      <c r="C676" s="141" t="inlineStr">
        <is>
          <t>TRẦN THANH QUI</t>
        </is>
      </c>
      <c r="D676" s="141" t="inlineStr">
        <is>
          <t>31/05/2005</t>
        </is>
      </c>
      <c r="E676" s="141" t="inlineStr">
        <is>
          <t>Thay băng, cắt chỉ vết mổ [chiều dài ≤ 15cm]</t>
        </is>
      </c>
      <c r="F676" s="237" t="n">
        <v>1</v>
      </c>
      <c r="G676" s="237" t="n">
        <v>100000</v>
      </c>
      <c r="H676" s="95">
        <f>25%*75%</f>
        <v/>
      </c>
    </row>
    <row r="677" ht="15.75" customHeight="1">
      <c r="A677" s="94" t="n">
        <v>672</v>
      </c>
      <c r="B677" s="141" t="inlineStr">
        <is>
          <t>2026/08/20 05:00</t>
        </is>
      </c>
      <c r="C677" s="141" t="inlineStr">
        <is>
          <t>BÙI HỮU THỌ</t>
        </is>
      </c>
      <c r="D677" s="141" t="inlineStr">
        <is>
          <t>01/02/1981</t>
        </is>
      </c>
      <c r="E677" s="141" t="inlineStr">
        <is>
          <t>Thay băng, cắt chỉ vết mổ [chiều dài ≤ 15cm]</t>
        </is>
      </c>
      <c r="F677" s="237" t="n">
        <v>1</v>
      </c>
      <c r="G677" s="237" t="n">
        <v>100000</v>
      </c>
      <c r="H677" s="95">
        <f>25%*75%</f>
        <v/>
      </c>
    </row>
    <row r="678" ht="15.75" customHeight="1">
      <c r="A678" s="94" t="n">
        <v>673</v>
      </c>
      <c r="B678" s="141" t="inlineStr">
        <is>
          <t>2026/08/20 05:00</t>
        </is>
      </c>
      <c r="C678" s="141" t="inlineStr">
        <is>
          <t>MAI VĂN ANH</t>
        </is>
      </c>
      <c r="D678" s="141" t="inlineStr">
        <is>
          <t>01/01/1980</t>
        </is>
      </c>
      <c r="E678" s="141" t="inlineStr">
        <is>
          <t>Thay băng, cắt chỉ vết mổ [chiều dài ≤ 15cm]</t>
        </is>
      </c>
      <c r="F678" s="237" t="n">
        <v>1</v>
      </c>
      <c r="G678" s="237" t="n">
        <v>100000</v>
      </c>
      <c r="H678" s="95">
        <f>25%*75%</f>
        <v/>
      </c>
    </row>
    <row r="679" ht="15.75" customHeight="1">
      <c r="A679" s="94" t="n">
        <v>674</v>
      </c>
      <c r="B679" s="141" t="inlineStr">
        <is>
          <t>2026/08/20 05:00</t>
        </is>
      </c>
      <c r="C679" s="141" t="inlineStr">
        <is>
          <t>TRƯƠNG VĂN ÚT</t>
        </is>
      </c>
      <c r="D679" s="141" t="inlineStr">
        <is>
          <t>01/01/1948</t>
        </is>
      </c>
      <c r="E679" s="141" t="inlineStr">
        <is>
          <t>Thay băng, cắt chỉ vết mổ [chiều dài ≤ 15cm]</t>
        </is>
      </c>
      <c r="F679" s="237" t="n">
        <v>1</v>
      </c>
      <c r="G679" s="237" t="n">
        <v>100000</v>
      </c>
      <c r="H679" s="95">
        <f>25%*75%</f>
        <v/>
      </c>
    </row>
    <row r="680" ht="15.75" customHeight="1">
      <c r="A680" s="94" t="n">
        <v>675</v>
      </c>
      <c r="B680" s="141" t="inlineStr">
        <is>
          <t>2026/08/20 05:00</t>
        </is>
      </c>
      <c r="C680" s="141" t="inlineStr">
        <is>
          <t>TRẦN THANH QUI</t>
        </is>
      </c>
      <c r="D680" s="141" t="inlineStr">
        <is>
          <t>31/05/2005</t>
        </is>
      </c>
      <c r="E680" s="141" t="inlineStr">
        <is>
          <t>Thay băng, cắt chỉ vết mổ [chiều dài ≤ 15cm]</t>
        </is>
      </c>
      <c r="F680" s="237" t="n">
        <v>1</v>
      </c>
      <c r="G680" s="237" t="n">
        <v>100000</v>
      </c>
      <c r="H680" s="95">
        <f>25%*75%</f>
        <v/>
      </c>
    </row>
    <row r="681" ht="15.75" customHeight="1">
      <c r="A681" s="94" t="n">
        <v>676</v>
      </c>
      <c r="B681" s="141" t="inlineStr">
        <is>
          <t>2026/08/20 05:00</t>
        </is>
      </c>
      <c r="C681" s="141" t="inlineStr">
        <is>
          <t>TRẦN THỊ DIỄM TRANG</t>
        </is>
      </c>
      <c r="D681" s="141" t="inlineStr">
        <is>
          <t>15/04/1984</t>
        </is>
      </c>
      <c r="E681" s="141" t="inlineStr">
        <is>
          <t>Thay băng, cắt chỉ vết mổ [chiều dài ≤ 15cm]</t>
        </is>
      </c>
      <c r="F681" s="237" t="n">
        <v>1</v>
      </c>
      <c r="G681" s="237" t="n">
        <v>100000</v>
      </c>
      <c r="H681" s="95">
        <f>25%*75%</f>
        <v/>
      </c>
    </row>
    <row r="682" ht="15.75" customHeight="1">
      <c r="A682" s="94" t="n">
        <v>677</v>
      </c>
      <c r="B682" s="141" t="inlineStr">
        <is>
          <t>2026/08/20 05:00</t>
        </is>
      </c>
      <c r="C682" s="141" t="inlineStr">
        <is>
          <t>TRẦN VĂN LẸ</t>
        </is>
      </c>
      <c r="D682" s="141" t="inlineStr">
        <is>
          <t>01/01/1975</t>
        </is>
      </c>
      <c r="E682" s="141" t="inlineStr">
        <is>
          <t>Thay băng, cắt chỉ vết mổ [chiều dài ≤ 15cm]</t>
        </is>
      </c>
      <c r="F682" s="237" t="n">
        <v>1</v>
      </c>
      <c r="G682" s="237" t="n">
        <v>100000</v>
      </c>
      <c r="H682" s="95">
        <f>25%*75%</f>
        <v/>
      </c>
    </row>
    <row r="683" ht="15.75" customHeight="1">
      <c r="A683" s="94" t="n">
        <v>678</v>
      </c>
      <c r="B683" s="141" t="inlineStr">
        <is>
          <t>2026/08/20 05:00</t>
        </is>
      </c>
      <c r="C683" s="141" t="inlineStr">
        <is>
          <t>TĂNG THỊ MIỀN</t>
        </is>
      </c>
      <c r="D683" s="141" t="inlineStr">
        <is>
          <t>01/01/1951</t>
        </is>
      </c>
      <c r="E683" s="141" t="inlineStr">
        <is>
          <t>Thay băng, cắt chỉ vết mổ [chiều dài ≤ 15cm]</t>
        </is>
      </c>
      <c r="F683" s="237" t="n">
        <v>1</v>
      </c>
      <c r="G683" s="237" t="n">
        <v>100000</v>
      </c>
      <c r="H683" s="95">
        <f>25%*75%</f>
        <v/>
      </c>
    </row>
    <row r="684" ht="15.75" customHeight="1">
      <c r="A684" s="94" t="n">
        <v>679</v>
      </c>
      <c r="B684" s="141" t="inlineStr">
        <is>
          <t>2026/08/20 05:00</t>
        </is>
      </c>
      <c r="C684" s="141" t="inlineStr">
        <is>
          <t>VÕ HỒNG CƠ</t>
        </is>
      </c>
      <c r="D684" s="141" t="inlineStr">
        <is>
          <t>25/12/1937</t>
        </is>
      </c>
      <c r="E684" s="141" t="inlineStr">
        <is>
          <t>Thay băng, cắt chỉ vết mổ [chiều dài ≤ 15cm]</t>
        </is>
      </c>
      <c r="F684" s="237" t="n">
        <v>1</v>
      </c>
      <c r="G684" s="237" t="n">
        <v>100000</v>
      </c>
      <c r="H684" s="95">
        <f>25%*75%</f>
        <v/>
      </c>
    </row>
    <row r="685" ht="15.75" customHeight="1">
      <c r="A685" s="94" t="n">
        <v>680</v>
      </c>
      <c r="B685" s="141" t="inlineStr">
        <is>
          <t>2026/08/20 06:59</t>
        </is>
      </c>
      <c r="C685" s="141" t="inlineStr">
        <is>
          <t>NGUYỄN THỊ XUÂN LAN</t>
        </is>
      </c>
      <c r="D685" s="141" t="inlineStr">
        <is>
          <t>30/12/1956</t>
        </is>
      </c>
      <c r="E685" s="141" t="inlineStr">
        <is>
          <t>Thay băng, cắt chỉ vết mổ [chiều dài ≤ 15cm]</t>
        </is>
      </c>
      <c r="F685" s="237" t="n">
        <v>1</v>
      </c>
      <c r="G685" s="237" t="n">
        <v>100000</v>
      </c>
      <c r="H685" s="95">
        <f>25%*75%</f>
        <v/>
      </c>
    </row>
    <row r="686" ht="15.75" customHeight="1">
      <c r="A686" s="94" t="n">
        <v>681</v>
      </c>
      <c r="B686" s="141" t="inlineStr">
        <is>
          <t>2026/08/20 07:00</t>
        </is>
      </c>
      <c r="C686" s="141" t="inlineStr">
        <is>
          <t>BÙI THỊ NGỜI</t>
        </is>
      </c>
      <c r="D686" s="141" t="inlineStr">
        <is>
          <t>01/01/1952</t>
        </is>
      </c>
      <c r="E686" s="141" t="inlineStr">
        <is>
          <t>Thay băng, cắt chỉ vết mổ [chiều dài ≤ 15cm]</t>
        </is>
      </c>
      <c r="F686" s="237" t="n">
        <v>1</v>
      </c>
      <c r="G686" s="237" t="n">
        <v>100000</v>
      </c>
      <c r="H686" s="95">
        <f>25%*75%</f>
        <v/>
      </c>
    </row>
    <row r="687" ht="15.75" customHeight="1">
      <c r="A687" s="94" t="n">
        <v>682</v>
      </c>
      <c r="B687" s="141" t="inlineStr">
        <is>
          <t>2026/08/20 07:00</t>
        </is>
      </c>
      <c r="C687" s="141" t="inlineStr">
        <is>
          <t>NGUYỄN THÀNH LONG</t>
        </is>
      </c>
      <c r="D687" s="141" t="inlineStr">
        <is>
          <t>03/01/1971</t>
        </is>
      </c>
      <c r="E687" s="141" t="inlineStr">
        <is>
          <t>Thay băng, cắt chỉ vết mổ [chiều dài ≤ 15cm]</t>
        </is>
      </c>
      <c r="F687" s="237" t="n">
        <v>1</v>
      </c>
      <c r="G687" s="237" t="n">
        <v>100000</v>
      </c>
      <c r="H687" s="95">
        <f>25%*75%</f>
        <v/>
      </c>
    </row>
    <row r="688" ht="15.75" customHeight="1">
      <c r="A688" s="94" t="n">
        <v>683</v>
      </c>
      <c r="B688" s="141" t="inlineStr">
        <is>
          <t>2026/08/20 07:00</t>
        </is>
      </c>
      <c r="C688" s="141" t="inlineStr">
        <is>
          <t>NGUYỄN THỊ HÈ</t>
        </is>
      </c>
      <c r="D688" s="141" t="inlineStr">
        <is>
          <t>01/01/1968</t>
        </is>
      </c>
      <c r="E688" s="141" t="inlineStr">
        <is>
          <t>Thay băng, cắt chỉ vết mổ [chiều dài ≤ 15cm]</t>
        </is>
      </c>
      <c r="F688" s="237" t="n">
        <v>1</v>
      </c>
      <c r="G688" s="237" t="n">
        <v>100000</v>
      </c>
      <c r="H688" s="95">
        <f>25%*75%</f>
        <v/>
      </c>
    </row>
    <row r="689" ht="15.75" customHeight="1">
      <c r="A689" s="94" t="n">
        <v>684</v>
      </c>
      <c r="B689" s="141" t="inlineStr">
        <is>
          <t>2026/08/20 07:00</t>
        </is>
      </c>
      <c r="C689" s="141" t="inlineStr">
        <is>
          <t>NGUYỄN THỊ THẮM</t>
        </is>
      </c>
      <c r="D689" s="141" t="inlineStr">
        <is>
          <t>01/01/1962</t>
        </is>
      </c>
      <c r="E689" s="141" t="inlineStr">
        <is>
          <t>Thay băng, cắt chỉ vết mổ [chiều dài ≤ 15cm]</t>
        </is>
      </c>
      <c r="F689" s="237" t="n">
        <v>1</v>
      </c>
      <c r="G689" s="237" t="n">
        <v>100000</v>
      </c>
      <c r="H689" s="95">
        <f>25%*75%</f>
        <v/>
      </c>
    </row>
    <row r="690" ht="15.75" customHeight="1">
      <c r="A690" s="94" t="n">
        <v>685</v>
      </c>
      <c r="B690" s="141" t="inlineStr">
        <is>
          <t>2026/08/20 07:00</t>
        </is>
      </c>
      <c r="C690" s="141" t="inlineStr">
        <is>
          <t>NGUYỄN VĂN Y</t>
        </is>
      </c>
      <c r="D690" s="141" t="inlineStr">
        <is>
          <t>10/07/1993</t>
        </is>
      </c>
      <c r="E690" s="141" t="inlineStr">
        <is>
          <t>Thay băng, cắt chỉ vết mổ [chiều dài ≤ 15cm]</t>
        </is>
      </c>
      <c r="F690" s="237" t="n">
        <v>1</v>
      </c>
      <c r="G690" s="237" t="n">
        <v>100000</v>
      </c>
      <c r="H690" s="95">
        <f>25%*75%</f>
        <v/>
      </c>
    </row>
    <row r="691" ht="15.75" customHeight="1">
      <c r="A691" s="94" t="n">
        <v>686</v>
      </c>
      <c r="B691" s="141" t="inlineStr">
        <is>
          <t>2026/08/20 07:00</t>
        </is>
      </c>
      <c r="C691" s="141" t="inlineStr">
        <is>
          <t>TRẦN NGỌC ÁNH</t>
        </is>
      </c>
      <c r="D691" s="141" t="inlineStr">
        <is>
          <t>07/01/1974</t>
        </is>
      </c>
      <c r="E691" s="141" t="inlineStr">
        <is>
          <t>Thay băng, cắt chỉ vết mổ [chiều dài ≤ 15cm]</t>
        </is>
      </c>
      <c r="F691" s="237" t="n">
        <v>1</v>
      </c>
      <c r="G691" s="237" t="n">
        <v>100000</v>
      </c>
      <c r="H691" s="95">
        <f>25%*75%</f>
        <v/>
      </c>
    </row>
    <row r="692" ht="15.75" customHeight="1">
      <c r="A692" s="94" t="n">
        <v>687</v>
      </c>
      <c r="B692" s="141" t="inlineStr">
        <is>
          <t>2026/08/20 07:15</t>
        </is>
      </c>
      <c r="C692" s="141" t="inlineStr">
        <is>
          <t>LÊ NGỌC ĐIỆP</t>
        </is>
      </c>
      <c r="D692" s="141" t="inlineStr">
        <is>
          <t>29/08/1962</t>
        </is>
      </c>
      <c r="E692" s="141" t="inlineStr">
        <is>
          <t>Thay băng, cắt chỉ vết mổ [chiều dài ≤ 15cm]</t>
        </is>
      </c>
      <c r="F692" s="237" t="n">
        <v>1</v>
      </c>
      <c r="G692" s="237" t="n">
        <v>100000</v>
      </c>
      <c r="H692" s="95">
        <f>25%*75%</f>
        <v/>
      </c>
    </row>
    <row r="693" ht="15.75" customHeight="1">
      <c r="A693" s="94" t="n">
        <v>688</v>
      </c>
      <c r="B693" s="141" t="inlineStr">
        <is>
          <t>2026/08/20 07:15</t>
        </is>
      </c>
      <c r="C693" s="141" t="inlineStr">
        <is>
          <t>PHẠM NGỌC SƠN</t>
        </is>
      </c>
      <c r="D693" s="141" t="inlineStr">
        <is>
          <t>06/07/1989</t>
        </is>
      </c>
      <c r="E693" s="141" t="inlineStr">
        <is>
          <t>Thay băng, cắt chỉ vết mổ [chiều dài ≤ 15cm]</t>
        </is>
      </c>
      <c r="F693" s="237" t="n">
        <v>1</v>
      </c>
      <c r="G693" s="237" t="n">
        <v>100000</v>
      </c>
      <c r="H693" s="95">
        <f>25%*75%</f>
        <v/>
      </c>
    </row>
    <row r="694" ht="15.75" customHeight="1">
      <c r="A694" s="94" t="n">
        <v>689</v>
      </c>
      <c r="B694" s="141" t="inlineStr">
        <is>
          <t>2026/08/21 05:00</t>
        </is>
      </c>
      <c r="C694" s="141" t="inlineStr">
        <is>
          <t>MAI VĂN ANH</t>
        </is>
      </c>
      <c r="D694" s="141" t="inlineStr">
        <is>
          <t>01/01/1980</t>
        </is>
      </c>
      <c r="E694" s="141" t="inlineStr">
        <is>
          <t>Thay băng, cắt chỉ vết mổ [chiều dài ≤ 15cm]</t>
        </is>
      </c>
      <c r="F694" s="237" t="n">
        <v>1</v>
      </c>
      <c r="G694" s="237" t="n">
        <v>100000</v>
      </c>
      <c r="H694" s="95">
        <f>25%*75%</f>
        <v/>
      </c>
    </row>
    <row r="695" ht="15.75" customHeight="1">
      <c r="A695" s="94" t="n">
        <v>690</v>
      </c>
      <c r="B695" s="141" t="inlineStr">
        <is>
          <t>2026/08/21 05:00</t>
        </is>
      </c>
      <c r="C695" s="141" t="inlineStr">
        <is>
          <t>NGUYỄN THỊ XUÂN LAN</t>
        </is>
      </c>
      <c r="D695" s="141" t="inlineStr">
        <is>
          <t>30/12/1956</t>
        </is>
      </c>
      <c r="E695" s="141" t="inlineStr">
        <is>
          <t>Đặt sonde bàng quang</t>
        </is>
      </c>
      <c r="F695" s="237" t="n">
        <v>1</v>
      </c>
      <c r="G695" s="237" t="n">
        <v>101800</v>
      </c>
      <c r="H695" s="95">
        <f>25%*75%</f>
        <v/>
      </c>
    </row>
    <row r="696" ht="15.75" customHeight="1">
      <c r="A696" s="94" t="n">
        <v>691</v>
      </c>
      <c r="B696" s="141" t="inlineStr">
        <is>
          <t>2026/08/21 05:00</t>
        </is>
      </c>
      <c r="C696" s="141" t="inlineStr">
        <is>
          <t>PHẠM NGỌC ANH THƠ</t>
        </is>
      </c>
      <c r="D696" s="141" t="inlineStr">
        <is>
          <t>13/08/2007</t>
        </is>
      </c>
      <c r="E696" s="141" t="inlineStr">
        <is>
          <t>Thay băng, cắt chỉ vết mổ [chiều dài ≤ 15cm]</t>
        </is>
      </c>
      <c r="F696" s="237" t="n">
        <v>1</v>
      </c>
      <c r="G696" s="237" t="n">
        <v>100000</v>
      </c>
      <c r="H696" s="95">
        <f>25%*75%</f>
        <v/>
      </c>
    </row>
    <row r="697" ht="15.75" customHeight="1">
      <c r="A697" s="94" t="n">
        <v>692</v>
      </c>
      <c r="B697" s="141" t="inlineStr">
        <is>
          <t>2026/08/21 05:00</t>
        </is>
      </c>
      <c r="C697" s="141" t="inlineStr">
        <is>
          <t>TRƯƠNG VĂN ÚT</t>
        </is>
      </c>
      <c r="D697" s="141" t="inlineStr">
        <is>
          <t>01/01/1948</t>
        </is>
      </c>
      <c r="E697" s="141" t="inlineStr">
        <is>
          <t>Thay băng, cắt chỉ vết mổ [chiều dài ≤ 15cm]</t>
        </is>
      </c>
      <c r="F697" s="237" t="n">
        <v>1</v>
      </c>
      <c r="G697" s="237" t="n">
        <v>100000</v>
      </c>
      <c r="H697" s="95">
        <f>25%*75%</f>
        <v/>
      </c>
    </row>
    <row r="698" ht="15.75" customHeight="1">
      <c r="A698" s="94" t="n">
        <v>693</v>
      </c>
      <c r="B698" s="141" t="inlineStr">
        <is>
          <t>2026/08/21 05:00</t>
        </is>
      </c>
      <c r="C698" s="141" t="inlineStr">
        <is>
          <t>TRẦN THANH QUI</t>
        </is>
      </c>
      <c r="D698" s="141" t="inlineStr">
        <is>
          <t>31/05/2005</t>
        </is>
      </c>
      <c r="E698" s="141" t="inlineStr">
        <is>
          <t>Thay băng, cắt chỉ vết mổ [chiều dài ≤ 15cm]</t>
        </is>
      </c>
      <c r="F698" s="237" t="n">
        <v>1</v>
      </c>
      <c r="G698" s="237" t="n">
        <v>100000</v>
      </c>
      <c r="H698" s="95">
        <f>25%*75%</f>
        <v/>
      </c>
    </row>
    <row r="699" ht="15.75" customHeight="1">
      <c r="A699" s="94" t="n">
        <v>694</v>
      </c>
      <c r="B699" s="141" t="inlineStr">
        <is>
          <t>2026/08/21 05:00</t>
        </is>
      </c>
      <c r="C699" s="141" t="inlineStr">
        <is>
          <t>TRẦN THỊ DIỄM TRANG</t>
        </is>
      </c>
      <c r="D699" s="141" t="inlineStr">
        <is>
          <t>15/04/1984</t>
        </is>
      </c>
      <c r="E699" s="141" t="inlineStr">
        <is>
          <t>Thay băng, cắt chỉ vết mổ [chiều dài ≤ 15cm]</t>
        </is>
      </c>
      <c r="F699" s="237" t="n">
        <v>1</v>
      </c>
      <c r="G699" s="237" t="n">
        <v>100000</v>
      </c>
      <c r="H699" s="95">
        <f>25%*75%</f>
        <v/>
      </c>
    </row>
    <row r="700" ht="15.75" customHeight="1">
      <c r="A700" s="94" t="n">
        <v>695</v>
      </c>
      <c r="B700" s="141" t="inlineStr">
        <is>
          <t>2026/08/21 05:00</t>
        </is>
      </c>
      <c r="C700" s="141" t="inlineStr">
        <is>
          <t>TRẦN VĂN LẸ</t>
        </is>
      </c>
      <c r="D700" s="141" t="inlineStr">
        <is>
          <t>01/01/1975</t>
        </is>
      </c>
      <c r="E700" s="141" t="inlineStr">
        <is>
          <t>Thay băng, cắt chỉ vết mổ [chiều dài ≤ 15cm]</t>
        </is>
      </c>
      <c r="F700" s="237" t="n">
        <v>1</v>
      </c>
      <c r="G700" s="237" t="n">
        <v>100000</v>
      </c>
      <c r="H700" s="95">
        <f>25%*75%</f>
        <v/>
      </c>
    </row>
    <row r="701" ht="15.75" customHeight="1">
      <c r="A701" s="94" t="n">
        <v>696</v>
      </c>
      <c r="B701" s="141" t="inlineStr">
        <is>
          <t>2026/08/21 05:00</t>
        </is>
      </c>
      <c r="C701" s="141" t="inlineStr">
        <is>
          <t>TĂNG THỊ MIỀN</t>
        </is>
      </c>
      <c r="D701" s="141" t="inlineStr">
        <is>
          <t>01/01/1951</t>
        </is>
      </c>
      <c r="E701" s="141" t="inlineStr">
        <is>
          <t>Thay băng, cắt chỉ vết mổ [chiều dài ≤ 15cm]</t>
        </is>
      </c>
      <c r="F701" s="237" t="n">
        <v>1</v>
      </c>
      <c r="G701" s="237" t="n">
        <v>100000</v>
      </c>
      <c r="H701" s="95">
        <f>25%*75%</f>
        <v/>
      </c>
    </row>
    <row r="702" ht="15.75" customHeight="1">
      <c r="A702" s="94" t="n">
        <v>697</v>
      </c>
      <c r="B702" s="141" t="inlineStr">
        <is>
          <t>2026/08/21 05:00</t>
        </is>
      </c>
      <c r="C702" s="141" t="inlineStr">
        <is>
          <t>VÕ HỒNG CƠ</t>
        </is>
      </c>
      <c r="D702" s="141" t="inlineStr">
        <is>
          <t>25/12/1937</t>
        </is>
      </c>
      <c r="E702" s="141" t="inlineStr">
        <is>
          <t>Thay băng, cắt chỉ vết mổ [chiều dài ≤ 15cm]</t>
        </is>
      </c>
      <c r="F702" s="237" t="n">
        <v>1</v>
      </c>
      <c r="G702" s="237" t="n">
        <v>100000</v>
      </c>
      <c r="H702" s="95">
        <f>25%*75%</f>
        <v/>
      </c>
    </row>
    <row r="703" ht="15.75" customHeight="1">
      <c r="A703" s="94" t="n">
        <v>698</v>
      </c>
      <c r="B703" s="141" t="inlineStr">
        <is>
          <t>2026/08/21 06:50</t>
        </is>
      </c>
      <c r="C703" s="141" t="inlineStr">
        <is>
          <t>PHẠM THỊ DIỄM</t>
        </is>
      </c>
      <c r="D703" s="141" t="inlineStr">
        <is>
          <t>15/04/1982</t>
        </is>
      </c>
      <c r="E703" s="141" t="inlineStr">
        <is>
          <t>Thay băng, cắt chỉ vết mổ [chiều dài ≤ 15cm]</t>
        </is>
      </c>
      <c r="F703" s="237" t="n">
        <v>1</v>
      </c>
      <c r="G703" s="237" t="n">
        <v>100000</v>
      </c>
      <c r="H703" s="95">
        <f>25%*75%</f>
        <v/>
      </c>
    </row>
    <row r="704" ht="15.75" customHeight="1">
      <c r="A704" s="94" t="n">
        <v>699</v>
      </c>
      <c r="B704" s="141" t="inlineStr">
        <is>
          <t>2026/08/21 07:00</t>
        </is>
      </c>
      <c r="C704" s="141" t="inlineStr">
        <is>
          <t>BÙI THỊ NGỜI</t>
        </is>
      </c>
      <c r="D704" s="141" t="inlineStr">
        <is>
          <t>01/01/1952</t>
        </is>
      </c>
      <c r="E704" s="141" t="inlineStr">
        <is>
          <t>Thay băng, cắt chỉ vết mổ [chiều dài ≤ 15cm]</t>
        </is>
      </c>
      <c r="F704" s="237" t="n">
        <v>1</v>
      </c>
      <c r="G704" s="237" t="n">
        <v>100000</v>
      </c>
      <c r="H704" s="95">
        <f>25%*75%</f>
        <v/>
      </c>
    </row>
    <row r="705" ht="15.75" customHeight="1">
      <c r="A705" s="94" t="n">
        <v>700</v>
      </c>
      <c r="B705" s="141" t="inlineStr">
        <is>
          <t>2026/08/21 07:00</t>
        </is>
      </c>
      <c r="C705" s="141" t="inlineStr">
        <is>
          <t>LÊ THỊ KIM ĐIỂU</t>
        </is>
      </c>
      <c r="D705" s="141" t="inlineStr">
        <is>
          <t>12/12/1958</t>
        </is>
      </c>
      <c r="E705" s="141" t="inlineStr">
        <is>
          <t>Thay băng, cắt chỉ vết mổ [chiều dài ≤ 15cm]</t>
        </is>
      </c>
      <c r="F705" s="237" t="n">
        <v>1</v>
      </c>
      <c r="G705" s="237" t="n">
        <v>100000</v>
      </c>
      <c r="H705" s="95">
        <f>25%*75%</f>
        <v/>
      </c>
    </row>
    <row r="706" ht="15.75" customHeight="1">
      <c r="A706" s="94" t="n">
        <v>701</v>
      </c>
      <c r="B706" s="141" t="inlineStr">
        <is>
          <t>2026/08/21 07:00</t>
        </is>
      </c>
      <c r="C706" s="141" t="inlineStr">
        <is>
          <t>NGUYỄN THÀNH LONG</t>
        </is>
      </c>
      <c r="D706" s="141" t="inlineStr">
        <is>
          <t>03/01/1971</t>
        </is>
      </c>
      <c r="E706" s="141" t="inlineStr">
        <is>
          <t>Thay băng, cắt chỉ vết mổ [chiều dài ≤ 15cm]</t>
        </is>
      </c>
      <c r="F706" s="237" t="n">
        <v>1</v>
      </c>
      <c r="G706" s="237" t="n">
        <v>100000</v>
      </c>
      <c r="H706" s="95">
        <f>25%*75%</f>
        <v/>
      </c>
    </row>
    <row r="707" ht="15.75" customHeight="1">
      <c r="A707" s="94" t="n">
        <v>702</v>
      </c>
      <c r="B707" s="141" t="inlineStr">
        <is>
          <t>2026/08/21 07:00</t>
        </is>
      </c>
      <c r="C707" s="141" t="inlineStr">
        <is>
          <t>NGUYỄN THỊ HÈ</t>
        </is>
      </c>
      <c r="D707" s="141" t="inlineStr">
        <is>
          <t>01/01/1968</t>
        </is>
      </c>
      <c r="E707" s="141" t="inlineStr">
        <is>
          <t>Thay băng, cắt chỉ vết mổ [chiều dài ≤ 15cm]</t>
        </is>
      </c>
      <c r="F707" s="237" t="n">
        <v>1</v>
      </c>
      <c r="G707" s="237" t="n">
        <v>100000</v>
      </c>
      <c r="H707" s="95">
        <f>25%*75%</f>
        <v/>
      </c>
    </row>
    <row r="708" ht="15.75" customHeight="1">
      <c r="A708" s="94" t="n">
        <v>703</v>
      </c>
      <c r="B708" s="141" t="inlineStr">
        <is>
          <t>2026/08/21 07:00</t>
        </is>
      </c>
      <c r="C708" s="141" t="inlineStr">
        <is>
          <t>NGUYỄN THỊ THẮM</t>
        </is>
      </c>
      <c r="D708" s="141" t="inlineStr">
        <is>
          <t>01/01/1962</t>
        </is>
      </c>
      <c r="E708" s="141" t="inlineStr">
        <is>
          <t>Thay băng, cắt chỉ vết mổ [chiều dài ≤ 15cm]</t>
        </is>
      </c>
      <c r="F708" s="237" t="n">
        <v>1</v>
      </c>
      <c r="G708" s="237" t="n">
        <v>100000</v>
      </c>
      <c r="H708" s="95">
        <f>25%*75%</f>
        <v/>
      </c>
    </row>
    <row r="709" ht="15.75" customHeight="1">
      <c r="A709" s="94" t="n">
        <v>704</v>
      </c>
      <c r="B709" s="141" t="inlineStr">
        <is>
          <t>2026/08/21 07:00</t>
        </is>
      </c>
      <c r="C709" s="141" t="inlineStr">
        <is>
          <t>NGUYỄN VĂN Y</t>
        </is>
      </c>
      <c r="D709" s="141" t="inlineStr">
        <is>
          <t>10/07/1993</t>
        </is>
      </c>
      <c r="E709" s="141" t="inlineStr">
        <is>
          <t>Thay băng, cắt chỉ vết mổ [chiều dài ≤ 15cm]</t>
        </is>
      </c>
      <c r="F709" s="237" t="n">
        <v>1</v>
      </c>
      <c r="G709" s="237" t="n">
        <v>100000</v>
      </c>
      <c r="H709" s="95">
        <f>25%*75%</f>
        <v/>
      </c>
    </row>
    <row r="710" ht="15.75" customHeight="1">
      <c r="A710" s="94" t="n">
        <v>705</v>
      </c>
      <c r="B710" s="141" t="inlineStr">
        <is>
          <t>2026/08/21 07:00</t>
        </is>
      </c>
      <c r="C710" s="141" t="inlineStr">
        <is>
          <t>TRẦN NGỌC ÁNH</t>
        </is>
      </c>
      <c r="D710" s="141" t="inlineStr">
        <is>
          <t>07/01/1974</t>
        </is>
      </c>
      <c r="E710" s="141" t="inlineStr">
        <is>
          <t>Thay băng, cắt chỉ vết mổ [chiều dài ≤ 15cm]</t>
        </is>
      </c>
      <c r="F710" s="237" t="n">
        <v>1</v>
      </c>
      <c r="G710" s="237" t="n">
        <v>100000</v>
      </c>
      <c r="H710" s="95">
        <f>25%*75%</f>
        <v/>
      </c>
    </row>
    <row r="711" ht="15.75" customHeight="1">
      <c r="A711" s="94" t="n">
        <v>706</v>
      </c>
      <c r="B711" s="141" t="inlineStr">
        <is>
          <t>2026/08/21 07:15</t>
        </is>
      </c>
      <c r="C711" s="141" t="inlineStr">
        <is>
          <t>PHẠM NGỌC SƠN</t>
        </is>
      </c>
      <c r="D711" s="141" t="inlineStr">
        <is>
          <t>06/07/1989</t>
        </is>
      </c>
      <c r="E711" s="141" t="inlineStr">
        <is>
          <t>Thay băng, cắt chỉ vết mổ [chiều dài ≤ 15cm]</t>
        </is>
      </c>
      <c r="F711" s="237" t="n">
        <v>1</v>
      </c>
      <c r="G711" s="237" t="n">
        <v>100000</v>
      </c>
      <c r="H711" s="95">
        <f>25%*75%</f>
        <v/>
      </c>
    </row>
    <row r="712" ht="15.75" customHeight="1">
      <c r="A712" s="94" t="n">
        <v>707</v>
      </c>
      <c r="B712" s="141" t="inlineStr">
        <is>
          <t>2026/08/21 07:56</t>
        </is>
      </c>
      <c r="C712" s="141" t="inlineStr">
        <is>
          <t>HUỲNH THU HỒNG</t>
        </is>
      </c>
      <c r="D712" s="141" t="inlineStr">
        <is>
          <t>10/12/1957</t>
        </is>
      </c>
      <c r="E712" s="141" t="inlineStr">
        <is>
          <t>Thay băng, cắt chỉ vết mổ [chiều dài ≤ 15cm]</t>
        </is>
      </c>
      <c r="F712" s="237" t="n">
        <v>1</v>
      </c>
      <c r="G712" s="237" t="n">
        <v>100000</v>
      </c>
      <c r="H712" s="95">
        <f>25%*75%</f>
        <v/>
      </c>
    </row>
    <row r="713" ht="15.75" customHeight="1">
      <c r="A713" s="94" t="n">
        <v>708</v>
      </c>
      <c r="B713" s="141" t="inlineStr">
        <is>
          <t>2026/08/21 08:14</t>
        </is>
      </c>
      <c r="C713" s="141" t="inlineStr">
        <is>
          <t>NGÔ TUẤN AN</t>
        </is>
      </c>
      <c r="D713" s="141" t="inlineStr">
        <is>
          <t>01/01/1988</t>
        </is>
      </c>
      <c r="E713" s="141" t="inlineStr">
        <is>
          <t>Thay băng, cắt chỉ vết mổ [chiều dài ≤ 15cm]</t>
        </is>
      </c>
      <c r="F713" s="237" t="n">
        <v>1</v>
      </c>
      <c r="G713" s="237" t="n">
        <v>100000</v>
      </c>
      <c r="H713" s="95">
        <f>25%*75%</f>
        <v/>
      </c>
    </row>
    <row r="714" ht="15.75" customHeight="1">
      <c r="A714" s="94" t="n">
        <v>709</v>
      </c>
      <c r="B714" s="141" t="inlineStr">
        <is>
          <t>2026/08/22 05:00</t>
        </is>
      </c>
      <c r="C714" s="141" t="inlineStr">
        <is>
          <t>HUỲNH THU HỒNG</t>
        </is>
      </c>
      <c r="D714" s="141" t="inlineStr">
        <is>
          <t>10/12/1957</t>
        </is>
      </c>
      <c r="E714" s="141" t="inlineStr">
        <is>
          <t>Thay băng, cắt chỉ vết mổ [chiều dài ≤ 15cm]</t>
        </is>
      </c>
      <c r="F714" s="237" t="n">
        <v>1</v>
      </c>
      <c r="G714" s="237" t="n">
        <v>100000</v>
      </c>
      <c r="H714" s="95">
        <f>25%*75%</f>
        <v/>
      </c>
    </row>
    <row r="715" ht="15.75" customHeight="1">
      <c r="A715" s="94" t="n">
        <v>710</v>
      </c>
      <c r="B715" s="141" t="inlineStr">
        <is>
          <t>2026/08/22 05:00</t>
        </is>
      </c>
      <c r="C715" s="141" t="inlineStr">
        <is>
          <t>NGUYỄN TRỌNG NAM</t>
        </is>
      </c>
      <c r="D715" s="141" t="inlineStr">
        <is>
          <t>16/02/1992</t>
        </is>
      </c>
      <c r="E715" s="141" t="inlineStr">
        <is>
          <t>Thay băng, cắt chỉ vết mổ [chiều dài ≤ 15cm]</t>
        </is>
      </c>
      <c r="F715" s="237" t="n">
        <v>1</v>
      </c>
      <c r="G715" s="237" t="n">
        <v>100000</v>
      </c>
      <c r="H715" s="95">
        <f>25%*75%</f>
        <v/>
      </c>
    </row>
    <row r="716" ht="15.75" customHeight="1">
      <c r="A716" s="94" t="n">
        <v>711</v>
      </c>
      <c r="B716" s="141" t="inlineStr">
        <is>
          <t>2026/08/22 05:00</t>
        </is>
      </c>
      <c r="C716" s="141" t="inlineStr">
        <is>
          <t>TRƯƠNG VĂN ÚT</t>
        </is>
      </c>
      <c r="D716" s="141" t="inlineStr">
        <is>
          <t>01/01/1948</t>
        </is>
      </c>
      <c r="E716" s="141" t="inlineStr">
        <is>
          <t>Thay băng, cắt chỉ vết mổ [chiều dài ≤ 15cm]</t>
        </is>
      </c>
      <c r="F716" s="237" t="n">
        <v>1</v>
      </c>
      <c r="G716" s="237" t="n">
        <v>100000</v>
      </c>
      <c r="H716" s="95">
        <f>25%*75%</f>
        <v/>
      </c>
    </row>
    <row r="717" ht="15.75" customHeight="1">
      <c r="A717" s="94" t="n">
        <v>712</v>
      </c>
      <c r="B717" s="141" t="inlineStr">
        <is>
          <t>2026/08/22 05:00</t>
        </is>
      </c>
      <c r="C717" s="141" t="inlineStr">
        <is>
          <t>TRẦN THỊ DIỄM TRANG</t>
        </is>
      </c>
      <c r="D717" s="141" t="inlineStr">
        <is>
          <t>15/04/1984</t>
        </is>
      </c>
      <c r="E717" s="141" t="inlineStr">
        <is>
          <t>Thay băng, cắt chỉ vết mổ [chiều dài ≤ 15cm]</t>
        </is>
      </c>
      <c r="F717" s="237" t="n">
        <v>1</v>
      </c>
      <c r="G717" s="237" t="n">
        <v>100000</v>
      </c>
      <c r="H717" s="95">
        <f>25%*75%</f>
        <v/>
      </c>
    </row>
    <row r="718" ht="15.75" customHeight="1">
      <c r="A718" s="94" t="n">
        <v>713</v>
      </c>
      <c r="B718" s="141" t="inlineStr">
        <is>
          <t>2026/08/22 05:00</t>
        </is>
      </c>
      <c r="C718" s="141" t="inlineStr">
        <is>
          <t>TRẦN VĂN LẸ</t>
        </is>
      </c>
      <c r="D718" s="141" t="inlineStr">
        <is>
          <t>01/01/1975</t>
        </is>
      </c>
      <c r="E718" s="141" t="inlineStr">
        <is>
          <t>Thay băng, cắt chỉ vết mổ [chiều dài ≤ 15cm]</t>
        </is>
      </c>
      <c r="F718" s="237" t="n">
        <v>1</v>
      </c>
      <c r="G718" s="237" t="n">
        <v>100000</v>
      </c>
      <c r="H718" s="95">
        <f>25%*75%</f>
        <v/>
      </c>
    </row>
    <row r="719" ht="15.75" customHeight="1">
      <c r="A719" s="94" t="n">
        <v>714</v>
      </c>
      <c r="B719" s="141" t="inlineStr">
        <is>
          <t>2026/08/22 05:00</t>
        </is>
      </c>
      <c r="C719" s="141" t="inlineStr">
        <is>
          <t>TĂNG THỊ MIỀN</t>
        </is>
      </c>
      <c r="D719" s="141" t="inlineStr">
        <is>
          <t>01/01/1951</t>
        </is>
      </c>
      <c r="E719" s="141" t="inlineStr">
        <is>
          <t>Thay băng, cắt chỉ vết mổ [chiều dài ≤ 15cm]</t>
        </is>
      </c>
      <c r="F719" s="237" t="n">
        <v>1</v>
      </c>
      <c r="G719" s="237" t="n">
        <v>100000</v>
      </c>
      <c r="H719" s="95">
        <f>25%*75%</f>
        <v/>
      </c>
    </row>
    <row r="720" ht="15.75" customHeight="1">
      <c r="A720" s="94" t="n">
        <v>715</v>
      </c>
      <c r="B720" s="141" t="inlineStr">
        <is>
          <t>2026/08/22 06:57</t>
        </is>
      </c>
      <c r="C720" s="141" t="inlineStr">
        <is>
          <t>LÊ THỊ KIM ĐIỂU</t>
        </is>
      </c>
      <c r="D720" s="141" t="inlineStr">
        <is>
          <t>12/12/1958</t>
        </is>
      </c>
      <c r="E720" s="141" t="inlineStr">
        <is>
          <t>Thay băng, cắt chỉ vết mổ [chiều dài ≤ 15cm]</t>
        </is>
      </c>
      <c r="F720" s="237" t="n">
        <v>1</v>
      </c>
      <c r="G720" s="237" t="n">
        <v>100000</v>
      </c>
      <c r="H720" s="95">
        <f>25%*75%</f>
        <v/>
      </c>
    </row>
    <row r="721" ht="15.75" customHeight="1">
      <c r="A721" s="94" t="n">
        <v>716</v>
      </c>
      <c r="B721" s="141" t="inlineStr">
        <is>
          <t>2026/08/22 07:00</t>
        </is>
      </c>
      <c r="C721" s="141" t="inlineStr">
        <is>
          <t>BÙI HỮU THỌ</t>
        </is>
      </c>
      <c r="D721" s="141" t="inlineStr">
        <is>
          <t>01/02/1981</t>
        </is>
      </c>
      <c r="E721" s="141" t="inlineStr">
        <is>
          <t>Thay băng, cắt chỉ vết mổ [chiều dài ≤ 15cm]</t>
        </is>
      </c>
      <c r="F721" s="237" t="n">
        <v>1</v>
      </c>
      <c r="G721" s="237" t="n">
        <v>100000</v>
      </c>
      <c r="H721" s="95">
        <f>25%*75%</f>
        <v/>
      </c>
    </row>
    <row r="722" ht="15.75" customHeight="1">
      <c r="A722" s="94" t="n">
        <v>717</v>
      </c>
      <c r="B722" s="141" t="inlineStr">
        <is>
          <t>2026/08/22 07:00</t>
        </is>
      </c>
      <c r="C722" s="141" t="inlineStr">
        <is>
          <t>BÙI THỊ NGỜI</t>
        </is>
      </c>
      <c r="D722" s="141" t="inlineStr">
        <is>
          <t>01/01/1952</t>
        </is>
      </c>
      <c r="E722" s="141" t="inlineStr">
        <is>
          <t>Thay băng, cắt chỉ vết mổ [chiều dài ≤ 15cm]</t>
        </is>
      </c>
      <c r="F722" s="237" t="n">
        <v>1</v>
      </c>
      <c r="G722" s="237" t="n">
        <v>100000</v>
      </c>
      <c r="H722" s="95">
        <f>25%*75%</f>
        <v/>
      </c>
    </row>
    <row r="723" ht="15.75" customHeight="1">
      <c r="A723" s="94" t="n">
        <v>718</v>
      </c>
      <c r="B723" s="141" t="inlineStr">
        <is>
          <t>2026/08/22 07:00</t>
        </is>
      </c>
      <c r="C723" s="141" t="inlineStr">
        <is>
          <t>NGUYỄN THỊ THẮM</t>
        </is>
      </c>
      <c r="D723" s="141" t="inlineStr">
        <is>
          <t>01/01/1962</t>
        </is>
      </c>
      <c r="E723" s="141" t="inlineStr">
        <is>
          <t>Thay băng, cắt chỉ vết mổ [chiều dài ≤ 15cm]</t>
        </is>
      </c>
      <c r="F723" s="237" t="n">
        <v>1</v>
      </c>
      <c r="G723" s="237" t="n">
        <v>100000</v>
      </c>
      <c r="H723" s="95">
        <f>25%*75%</f>
        <v/>
      </c>
    </row>
    <row r="724" ht="15.75" customHeight="1">
      <c r="A724" s="94" t="n">
        <v>719</v>
      </c>
      <c r="B724" s="141" t="inlineStr">
        <is>
          <t>2026/08/22 07:00</t>
        </is>
      </c>
      <c r="C724" s="141" t="inlineStr">
        <is>
          <t>NGUYỄN VĂN Y</t>
        </is>
      </c>
      <c r="D724" s="141" t="inlineStr">
        <is>
          <t>10/07/1993</t>
        </is>
      </c>
      <c r="E724" s="141" t="inlineStr">
        <is>
          <t>Thay băng, cắt chỉ vết mổ [chiều dài ≤ 15cm]</t>
        </is>
      </c>
      <c r="F724" s="237" t="n">
        <v>1</v>
      </c>
      <c r="G724" s="237" t="n">
        <v>100000</v>
      </c>
      <c r="H724" s="95">
        <f>25%*75%</f>
        <v/>
      </c>
    </row>
    <row r="725" ht="15.75" customHeight="1">
      <c r="A725" s="94" t="n">
        <v>720</v>
      </c>
      <c r="B725" s="141" t="inlineStr">
        <is>
          <t>2026/08/22 07:00</t>
        </is>
      </c>
      <c r="C725" s="141" t="inlineStr">
        <is>
          <t>TRẦN NGỌC ÁNH</t>
        </is>
      </c>
      <c r="D725" s="141" t="inlineStr">
        <is>
          <t>07/01/1974</t>
        </is>
      </c>
      <c r="E725" s="141" t="inlineStr">
        <is>
          <t>Thay băng, cắt chỉ vết mổ [chiều dài ≤ 15cm]</t>
        </is>
      </c>
      <c r="F725" s="237" t="n">
        <v>1</v>
      </c>
      <c r="G725" s="237" t="n">
        <v>100000</v>
      </c>
      <c r="H725" s="95">
        <f>25%*75%</f>
        <v/>
      </c>
    </row>
    <row r="726" ht="15.75" customHeight="1">
      <c r="A726" s="94" t="n">
        <v>721</v>
      </c>
      <c r="B726" s="141" t="inlineStr">
        <is>
          <t>2026/08/22 07:15</t>
        </is>
      </c>
      <c r="C726" s="141" t="inlineStr">
        <is>
          <t>HỒ VĂN TÀI</t>
        </is>
      </c>
      <c r="D726" s="141" t="inlineStr">
        <is>
          <t>01/01/1984</t>
        </is>
      </c>
      <c r="E726" s="141" t="inlineStr">
        <is>
          <t>Thay băng, cắt chỉ vết mổ [chiều dài ≤ 15cm]</t>
        </is>
      </c>
      <c r="F726" s="237" t="n">
        <v>1</v>
      </c>
      <c r="G726" s="237" t="n">
        <v>100000</v>
      </c>
      <c r="H726" s="95">
        <f>25%*75%</f>
        <v/>
      </c>
    </row>
    <row r="727" ht="15.75" customHeight="1">
      <c r="A727" s="94" t="n">
        <v>722</v>
      </c>
      <c r="B727" s="141" t="inlineStr">
        <is>
          <t>2026/08/22 07:15</t>
        </is>
      </c>
      <c r="C727" s="141" t="inlineStr">
        <is>
          <t>PHẠM NGỌC SƠN</t>
        </is>
      </c>
      <c r="D727" s="141" t="inlineStr">
        <is>
          <t>06/07/1989</t>
        </is>
      </c>
      <c r="E727" s="141" t="inlineStr">
        <is>
          <t>Thay băng, cắt chỉ vết mổ [chiều dài ≤ 15cm]</t>
        </is>
      </c>
      <c r="F727" s="237" t="n">
        <v>1</v>
      </c>
      <c r="G727" s="237" t="n">
        <v>100000</v>
      </c>
      <c r="H727" s="95">
        <f>25%*75%</f>
        <v/>
      </c>
    </row>
    <row r="728" ht="15.75" customHeight="1">
      <c r="A728" s="94" t="n">
        <v>723</v>
      </c>
      <c r="B728" s="141" t="inlineStr">
        <is>
          <t>2026/08/22 07:24</t>
        </is>
      </c>
      <c r="C728" s="141" t="inlineStr">
        <is>
          <t>TRẦN THỊ NGỌC DIỄM</t>
        </is>
      </c>
      <c r="D728" s="141" t="inlineStr">
        <is>
          <t>22/03/1996</t>
        </is>
      </c>
      <c r="E728" s="141" t="inlineStr">
        <is>
          <t>Thay băng, cắt chỉ vết mổ [chiều dài ≤ 15cm]</t>
        </is>
      </c>
      <c r="F728" s="237" t="n">
        <v>1</v>
      </c>
      <c r="G728" s="237" t="n">
        <v>100000</v>
      </c>
      <c r="H728" s="95">
        <f>25%*75%</f>
        <v/>
      </c>
    </row>
    <row r="729" ht="15.75" customHeight="1">
      <c r="A729" s="94" t="n">
        <v>724</v>
      </c>
      <c r="B729" s="141" t="inlineStr">
        <is>
          <t>2026/08/22 07:24</t>
        </is>
      </c>
      <c r="C729" s="141" t="inlineStr">
        <is>
          <t>TRẦN THỊ NGỌC DIỄM</t>
        </is>
      </c>
      <c r="D729" s="141" t="inlineStr">
        <is>
          <t>22/03/1996</t>
        </is>
      </c>
      <c r="E729" s="141" t="inlineStr">
        <is>
          <t>Thay băng, cắt chỉ vết mổ [chiều dài ≤ 15cm]</t>
        </is>
      </c>
      <c r="F729" s="237" t="n">
        <v>1</v>
      </c>
      <c r="G729" s="237" t="n">
        <v>100000</v>
      </c>
      <c r="H729" s="95">
        <f>25%*75%</f>
        <v/>
      </c>
    </row>
    <row r="730" ht="15.75" customHeight="1">
      <c r="A730" s="94" t="n">
        <v>725</v>
      </c>
      <c r="B730" s="141" t="inlineStr">
        <is>
          <t>2026/08/22 07:30</t>
        </is>
      </c>
      <c r="C730" s="141" t="inlineStr">
        <is>
          <t>NGUYỄN VĂN Y</t>
        </is>
      </c>
      <c r="D730" s="141" t="inlineStr">
        <is>
          <t>10/07/1993</t>
        </is>
      </c>
      <c r="E730" s="141" t="inlineStr">
        <is>
          <t>Thay băng, cắt chỉ vết mổ [chiều dài ≤ 15cm]</t>
        </is>
      </c>
      <c r="F730" s="237" t="n">
        <v>1</v>
      </c>
      <c r="G730" s="237" t="n">
        <v>100000</v>
      </c>
      <c r="H730" s="95">
        <f>25%*75%</f>
        <v/>
      </c>
    </row>
    <row r="731" ht="15.75" customHeight="1">
      <c r="A731" s="94" t="n">
        <v>726</v>
      </c>
      <c r="B731" s="141" t="inlineStr">
        <is>
          <t>2026/08/22 08:14</t>
        </is>
      </c>
      <c r="C731" s="141" t="inlineStr">
        <is>
          <t>NGÔ TUẤN AN</t>
        </is>
      </c>
      <c r="D731" s="141" t="inlineStr">
        <is>
          <t>01/01/1988</t>
        </is>
      </c>
      <c r="E731" s="141" t="inlineStr">
        <is>
          <t>Thay băng, cắt chỉ vết mổ [chiều dài ≤ 15cm]</t>
        </is>
      </c>
      <c r="F731" s="237" t="n">
        <v>1</v>
      </c>
      <c r="G731" s="237" t="n">
        <v>100000</v>
      </c>
      <c r="H731" s="95">
        <f>25%*75%</f>
        <v/>
      </c>
    </row>
    <row r="732" ht="15.75" customHeight="1">
      <c r="A732" s="94" t="n">
        <v>727</v>
      </c>
      <c r="B732" s="141" t="inlineStr">
        <is>
          <t>2026/08/22 14:45</t>
        </is>
      </c>
      <c r="C732" s="141" t="inlineStr">
        <is>
          <t>CHIÊM HUỲNH ANH THƯ</t>
        </is>
      </c>
      <c r="D732" s="141" t="inlineStr">
        <is>
          <t>01/04/2000</t>
        </is>
      </c>
      <c r="E732" s="141" t="inlineStr">
        <is>
          <t>Thay băng, cắt chỉ vết mổ [chiều dài ≤ 15cm]</t>
        </is>
      </c>
      <c r="F732" s="237" t="n">
        <v>1</v>
      </c>
      <c r="G732" s="237" t="n">
        <v>100000</v>
      </c>
      <c r="H732" s="95">
        <f>25%*75%</f>
        <v/>
      </c>
    </row>
    <row r="733" ht="15.75" customHeight="1">
      <c r="A733" s="94" t="n">
        <v>728</v>
      </c>
      <c r="B733" s="141" t="inlineStr">
        <is>
          <t>2026/08/22 18:28</t>
        </is>
      </c>
      <c r="C733" s="141" t="inlineStr">
        <is>
          <t>KIỀU THỊ LỘC</t>
        </is>
      </c>
      <c r="D733" s="141" t="inlineStr">
        <is>
          <t>25/03/1954</t>
        </is>
      </c>
      <c r="E733" s="141" t="inlineStr">
        <is>
          <t>Đặt sonde bàng quang</t>
        </is>
      </c>
      <c r="F733" s="237" t="n">
        <v>1</v>
      </c>
      <c r="G733" s="237" t="n">
        <v>101800</v>
      </c>
      <c r="H733" s="95">
        <f>25%*75%</f>
        <v/>
      </c>
    </row>
    <row r="734" ht="15.75" customHeight="1">
      <c r="A734" s="94" t="n">
        <v>729</v>
      </c>
      <c r="B734" s="141" t="inlineStr">
        <is>
          <t>2026/08/22 21:01</t>
        </is>
      </c>
      <c r="C734" s="141" t="inlineStr">
        <is>
          <t>NGUYỄN VĂN ĐOÀN</t>
        </is>
      </c>
      <c r="D734" s="141" t="inlineStr">
        <is>
          <t>01/01/1969</t>
        </is>
      </c>
      <c r="E734" s="141" t="inlineStr">
        <is>
          <t>Thay băng, cắt chỉ vết mổ [chiều dài ≤ 15cm]</t>
        </is>
      </c>
      <c r="F734" s="237" t="n">
        <v>1</v>
      </c>
      <c r="G734" s="237" t="n">
        <v>100000</v>
      </c>
      <c r="H734" s="95">
        <f>25%*75%</f>
        <v/>
      </c>
    </row>
    <row r="735" ht="15.75" customHeight="1">
      <c r="A735" s="94" t="n">
        <v>730</v>
      </c>
      <c r="B735" s="141" t="inlineStr">
        <is>
          <t>2026/08/23 05:00</t>
        </is>
      </c>
      <c r="C735" s="141" t="inlineStr">
        <is>
          <t>BÙI HỮU THỌ</t>
        </is>
      </c>
      <c r="D735" s="141" t="inlineStr">
        <is>
          <t>01/02/1981</t>
        </is>
      </c>
      <c r="E735" s="141" t="inlineStr">
        <is>
          <t>Thay băng, cắt chỉ vết mổ [chiều dài ≤ 15cm]</t>
        </is>
      </c>
      <c r="F735" s="237" t="n">
        <v>1</v>
      </c>
      <c r="G735" s="237" t="n">
        <v>100000</v>
      </c>
      <c r="H735" s="95">
        <f>25%*75%</f>
        <v/>
      </c>
    </row>
    <row r="736" ht="15.75" customHeight="1">
      <c r="A736" s="94" t="n">
        <v>731</v>
      </c>
      <c r="B736" s="141" t="inlineStr">
        <is>
          <t>2026/08/23 05:00</t>
        </is>
      </c>
      <c r="C736" s="141" t="inlineStr">
        <is>
          <t>HỒ VĂN TÀI</t>
        </is>
      </c>
      <c r="D736" s="141" t="inlineStr">
        <is>
          <t>01/01/1984</t>
        </is>
      </c>
      <c r="E736" s="141" t="inlineStr">
        <is>
          <t>Thay băng, cắt chỉ vết mổ [chiều dài ≤ 15cm]</t>
        </is>
      </c>
      <c r="F736" s="237" t="n">
        <v>1</v>
      </c>
      <c r="G736" s="237" t="n">
        <v>100000</v>
      </c>
      <c r="H736" s="95">
        <f>25%*75%</f>
        <v/>
      </c>
    </row>
    <row r="737" ht="15.75" customHeight="1">
      <c r="A737" s="94" t="n">
        <v>732</v>
      </c>
      <c r="B737" s="141" t="inlineStr">
        <is>
          <t>2026/08/23 05:00</t>
        </is>
      </c>
      <c r="C737" s="141" t="inlineStr">
        <is>
          <t>LÊ THỊ KIM ĐIỂU</t>
        </is>
      </c>
      <c r="D737" s="141" t="inlineStr">
        <is>
          <t>12/12/1958</t>
        </is>
      </c>
      <c r="E737" s="141" t="inlineStr">
        <is>
          <t>Thay băng, cắt chỉ vết mổ [chiều dài ≤ 15cm]</t>
        </is>
      </c>
      <c r="F737" s="237" t="n">
        <v>1</v>
      </c>
      <c r="G737" s="237" t="n">
        <v>100000</v>
      </c>
      <c r="H737" s="95">
        <f>25%*75%</f>
        <v/>
      </c>
    </row>
    <row r="738" ht="15.75" customHeight="1">
      <c r="A738" s="94" t="n">
        <v>733</v>
      </c>
      <c r="B738" s="141" t="inlineStr">
        <is>
          <t>2026/08/23 05:00</t>
        </is>
      </c>
      <c r="C738" s="141" t="inlineStr">
        <is>
          <t>LÊ THỊ TUYẾT</t>
        </is>
      </c>
      <c r="D738" s="141" t="inlineStr">
        <is>
          <t>01/01/1959</t>
        </is>
      </c>
      <c r="E738" s="141" t="inlineStr">
        <is>
          <t>Thay băng, cắt chỉ vết mổ [chiều dài ≤ 15cm]</t>
        </is>
      </c>
      <c r="F738" s="237" t="n">
        <v>1</v>
      </c>
      <c r="G738" s="237" t="n">
        <v>100000</v>
      </c>
      <c r="H738" s="95">
        <f>25%*75%</f>
        <v/>
      </c>
    </row>
    <row r="739" ht="15.75" customHeight="1">
      <c r="A739" s="94" t="n">
        <v>734</v>
      </c>
      <c r="B739" s="141" t="inlineStr">
        <is>
          <t>2026/08/23 05:00</t>
        </is>
      </c>
      <c r="C739" s="141" t="inlineStr">
        <is>
          <t>NGUYỄN TRỌNG NAM</t>
        </is>
      </c>
      <c r="D739" s="141" t="inlineStr">
        <is>
          <t>16/02/1992</t>
        </is>
      </c>
      <c r="E739" s="141" t="inlineStr">
        <is>
          <t>Thay băng, cắt chỉ vết mổ [chiều dài ≤ 15cm]</t>
        </is>
      </c>
      <c r="F739" s="237" t="n">
        <v>1</v>
      </c>
      <c r="G739" s="237" t="n">
        <v>100000</v>
      </c>
      <c r="H739" s="95">
        <f>25%*75%</f>
        <v/>
      </c>
    </row>
    <row r="740" ht="15.75" customHeight="1">
      <c r="A740" s="94" t="n">
        <v>735</v>
      </c>
      <c r="B740" s="141" t="inlineStr">
        <is>
          <t>2026/08/23 05:00</t>
        </is>
      </c>
      <c r="C740" s="141" t="inlineStr">
        <is>
          <t>NGÔ TUẤN AN</t>
        </is>
      </c>
      <c r="D740" s="141" t="inlineStr">
        <is>
          <t>01/01/1988</t>
        </is>
      </c>
      <c r="E740" s="141" t="inlineStr">
        <is>
          <t>Thay băng, cắt chỉ vết mổ [chiều dài ≤ 15cm]</t>
        </is>
      </c>
      <c r="F740" s="237" t="n">
        <v>1</v>
      </c>
      <c r="G740" s="237" t="n">
        <v>100000</v>
      </c>
      <c r="H740" s="95">
        <f>25%*75%</f>
        <v/>
      </c>
    </row>
    <row r="741" ht="15.75" customHeight="1">
      <c r="A741" s="94" t="n">
        <v>736</v>
      </c>
      <c r="B741" s="141" t="inlineStr">
        <is>
          <t>2026/08/23 05:00</t>
        </is>
      </c>
      <c r="C741" s="141" t="inlineStr">
        <is>
          <t>PHẠM NGỌC SƠN</t>
        </is>
      </c>
      <c r="D741" s="141" t="inlineStr">
        <is>
          <t>06/07/1989</t>
        </is>
      </c>
      <c r="E741" s="141" t="inlineStr">
        <is>
          <t>Thay băng, cắt chỉ vết mổ [chiều dài ≤ 15cm]</t>
        </is>
      </c>
      <c r="F741" s="237" t="n">
        <v>1</v>
      </c>
      <c r="G741" s="237" t="n">
        <v>100000</v>
      </c>
      <c r="H741" s="95">
        <f>25%*75%</f>
        <v/>
      </c>
    </row>
    <row r="742" ht="15.75" customHeight="1">
      <c r="A742" s="94" t="n">
        <v>737</v>
      </c>
      <c r="B742" s="141" t="inlineStr">
        <is>
          <t>2026/08/23 05:00</t>
        </is>
      </c>
      <c r="C742" s="141" t="inlineStr">
        <is>
          <t>TRƯƠNG VĂN ÚT</t>
        </is>
      </c>
      <c r="D742" s="141" t="inlineStr">
        <is>
          <t>01/01/1948</t>
        </is>
      </c>
      <c r="E742" s="141" t="inlineStr">
        <is>
          <t>Thay băng, cắt chỉ vết mổ [chiều dài ≤ 15cm]</t>
        </is>
      </c>
      <c r="F742" s="237" t="n">
        <v>1</v>
      </c>
      <c r="G742" s="237" t="n">
        <v>100000</v>
      </c>
      <c r="H742" s="95">
        <f>25%*75%</f>
        <v/>
      </c>
    </row>
    <row r="743" ht="15.75" customHeight="1">
      <c r="A743" s="94" t="n">
        <v>738</v>
      </c>
      <c r="B743" s="141" t="inlineStr">
        <is>
          <t>2026/08/23 05:00</t>
        </is>
      </c>
      <c r="C743" s="141" t="inlineStr">
        <is>
          <t>TRẦN NGỌC ÁNH</t>
        </is>
      </c>
      <c r="D743" s="141" t="inlineStr">
        <is>
          <t>07/01/1974</t>
        </is>
      </c>
      <c r="E743" s="141" t="inlineStr">
        <is>
          <t>Thay băng, cắt chỉ vết mổ [chiều dài ≤ 15cm]</t>
        </is>
      </c>
      <c r="F743" s="237" t="n">
        <v>1</v>
      </c>
      <c r="G743" s="237" t="n">
        <v>100000</v>
      </c>
      <c r="H743" s="95">
        <f>25%*75%</f>
        <v/>
      </c>
    </row>
    <row r="744" ht="15.75" customHeight="1">
      <c r="A744" s="94" t="n">
        <v>739</v>
      </c>
      <c r="B744" s="141" t="inlineStr">
        <is>
          <t>2026/08/23 05:00</t>
        </is>
      </c>
      <c r="C744" s="141" t="inlineStr">
        <is>
          <t>TĂNG THỊ MIỀN</t>
        </is>
      </c>
      <c r="D744" s="141" t="inlineStr">
        <is>
          <t>01/01/1951</t>
        </is>
      </c>
      <c r="E744" s="141" t="inlineStr">
        <is>
          <t>Thay băng, cắt chỉ vết mổ [chiều dài ≤ 15cm]</t>
        </is>
      </c>
      <c r="F744" s="237" t="n">
        <v>1</v>
      </c>
      <c r="G744" s="237" t="n">
        <v>100000</v>
      </c>
      <c r="H744" s="95">
        <f>25%*75%</f>
        <v/>
      </c>
    </row>
    <row r="745" ht="15.75" customHeight="1">
      <c r="A745" s="94" t="n">
        <v>740</v>
      </c>
      <c r="B745" s="141" t="inlineStr">
        <is>
          <t>2026/08/23 08:00</t>
        </is>
      </c>
      <c r="C745" s="141" t="inlineStr">
        <is>
          <t>BÙI THỊ NGỜI</t>
        </is>
      </c>
      <c r="D745" s="141" t="inlineStr">
        <is>
          <t>01/01/1952</t>
        </is>
      </c>
      <c r="E745" s="141" t="inlineStr">
        <is>
          <t>Thay băng, cắt chỉ vết mổ [chiều dài ≤ 15cm]</t>
        </is>
      </c>
      <c r="F745" s="237" t="n">
        <v>1</v>
      </c>
      <c r="G745" s="237" t="n">
        <v>100000</v>
      </c>
      <c r="H745" s="95">
        <f>25%*75%</f>
        <v/>
      </c>
    </row>
    <row r="746" ht="15.75" customHeight="1">
      <c r="A746" s="94" t="n">
        <v>741</v>
      </c>
      <c r="B746" s="141" t="inlineStr">
        <is>
          <t>2026/08/23 08:00</t>
        </is>
      </c>
      <c r="C746" s="141" t="inlineStr">
        <is>
          <t>CHIÊM HUỲNH ANH THƯ</t>
        </is>
      </c>
      <c r="D746" s="141" t="inlineStr">
        <is>
          <t>01/04/2000</t>
        </is>
      </c>
      <c r="E746" s="141" t="inlineStr">
        <is>
          <t>Thay băng, cắt chỉ vết mổ [chiều dài ≤ 15cm]</t>
        </is>
      </c>
      <c r="F746" s="237" t="n">
        <v>1</v>
      </c>
      <c r="G746" s="237" t="n">
        <v>100000</v>
      </c>
      <c r="H746" s="95">
        <f>25%*75%</f>
        <v/>
      </c>
    </row>
    <row r="747" ht="15.75" customHeight="1">
      <c r="A747" s="94" t="n">
        <v>742</v>
      </c>
      <c r="B747" s="141" t="inlineStr">
        <is>
          <t>2026/08/23 08:00</t>
        </is>
      </c>
      <c r="C747" s="141" t="inlineStr">
        <is>
          <t>LÂM ĐẠI NHƠN</t>
        </is>
      </c>
      <c r="D747" s="141" t="inlineStr">
        <is>
          <t>02/03/1938</t>
        </is>
      </c>
      <c r="E747" s="141" t="inlineStr">
        <is>
          <t>Thay băng, cắt chỉ vết mổ [chiều dài ≤ 15cm]</t>
        </is>
      </c>
      <c r="F747" s="237" t="n">
        <v>1</v>
      </c>
      <c r="G747" s="237" t="n">
        <v>100000</v>
      </c>
      <c r="H747" s="95">
        <f>25%*75%</f>
        <v/>
      </c>
    </row>
    <row r="748" ht="15.75" customHeight="1">
      <c r="A748" s="94" t="n">
        <v>743</v>
      </c>
      <c r="B748" s="141" t="inlineStr">
        <is>
          <t>2026/08/23 08:00</t>
        </is>
      </c>
      <c r="C748" s="141" t="inlineStr">
        <is>
          <t>NGUYỄN THỊ THẮM</t>
        </is>
      </c>
      <c r="D748" s="141" t="inlineStr">
        <is>
          <t>01/01/1962</t>
        </is>
      </c>
      <c r="E748" s="141" t="inlineStr">
        <is>
          <t>Truyền hóa chất tĩnh mạch [nội trú]</t>
        </is>
      </c>
      <c r="F748" s="237" t="n">
        <v>1</v>
      </c>
      <c r="G748" s="237" t="n">
        <v>400000</v>
      </c>
      <c r="H748" s="95">
        <f>25%*75%</f>
        <v/>
      </c>
    </row>
    <row r="749" ht="15.75" customHeight="1">
      <c r="A749" s="94" t="n">
        <v>744</v>
      </c>
      <c r="B749" s="141" t="inlineStr">
        <is>
          <t>2026/08/23 08:00</t>
        </is>
      </c>
      <c r="C749" s="141" t="inlineStr">
        <is>
          <t>NGUYỄN VĂN ĐOÀN</t>
        </is>
      </c>
      <c r="D749" s="141" t="inlineStr">
        <is>
          <t>01/01/1969</t>
        </is>
      </c>
      <c r="E749" s="141" t="inlineStr">
        <is>
          <t>Thay băng, cắt chỉ vết mổ [chiều dài ≤ 15cm]</t>
        </is>
      </c>
      <c r="F749" s="237" t="n">
        <v>1</v>
      </c>
      <c r="G749" s="237" t="n">
        <v>100000</v>
      </c>
      <c r="H749" s="95">
        <f>25%*75%</f>
        <v/>
      </c>
    </row>
    <row r="750" ht="15.75" customHeight="1">
      <c r="A750" s="94" t="n">
        <v>745</v>
      </c>
      <c r="B750" s="141" t="inlineStr">
        <is>
          <t>2026/08/23 08:00</t>
        </is>
      </c>
      <c r="C750" s="141" t="inlineStr">
        <is>
          <t>TRẦN THỊ NGỌC DIỄM</t>
        </is>
      </c>
      <c r="D750" s="141" t="inlineStr">
        <is>
          <t>22/03/1996</t>
        </is>
      </c>
      <c r="E750" s="141" t="inlineStr">
        <is>
          <t>Thay băng, cắt chỉ vết mổ [chiều dài ≤ 15cm]</t>
        </is>
      </c>
      <c r="F750" s="237" t="n">
        <v>1</v>
      </c>
      <c r="G750" s="237" t="n">
        <v>100000</v>
      </c>
      <c r="H750" s="95">
        <f>25%*75%</f>
        <v/>
      </c>
    </row>
    <row r="751" ht="15.75" customHeight="1">
      <c r="A751" s="94" t="n">
        <v>746</v>
      </c>
      <c r="B751" s="141" t="inlineStr">
        <is>
          <t>2026/08/23 08:00</t>
        </is>
      </c>
      <c r="C751" s="141" t="inlineStr">
        <is>
          <t>VÕ TẤN ĐỨC</t>
        </is>
      </c>
      <c r="D751" s="141" t="inlineStr">
        <is>
          <t>01/01/1963</t>
        </is>
      </c>
      <c r="E751" s="141" t="inlineStr">
        <is>
          <t>Thay băng, cắt chỉ vết mổ [chiều dài ≤ 15cm]</t>
        </is>
      </c>
      <c r="F751" s="237" t="n">
        <v>1</v>
      </c>
      <c r="G751" s="237" t="n">
        <v>100000</v>
      </c>
      <c r="H751" s="95">
        <f>25%*75%</f>
        <v/>
      </c>
    </row>
    <row r="752" ht="15.75" customHeight="1">
      <c r="A752" s="94" t="n">
        <v>747</v>
      </c>
      <c r="B752" s="141" t="inlineStr">
        <is>
          <t>2026/08/24 05:00</t>
        </is>
      </c>
      <c r="C752" s="141" t="inlineStr">
        <is>
          <t>BÙI HỮU THỌ</t>
        </is>
      </c>
      <c r="D752" s="141" t="inlineStr">
        <is>
          <t>01/02/1981</t>
        </is>
      </c>
      <c r="E752" s="141" t="inlineStr">
        <is>
          <t>Thay băng, cắt chỉ vết mổ [chiều dài ≤ 15cm]</t>
        </is>
      </c>
      <c r="F752" s="237" t="n">
        <v>1</v>
      </c>
      <c r="G752" s="237" t="n">
        <v>100000</v>
      </c>
      <c r="H752" s="95">
        <f>25%*75%</f>
        <v/>
      </c>
    </row>
    <row r="753" ht="15.75" customHeight="1">
      <c r="A753" s="94" t="n">
        <v>748</v>
      </c>
      <c r="B753" s="141" t="inlineStr">
        <is>
          <t>2026/08/24 05:00</t>
        </is>
      </c>
      <c r="C753" s="141" t="inlineStr">
        <is>
          <t>HỒ VĂN TÀI</t>
        </is>
      </c>
      <c r="D753" s="141" t="inlineStr">
        <is>
          <t>01/01/1984</t>
        </is>
      </c>
      <c r="E753" s="141" t="inlineStr">
        <is>
          <t>Thay băng, cắt chỉ vết mổ [chiều dài ≤ 15cm]</t>
        </is>
      </c>
      <c r="F753" s="237" t="n">
        <v>1</v>
      </c>
      <c r="G753" s="237" t="n">
        <v>100000</v>
      </c>
      <c r="H753" s="95">
        <f>25%*75%</f>
        <v/>
      </c>
    </row>
    <row r="754" ht="15.75" customHeight="1">
      <c r="A754" s="94" t="n">
        <v>749</v>
      </c>
      <c r="B754" s="141" t="inlineStr">
        <is>
          <t>2026/08/24 05:00</t>
        </is>
      </c>
      <c r="C754" s="141" t="inlineStr">
        <is>
          <t>NGUYỄN THỊ THẮM</t>
        </is>
      </c>
      <c r="D754" s="141" t="inlineStr">
        <is>
          <t>01/01/1962</t>
        </is>
      </c>
      <c r="E754" s="141" t="inlineStr">
        <is>
          <t>Thay băng, cắt chỉ vết mổ [chiều dài ≤ 15cm]</t>
        </is>
      </c>
      <c r="F754" s="237" t="n">
        <v>1</v>
      </c>
      <c r="G754" s="237" t="n">
        <v>100000</v>
      </c>
      <c r="H754" s="95">
        <f>25%*75%</f>
        <v/>
      </c>
    </row>
    <row r="755" ht="15.75" customHeight="1">
      <c r="A755" s="94" t="n">
        <v>750</v>
      </c>
      <c r="B755" s="141" t="inlineStr">
        <is>
          <t>2026/08/24 05:00</t>
        </is>
      </c>
      <c r="C755" s="141" t="inlineStr">
        <is>
          <t>NGUYỄN TRỌNG NAM</t>
        </is>
      </c>
      <c r="D755" s="141" t="inlineStr">
        <is>
          <t>16/02/1992</t>
        </is>
      </c>
      <c r="E755" s="141" t="inlineStr">
        <is>
          <t>Thay băng, cắt chỉ vết mổ [chiều dài ≤ 15cm]</t>
        </is>
      </c>
      <c r="F755" s="237" t="n">
        <v>1</v>
      </c>
      <c r="G755" s="237" t="n">
        <v>100000</v>
      </c>
      <c r="H755" s="95">
        <f>25%*75%</f>
        <v/>
      </c>
    </row>
    <row r="756" ht="15.75" customHeight="1">
      <c r="A756" s="94" t="n">
        <v>751</v>
      </c>
      <c r="B756" s="141" t="inlineStr">
        <is>
          <t>2026/08/24 05:00</t>
        </is>
      </c>
      <c r="C756" s="141" t="inlineStr">
        <is>
          <t>NGUYỄN VĂN Y</t>
        </is>
      </c>
      <c r="D756" s="141" t="inlineStr">
        <is>
          <t>10/07/1993</t>
        </is>
      </c>
      <c r="E756" s="141" t="inlineStr">
        <is>
          <t>Thay băng, cắt chỉ vết mổ [chiều dài ≤ 15cm]</t>
        </is>
      </c>
      <c r="F756" s="237" t="n">
        <v>1</v>
      </c>
      <c r="G756" s="237" t="n">
        <v>100000</v>
      </c>
      <c r="H756" s="95">
        <f>25%*75%</f>
        <v/>
      </c>
    </row>
    <row r="757" ht="15.75" customHeight="1">
      <c r="A757" s="94" t="n">
        <v>752</v>
      </c>
      <c r="B757" s="141" t="inlineStr">
        <is>
          <t>2026/08/24 05:00</t>
        </is>
      </c>
      <c r="C757" s="141" t="inlineStr">
        <is>
          <t>NGÔ TUẤN AN</t>
        </is>
      </c>
      <c r="D757" s="141" t="inlineStr">
        <is>
          <t>01/01/1988</t>
        </is>
      </c>
      <c r="E757" s="141" t="inlineStr">
        <is>
          <t>Thay băng, cắt chỉ vết mổ [chiều dài ≤ 15cm]</t>
        </is>
      </c>
      <c r="F757" s="237" t="n">
        <v>1</v>
      </c>
      <c r="G757" s="237" t="n">
        <v>100000</v>
      </c>
      <c r="H757" s="95">
        <f>25%*75%</f>
        <v/>
      </c>
    </row>
    <row r="758" ht="15.75" customHeight="1">
      <c r="A758" s="94" t="n">
        <v>753</v>
      </c>
      <c r="B758" s="141" t="inlineStr">
        <is>
          <t>2026/08/24 05:00</t>
        </is>
      </c>
      <c r="C758" s="141" t="inlineStr">
        <is>
          <t>PHẠM NGỌC SƠN</t>
        </is>
      </c>
      <c r="D758" s="141" t="inlineStr">
        <is>
          <t>06/07/1989</t>
        </is>
      </c>
      <c r="E758" s="141" t="inlineStr">
        <is>
          <t>Thay băng, cắt chỉ vết mổ [chiều dài ≤ 15cm]</t>
        </is>
      </c>
      <c r="F758" s="237" t="n">
        <v>1</v>
      </c>
      <c r="G758" s="237" t="n">
        <v>100000</v>
      </c>
      <c r="H758" s="95">
        <f>25%*75%</f>
        <v/>
      </c>
    </row>
    <row r="759" ht="15.75" customHeight="1">
      <c r="A759" s="94" t="n">
        <v>754</v>
      </c>
      <c r="B759" s="141" t="inlineStr">
        <is>
          <t>2026/08/24 05:00</t>
        </is>
      </c>
      <c r="C759" s="141" t="inlineStr">
        <is>
          <t>TRƯƠNG VĂN ÚT</t>
        </is>
      </c>
      <c r="D759" s="141" t="inlineStr">
        <is>
          <t>01/01/1948</t>
        </is>
      </c>
      <c r="E759" s="141" t="inlineStr">
        <is>
          <t>Thay băng, cắt chỉ vết mổ [chiều dài ≤ 15cm]</t>
        </is>
      </c>
      <c r="F759" s="237" t="n">
        <v>1</v>
      </c>
      <c r="G759" s="237" t="n">
        <v>100000</v>
      </c>
      <c r="H759" s="95">
        <f>25%*75%</f>
        <v/>
      </c>
    </row>
    <row r="760" ht="15.75" customHeight="1">
      <c r="A760" s="94" t="n">
        <v>755</v>
      </c>
      <c r="B760" s="141" t="inlineStr">
        <is>
          <t>2026/08/24 05:00</t>
        </is>
      </c>
      <c r="C760" s="141" t="inlineStr">
        <is>
          <t>TRẦN NGỌC ÁNH</t>
        </is>
      </c>
      <c r="D760" s="141" t="inlineStr">
        <is>
          <t>07/01/1974</t>
        </is>
      </c>
      <c r="E760" s="141" t="inlineStr">
        <is>
          <t>Thay băng, cắt chỉ vết mổ [chiều dài ≤ 15cm]</t>
        </is>
      </c>
      <c r="F760" s="237" t="n">
        <v>1</v>
      </c>
      <c r="G760" s="237" t="n">
        <v>100000</v>
      </c>
      <c r="H760" s="95">
        <f>25%*75%</f>
        <v/>
      </c>
    </row>
    <row r="761" ht="15.75" customHeight="1">
      <c r="A761" s="94" t="n">
        <v>756</v>
      </c>
      <c r="B761" s="141" t="inlineStr">
        <is>
          <t>2026/08/24 05:00</t>
        </is>
      </c>
      <c r="C761" s="141" t="inlineStr">
        <is>
          <t>TRẦN VĂN LẸ</t>
        </is>
      </c>
      <c r="D761" s="141" t="inlineStr">
        <is>
          <t>01/01/1975</t>
        </is>
      </c>
      <c r="E761" s="141" t="inlineStr">
        <is>
          <t>Thay băng, cắt chỉ vết mổ [chiều dài ≤ 15cm]</t>
        </is>
      </c>
      <c r="F761" s="237" t="n">
        <v>1</v>
      </c>
      <c r="G761" s="237" t="n">
        <v>100000</v>
      </c>
      <c r="H761" s="95">
        <f>25%*75%</f>
        <v/>
      </c>
    </row>
    <row r="762" ht="15.75" customHeight="1">
      <c r="A762" s="94" t="n">
        <v>757</v>
      </c>
      <c r="B762" s="141" t="inlineStr">
        <is>
          <t>2026/08/24 05:00</t>
        </is>
      </c>
      <c r="C762" s="141" t="inlineStr">
        <is>
          <t>TĂNG THỊ MIỀN</t>
        </is>
      </c>
      <c r="D762" s="141" t="inlineStr">
        <is>
          <t>01/01/1951</t>
        </is>
      </c>
      <c r="E762" s="141" t="inlineStr">
        <is>
          <t>Thay băng, cắt chỉ vết mổ [chiều dài ≤ 15cm]</t>
        </is>
      </c>
      <c r="F762" s="237" t="n">
        <v>1</v>
      </c>
      <c r="G762" s="237" t="n">
        <v>100000</v>
      </c>
      <c r="H762" s="95">
        <f>25%*75%</f>
        <v/>
      </c>
    </row>
    <row r="763" ht="15.75" customHeight="1">
      <c r="A763" s="94" t="n">
        <v>758</v>
      </c>
      <c r="B763" s="141" t="inlineStr">
        <is>
          <t>2026/08/24 06:22</t>
        </is>
      </c>
      <c r="C763" s="141" t="inlineStr">
        <is>
          <t>LÊ THỊ KIM ĐIỂU</t>
        </is>
      </c>
      <c r="D763" s="141" t="inlineStr">
        <is>
          <t>12/12/1958</t>
        </is>
      </c>
      <c r="E763" s="141" t="inlineStr">
        <is>
          <t>Thay băng, cắt chỉ vết mổ [chiều dài ≤ 15cm]</t>
        </is>
      </c>
      <c r="F763" s="237" t="n">
        <v>1</v>
      </c>
      <c r="G763" s="237" t="n">
        <v>100000</v>
      </c>
      <c r="H763" s="95">
        <f>25%*75%</f>
        <v/>
      </c>
    </row>
    <row r="764" ht="15.75" customHeight="1">
      <c r="A764" s="94" t="n">
        <v>759</v>
      </c>
      <c r="B764" s="141" t="inlineStr">
        <is>
          <t>2026/08/24 06:51</t>
        </is>
      </c>
      <c r="C764" s="141" t="inlineStr">
        <is>
          <t>LÊ THỊ TUYẾT</t>
        </is>
      </c>
      <c r="D764" s="141" t="inlineStr">
        <is>
          <t>01/01/1959</t>
        </is>
      </c>
      <c r="E764" s="141" t="inlineStr">
        <is>
          <t>Thay băng, cắt chỉ vết mổ [chiều dài ≤ 15cm]</t>
        </is>
      </c>
      <c r="F764" s="237" t="n">
        <v>1</v>
      </c>
      <c r="G764" s="237" t="n">
        <v>100000</v>
      </c>
      <c r="H764" s="95">
        <f>25%*75%</f>
        <v/>
      </c>
    </row>
    <row r="765" ht="15.75" customHeight="1">
      <c r="A765" s="94" t="n">
        <v>760</v>
      </c>
      <c r="B765" s="141" t="inlineStr">
        <is>
          <t>2026/08/24 07:00</t>
        </is>
      </c>
      <c r="C765" s="141" t="inlineStr">
        <is>
          <t>BÙI THỊ NGỜI</t>
        </is>
      </c>
      <c r="D765" s="141" t="inlineStr">
        <is>
          <t>01/01/1952</t>
        </is>
      </c>
      <c r="E765" s="141" t="inlineStr">
        <is>
          <t>Thay băng, cắt chỉ vết mổ [chiều dài ≤ 15cm]</t>
        </is>
      </c>
      <c r="F765" s="237" t="n">
        <v>1</v>
      </c>
      <c r="G765" s="237" t="n">
        <v>100000</v>
      </c>
      <c r="H765" s="95">
        <f>25%*75%</f>
        <v/>
      </c>
    </row>
    <row r="766" ht="15.75" customHeight="1">
      <c r="A766" s="94" t="n">
        <v>761</v>
      </c>
      <c r="B766" s="141" t="inlineStr">
        <is>
          <t>2026/08/24 07:00</t>
        </is>
      </c>
      <c r="C766" s="141" t="inlineStr">
        <is>
          <t>CHIÊM HUỲNH ANH THƯ</t>
        </is>
      </c>
      <c r="D766" s="141" t="inlineStr">
        <is>
          <t>01/04/2000</t>
        </is>
      </c>
      <c r="E766" s="141" t="inlineStr">
        <is>
          <t>Thay băng, cắt chỉ vết mổ [chiều dài ≤ 15cm]</t>
        </is>
      </c>
      <c r="F766" s="237" t="n">
        <v>1</v>
      </c>
      <c r="G766" s="237" t="n">
        <v>100000</v>
      </c>
      <c r="H766" s="95">
        <f>25%*75%</f>
        <v/>
      </c>
    </row>
    <row r="767" ht="15.75" customHeight="1">
      <c r="A767" s="94" t="n">
        <v>762</v>
      </c>
      <c r="B767" s="141" t="inlineStr">
        <is>
          <t>2026/08/24 07:00</t>
        </is>
      </c>
      <c r="C767" s="141" t="inlineStr">
        <is>
          <t>HỒ THỊ THANH HÀ</t>
        </is>
      </c>
      <c r="D767" s="141" t="inlineStr">
        <is>
          <t>18/11/1967</t>
        </is>
      </c>
      <c r="E767" s="141" t="inlineStr">
        <is>
          <t>Thay băng, cắt chỉ vết mổ [chiều dài ≤ 15cm]</t>
        </is>
      </c>
      <c r="F767" s="237" t="n">
        <v>1</v>
      </c>
      <c r="G767" s="237" t="n">
        <v>100000</v>
      </c>
      <c r="H767" s="95">
        <f>25%*75%</f>
        <v/>
      </c>
    </row>
    <row r="768" ht="15.75" customHeight="1">
      <c r="A768" s="94" t="n">
        <v>763</v>
      </c>
      <c r="B768" s="141" t="inlineStr">
        <is>
          <t>2026/08/24 07:01</t>
        </is>
      </c>
      <c r="C768" s="141" t="inlineStr">
        <is>
          <t>TRẦN THỊ NGỌC DIỄM</t>
        </is>
      </c>
      <c r="D768" s="141" t="inlineStr">
        <is>
          <t>22/03/1996</t>
        </is>
      </c>
      <c r="E768" s="141" t="inlineStr">
        <is>
          <t>Thay băng, cắt chỉ vết mổ [chiều dài ≤ 15cm]</t>
        </is>
      </c>
      <c r="F768" s="237" t="n">
        <v>1</v>
      </c>
      <c r="G768" s="237" t="n">
        <v>100000</v>
      </c>
      <c r="H768" s="95">
        <f>25%*75%</f>
        <v/>
      </c>
    </row>
    <row r="769" ht="15.75" customHeight="1">
      <c r="A769" s="94" t="n">
        <v>764</v>
      </c>
      <c r="B769" s="141" t="inlineStr">
        <is>
          <t>2026/08/24 07:15</t>
        </is>
      </c>
      <c r="C769" s="141" t="inlineStr">
        <is>
          <t>VÕ TẤN ĐỨC</t>
        </is>
      </c>
      <c r="D769" s="141" t="inlineStr">
        <is>
          <t>01/01/1963</t>
        </is>
      </c>
      <c r="E769" s="141" t="inlineStr">
        <is>
          <t>Thay băng, cắt chỉ vết mổ [chiều dài ≤ 15cm]</t>
        </is>
      </c>
      <c r="F769" s="237" t="n">
        <v>1</v>
      </c>
      <c r="G769" s="237" t="n">
        <v>100000</v>
      </c>
      <c r="H769" s="95">
        <f>25%*75%</f>
        <v/>
      </c>
    </row>
    <row r="770" ht="15.75" customHeight="1">
      <c r="A770" s="94" t="n">
        <v>765</v>
      </c>
      <c r="B770" s="141" t="inlineStr">
        <is>
          <t>2026/08/24 07:23</t>
        </is>
      </c>
      <c r="C770" s="141" t="inlineStr">
        <is>
          <t>LÂM ĐẠI NHƠN</t>
        </is>
      </c>
      <c r="D770" s="141" t="inlineStr">
        <is>
          <t>02/03/1938</t>
        </is>
      </c>
      <c r="E770" s="141" t="inlineStr">
        <is>
          <t>Thay băng, cắt chỉ vết mổ [chiều dài ≤ 15cm]</t>
        </is>
      </c>
      <c r="F770" s="237" t="n">
        <v>1</v>
      </c>
      <c r="G770" s="237" t="n">
        <v>100000</v>
      </c>
      <c r="H770" s="95">
        <f>25%*75%</f>
        <v/>
      </c>
    </row>
    <row r="771" ht="15.75" customHeight="1">
      <c r="A771" s="94" t="n">
        <v>766</v>
      </c>
      <c r="B771" s="141" t="inlineStr">
        <is>
          <t>2026/08/24 07:31</t>
        </is>
      </c>
      <c r="C771" s="141" t="inlineStr">
        <is>
          <t>LÊ VĂN NÔ</t>
        </is>
      </c>
      <c r="D771" s="141" t="inlineStr">
        <is>
          <t>01/01/1954</t>
        </is>
      </c>
      <c r="E771" s="141" t="inlineStr">
        <is>
          <t>Thay băng, cắt chỉ vết mổ [chiều dài ≤ 15cm]</t>
        </is>
      </c>
      <c r="F771" s="237" t="n">
        <v>1</v>
      </c>
      <c r="G771" s="237" t="n">
        <v>100000</v>
      </c>
      <c r="H771" s="95">
        <f>25%*75%</f>
        <v/>
      </c>
    </row>
    <row r="772" ht="15.75" customHeight="1">
      <c r="A772" s="94" t="n">
        <v>767</v>
      </c>
      <c r="B772" s="141" t="inlineStr">
        <is>
          <t>2026/08/25 05:00</t>
        </is>
      </c>
      <c r="C772" s="141" t="inlineStr">
        <is>
          <t>BÙI HỮU THỌ</t>
        </is>
      </c>
      <c r="D772" s="141" t="inlineStr">
        <is>
          <t>01/02/1981</t>
        </is>
      </c>
      <c r="E772" s="141" t="inlineStr">
        <is>
          <t>Thay băng, cắt chỉ vết mổ [chiều dài ≤ 15cm]</t>
        </is>
      </c>
      <c r="F772" s="237" t="n">
        <v>1</v>
      </c>
      <c r="G772" s="237" t="n">
        <v>100000</v>
      </c>
      <c r="H772" s="95">
        <f>25%*75%</f>
        <v/>
      </c>
    </row>
    <row r="773" ht="15.75" customHeight="1">
      <c r="A773" s="94" t="n">
        <v>768</v>
      </c>
      <c r="B773" s="141" t="inlineStr">
        <is>
          <t>2026/08/25 05:00</t>
        </is>
      </c>
      <c r="C773" s="141" t="inlineStr">
        <is>
          <t>HỒ VĂN TÀI</t>
        </is>
      </c>
      <c r="D773" s="141" t="inlineStr">
        <is>
          <t>01/01/1984</t>
        </is>
      </c>
      <c r="E773" s="141" t="inlineStr">
        <is>
          <t>Thay băng, cắt chỉ vết mổ [chiều dài ≤ 15cm]</t>
        </is>
      </c>
      <c r="F773" s="237" t="n">
        <v>1</v>
      </c>
      <c r="G773" s="237" t="n">
        <v>100000</v>
      </c>
      <c r="H773" s="95">
        <f>25%*75%</f>
        <v/>
      </c>
    </row>
    <row r="774" ht="15.75" customHeight="1">
      <c r="A774" s="94" t="n">
        <v>769</v>
      </c>
      <c r="B774" s="141" t="inlineStr">
        <is>
          <t>2026/08/25 05:00</t>
        </is>
      </c>
      <c r="C774" s="141" t="inlineStr">
        <is>
          <t>LÂM ĐẠI NHƠN</t>
        </is>
      </c>
      <c r="D774" s="141" t="inlineStr">
        <is>
          <t>02/03/1938</t>
        </is>
      </c>
      <c r="E774" s="141" t="inlineStr">
        <is>
          <t>Thay băng, cắt chỉ vết mổ [chiều dài ≤ 15cm]</t>
        </is>
      </c>
      <c r="F774" s="237" t="n">
        <v>1</v>
      </c>
      <c r="G774" s="237" t="n">
        <v>100000</v>
      </c>
      <c r="H774" s="95">
        <f>25%*75%</f>
        <v/>
      </c>
    </row>
    <row r="775" ht="15.75" customHeight="1">
      <c r="A775" s="94" t="n">
        <v>770</v>
      </c>
      <c r="B775" s="141" t="inlineStr">
        <is>
          <t>2026/08/25 05:00</t>
        </is>
      </c>
      <c r="C775" s="141" t="inlineStr">
        <is>
          <t>LÊ VĂN NÔ</t>
        </is>
      </c>
      <c r="D775" s="141" t="inlineStr">
        <is>
          <t>01/01/1954</t>
        </is>
      </c>
      <c r="E775" s="141" t="inlineStr">
        <is>
          <t>Thay băng, cắt chỉ vết mổ [chiều dài ≤ 15cm]</t>
        </is>
      </c>
      <c r="F775" s="237" t="n">
        <v>1</v>
      </c>
      <c r="G775" s="237" t="n">
        <v>100000</v>
      </c>
      <c r="H775" s="95">
        <f>25%*75%</f>
        <v/>
      </c>
    </row>
    <row r="776" ht="15.75" customHeight="1">
      <c r="A776" s="94" t="n">
        <v>771</v>
      </c>
      <c r="B776" s="141" t="inlineStr">
        <is>
          <t>2026/08/25 05:00</t>
        </is>
      </c>
      <c r="C776" s="141" t="inlineStr">
        <is>
          <t>NGUYỄN THỊ THẮM</t>
        </is>
      </c>
      <c r="D776" s="141" t="inlineStr">
        <is>
          <t>01/01/1962</t>
        </is>
      </c>
      <c r="E776" s="141" t="inlineStr">
        <is>
          <t>Thay băng, cắt chỉ vết mổ [chiều dài ≤ 15cm]</t>
        </is>
      </c>
      <c r="F776" s="237" t="n">
        <v>1</v>
      </c>
      <c r="G776" s="237" t="n">
        <v>100000</v>
      </c>
      <c r="H776" s="95">
        <f>25%*75%</f>
        <v/>
      </c>
    </row>
    <row r="777" ht="15.75" customHeight="1">
      <c r="A777" s="94" t="n">
        <v>772</v>
      </c>
      <c r="B777" s="141" t="inlineStr">
        <is>
          <t>2026/08/25 05:00</t>
        </is>
      </c>
      <c r="C777" s="141" t="inlineStr">
        <is>
          <t>TRẦN VĂN LẸ</t>
        </is>
      </c>
      <c r="D777" s="141" t="inlineStr">
        <is>
          <t>01/01/1975</t>
        </is>
      </c>
      <c r="E777" s="141" t="inlineStr">
        <is>
          <t>Thay băng, cắt chỉ vết mổ [chiều dài ≤ 15cm]</t>
        </is>
      </c>
      <c r="F777" s="237" t="n">
        <v>1</v>
      </c>
      <c r="G777" s="237" t="n">
        <v>100000</v>
      </c>
      <c r="H777" s="95">
        <f>25%*75%</f>
        <v/>
      </c>
    </row>
    <row r="778" ht="15.75" customHeight="1">
      <c r="A778" s="94" t="n">
        <v>773</v>
      </c>
      <c r="B778" s="141" t="inlineStr">
        <is>
          <t>2026/08/25 06:50</t>
        </is>
      </c>
      <c r="C778" s="141" t="inlineStr">
        <is>
          <t>LÊ THỊ TUYẾT</t>
        </is>
      </c>
      <c r="D778" s="141" t="inlineStr">
        <is>
          <t>01/01/1959</t>
        </is>
      </c>
      <c r="E778" s="141" t="inlineStr">
        <is>
          <t>Thay băng, cắt chỉ vết mổ [chiều dài ≤ 15cm]</t>
        </is>
      </c>
      <c r="F778" s="237" t="n">
        <v>1</v>
      </c>
      <c r="G778" s="237" t="n">
        <v>100000</v>
      </c>
      <c r="H778" s="95">
        <f>25%*75%</f>
        <v/>
      </c>
    </row>
    <row r="779" ht="15.75" customHeight="1">
      <c r="A779" s="94" t="n">
        <v>774</v>
      </c>
      <c r="B779" s="141" t="inlineStr">
        <is>
          <t>2026/08/25 06:59</t>
        </is>
      </c>
      <c r="C779" s="141" t="inlineStr">
        <is>
          <t>TRẦN THỊ NGỌC DIỄM</t>
        </is>
      </c>
      <c r="D779" s="141" t="inlineStr">
        <is>
          <t>22/03/1996</t>
        </is>
      </c>
      <c r="E779" s="141" t="inlineStr">
        <is>
          <t>Thay băng, cắt chỉ vết mổ [chiều dài ≤ 15cm]</t>
        </is>
      </c>
      <c r="F779" s="237" t="n">
        <v>1</v>
      </c>
      <c r="G779" s="237" t="n">
        <v>100000</v>
      </c>
      <c r="H779" s="95">
        <f>25%*75%</f>
        <v/>
      </c>
    </row>
    <row r="780" ht="15.75" customHeight="1">
      <c r="A780" s="94" t="n">
        <v>775</v>
      </c>
      <c r="B780" s="141" t="inlineStr">
        <is>
          <t>2026/08/25 07:00</t>
        </is>
      </c>
      <c r="C780" s="141" t="inlineStr">
        <is>
          <t>HỒ THỊ THANH HÀ</t>
        </is>
      </c>
      <c r="D780" s="141" t="inlineStr">
        <is>
          <t>18/11/1967</t>
        </is>
      </c>
      <c r="E780" s="141" t="inlineStr">
        <is>
          <t>Thay băng, cắt chỉ vết mổ [chiều dài ≤ 15cm]</t>
        </is>
      </c>
      <c r="F780" s="237" t="n">
        <v>1</v>
      </c>
      <c r="G780" s="237" t="n">
        <v>100000</v>
      </c>
      <c r="H780" s="95">
        <f>25%*75%</f>
        <v/>
      </c>
    </row>
    <row r="781" ht="15.75" customHeight="1">
      <c r="A781" s="94" t="n">
        <v>776</v>
      </c>
      <c r="B781" s="141" t="inlineStr">
        <is>
          <t>2026/08/25 07:00</t>
        </is>
      </c>
      <c r="C781" s="141" t="inlineStr">
        <is>
          <t>NGUYỄN VĂN ĐOÀN</t>
        </is>
      </c>
      <c r="D781" s="141" t="inlineStr">
        <is>
          <t>01/01/1969</t>
        </is>
      </c>
      <c r="E781" s="141" t="inlineStr">
        <is>
          <t>Thay băng, cắt chỉ vết mổ [chiều dài ≤ 15cm]</t>
        </is>
      </c>
      <c r="F781" s="237" t="n">
        <v>1</v>
      </c>
      <c r="G781" s="237" t="n">
        <v>100000</v>
      </c>
      <c r="H781" s="95">
        <f>25%*75%</f>
        <v/>
      </c>
    </row>
    <row r="782" ht="15.75" customHeight="1">
      <c r="A782" s="94" t="n">
        <v>777</v>
      </c>
      <c r="B782" s="141" t="inlineStr">
        <is>
          <t>2026/08/25 07:15</t>
        </is>
      </c>
      <c r="C782" s="141" t="inlineStr">
        <is>
          <t>PHẠM NGỌC SƠN</t>
        </is>
      </c>
      <c r="D782" s="141" t="inlineStr">
        <is>
          <t>06/07/1989</t>
        </is>
      </c>
      <c r="E782" s="141" t="inlineStr">
        <is>
          <t>Thay băng, cắt chỉ vết mổ [chiều dài ≤ 15cm]</t>
        </is>
      </c>
      <c r="F782" s="237" t="n">
        <v>1</v>
      </c>
      <c r="G782" s="237" t="n">
        <v>100000</v>
      </c>
      <c r="H782" s="95">
        <f>25%*75%</f>
        <v/>
      </c>
    </row>
    <row r="783" ht="15.75" customHeight="1">
      <c r="A783" s="94" t="n">
        <v>778</v>
      </c>
      <c r="B783" s="141" t="inlineStr">
        <is>
          <t>2026/08/25 07:15</t>
        </is>
      </c>
      <c r="C783" s="141" t="inlineStr">
        <is>
          <t>VÕ TẤN ĐỨC</t>
        </is>
      </c>
      <c r="D783" s="141" t="inlineStr">
        <is>
          <t>01/01/1963</t>
        </is>
      </c>
      <c r="E783" s="141" t="inlineStr">
        <is>
          <t>Thay băng, cắt chỉ vết mổ [chiều dài ≤ 15cm]</t>
        </is>
      </c>
      <c r="F783" s="237" t="n">
        <v>1</v>
      </c>
      <c r="G783" s="237" t="n">
        <v>100000</v>
      </c>
      <c r="H783" s="95">
        <f>25%*75%</f>
        <v/>
      </c>
    </row>
    <row r="784" ht="15.75" customHeight="1">
      <c r="A784" s="94" t="n">
        <v>779</v>
      </c>
      <c r="B784" s="141" t="inlineStr">
        <is>
          <t>2026/08/25 07:53</t>
        </is>
      </c>
      <c r="C784" s="141" t="inlineStr">
        <is>
          <t>TRƯƠNG THỊ NHƯ QUỲNH</t>
        </is>
      </c>
      <c r="D784" s="141" t="inlineStr">
        <is>
          <t>10/06/2005</t>
        </is>
      </c>
      <c r="E784" s="141" t="inlineStr">
        <is>
          <t>Thay băng, cắt chỉ vết mổ [chiều dài ≤ 15cm]</t>
        </is>
      </c>
      <c r="F784" s="237" t="n">
        <v>1</v>
      </c>
      <c r="G784" s="237" t="n">
        <v>100000</v>
      </c>
      <c r="H784" s="95">
        <f>25%*75%</f>
        <v/>
      </c>
    </row>
    <row r="785" ht="15.75" customHeight="1">
      <c r="A785" s="94" t="n">
        <v>780</v>
      </c>
      <c r="B785" s="141" t="inlineStr">
        <is>
          <t>2026/08/26 03:32</t>
        </is>
      </c>
      <c r="C785" s="141" t="inlineStr">
        <is>
          <t>NGUYỄN VĂN QUẢNG</t>
        </is>
      </c>
      <c r="D785" s="141" t="inlineStr">
        <is>
          <t>27/06/1976</t>
        </is>
      </c>
      <c r="E785" s="141" t="inlineStr">
        <is>
          <t>Đặt sonde bàng quang</t>
        </is>
      </c>
      <c r="F785" s="237" t="n">
        <v>1</v>
      </c>
      <c r="G785" s="237" t="n">
        <v>101800</v>
      </c>
      <c r="H785" s="95">
        <f>25%*75%</f>
        <v/>
      </c>
    </row>
    <row r="786" ht="15.75" customHeight="1">
      <c r="A786" s="94" t="n">
        <v>781</v>
      </c>
      <c r="B786" s="141" t="inlineStr">
        <is>
          <t>2026/08/26 05:00</t>
        </is>
      </c>
      <c r="C786" s="141" t="inlineStr">
        <is>
          <t>LÂM ĐẠI NHƠN</t>
        </is>
      </c>
      <c r="D786" s="141" t="inlineStr">
        <is>
          <t>02/03/1938</t>
        </is>
      </c>
      <c r="E786" s="141" t="inlineStr">
        <is>
          <t>Thay băng, cắt chỉ vết mổ [chiều dài ≤ 15cm]</t>
        </is>
      </c>
      <c r="F786" s="237" t="n">
        <v>1</v>
      </c>
      <c r="G786" s="237" t="n">
        <v>100000</v>
      </c>
      <c r="H786" s="95">
        <f>25%*75%</f>
        <v/>
      </c>
    </row>
    <row r="787" ht="15.75" customHeight="1">
      <c r="A787" s="94" t="n">
        <v>782</v>
      </c>
      <c r="B787" s="141" t="inlineStr">
        <is>
          <t>2026/08/26 05:00</t>
        </is>
      </c>
      <c r="C787" s="141" t="inlineStr">
        <is>
          <t>LÊ VĂN NÔ</t>
        </is>
      </c>
      <c r="D787" s="141" t="inlineStr">
        <is>
          <t>01/01/1954</t>
        </is>
      </c>
      <c r="E787" s="141" t="inlineStr">
        <is>
          <t>Thay băng, cắt chỉ vết mổ [chiều dài ≤ 15cm]</t>
        </is>
      </c>
      <c r="F787" s="237" t="n">
        <v>1</v>
      </c>
      <c r="G787" s="237" t="n">
        <v>100000</v>
      </c>
      <c r="H787" s="95">
        <f>25%*75%</f>
        <v/>
      </c>
    </row>
    <row r="788" ht="15.75" customHeight="1">
      <c r="A788" s="94" t="n">
        <v>783</v>
      </c>
      <c r="B788" s="141" t="inlineStr">
        <is>
          <t>2026/08/26 05:00</t>
        </is>
      </c>
      <c r="C788" s="141" t="inlineStr">
        <is>
          <t>NGUYỄN THỊ THẮM</t>
        </is>
      </c>
      <c r="D788" s="141" t="inlineStr">
        <is>
          <t>01/01/1962</t>
        </is>
      </c>
      <c r="E788" s="141" t="inlineStr">
        <is>
          <t>Thay băng, cắt chỉ vết mổ [chiều dài ≤ 15cm]</t>
        </is>
      </c>
      <c r="F788" s="237" t="n">
        <v>1</v>
      </c>
      <c r="G788" s="237" t="n">
        <v>100000</v>
      </c>
      <c r="H788" s="95">
        <f>25%*75%</f>
        <v/>
      </c>
    </row>
    <row r="789" ht="15.75" customHeight="1">
      <c r="A789" s="94" t="n">
        <v>784</v>
      </c>
      <c r="B789" s="141" t="inlineStr">
        <is>
          <t>2026/08/26 05:00</t>
        </is>
      </c>
      <c r="C789" s="141" t="inlineStr">
        <is>
          <t>NGUYỄN VĂN ĐOÀN</t>
        </is>
      </c>
      <c r="D789" s="141" t="inlineStr">
        <is>
          <t>01/01/1969</t>
        </is>
      </c>
      <c r="E789" s="141" t="inlineStr">
        <is>
          <t>Thay băng, cắt chỉ vết mổ [chiều dài ≤ 15cm]</t>
        </is>
      </c>
      <c r="F789" s="237" t="n">
        <v>1</v>
      </c>
      <c r="G789" s="237" t="n">
        <v>100000</v>
      </c>
      <c r="H789" s="95">
        <f>25%*75%</f>
        <v/>
      </c>
    </row>
    <row r="790" ht="15.75" customHeight="1">
      <c r="A790" s="94" t="n">
        <v>785</v>
      </c>
      <c r="B790" s="141" t="inlineStr">
        <is>
          <t>2026/08/26 07:00</t>
        </is>
      </c>
      <c r="C790" s="141" t="inlineStr">
        <is>
          <t>HỒ BÉ TƯ</t>
        </is>
      </c>
      <c r="D790" s="141" t="inlineStr">
        <is>
          <t>01/01/1957</t>
        </is>
      </c>
      <c r="E790" s="141" t="inlineStr">
        <is>
          <t>Thay băng, cắt chỉ vết mổ [chiều dài ≤ 15cm]</t>
        </is>
      </c>
      <c r="F790" s="237" t="n">
        <v>1</v>
      </c>
      <c r="G790" s="237" t="n">
        <v>100000</v>
      </c>
      <c r="H790" s="95">
        <f>25%*75%</f>
        <v/>
      </c>
    </row>
    <row r="791" ht="15.75" customHeight="1">
      <c r="A791" s="94" t="n">
        <v>786</v>
      </c>
      <c r="B791" s="141" t="inlineStr">
        <is>
          <t>2026/08/26 07:00</t>
        </is>
      </c>
      <c r="C791" s="141" t="inlineStr">
        <is>
          <t>HỒ THỊ THANH HÀ</t>
        </is>
      </c>
      <c r="D791" s="141" t="inlineStr">
        <is>
          <t>18/11/1967</t>
        </is>
      </c>
      <c r="E791" s="141" t="inlineStr">
        <is>
          <t>Thay băng, cắt chỉ vết mổ [chiều dài ≤ 15cm]</t>
        </is>
      </c>
      <c r="F791" s="237" t="n">
        <v>1</v>
      </c>
      <c r="G791" s="237" t="n">
        <v>100000</v>
      </c>
      <c r="H791" s="95">
        <f>25%*75%</f>
        <v/>
      </c>
    </row>
    <row r="792" ht="15.75" customHeight="1">
      <c r="A792" s="94" t="n">
        <v>787</v>
      </c>
      <c r="B792" s="141" t="inlineStr">
        <is>
          <t>2026/08/26 07:00</t>
        </is>
      </c>
      <c r="C792" s="141" t="inlineStr">
        <is>
          <t>LÂM VĂN TẤN</t>
        </is>
      </c>
      <c r="D792" s="141" t="inlineStr">
        <is>
          <t>01/01/1969</t>
        </is>
      </c>
      <c r="E792" s="141" t="inlineStr">
        <is>
          <t>Thay băng, cắt chỉ vết mổ [chiều dài ≤ 15cm]</t>
        </is>
      </c>
      <c r="F792" s="237" t="n">
        <v>1</v>
      </c>
      <c r="G792" s="237" t="n">
        <v>100000</v>
      </c>
      <c r="H792" s="95">
        <f>25%*75%</f>
        <v/>
      </c>
    </row>
    <row r="793" ht="15.75" customHeight="1">
      <c r="A793" s="94" t="n">
        <v>788</v>
      </c>
      <c r="B793" s="141" t="inlineStr">
        <is>
          <t>2026/08/26 07:00</t>
        </is>
      </c>
      <c r="C793" s="141" t="inlineStr">
        <is>
          <t>NGUYỄN ĐÌNH NGỌC GIÀU</t>
        </is>
      </c>
      <c r="D793" s="141" t="inlineStr">
        <is>
          <t>11/08/1993</t>
        </is>
      </c>
      <c r="E793" s="141" t="inlineStr">
        <is>
          <t>Thay băng, cắt chỉ vết mổ [chiều dài ≤ 15cm]</t>
        </is>
      </c>
      <c r="F793" s="237" t="n">
        <v>1</v>
      </c>
      <c r="G793" s="237" t="n">
        <v>100000</v>
      </c>
      <c r="H793" s="95">
        <f>25%*75%</f>
        <v/>
      </c>
    </row>
    <row r="794" ht="15.75" customHeight="1">
      <c r="A794" s="94" t="n">
        <v>789</v>
      </c>
      <c r="B794" s="141" t="inlineStr">
        <is>
          <t>2026/08/26 07:00</t>
        </is>
      </c>
      <c r="C794" s="141" t="inlineStr">
        <is>
          <t>TRƯƠNG THỊ NHƯ QUỲNH</t>
        </is>
      </c>
      <c r="D794" s="141" t="inlineStr">
        <is>
          <t>10/06/2005</t>
        </is>
      </c>
      <c r="E794" s="141" t="inlineStr">
        <is>
          <t>Thay băng, cắt chỉ vết mổ [chiều dài ≤ 15cm]</t>
        </is>
      </c>
      <c r="F794" s="237" t="n">
        <v>1</v>
      </c>
      <c r="G794" s="237" t="n">
        <v>100000</v>
      </c>
      <c r="H794" s="95">
        <f>25%*75%</f>
        <v/>
      </c>
    </row>
    <row r="795" ht="15.75" customHeight="1">
      <c r="A795" s="94" t="n">
        <v>790</v>
      </c>
      <c r="B795" s="141" t="inlineStr">
        <is>
          <t>2026/08/26 07:15</t>
        </is>
      </c>
      <c r="C795" s="141" t="inlineStr">
        <is>
          <t>VÕ TẤN ĐỨC</t>
        </is>
      </c>
      <c r="D795" s="141" t="inlineStr">
        <is>
          <t>01/01/1963</t>
        </is>
      </c>
      <c r="E795" s="141" t="inlineStr">
        <is>
          <t>Thay băng, cắt chỉ vết mổ [chiều dài ≤ 15cm]</t>
        </is>
      </c>
      <c r="F795" s="237" t="n">
        <v>1</v>
      </c>
      <c r="G795" s="237" t="n">
        <v>100000</v>
      </c>
      <c r="H795" s="95">
        <f>25%*75%</f>
        <v/>
      </c>
    </row>
    <row r="796" ht="15.75" customHeight="1">
      <c r="A796" s="94" t="n">
        <v>791</v>
      </c>
      <c r="B796" s="141" t="inlineStr">
        <is>
          <t>2026/08/26 08:00</t>
        </is>
      </c>
      <c r="C796" s="141" t="inlineStr">
        <is>
          <t>HỒNG THỊ BÉ</t>
        </is>
      </c>
      <c r="D796" s="141" t="inlineStr">
        <is>
          <t>06/02/1950</t>
        </is>
      </c>
      <c r="E796" s="141" t="inlineStr">
        <is>
          <t>Thay băng, cắt chỉ vết mổ [chiều dài ≤ 15cm]</t>
        </is>
      </c>
      <c r="F796" s="237" t="n">
        <v>1</v>
      </c>
      <c r="G796" s="237" t="n">
        <v>100000</v>
      </c>
      <c r="H796" s="95">
        <f>25%*75%</f>
        <v/>
      </c>
    </row>
    <row r="797" ht="15.75" customHeight="1">
      <c r="A797" s="94" t="n">
        <v>792</v>
      </c>
      <c r="B797" s="141" t="inlineStr">
        <is>
          <t>2026/08/26 08:00</t>
        </is>
      </c>
      <c r="C797" s="141" t="inlineStr">
        <is>
          <t>LÊ THỊ TUYẾT</t>
        </is>
      </c>
      <c r="D797" s="141" t="inlineStr">
        <is>
          <t>01/01/1959</t>
        </is>
      </c>
      <c r="E797" s="141" t="inlineStr">
        <is>
          <t>Thay băng, cắt chỉ vết mổ [chiều dài ≤ 15cm]</t>
        </is>
      </c>
      <c r="F797" s="237" t="n">
        <v>1</v>
      </c>
      <c r="G797" s="237" t="n">
        <v>100000</v>
      </c>
      <c r="H797" s="95">
        <f>25%*75%</f>
        <v/>
      </c>
    </row>
    <row r="798" ht="15.75" customHeight="1">
      <c r="A798" s="94" t="n">
        <v>793</v>
      </c>
      <c r="B798" s="141" t="inlineStr">
        <is>
          <t>2026/08/26 08:00</t>
        </is>
      </c>
      <c r="C798" s="141" t="inlineStr">
        <is>
          <t>NGUYỄN VĂN QUẢNG</t>
        </is>
      </c>
      <c r="D798" s="141" t="inlineStr">
        <is>
          <t>27/06/1976</t>
        </is>
      </c>
      <c r="E798" s="141" t="inlineStr">
        <is>
          <t>Thay băng, cắt chỉ vết mổ [chiều dài ≤ 15cm]</t>
        </is>
      </c>
      <c r="F798" s="237" t="n">
        <v>1</v>
      </c>
      <c r="G798" s="237" t="n">
        <v>100000</v>
      </c>
      <c r="H798" s="95">
        <f>25%*75%</f>
        <v/>
      </c>
    </row>
    <row r="799" ht="15.75" customHeight="1">
      <c r="A799" s="94" t="n">
        <v>794</v>
      </c>
      <c r="B799" s="141" t="inlineStr">
        <is>
          <t>2026/08/26 08:00</t>
        </is>
      </c>
      <c r="C799" s="141" t="inlineStr">
        <is>
          <t>TRẦN THỊ NGỌC DIỄM</t>
        </is>
      </c>
      <c r="D799" s="141" t="inlineStr">
        <is>
          <t>22/03/1996</t>
        </is>
      </c>
      <c r="E799" s="141" t="inlineStr">
        <is>
          <t>Thay băng, cắt chỉ vết mổ [chiều dài ≤ 15cm]</t>
        </is>
      </c>
      <c r="F799" s="237" t="n">
        <v>1</v>
      </c>
      <c r="G799" s="237" t="n">
        <v>100000</v>
      </c>
      <c r="H799" s="95">
        <f>25%*75%</f>
        <v/>
      </c>
    </row>
    <row r="800" ht="15.75" customHeight="1">
      <c r="A800" s="94" t="n">
        <v>795</v>
      </c>
      <c r="B800" s="141" t="inlineStr">
        <is>
          <t>2026/08/27 05:00</t>
        </is>
      </c>
      <c r="C800" s="141" t="inlineStr">
        <is>
          <t>LÂM ĐẠI NHƠN</t>
        </is>
      </c>
      <c r="D800" s="141" t="inlineStr">
        <is>
          <t>02/03/1938</t>
        </is>
      </c>
      <c r="E800" s="141" t="inlineStr">
        <is>
          <t>Thay băng, cắt chỉ vết mổ [chiều dài ≤ 15cm]</t>
        </is>
      </c>
      <c r="F800" s="237" t="n">
        <v>1</v>
      </c>
      <c r="G800" s="237" t="n">
        <v>100000</v>
      </c>
      <c r="H800" s="95">
        <f>25%*75%</f>
        <v/>
      </c>
    </row>
    <row r="801" ht="15.75" customHeight="1">
      <c r="A801" s="94" t="n">
        <v>796</v>
      </c>
      <c r="B801" s="141" t="inlineStr">
        <is>
          <t>2026/08/27 05:00</t>
        </is>
      </c>
      <c r="C801" s="141" t="inlineStr">
        <is>
          <t>LÊ VĂN NÔ</t>
        </is>
      </c>
      <c r="D801" s="141" t="inlineStr">
        <is>
          <t>01/01/1954</t>
        </is>
      </c>
      <c r="E801" s="141" t="inlineStr">
        <is>
          <t>Thay băng, cắt chỉ vết mổ [chiều dài ≤ 15cm]</t>
        </is>
      </c>
      <c r="F801" s="237" t="n">
        <v>1</v>
      </c>
      <c r="G801" s="237" t="n">
        <v>100000</v>
      </c>
      <c r="H801" s="95">
        <f>25%*75%</f>
        <v/>
      </c>
    </row>
    <row r="802" ht="15.75" customHeight="1">
      <c r="A802" s="94" t="n">
        <v>797</v>
      </c>
      <c r="B802" s="141" t="inlineStr">
        <is>
          <t>2026/08/27 05:00</t>
        </is>
      </c>
      <c r="C802" s="141" t="inlineStr">
        <is>
          <t>NGUYỄN VĂN ĐOÀN</t>
        </is>
      </c>
      <c r="D802" s="141" t="inlineStr">
        <is>
          <t>01/01/1969</t>
        </is>
      </c>
      <c r="E802" s="141" t="inlineStr">
        <is>
          <t>Thay băng, cắt chỉ vết mổ [chiều dài ≤ 15cm]</t>
        </is>
      </c>
      <c r="F802" s="237" t="n">
        <v>1</v>
      </c>
      <c r="G802" s="237" t="n">
        <v>100000</v>
      </c>
      <c r="H802" s="95">
        <f>25%*75%</f>
        <v/>
      </c>
    </row>
    <row r="803" ht="15.75" customHeight="1">
      <c r="A803" s="94" t="n">
        <v>798</v>
      </c>
      <c r="B803" s="141" t="inlineStr">
        <is>
          <t>2026/08/27 06:57</t>
        </is>
      </c>
      <c r="C803" s="141" t="inlineStr">
        <is>
          <t>LÊ THỊ TUYẾT</t>
        </is>
      </c>
      <c r="D803" s="141" t="inlineStr">
        <is>
          <t>01/01/1959</t>
        </is>
      </c>
      <c r="E803" s="141" t="inlineStr">
        <is>
          <t>Thay băng, cắt chỉ vết mổ [chiều dài ≤ 15cm]</t>
        </is>
      </c>
      <c r="F803" s="237" t="n">
        <v>1</v>
      </c>
      <c r="G803" s="237" t="n">
        <v>100000</v>
      </c>
      <c r="H803" s="95">
        <f>25%*75%</f>
        <v/>
      </c>
    </row>
    <row r="804" ht="15.75" customHeight="1">
      <c r="A804" s="94" t="n">
        <v>799</v>
      </c>
      <c r="B804" s="141" t="inlineStr">
        <is>
          <t>2026/08/27 07:00</t>
        </is>
      </c>
      <c r="C804" s="141" t="inlineStr">
        <is>
          <t>HỒ BÉ TƯ</t>
        </is>
      </c>
      <c r="D804" s="141" t="inlineStr">
        <is>
          <t>01/01/1957</t>
        </is>
      </c>
      <c r="E804" s="141" t="inlineStr">
        <is>
          <t>Thay băng, cắt chỉ vết mổ [chiều dài ≤ 15cm]</t>
        </is>
      </c>
      <c r="F804" s="237" t="n">
        <v>1</v>
      </c>
      <c r="G804" s="237" t="n">
        <v>100000</v>
      </c>
      <c r="H804" s="95">
        <f>25%*75%</f>
        <v/>
      </c>
    </row>
    <row r="805" ht="15.75" customHeight="1">
      <c r="A805" s="94" t="n">
        <v>800</v>
      </c>
      <c r="B805" s="141" t="inlineStr">
        <is>
          <t>2026/08/27 07:00</t>
        </is>
      </c>
      <c r="C805" s="141" t="inlineStr">
        <is>
          <t>HỒ THỊ THANH HÀ</t>
        </is>
      </c>
      <c r="D805" s="141" t="inlineStr">
        <is>
          <t>18/11/1967</t>
        </is>
      </c>
      <c r="E805" s="141" t="inlineStr">
        <is>
          <t>Thay băng, cắt chỉ vết mổ [chiều dài ≤ 15cm]</t>
        </is>
      </c>
      <c r="F805" s="237" t="n">
        <v>1</v>
      </c>
      <c r="G805" s="237" t="n">
        <v>100000</v>
      </c>
      <c r="H805" s="95">
        <f>25%*75%</f>
        <v/>
      </c>
    </row>
    <row r="806" ht="15.75" customHeight="1">
      <c r="A806" s="94" t="n">
        <v>801</v>
      </c>
      <c r="B806" s="141" t="inlineStr">
        <is>
          <t>2026/08/27 07:00</t>
        </is>
      </c>
      <c r="C806" s="141" t="inlineStr">
        <is>
          <t>KIỀU THỊ LỘC</t>
        </is>
      </c>
      <c r="D806" s="141" t="inlineStr">
        <is>
          <t>25/03/1954</t>
        </is>
      </c>
      <c r="E806" s="141" t="inlineStr">
        <is>
          <t>Thay băng, cắt chỉ vết mổ [chiều dài ≤ 15cm]</t>
        </is>
      </c>
      <c r="F806" s="237" t="n">
        <v>1</v>
      </c>
      <c r="G806" s="237" t="n">
        <v>100000</v>
      </c>
      <c r="H806" s="95">
        <f>25%*75%</f>
        <v/>
      </c>
    </row>
    <row r="807" ht="15.75" customHeight="1">
      <c r="A807" s="94" t="n">
        <v>802</v>
      </c>
      <c r="B807" s="141" t="inlineStr">
        <is>
          <t>2026/08/27 07:00</t>
        </is>
      </c>
      <c r="C807" s="141" t="inlineStr">
        <is>
          <t>LA THU NGA</t>
        </is>
      </c>
      <c r="D807" s="141" t="inlineStr">
        <is>
          <t>09/11/1977</t>
        </is>
      </c>
      <c r="E807" s="141" t="inlineStr">
        <is>
          <t>Thay băng, cắt chỉ vết mổ [chiều dài ≤ 15cm]</t>
        </is>
      </c>
      <c r="F807" s="237" t="n">
        <v>1</v>
      </c>
      <c r="G807" s="237" t="n">
        <v>100000</v>
      </c>
      <c r="H807" s="95">
        <f>25%*75%</f>
        <v/>
      </c>
    </row>
    <row r="808" ht="15.75" customHeight="1">
      <c r="A808" s="94" t="n">
        <v>803</v>
      </c>
      <c r="B808" s="141" t="inlineStr">
        <is>
          <t>2026/08/27 07:00</t>
        </is>
      </c>
      <c r="C808" s="141" t="inlineStr">
        <is>
          <t>LÂM VĂN TẤN</t>
        </is>
      </c>
      <c r="D808" s="141" t="inlineStr">
        <is>
          <t>01/01/1969</t>
        </is>
      </c>
      <c r="E808" s="141" t="inlineStr">
        <is>
          <t>Thay băng, cắt chỉ vết mổ [chiều dài ≤ 15cm]</t>
        </is>
      </c>
      <c r="F808" s="237" t="n">
        <v>1</v>
      </c>
      <c r="G808" s="237" t="n">
        <v>100000</v>
      </c>
      <c r="H808" s="95">
        <f>25%*75%</f>
        <v/>
      </c>
    </row>
    <row r="809" ht="15.75" customHeight="1">
      <c r="A809" s="94" t="n">
        <v>804</v>
      </c>
      <c r="B809" s="141" t="inlineStr">
        <is>
          <t>2026/08/27 07:00</t>
        </is>
      </c>
      <c r="C809" s="141" t="inlineStr">
        <is>
          <t>NGUYỄN ĐÌNH NGỌC GIÀU</t>
        </is>
      </c>
      <c r="D809" s="141" t="inlineStr">
        <is>
          <t>11/08/1993</t>
        </is>
      </c>
      <c r="E809" s="141" t="inlineStr">
        <is>
          <t>Thay băng, cắt chỉ vết mổ [chiều dài ≤ 15cm]</t>
        </is>
      </c>
      <c r="F809" s="237" t="n">
        <v>1</v>
      </c>
      <c r="G809" s="237" t="n">
        <v>100000</v>
      </c>
      <c r="H809" s="95">
        <f>25%*75%</f>
        <v/>
      </c>
    </row>
    <row r="810" ht="15.75" customHeight="1">
      <c r="A810" s="94" t="n">
        <v>805</v>
      </c>
      <c r="B810" s="141" t="inlineStr">
        <is>
          <t>2026/08/27 07:00</t>
        </is>
      </c>
      <c r="C810" s="141" t="inlineStr">
        <is>
          <t>PHAN MỸ LỆ</t>
        </is>
      </c>
      <c r="D810" s="141" t="inlineStr">
        <is>
          <t>01/01/1962</t>
        </is>
      </c>
      <c r="E810" s="141" t="inlineStr">
        <is>
          <t>Thay băng, cắt chỉ vết mổ [chiều dài ≤ 15cm]</t>
        </is>
      </c>
      <c r="F810" s="237" t="n">
        <v>1</v>
      </c>
      <c r="G810" s="237" t="n">
        <v>100000</v>
      </c>
      <c r="H810" s="95">
        <f>25%*75%</f>
        <v/>
      </c>
    </row>
    <row r="811" ht="15.75" customHeight="1">
      <c r="A811" s="94" t="n">
        <v>806</v>
      </c>
      <c r="B811" s="141" t="inlineStr">
        <is>
          <t>2026/08/27 07:00</t>
        </is>
      </c>
      <c r="C811" s="141" t="inlineStr">
        <is>
          <t>THẠCH THỊ MƯỢNG</t>
        </is>
      </c>
      <c r="D811" s="141" t="inlineStr">
        <is>
          <t>01/01/1943</t>
        </is>
      </c>
      <c r="E811" s="141" t="inlineStr">
        <is>
          <t>Truyền hóa chất tĩnh mạch [nội trú]</t>
        </is>
      </c>
      <c r="F811" s="237" t="n">
        <v>1</v>
      </c>
      <c r="G811" s="237" t="n">
        <v>400000</v>
      </c>
      <c r="H811" s="95">
        <f>25%*75%</f>
        <v/>
      </c>
    </row>
    <row r="812" ht="15.75" customHeight="1">
      <c r="A812" s="94" t="n">
        <v>807</v>
      </c>
      <c r="B812" s="141" t="inlineStr">
        <is>
          <t>2026/08/27 07:00</t>
        </is>
      </c>
      <c r="C812" s="141" t="inlineStr">
        <is>
          <t>TRẦN THỊ NGỌC DIỄM</t>
        </is>
      </c>
      <c r="D812" s="141" t="inlineStr">
        <is>
          <t>22/03/1996</t>
        </is>
      </c>
      <c r="E812" s="141" t="inlineStr">
        <is>
          <t>Thay băng, cắt chỉ vết mổ [chiều dài ≤ 15cm]</t>
        </is>
      </c>
      <c r="F812" s="237" t="n">
        <v>1</v>
      </c>
      <c r="G812" s="237" t="n">
        <v>100000</v>
      </c>
      <c r="H812" s="95">
        <f>25%*75%</f>
        <v/>
      </c>
    </row>
    <row r="813" ht="15.75" customHeight="1">
      <c r="A813" s="94" t="n">
        <v>808</v>
      </c>
      <c r="B813" s="141" t="inlineStr">
        <is>
          <t>2026/08/27 07:00</t>
        </is>
      </c>
      <c r="C813" s="141" t="inlineStr">
        <is>
          <t>VÕ THỊ NGUYÊN</t>
        </is>
      </c>
      <c r="D813" s="141" t="inlineStr">
        <is>
          <t>17/03/1985</t>
        </is>
      </c>
      <c r="E813" s="141" t="inlineStr">
        <is>
          <t>Thay băng, cắt chỉ vết mổ [chiều dài ≤ 15cm]</t>
        </is>
      </c>
      <c r="F813" s="237" t="n">
        <v>1</v>
      </c>
      <c r="G813" s="237" t="n">
        <v>100000</v>
      </c>
      <c r="H813" s="95">
        <f>25%*75%</f>
        <v/>
      </c>
    </row>
    <row r="814" ht="15.75" customHeight="1">
      <c r="A814" s="94" t="n">
        <v>809</v>
      </c>
      <c r="B814" s="141" t="inlineStr">
        <is>
          <t>2026/08/27 07:02</t>
        </is>
      </c>
      <c r="C814" s="141" t="inlineStr">
        <is>
          <t>HỒNG THỊ BÉ</t>
        </is>
      </c>
      <c r="D814" s="141" t="inlineStr">
        <is>
          <t>06/02/1950</t>
        </is>
      </c>
      <c r="E814" s="141" t="inlineStr">
        <is>
          <t>Thay băng, cắt chỉ vết mổ [chiều dài ≤ 15cm]</t>
        </is>
      </c>
      <c r="F814" s="237" t="n">
        <v>1</v>
      </c>
      <c r="G814" s="237" t="n">
        <v>100000</v>
      </c>
      <c r="H814" s="95">
        <f>25%*75%</f>
        <v/>
      </c>
    </row>
    <row r="815" ht="15.75" customHeight="1">
      <c r="A815" s="94" t="n">
        <v>810</v>
      </c>
      <c r="B815" s="141" t="inlineStr">
        <is>
          <t>2026/08/27 07:05</t>
        </is>
      </c>
      <c r="C815" s="141" t="inlineStr">
        <is>
          <t>NGUYỄN VĂN QUẢNG</t>
        </is>
      </c>
      <c r="D815" s="141" t="inlineStr">
        <is>
          <t>27/06/1976</t>
        </is>
      </c>
      <c r="E815" s="141" t="inlineStr">
        <is>
          <t>Thay băng, cắt chỉ vết mổ [chiều dài ≤ 15cm]</t>
        </is>
      </c>
      <c r="F815" s="237" t="n">
        <v>1</v>
      </c>
      <c r="G815" s="237" t="n">
        <v>100000</v>
      </c>
      <c r="H815" s="95">
        <f>25%*75%</f>
        <v/>
      </c>
    </row>
    <row r="816" ht="15.75" customHeight="1">
      <c r="A816" s="94" t="n">
        <v>811</v>
      </c>
      <c r="B816" s="141" t="inlineStr">
        <is>
          <t>2026/08/28 05:00</t>
        </is>
      </c>
      <c r="C816" s="141" t="inlineStr">
        <is>
          <t>LÂM ĐẠI NHƠN</t>
        </is>
      </c>
      <c r="D816" s="141" t="inlineStr">
        <is>
          <t>02/03/1938</t>
        </is>
      </c>
      <c r="E816" s="141" t="inlineStr">
        <is>
          <t>Thay băng, cắt chỉ vết mổ [chiều dài ≤ 15cm]</t>
        </is>
      </c>
      <c r="F816" s="237" t="n">
        <v>1</v>
      </c>
      <c r="G816" s="237" t="n">
        <v>100000</v>
      </c>
      <c r="H816" s="95">
        <f>25%*75%</f>
        <v/>
      </c>
    </row>
    <row r="817" ht="15.75" customHeight="1">
      <c r="A817" s="94" t="n">
        <v>812</v>
      </c>
      <c r="B817" s="141" t="inlineStr">
        <is>
          <t>2026/08/28 06:35</t>
        </is>
      </c>
      <c r="C817" s="141" t="inlineStr">
        <is>
          <t>TRẦN THỊ NGỌC DIỄM</t>
        </is>
      </c>
      <c r="D817" s="141" t="inlineStr">
        <is>
          <t>22/03/1996</t>
        </is>
      </c>
      <c r="E817" s="141" t="inlineStr">
        <is>
          <t>Thay băng, cắt chỉ vết mổ [chiều dài ≤ 15cm]</t>
        </is>
      </c>
      <c r="F817" s="237" t="n">
        <v>1</v>
      </c>
      <c r="G817" s="237" t="n">
        <v>100000</v>
      </c>
      <c r="H817" s="95">
        <f>25%*75%</f>
        <v/>
      </c>
    </row>
    <row r="818" ht="15.75" customHeight="1">
      <c r="A818" s="94" t="n">
        <v>813</v>
      </c>
      <c r="B818" s="141" t="inlineStr">
        <is>
          <t>2026/08/28 06:50</t>
        </is>
      </c>
      <c r="C818" s="141" t="inlineStr">
        <is>
          <t>LÊ THỊ TUYẾT</t>
        </is>
      </c>
      <c r="D818" s="141" t="inlineStr">
        <is>
          <t>01/01/1959</t>
        </is>
      </c>
      <c r="E818" s="141" t="inlineStr">
        <is>
          <t>Thay băng, cắt chỉ vết mổ [chiều dài ≤ 15cm]</t>
        </is>
      </c>
      <c r="F818" s="237" t="n">
        <v>1</v>
      </c>
      <c r="G818" s="237" t="n">
        <v>100000</v>
      </c>
      <c r="H818" s="95">
        <f>25%*75%</f>
        <v/>
      </c>
    </row>
    <row r="819" ht="15.75" customHeight="1">
      <c r="A819" s="94" t="n">
        <v>814</v>
      </c>
      <c r="B819" s="141" t="inlineStr">
        <is>
          <t>2026/08/28 07:00</t>
        </is>
      </c>
      <c r="C819" s="141" t="inlineStr">
        <is>
          <t>HỒ BÉ TƯ</t>
        </is>
      </c>
      <c r="D819" s="141" t="inlineStr">
        <is>
          <t>01/01/1957</t>
        </is>
      </c>
      <c r="E819" s="141" t="inlineStr">
        <is>
          <t>Thay băng, cắt chỉ vết mổ [chiều dài ≤ 15cm]</t>
        </is>
      </c>
      <c r="F819" s="237" t="n">
        <v>1</v>
      </c>
      <c r="G819" s="237" t="n">
        <v>100000</v>
      </c>
      <c r="H819" s="95">
        <f>25%*75%</f>
        <v/>
      </c>
    </row>
    <row r="820" ht="15.75" customHeight="1">
      <c r="A820" s="94" t="n">
        <v>815</v>
      </c>
      <c r="B820" s="141" t="inlineStr">
        <is>
          <t>2026/08/28 07:00</t>
        </is>
      </c>
      <c r="C820" s="141" t="inlineStr">
        <is>
          <t>HỒ THỊ THANH HÀ</t>
        </is>
      </c>
      <c r="D820" s="141" t="inlineStr">
        <is>
          <t>18/11/1967</t>
        </is>
      </c>
      <c r="E820" s="141" t="inlineStr">
        <is>
          <t>Thay băng, cắt chỉ vết mổ [chiều dài ≤ 15cm]</t>
        </is>
      </c>
      <c r="F820" s="237" t="n">
        <v>1</v>
      </c>
      <c r="G820" s="237" t="n">
        <v>100000</v>
      </c>
      <c r="H820" s="95">
        <f>25%*75%</f>
        <v/>
      </c>
    </row>
    <row r="821" ht="15.75" customHeight="1">
      <c r="A821" s="94" t="n">
        <v>816</v>
      </c>
      <c r="B821" s="141" t="inlineStr">
        <is>
          <t>2026/08/28 07:00</t>
        </is>
      </c>
      <c r="C821" s="141" t="inlineStr">
        <is>
          <t>LA THU NGA</t>
        </is>
      </c>
      <c r="D821" s="141" t="inlineStr">
        <is>
          <t>09/11/1977</t>
        </is>
      </c>
      <c r="E821" s="141" t="inlineStr">
        <is>
          <t>Thay băng, cắt chỉ vết mổ [chiều dài ≤ 15cm]</t>
        </is>
      </c>
      <c r="F821" s="237" t="n">
        <v>1</v>
      </c>
      <c r="G821" s="237" t="n">
        <v>100000</v>
      </c>
      <c r="H821" s="95">
        <f>25%*75%</f>
        <v/>
      </c>
    </row>
    <row r="822" ht="15.75" customHeight="1">
      <c r="A822" s="94" t="n">
        <v>817</v>
      </c>
      <c r="B822" s="141" t="inlineStr">
        <is>
          <t>2026/08/28 07:00</t>
        </is>
      </c>
      <c r="C822" s="141" t="inlineStr">
        <is>
          <t>LÂM VĂN TẤN</t>
        </is>
      </c>
      <c r="D822" s="141" t="inlineStr">
        <is>
          <t>01/01/1969</t>
        </is>
      </c>
      <c r="E822" s="141" t="inlineStr">
        <is>
          <t>Thay băng, cắt chỉ vết mổ [chiều dài ≤ 15cm]</t>
        </is>
      </c>
      <c r="F822" s="237" t="n">
        <v>1</v>
      </c>
      <c r="G822" s="237" t="n">
        <v>100000</v>
      </c>
      <c r="H822" s="95">
        <f>25%*75%</f>
        <v/>
      </c>
    </row>
    <row r="823" ht="15.75" customHeight="1">
      <c r="A823" s="94" t="n">
        <v>818</v>
      </c>
      <c r="B823" s="141" t="inlineStr">
        <is>
          <t>2026/08/28 07:00</t>
        </is>
      </c>
      <c r="C823" s="141" t="inlineStr">
        <is>
          <t>NGUYỄN VĂN QUẢNG</t>
        </is>
      </c>
      <c r="D823" s="141" t="inlineStr">
        <is>
          <t>27/06/1976</t>
        </is>
      </c>
      <c r="E823" s="141" t="inlineStr">
        <is>
          <t>Thay băng, cắt chỉ vết mổ [chiều dài ≤ 15cm]</t>
        </is>
      </c>
      <c r="F823" s="237" t="n">
        <v>1</v>
      </c>
      <c r="G823" s="237" t="n">
        <v>100000</v>
      </c>
      <c r="H823" s="95">
        <f>25%*75%</f>
        <v/>
      </c>
    </row>
    <row r="824" ht="15.75" customHeight="1">
      <c r="A824" s="94" t="n">
        <v>819</v>
      </c>
      <c r="B824" s="141" t="inlineStr">
        <is>
          <t>2026/08/28 07:00</t>
        </is>
      </c>
      <c r="C824" s="141" t="inlineStr">
        <is>
          <t>NGUYỄN ĐÌNH NGỌC GIÀU</t>
        </is>
      </c>
      <c r="D824" s="141" t="inlineStr">
        <is>
          <t>11/08/1993</t>
        </is>
      </c>
      <c r="E824" s="141" t="inlineStr">
        <is>
          <t>Thay băng, cắt chỉ vết mổ [chiều dài ≤ 15cm]</t>
        </is>
      </c>
      <c r="F824" s="237" t="n">
        <v>1</v>
      </c>
      <c r="G824" s="237" t="n">
        <v>100000</v>
      </c>
      <c r="H824" s="95">
        <f>25%*75%</f>
        <v/>
      </c>
    </row>
    <row r="825" ht="15.75" customHeight="1">
      <c r="A825" s="94" t="n">
        <v>820</v>
      </c>
      <c r="B825" s="141" t="inlineStr">
        <is>
          <t>2026/08/29 05:00</t>
        </is>
      </c>
      <c r="C825" s="141" t="inlineStr">
        <is>
          <t>LA THU NGA</t>
        </is>
      </c>
      <c r="D825" s="141" t="inlineStr">
        <is>
          <t>09/11/1977</t>
        </is>
      </c>
      <c r="E825" s="141" t="inlineStr">
        <is>
          <t>Thay băng, cắt chỉ vết mổ [chiều dài ≤ 15cm]</t>
        </is>
      </c>
      <c r="F825" s="237" t="n">
        <v>1</v>
      </c>
      <c r="G825" s="237" t="n">
        <v>100000</v>
      </c>
      <c r="H825" s="95">
        <f>25%*75%</f>
        <v/>
      </c>
    </row>
    <row r="826" ht="15.75" customHeight="1">
      <c r="A826" s="94" t="n">
        <v>821</v>
      </c>
      <c r="B826" s="141" t="inlineStr">
        <is>
          <t>2026/08/30 05:00</t>
        </is>
      </c>
      <c r="C826" s="141" t="inlineStr">
        <is>
          <t>LA THU NGA</t>
        </is>
      </c>
      <c r="D826" s="141" t="inlineStr">
        <is>
          <t>09/11/1977</t>
        </is>
      </c>
      <c r="E826" s="141" t="inlineStr">
        <is>
          <t>Thay băng, cắt chỉ vết mổ [chiều dài ≤ 15cm]</t>
        </is>
      </c>
      <c r="F826" s="237" t="n">
        <v>1</v>
      </c>
      <c r="G826" s="237" t="n">
        <v>100000</v>
      </c>
      <c r="H826" s="95">
        <f>25%*75%</f>
        <v/>
      </c>
    </row>
    <row r="827" ht="15.75" customHeight="1">
      <c r="A827" s="94" t="n">
        <v>822</v>
      </c>
      <c r="B827" s="141" t="inlineStr">
        <is>
          <t>2026/08/30 10:02</t>
        </is>
      </c>
      <c r="C827" s="141" t="inlineStr">
        <is>
          <t>HỒ BÉ TƯ</t>
        </is>
      </c>
      <c r="D827" s="141" t="inlineStr">
        <is>
          <t>01/01/1957</t>
        </is>
      </c>
      <c r="E827" s="141" t="inlineStr">
        <is>
          <t>Thay băng, cắt chỉ vết mổ [chiều dài ≤ 15cm]</t>
        </is>
      </c>
      <c r="F827" s="237" t="n">
        <v>1</v>
      </c>
      <c r="G827" s="237" t="n">
        <v>100000</v>
      </c>
      <c r="H827" s="95">
        <f>25%*75%</f>
        <v/>
      </c>
    </row>
    <row r="828" ht="15.75" customHeight="1">
      <c r="A828" s="94" t="n">
        <v>823</v>
      </c>
      <c r="B828" s="141" t="inlineStr">
        <is>
          <t>2026/08/31 05:00</t>
        </is>
      </c>
      <c r="C828" s="141" t="inlineStr">
        <is>
          <t>LA THU NGA</t>
        </is>
      </c>
      <c r="D828" s="141" t="inlineStr">
        <is>
          <t>09/11/1977</t>
        </is>
      </c>
      <c r="E828" s="141" t="inlineStr">
        <is>
          <t>Thay băng, cắt chỉ vết mổ [chiều dài ≤ 15cm]</t>
        </is>
      </c>
      <c r="F828" s="237" t="n">
        <v>1</v>
      </c>
      <c r="G828" s="237" t="n">
        <v>100000</v>
      </c>
      <c r="H828" s="95">
        <f>25%*75%</f>
        <v/>
      </c>
    </row>
    <row r="829" ht="15.75" customHeight="1">
      <c r="A829" s="94" t="n">
        <v>824</v>
      </c>
      <c r="B829" s="141" t="inlineStr">
        <is>
          <t>2026/08/31 08:30</t>
        </is>
      </c>
      <c r="C829" s="141" t="inlineStr">
        <is>
          <t>HỒ BÉ TƯ</t>
        </is>
      </c>
      <c r="D829" s="141" t="inlineStr">
        <is>
          <t>01/01/1957</t>
        </is>
      </c>
      <c r="E829" s="141" t="inlineStr">
        <is>
          <t>Thay băng, cắt chỉ vết mổ [chiều dài từ trên 15 cm đến 30 cm nhiễm trùng]</t>
        </is>
      </c>
      <c r="F829" s="237" t="n">
        <v>1</v>
      </c>
      <c r="G829" s="237" t="n">
        <v>150000</v>
      </c>
      <c r="H829" s="95">
        <f>25%*75%</f>
        <v/>
      </c>
    </row>
    <row r="830" ht="15.75" customHeight="1">
      <c r="A830" s="94" t="n">
        <v>825</v>
      </c>
      <c r="B830" s="141" t="inlineStr">
        <is>
          <t>2026/07/06 14:06</t>
        </is>
      </c>
      <c r="C830" s="141" t="inlineStr">
        <is>
          <t>TRƯƠNG HOÀNG DIỄM THÚY</t>
        </is>
      </c>
      <c r="D830" s="141" t="inlineStr">
        <is>
          <t>01/01/1985</t>
        </is>
      </c>
      <c r="E830" s="141" t="inlineStr">
        <is>
          <t>Thay băng, cắt chỉ vết mổ [chiều dài trên 15cm đến 30 cm]</t>
        </is>
      </c>
      <c r="F830" s="237" t="n">
        <v>1</v>
      </c>
      <c r="G830" s="237" t="n">
        <v>89500</v>
      </c>
      <c r="H830" s="95">
        <f>25%*75%</f>
        <v/>
      </c>
    </row>
    <row r="831" ht="15.75" customHeight="1">
      <c r="A831" s="94" t="n">
        <v>826</v>
      </c>
      <c r="B831" s="141" t="inlineStr">
        <is>
          <t>2026/07/17 07:47</t>
        </is>
      </c>
      <c r="C831" s="141" t="inlineStr">
        <is>
          <t>NGUYỄN VĂN CUM</t>
        </is>
      </c>
      <c r="D831" s="141" t="inlineStr">
        <is>
          <t>01/01/1964</t>
        </is>
      </c>
      <c r="E831" s="141" t="inlineStr">
        <is>
          <t>Cắt chỉ sau phẫu thuật</t>
        </is>
      </c>
      <c r="F831" s="237" t="n">
        <v>1</v>
      </c>
      <c r="G831" s="237" t="n">
        <v>40300</v>
      </c>
      <c r="H831" s="95">
        <f>25%*75%</f>
        <v/>
      </c>
    </row>
    <row r="832" ht="15.75" customHeight="1">
      <c r="A832" s="94" t="n">
        <v>827</v>
      </c>
      <c r="B832" s="141" t="inlineStr">
        <is>
          <t>2026/07/23 08:44</t>
        </is>
      </c>
      <c r="C832" s="141" t="inlineStr">
        <is>
          <t>LÊ ANH ĐIỆP</t>
        </is>
      </c>
      <c r="D832" s="141" t="inlineStr">
        <is>
          <t>10/02/1990</t>
        </is>
      </c>
      <c r="E832" s="141" t="inlineStr">
        <is>
          <t>Thay băng, cắt chỉ vết mổ</t>
        </is>
      </c>
      <c r="F832" s="237" t="n">
        <v>1</v>
      </c>
      <c r="G832" s="237" t="n">
        <v>40300</v>
      </c>
      <c r="H832" s="95">
        <f>25%*75%</f>
        <v/>
      </c>
    </row>
    <row r="833" ht="15.75" customHeight="1">
      <c r="A833" s="94" t="n">
        <v>828</v>
      </c>
      <c r="B833" s="141" t="inlineStr">
        <is>
          <t>2026/08/01 09:37</t>
        </is>
      </c>
      <c r="C833" s="141" t="inlineStr">
        <is>
          <t>HÀ THỊ NGỌC THỦY</t>
        </is>
      </c>
      <c r="D833" s="141" t="inlineStr">
        <is>
          <t>30/03/1960</t>
        </is>
      </c>
      <c r="E833" s="141" t="inlineStr">
        <is>
          <t>Nắn, bó bột gãy 1/3 dưới hai xương cẳng chân [bột liền]</t>
        </is>
      </c>
      <c r="F833" s="237" t="n">
        <v>1</v>
      </c>
      <c r="G833" s="237" t="n">
        <v>372700</v>
      </c>
      <c r="H833" s="95">
        <f>25%*75%</f>
        <v/>
      </c>
    </row>
    <row r="834" ht="15.75" customHeight="1">
      <c r="A834" s="94" t="n">
        <v>829</v>
      </c>
      <c r="B834" s="141" t="inlineStr">
        <is>
          <t>2026/08/01 17:03</t>
        </is>
      </c>
      <c r="C834" s="141" t="inlineStr">
        <is>
          <t>ĐẶNG THỊ NHỊN</t>
        </is>
      </c>
      <c r="D834" s="141" t="inlineStr">
        <is>
          <t>02/02/1969</t>
        </is>
      </c>
      <c r="E834" s="141" t="inlineStr">
        <is>
          <t>Nắn, bó bột trật khớp khuỷu [bột liền]</t>
        </is>
      </c>
      <c r="F834" s="237" t="n">
        <v>1</v>
      </c>
      <c r="G834" s="237" t="n">
        <v>434600</v>
      </c>
      <c r="H834" s="95">
        <f>25%*75%</f>
        <v/>
      </c>
    </row>
    <row r="835" ht="15.75" customHeight="1">
      <c r="A835" s="94" t="n">
        <v>830</v>
      </c>
      <c r="B835" s="141" t="inlineStr">
        <is>
          <t>2026/08/01 20:17</t>
        </is>
      </c>
      <c r="C835" s="141" t="inlineStr">
        <is>
          <t>TẠ THỊ NGA</t>
        </is>
      </c>
      <c r="D835" s="141" t="inlineStr">
        <is>
          <t>01/01/1963</t>
        </is>
      </c>
      <c r="E835" s="141" t="inlineStr">
        <is>
          <t>Nắn, bó bột gãy 1/3 dưới hai xương cẳng chân [bột liền]</t>
        </is>
      </c>
      <c r="F835" s="237" t="n">
        <v>1</v>
      </c>
      <c r="G835" s="237" t="n">
        <v>372700</v>
      </c>
      <c r="H835" s="95">
        <f>25%*75%</f>
        <v/>
      </c>
    </row>
    <row r="836" ht="15.75" customHeight="1">
      <c r="A836" s="94" t="n">
        <v>831</v>
      </c>
      <c r="B836" s="141" t="inlineStr">
        <is>
          <t>2026/08/01 20:15</t>
        </is>
      </c>
      <c r="C836" s="141" t="inlineStr">
        <is>
          <t>HỒ PHÚC HÀNH</t>
        </is>
      </c>
      <c r="D836" s="141" t="inlineStr">
        <is>
          <t>01/01/1987</t>
        </is>
      </c>
      <c r="E836" s="141" t="inlineStr">
        <is>
          <t>Nắn bột cẳng bàn chân trong gãy xương bàn chân, ngón chân</t>
        </is>
      </c>
      <c r="F836" s="237" t="n">
        <v>1</v>
      </c>
      <c r="G836" s="237" t="n">
        <v>400000</v>
      </c>
      <c r="H836" s="95">
        <f>25%*75%</f>
        <v/>
      </c>
    </row>
    <row r="837" ht="15.75" customHeight="1">
      <c r="A837" s="94" t="n">
        <v>832</v>
      </c>
      <c r="B837" s="141" t="inlineStr">
        <is>
          <t>2026/08/03 07:22</t>
        </is>
      </c>
      <c r="C837" s="141" t="inlineStr">
        <is>
          <t>LÊ THỊ LOAN</t>
        </is>
      </c>
      <c r="D837" s="141" t="inlineStr">
        <is>
          <t>05/10/1976</t>
        </is>
      </c>
      <c r="E837" s="141" t="inlineStr">
        <is>
          <t>Thay băng, cắt chỉ vết mổ [chiều dài ≤ 15cm]</t>
        </is>
      </c>
      <c r="F837" s="237" t="n">
        <v>1</v>
      </c>
      <c r="G837" s="237" t="n">
        <v>64300</v>
      </c>
      <c r="H837" s="95">
        <f>25%*75%</f>
        <v/>
      </c>
    </row>
    <row r="838" ht="15.75" customHeight="1">
      <c r="A838" s="94" t="n">
        <v>833</v>
      </c>
      <c r="B838" s="141" t="inlineStr">
        <is>
          <t>2026/08/03 09:02</t>
        </is>
      </c>
      <c r="C838" s="141" t="inlineStr">
        <is>
          <t>ĐOÀN THỊ TRÚC LINH</t>
        </is>
      </c>
      <c r="D838" s="141" t="inlineStr">
        <is>
          <t>07/06/2006</t>
        </is>
      </c>
      <c r="E838" s="141" t="inlineStr">
        <is>
          <t>Nắn, bó bột trật khớp khuỷu [bột liền]</t>
        </is>
      </c>
      <c r="F838" s="237" t="n">
        <v>1</v>
      </c>
      <c r="G838" s="237" t="n">
        <v>434600</v>
      </c>
      <c r="H838" s="95">
        <f>25%*75%</f>
        <v/>
      </c>
    </row>
    <row r="839" ht="15.75" customHeight="1">
      <c r="A839" s="94" t="n">
        <v>834</v>
      </c>
      <c r="B839" s="141" t="inlineStr">
        <is>
          <t>2026/08/03 07:50</t>
        </is>
      </c>
      <c r="C839" s="141" t="inlineStr">
        <is>
          <t>TRƯƠNG TUYẾT NHI</t>
        </is>
      </c>
      <c r="D839" s="141" t="inlineStr">
        <is>
          <t>20/10/2012</t>
        </is>
      </c>
      <c r="E839" s="141" t="inlineStr">
        <is>
          <t>Thay băng, cắt chỉ vết mổ [chiều dài ≤ 15cm]</t>
        </is>
      </c>
      <c r="F839" s="237" t="n">
        <v>1</v>
      </c>
      <c r="G839" s="237" t="n">
        <v>100000</v>
      </c>
      <c r="H839" s="95">
        <f>25%*75%</f>
        <v/>
      </c>
    </row>
    <row r="840" ht="15.75" customHeight="1">
      <c r="A840" s="94" t="n">
        <v>835</v>
      </c>
      <c r="B840" s="141" t="inlineStr">
        <is>
          <t>2026/08/03 11:10</t>
        </is>
      </c>
      <c r="C840" s="141" t="inlineStr">
        <is>
          <t>VÕ MINH PHỤNG</t>
        </is>
      </c>
      <c r="D840" s="141" t="inlineStr">
        <is>
          <t>01/01/1965</t>
        </is>
      </c>
      <c r="E840" s="141" t="inlineStr">
        <is>
          <t>Nắn, bó bột gãy 1/3 dưới hai xương cẳng chân [bột liền]</t>
        </is>
      </c>
      <c r="F840" s="237" t="n">
        <v>1</v>
      </c>
      <c r="G840" s="237" t="n">
        <v>372700</v>
      </c>
      <c r="H840" s="95">
        <f>25%*75%</f>
        <v/>
      </c>
    </row>
    <row r="841" ht="15.75" customHeight="1">
      <c r="A841" s="94" t="n">
        <v>836</v>
      </c>
      <c r="B841" s="141" t="inlineStr">
        <is>
          <t>2026/08/03 11:24</t>
        </is>
      </c>
      <c r="C841" s="141" t="inlineStr">
        <is>
          <t>VÕ THỊ TUYẾT SƯƠNG</t>
        </is>
      </c>
      <c r="D841" s="141" t="inlineStr">
        <is>
          <t>01/01/1982</t>
        </is>
      </c>
      <c r="E841" s="141" t="inlineStr">
        <is>
          <t>Nắn, bó bột gãy 1/3 dưới hai xương cẳng chân [bột liền]</t>
        </is>
      </c>
      <c r="F841" s="237" t="n">
        <v>1</v>
      </c>
      <c r="G841" s="237" t="n">
        <v>372700</v>
      </c>
      <c r="H841" s="95">
        <f>25%*75%</f>
        <v/>
      </c>
    </row>
    <row r="842" ht="15.75" customHeight="1">
      <c r="A842" s="94" t="n">
        <v>837</v>
      </c>
      <c r="B842" s="141" t="inlineStr">
        <is>
          <t>2026/08/03 09:33</t>
        </is>
      </c>
      <c r="C842" s="141" t="inlineStr">
        <is>
          <t>LÊ VĂN THUẬN</t>
        </is>
      </c>
      <c r="D842" s="141" t="inlineStr">
        <is>
          <t>29/04/2000</t>
        </is>
      </c>
      <c r="E842" s="141" t="inlineStr">
        <is>
          <t>Nắn, bó bột gãy xương bàn, ngón tay [bột liền]</t>
        </is>
      </c>
      <c r="F842" s="237" t="n">
        <v>1</v>
      </c>
      <c r="G842" s="237" t="n">
        <v>257000</v>
      </c>
      <c r="H842" s="95">
        <f>25%*75%</f>
        <v/>
      </c>
    </row>
    <row r="843" ht="15.75" customHeight="1">
      <c r="A843" s="94" t="n">
        <v>838</v>
      </c>
      <c r="B843" s="141" t="inlineStr">
        <is>
          <t>2026/08/03 10:00</t>
        </is>
      </c>
      <c r="C843" s="141" t="inlineStr">
        <is>
          <t>BÙI VĂN BẢY</t>
        </is>
      </c>
      <c r="D843" s="141" t="inlineStr">
        <is>
          <t>01/01/1963</t>
        </is>
      </c>
      <c r="E843" s="141" t="inlineStr">
        <is>
          <t>Thay băng, cắt chỉ vết mổ [chiều dài ≤ 15cm]</t>
        </is>
      </c>
      <c r="F843" s="237" t="n">
        <v>1</v>
      </c>
      <c r="G843" s="237" t="n">
        <v>100000</v>
      </c>
      <c r="H843" s="95">
        <f>25%*75%</f>
        <v/>
      </c>
    </row>
    <row r="844" ht="15.75" customHeight="1">
      <c r="A844" s="94" t="n">
        <v>839</v>
      </c>
      <c r="B844" s="141" t="inlineStr">
        <is>
          <t>2026/08/03 14:15</t>
        </is>
      </c>
      <c r="C844" s="141" t="inlineStr">
        <is>
          <t>LÝ GIA HUY</t>
        </is>
      </c>
      <c r="D844" s="141" t="inlineStr">
        <is>
          <t>29/07/2009</t>
        </is>
      </c>
      <c r="E844" s="141" t="inlineStr">
        <is>
          <t>Thay băng, cắt chỉ vết mổ [chiều dài ≤ 15cm]</t>
        </is>
      </c>
      <c r="F844" s="237" t="n">
        <v>1</v>
      </c>
      <c r="G844" s="237" t="n">
        <v>64300</v>
      </c>
      <c r="H844" s="95">
        <f>25%*75%</f>
        <v/>
      </c>
    </row>
    <row r="845" ht="15.75" customHeight="1">
      <c r="A845" s="94" t="n">
        <v>840</v>
      </c>
      <c r="B845" s="141" t="inlineStr">
        <is>
          <t>2026/08/03 16:46</t>
        </is>
      </c>
      <c r="C845" s="141" t="inlineStr">
        <is>
          <t>LÝ XUÂN HUY</t>
        </is>
      </c>
      <c r="D845" s="141" t="inlineStr">
        <is>
          <t>06/08/1985</t>
        </is>
      </c>
      <c r="E845" s="141" t="inlineStr">
        <is>
          <t>Nắn, bó bột gãy một xương cẳng tay [bột liền]</t>
        </is>
      </c>
      <c r="F845" s="237" t="n">
        <v>1</v>
      </c>
      <c r="G845" s="237" t="n">
        <v>372700</v>
      </c>
      <c r="H845" s="95">
        <f>25%*75%</f>
        <v/>
      </c>
    </row>
    <row r="846" ht="15.75" customHeight="1">
      <c r="A846" s="94" t="n">
        <v>841</v>
      </c>
      <c r="B846" s="141" t="inlineStr">
        <is>
          <t>2026/08/04 10:26</t>
        </is>
      </c>
      <c r="C846" s="141" t="inlineStr">
        <is>
          <t>NGUYỄN THANH LÂM</t>
        </is>
      </c>
      <c r="D846" s="141" t="inlineStr">
        <is>
          <t>01/01/1972</t>
        </is>
      </c>
      <c r="E846" s="141" t="inlineStr">
        <is>
          <t>Thay băng, cắt chỉ vết mổ [chiều dài ≤ 15cm]</t>
        </is>
      </c>
      <c r="F846" s="237" t="n">
        <v>1</v>
      </c>
      <c r="G846" s="237" t="n">
        <v>64300</v>
      </c>
      <c r="H846" s="95">
        <f>25%*75%</f>
        <v/>
      </c>
    </row>
    <row r="847" ht="15.75" customHeight="1">
      <c r="A847" s="94" t="n">
        <v>842</v>
      </c>
      <c r="B847" s="141" t="inlineStr">
        <is>
          <t>2026/08/04 09:30</t>
        </is>
      </c>
      <c r="C847" s="141" t="inlineStr">
        <is>
          <t>NGUYỄN THỊ TRÚC LY</t>
        </is>
      </c>
      <c r="D847" s="141" t="inlineStr">
        <is>
          <t>16/09/1995</t>
        </is>
      </c>
      <c r="E847" s="141" t="inlineStr">
        <is>
          <t>Thay băng, cắt chỉ vết mổ [chiều dài ≤ 15cm]</t>
        </is>
      </c>
      <c r="F847" s="237" t="n">
        <v>1</v>
      </c>
      <c r="G847" s="237" t="n">
        <v>64300</v>
      </c>
      <c r="H847" s="95">
        <f>25%*75%</f>
        <v/>
      </c>
    </row>
    <row r="848" ht="15.75" customHeight="1">
      <c r="A848" s="94" t="n">
        <v>843</v>
      </c>
      <c r="B848" s="141" t="inlineStr">
        <is>
          <t>2026/08/04 09:30</t>
        </is>
      </c>
      <c r="C848" s="141" t="inlineStr">
        <is>
          <t>NGUYỄN THỊ HỒNG ĐIỆP</t>
        </is>
      </c>
      <c r="D848" s="141" t="inlineStr">
        <is>
          <t>01/01/1972</t>
        </is>
      </c>
      <c r="E848" s="141" t="inlineStr">
        <is>
          <t>Cắt chỉ sau phẫu thuật</t>
        </is>
      </c>
      <c r="F848" s="237" t="n">
        <v>1</v>
      </c>
      <c r="G848" s="237" t="n">
        <v>40300</v>
      </c>
      <c r="H848" s="95">
        <f>25%*75%</f>
        <v/>
      </c>
    </row>
    <row r="849" ht="15.75" customHeight="1">
      <c r="A849" s="94" t="n">
        <v>844</v>
      </c>
      <c r="B849" s="141" t="inlineStr">
        <is>
          <t>2026/08/04 10:20</t>
        </is>
      </c>
      <c r="C849" s="141" t="inlineStr">
        <is>
          <t>NGUYỄN HỮU THUẬN</t>
        </is>
      </c>
      <c r="D849" s="141" t="inlineStr">
        <is>
          <t>06/10/1983</t>
        </is>
      </c>
      <c r="E849" s="141" t="inlineStr">
        <is>
          <t>Cắt chỉ sau phẫu thuật</t>
        </is>
      </c>
      <c r="F849" s="237" t="n">
        <v>1</v>
      </c>
      <c r="G849" s="237" t="n">
        <v>40300</v>
      </c>
      <c r="H849" s="95">
        <f>25%*75%</f>
        <v/>
      </c>
    </row>
    <row r="850" ht="15.75" customHeight="1">
      <c r="A850" s="94" t="n">
        <v>845</v>
      </c>
      <c r="B850" s="141" t="inlineStr">
        <is>
          <t>2026/08/04 13:25</t>
        </is>
      </c>
      <c r="C850" s="141" t="inlineStr">
        <is>
          <t>TIÊU KHÁNH HÒA</t>
        </is>
      </c>
      <c r="D850" s="141" t="inlineStr">
        <is>
          <t>12/12/2011</t>
        </is>
      </c>
      <c r="E850" s="141" t="inlineStr">
        <is>
          <t>Thay băng, cắt chỉ vết mổ [chiều dài ≤ 15cm]</t>
        </is>
      </c>
      <c r="F850" s="237" t="n">
        <v>1</v>
      </c>
      <c r="G850" s="237" t="n">
        <v>100000</v>
      </c>
      <c r="H850" s="95">
        <f>25%*75%</f>
        <v/>
      </c>
    </row>
    <row r="851" ht="15.75" customHeight="1">
      <c r="A851" s="94" t="n">
        <v>846</v>
      </c>
      <c r="B851" s="141" t="inlineStr">
        <is>
          <t>2026/08/04 14:38</t>
        </is>
      </c>
      <c r="C851" s="141" t="inlineStr">
        <is>
          <t>PHAN GIA KHÁNH</t>
        </is>
      </c>
      <c r="D851" s="141" t="inlineStr">
        <is>
          <t>01/01/2014</t>
        </is>
      </c>
      <c r="E851" s="141" t="inlineStr">
        <is>
          <t>Nắn, bó bột trật khớp cổ chân [bột liền]</t>
        </is>
      </c>
      <c r="F851" s="237" t="n">
        <v>1</v>
      </c>
      <c r="G851" s="237" t="n">
        <v>547000</v>
      </c>
      <c r="H851" s="95">
        <f>25%*75%</f>
        <v/>
      </c>
    </row>
    <row r="852" ht="15.75" customHeight="1">
      <c r="A852" s="94" t="n">
        <v>847</v>
      </c>
      <c r="B852" s="141" t="inlineStr">
        <is>
          <t>2026/08/05 08:29</t>
        </is>
      </c>
      <c r="C852" s="141" t="inlineStr">
        <is>
          <t>PHẠM THỊ NHAN</t>
        </is>
      </c>
      <c r="D852" s="141" t="inlineStr">
        <is>
          <t>05/02/1962</t>
        </is>
      </c>
      <c r="E852" s="141" t="inlineStr">
        <is>
          <t>Cắt chỉ sau phẫu thuật</t>
        </is>
      </c>
      <c r="F852" s="237" t="n">
        <v>1</v>
      </c>
      <c r="G852" s="237" t="n">
        <v>40300</v>
      </c>
      <c r="H852" s="95">
        <f>25%*75%</f>
        <v/>
      </c>
    </row>
    <row r="853" ht="15.75" customHeight="1">
      <c r="A853" s="94" t="n">
        <v>848</v>
      </c>
      <c r="B853" s="141" t="inlineStr">
        <is>
          <t>2026/08/05 08:02</t>
        </is>
      </c>
      <c r="C853" s="141" t="inlineStr">
        <is>
          <t>PHẠM THỊ BÉ TÁM</t>
        </is>
      </c>
      <c r="D853" s="141" t="inlineStr">
        <is>
          <t>01/01/1977</t>
        </is>
      </c>
      <c r="E853" s="141" t="inlineStr">
        <is>
          <t>Thay băng, cắt chỉ vết mổ [chiều dài ≤ 15cm]</t>
        </is>
      </c>
      <c r="F853" s="237" t="n">
        <v>1</v>
      </c>
      <c r="G853" s="237" t="n">
        <v>100000</v>
      </c>
      <c r="H853" s="95">
        <f>25%*75%</f>
        <v/>
      </c>
    </row>
    <row r="854" ht="15.75" customHeight="1">
      <c r="A854" s="94" t="n">
        <v>849</v>
      </c>
      <c r="B854" s="141" t="inlineStr">
        <is>
          <t>2026/08/05 10:02</t>
        </is>
      </c>
      <c r="C854" s="141" t="inlineStr">
        <is>
          <t>TRẦN NGỌC ANH THƯ</t>
        </is>
      </c>
      <c r="D854" s="141" t="inlineStr">
        <is>
          <t>31/07/2000</t>
        </is>
      </c>
      <c r="E854" s="141" t="inlineStr">
        <is>
          <t>Thay băng, cắt chỉ vết mổ</t>
        </is>
      </c>
      <c r="F854" s="237" t="n">
        <v>1</v>
      </c>
      <c r="G854" s="237" t="n">
        <v>40300</v>
      </c>
      <c r="H854" s="95">
        <f>25%*75%</f>
        <v/>
      </c>
    </row>
    <row r="855" ht="15.75" customHeight="1">
      <c r="A855" s="94" t="n">
        <v>850</v>
      </c>
      <c r="B855" s="141" t="inlineStr">
        <is>
          <t>2026/08/05 13:46</t>
        </is>
      </c>
      <c r="C855" s="141" t="inlineStr">
        <is>
          <t>TRƯƠNG HUỲNH THÁI DUY</t>
        </is>
      </c>
      <c r="D855" s="141" t="inlineStr">
        <is>
          <t>09/12/2007</t>
        </is>
      </c>
      <c r="E855" s="141" t="inlineStr">
        <is>
          <t>Thay băng, cắt chỉ vết mổ [chiều dài từ trên 30 cm đến 50 cm]</t>
        </is>
      </c>
      <c r="F855" s="237" t="n">
        <v>1</v>
      </c>
      <c r="G855" s="237" t="n">
        <v>150000</v>
      </c>
      <c r="H855" s="95">
        <f>25%*75%</f>
        <v/>
      </c>
    </row>
    <row r="856" ht="15.75" customHeight="1">
      <c r="A856" s="94" t="n">
        <v>851</v>
      </c>
      <c r="B856" s="141" t="inlineStr">
        <is>
          <t>2026/08/06 08:04</t>
        </is>
      </c>
      <c r="C856" s="141" t="inlineStr">
        <is>
          <t>VÕ THÀNH QUANG</t>
        </is>
      </c>
      <c r="D856" s="141" t="inlineStr">
        <is>
          <t>01/01/1954</t>
        </is>
      </c>
      <c r="E856" s="141" t="inlineStr">
        <is>
          <t>Thay băng, cắt chỉ vết mổ</t>
        </is>
      </c>
      <c r="F856" s="237" t="n">
        <v>1</v>
      </c>
      <c r="G856" s="237" t="n">
        <v>40300</v>
      </c>
      <c r="H856" s="95">
        <f>25%*75%</f>
        <v/>
      </c>
    </row>
    <row r="857" ht="15.75" customHeight="1">
      <c r="A857" s="94" t="n">
        <v>852</v>
      </c>
      <c r="B857" s="141" t="inlineStr">
        <is>
          <t>2026/08/06 10:20</t>
        </is>
      </c>
      <c r="C857" s="141" t="inlineStr">
        <is>
          <t>TRẦN THIỆN NHÂN</t>
        </is>
      </c>
      <c r="D857" s="141" t="inlineStr">
        <is>
          <t>01/01/2009</t>
        </is>
      </c>
      <c r="E857" s="141" t="inlineStr">
        <is>
          <t>Nắn, bó bột gãy xương bàn, ngón tay [bột liền]</t>
        </is>
      </c>
      <c r="F857" s="237" t="n">
        <v>1</v>
      </c>
      <c r="G857" s="237" t="n">
        <v>400000</v>
      </c>
      <c r="H857" s="95">
        <f>25%*75%</f>
        <v/>
      </c>
    </row>
    <row r="858" ht="15.75" customHeight="1">
      <c r="A858" s="94" t="n">
        <v>853</v>
      </c>
      <c r="B858" s="141" t="inlineStr">
        <is>
          <t>2026/08/06 09:13</t>
        </is>
      </c>
      <c r="C858" s="141" t="inlineStr">
        <is>
          <t>NGUYỄN THỊ PHƯỢNG</t>
        </is>
      </c>
      <c r="D858" s="141" t="inlineStr">
        <is>
          <t>01/01/1967</t>
        </is>
      </c>
      <c r="E858" s="141" t="inlineStr">
        <is>
          <t>Cắt chỉ sau phẫu thuật</t>
        </is>
      </c>
      <c r="F858" s="237" t="n">
        <v>1</v>
      </c>
      <c r="G858" s="237" t="n">
        <v>40300</v>
      </c>
      <c r="H858" s="95">
        <f>25%*75%</f>
        <v/>
      </c>
    </row>
    <row r="859" ht="15.75" customHeight="1">
      <c r="A859" s="94" t="n">
        <v>854</v>
      </c>
      <c r="B859" s="141" t="inlineStr">
        <is>
          <t>2026/08/06 11:44</t>
        </is>
      </c>
      <c r="C859" s="141" t="inlineStr">
        <is>
          <t>LÊ THỊ LỆ TÂM</t>
        </is>
      </c>
      <c r="D859" s="141" t="inlineStr">
        <is>
          <t>15/03/1961</t>
        </is>
      </c>
      <c r="E859" s="141" t="inlineStr">
        <is>
          <t>Nắn, bó bột gãy xương bàn, ngón tay [bột liền]</t>
        </is>
      </c>
      <c r="F859" s="237" t="n">
        <v>1</v>
      </c>
      <c r="G859" s="237" t="n">
        <v>257000</v>
      </c>
      <c r="H859" s="95">
        <f>25%*75%</f>
        <v/>
      </c>
    </row>
    <row r="860" ht="15.75" customHeight="1">
      <c r="A860" s="94" t="n">
        <v>855</v>
      </c>
      <c r="B860" s="141" t="inlineStr">
        <is>
          <t>2026/08/06 14:38</t>
        </is>
      </c>
      <c r="C860" s="141" t="inlineStr">
        <is>
          <t>LÊ THỊ TUYẾT</t>
        </is>
      </c>
      <c r="D860" s="141" t="inlineStr">
        <is>
          <t>01/01/1970</t>
        </is>
      </c>
      <c r="E860" s="141" t="inlineStr">
        <is>
          <t>Nắn, bó bột gãy 1/3 dưới hai xương cẳng tay [bột liền]</t>
        </is>
      </c>
      <c r="F860" s="237" t="n">
        <v>1</v>
      </c>
      <c r="G860" s="237" t="n">
        <v>372700</v>
      </c>
      <c r="H860" s="95">
        <f>25%*75%</f>
        <v/>
      </c>
    </row>
    <row r="861" ht="15.75" customHeight="1">
      <c r="A861" s="94" t="n">
        <v>856</v>
      </c>
      <c r="B861" s="141" t="inlineStr">
        <is>
          <t>2026/08/06 16:14</t>
        </is>
      </c>
      <c r="C861" s="141" t="inlineStr">
        <is>
          <t>ĐÀO XUÂN TIẾN</t>
        </is>
      </c>
      <c r="D861" s="141" t="inlineStr">
        <is>
          <t>05/05/1975</t>
        </is>
      </c>
      <c r="E861" s="141" t="inlineStr">
        <is>
          <t>Nắn, bó bột gãy một xương cẳng tay [bột liền]</t>
        </is>
      </c>
      <c r="F861" s="237" t="n">
        <v>1</v>
      </c>
      <c r="G861" s="237" t="n">
        <v>500000</v>
      </c>
      <c r="H861" s="95">
        <f>25%*75%</f>
        <v/>
      </c>
    </row>
    <row r="862" ht="15.75" customHeight="1">
      <c r="A862" s="94" t="n">
        <v>857</v>
      </c>
      <c r="B862" s="141" t="inlineStr">
        <is>
          <t>2026/08/06 16:16</t>
        </is>
      </c>
      <c r="C862" s="141" t="inlineStr">
        <is>
          <t>DƯƠNG DUY KHANG</t>
        </is>
      </c>
      <c r="D862" s="141" t="inlineStr">
        <is>
          <t>07/09/2007</t>
        </is>
      </c>
      <c r="E862" s="141" t="inlineStr">
        <is>
          <t>Thay băng, cắt chỉ vết mổ [chiều dài ≤ 15cm]</t>
        </is>
      </c>
      <c r="F862" s="237" t="n">
        <v>1</v>
      </c>
      <c r="G862" s="237" t="n">
        <v>64300</v>
      </c>
      <c r="H862" s="95">
        <f>25%*75%</f>
        <v/>
      </c>
    </row>
    <row r="863" ht="15.75" customHeight="1">
      <c r="A863" s="94" t="n">
        <v>858</v>
      </c>
      <c r="B863" s="141" t="inlineStr">
        <is>
          <t>2026/08/07 07:43</t>
        </is>
      </c>
      <c r="C863" s="141" t="inlineStr">
        <is>
          <t>PHẠM THỊ PHỤNG</t>
        </is>
      </c>
      <c r="D863" s="141" t="inlineStr">
        <is>
          <t>01/01/1958</t>
        </is>
      </c>
      <c r="E863" s="141" t="inlineStr">
        <is>
          <t>Cắt chỉ sau phẫu thuật</t>
        </is>
      </c>
      <c r="F863" s="237" t="n">
        <v>1</v>
      </c>
      <c r="G863" s="237" t="n">
        <v>40300</v>
      </c>
      <c r="H863" s="95">
        <f>25%*75%</f>
        <v/>
      </c>
    </row>
    <row r="864" ht="15.75" customHeight="1">
      <c r="A864" s="94" t="n">
        <v>859</v>
      </c>
      <c r="B864" s="141" t="inlineStr">
        <is>
          <t>2026/08/07 08:14</t>
        </is>
      </c>
      <c r="C864" s="141" t="inlineStr">
        <is>
          <t>TRƯƠNG THỊ BÉ SÁU</t>
        </is>
      </c>
      <c r="D864" s="141" t="inlineStr">
        <is>
          <t>01/01/1958</t>
        </is>
      </c>
      <c r="E864" s="141" t="inlineStr">
        <is>
          <t>Cắt chỉ sau phẫu thuật</t>
        </is>
      </c>
      <c r="F864" s="237" t="n">
        <v>1</v>
      </c>
      <c r="G864" s="237" t="n">
        <v>40300</v>
      </c>
      <c r="H864" s="95">
        <f>25%*75%</f>
        <v/>
      </c>
    </row>
    <row r="865" ht="15.75" customHeight="1">
      <c r="A865" s="94" t="n">
        <v>860</v>
      </c>
      <c r="B865" s="141" t="inlineStr">
        <is>
          <t>2026/08/07 08:28</t>
        </is>
      </c>
      <c r="C865" s="141" t="inlineStr">
        <is>
          <t>LÊ THỊ THANH NHANH</t>
        </is>
      </c>
      <c r="D865" s="141" t="inlineStr">
        <is>
          <t>01/01/1976</t>
        </is>
      </c>
      <c r="E865" s="141" t="inlineStr">
        <is>
          <t>Cắt chỉ sau phẫu thuật</t>
        </is>
      </c>
      <c r="F865" s="237" t="n">
        <v>1</v>
      </c>
      <c r="G865" s="237" t="n">
        <v>100000</v>
      </c>
      <c r="H865" s="95">
        <f>25%*75%</f>
        <v/>
      </c>
    </row>
    <row r="866" ht="15.75" customHeight="1">
      <c r="A866" s="94" t="n">
        <v>861</v>
      </c>
      <c r="B866" s="141" t="inlineStr">
        <is>
          <t>2026/08/07 08:31</t>
        </is>
      </c>
      <c r="C866" s="141" t="inlineStr">
        <is>
          <t>NGUYỄN THỊ TUYẾT NHI</t>
        </is>
      </c>
      <c r="D866" s="141" t="inlineStr">
        <is>
          <t>06/03/2003</t>
        </is>
      </c>
      <c r="E866" s="141" t="inlineStr">
        <is>
          <t>Cắt chỉ sau phẫu thuật</t>
        </is>
      </c>
      <c r="F866" s="237" t="n">
        <v>1</v>
      </c>
      <c r="G866" s="237" t="n">
        <v>40300</v>
      </c>
      <c r="H866" s="95">
        <f>25%*75%</f>
        <v/>
      </c>
    </row>
    <row r="867" ht="15.75" customHeight="1">
      <c r="A867" s="94" t="n">
        <v>862</v>
      </c>
      <c r="B867" s="141" t="inlineStr">
        <is>
          <t>2026/08/07 09:33</t>
        </is>
      </c>
      <c r="C867" s="141" t="inlineStr">
        <is>
          <t>NGUYỄN KIỀU DIÊM</t>
        </is>
      </c>
      <c r="D867" s="141" t="inlineStr">
        <is>
          <t>21/03/1982</t>
        </is>
      </c>
      <c r="E867" s="141" t="inlineStr">
        <is>
          <t>Cắt chỉ sau phẫu thuật</t>
        </is>
      </c>
      <c r="F867" s="237" t="n">
        <v>1</v>
      </c>
      <c r="G867" s="237" t="n">
        <v>100000</v>
      </c>
      <c r="H867" s="95">
        <f>25%*75%</f>
        <v/>
      </c>
    </row>
    <row r="868" ht="15.75" customHeight="1">
      <c r="A868" s="94" t="n">
        <v>863</v>
      </c>
      <c r="B868" s="141" t="inlineStr">
        <is>
          <t>2026/08/07 10:19</t>
        </is>
      </c>
      <c r="C868" s="141" t="inlineStr">
        <is>
          <t>NGUYỄN THỊ PHƯỢNG</t>
        </is>
      </c>
      <c r="D868" s="141" t="inlineStr">
        <is>
          <t>10/10/1981</t>
        </is>
      </c>
      <c r="E868" s="141" t="inlineStr">
        <is>
          <t>Cắt chỉ sau phẫu thuật</t>
        </is>
      </c>
      <c r="F868" s="237" t="n">
        <v>1</v>
      </c>
      <c r="G868" s="237" t="n">
        <v>40300</v>
      </c>
      <c r="H868" s="95">
        <f>25%*75%</f>
        <v/>
      </c>
    </row>
    <row r="869" ht="15.75" customHeight="1">
      <c r="A869" s="94" t="n">
        <v>864</v>
      </c>
      <c r="B869" s="141" t="inlineStr">
        <is>
          <t>2026/08/07 23:21</t>
        </is>
      </c>
      <c r="C869" s="141" t="inlineStr">
        <is>
          <t>HỒ THANH TÙNG</t>
        </is>
      </c>
      <c r="D869" s="141" t="inlineStr">
        <is>
          <t>06/02/1973</t>
        </is>
      </c>
      <c r="E869" s="141" t="inlineStr">
        <is>
          <t>Nắn, bó bột gãy 1/3 dưới hai xương cẳng chân [bột liền]</t>
        </is>
      </c>
      <c r="F869" s="237" t="n">
        <v>1</v>
      </c>
      <c r="G869" s="237" t="n">
        <v>372700</v>
      </c>
      <c r="H869" s="95">
        <f>25%*75%</f>
        <v/>
      </c>
    </row>
    <row r="870" ht="15.75" customHeight="1">
      <c r="A870" s="94" t="n">
        <v>865</v>
      </c>
      <c r="B870" s="141" t="inlineStr">
        <is>
          <t>2026/08/08 17:45</t>
        </is>
      </c>
      <c r="C870" s="141" t="inlineStr">
        <is>
          <t>LÊ QUANG TIẾN</t>
        </is>
      </c>
      <c r="D870" s="141" t="inlineStr">
        <is>
          <t>25/10/2009</t>
        </is>
      </c>
      <c r="E870" s="141" t="inlineStr">
        <is>
          <t>Nắn, bó bột gãy một xương cẳng tay [bột liền]</t>
        </is>
      </c>
      <c r="F870" s="237" t="n">
        <v>1</v>
      </c>
      <c r="G870" s="237" t="n">
        <v>372700</v>
      </c>
      <c r="H870" s="95">
        <f>25%*75%</f>
        <v/>
      </c>
    </row>
    <row r="871" ht="15.75" customHeight="1">
      <c r="A871" s="94" t="n">
        <v>866</v>
      </c>
      <c r="B871" s="141" t="inlineStr">
        <is>
          <t>2026/08/09 12:55</t>
        </is>
      </c>
      <c r="C871" s="141" t="inlineStr">
        <is>
          <t>NGUYỄN THỊ HOA</t>
        </is>
      </c>
      <c r="D871" s="141" t="inlineStr">
        <is>
          <t>01/05/1939</t>
        </is>
      </c>
      <c r="E871" s="141" t="inlineStr">
        <is>
          <t>Nắn, bó bột gãy 1/3 dưới hai xương cẳng tay [bột liền]</t>
        </is>
      </c>
      <c r="F871" s="237" t="n">
        <v>1</v>
      </c>
      <c r="G871" s="237" t="n">
        <v>372700</v>
      </c>
      <c r="H871" s="95">
        <f>25%*75%</f>
        <v/>
      </c>
    </row>
    <row r="872" ht="15.75" customHeight="1">
      <c r="A872" s="94" t="n">
        <v>867</v>
      </c>
      <c r="B872" s="141" t="inlineStr">
        <is>
          <t>2026/08/09 10:18</t>
        </is>
      </c>
      <c r="C872" s="141" t="inlineStr">
        <is>
          <t>NGUYỄN THỊ HOA</t>
        </is>
      </c>
      <c r="D872" s="141" t="inlineStr">
        <is>
          <t>01/05/1939</t>
        </is>
      </c>
      <c r="E872" s="141" t="inlineStr">
        <is>
          <t>Nắn, bó bột gãy 1/3 dưới hai xương cẳng tay [bột liền]</t>
        </is>
      </c>
      <c r="F872" s="237" t="n">
        <v>1</v>
      </c>
      <c r="G872" s="237" t="n">
        <v>372700</v>
      </c>
      <c r="H872" s="95">
        <f>25%*75%</f>
        <v/>
      </c>
    </row>
    <row r="873" ht="15.75" customHeight="1">
      <c r="A873" s="94" t="n">
        <v>868</v>
      </c>
      <c r="B873" s="141" t="inlineStr">
        <is>
          <t>2026/08/09 12:02</t>
        </is>
      </c>
      <c r="C873" s="141" t="inlineStr">
        <is>
          <t>PHẠM THÀNH VŨ</t>
        </is>
      </c>
      <c r="D873" s="141" t="inlineStr">
        <is>
          <t>09/11/1991</t>
        </is>
      </c>
      <c r="E873" s="141" t="inlineStr">
        <is>
          <t>Nắn, bó bột gãy xương bàn, ngón tay [bột liền]</t>
        </is>
      </c>
      <c r="F873" s="237" t="n">
        <v>1</v>
      </c>
      <c r="G873" s="237" t="n">
        <v>257000</v>
      </c>
      <c r="H873" s="95">
        <f>25%*75%</f>
        <v/>
      </c>
    </row>
    <row r="874" ht="15.75" customHeight="1">
      <c r="A874" s="94" t="n">
        <v>869</v>
      </c>
      <c r="B874" s="141" t="inlineStr">
        <is>
          <t>2026/08/10 07:29</t>
        </is>
      </c>
      <c r="C874" s="141" t="inlineStr">
        <is>
          <t>TRƯƠNG PHƯỚC HIẾU</t>
        </is>
      </c>
      <c r="D874" s="141" t="inlineStr">
        <is>
          <t>02/09/1991</t>
        </is>
      </c>
      <c r="E874" s="141" t="inlineStr">
        <is>
          <t>Thay băng, cắt chỉ vết mổ [chiều dài ≤ 15cm]</t>
        </is>
      </c>
      <c r="F874" s="237" t="n">
        <v>1</v>
      </c>
      <c r="G874" s="237" t="n">
        <v>64300</v>
      </c>
      <c r="H874" s="95">
        <f>25%*75%</f>
        <v/>
      </c>
    </row>
    <row r="875" ht="15.75" customHeight="1">
      <c r="A875" s="94" t="n">
        <v>870</v>
      </c>
      <c r="B875" s="141" t="inlineStr">
        <is>
          <t>2026/08/10 07:36</t>
        </is>
      </c>
      <c r="C875" s="141" t="inlineStr">
        <is>
          <t>NGUYỄN THỊ THANH HÒA</t>
        </is>
      </c>
      <c r="D875" s="141" t="inlineStr">
        <is>
          <t>19/03/1973</t>
        </is>
      </c>
      <c r="E875" s="141" t="inlineStr">
        <is>
          <t>Thay băng, cắt chỉ vết mổ [chiều dài ≤ 15cm]</t>
        </is>
      </c>
      <c r="F875" s="237" t="n">
        <v>1</v>
      </c>
      <c r="G875" s="237" t="n">
        <v>100000</v>
      </c>
      <c r="H875" s="95">
        <f>25%*75%</f>
        <v/>
      </c>
    </row>
    <row r="876" ht="15.75" customHeight="1">
      <c r="A876" s="94" t="n">
        <v>871</v>
      </c>
      <c r="B876" s="141" t="inlineStr">
        <is>
          <t>2026/08/10 07:33</t>
        </is>
      </c>
      <c r="C876" s="141" t="inlineStr">
        <is>
          <t>NGUYỄN VĂN NHỰT</t>
        </is>
      </c>
      <c r="D876" s="141" t="inlineStr">
        <is>
          <t>01/01/1979</t>
        </is>
      </c>
      <c r="E876" s="141" t="inlineStr">
        <is>
          <t>Tiêm gân trên gai (dưới gai, gân bao xoay khớp vai) dưới hướng dẫn của siêu âm</t>
        </is>
      </c>
      <c r="F876" s="237" t="n">
        <v>1</v>
      </c>
      <c r="G876" s="237" t="n">
        <v>148700</v>
      </c>
      <c r="H876" s="95">
        <f>25%*75%</f>
        <v/>
      </c>
    </row>
    <row r="877" ht="15.75" customHeight="1">
      <c r="A877" s="94" t="n">
        <v>872</v>
      </c>
      <c r="B877" s="141" t="inlineStr">
        <is>
          <t>2026/08/10 07:55</t>
        </is>
      </c>
      <c r="C877" s="141" t="inlineStr">
        <is>
          <t>QUẢNG THỊ HIỆN</t>
        </is>
      </c>
      <c r="D877" s="141" t="inlineStr">
        <is>
          <t>04/12/1971</t>
        </is>
      </c>
      <c r="E877" s="141" t="inlineStr">
        <is>
          <t>Thay băng, cắt chỉ vết mổ [chiều dài ≤ 15cm]</t>
        </is>
      </c>
      <c r="F877" s="237" t="n">
        <v>1</v>
      </c>
      <c r="G877" s="237" t="n">
        <v>64300</v>
      </c>
      <c r="H877" s="95">
        <f>25%*75%</f>
        <v/>
      </c>
    </row>
    <row r="878" ht="15.75" customHeight="1">
      <c r="A878" s="94" t="n">
        <v>873</v>
      </c>
      <c r="B878" s="141" t="inlineStr">
        <is>
          <t>2026/08/10 09:49</t>
        </is>
      </c>
      <c r="C878" s="141" t="inlineStr">
        <is>
          <t>PHAN THANH PHONG</t>
        </is>
      </c>
      <c r="D878" s="141" t="inlineStr">
        <is>
          <t>01/01/1971</t>
        </is>
      </c>
      <c r="E878" s="141" t="inlineStr">
        <is>
          <t>Thay băng, cắt chỉ vết mổ [chiều dài ≤ 15cm]</t>
        </is>
      </c>
      <c r="F878" s="237" t="n">
        <v>1</v>
      </c>
      <c r="G878" s="237" t="n">
        <v>64300</v>
      </c>
      <c r="H878" s="95">
        <f>25%*75%</f>
        <v/>
      </c>
    </row>
    <row r="879" ht="15.75" customHeight="1">
      <c r="A879" s="94" t="n">
        <v>874</v>
      </c>
      <c r="B879" s="141" t="inlineStr">
        <is>
          <t>2026/08/10 08:53</t>
        </is>
      </c>
      <c r="C879" s="141" t="inlineStr">
        <is>
          <t>HUỲNH TÍN TÂM</t>
        </is>
      </c>
      <c r="D879" s="141" t="inlineStr">
        <is>
          <t>01/01/1967</t>
        </is>
      </c>
      <c r="E879" s="141" t="inlineStr">
        <is>
          <t>Thay băng, cắt chỉ vết mổ [chiều dài ≤ 15cm]</t>
        </is>
      </c>
      <c r="F879" s="237" t="n">
        <v>1</v>
      </c>
      <c r="G879" s="237" t="n">
        <v>64300</v>
      </c>
      <c r="H879" s="95">
        <f>25%*75%</f>
        <v/>
      </c>
    </row>
    <row r="880" ht="15.75" customHeight="1">
      <c r="A880" s="94" t="n">
        <v>875</v>
      </c>
      <c r="B880" s="141" t="inlineStr">
        <is>
          <t>2026/08/10 10:21</t>
        </is>
      </c>
      <c r="C880" s="141" t="inlineStr">
        <is>
          <t>MÃ THÚY ĐIỆP</t>
        </is>
      </c>
      <c r="D880" s="141" t="inlineStr">
        <is>
          <t>01/01/1970</t>
        </is>
      </c>
      <c r="E880" s="141" t="inlineStr">
        <is>
          <t>Sinh thiết phần mềm bằng phương pháp sinh thiết mở</t>
        </is>
      </c>
      <c r="F880" s="237" t="n">
        <v>1</v>
      </c>
      <c r="G880" s="237" t="n">
        <v>500000</v>
      </c>
      <c r="H880" s="95">
        <f>25%*75%</f>
        <v/>
      </c>
    </row>
    <row r="881" ht="15.75" customHeight="1">
      <c r="A881" s="94" t="n">
        <v>876</v>
      </c>
      <c r="B881" s="141" t="inlineStr">
        <is>
          <t>2026/08/10 08:45</t>
        </is>
      </c>
      <c r="C881" s="141" t="inlineStr">
        <is>
          <t>ĐẶNG THỊ NHỊN</t>
        </is>
      </c>
      <c r="D881" s="141" t="inlineStr">
        <is>
          <t>02/02/1969</t>
        </is>
      </c>
      <c r="E881" s="141" t="inlineStr">
        <is>
          <t>Tháo bột (nhỏ)</t>
        </is>
      </c>
      <c r="F881" s="237" t="n">
        <v>1</v>
      </c>
      <c r="G881" s="237" t="n">
        <v>100000</v>
      </c>
      <c r="H881" s="95">
        <f>25%*75%</f>
        <v/>
      </c>
    </row>
    <row r="882" ht="15.75" customHeight="1">
      <c r="A882" s="94" t="n">
        <v>877</v>
      </c>
      <c r="B882" s="141" t="inlineStr">
        <is>
          <t>2026/08/10 10:24</t>
        </is>
      </c>
      <c r="C882" s="141" t="inlineStr">
        <is>
          <t>TRẦN THỊ THU HOA</t>
        </is>
      </c>
      <c r="D882" s="141" t="inlineStr">
        <is>
          <t>01/01/1960</t>
        </is>
      </c>
      <c r="E882" s="141" t="inlineStr">
        <is>
          <t>Tháo bột (trung bình)</t>
        </is>
      </c>
      <c r="F882" s="237" t="n">
        <v>1</v>
      </c>
      <c r="G882" s="237" t="n">
        <v>200000</v>
      </c>
      <c r="H882" s="95">
        <f>25%*75%</f>
        <v/>
      </c>
    </row>
    <row r="883" ht="15.75" customHeight="1">
      <c r="A883" s="94" t="n">
        <v>878</v>
      </c>
      <c r="B883" s="141" t="inlineStr">
        <is>
          <t>2026/08/10 10:36</t>
        </is>
      </c>
      <c r="C883" s="141" t="inlineStr">
        <is>
          <t>HỒ MINH TUẤN</t>
        </is>
      </c>
      <c r="D883" s="141" t="inlineStr">
        <is>
          <t>25/08/1987</t>
        </is>
      </c>
      <c r="E883" s="141" t="inlineStr">
        <is>
          <t>Thay băng, cắt chỉ vết mổ [chiều dài ≤ 15cm]</t>
        </is>
      </c>
      <c r="F883" s="237" t="n">
        <v>1</v>
      </c>
      <c r="G883" s="237" t="n">
        <v>64300</v>
      </c>
      <c r="H883" s="95">
        <f>25%*75%</f>
        <v/>
      </c>
    </row>
    <row r="884" ht="15.75" customHeight="1">
      <c r="A884" s="94" t="n">
        <v>879</v>
      </c>
      <c r="B884" s="141" t="inlineStr">
        <is>
          <t>2026/08/10 10:31</t>
        </is>
      </c>
      <c r="C884" s="141" t="inlineStr">
        <is>
          <t>NGUYỄN NHẬT VÂN</t>
        </is>
      </c>
      <c r="D884" s="141" t="inlineStr">
        <is>
          <t>01/01/1967</t>
        </is>
      </c>
      <c r="E884" s="141" t="inlineStr">
        <is>
          <t>Thay băng, cắt chỉ vết mổ [chiều dài ≤ 15cm]</t>
        </is>
      </c>
      <c r="F884" s="237" t="n">
        <v>1</v>
      </c>
      <c r="G884" s="237" t="n">
        <v>64300</v>
      </c>
      <c r="H884" s="95">
        <f>25%*75%</f>
        <v/>
      </c>
    </row>
    <row r="885" ht="15.75" customHeight="1">
      <c r="A885" s="94" t="n">
        <v>880</v>
      </c>
      <c r="B885" s="141" t="inlineStr">
        <is>
          <t>2026/08/10 13:29</t>
        </is>
      </c>
      <c r="C885" s="141" t="inlineStr">
        <is>
          <t>NGUYỄN HUY HOÀNG</t>
        </is>
      </c>
      <c r="D885" s="141" t="inlineStr">
        <is>
          <t>09/09/1966</t>
        </is>
      </c>
      <c r="E885" s="141" t="inlineStr">
        <is>
          <t>Thay băng, cắt chỉ vết mổ [chiều dài ≤ 15cm]</t>
        </is>
      </c>
      <c r="F885" s="237" t="n">
        <v>1</v>
      </c>
      <c r="G885" s="237" t="n">
        <v>64300</v>
      </c>
      <c r="H885" s="95">
        <f>25%*75%</f>
        <v/>
      </c>
    </row>
    <row r="886" ht="15.75" customHeight="1">
      <c r="A886" s="94" t="n">
        <v>881</v>
      </c>
      <c r="B886" s="141" t="inlineStr">
        <is>
          <t>2026/08/10 10:00</t>
        </is>
      </c>
      <c r="C886" s="141" t="inlineStr">
        <is>
          <t>LÝ GIA HUY</t>
        </is>
      </c>
      <c r="D886" s="141" t="inlineStr">
        <is>
          <t>29/07/2009</t>
        </is>
      </c>
      <c r="E886" s="141" t="inlineStr">
        <is>
          <t>Thay băng, cắt chỉ vết mổ [chiều dài ≤ 15cm]</t>
        </is>
      </c>
      <c r="F886" s="237" t="n">
        <v>1</v>
      </c>
      <c r="G886" s="237" t="n">
        <v>64300</v>
      </c>
      <c r="H886" s="95">
        <f>25%*75%</f>
        <v/>
      </c>
    </row>
    <row r="887" ht="15.75" customHeight="1">
      <c r="A887" s="94" t="n">
        <v>882</v>
      </c>
      <c r="B887" s="141" t="inlineStr">
        <is>
          <t>2026/08/10 14:00</t>
        </is>
      </c>
      <c r="C887" s="141" t="inlineStr">
        <is>
          <t>LÂM CHÍ VỈNH</t>
        </is>
      </c>
      <c r="D887" s="141" t="inlineStr">
        <is>
          <t>13/07/2006</t>
        </is>
      </c>
      <c r="E887" s="141" t="inlineStr">
        <is>
          <t>Thay băng, cắt chỉ vết mổ [chiều dài ≤ 15cm]</t>
        </is>
      </c>
      <c r="F887" s="237" t="n">
        <v>1</v>
      </c>
      <c r="G887" s="237" t="n">
        <v>64300</v>
      </c>
      <c r="H887" s="95">
        <f>25%*75%</f>
        <v/>
      </c>
    </row>
    <row r="888" ht="15.75" customHeight="1">
      <c r="A888" s="94" t="n">
        <v>883</v>
      </c>
      <c r="B888" s="141" t="inlineStr">
        <is>
          <t>2026/08/10 13:56</t>
        </is>
      </c>
      <c r="C888" s="141" t="inlineStr">
        <is>
          <t>PHẠM THỊ NGỌC ÁNH</t>
        </is>
      </c>
      <c r="D888" s="141" t="inlineStr">
        <is>
          <t>01/01/1957</t>
        </is>
      </c>
      <c r="E888" s="141" t="inlineStr">
        <is>
          <t>Thay băng, cắt chỉ vết mổ [chiều dài ≤ 15cm]</t>
        </is>
      </c>
      <c r="F888" s="237" t="n">
        <v>1</v>
      </c>
      <c r="G888" s="237" t="n">
        <v>64300</v>
      </c>
      <c r="H888" s="95">
        <f>25%*75%</f>
        <v/>
      </c>
    </row>
    <row r="889" ht="15.75" customHeight="1">
      <c r="A889" s="94" t="n">
        <v>884</v>
      </c>
      <c r="B889" s="141" t="inlineStr">
        <is>
          <t>2026/08/10 13:46</t>
        </is>
      </c>
      <c r="C889" s="141" t="inlineStr">
        <is>
          <t>LƯU VĂN THÔNG</t>
        </is>
      </c>
      <c r="D889" s="141" t="inlineStr">
        <is>
          <t>30/09/1984</t>
        </is>
      </c>
      <c r="E889" s="141" t="inlineStr">
        <is>
          <t>Tháo bột (nhỏ)</t>
        </is>
      </c>
      <c r="F889" s="237" t="n">
        <v>1</v>
      </c>
      <c r="G889" s="237" t="n">
        <v>100000</v>
      </c>
      <c r="H889" s="95">
        <f>25%*75%</f>
        <v/>
      </c>
    </row>
    <row r="890" ht="15.75" customHeight="1">
      <c r="A890" s="94" t="n">
        <v>885</v>
      </c>
      <c r="B890" s="141" t="inlineStr">
        <is>
          <t>2026/08/10 14:09</t>
        </is>
      </c>
      <c r="C890" s="141" t="inlineStr">
        <is>
          <t>DƯƠNG THỊ LỘC</t>
        </is>
      </c>
      <c r="D890" s="141" t="inlineStr">
        <is>
          <t>29/06/1974</t>
        </is>
      </c>
      <c r="E890" s="141" t="inlineStr">
        <is>
          <t>Thay băng, cắt chỉ vết mổ [chiều dài ≤ 15cm]</t>
        </is>
      </c>
      <c r="F890" s="237" t="n">
        <v>1</v>
      </c>
      <c r="G890" s="237" t="n">
        <v>64300</v>
      </c>
      <c r="H890" s="95">
        <f>25%*75%</f>
        <v/>
      </c>
    </row>
    <row r="891" ht="15.75" customHeight="1">
      <c r="A891" s="94" t="n">
        <v>886</v>
      </c>
      <c r="B891" s="141" t="inlineStr">
        <is>
          <t>2026/08/10 16:30</t>
        </is>
      </c>
      <c r="C891" s="141" t="inlineStr">
        <is>
          <t>NGUYỄN NGỌC YẾN</t>
        </is>
      </c>
      <c r="D891" s="141" t="inlineStr">
        <is>
          <t>18/11/1988</t>
        </is>
      </c>
      <c r="E891" s="141" t="inlineStr">
        <is>
          <t>Nắn, bó bột gãy xương bàn chân [bột liền]</t>
        </is>
      </c>
      <c r="F891" s="237" t="n">
        <v>1</v>
      </c>
      <c r="G891" s="237" t="n">
        <v>400000</v>
      </c>
      <c r="H891" s="95">
        <f>25%*75%</f>
        <v/>
      </c>
    </row>
    <row r="892" ht="15.75" customHeight="1">
      <c r="A892" s="94" t="n">
        <v>887</v>
      </c>
      <c r="B892" s="141" t="inlineStr">
        <is>
          <t>2026/08/11 07:59</t>
        </is>
      </c>
      <c r="C892" s="141" t="inlineStr">
        <is>
          <t>HỒ LÊ BỬU NGỌC</t>
        </is>
      </c>
      <c r="D892" s="141" t="inlineStr">
        <is>
          <t>01/01/1975</t>
        </is>
      </c>
      <c r="E892" s="141" t="inlineStr">
        <is>
          <t>Cắt chỉ sau phẫu thuật</t>
        </is>
      </c>
      <c r="F892" s="237" t="n">
        <v>1</v>
      </c>
      <c r="G892" s="237" t="n">
        <v>40300</v>
      </c>
      <c r="H892" s="95">
        <f>25%*75%</f>
        <v/>
      </c>
    </row>
    <row r="893" ht="15.75" customHeight="1">
      <c r="A893" s="94" t="n">
        <v>888</v>
      </c>
      <c r="B893" s="141" t="inlineStr">
        <is>
          <t>2026/08/11 10:02</t>
        </is>
      </c>
      <c r="C893" s="141" t="inlineStr">
        <is>
          <t>TẠ THỊ NGA</t>
        </is>
      </c>
      <c r="D893" s="141" t="inlineStr">
        <is>
          <t>01/01/1963</t>
        </is>
      </c>
      <c r="E893" s="141" t="inlineStr">
        <is>
          <t>Bột cẳng bàn chân không kéo nắn</t>
        </is>
      </c>
      <c r="F893" s="237" t="n">
        <v>1</v>
      </c>
      <c r="G893" s="237" t="n">
        <v>400000</v>
      </c>
      <c r="H893" s="95">
        <f>25%*75%</f>
        <v/>
      </c>
    </row>
    <row r="894" ht="15.75" customHeight="1">
      <c r="A894" s="94" t="n">
        <v>889</v>
      </c>
      <c r="B894" s="141" t="inlineStr">
        <is>
          <t>2026/08/11 09:04</t>
        </is>
      </c>
      <c r="C894" s="141" t="inlineStr">
        <is>
          <t>HUỲNH VĂN CHÓT</t>
        </is>
      </c>
      <c r="D894" s="141" t="inlineStr">
        <is>
          <t>01/01/1964</t>
        </is>
      </c>
      <c r="E894" s="141" t="inlineStr">
        <is>
          <t>Cắt chỉ sau phẫu thuật</t>
        </is>
      </c>
      <c r="F894" s="237" t="n">
        <v>1</v>
      </c>
      <c r="G894" s="237" t="n">
        <v>40300</v>
      </c>
      <c r="H894" s="95">
        <f>25%*75%</f>
        <v/>
      </c>
    </row>
    <row r="895" ht="15.75" customHeight="1">
      <c r="A895" s="94" t="n">
        <v>890</v>
      </c>
      <c r="B895" s="141" t="inlineStr">
        <is>
          <t>2026/08/11 09:24</t>
        </is>
      </c>
      <c r="C895" s="141" t="inlineStr">
        <is>
          <t>PHAN VĂN MỪNG</t>
        </is>
      </c>
      <c r="D895" s="141" t="inlineStr">
        <is>
          <t>01/01/1962</t>
        </is>
      </c>
      <c r="E895" s="141" t="inlineStr">
        <is>
          <t>Cắt chỉ sau phẫu thuật</t>
        </is>
      </c>
      <c r="F895" s="237" t="n">
        <v>1</v>
      </c>
      <c r="G895" s="237" t="n">
        <v>40300</v>
      </c>
      <c r="H895" s="95">
        <f>25%*75%</f>
        <v/>
      </c>
    </row>
    <row r="896" ht="15.75" customHeight="1">
      <c r="A896" s="94" t="n">
        <v>891</v>
      </c>
      <c r="B896" s="141" t="inlineStr">
        <is>
          <t>2026/08/11 09:31</t>
        </is>
      </c>
      <c r="C896" s="141" t="inlineStr">
        <is>
          <t>LÊ VĂN TIẾN</t>
        </is>
      </c>
      <c r="D896" s="141" t="inlineStr">
        <is>
          <t>01/01/1969</t>
        </is>
      </c>
      <c r="E896" s="141" t="inlineStr">
        <is>
          <t>Thay băng, cắt chỉ vết mổ [chiều dài ≤ 15cm]</t>
        </is>
      </c>
      <c r="F896" s="237" t="n">
        <v>1</v>
      </c>
      <c r="G896" s="237" t="n">
        <v>64300</v>
      </c>
      <c r="H896" s="95">
        <f>25%*75%</f>
        <v/>
      </c>
    </row>
    <row r="897" ht="15.75" customHeight="1">
      <c r="A897" s="94" t="n">
        <v>892</v>
      </c>
      <c r="B897" s="141" t="inlineStr">
        <is>
          <t>2026/08/11 13:54</t>
        </is>
      </c>
      <c r="C897" s="141" t="inlineStr">
        <is>
          <t>TRƯƠNG TRIỀU DŨNG</t>
        </is>
      </c>
      <c r="D897" s="141" t="inlineStr">
        <is>
          <t>27/11/2008</t>
        </is>
      </c>
      <c r="E897" s="141" t="inlineStr">
        <is>
          <t>Thay băng, cắt chỉ vết mổ [chiều dài ≤ 15cm]</t>
        </is>
      </c>
      <c r="F897" s="237" t="n">
        <v>1</v>
      </c>
      <c r="G897" s="237" t="n">
        <v>64300</v>
      </c>
      <c r="H897" s="95">
        <f>25%*75%</f>
        <v/>
      </c>
    </row>
    <row r="898" ht="15.75" customHeight="1">
      <c r="A898" s="94" t="n">
        <v>893</v>
      </c>
      <c r="B898" s="141" t="inlineStr">
        <is>
          <t>2026/08/11 11:13</t>
        </is>
      </c>
      <c r="C898" s="141" t="inlineStr">
        <is>
          <t>MAI VIẾT THUẬN</t>
        </is>
      </c>
      <c r="D898" s="141" t="inlineStr">
        <is>
          <t>21/10/2003</t>
        </is>
      </c>
      <c r="E898" s="141" t="inlineStr">
        <is>
          <t>Thay băng, cắt chỉ vết mổ [chiều dài ≤ 15cm]</t>
        </is>
      </c>
      <c r="F898" s="237" t="n">
        <v>1</v>
      </c>
      <c r="G898" s="237" t="n">
        <v>64300</v>
      </c>
      <c r="H898" s="95">
        <f>25%*75%</f>
        <v/>
      </c>
    </row>
    <row r="899" ht="15.75" customHeight="1">
      <c r="A899" s="94" t="n">
        <v>894</v>
      </c>
      <c r="B899" s="141" t="inlineStr">
        <is>
          <t>2026/08/11 13:22</t>
        </is>
      </c>
      <c r="C899" s="141" t="inlineStr">
        <is>
          <t>VÕ THỊ HUỆ</t>
        </is>
      </c>
      <c r="D899" s="141" t="inlineStr">
        <is>
          <t>01/01/1948</t>
        </is>
      </c>
      <c r="E899" s="141" t="inlineStr">
        <is>
          <t>Thay băng, cắt chỉ vết mổ [chiều dài ≤ 15cm]</t>
        </is>
      </c>
      <c r="F899" s="237" t="n">
        <v>1</v>
      </c>
      <c r="G899" s="237" t="n">
        <v>64300</v>
      </c>
      <c r="H899" s="95">
        <f>25%*75%</f>
        <v/>
      </c>
    </row>
    <row r="900" ht="15.75" customHeight="1">
      <c r="A900" s="94" t="n">
        <v>895</v>
      </c>
      <c r="B900" s="141" t="inlineStr">
        <is>
          <t>2026/08/11 13:42</t>
        </is>
      </c>
      <c r="C900" s="141" t="inlineStr">
        <is>
          <t>PHẠM THÚY AN</t>
        </is>
      </c>
      <c r="D900" s="141" t="inlineStr">
        <is>
          <t>10/02/1991</t>
        </is>
      </c>
      <c r="E900" s="141" t="inlineStr">
        <is>
          <t>Nắn, bó bột gãy 1/3 dưới hai xương cẳng chân [bột liền]</t>
        </is>
      </c>
      <c r="F900" s="237" t="n">
        <v>1</v>
      </c>
      <c r="G900" s="237" t="n">
        <v>372700</v>
      </c>
      <c r="H900" s="95">
        <f>25%*75%</f>
        <v/>
      </c>
    </row>
    <row r="901" ht="15.75" customHeight="1">
      <c r="A901" s="94" t="n">
        <v>896</v>
      </c>
      <c r="B901" s="141" t="inlineStr">
        <is>
          <t>2026/08/11 13:53</t>
        </is>
      </c>
      <c r="C901" s="141" t="inlineStr">
        <is>
          <t>NGUYỄN VĂN PHÁT</t>
        </is>
      </c>
      <c r="D901" s="141" t="inlineStr">
        <is>
          <t>15/06/1967</t>
        </is>
      </c>
      <c r="E901" s="141" t="inlineStr">
        <is>
          <t>Tháo bột (nhỏ)</t>
        </is>
      </c>
      <c r="F901" s="237" t="n">
        <v>1</v>
      </c>
      <c r="G901" s="237" t="n">
        <v>100000</v>
      </c>
      <c r="H901" s="95">
        <f>25%*75%</f>
        <v/>
      </c>
    </row>
    <row r="902" ht="15.75" customHeight="1">
      <c r="A902" s="94" t="n">
        <v>897</v>
      </c>
      <c r="B902" s="141" t="inlineStr">
        <is>
          <t>2026/08/11 15:15</t>
        </is>
      </c>
      <c r="C902" s="141" t="inlineStr">
        <is>
          <t>NGUYỄN THỊ TIÊN</t>
        </is>
      </c>
      <c r="D902" s="141" t="inlineStr">
        <is>
          <t>16/10/1961</t>
        </is>
      </c>
      <c r="E902" s="141" t="inlineStr">
        <is>
          <t>Cắt chỉ sau phẫu thuật</t>
        </is>
      </c>
      <c r="F902" s="237" t="n">
        <v>1</v>
      </c>
      <c r="G902" s="237" t="n">
        <v>40300</v>
      </c>
      <c r="H902" s="95">
        <f>25%*75%</f>
        <v/>
      </c>
    </row>
    <row r="903" ht="15.75" customHeight="1">
      <c r="A903" s="94" t="n">
        <v>898</v>
      </c>
      <c r="B903" s="141" t="inlineStr">
        <is>
          <t>2026/08/11 20:42</t>
        </is>
      </c>
      <c r="C903" s="141" t="inlineStr">
        <is>
          <t>NGUYỄN THỊ ĐÀO</t>
        </is>
      </c>
      <c r="D903" s="141" t="inlineStr">
        <is>
          <t>01/01/1957</t>
        </is>
      </c>
      <c r="E903" s="141" t="inlineStr">
        <is>
          <t>Nắn, bó bột gãy xương bàn, ngón tay [bột liền]</t>
        </is>
      </c>
      <c r="F903" s="237" t="n">
        <v>1</v>
      </c>
      <c r="G903" s="237" t="n">
        <v>257000</v>
      </c>
      <c r="H903" s="95">
        <f>25%*75%</f>
        <v/>
      </c>
    </row>
    <row r="904" ht="15.75" customHeight="1">
      <c r="A904" s="94" t="n">
        <v>899</v>
      </c>
      <c r="B904" s="141" t="inlineStr">
        <is>
          <t>2026/08/11 21:14</t>
        </is>
      </c>
      <c r="C904" s="141" t="inlineStr">
        <is>
          <t>PHAN THIÊN NHẬT</t>
        </is>
      </c>
      <c r="D904" s="141" t="inlineStr">
        <is>
          <t>30/11/2000</t>
        </is>
      </c>
      <c r="E904" s="141" t="inlineStr">
        <is>
          <t>Nắn, bó bột gãy xương bàn, ngón tay [bột liền]</t>
        </is>
      </c>
      <c r="F904" s="237" t="n">
        <v>1</v>
      </c>
      <c r="G904" s="237" t="n">
        <v>257000</v>
      </c>
      <c r="H904" s="95">
        <f>25%*75%</f>
        <v/>
      </c>
    </row>
    <row r="905" ht="15.75" customHeight="1">
      <c r="A905" s="94" t="n">
        <v>900</v>
      </c>
      <c r="B905" s="141" t="inlineStr">
        <is>
          <t>2026/08/12 09:54</t>
        </is>
      </c>
      <c r="C905" s="141" t="inlineStr">
        <is>
          <t>VÕ THỊ XIÊNG</t>
        </is>
      </c>
      <c r="D905" s="141" t="inlineStr">
        <is>
          <t>01/01/1971</t>
        </is>
      </c>
      <c r="E905" s="141" t="inlineStr">
        <is>
          <t>Thay băng, cắt chỉ vết mổ [chiều dài ≤ 15cm]</t>
        </is>
      </c>
      <c r="F905" s="237" t="n">
        <v>1</v>
      </c>
      <c r="G905" s="237" t="n">
        <v>64300</v>
      </c>
      <c r="H905" s="95">
        <f>25%*75%</f>
        <v/>
      </c>
    </row>
    <row r="906" ht="15.75" customHeight="1">
      <c r="A906" s="94" t="n">
        <v>901</v>
      </c>
      <c r="B906" s="141" t="inlineStr">
        <is>
          <t>2026/08/13 10:14</t>
        </is>
      </c>
      <c r="C906" s="141" t="inlineStr">
        <is>
          <t>ĐOÀN VĂN SO</t>
        </is>
      </c>
      <c r="D906" s="141" t="inlineStr">
        <is>
          <t>20/07/1959</t>
        </is>
      </c>
      <c r="E906" s="141" t="inlineStr">
        <is>
          <t>Thay băng, cắt chỉ vết mổ</t>
        </is>
      </c>
      <c r="F906" s="237" t="n">
        <v>1</v>
      </c>
      <c r="G906" s="237" t="n">
        <v>100000</v>
      </c>
      <c r="H906" s="95">
        <f>25%*75%</f>
        <v/>
      </c>
    </row>
    <row r="907" ht="15.75" customHeight="1">
      <c r="A907" s="94" t="n">
        <v>902</v>
      </c>
      <c r="B907" s="141" t="inlineStr">
        <is>
          <t>2026/08/13 11:28</t>
        </is>
      </c>
      <c r="C907" s="141" t="inlineStr">
        <is>
          <t>HUỲNH THU CÚC</t>
        </is>
      </c>
      <c r="D907" s="141" t="inlineStr">
        <is>
          <t>01/09/1962</t>
        </is>
      </c>
      <c r="E907" s="141" t="inlineStr">
        <is>
          <t>Bột cẳng bàn chân không kéo nắn</t>
        </is>
      </c>
      <c r="F907" s="237" t="n">
        <v>1</v>
      </c>
      <c r="G907" s="237" t="n">
        <v>400000</v>
      </c>
      <c r="H907" s="95">
        <f>25%*75%</f>
        <v/>
      </c>
    </row>
    <row r="908" ht="15.75" customHeight="1">
      <c r="A908" s="94" t="n">
        <v>903</v>
      </c>
      <c r="B908" s="141" t="inlineStr">
        <is>
          <t>2026/08/13 14:46</t>
        </is>
      </c>
      <c r="C908" s="141" t="inlineStr">
        <is>
          <t>PHAN HOÀNG ÂN</t>
        </is>
      </c>
      <c r="D908" s="141" t="inlineStr">
        <is>
          <t>05/03/2001</t>
        </is>
      </c>
      <c r="E908" s="141" t="inlineStr">
        <is>
          <t>Thay băng, cắt chỉ vết mổ [chiều dài ≤ 15cm]</t>
        </is>
      </c>
      <c r="F908" s="237" t="n">
        <v>1</v>
      </c>
      <c r="G908" s="237" t="n">
        <v>64300</v>
      </c>
      <c r="H908" s="95">
        <f>25%*75%</f>
        <v/>
      </c>
    </row>
    <row r="909" ht="15.75" customHeight="1">
      <c r="A909" s="94" t="n">
        <v>904</v>
      </c>
      <c r="B909" s="141" t="inlineStr">
        <is>
          <t>2026/08/13 18:44</t>
        </is>
      </c>
      <c r="C909" s="141" t="inlineStr">
        <is>
          <t>VÕ THỊ THANH THẢO</t>
        </is>
      </c>
      <c r="D909" s="141" t="inlineStr">
        <is>
          <t>09/02/1975</t>
        </is>
      </c>
      <c r="E909" s="141" t="inlineStr">
        <is>
          <t>Nẹp bột các loại, không nắn (loại 1)</t>
        </is>
      </c>
      <c r="F909" s="237" t="n">
        <v>1</v>
      </c>
      <c r="G909" s="237" t="n">
        <v>200000</v>
      </c>
      <c r="H909" s="95">
        <f>25%*75%</f>
        <v/>
      </c>
    </row>
    <row r="910" ht="15.75" customHeight="1">
      <c r="A910" s="94" t="n">
        <v>905</v>
      </c>
      <c r="B910" s="141" t="inlineStr">
        <is>
          <t>2026/08/13 17:11</t>
        </is>
      </c>
      <c r="C910" s="141" t="inlineStr">
        <is>
          <t>VÕ THỊ THANH THẢO</t>
        </is>
      </c>
      <c r="D910" s="141" t="inlineStr">
        <is>
          <t>09/02/1975</t>
        </is>
      </c>
      <c r="E910" s="141" t="inlineStr">
        <is>
          <t>Nắn, bó bột gãy xương bàn, ngón tay [bột liền]</t>
        </is>
      </c>
      <c r="F910" s="237" t="n">
        <v>1</v>
      </c>
      <c r="G910" s="237" t="n">
        <v>257000</v>
      </c>
      <c r="H910" s="95">
        <f>25%*75%</f>
        <v/>
      </c>
    </row>
    <row r="911" ht="15.75" customHeight="1">
      <c r="A911" s="94" t="n">
        <v>906</v>
      </c>
      <c r="B911" s="141" t="inlineStr">
        <is>
          <t>2026/08/13 17:11</t>
        </is>
      </c>
      <c r="C911" s="141" t="inlineStr">
        <is>
          <t>VÕ THỊ THANH THẢO</t>
        </is>
      </c>
      <c r="D911" s="141" t="inlineStr">
        <is>
          <t>09/02/1975</t>
        </is>
      </c>
      <c r="E911" s="141" t="inlineStr">
        <is>
          <t>Nắn, bó bột gãy xương ngón chân [bột liền]</t>
        </is>
      </c>
      <c r="F911" s="237" t="n">
        <v>1</v>
      </c>
      <c r="G911" s="237" t="n">
        <v>257000</v>
      </c>
      <c r="H911" s="95">
        <f>25%*75%</f>
        <v/>
      </c>
    </row>
    <row r="912" ht="15.75" customHeight="1">
      <c r="A912" s="94" t="n">
        <v>907</v>
      </c>
      <c r="B912" s="141" t="inlineStr">
        <is>
          <t>2026/08/14 12:12</t>
        </is>
      </c>
      <c r="C912" s="141" t="inlineStr">
        <is>
          <t>LÊ PHÚ HOÀNG</t>
        </is>
      </c>
      <c r="D912" s="141" t="inlineStr">
        <is>
          <t>18/05/2011</t>
        </is>
      </c>
      <c r="E912" s="141" t="inlineStr">
        <is>
          <t>Nắn, bó bột gãy một xương cẳng tay [bột liền]</t>
        </is>
      </c>
      <c r="F912" s="237" t="n">
        <v>1</v>
      </c>
      <c r="G912" s="237" t="n">
        <v>372700</v>
      </c>
      <c r="H912" s="95">
        <f>25%*75%</f>
        <v/>
      </c>
    </row>
    <row r="913" ht="15.75" customHeight="1">
      <c r="A913" s="94" t="n">
        <v>908</v>
      </c>
      <c r="B913" s="141" t="inlineStr">
        <is>
          <t>2026/08/14 14:15</t>
        </is>
      </c>
      <c r="C913" s="141" t="inlineStr">
        <is>
          <t>PHAN THỊ CAM</t>
        </is>
      </c>
      <c r="D913" s="141" t="inlineStr">
        <is>
          <t>01/01/1968</t>
        </is>
      </c>
      <c r="E913" s="141" t="inlineStr">
        <is>
          <t>Bó bột ống trong gãy xương bánh chè</t>
        </is>
      </c>
      <c r="F913" s="237" t="n">
        <v>1</v>
      </c>
      <c r="G913" s="237" t="n">
        <v>167000</v>
      </c>
      <c r="H913" s="95">
        <f>25%*75%</f>
        <v/>
      </c>
    </row>
    <row r="914" ht="15.75" customHeight="1">
      <c r="A914" s="94" t="n">
        <v>909</v>
      </c>
      <c r="B914" s="141" t="inlineStr">
        <is>
          <t>2026/08/17 07:21</t>
        </is>
      </c>
      <c r="C914" s="141" t="inlineStr">
        <is>
          <t>NGUYỄN THỊ ĐIỀN</t>
        </is>
      </c>
      <c r="D914" s="141" t="inlineStr">
        <is>
          <t>25/10/1945</t>
        </is>
      </c>
      <c r="E914" s="141" t="inlineStr">
        <is>
          <t>Tháo bột (trung bình)</t>
        </is>
      </c>
      <c r="F914" s="237" t="n">
        <v>1</v>
      </c>
      <c r="G914" s="237" t="n">
        <v>200000</v>
      </c>
      <c r="H914" s="95">
        <f>25%*75%</f>
        <v/>
      </c>
    </row>
    <row r="915" ht="15.75" customHeight="1">
      <c r="A915" s="94" t="n">
        <v>910</v>
      </c>
      <c r="B915" s="141" t="inlineStr">
        <is>
          <t>2026/08/17 07:58</t>
        </is>
      </c>
      <c r="C915" s="141" t="inlineStr">
        <is>
          <t>ĐẶNG THANH PHONG</t>
        </is>
      </c>
      <c r="D915" s="141" t="inlineStr">
        <is>
          <t>01/01/1976</t>
        </is>
      </c>
      <c r="E915" s="141" t="inlineStr">
        <is>
          <t>Thay băng, cắt chỉ vết mổ [chiều dài ≤ 15cm]</t>
        </is>
      </c>
      <c r="F915" s="237" t="n">
        <v>1</v>
      </c>
      <c r="G915" s="237" t="n">
        <v>64300</v>
      </c>
      <c r="H915" s="95">
        <f>25%*75%</f>
        <v/>
      </c>
    </row>
    <row r="916" ht="15.75" customHeight="1">
      <c r="A916" s="94" t="n">
        <v>911</v>
      </c>
      <c r="B916" s="141" t="inlineStr">
        <is>
          <t>2026/08/17 09:50</t>
        </is>
      </c>
      <c r="C916" s="141" t="inlineStr">
        <is>
          <t>BÙI VĂN SANG</t>
        </is>
      </c>
      <c r="D916" s="141" t="inlineStr">
        <is>
          <t>15/10/1990</t>
        </is>
      </c>
      <c r="E916" s="141" t="inlineStr">
        <is>
          <t>Thay băng, cắt chỉ vết mổ [chiều dài ≤ 15cm]</t>
        </is>
      </c>
      <c r="F916" s="237" t="n">
        <v>1</v>
      </c>
      <c r="G916" s="237" t="n">
        <v>64300</v>
      </c>
      <c r="H916" s="95">
        <f>25%*75%</f>
        <v/>
      </c>
    </row>
    <row r="917" ht="15.75" customHeight="1">
      <c r="A917" s="94" t="n">
        <v>912</v>
      </c>
      <c r="B917" s="141" t="inlineStr">
        <is>
          <t>2026/08/17 13:31</t>
        </is>
      </c>
      <c r="C917" s="141" t="inlineStr">
        <is>
          <t>ĐOÀN THỊ TRÚC LINH</t>
        </is>
      </c>
      <c r="D917" s="141" t="inlineStr">
        <is>
          <t>07/06/2006</t>
        </is>
      </c>
      <c r="E917" s="141" t="inlineStr">
        <is>
          <t>Tháo bột (nhỏ)</t>
        </is>
      </c>
      <c r="F917" s="237" t="n">
        <v>1</v>
      </c>
      <c r="G917" s="237" t="n">
        <v>100000</v>
      </c>
      <c r="H917" s="95">
        <f>25%*75%</f>
        <v/>
      </c>
    </row>
    <row r="918" ht="15.75" customHeight="1">
      <c r="A918" s="94" t="n">
        <v>913</v>
      </c>
      <c r="B918" s="141" t="inlineStr">
        <is>
          <t>2026/08/17 15:38</t>
        </is>
      </c>
      <c r="C918" s="141" t="inlineStr">
        <is>
          <t>CHÂU THỊ NGỌC DUYÊN</t>
        </is>
      </c>
      <c r="D918" s="141" t="inlineStr">
        <is>
          <t>02/11/1975</t>
        </is>
      </c>
      <c r="E918" s="141" t="inlineStr">
        <is>
          <t>Tiêm cân gân chân</t>
        </is>
      </c>
      <c r="F918" s="237" t="n">
        <v>1</v>
      </c>
      <c r="G918" s="237" t="n">
        <v>300000</v>
      </c>
      <c r="H918" s="95">
        <f>25%*75%</f>
        <v/>
      </c>
    </row>
    <row r="919" ht="15.75" customHeight="1">
      <c r="A919" s="94" t="n">
        <v>914</v>
      </c>
      <c r="B919" s="141" t="inlineStr">
        <is>
          <t>2026/08/17 15:45</t>
        </is>
      </c>
      <c r="C919" s="141" t="inlineStr">
        <is>
          <t>HÀ BẢO NGỌC</t>
        </is>
      </c>
      <c r="D919" s="141" t="inlineStr">
        <is>
          <t>22/01/2009</t>
        </is>
      </c>
      <c r="E919" s="141" t="inlineStr">
        <is>
          <t>Bột cẳng bàn chân không kéo nắn</t>
        </is>
      </c>
      <c r="F919" s="237" t="n">
        <v>1</v>
      </c>
      <c r="G919" s="237" t="n">
        <v>400000</v>
      </c>
      <c r="H919" s="95">
        <f>25%*75%</f>
        <v/>
      </c>
    </row>
    <row r="920" ht="15.75" customHeight="1">
      <c r="A920" s="94" t="n">
        <v>915</v>
      </c>
      <c r="B920" s="141" t="inlineStr">
        <is>
          <t>2026/08/17 16:18</t>
        </is>
      </c>
      <c r="C920" s="141" t="inlineStr">
        <is>
          <t>TRỊNH NGỌC THƯ</t>
        </is>
      </c>
      <c r="D920" s="141" t="inlineStr">
        <is>
          <t>05/12/2004</t>
        </is>
      </c>
      <c r="E920" s="141" t="inlineStr">
        <is>
          <t>Bột cẳng bàn chân không kéo nắn</t>
        </is>
      </c>
      <c r="F920" s="237" t="n">
        <v>1</v>
      </c>
      <c r="G920" s="237" t="n">
        <v>400000</v>
      </c>
      <c r="H920" s="95">
        <f>25%*75%</f>
        <v/>
      </c>
    </row>
    <row r="921" ht="15.75" customHeight="1">
      <c r="A921" s="94" t="n">
        <v>916</v>
      </c>
      <c r="B921" s="141" t="inlineStr">
        <is>
          <t>2026/08/17 16:34</t>
        </is>
      </c>
      <c r="C921" s="141" t="inlineStr">
        <is>
          <t>TRẦN KIM PHƯỢNG</t>
        </is>
      </c>
      <c r="D921" s="141" t="inlineStr">
        <is>
          <t>01/01/1971</t>
        </is>
      </c>
      <c r="E921" s="141" t="inlineStr">
        <is>
          <t>Nắn, bó bột gãy xương bàn chân [bột liền]</t>
        </is>
      </c>
      <c r="F921" s="237" t="n">
        <v>1</v>
      </c>
      <c r="G921" s="237" t="n">
        <v>257000</v>
      </c>
      <c r="H921" s="95">
        <f>25%*75%</f>
        <v/>
      </c>
    </row>
    <row r="922" ht="15.75" customHeight="1">
      <c r="A922" s="94" t="n">
        <v>917</v>
      </c>
      <c r="B922" s="141" t="inlineStr">
        <is>
          <t>2026/08/18 07:42</t>
        </is>
      </c>
      <c r="C922" s="141" t="inlineStr">
        <is>
          <t>NGUYỄN VĂN HƯỞNG</t>
        </is>
      </c>
      <c r="D922" s="141" t="inlineStr">
        <is>
          <t>11/12/1992</t>
        </is>
      </c>
      <c r="E922" s="141" t="inlineStr">
        <is>
          <t>Cắt chỉ sau phẫu thuật</t>
        </is>
      </c>
      <c r="F922" s="237" t="n">
        <v>1</v>
      </c>
      <c r="G922" s="237" t="n">
        <v>100000</v>
      </c>
      <c r="H922" s="95">
        <f>25%*75%</f>
        <v/>
      </c>
    </row>
    <row r="923" ht="15.75" customHeight="1">
      <c r="A923" s="94" t="n">
        <v>918</v>
      </c>
      <c r="B923" s="141" t="inlineStr">
        <is>
          <t>2026/08/18 07:42</t>
        </is>
      </c>
      <c r="C923" s="141" t="inlineStr">
        <is>
          <t>NGUYỄN VĂN HƯỞNG</t>
        </is>
      </c>
      <c r="D923" s="141" t="inlineStr">
        <is>
          <t>11/12/1992</t>
        </is>
      </c>
      <c r="E923" s="141" t="inlineStr">
        <is>
          <t>Nắn, bó bột gãy 1/3 dưới hai xương cẳng chân [bột liền]</t>
        </is>
      </c>
      <c r="F923" s="237" t="n">
        <v>1</v>
      </c>
      <c r="G923" s="237" t="n">
        <v>600000</v>
      </c>
      <c r="H923" s="95">
        <f>25%*75%</f>
        <v/>
      </c>
    </row>
    <row r="924" ht="15.75" customHeight="1">
      <c r="A924" s="94" t="n">
        <v>919</v>
      </c>
      <c r="B924" s="141" t="inlineStr">
        <is>
          <t>2026/08/18 08:33</t>
        </is>
      </c>
      <c r="C924" s="141" t="inlineStr">
        <is>
          <t>NGUYỄN THỊ THANH TUYỀN</t>
        </is>
      </c>
      <c r="D924" s="141" t="inlineStr">
        <is>
          <t>17/06/1999</t>
        </is>
      </c>
      <c r="E924" s="141" t="inlineStr">
        <is>
          <t>Tháo bột (nhỏ)</t>
        </is>
      </c>
      <c r="F924" s="237" t="n">
        <v>1</v>
      </c>
      <c r="G924" s="237" t="n">
        <v>100000</v>
      </c>
      <c r="H924" s="95">
        <f>25%*75%</f>
        <v/>
      </c>
    </row>
    <row r="925" ht="15.75" customHeight="1">
      <c r="A925" s="94" t="n">
        <v>920</v>
      </c>
      <c r="B925" s="141" t="inlineStr">
        <is>
          <t>2026/08/18 08:05</t>
        </is>
      </c>
      <c r="C925" s="141" t="inlineStr">
        <is>
          <t>LÂM THỊ THÚY</t>
        </is>
      </c>
      <c r="D925" s="141" t="inlineStr">
        <is>
          <t>01/01/1972</t>
        </is>
      </c>
      <c r="E925" s="141" t="inlineStr">
        <is>
          <t>Cắt chỉ sau phẫu thuật</t>
        </is>
      </c>
      <c r="F925" s="237" t="n">
        <v>1</v>
      </c>
      <c r="G925" s="237" t="n">
        <v>40300</v>
      </c>
      <c r="H925" s="95">
        <f>25%*75%</f>
        <v/>
      </c>
    </row>
    <row r="926" ht="15.75" customHeight="1">
      <c r="A926" s="94" t="n">
        <v>921</v>
      </c>
      <c r="B926" s="141" t="inlineStr">
        <is>
          <t>2026/08/18 08:27</t>
        </is>
      </c>
      <c r="C926" s="141" t="inlineStr">
        <is>
          <t>LÂM QUAN NHỰT</t>
        </is>
      </c>
      <c r="D926" s="141" t="inlineStr">
        <is>
          <t>10/03/1997</t>
        </is>
      </c>
      <c r="E926" s="141" t="inlineStr">
        <is>
          <t>Thay băng, cắt chỉ vết mổ [chiều dài ≤ 15cm]</t>
        </is>
      </c>
      <c r="F926" s="237" t="n">
        <v>1</v>
      </c>
      <c r="G926" s="237" t="n">
        <v>100000</v>
      </c>
      <c r="H926" s="95">
        <f>25%*75%</f>
        <v/>
      </c>
    </row>
    <row r="927" ht="15.75" customHeight="1">
      <c r="A927" s="94" t="n">
        <v>922</v>
      </c>
      <c r="B927" s="141" t="inlineStr">
        <is>
          <t>2026/08/18 08:36</t>
        </is>
      </c>
      <c r="C927" s="141" t="inlineStr">
        <is>
          <t>TRẦN THỊ THÚY HẰNG</t>
        </is>
      </c>
      <c r="D927" s="141" t="inlineStr">
        <is>
          <t>10/12/1979</t>
        </is>
      </c>
      <c r="E927" s="141" t="inlineStr">
        <is>
          <t>Thay băng, cắt chỉ vết mổ [chiều dài ≤ 15cm]</t>
        </is>
      </c>
      <c r="F927" s="237" t="n">
        <v>1</v>
      </c>
      <c r="G927" s="237" t="n">
        <v>64300</v>
      </c>
      <c r="H927" s="95">
        <f>25%*75%</f>
        <v/>
      </c>
    </row>
    <row r="928" ht="15.75" customHeight="1">
      <c r="A928" s="94" t="n">
        <v>923</v>
      </c>
      <c r="B928" s="141" t="inlineStr">
        <is>
          <t>2026/08/18 08:59</t>
        </is>
      </c>
      <c r="C928" s="141" t="inlineStr">
        <is>
          <t>TRẦN THỊ HIẾU</t>
        </is>
      </c>
      <c r="D928" s="141" t="inlineStr">
        <is>
          <t>28/06/2010</t>
        </is>
      </c>
      <c r="E928" s="141" t="inlineStr">
        <is>
          <t>Thay băng, cắt chỉ vết mổ [chiều dài ≤ 15cm]</t>
        </is>
      </c>
      <c r="F928" s="237" t="n">
        <v>1</v>
      </c>
      <c r="G928" s="237" t="n">
        <v>64300</v>
      </c>
      <c r="H928" s="95">
        <f>25%*75%</f>
        <v/>
      </c>
    </row>
    <row r="929" ht="15.75" customHeight="1">
      <c r="A929" s="94" t="n">
        <v>924</v>
      </c>
      <c r="B929" s="141" t="inlineStr">
        <is>
          <t>2026/08/18 10:22</t>
        </is>
      </c>
      <c r="C929" s="141" t="inlineStr">
        <is>
          <t>PHẠM THỊ KIM GIÀU</t>
        </is>
      </c>
      <c r="D929" s="141" t="inlineStr">
        <is>
          <t>26/08/2007</t>
        </is>
      </c>
      <c r="E929" s="141" t="inlineStr">
        <is>
          <t>Thay băng, cắt chỉ vết mổ [chiều dài ≤ 15cm]</t>
        </is>
      </c>
      <c r="F929" s="237" t="n">
        <v>1</v>
      </c>
      <c r="G929" s="237" t="n">
        <v>64300</v>
      </c>
      <c r="H929" s="95">
        <f>25%*75%</f>
        <v/>
      </c>
    </row>
    <row r="930" ht="15.75" customHeight="1">
      <c r="A930" s="94" t="n">
        <v>925</v>
      </c>
      <c r="B930" s="141" t="inlineStr">
        <is>
          <t>2026/08/18 13:13</t>
        </is>
      </c>
      <c r="C930" s="141" t="inlineStr">
        <is>
          <t>VÕ MINH TRÍ</t>
        </is>
      </c>
      <c r="D930" s="141" t="inlineStr">
        <is>
          <t>03/01/1994</t>
        </is>
      </c>
      <c r="E930" s="141" t="inlineStr">
        <is>
          <t>Cắt chỉ kim loại</t>
        </is>
      </c>
      <c r="F930" s="237" t="n">
        <v>1</v>
      </c>
      <c r="G930" s="237" t="n">
        <v>120000</v>
      </c>
      <c r="H930" s="95">
        <f>25%*75%</f>
        <v/>
      </c>
    </row>
    <row r="931" ht="15.75" customHeight="1">
      <c r="A931" s="94" t="n">
        <v>926</v>
      </c>
      <c r="B931" s="141" t="inlineStr">
        <is>
          <t>2026/08/18 13:27</t>
        </is>
      </c>
      <c r="C931" s="141" t="inlineStr">
        <is>
          <t>TRẦN THỊ HỒNG THI</t>
        </is>
      </c>
      <c r="D931" s="141" t="inlineStr">
        <is>
          <t>01/01/1963</t>
        </is>
      </c>
      <c r="E931" s="141" t="inlineStr">
        <is>
          <t>Nắn, bó bột gãy xương bàn chân [bột liền]</t>
        </is>
      </c>
      <c r="F931" s="237" t="n">
        <v>1</v>
      </c>
      <c r="G931" s="237" t="n">
        <v>400000</v>
      </c>
      <c r="H931" s="95">
        <f>25%*75%</f>
        <v/>
      </c>
    </row>
    <row r="932" ht="15.75" customHeight="1">
      <c r="A932" s="94" t="n">
        <v>927</v>
      </c>
      <c r="B932" s="141" t="inlineStr">
        <is>
          <t>2026/08/18 13:42</t>
        </is>
      </c>
      <c r="C932" s="141" t="inlineStr">
        <is>
          <t>NGUYỄN HỮU HIỆP</t>
        </is>
      </c>
      <c r="D932" s="141" t="inlineStr">
        <is>
          <t>01/01/1973</t>
        </is>
      </c>
      <c r="E932" s="141" t="inlineStr">
        <is>
          <t>Cắt chỉ sau phẫu thuật</t>
        </is>
      </c>
      <c r="F932" s="237" t="n">
        <v>1</v>
      </c>
      <c r="G932" s="237" t="n">
        <v>40300</v>
      </c>
      <c r="H932" s="95">
        <f>25%*75%</f>
        <v/>
      </c>
    </row>
    <row r="933" ht="15.75" customHeight="1">
      <c r="A933" s="94" t="n">
        <v>928</v>
      </c>
      <c r="B933" s="141" t="inlineStr">
        <is>
          <t>2026/08/18 14:52</t>
        </is>
      </c>
      <c r="C933" s="141" t="inlineStr">
        <is>
          <t>PHẠM NGỌC BÍCH LIÊN</t>
        </is>
      </c>
      <c r="D933" s="141" t="inlineStr">
        <is>
          <t>27/03/1969</t>
        </is>
      </c>
      <c r="E933" s="141" t="inlineStr">
        <is>
          <t>Thay băng, cắt chỉ vết mổ [chiều dài ≤ 15cm]</t>
        </is>
      </c>
      <c r="F933" s="237" t="n">
        <v>1</v>
      </c>
      <c r="G933" s="237" t="n">
        <v>64300</v>
      </c>
      <c r="H933" s="95">
        <f>25%*75%</f>
        <v/>
      </c>
    </row>
    <row r="934" ht="15.75" customHeight="1">
      <c r="A934" s="94" t="n">
        <v>929</v>
      </c>
      <c r="B934" s="141" t="inlineStr">
        <is>
          <t>2026/08/18 16:37</t>
        </is>
      </c>
      <c r="C934" s="141" t="inlineStr">
        <is>
          <t>PHÙNG THỊ MAI TRANG</t>
        </is>
      </c>
      <c r="D934" s="141" t="inlineStr">
        <is>
          <t>20/10/1978</t>
        </is>
      </c>
      <c r="E934" s="141" t="inlineStr">
        <is>
          <t>Nắn, bó bột gãy xương ngón chân [bột liền]</t>
        </is>
      </c>
      <c r="F934" s="237" t="n">
        <v>1</v>
      </c>
      <c r="G934" s="237" t="n">
        <v>257000</v>
      </c>
      <c r="H934" s="95">
        <f>25%*75%</f>
        <v/>
      </c>
    </row>
    <row r="935" ht="15.75" customHeight="1">
      <c r="A935" s="94" t="n">
        <v>930</v>
      </c>
      <c r="B935" s="141" t="inlineStr">
        <is>
          <t>2026/08/18 16:37</t>
        </is>
      </c>
      <c r="C935" s="141" t="inlineStr">
        <is>
          <t>PHÙNG THỊ MAI TRANG</t>
        </is>
      </c>
      <c r="D935" s="141" t="inlineStr">
        <is>
          <t>20/10/1978</t>
        </is>
      </c>
      <c r="E935" s="141" t="inlineStr">
        <is>
          <t>Nắn, bó bột gãy một xương cẳng tay [bột liền]</t>
        </is>
      </c>
      <c r="F935" s="237" t="n">
        <v>1</v>
      </c>
      <c r="G935" s="237" t="n">
        <v>372700</v>
      </c>
      <c r="H935" s="95">
        <f>25%*75%</f>
        <v/>
      </c>
    </row>
    <row r="936" ht="15.75" customHeight="1">
      <c r="A936" s="94" t="n">
        <v>931</v>
      </c>
      <c r="B936" s="141" t="inlineStr">
        <is>
          <t>2026/08/19 07:20</t>
        </is>
      </c>
      <c r="C936" s="141" t="inlineStr">
        <is>
          <t>TRẦN THỊ ĐÈO</t>
        </is>
      </c>
      <c r="D936" s="141" t="inlineStr">
        <is>
          <t>01/01/1971</t>
        </is>
      </c>
      <c r="E936" s="141" t="inlineStr">
        <is>
          <t>Cắt chỉ sau phẫu thuật</t>
        </is>
      </c>
      <c r="F936" s="237" t="n">
        <v>1</v>
      </c>
      <c r="G936" s="237" t="n">
        <v>100000</v>
      </c>
      <c r="H936" s="95">
        <f>25%*75%</f>
        <v/>
      </c>
    </row>
    <row r="937" ht="15.75" customHeight="1">
      <c r="A937" s="94" t="n">
        <v>932</v>
      </c>
      <c r="B937" s="141" t="inlineStr">
        <is>
          <t>2026/08/19 07:34</t>
        </is>
      </c>
      <c r="C937" s="141" t="inlineStr">
        <is>
          <t>HUỲNH TÍN TÂM</t>
        </is>
      </c>
      <c r="D937" s="141" t="inlineStr">
        <is>
          <t>01/01/1967</t>
        </is>
      </c>
      <c r="E937" s="141" t="inlineStr">
        <is>
          <t>Thay băng, cắt chỉ vết mổ [chiều dài ≤ 15cm]</t>
        </is>
      </c>
      <c r="F937" s="237" t="n">
        <v>1</v>
      </c>
      <c r="G937" s="237" t="n">
        <v>64300</v>
      </c>
      <c r="H937" s="95">
        <f>25%*75%</f>
        <v/>
      </c>
    </row>
    <row r="938" ht="15.75" customHeight="1">
      <c r="A938" s="94" t="n">
        <v>933</v>
      </c>
      <c r="B938" s="141" t="inlineStr">
        <is>
          <t>2026/08/19 07:38</t>
        </is>
      </c>
      <c r="C938" s="141" t="inlineStr">
        <is>
          <t>LÊ HOÀNG TUẤN NAM</t>
        </is>
      </c>
      <c r="D938" s="141" t="inlineStr">
        <is>
          <t>01/01/2004</t>
        </is>
      </c>
      <c r="E938" s="141" t="inlineStr">
        <is>
          <t>Cắt chỉ sau phẫu thuật</t>
        </is>
      </c>
      <c r="F938" s="237" t="n">
        <v>1</v>
      </c>
      <c r="G938" s="237" t="n">
        <v>100000</v>
      </c>
      <c r="H938" s="95">
        <f>25%*75%</f>
        <v/>
      </c>
    </row>
    <row r="939" ht="15.75" customHeight="1">
      <c r="A939" s="94" t="n">
        <v>934</v>
      </c>
      <c r="B939" s="141" t="inlineStr">
        <is>
          <t>2026/08/19 07:58</t>
        </is>
      </c>
      <c r="C939" s="141" t="inlineStr">
        <is>
          <t>TRƯƠNG CẨM TÚ</t>
        </is>
      </c>
      <c r="D939" s="141" t="inlineStr">
        <is>
          <t>09/02/1994</t>
        </is>
      </c>
      <c r="E939" s="141" t="inlineStr">
        <is>
          <t>Thay băng, cắt chỉ vết mổ [chiều dài ≤ 15cm]</t>
        </is>
      </c>
      <c r="F939" s="237" t="n">
        <v>1</v>
      </c>
      <c r="G939" s="237" t="n">
        <v>64300</v>
      </c>
      <c r="H939" s="95">
        <f>25%*75%</f>
        <v/>
      </c>
    </row>
    <row r="940" ht="15.75" customHeight="1">
      <c r="A940" s="94" t="n">
        <v>935</v>
      </c>
      <c r="B940" s="141" t="inlineStr">
        <is>
          <t>2026/08/19 10:13</t>
        </is>
      </c>
      <c r="C940" s="141" t="inlineStr">
        <is>
          <t>NGUYỄN THỊ ÁNH LOAN</t>
        </is>
      </c>
      <c r="D940" s="141" t="inlineStr">
        <is>
          <t>30/10/1967</t>
        </is>
      </c>
      <c r="E940" s="141" t="inlineStr">
        <is>
          <t>Thay băng, cắt chỉ vết mổ [chiều dài ≤ 15cm]</t>
        </is>
      </c>
      <c r="F940" s="237" t="n">
        <v>1</v>
      </c>
      <c r="G940" s="237" t="n">
        <v>100000</v>
      </c>
      <c r="H940" s="95">
        <f>25%*75%</f>
        <v/>
      </c>
    </row>
    <row r="941" ht="15.75" customHeight="1">
      <c r="A941" s="94" t="n">
        <v>936</v>
      </c>
      <c r="B941" s="141" t="inlineStr">
        <is>
          <t>2026/08/19 08:55</t>
        </is>
      </c>
      <c r="C941" s="141" t="inlineStr">
        <is>
          <t>NGUYỄN THỊ HOÀNG LINH</t>
        </is>
      </c>
      <c r="D941" s="141" t="inlineStr">
        <is>
          <t>01/01/1970</t>
        </is>
      </c>
      <c r="E941" s="141" t="inlineStr">
        <is>
          <t>Tháo bột (nhỏ)</t>
        </is>
      </c>
      <c r="F941" s="237" t="n">
        <v>1</v>
      </c>
      <c r="G941" s="237" t="n">
        <v>100000</v>
      </c>
      <c r="H941" s="95">
        <f>25%*75%</f>
        <v/>
      </c>
    </row>
    <row r="942" ht="15.75" customHeight="1">
      <c r="A942" s="94" t="n">
        <v>937</v>
      </c>
      <c r="B942" s="141" t="inlineStr">
        <is>
          <t>2026/08/19 14:45</t>
        </is>
      </c>
      <c r="C942" s="141" t="inlineStr">
        <is>
          <t>NGUYỄN ĐẶNG TUẤN</t>
        </is>
      </c>
      <c r="D942" s="141" t="inlineStr">
        <is>
          <t>15/05/1981</t>
        </is>
      </c>
      <c r="E942" s="141" t="inlineStr">
        <is>
          <t>Hút dịch khớp khuỷu</t>
        </is>
      </c>
      <c r="F942" s="237" t="n">
        <v>1</v>
      </c>
      <c r="G942" s="238" t="n">
        <v>129600</v>
      </c>
      <c r="H942" s="95">
        <f>25%*75%</f>
        <v/>
      </c>
    </row>
    <row r="943" ht="15.75" customHeight="1">
      <c r="A943" s="94" t="n">
        <v>938</v>
      </c>
      <c r="B943" s="141" t="inlineStr">
        <is>
          <t>2026/08/19 14:53</t>
        </is>
      </c>
      <c r="C943" s="141" t="inlineStr">
        <is>
          <t>TRẦN THỊ MỸ TRỌNG</t>
        </is>
      </c>
      <c r="D943" s="141" t="inlineStr">
        <is>
          <t>26/04/1992</t>
        </is>
      </c>
      <c r="E943" s="141" t="inlineStr">
        <is>
          <t>Thay băng, cắt chỉ vết mổ [chiều dài ≤ 15cm]</t>
        </is>
      </c>
      <c r="F943" s="237" t="n">
        <v>1</v>
      </c>
      <c r="G943" s="238" t="n">
        <v>64300</v>
      </c>
      <c r="H943" s="95">
        <f>25%*75%</f>
        <v/>
      </c>
    </row>
    <row r="944" ht="15.75" customHeight="1">
      <c r="A944" s="94" t="n">
        <v>939</v>
      </c>
      <c r="B944" s="141" t="inlineStr">
        <is>
          <t>2026/08/19 15:18</t>
        </is>
      </c>
      <c r="C944" s="141" t="inlineStr">
        <is>
          <t>CAO VĂN BA</t>
        </is>
      </c>
      <c r="D944" s="141" t="inlineStr">
        <is>
          <t>01/01/1952</t>
        </is>
      </c>
      <c r="E944" s="141" t="inlineStr">
        <is>
          <t>Thay băng, cắt chỉ vết mổ [chiều dài ≤ 15cm]</t>
        </is>
      </c>
      <c r="F944" s="237" t="n">
        <v>1</v>
      </c>
      <c r="G944" s="238" t="n">
        <v>64300</v>
      </c>
      <c r="H944" s="95">
        <f>25%*75%</f>
        <v/>
      </c>
    </row>
    <row r="945" ht="15.75" customHeight="1">
      <c r="A945" s="94" t="n">
        <v>940</v>
      </c>
      <c r="B945" s="141" t="inlineStr">
        <is>
          <t>2026/08/20 05:17</t>
        </is>
      </c>
      <c r="C945" s="141" t="inlineStr">
        <is>
          <t>THẠCH THANH THÚY</t>
        </is>
      </c>
      <c r="D945" s="141" t="inlineStr">
        <is>
          <t>01/01/1996</t>
        </is>
      </c>
      <c r="E945" s="141" t="inlineStr">
        <is>
          <t>Nắn, bó bột gãy xương bàn, ngón tay [bột liền]</t>
        </is>
      </c>
      <c r="F945" s="237" t="n">
        <v>1</v>
      </c>
      <c r="G945" s="238" t="n">
        <v>400000</v>
      </c>
      <c r="H945" s="95">
        <f>25%*75%</f>
        <v/>
      </c>
    </row>
    <row r="946" ht="15.75" customHeight="1">
      <c r="A946" s="94" t="n">
        <v>941</v>
      </c>
      <c r="B946" s="141" t="inlineStr">
        <is>
          <t>2026/08/20 07:38</t>
        </is>
      </c>
      <c r="C946" s="141" t="inlineStr">
        <is>
          <t>NGUYỄN THỊ PHƯỢNG</t>
        </is>
      </c>
      <c r="D946" s="141" t="inlineStr">
        <is>
          <t>16/11/1969</t>
        </is>
      </c>
      <c r="E946" s="141" t="inlineStr">
        <is>
          <t>Thay băng, cắt chỉ vết mổ [chiều dài ≤ 15cm]</t>
        </is>
      </c>
      <c r="F946" s="237" t="n">
        <v>1</v>
      </c>
      <c r="G946" s="238" t="n">
        <v>64300</v>
      </c>
      <c r="H946" s="95">
        <f>25%*75%</f>
        <v/>
      </c>
    </row>
    <row r="947" ht="15.75" customHeight="1">
      <c r="A947" s="94" t="n">
        <v>942</v>
      </c>
      <c r="B947" s="141" t="inlineStr">
        <is>
          <t>2026/08/20 08:02</t>
        </is>
      </c>
      <c r="C947" s="141" t="inlineStr">
        <is>
          <t>PHAN THƯỢNG HẢI</t>
        </is>
      </c>
      <c r="D947" s="141" t="inlineStr">
        <is>
          <t>15/07/1972</t>
        </is>
      </c>
      <c r="E947" s="141" t="inlineStr">
        <is>
          <t>Thay băng, cắt chỉ vết mổ</t>
        </is>
      </c>
      <c r="F947" s="237" t="n">
        <v>1</v>
      </c>
      <c r="G947" s="238" t="n">
        <v>40300</v>
      </c>
      <c r="H947" s="95">
        <f>25%*75%</f>
        <v/>
      </c>
    </row>
    <row r="948" ht="15.75" customHeight="1">
      <c r="A948" s="94" t="n">
        <v>943</v>
      </c>
      <c r="B948" s="141" t="inlineStr">
        <is>
          <t>2026/08/20 08:43</t>
        </is>
      </c>
      <c r="C948" s="141" t="inlineStr">
        <is>
          <t>CHÂU THỊ THÚY VY</t>
        </is>
      </c>
      <c r="D948" s="141" t="inlineStr">
        <is>
          <t>10/12/1997</t>
        </is>
      </c>
      <c r="E948" s="141" t="inlineStr">
        <is>
          <t>Thay băng, cắt chỉ vết mổ [chiều dài ≤ 15cm]</t>
        </is>
      </c>
      <c r="F948" s="237" t="n">
        <v>1</v>
      </c>
      <c r="G948" s="238" t="n">
        <v>100000</v>
      </c>
      <c r="H948" s="95">
        <f>25%*75%</f>
        <v/>
      </c>
    </row>
    <row r="949" ht="15.75" customHeight="1">
      <c r="A949" s="94" t="n">
        <v>944</v>
      </c>
      <c r="B949" s="141" t="inlineStr">
        <is>
          <t>2026/08/20 09:14</t>
        </is>
      </c>
      <c r="C949" s="141" t="inlineStr">
        <is>
          <t>NGUYỄN VĂN KHẢI</t>
        </is>
      </c>
      <c r="D949" s="141" t="inlineStr">
        <is>
          <t>04/11/1951</t>
        </is>
      </c>
      <c r="E949" s="141" t="inlineStr">
        <is>
          <t>Cắt chỉ kim loại</t>
        </is>
      </c>
      <c r="F949" s="237" t="n">
        <v>1</v>
      </c>
      <c r="G949" s="238" t="n">
        <v>120000</v>
      </c>
      <c r="H949" s="95">
        <f>25%*75%</f>
        <v/>
      </c>
    </row>
    <row r="950" ht="15.75" customHeight="1">
      <c r="A950" s="94" t="n">
        <v>945</v>
      </c>
      <c r="B950" s="141" t="inlineStr">
        <is>
          <t>2026/08/20 16:40</t>
        </is>
      </c>
      <c r="C950" s="141" t="inlineStr">
        <is>
          <t>HÀ PHƯỚC HẬU</t>
        </is>
      </c>
      <c r="D950" s="141" t="inlineStr">
        <is>
          <t>27/07/2008</t>
        </is>
      </c>
      <c r="E950" s="141" t="inlineStr">
        <is>
          <t>Nẹp bột các loại, không nắn (loại 3)</t>
        </is>
      </c>
      <c r="F950" s="237" t="n">
        <v>1</v>
      </c>
      <c r="G950" s="238" t="n">
        <v>400000</v>
      </c>
      <c r="H950" s="95">
        <f>25%*75%</f>
        <v/>
      </c>
    </row>
    <row r="951" ht="15.75" customHeight="1">
      <c r="A951" s="94" t="n">
        <v>946</v>
      </c>
      <c r="B951" s="141" t="inlineStr">
        <is>
          <t>2026/08/21 08:20</t>
        </is>
      </c>
      <c r="C951" s="141" t="inlineStr">
        <is>
          <t>NGUYỄN ĐỨC TÍN</t>
        </is>
      </c>
      <c r="D951" s="141" t="inlineStr">
        <is>
          <t>04/01/1986</t>
        </is>
      </c>
      <c r="E951" s="141" t="inlineStr">
        <is>
          <t>Cắt chỉ sau phẫu thuật</t>
        </is>
      </c>
      <c r="F951" s="237" t="n">
        <v>1</v>
      </c>
      <c r="G951" s="238" t="n">
        <v>40300</v>
      </c>
      <c r="H951" s="95">
        <f>25%*75%</f>
        <v/>
      </c>
    </row>
    <row r="952" ht="15.75" customHeight="1">
      <c r="A952" s="94" t="n">
        <v>947</v>
      </c>
      <c r="B952" s="141" t="inlineStr">
        <is>
          <t>2026/08/21 08:54</t>
        </is>
      </c>
      <c r="C952" s="141" t="inlineStr">
        <is>
          <t>PHẠM THỊ BẨN</t>
        </is>
      </c>
      <c r="D952" s="141" t="inlineStr">
        <is>
          <t>17/12/1965</t>
        </is>
      </c>
      <c r="E952" s="141" t="inlineStr">
        <is>
          <t>Cắt chỉ sau phẫu thuật</t>
        </is>
      </c>
      <c r="F952" s="237" t="n">
        <v>1</v>
      </c>
      <c r="G952" s="238" t="n">
        <v>100000</v>
      </c>
      <c r="H952" s="95">
        <f>25%*75%</f>
        <v/>
      </c>
    </row>
    <row r="953" ht="15.75" customHeight="1">
      <c r="A953" s="94" t="n">
        <v>948</v>
      </c>
      <c r="B953" s="141" t="inlineStr">
        <is>
          <t>2026/08/21 10:12</t>
        </is>
      </c>
      <c r="C953" s="141" t="inlineStr">
        <is>
          <t>PHAN THIÊN NHẬT</t>
        </is>
      </c>
      <c r="D953" s="141" t="inlineStr">
        <is>
          <t>30/11/2000</t>
        </is>
      </c>
      <c r="E953" s="141" t="inlineStr">
        <is>
          <t>Nắn, bó bột gãy xương bàn, ngón tay [bột liền]</t>
        </is>
      </c>
      <c r="F953" s="237" t="n">
        <v>1</v>
      </c>
      <c r="G953" s="238" t="n">
        <v>257000</v>
      </c>
      <c r="H953" s="95">
        <f>25%*75%</f>
        <v/>
      </c>
    </row>
    <row r="954" ht="15.75" customHeight="1">
      <c r="A954" s="94" t="n">
        <v>949</v>
      </c>
      <c r="B954" s="141" t="inlineStr">
        <is>
          <t>2026/08/21 11:17</t>
        </is>
      </c>
      <c r="C954" s="141" t="inlineStr">
        <is>
          <t>NGUYỄN THỊ ĐÀO</t>
        </is>
      </c>
      <c r="D954" s="141" t="inlineStr">
        <is>
          <t>01/01/1957</t>
        </is>
      </c>
      <c r="E954" s="141" t="inlineStr">
        <is>
          <t>Cắt chỉ sau phẫu thuật</t>
        </is>
      </c>
      <c r="F954" s="237" t="n">
        <v>1</v>
      </c>
      <c r="G954" s="238" t="n">
        <v>40300</v>
      </c>
      <c r="H954" s="95">
        <f>25%*75%</f>
        <v/>
      </c>
    </row>
    <row r="955" ht="15.75" customHeight="1">
      <c r="A955" s="94" t="n">
        <v>950</v>
      </c>
      <c r="B955" s="141" t="inlineStr">
        <is>
          <t>2026/08/21 09:24</t>
        </is>
      </c>
      <c r="C955" s="141" t="inlineStr">
        <is>
          <t>NGUYỄN THỊ PHƯỢNG</t>
        </is>
      </c>
      <c r="D955" s="141" t="inlineStr">
        <is>
          <t>01/01/1977</t>
        </is>
      </c>
      <c r="E955" s="141" t="inlineStr">
        <is>
          <t>Cắt chỉ sau phẫu thuật</t>
        </is>
      </c>
      <c r="F955" s="237" t="n">
        <v>1</v>
      </c>
      <c r="G955" s="238" t="n">
        <v>100000</v>
      </c>
      <c r="H955" s="95">
        <f>25%*75%</f>
        <v/>
      </c>
    </row>
    <row r="956" ht="15.75" customHeight="1">
      <c r="A956" s="94" t="n">
        <v>951</v>
      </c>
      <c r="B956" s="141" t="inlineStr">
        <is>
          <t>2026/08/21 13:49</t>
        </is>
      </c>
      <c r="C956" s="141" t="inlineStr">
        <is>
          <t>LÊ THỊ NHỊ</t>
        </is>
      </c>
      <c r="D956" s="141" t="inlineStr">
        <is>
          <t>22/02/1966</t>
        </is>
      </c>
      <c r="E956" s="141" t="inlineStr">
        <is>
          <t>Tháo bột (nhỏ)</t>
        </is>
      </c>
      <c r="F956" s="237" t="n">
        <v>1</v>
      </c>
      <c r="G956" s="238" t="n">
        <v>100000</v>
      </c>
      <c r="H956" s="95">
        <f>25%*75%</f>
        <v/>
      </c>
    </row>
    <row r="957" ht="15.75" customHeight="1">
      <c r="A957" s="94" t="n">
        <v>952</v>
      </c>
      <c r="B957" s="141" t="inlineStr">
        <is>
          <t>2026/08/21 17:38</t>
        </is>
      </c>
      <c r="C957" s="141" t="inlineStr">
        <is>
          <t>HỒ THỊ THANH HÀ</t>
        </is>
      </c>
      <c r="D957" s="141" t="inlineStr">
        <is>
          <t>18/11/1967</t>
        </is>
      </c>
      <c r="E957" s="141" t="inlineStr">
        <is>
          <t>Nẹp bột các loại, không nắn (loại 1)</t>
        </is>
      </c>
      <c r="F957" s="237" t="n">
        <v>1</v>
      </c>
      <c r="G957" s="238" t="n">
        <v>200000</v>
      </c>
      <c r="H957" s="95">
        <f>25%*75%</f>
        <v/>
      </c>
    </row>
    <row r="958" ht="15.75" customHeight="1">
      <c r="A958" s="94" t="n">
        <v>953</v>
      </c>
      <c r="B958" s="141" t="inlineStr">
        <is>
          <t>2026/08/23 13:06</t>
        </is>
      </c>
      <c r="C958" s="141" t="inlineStr">
        <is>
          <t>NGUYỄN VĂN SÁU</t>
        </is>
      </c>
      <c r="D958" s="141" t="inlineStr">
        <is>
          <t>01/01/1962</t>
        </is>
      </c>
      <c r="E958" s="141" t="inlineStr">
        <is>
          <t>Nẹp bột các loại, không nắn (loại 1)</t>
        </is>
      </c>
      <c r="F958" s="237" t="n">
        <v>1</v>
      </c>
      <c r="G958" s="238" t="n">
        <v>200000</v>
      </c>
      <c r="H958" s="95">
        <f>25%*75%</f>
        <v/>
      </c>
    </row>
    <row r="959" ht="15.75" customHeight="1">
      <c r="A959" s="94" t="n">
        <v>954</v>
      </c>
      <c r="B959" s="141" t="inlineStr">
        <is>
          <t>2026/08/23 13:57</t>
        </is>
      </c>
      <c r="C959" s="141" t="inlineStr">
        <is>
          <t>NGUYỄN THỊ HẠNH</t>
        </is>
      </c>
      <c r="D959" s="141" t="inlineStr">
        <is>
          <t>28/11/1968</t>
        </is>
      </c>
      <c r="E959" s="141" t="inlineStr">
        <is>
          <t>Nẹp bột các loại, không nắn (loại 1)</t>
        </is>
      </c>
      <c r="F959" s="237" t="n">
        <v>1</v>
      </c>
      <c r="G959" s="238" t="n">
        <v>200000</v>
      </c>
      <c r="H959" s="95">
        <f>25%*75%</f>
        <v/>
      </c>
    </row>
    <row r="960" ht="15.75" customHeight="1">
      <c r="A960" s="94" t="n">
        <v>955</v>
      </c>
      <c r="B960" s="141" t="inlineStr">
        <is>
          <t>2026/08/24 07:00</t>
        </is>
      </c>
      <c r="C960" s="141" t="inlineStr">
        <is>
          <t>LÂM VĂN TẤN</t>
        </is>
      </c>
      <c r="D960" s="141" t="inlineStr">
        <is>
          <t>01/01/1969</t>
        </is>
      </c>
      <c r="E960" s="141" t="inlineStr">
        <is>
          <t>Nắn, bó bột gãy 1/3 dưới hai xương cẳng chân [bột liền]</t>
        </is>
      </c>
      <c r="F960" s="237" t="n">
        <v>1</v>
      </c>
      <c r="G960" s="238" t="n">
        <v>600000</v>
      </c>
      <c r="H960" s="95">
        <f>25%*75%</f>
        <v/>
      </c>
    </row>
    <row r="961" ht="15.75" customHeight="1">
      <c r="A961" s="94" t="n">
        <v>956</v>
      </c>
      <c r="B961" s="141" t="inlineStr">
        <is>
          <t>2026/08/24 08:58</t>
        </is>
      </c>
      <c r="C961" s="141" t="inlineStr">
        <is>
          <t>VĂNG VĂN ĐỒ</t>
        </is>
      </c>
      <c r="D961" s="141" t="inlineStr">
        <is>
          <t>25/05/1972</t>
        </is>
      </c>
      <c r="E961" s="141" t="inlineStr">
        <is>
          <t>Thay băng, cắt chỉ vết mổ [chiều dài ≤ 15cm]</t>
        </is>
      </c>
      <c r="F961" s="237" t="n">
        <v>1</v>
      </c>
      <c r="G961" s="238" t="n">
        <v>64300</v>
      </c>
      <c r="H961" s="95">
        <f>25%*75%</f>
        <v/>
      </c>
    </row>
    <row r="962" ht="15.75" customHeight="1">
      <c r="A962" s="94" t="n">
        <v>957</v>
      </c>
      <c r="B962" s="141" t="inlineStr">
        <is>
          <t>2026/08/24 07:41</t>
        </is>
      </c>
      <c r="C962" s="141" t="inlineStr">
        <is>
          <t>LÊ THỊ ÚT NHỎ</t>
        </is>
      </c>
      <c r="D962" s="141" t="inlineStr">
        <is>
          <t>15/10/1978</t>
        </is>
      </c>
      <c r="E962" s="141" t="inlineStr">
        <is>
          <t>Thay băng, cắt chỉ vết mổ [chiều dài ≤ 15cm]</t>
        </is>
      </c>
      <c r="F962" s="237" t="n">
        <v>1</v>
      </c>
      <c r="G962" s="238" t="n">
        <v>64300</v>
      </c>
      <c r="H962" s="95">
        <f>25%*75%</f>
        <v/>
      </c>
    </row>
    <row r="963" ht="15.75" customHeight="1">
      <c r="A963" s="94" t="n">
        <v>958</v>
      </c>
      <c r="B963" s="141" t="inlineStr">
        <is>
          <t>2026/08/24 07:58</t>
        </is>
      </c>
      <c r="C963" s="141" t="inlineStr">
        <is>
          <t>LÊ THANH TUẤN</t>
        </is>
      </c>
      <c r="D963" s="141" t="inlineStr">
        <is>
          <t>01/01/1980</t>
        </is>
      </c>
      <c r="E963" s="141" t="inlineStr">
        <is>
          <t>Thay băng, cắt chỉ vết mổ [chiều dài ≤ 15cm]</t>
        </is>
      </c>
      <c r="F963" s="237" t="n">
        <v>1</v>
      </c>
      <c r="G963" s="238" t="n">
        <v>100000</v>
      </c>
      <c r="H963" s="95">
        <f>25%*75%</f>
        <v/>
      </c>
    </row>
    <row r="964" ht="15.75" customHeight="1">
      <c r="A964" s="94" t="n">
        <v>959</v>
      </c>
      <c r="B964" s="141" t="inlineStr">
        <is>
          <t>2026/08/24 10:13</t>
        </is>
      </c>
      <c r="C964" s="141" t="inlineStr">
        <is>
          <t>VÕ THỊ TUYẾT SƯƠNG</t>
        </is>
      </c>
      <c r="D964" s="141" t="inlineStr">
        <is>
          <t>01/01/1982</t>
        </is>
      </c>
      <c r="E964" s="141" t="inlineStr">
        <is>
          <t>Tháo bột (nhỏ)</t>
        </is>
      </c>
      <c r="F964" s="237" t="n">
        <v>1</v>
      </c>
      <c r="G964" s="238" t="n">
        <v>100000</v>
      </c>
      <c r="H964" s="95">
        <f>25%*75%</f>
        <v/>
      </c>
    </row>
    <row r="965" ht="15.75" customHeight="1">
      <c r="A965" s="94" t="n">
        <v>960</v>
      </c>
      <c r="B965" s="141" t="inlineStr">
        <is>
          <t>2026/08/24 08:22</t>
        </is>
      </c>
      <c r="C965" s="141" t="inlineStr">
        <is>
          <t>HUỲNH VIỆT DŨNG</t>
        </is>
      </c>
      <c r="D965" s="141" t="inlineStr">
        <is>
          <t>11/04/2004</t>
        </is>
      </c>
      <c r="E965" s="141" t="inlineStr">
        <is>
          <t>Thay băng, cắt chỉ vết mổ [chiều dài ≤ 15cm]</t>
        </is>
      </c>
      <c r="F965" s="237" t="n">
        <v>1</v>
      </c>
      <c r="G965" s="238" t="n">
        <v>100000</v>
      </c>
      <c r="H965" s="95">
        <f>25%*75%</f>
        <v/>
      </c>
    </row>
    <row r="966" ht="15.75" customHeight="1">
      <c r="A966" s="94" t="n">
        <v>961</v>
      </c>
      <c r="B966" s="141" t="inlineStr">
        <is>
          <t>2026/08/24 08:33</t>
        </is>
      </c>
      <c r="C966" s="141" t="inlineStr">
        <is>
          <t>NGUYỄN THỊ MAI CHI</t>
        </is>
      </c>
      <c r="D966" s="141" t="inlineStr">
        <is>
          <t>28/08/1990</t>
        </is>
      </c>
      <c r="E966" s="141" t="inlineStr">
        <is>
          <t>Thay băng, cắt chỉ vết mổ [chiều dài ≤ 15cm]</t>
        </is>
      </c>
      <c r="F966" s="237" t="n">
        <v>1</v>
      </c>
      <c r="G966" s="238" t="n">
        <v>64300</v>
      </c>
      <c r="H966" s="95">
        <f>25%*75%</f>
        <v/>
      </c>
    </row>
    <row r="967" ht="15.75" customHeight="1">
      <c r="A967" s="94" t="n">
        <v>962</v>
      </c>
      <c r="B967" s="141" t="inlineStr">
        <is>
          <t>2026/08/24 14:22</t>
        </is>
      </c>
      <c r="C967" s="141" t="inlineStr">
        <is>
          <t>LÊ THANH HIỀN</t>
        </is>
      </c>
      <c r="D967" s="141" t="inlineStr">
        <is>
          <t>04/10/1989</t>
        </is>
      </c>
      <c r="E967" s="141" t="inlineStr">
        <is>
          <t>Thay băng, cắt chỉ vết mổ [chiều dài ≤ 15cm]</t>
        </is>
      </c>
      <c r="F967" s="237" t="n">
        <v>1</v>
      </c>
      <c r="G967" s="238" t="n">
        <v>64300</v>
      </c>
      <c r="H967" s="95">
        <f>25%*75%</f>
        <v/>
      </c>
    </row>
    <row r="968" ht="15.75" customHeight="1">
      <c r="A968" s="94" t="n">
        <v>963</v>
      </c>
      <c r="B968" s="141" t="inlineStr">
        <is>
          <t>2026/08/24 13:46</t>
        </is>
      </c>
      <c r="C968" s="141" t="inlineStr">
        <is>
          <t>TRẦN THỊ NGỌC MỸ</t>
        </is>
      </c>
      <c r="D968" s="141" t="inlineStr">
        <is>
          <t>01/01/1994</t>
        </is>
      </c>
      <c r="E968" s="141" t="inlineStr">
        <is>
          <t>Thay băng, cắt chỉ vết mổ [chiều dài ≤ 15cm]</t>
        </is>
      </c>
      <c r="F968" s="237" t="n">
        <v>1</v>
      </c>
      <c r="G968" s="238" t="n">
        <v>64300</v>
      </c>
      <c r="H968" s="95">
        <f>25%*75%</f>
        <v/>
      </c>
    </row>
    <row r="969" ht="15.75" customHeight="1">
      <c r="A969" s="94" t="n">
        <v>964</v>
      </c>
      <c r="B969" s="141" t="inlineStr">
        <is>
          <t>2026/08/24 14:12</t>
        </is>
      </c>
      <c r="C969" s="141" t="inlineStr">
        <is>
          <t>HỒ THỊ NGỰ</t>
        </is>
      </c>
      <c r="D969" s="141" t="inlineStr">
        <is>
          <t>01/01/1969</t>
        </is>
      </c>
      <c r="E969" s="141" t="inlineStr">
        <is>
          <t>Thay băng, cắt chỉ vết mổ [chiều dài ≤ 15cm]</t>
        </is>
      </c>
      <c r="F969" s="237" t="n">
        <v>1</v>
      </c>
      <c r="G969" s="238" t="n">
        <v>64300</v>
      </c>
      <c r="H969" s="95">
        <f>25%*75%</f>
        <v/>
      </c>
    </row>
    <row r="970" ht="15.75" customHeight="1">
      <c r="A970" s="94" t="n">
        <v>965</v>
      </c>
      <c r="B970" s="141" t="inlineStr">
        <is>
          <t>2026/08/24 14:57</t>
        </is>
      </c>
      <c r="C970" s="141" t="inlineStr">
        <is>
          <t>NGUYỄN BẢO CHÂU</t>
        </is>
      </c>
      <c r="D970" s="141" t="inlineStr">
        <is>
          <t>06/03/1992</t>
        </is>
      </c>
      <c r="E970" s="141" t="inlineStr">
        <is>
          <t>Nắn, bó bột gãy một xương cẳng tay [bột liền]</t>
        </is>
      </c>
      <c r="F970" s="237" t="n">
        <v>1</v>
      </c>
      <c r="G970" s="238" t="n">
        <v>500000</v>
      </c>
      <c r="H970" s="95">
        <f>25%*75%</f>
        <v/>
      </c>
    </row>
    <row r="971" ht="15.75" customHeight="1">
      <c r="A971" s="94" t="n">
        <v>966</v>
      </c>
      <c r="B971" s="141" t="inlineStr">
        <is>
          <t>2026/08/25 07:35</t>
        </is>
      </c>
      <c r="C971" s="141" t="inlineStr">
        <is>
          <t>ĐẶNG THỊ GẤM</t>
        </is>
      </c>
      <c r="D971" s="141" t="inlineStr">
        <is>
          <t>01/01/1965</t>
        </is>
      </c>
      <c r="E971" s="141" t="inlineStr">
        <is>
          <t>Thay băng, cắt chỉ vết mổ [chiều dài ≤ 15cm]</t>
        </is>
      </c>
      <c r="F971" s="237" t="n">
        <v>1</v>
      </c>
      <c r="G971" s="238" t="n">
        <v>100000</v>
      </c>
      <c r="H971" s="95">
        <f>25%*75%</f>
        <v/>
      </c>
    </row>
    <row r="972" ht="15.75" customHeight="1">
      <c r="A972" s="94" t="n">
        <v>967</v>
      </c>
      <c r="B972" s="141" t="inlineStr">
        <is>
          <t>2026/08/25 07:40</t>
        </is>
      </c>
      <c r="C972" s="141" t="inlineStr">
        <is>
          <t>NGUYỄN THỊ HƯỞNG</t>
        </is>
      </c>
      <c r="D972" s="141" t="inlineStr">
        <is>
          <t>12/04/1971</t>
        </is>
      </c>
      <c r="E972" s="141" t="inlineStr">
        <is>
          <t>Thay băng, cắt chỉ vết mổ [chiều dài ≤ 15cm]</t>
        </is>
      </c>
      <c r="F972" s="237" t="n">
        <v>1</v>
      </c>
      <c r="G972" s="238" t="n">
        <v>64300</v>
      </c>
      <c r="H972" s="95">
        <f>25%*75%</f>
        <v/>
      </c>
    </row>
    <row r="973" ht="15.75" customHeight="1">
      <c r="A973" s="94" t="n">
        <v>968</v>
      </c>
      <c r="B973" s="141" t="inlineStr">
        <is>
          <t>2026/08/25 10:07</t>
        </is>
      </c>
      <c r="C973" s="141" t="inlineStr">
        <is>
          <t>TRẦN THIỆN NHÂN</t>
        </is>
      </c>
      <c r="D973" s="141" t="inlineStr">
        <is>
          <t>01/01/2009</t>
        </is>
      </c>
      <c r="E973" s="141" t="inlineStr">
        <is>
          <t>Tháo bột (nhỏ)</t>
        </is>
      </c>
      <c r="F973" s="237" t="n">
        <v>1</v>
      </c>
      <c r="G973" s="238" t="n">
        <v>100000</v>
      </c>
      <c r="H973" s="95">
        <f>25%*75%</f>
        <v/>
      </c>
    </row>
    <row r="974" ht="15.75" customHeight="1">
      <c r="A974" s="94" t="n">
        <v>969</v>
      </c>
      <c r="B974" s="141" t="inlineStr">
        <is>
          <t>2026/08/25 15:12</t>
        </is>
      </c>
      <c r="C974" s="141" t="inlineStr">
        <is>
          <t>ĐẶNG THỊ XƯA</t>
        </is>
      </c>
      <c r="D974" s="141" t="inlineStr">
        <is>
          <t>20/02/1981</t>
        </is>
      </c>
      <c r="E974" s="141" t="inlineStr">
        <is>
          <t>Thay băng, cắt chỉ vết mổ [chiều dài ≤ 15cm]</t>
        </is>
      </c>
      <c r="F974" s="237" t="n">
        <v>1</v>
      </c>
      <c r="G974" s="238" t="n">
        <v>64300</v>
      </c>
      <c r="H974" s="95">
        <f>25%*75%</f>
        <v/>
      </c>
    </row>
    <row r="975" ht="15.75" customHeight="1">
      <c r="A975" s="94" t="n">
        <v>970</v>
      </c>
      <c r="B975" s="141" t="inlineStr">
        <is>
          <t>2026/08/25 18:43</t>
        </is>
      </c>
      <c r="C975" s="141" t="inlineStr">
        <is>
          <t>HUỲNH VŨ TRƯỜNG</t>
        </is>
      </c>
      <c r="D975" s="141" t="inlineStr">
        <is>
          <t>01/01/1993</t>
        </is>
      </c>
      <c r="E975" s="141" t="inlineStr">
        <is>
          <t>Nắn, bó bột gãy một xương cẳng tay [bột liền]</t>
        </is>
      </c>
      <c r="F975" s="237" t="n">
        <v>1</v>
      </c>
      <c r="G975" s="238" t="n">
        <v>372700</v>
      </c>
      <c r="H975" s="95">
        <f>25%*75%</f>
        <v/>
      </c>
    </row>
    <row r="976" ht="15.75" customHeight="1">
      <c r="A976" s="94" t="n">
        <v>971</v>
      </c>
      <c r="B976" s="141" t="inlineStr">
        <is>
          <t>2026/08/26 13:30</t>
        </is>
      </c>
      <c r="C976" s="141" t="inlineStr">
        <is>
          <t>NGUYỄN THỊ TRÚC LINH</t>
        </is>
      </c>
      <c r="D976" s="141" t="inlineStr">
        <is>
          <t>29/12/1984</t>
        </is>
      </c>
      <c r="E976" s="141" t="inlineStr">
        <is>
          <t>Tiêm khớp bàn ngón tay</t>
        </is>
      </c>
      <c r="F976" s="237" t="n">
        <v>1</v>
      </c>
      <c r="G976" s="238" t="n">
        <v>104400</v>
      </c>
      <c r="H976" s="95">
        <f>25%*75%</f>
        <v/>
      </c>
    </row>
    <row r="977" ht="15.75" customHeight="1">
      <c r="A977" s="94" t="n">
        <v>972</v>
      </c>
      <c r="B977" s="141" t="inlineStr">
        <is>
          <t>2026/08/26 13:29</t>
        </is>
      </c>
      <c r="C977" s="141" t="inlineStr">
        <is>
          <t>NGUYỄN THỊ TRÚC LINH</t>
        </is>
      </c>
      <c r="D977" s="141" t="inlineStr">
        <is>
          <t>29/12/1984</t>
        </is>
      </c>
      <c r="E977" s="141" t="inlineStr">
        <is>
          <t>Tiêm khớp bàn ngón tay</t>
        </is>
      </c>
      <c r="F977" s="237" t="n">
        <v>1</v>
      </c>
      <c r="G977" s="238" t="n">
        <v>104400</v>
      </c>
      <c r="H977" s="95">
        <f>25%*75%</f>
        <v/>
      </c>
    </row>
    <row r="978" ht="15.75" customHeight="1">
      <c r="A978" s="94" t="n">
        <v>973</v>
      </c>
      <c r="B978" s="141" t="inlineStr">
        <is>
          <t>2026/08/26 07:48</t>
        </is>
      </c>
      <c r="C978" s="141" t="inlineStr">
        <is>
          <t>NGUYỄN QUỐC HỌC</t>
        </is>
      </c>
      <c r="D978" s="141" t="inlineStr">
        <is>
          <t>01/09/2009</t>
        </is>
      </c>
      <c r="E978" s="141" t="inlineStr">
        <is>
          <t>Thay băng, cắt chỉ vết mổ [chiều dài ≤ 15cm]</t>
        </is>
      </c>
      <c r="F978" s="237" t="n">
        <v>1</v>
      </c>
      <c r="G978" s="238" t="n">
        <v>100000</v>
      </c>
      <c r="H978" s="95">
        <f>25%*75%</f>
        <v/>
      </c>
    </row>
    <row r="979" ht="15.75" customHeight="1">
      <c r="A979" s="94" t="n">
        <v>974</v>
      </c>
      <c r="B979" s="141" t="inlineStr">
        <is>
          <t>2026/08/26 08:02</t>
        </is>
      </c>
      <c r="C979" s="141" t="inlineStr">
        <is>
          <t>NGUYỄN PHƯỚC TOÀN</t>
        </is>
      </c>
      <c r="D979" s="141" t="inlineStr">
        <is>
          <t>01/06/2004</t>
        </is>
      </c>
      <c r="E979" s="141" t="inlineStr">
        <is>
          <t>Tháo bột (nhỏ)</t>
        </is>
      </c>
      <c r="F979" s="237" t="n">
        <v>1</v>
      </c>
      <c r="G979" s="238" t="n">
        <v>100000</v>
      </c>
      <c r="H979" s="95">
        <f>25%*75%</f>
        <v/>
      </c>
    </row>
    <row r="980" ht="15.75" customHeight="1">
      <c r="A980" s="94" t="n">
        <v>975</v>
      </c>
      <c r="B980" s="141" t="inlineStr">
        <is>
          <t>2026/08/26 14:50</t>
        </is>
      </c>
      <c r="C980" s="141" t="inlineStr">
        <is>
          <t>NGUYỄN THỊ NHƯ Ý</t>
        </is>
      </c>
      <c r="D980" s="141" t="inlineStr">
        <is>
          <t>12/06/2008</t>
        </is>
      </c>
      <c r="E980" s="141" t="inlineStr">
        <is>
          <t>Thay băng, cắt chỉ vết mổ [chiều dài ≤ 15cm]</t>
        </is>
      </c>
      <c r="F980" s="237" t="n">
        <v>1</v>
      </c>
      <c r="G980" s="238" t="n">
        <v>64300</v>
      </c>
      <c r="H980" s="95">
        <f>25%*75%</f>
        <v/>
      </c>
    </row>
    <row r="981" ht="15.75" customHeight="1">
      <c r="A981" s="94" t="n">
        <v>976</v>
      </c>
      <c r="B981" s="141" t="inlineStr">
        <is>
          <t>2026/08/26 15:20</t>
        </is>
      </c>
      <c r="C981" s="141" t="inlineStr">
        <is>
          <t>PHẠM DƯ KIM NGÂN</t>
        </is>
      </c>
      <c r="D981" s="141" t="inlineStr">
        <is>
          <t>23/01/2021</t>
        </is>
      </c>
      <c r="E981" s="141" t="inlineStr">
        <is>
          <t>Tháo bột (trung bình)</t>
        </is>
      </c>
      <c r="F981" s="237" t="n">
        <v>1</v>
      </c>
      <c r="G981" s="238" t="n">
        <v>200000</v>
      </c>
      <c r="H981" s="95">
        <f>25%*75%</f>
        <v/>
      </c>
    </row>
    <row r="982" ht="15.75" customHeight="1">
      <c r="A982" s="94" t="n">
        <v>977</v>
      </c>
      <c r="B982" s="141" t="inlineStr">
        <is>
          <t>2026/08/26 15:22</t>
        </is>
      </c>
      <c r="C982" s="141" t="inlineStr">
        <is>
          <t>LÊ TRÍ DŨNG</t>
        </is>
      </c>
      <c r="D982" s="141" t="inlineStr">
        <is>
          <t>12/07/2004</t>
        </is>
      </c>
      <c r="E982" s="141" t="inlineStr">
        <is>
          <t>Thay băng, cắt chỉ vết mổ [chiều dài ≤ 15cm]</t>
        </is>
      </c>
      <c r="F982" s="237" t="n">
        <v>1</v>
      </c>
      <c r="G982" s="238" t="n">
        <v>100000</v>
      </c>
      <c r="H982" s="95">
        <f>25%*75%</f>
        <v/>
      </c>
    </row>
    <row r="983" ht="15.75" customHeight="1">
      <c r="A983" s="94" t="n">
        <v>978</v>
      </c>
      <c r="B983" s="141" t="inlineStr">
        <is>
          <t>2026/08/27 07:28</t>
        </is>
      </c>
      <c r="C983" s="141" t="inlineStr">
        <is>
          <t>NGUYỄN THỊ DUNG</t>
        </is>
      </c>
      <c r="D983" s="141" t="inlineStr">
        <is>
          <t>01/01/1944</t>
        </is>
      </c>
      <c r="E983" s="141" t="inlineStr">
        <is>
          <t>Thay băng, cắt chỉ vết mổ</t>
        </is>
      </c>
      <c r="F983" s="237" t="n">
        <v>1</v>
      </c>
      <c r="G983" s="238" t="n">
        <v>40300</v>
      </c>
      <c r="H983" s="95">
        <f>25%*75%</f>
        <v/>
      </c>
    </row>
    <row r="984" ht="15.75" customHeight="1">
      <c r="A984" s="94" t="n">
        <v>979</v>
      </c>
      <c r="B984" s="141" t="inlineStr">
        <is>
          <t>2026/08/27 07:45</t>
        </is>
      </c>
      <c r="C984" s="141" t="inlineStr">
        <is>
          <t>NGUYỄN THỊ ÚT EM</t>
        </is>
      </c>
      <c r="D984" s="141" t="inlineStr">
        <is>
          <t>01/01/1962</t>
        </is>
      </c>
      <c r="E984" s="141" t="inlineStr">
        <is>
          <t>Thay băng, cắt chỉ vết mổ</t>
        </is>
      </c>
      <c r="F984" s="237" t="n">
        <v>1</v>
      </c>
      <c r="G984" s="238" t="n">
        <v>100000</v>
      </c>
      <c r="H984" s="95">
        <f>25%*75%</f>
        <v/>
      </c>
    </row>
    <row r="985" ht="15.75" customHeight="1">
      <c r="A985" s="94" t="n">
        <v>980</v>
      </c>
      <c r="B985" s="141" t="inlineStr">
        <is>
          <t>2026/08/27 07:41</t>
        </is>
      </c>
      <c r="C985" s="141" t="inlineStr">
        <is>
          <t>NGUYỄN THỊ LAN</t>
        </is>
      </c>
      <c r="D985" s="141" t="inlineStr">
        <is>
          <t>10/10/1958</t>
        </is>
      </c>
      <c r="E985" s="141" t="inlineStr">
        <is>
          <t>Thay băng, cắt chỉ vết mổ</t>
        </is>
      </c>
      <c r="F985" s="237" t="n">
        <v>1</v>
      </c>
      <c r="G985" s="238" t="n">
        <v>40300</v>
      </c>
      <c r="H985" s="95">
        <f>25%*75%</f>
        <v/>
      </c>
    </row>
    <row r="986" ht="15.75" customHeight="1">
      <c r="A986" s="94" t="n">
        <v>981</v>
      </c>
      <c r="B986" s="141" t="inlineStr">
        <is>
          <t>2026/08/27 07:54</t>
        </is>
      </c>
      <c r="C986" s="141" t="inlineStr">
        <is>
          <t>LÊ NGỌC ĐIỆP</t>
        </is>
      </c>
      <c r="D986" s="141" t="inlineStr">
        <is>
          <t>29/08/1962</t>
        </is>
      </c>
      <c r="E986" s="141" t="inlineStr">
        <is>
          <t>Thay băng, cắt chỉ vết mổ</t>
        </is>
      </c>
      <c r="F986" s="237" t="n">
        <v>1</v>
      </c>
      <c r="G986" s="238" t="n">
        <v>40300</v>
      </c>
      <c r="H986" s="95">
        <f>25%*75%</f>
        <v/>
      </c>
    </row>
    <row r="987" ht="15.75" customHeight="1">
      <c r="A987" s="94" t="n">
        <v>982</v>
      </c>
      <c r="B987" s="141" t="inlineStr">
        <is>
          <t>2026/08/27 07:37</t>
        </is>
      </c>
      <c r="C987" s="141" t="inlineStr">
        <is>
          <t>VÕ VĂN ĐOÀN</t>
        </is>
      </c>
      <c r="D987" s="141" t="inlineStr">
        <is>
          <t>15/08/1978</t>
        </is>
      </c>
      <c r="E987" s="141" t="inlineStr">
        <is>
          <t>Cắt chỉ kim loại</t>
        </is>
      </c>
      <c r="F987" s="237" t="n">
        <v>1</v>
      </c>
      <c r="G987" s="238" t="n">
        <v>120000</v>
      </c>
      <c r="H987" s="95">
        <f>25%*75%</f>
        <v/>
      </c>
    </row>
    <row r="988" ht="15.75" customHeight="1">
      <c r="A988" s="94" t="n">
        <v>983</v>
      </c>
      <c r="B988" s="141" t="inlineStr">
        <is>
          <t>2026/08/27 07:59</t>
        </is>
      </c>
      <c r="C988" s="141" t="inlineStr">
        <is>
          <t>TRẦN LỆ XUÂN</t>
        </is>
      </c>
      <c r="D988" s="141" t="inlineStr">
        <is>
          <t>01/01/1964</t>
        </is>
      </c>
      <c r="E988" s="141" t="inlineStr">
        <is>
          <t>Thay băng, cắt chỉ vết mổ</t>
        </is>
      </c>
      <c r="F988" s="237" t="n">
        <v>1</v>
      </c>
      <c r="G988" s="238" t="n">
        <v>40300</v>
      </c>
      <c r="H988" s="95">
        <f>25%*75%</f>
        <v/>
      </c>
    </row>
    <row r="989" ht="15.75" customHeight="1">
      <c r="A989" s="94" t="n">
        <v>984</v>
      </c>
      <c r="B989" s="141" t="inlineStr">
        <is>
          <t>2026/08/27 08:12</t>
        </is>
      </c>
      <c r="C989" s="141" t="inlineStr">
        <is>
          <t>HUỲNH THU CÚC</t>
        </is>
      </c>
      <c r="D989" s="141" t="inlineStr">
        <is>
          <t>01/09/1962</t>
        </is>
      </c>
      <c r="E989" s="141" t="inlineStr">
        <is>
          <t>Tháo bột (nhỏ)</t>
        </is>
      </c>
      <c r="F989" s="237" t="n">
        <v>1</v>
      </c>
      <c r="G989" s="238" t="n">
        <v>100000</v>
      </c>
      <c r="H989" s="95">
        <f>25%*75%</f>
        <v/>
      </c>
    </row>
    <row r="990" ht="15.75" customHeight="1">
      <c r="A990" s="94" t="n">
        <v>985</v>
      </c>
      <c r="B990" s="141" t="inlineStr">
        <is>
          <t>2026/08/27 08:09</t>
        </is>
      </c>
      <c r="C990" s="141" t="inlineStr">
        <is>
          <t>TRẦN THANH QUI</t>
        </is>
      </c>
      <c r="D990" s="141" t="inlineStr">
        <is>
          <t>31/05/2005</t>
        </is>
      </c>
      <c r="E990" s="141" t="inlineStr">
        <is>
          <t>Cắt chỉ kim loại</t>
        </is>
      </c>
      <c r="F990" s="237" t="n">
        <v>1</v>
      </c>
      <c r="G990" s="238" t="n">
        <v>120000</v>
      </c>
      <c r="H990" s="95">
        <f>25%*75%</f>
        <v/>
      </c>
    </row>
    <row r="991" ht="15.75" customHeight="1">
      <c r="A991" s="94" t="n">
        <v>986</v>
      </c>
      <c r="B991" s="141" t="inlineStr">
        <is>
          <t>2026/08/27 08:43</t>
        </is>
      </c>
      <c r="C991" s="141" t="inlineStr">
        <is>
          <t>TRẦN THỊ DIỄM TRANG</t>
        </is>
      </c>
      <c r="D991" s="141" t="inlineStr">
        <is>
          <t>15/04/1984</t>
        </is>
      </c>
      <c r="E991" s="141" t="inlineStr">
        <is>
          <t>Thay băng, cắt chỉ vết mổ</t>
        </is>
      </c>
      <c r="F991" s="237" t="n">
        <v>1</v>
      </c>
      <c r="G991" s="238" t="n">
        <v>40300</v>
      </c>
      <c r="H991" s="95">
        <f>25%*75%</f>
        <v/>
      </c>
    </row>
    <row r="992" ht="15.75" customHeight="1">
      <c r="A992" s="94" t="n">
        <v>987</v>
      </c>
      <c r="B992" s="141" t="inlineStr">
        <is>
          <t>2026/08/27 09:32</t>
        </is>
      </c>
      <c r="C992" s="141" t="inlineStr">
        <is>
          <t>NGUYỄN THỊ HƯƠNG</t>
        </is>
      </c>
      <c r="D992" s="141" t="inlineStr">
        <is>
          <t>02/07/1965</t>
        </is>
      </c>
      <c r="E992" s="141" t="inlineStr">
        <is>
          <t>Thay băng, cắt chỉ vết mổ</t>
        </is>
      </c>
      <c r="F992" s="237" t="n">
        <v>1</v>
      </c>
      <c r="G992" s="238" t="n">
        <v>40300</v>
      </c>
      <c r="H992" s="95">
        <f>25%*75%</f>
        <v/>
      </c>
    </row>
    <row r="993" ht="15.75" customHeight="1">
      <c r="A993" s="94" t="n">
        <v>988</v>
      </c>
      <c r="B993" s="141" t="inlineStr">
        <is>
          <t>2026/08/27 09:35</t>
        </is>
      </c>
      <c r="C993" s="141" t="inlineStr">
        <is>
          <t>ĐẶNG ĐÌNH BẰNG</t>
        </is>
      </c>
      <c r="D993" s="141" t="inlineStr">
        <is>
          <t>25/08/1985</t>
        </is>
      </c>
      <c r="E993" s="141" t="inlineStr">
        <is>
          <t>Thay băng, cắt chỉ vết mổ</t>
        </is>
      </c>
      <c r="F993" s="237" t="n">
        <v>1</v>
      </c>
      <c r="G993" s="238" t="n">
        <v>40300</v>
      </c>
      <c r="H993" s="95">
        <f>25%*75%</f>
        <v/>
      </c>
    </row>
    <row r="994" ht="15.75" customHeight="1">
      <c r="A994" s="94" t="n">
        <v>989</v>
      </c>
      <c r="B994" s="141" t="inlineStr">
        <is>
          <t>2026/08/27 13:31</t>
        </is>
      </c>
      <c r="C994" s="141" t="inlineStr">
        <is>
          <t>NGUYỄN THỊ NĂM</t>
        </is>
      </c>
      <c r="D994" s="141" t="inlineStr">
        <is>
          <t>30/04/1955</t>
        </is>
      </c>
      <c r="E994" s="141" t="inlineStr">
        <is>
          <t>Tháo bột (nhỏ)</t>
        </is>
      </c>
      <c r="F994" s="237" t="n">
        <v>1</v>
      </c>
      <c r="G994" s="238" t="n">
        <v>100000</v>
      </c>
      <c r="H994" s="95">
        <f>25%*75%</f>
        <v/>
      </c>
    </row>
    <row r="995" ht="15.75" customHeight="1">
      <c r="A995" s="94" t="n">
        <v>990</v>
      </c>
      <c r="B995" s="141" t="inlineStr">
        <is>
          <t>2026/08/27 15:16</t>
        </is>
      </c>
      <c r="C995" s="141" t="inlineStr">
        <is>
          <t>VÕ THỊ NGỌC XUÂN</t>
        </is>
      </c>
      <c r="D995" s="141" t="inlineStr">
        <is>
          <t>19/02/1998</t>
        </is>
      </c>
      <c r="E995" s="141" t="inlineStr">
        <is>
          <t>Thay băng, cắt chỉ vết mổ [chiều dài ≤ 15cm]</t>
        </is>
      </c>
      <c r="F995" s="237" t="n">
        <v>1</v>
      </c>
      <c r="G995" s="238" t="n">
        <v>100000</v>
      </c>
      <c r="H995" s="95">
        <f>25%*75%</f>
        <v/>
      </c>
    </row>
    <row r="996" ht="15.75" customHeight="1">
      <c r="A996" s="94" t="n">
        <v>991</v>
      </c>
      <c r="B996" s="141" t="inlineStr">
        <is>
          <t>2026/08/27 16:14</t>
        </is>
      </c>
      <c r="C996" s="141" t="inlineStr">
        <is>
          <t>BÙI PHÚC TRỌNG</t>
        </is>
      </c>
      <c r="D996" s="141" t="inlineStr">
        <is>
          <t>26/04/2015</t>
        </is>
      </c>
      <c r="E996" s="141" t="inlineStr">
        <is>
          <t>Nắn, bó bột gãy một xương cẳng tay [bột liền]</t>
        </is>
      </c>
      <c r="F996" s="237" t="n">
        <v>1</v>
      </c>
      <c r="G996" s="238" t="n">
        <v>372700</v>
      </c>
      <c r="H996" s="95">
        <f>25%*75%</f>
        <v/>
      </c>
    </row>
    <row r="997" ht="15.75" customHeight="1">
      <c r="A997" s="94" t="n">
        <v>992</v>
      </c>
      <c r="B997" s="141" t="inlineStr">
        <is>
          <t>2026/08/28 07:19</t>
        </is>
      </c>
      <c r="C997" s="141" t="inlineStr">
        <is>
          <t>NGÔ TUẤN AN</t>
        </is>
      </c>
      <c r="D997" s="141" t="inlineStr">
        <is>
          <t>01/01/1988</t>
        </is>
      </c>
      <c r="E997" s="141" t="inlineStr">
        <is>
          <t>Cắt chỉ kim loại</t>
        </is>
      </c>
      <c r="F997" s="237" t="n">
        <v>1</v>
      </c>
      <c r="G997" s="238" t="n">
        <v>120000</v>
      </c>
      <c r="H997" s="95">
        <f>25%*75%</f>
        <v/>
      </c>
    </row>
    <row r="998" ht="15.75" customHeight="1">
      <c r="A998" s="94" t="n">
        <v>993</v>
      </c>
      <c r="B998" s="141" t="inlineStr">
        <is>
          <t>2026/08/28 07:12</t>
        </is>
      </c>
      <c r="C998" s="141" t="inlineStr">
        <is>
          <t>TRƯƠNG TRUNG TRỰC</t>
        </is>
      </c>
      <c r="D998" s="141" t="inlineStr">
        <is>
          <t>01/09/1942</t>
        </is>
      </c>
      <c r="E998" s="141" t="inlineStr">
        <is>
          <t>Cắt chỉ kim loại</t>
        </is>
      </c>
      <c r="F998" s="237" t="n">
        <v>1</v>
      </c>
      <c r="G998" s="238" t="n">
        <v>120000</v>
      </c>
      <c r="H998" s="95">
        <f>25%*75%</f>
        <v/>
      </c>
    </row>
    <row r="999" ht="15.75" customHeight="1">
      <c r="A999" s="94" t="n">
        <v>994</v>
      </c>
      <c r="B999" s="141" t="inlineStr">
        <is>
          <t>2026/08/28 07:48</t>
        </is>
      </c>
      <c r="C999" s="141" t="inlineStr">
        <is>
          <t>LÝ XUÂN HUY</t>
        </is>
      </c>
      <c r="D999" s="141" t="inlineStr">
        <is>
          <t>06/08/1985</t>
        </is>
      </c>
      <c r="E999" s="141" t="inlineStr">
        <is>
          <t>Tháo bột (nhỏ)</t>
        </is>
      </c>
      <c r="F999" s="237" t="n">
        <v>1</v>
      </c>
      <c r="G999" s="238" t="n">
        <v>100000</v>
      </c>
      <c r="H999" s="95">
        <f>25%*75%</f>
        <v/>
      </c>
    </row>
    <row r="1000" ht="15.75" customHeight="1">
      <c r="A1000" s="94" t="n">
        <v>995</v>
      </c>
      <c r="B1000" s="141" t="inlineStr">
        <is>
          <t>2026/08/28 09:11</t>
        </is>
      </c>
      <c r="C1000" s="141" t="inlineStr">
        <is>
          <t>PHẠM QUỐC THÁI</t>
        </is>
      </c>
      <c r="D1000" s="141" t="inlineStr">
        <is>
          <t>13/01/2004</t>
        </is>
      </c>
      <c r="E1000" s="141" t="inlineStr">
        <is>
          <t>Tháo bột (nhỏ)</t>
        </is>
      </c>
      <c r="F1000" s="237" t="n">
        <v>1</v>
      </c>
      <c r="G1000" s="238" t="n">
        <v>100000</v>
      </c>
      <c r="H1000" s="95">
        <f>25%*75%</f>
        <v/>
      </c>
    </row>
    <row r="1001" ht="15.75" customHeight="1">
      <c r="A1001" s="94" t="n">
        <v>996</v>
      </c>
      <c r="B1001" s="141" t="inlineStr">
        <is>
          <t>2026/08/28 09:43</t>
        </is>
      </c>
      <c r="C1001" s="141" t="inlineStr">
        <is>
          <t>NGUYỄN THÀNH LONG</t>
        </is>
      </c>
      <c r="D1001" s="141" t="inlineStr">
        <is>
          <t>03/01/1971</t>
        </is>
      </c>
      <c r="E1001" s="141" t="inlineStr">
        <is>
          <t>Thay băng, cắt chỉ vết mổ [chiều dài ≤ 15cm]</t>
        </is>
      </c>
      <c r="F1001" s="237" t="n">
        <v>1</v>
      </c>
      <c r="G1001" s="238" t="n">
        <v>64300</v>
      </c>
      <c r="H1001" s="95">
        <f>25%*75%</f>
        <v/>
      </c>
    </row>
    <row r="1002" ht="15.75" customHeight="1">
      <c r="A1002" s="94" t="n">
        <v>997</v>
      </c>
      <c r="B1002" s="141" t="inlineStr">
        <is>
          <t>2026/08/28 09:53</t>
        </is>
      </c>
      <c r="C1002" s="141" t="inlineStr">
        <is>
          <t>PHẠM THỊ DIỄM</t>
        </is>
      </c>
      <c r="D1002" s="141" t="inlineStr">
        <is>
          <t>15/04/1982</t>
        </is>
      </c>
      <c r="E1002" s="141" t="inlineStr">
        <is>
          <t>Thay băng, cắt chỉ vết mổ [chiều dài ≤ 15cm]</t>
        </is>
      </c>
      <c r="F1002" s="237" t="n">
        <v>1</v>
      </c>
      <c r="G1002" s="238" t="n">
        <v>64300</v>
      </c>
      <c r="H1002" s="95">
        <f>25%*75%</f>
        <v/>
      </c>
    </row>
    <row r="1003" ht="15.75" customHeight="1">
      <c r="A1003" s="94" t="n">
        <v>998</v>
      </c>
      <c r="B1003" s="141" t="inlineStr">
        <is>
          <t>2026/08/28 09:48</t>
        </is>
      </c>
      <c r="C1003" s="141" t="inlineStr">
        <is>
          <t>NGUYỄN THỊ HÈ</t>
        </is>
      </c>
      <c r="D1003" s="141" t="inlineStr">
        <is>
          <t>01/01/1968</t>
        </is>
      </c>
      <c r="E1003" s="141" t="inlineStr">
        <is>
          <t>Thay băng, cắt chỉ vết mổ [chiều dài ≤ 15cm]</t>
        </is>
      </c>
      <c r="F1003" s="237" t="n">
        <v>1</v>
      </c>
      <c r="G1003" s="238" t="n">
        <v>64300</v>
      </c>
      <c r="H1003" s="95">
        <f>25%*75%</f>
        <v/>
      </c>
    </row>
    <row r="1004" ht="15.75" customHeight="1">
      <c r="A1004" s="94" t="n">
        <v>999</v>
      </c>
      <c r="B1004" s="141" t="inlineStr">
        <is>
          <t>2026/08/28 14:49</t>
        </is>
      </c>
      <c r="C1004" s="141" t="inlineStr">
        <is>
          <t>HUỲNH NGỌC SƠN</t>
        </is>
      </c>
      <c r="D1004" s="141" t="inlineStr">
        <is>
          <t>21/10/2002</t>
        </is>
      </c>
      <c r="E1004" s="141" t="inlineStr">
        <is>
          <t>Thay băng, cắt chỉ vết mổ [chiều dài ≤ 15cm]</t>
        </is>
      </c>
      <c r="F1004" s="237" t="n">
        <v>1</v>
      </c>
      <c r="G1004" s="238" t="n">
        <v>64300</v>
      </c>
      <c r="H1004" s="95">
        <f>25%*75%</f>
        <v/>
      </c>
    </row>
    <row r="1005" ht="15.75" customHeight="1">
      <c r="A1005" s="94" t="n">
        <v>1000</v>
      </c>
      <c r="B1005" s="141" t="inlineStr">
        <is>
          <t>2026/08/28 15:04</t>
        </is>
      </c>
      <c r="C1005" s="141" t="inlineStr">
        <is>
          <t>ĐẶNG NGỌC CHÀNG</t>
        </is>
      </c>
      <c r="D1005" s="141" t="inlineStr">
        <is>
          <t>01/01/1981</t>
        </is>
      </c>
      <c r="E1005" s="141" t="inlineStr">
        <is>
          <t>Thay băng, cắt chỉ vết mổ [chiều dài ≤ 15cm]</t>
        </is>
      </c>
      <c r="F1005" s="237" t="n">
        <v>1</v>
      </c>
      <c r="G1005" s="238" t="n">
        <v>100000</v>
      </c>
      <c r="H1005" s="95">
        <f>25%*75%</f>
        <v/>
      </c>
    </row>
    <row r="1006" ht="15.75" customHeight="1">
      <c r="A1006" s="94" t="n">
        <v>1001</v>
      </c>
      <c r="B1006" s="141" t="inlineStr">
        <is>
          <t>2026/08/29 18:18</t>
        </is>
      </c>
      <c r="C1006" s="141" t="inlineStr">
        <is>
          <t>THẠCH THANH THÚY</t>
        </is>
      </c>
      <c r="D1006" s="141" t="inlineStr">
        <is>
          <t>01/01/1996</t>
        </is>
      </c>
      <c r="E1006" s="141" t="inlineStr">
        <is>
          <t>Nắn, bó bột gãy xương bàn, ngón tay [bột liền]</t>
        </is>
      </c>
      <c r="F1006" s="237" t="n">
        <v>1</v>
      </c>
      <c r="G1006" s="238" t="n">
        <v>400000</v>
      </c>
      <c r="H1006" s="95">
        <f>25%*75%</f>
        <v/>
      </c>
    </row>
    <row r="1007" ht="15.75" customHeight="1">
      <c r="A1007" s="94" t="n"/>
      <c r="B1007" s="141" t="n"/>
      <c r="C1007" s="141" t="n"/>
      <c r="D1007" s="141" t="n"/>
      <c r="E1007" s="141" t="n"/>
      <c r="F1007" s="237" t="n"/>
      <c r="G1007" s="238" t="n"/>
      <c r="H1007" s="95">
        <f>25%*75%</f>
        <v/>
      </c>
    </row>
    <row r="1008" ht="15.75" customHeight="1">
      <c r="A1008" s="94" t="n"/>
      <c r="B1008" s="141" t="n"/>
      <c r="C1008" s="141" t="n"/>
      <c r="D1008" s="141" t="n"/>
      <c r="E1008" s="141" t="n"/>
      <c r="F1008" s="237" t="n"/>
      <c r="G1008" s="238" t="n"/>
      <c r="H1008" s="95">
        <f>25%*75%</f>
        <v/>
      </c>
    </row>
    <row r="1009" ht="15.75" customHeight="1">
      <c r="A1009" s="94" t="n"/>
      <c r="B1009" s="141" t="n"/>
      <c r="C1009" s="141" t="n"/>
      <c r="D1009" s="141" t="n"/>
      <c r="E1009" s="141" t="n"/>
      <c r="F1009" s="237" t="n"/>
      <c r="G1009" s="238" t="n"/>
      <c r="H1009" s="95">
        <f>25%*75%</f>
        <v/>
      </c>
    </row>
    <row r="1010" ht="15.75" customHeight="1">
      <c r="A1010" s="94" t="n"/>
      <c r="B1010" s="141" t="n"/>
      <c r="C1010" s="141" t="n"/>
      <c r="D1010" s="141" t="n"/>
      <c r="E1010" s="141" t="n"/>
      <c r="F1010" s="237" t="n"/>
      <c r="G1010" s="238" t="n"/>
      <c r="H1010" s="95">
        <f>25%*75%</f>
        <v/>
      </c>
    </row>
    <row r="1011" ht="15.75" customHeight="1">
      <c r="A1011" s="94" t="n"/>
      <c r="B1011" s="141" t="n"/>
      <c r="C1011" s="141" t="n"/>
      <c r="D1011" s="141" t="n"/>
      <c r="E1011" s="141" t="n"/>
      <c r="F1011" s="237" t="n"/>
      <c r="G1011" s="238" t="n"/>
      <c r="H1011" s="95">
        <f>25%*75%</f>
        <v/>
      </c>
    </row>
    <row r="1012" ht="15.75" customHeight="1">
      <c r="A1012" s="94" t="n"/>
      <c r="B1012" s="141" t="n"/>
      <c r="C1012" s="141" t="n"/>
      <c r="D1012" s="141" t="n"/>
      <c r="E1012" s="141" t="n"/>
      <c r="F1012" s="237" t="n"/>
      <c r="G1012" s="238" t="n"/>
      <c r="H1012" s="95">
        <f>25%*75%</f>
        <v/>
      </c>
    </row>
    <row r="1013" ht="15.75" customHeight="1">
      <c r="A1013" s="94" t="n"/>
      <c r="B1013" s="141" t="n"/>
      <c r="C1013" s="141" t="n"/>
      <c r="D1013" s="141" t="n"/>
      <c r="E1013" s="141" t="n"/>
      <c r="F1013" s="237" t="n"/>
      <c r="G1013" s="238" t="n"/>
      <c r="H1013" s="95">
        <f>25%*75%</f>
        <v/>
      </c>
    </row>
    <row r="1014" ht="15.75" customHeight="1">
      <c r="A1014" s="94" t="n"/>
      <c r="B1014" s="141" t="n"/>
      <c r="C1014" s="141" t="n"/>
      <c r="D1014" s="141" t="n"/>
      <c r="E1014" s="141" t="n"/>
      <c r="F1014" s="237" t="n"/>
      <c r="G1014" s="238" t="n"/>
      <c r="H1014" s="95">
        <f>25%*75%</f>
        <v/>
      </c>
    </row>
    <row r="1015" ht="15.75" customHeight="1">
      <c r="A1015" s="94" t="n"/>
      <c r="B1015" s="141" t="n"/>
      <c r="C1015" s="141" t="n"/>
      <c r="D1015" s="141" t="n"/>
      <c r="E1015" s="141" t="n"/>
      <c r="F1015" s="237" t="n"/>
      <c r="G1015" s="238" t="n"/>
      <c r="H1015" s="95">
        <f>25%*75%</f>
        <v/>
      </c>
    </row>
    <row r="1016" ht="15.75" customHeight="1">
      <c r="A1016" s="94" t="n"/>
      <c r="B1016" s="141" t="n"/>
      <c r="C1016" s="141" t="n"/>
      <c r="D1016" s="141" t="n"/>
      <c r="E1016" s="141" t="n"/>
      <c r="F1016" s="237" t="n"/>
      <c r="G1016" s="238" t="n"/>
      <c r="H1016" s="95">
        <f>25%*75%</f>
        <v/>
      </c>
    </row>
    <row r="1017" ht="15.75" customHeight="1">
      <c r="A1017" s="94" t="n"/>
      <c r="B1017" s="141" t="n"/>
      <c r="C1017" s="141" t="n"/>
      <c r="D1017" s="141" t="n"/>
      <c r="E1017" s="141" t="n"/>
      <c r="F1017" s="237" t="n"/>
      <c r="G1017" s="238" t="n"/>
      <c r="H1017" s="95">
        <f>25%*75%</f>
        <v/>
      </c>
    </row>
    <row r="1018" ht="15.75" customHeight="1">
      <c r="A1018" s="94" t="n"/>
      <c r="B1018" s="141" t="n"/>
      <c r="C1018" s="141" t="n"/>
      <c r="D1018" s="141" t="n"/>
      <c r="E1018" s="141" t="n"/>
      <c r="F1018" s="237" t="n"/>
      <c r="G1018" s="238" t="n"/>
      <c r="H1018" s="95">
        <f>25%*75%</f>
        <v/>
      </c>
    </row>
    <row r="1019" ht="15.75" customHeight="1">
      <c r="A1019" s="94" t="n"/>
      <c r="B1019" s="141" t="n"/>
      <c r="C1019" s="141" t="n"/>
      <c r="D1019" s="141" t="n"/>
      <c r="E1019" s="141" t="n"/>
      <c r="F1019" s="237" t="n"/>
      <c r="G1019" s="238" t="n"/>
      <c r="H1019" s="95">
        <f>25%*75%</f>
        <v/>
      </c>
    </row>
    <row r="1020" ht="15.75" customHeight="1">
      <c r="A1020" s="94" t="n"/>
      <c r="B1020" s="141" t="n"/>
      <c r="C1020" s="141" t="n"/>
      <c r="D1020" s="141" t="n"/>
      <c r="E1020" s="141" t="n"/>
      <c r="F1020" s="237" t="n"/>
      <c r="G1020" s="238" t="n"/>
      <c r="H1020" s="95">
        <f>25%*75%</f>
        <v/>
      </c>
    </row>
    <row r="1021" ht="15.75" customHeight="1">
      <c r="A1021" s="94" t="n"/>
      <c r="B1021" s="141" t="n"/>
      <c r="C1021" s="141" t="n"/>
      <c r="D1021" s="141" t="n"/>
      <c r="E1021" s="141" t="n"/>
      <c r="F1021" s="237" t="n"/>
      <c r="G1021" s="238" t="n"/>
      <c r="H1021" s="95">
        <f>25%*75%</f>
        <v/>
      </c>
    </row>
    <row r="1022" ht="15.75" customHeight="1">
      <c r="A1022" s="94" t="n"/>
      <c r="B1022" s="141" t="n"/>
      <c r="C1022" s="141" t="n"/>
      <c r="D1022" s="141" t="n"/>
      <c r="E1022" s="141" t="n"/>
      <c r="F1022" s="237" t="n"/>
      <c r="G1022" s="238" t="n"/>
      <c r="H1022" s="95">
        <f>25%*75%</f>
        <v/>
      </c>
    </row>
    <row r="1023" ht="15.75" customHeight="1">
      <c r="A1023" s="94" t="n"/>
      <c r="B1023" s="141" t="n"/>
      <c r="C1023" s="141" t="n"/>
      <c r="D1023" s="141" t="n"/>
      <c r="E1023" s="141" t="n"/>
      <c r="F1023" s="237" t="n"/>
      <c r="G1023" s="238" t="n"/>
      <c r="H1023" s="95">
        <f>25%*75%</f>
        <v/>
      </c>
    </row>
    <row r="1024" ht="15.75" customHeight="1">
      <c r="A1024" s="94" t="n"/>
      <c r="B1024" s="141" t="n"/>
      <c r="C1024" s="141" t="n"/>
      <c r="D1024" s="141" t="n"/>
      <c r="E1024" s="141" t="n"/>
      <c r="F1024" s="237" t="n"/>
      <c r="G1024" s="238" t="n"/>
      <c r="H1024" s="95">
        <f>25%*75%</f>
        <v/>
      </c>
    </row>
    <row r="1025" ht="15.75" customHeight="1">
      <c r="A1025" s="94" t="n"/>
      <c r="B1025" s="141" t="n"/>
      <c r="C1025" s="141" t="n"/>
      <c r="D1025" s="141" t="n"/>
      <c r="E1025" s="141" t="n"/>
      <c r="F1025" s="237" t="n"/>
      <c r="G1025" s="238" t="n"/>
      <c r="H1025" s="95">
        <f>25%*75%</f>
        <v/>
      </c>
    </row>
    <row r="1026" ht="15.75" customHeight="1">
      <c r="A1026" s="94" t="n"/>
      <c r="B1026" s="141" t="n"/>
      <c r="C1026" s="141" t="n"/>
      <c r="D1026" s="141" t="n"/>
      <c r="E1026" s="141" t="n"/>
      <c r="F1026" s="237" t="n"/>
      <c r="G1026" s="238" t="n"/>
      <c r="H1026" s="95">
        <f>25%*75%</f>
        <v/>
      </c>
    </row>
    <row r="1027" ht="15.75" customHeight="1">
      <c r="A1027" s="94" t="n"/>
      <c r="B1027" s="141" t="n"/>
      <c r="C1027" s="141" t="n"/>
      <c r="D1027" s="141" t="n"/>
      <c r="E1027" s="141" t="n"/>
      <c r="F1027" s="237" t="n"/>
      <c r="G1027" s="238" t="n"/>
      <c r="H1027" s="95">
        <f>25%*75%</f>
        <v/>
      </c>
    </row>
    <row r="1028" ht="15.75" customHeight="1">
      <c r="A1028" s="94" t="n"/>
      <c r="B1028" s="141" t="n"/>
      <c r="C1028" s="141" t="n"/>
      <c r="D1028" s="141" t="n"/>
      <c r="E1028" s="141" t="n"/>
      <c r="F1028" s="237" t="n"/>
      <c r="G1028" s="238" t="n"/>
      <c r="H1028" s="95">
        <f>25%*75%</f>
        <v/>
      </c>
    </row>
    <row r="1029" ht="15.75" customHeight="1">
      <c r="A1029" s="94" t="n"/>
      <c r="B1029" s="141" t="n"/>
      <c r="C1029" s="141" t="n"/>
      <c r="D1029" s="141" t="n"/>
      <c r="E1029" s="141" t="n"/>
      <c r="F1029" s="237" t="n"/>
      <c r="G1029" s="238" t="n"/>
      <c r="H1029" s="95">
        <f>25%*75%</f>
        <v/>
      </c>
    </row>
    <row r="1030" ht="15.75" customHeight="1">
      <c r="A1030" s="94" t="n"/>
      <c r="B1030" s="141" t="n"/>
      <c r="C1030" s="141" t="n"/>
      <c r="D1030" s="141" t="n"/>
      <c r="E1030" s="141" t="n"/>
      <c r="F1030" s="237" t="n"/>
      <c r="G1030" s="238" t="n"/>
      <c r="H1030" s="95">
        <f>25%*75%</f>
        <v/>
      </c>
    </row>
    <row r="1031" ht="15.75" customHeight="1">
      <c r="A1031" s="94" t="n"/>
      <c r="B1031" s="141" t="n"/>
      <c r="C1031" s="141" t="n"/>
      <c r="D1031" s="141" t="n"/>
      <c r="E1031" s="141" t="n"/>
      <c r="F1031" s="237" t="n"/>
      <c r="G1031" s="238" t="n"/>
      <c r="H1031" s="95">
        <f>25%*75%</f>
        <v/>
      </c>
    </row>
    <row r="1032" ht="15.75" customHeight="1">
      <c r="A1032" s="94" t="n"/>
      <c r="B1032" s="141" t="n"/>
      <c r="C1032" s="141" t="n"/>
      <c r="D1032" s="141" t="n"/>
      <c r="E1032" s="141" t="n"/>
      <c r="F1032" s="237" t="n"/>
      <c r="G1032" s="238" t="n"/>
      <c r="H1032" s="95">
        <f>25%*75%</f>
        <v/>
      </c>
    </row>
    <row r="1033" ht="15.75" customHeight="1">
      <c r="A1033" s="94" t="n"/>
      <c r="B1033" s="141" t="n"/>
      <c r="C1033" s="141" t="n"/>
      <c r="D1033" s="141" t="n"/>
      <c r="E1033" s="141" t="n"/>
      <c r="F1033" s="237" t="n"/>
      <c r="G1033" s="238" t="n"/>
      <c r="H1033" s="95">
        <f>25%*75%</f>
        <v/>
      </c>
    </row>
    <row r="1034" ht="15.75" customHeight="1">
      <c r="A1034" s="94" t="n"/>
      <c r="B1034" s="141" t="n"/>
      <c r="C1034" s="141" t="n"/>
      <c r="D1034" s="141" t="n"/>
      <c r="E1034" s="141" t="n"/>
      <c r="F1034" s="237" t="n"/>
      <c r="G1034" s="238" t="n"/>
      <c r="H1034" s="95">
        <f>25%*75%</f>
        <v/>
      </c>
    </row>
    <row r="1035" ht="15.75" customHeight="1">
      <c r="A1035" s="94" t="n"/>
      <c r="B1035" s="141" t="n"/>
      <c r="C1035" s="141" t="n"/>
      <c r="D1035" s="141" t="n"/>
      <c r="E1035" s="141" t="n"/>
      <c r="F1035" s="237" t="n"/>
      <c r="G1035" s="238" t="n"/>
      <c r="H1035" s="95">
        <f>25%*75%</f>
        <v/>
      </c>
    </row>
    <row r="1036" ht="15.75" customHeight="1">
      <c r="A1036" s="94" t="n"/>
      <c r="B1036" s="141" t="n"/>
      <c r="C1036" s="141" t="n"/>
      <c r="D1036" s="141" t="n"/>
      <c r="E1036" s="141" t="n"/>
      <c r="F1036" s="237" t="n"/>
      <c r="G1036" s="238" t="n"/>
      <c r="H1036" s="95">
        <f>25%*75%</f>
        <v/>
      </c>
    </row>
    <row r="1037" ht="15.75" customHeight="1">
      <c r="A1037" s="94" t="n"/>
      <c r="B1037" s="141" t="n"/>
      <c r="C1037" s="141" t="n"/>
      <c r="D1037" s="141" t="n"/>
      <c r="E1037" s="141" t="n"/>
      <c r="F1037" s="237" t="n"/>
      <c r="G1037" s="238" t="n"/>
      <c r="H1037" s="95">
        <f>25%*75%</f>
        <v/>
      </c>
    </row>
    <row r="1038" ht="15.75" customHeight="1">
      <c r="A1038" s="94" t="n"/>
      <c r="B1038" s="141" t="n"/>
      <c r="C1038" s="141" t="n"/>
      <c r="D1038" s="141" t="n"/>
      <c r="E1038" s="141" t="n"/>
      <c r="F1038" s="237" t="n"/>
      <c r="G1038" s="238" t="n"/>
      <c r="H1038" s="95">
        <f>25%*75%</f>
        <v/>
      </c>
    </row>
    <row r="1039" ht="15.75" customHeight="1">
      <c r="A1039" s="94" t="n"/>
      <c r="B1039" s="141" t="n"/>
      <c r="C1039" s="141" t="n"/>
      <c r="D1039" s="141" t="n"/>
      <c r="E1039" s="141" t="n"/>
      <c r="F1039" s="237" t="n"/>
      <c r="G1039" s="238" t="n"/>
      <c r="H1039" s="95">
        <f>25%*75%</f>
        <v/>
      </c>
    </row>
    <row r="1040" ht="15.75" customHeight="1">
      <c r="A1040" s="94" t="n"/>
      <c r="B1040" s="141" t="n"/>
      <c r="C1040" s="141" t="n"/>
      <c r="D1040" s="141" t="n"/>
      <c r="E1040" s="141" t="n"/>
      <c r="F1040" s="237" t="n"/>
      <c r="G1040" s="238" t="n"/>
      <c r="H1040" s="95">
        <f>25%*75%</f>
        <v/>
      </c>
    </row>
    <row r="1041" ht="15.75" customHeight="1">
      <c r="A1041" s="94" t="n"/>
      <c r="B1041" s="141" t="n"/>
      <c r="C1041" s="141" t="n"/>
      <c r="D1041" s="141" t="n"/>
      <c r="E1041" s="141" t="n"/>
      <c r="F1041" s="237" t="n"/>
      <c r="G1041" s="238" t="n"/>
      <c r="H1041" s="95">
        <f>25%*75%</f>
        <v/>
      </c>
    </row>
    <row r="1042" ht="15.75" customHeight="1">
      <c r="A1042" s="94" t="n"/>
      <c r="B1042" s="141" t="n"/>
      <c r="C1042" s="141" t="n"/>
      <c r="D1042" s="141" t="n"/>
      <c r="E1042" s="141" t="n"/>
      <c r="F1042" s="237" t="n"/>
      <c r="G1042" s="238" t="n"/>
      <c r="H1042" s="95">
        <f>25%*75%</f>
        <v/>
      </c>
    </row>
    <row r="1043" ht="15.75" customHeight="1">
      <c r="A1043" s="94" t="n"/>
      <c r="B1043" s="141" t="n"/>
      <c r="C1043" s="141" t="n"/>
      <c r="D1043" s="141" t="n"/>
      <c r="E1043" s="141" t="n"/>
      <c r="F1043" s="237" t="n"/>
      <c r="G1043" s="238" t="n"/>
      <c r="H1043" s="95">
        <f>25%*75%</f>
        <v/>
      </c>
    </row>
    <row r="1044" ht="15.75" customHeight="1">
      <c r="A1044" s="94" t="n"/>
      <c r="B1044" s="141" t="n"/>
      <c r="C1044" s="141" t="n"/>
      <c r="D1044" s="141" t="n"/>
      <c r="E1044" s="141" t="n"/>
      <c r="F1044" s="237" t="n"/>
      <c r="G1044" s="238" t="n"/>
      <c r="H1044" s="95">
        <f>25%*75%</f>
        <v/>
      </c>
    </row>
    <row r="1045" ht="15.75" customHeight="1">
      <c r="A1045" s="94" t="n"/>
      <c r="B1045" s="141" t="n"/>
      <c r="C1045" s="141" t="n"/>
      <c r="D1045" s="141" t="n"/>
      <c r="E1045" s="141" t="n"/>
      <c r="F1045" s="237" t="n"/>
      <c r="G1045" s="238" t="n"/>
      <c r="H1045" s="95">
        <f>25%*75%</f>
        <v/>
      </c>
    </row>
    <row r="1046" ht="15.75" customHeight="1">
      <c r="A1046" s="94" t="n"/>
      <c r="B1046" s="141" t="n"/>
      <c r="C1046" s="141" t="n"/>
      <c r="D1046" s="141" t="n"/>
      <c r="E1046" s="141" t="n"/>
      <c r="F1046" s="237" t="n"/>
      <c r="G1046" s="238" t="n"/>
      <c r="H1046" s="95">
        <f>25%*75%</f>
        <v/>
      </c>
    </row>
    <row r="1047" ht="15.75" customHeight="1">
      <c r="A1047" s="94" t="n"/>
      <c r="B1047" s="141" t="n"/>
      <c r="C1047" s="141" t="n"/>
      <c r="D1047" s="141" t="n"/>
      <c r="E1047" s="141" t="n"/>
      <c r="F1047" s="237" t="n"/>
      <c r="G1047" s="238" t="n"/>
      <c r="H1047" s="95">
        <f>25%*75%</f>
        <v/>
      </c>
    </row>
    <row r="1048" ht="15.75" customHeight="1">
      <c r="A1048" s="94" t="n"/>
      <c r="B1048" s="141" t="n"/>
      <c r="C1048" s="141" t="n"/>
      <c r="D1048" s="141" t="n"/>
      <c r="E1048" s="141" t="n"/>
      <c r="F1048" s="237" t="n"/>
      <c r="G1048" s="238" t="n"/>
      <c r="H1048" s="95">
        <f>25%*75%</f>
        <v/>
      </c>
    </row>
    <row r="1049" ht="15.75" customHeight="1">
      <c r="A1049" s="94" t="n"/>
      <c r="B1049" s="141" t="n"/>
      <c r="C1049" s="141" t="n"/>
      <c r="D1049" s="141" t="n"/>
      <c r="E1049" s="141" t="n"/>
      <c r="F1049" s="237" t="n"/>
      <c r="G1049" s="238" t="n"/>
      <c r="H1049" s="95">
        <f>25%*75%</f>
        <v/>
      </c>
    </row>
    <row r="1050" ht="15.75" customHeight="1">
      <c r="A1050" s="94" t="n"/>
      <c r="B1050" s="141" t="n"/>
      <c r="C1050" s="141" t="n"/>
      <c r="D1050" s="141" t="n"/>
      <c r="E1050" s="141" t="n"/>
      <c r="F1050" s="237" t="n"/>
      <c r="G1050" s="238" t="n"/>
      <c r="H1050" s="95">
        <f>25%*75%</f>
        <v/>
      </c>
    </row>
    <row r="1051" ht="15.75" customHeight="1">
      <c r="A1051" s="94" t="n"/>
      <c r="B1051" s="141" t="n"/>
      <c r="C1051" s="141" t="n"/>
      <c r="D1051" s="141" t="n"/>
      <c r="E1051" s="141" t="n"/>
      <c r="F1051" s="237" t="n"/>
      <c r="G1051" s="238" t="n"/>
      <c r="H1051" s="95">
        <f>25%*75%</f>
        <v/>
      </c>
    </row>
    <row r="1052" ht="15.75" customHeight="1">
      <c r="A1052" s="94" t="n"/>
      <c r="B1052" s="141" t="n"/>
      <c r="C1052" s="141" t="n"/>
      <c r="D1052" s="141" t="n"/>
      <c r="E1052" s="141" t="n"/>
      <c r="F1052" s="237" t="n"/>
      <c r="G1052" s="238" t="n"/>
      <c r="H1052" s="95">
        <f>25%*75%</f>
        <v/>
      </c>
    </row>
    <row r="1053" ht="15.75" customHeight="1">
      <c r="A1053" s="94" t="n"/>
      <c r="B1053" s="141" t="n"/>
      <c r="C1053" s="141" t="n"/>
      <c r="D1053" s="141" t="n"/>
      <c r="E1053" s="141" t="n"/>
      <c r="F1053" s="237" t="n"/>
      <c r="G1053" s="238" t="n"/>
      <c r="H1053" s="95">
        <f>25%*75%</f>
        <v/>
      </c>
    </row>
    <row r="1054" ht="15.75" customHeight="1">
      <c r="A1054" s="94" t="n"/>
      <c r="B1054" s="141" t="n"/>
      <c r="C1054" s="141" t="n"/>
      <c r="D1054" s="141" t="n"/>
      <c r="E1054" s="141" t="n"/>
      <c r="F1054" s="237" t="n"/>
      <c r="G1054" s="238" t="n"/>
      <c r="H1054" s="95">
        <f>25%*75%</f>
        <v/>
      </c>
    </row>
    <row r="1055" ht="15.75" customHeight="1">
      <c r="A1055" s="94" t="n"/>
      <c r="B1055" s="141" t="n"/>
      <c r="C1055" s="141" t="n"/>
      <c r="D1055" s="141" t="n"/>
      <c r="E1055" s="141" t="n"/>
      <c r="F1055" s="237" t="n"/>
      <c r="G1055" s="238" t="n"/>
      <c r="H1055" s="95">
        <f>25%*75%</f>
        <v/>
      </c>
    </row>
    <row r="1056" ht="15.75" customHeight="1">
      <c r="A1056" s="94" t="n"/>
      <c r="B1056" s="141" t="n"/>
      <c r="C1056" s="141" t="n"/>
      <c r="D1056" s="141" t="n"/>
      <c r="E1056" s="141" t="n"/>
      <c r="F1056" s="237" t="n"/>
      <c r="G1056" s="238" t="n"/>
      <c r="H1056" s="95">
        <f>25%*75%</f>
        <v/>
      </c>
    </row>
    <row r="1057" ht="15.75" customHeight="1">
      <c r="A1057" s="94" t="n"/>
      <c r="B1057" s="141" t="n"/>
      <c r="C1057" s="141" t="n"/>
      <c r="D1057" s="141" t="n"/>
      <c r="E1057" s="141" t="n"/>
      <c r="F1057" s="237" t="n"/>
      <c r="G1057" s="238" t="n"/>
      <c r="H1057" s="95">
        <f>25%*75%</f>
        <v/>
      </c>
    </row>
    <row r="1058" ht="15.75" customHeight="1">
      <c r="A1058" s="94" t="n"/>
      <c r="B1058" s="141" t="n"/>
      <c r="C1058" s="141" t="n"/>
      <c r="D1058" s="141" t="n"/>
      <c r="E1058" s="141" t="n"/>
      <c r="F1058" s="237" t="n"/>
      <c r="G1058" s="238" t="n"/>
      <c r="H1058" s="95">
        <f>25%*75%</f>
        <v/>
      </c>
    </row>
    <row r="1059" ht="15.75" customHeight="1">
      <c r="A1059" s="94" t="n"/>
      <c r="B1059" s="141" t="n"/>
      <c r="C1059" s="141" t="n"/>
      <c r="D1059" s="141" t="n"/>
      <c r="E1059" s="141" t="n"/>
      <c r="F1059" s="237" t="n"/>
      <c r="G1059" s="238" t="n"/>
      <c r="H1059" s="95">
        <f>25%*75%</f>
        <v/>
      </c>
    </row>
    <row r="1060" ht="15.75" customHeight="1">
      <c r="A1060" s="94" t="n"/>
      <c r="B1060" s="141" t="n"/>
      <c r="C1060" s="141" t="n"/>
      <c r="D1060" s="141" t="n"/>
      <c r="E1060" s="141" t="n"/>
      <c r="F1060" s="237" t="n"/>
      <c r="G1060" s="238" t="n"/>
      <c r="H1060" s="95">
        <f>25%*75%</f>
        <v/>
      </c>
    </row>
    <row r="1061" ht="15.75" customHeight="1">
      <c r="A1061" s="94" t="n"/>
      <c r="B1061" s="141" t="n"/>
      <c r="C1061" s="141" t="n"/>
      <c r="D1061" s="141" t="n"/>
      <c r="E1061" s="141" t="n"/>
      <c r="F1061" s="237" t="n"/>
      <c r="G1061" s="238" t="n"/>
      <c r="H1061" s="95">
        <f>25%*75%</f>
        <v/>
      </c>
    </row>
    <row r="1062" ht="15.75" customHeight="1">
      <c r="A1062" s="94" t="n"/>
      <c r="B1062" s="141" t="n"/>
      <c r="C1062" s="141" t="n"/>
      <c r="D1062" s="141" t="n"/>
      <c r="E1062" s="141" t="n"/>
      <c r="F1062" s="237" t="n"/>
      <c r="G1062" s="238" t="n"/>
      <c r="H1062" s="95">
        <f>25%*75%</f>
        <v/>
      </c>
    </row>
    <row r="1063" ht="15.75" customHeight="1">
      <c r="A1063" s="94" t="n"/>
      <c r="B1063" s="141" t="n"/>
      <c r="C1063" s="141" t="n"/>
      <c r="D1063" s="141" t="n"/>
      <c r="E1063" s="141" t="n"/>
      <c r="F1063" s="237" t="n"/>
      <c r="G1063" s="238" t="n"/>
      <c r="H1063" s="95">
        <f>25%*75%</f>
        <v/>
      </c>
    </row>
    <row r="1064" ht="15.75" customHeight="1">
      <c r="A1064" s="94" t="n"/>
      <c r="B1064" s="141" t="n"/>
      <c r="C1064" s="141" t="n"/>
      <c r="D1064" s="141" t="n"/>
      <c r="E1064" s="141" t="n"/>
      <c r="F1064" s="237" t="n"/>
      <c r="G1064" s="238" t="n"/>
      <c r="H1064" s="95">
        <f>25%*75%</f>
        <v/>
      </c>
    </row>
    <row r="1065" ht="15.75" customHeight="1">
      <c r="A1065" s="94" t="n"/>
      <c r="B1065" s="141" t="n"/>
      <c r="C1065" s="141" t="n"/>
      <c r="D1065" s="141" t="n"/>
      <c r="E1065" s="141" t="n"/>
      <c r="F1065" s="237" t="n"/>
      <c r="G1065" s="238" t="n"/>
      <c r="H1065" s="95">
        <f>25%*75%</f>
        <v/>
      </c>
    </row>
    <row r="1066" ht="15.75" customHeight="1">
      <c r="A1066" s="94" t="n"/>
      <c r="B1066" s="141" t="n"/>
      <c r="C1066" s="141" t="n"/>
      <c r="D1066" s="141" t="n"/>
      <c r="E1066" s="141" t="n"/>
      <c r="F1066" s="237" t="n"/>
      <c r="G1066" s="238" t="n"/>
      <c r="H1066" s="95">
        <f>25%*75%</f>
        <v/>
      </c>
    </row>
    <row r="1067" ht="15.75" customHeight="1">
      <c r="A1067" s="94" t="n"/>
      <c r="B1067" s="141" t="n"/>
      <c r="C1067" s="141" t="n"/>
      <c r="D1067" s="141" t="n"/>
      <c r="E1067" s="141" t="n"/>
      <c r="F1067" s="237" t="n"/>
      <c r="G1067" s="238" t="n"/>
      <c r="H1067" s="95">
        <f>25%*75%</f>
        <v/>
      </c>
    </row>
    <row r="1068" ht="15.75" customHeight="1">
      <c r="A1068" s="94" t="n"/>
      <c r="B1068" s="141" t="n"/>
      <c r="C1068" s="141" t="n"/>
      <c r="D1068" s="141" t="n"/>
      <c r="E1068" s="141" t="n"/>
      <c r="F1068" s="237" t="n"/>
      <c r="G1068" s="238" t="n"/>
      <c r="H1068" s="95">
        <f>25%*75%</f>
        <v/>
      </c>
    </row>
    <row r="1069" ht="15.75" customHeight="1">
      <c r="A1069" s="94" t="n"/>
      <c r="B1069" s="141" t="n"/>
      <c r="C1069" s="141" t="n"/>
      <c r="D1069" s="141" t="n"/>
      <c r="E1069" s="141" t="n"/>
      <c r="F1069" s="237" t="n"/>
      <c r="G1069" s="238" t="n"/>
      <c r="H1069" s="95">
        <f>25%*75%</f>
        <v/>
      </c>
    </row>
    <row r="1070" ht="15.75" customHeight="1">
      <c r="A1070" s="94" t="n"/>
      <c r="B1070" s="141" t="n"/>
      <c r="C1070" s="141" t="n"/>
      <c r="D1070" s="141" t="n"/>
      <c r="E1070" s="141" t="n"/>
      <c r="F1070" s="237" t="n"/>
      <c r="G1070" s="238" t="n"/>
      <c r="H1070" s="95">
        <f>25%*75%</f>
        <v/>
      </c>
    </row>
    <row r="1071" ht="15.75" customHeight="1">
      <c r="A1071" s="94" t="n"/>
      <c r="B1071" s="141" t="n"/>
      <c r="C1071" s="141" t="n"/>
      <c r="D1071" s="141" t="n"/>
      <c r="E1071" s="141" t="n"/>
      <c r="F1071" s="237" t="n"/>
      <c r="G1071" s="238" t="n"/>
      <c r="H1071" s="95">
        <f>25%*75%</f>
        <v/>
      </c>
    </row>
    <row r="1072" ht="15.75" customHeight="1">
      <c r="A1072" s="94" t="n"/>
      <c r="B1072" s="141" t="n"/>
      <c r="C1072" s="141" t="n"/>
      <c r="D1072" s="141" t="n"/>
      <c r="E1072" s="141" t="n"/>
      <c r="F1072" s="237" t="n"/>
      <c r="G1072" s="238" t="n"/>
      <c r="H1072" s="95">
        <f>25%*75%</f>
        <v/>
      </c>
    </row>
    <row r="1073" ht="15.75" customHeight="1">
      <c r="A1073" s="94" t="n"/>
      <c r="B1073" s="141" t="n"/>
      <c r="C1073" s="141" t="n"/>
      <c r="D1073" s="141" t="n"/>
      <c r="E1073" s="141" t="n"/>
      <c r="F1073" s="237" t="n"/>
      <c r="G1073" s="238" t="n"/>
      <c r="H1073" s="95">
        <f>25%*75%</f>
        <v/>
      </c>
    </row>
    <row r="1074" ht="15.75" customHeight="1">
      <c r="A1074" s="94" t="n"/>
      <c r="B1074" s="141" t="n"/>
      <c r="C1074" s="141" t="n"/>
      <c r="D1074" s="141" t="n"/>
      <c r="E1074" s="141" t="n"/>
      <c r="F1074" s="237" t="n"/>
      <c r="G1074" s="238" t="n"/>
      <c r="H1074" s="95">
        <f>25%*75%</f>
        <v/>
      </c>
    </row>
    <row r="1075" ht="15.75" customHeight="1">
      <c r="A1075" s="94" t="n"/>
      <c r="B1075" s="141" t="n"/>
      <c r="C1075" s="141" t="n"/>
      <c r="D1075" s="141" t="n"/>
      <c r="E1075" s="141" t="n"/>
      <c r="F1075" s="237" t="n"/>
      <c r="G1075" s="238" t="n"/>
      <c r="H1075" s="95">
        <f>25%*75%</f>
        <v/>
      </c>
    </row>
    <row r="1076" ht="15.75" customHeight="1">
      <c r="A1076" s="94" t="n"/>
      <c r="B1076" s="141" t="n"/>
      <c r="C1076" s="141" t="n"/>
      <c r="D1076" s="141" t="n"/>
      <c r="E1076" s="141" t="n"/>
      <c r="F1076" s="237" t="n"/>
      <c r="G1076" s="238" t="n"/>
      <c r="H1076" s="95">
        <f>25%*75%</f>
        <v/>
      </c>
    </row>
    <row r="1077" ht="15.75" customHeight="1">
      <c r="A1077" s="94" t="n"/>
      <c r="B1077" s="141" t="n"/>
      <c r="C1077" s="141" t="n"/>
      <c r="D1077" s="141" t="n"/>
      <c r="E1077" s="141" t="n"/>
      <c r="F1077" s="237" t="n"/>
      <c r="G1077" s="238" t="n"/>
      <c r="H1077" s="95">
        <f>25%*75%</f>
        <v/>
      </c>
    </row>
    <row r="1078" ht="15.75" customHeight="1">
      <c r="A1078" s="94" t="n"/>
      <c r="B1078" s="141" t="n"/>
      <c r="C1078" s="141" t="n"/>
      <c r="D1078" s="141" t="n"/>
      <c r="E1078" s="141" t="n"/>
      <c r="F1078" s="237" t="n"/>
      <c r="G1078" s="238" t="n"/>
      <c r="H1078" s="95">
        <f>25%*75%</f>
        <v/>
      </c>
    </row>
    <row r="1079" ht="15.75" customHeight="1">
      <c r="A1079" s="94" t="n"/>
      <c r="B1079" s="141" t="n"/>
      <c r="C1079" s="141" t="n"/>
      <c r="D1079" s="141" t="n"/>
      <c r="E1079" s="141" t="n"/>
      <c r="F1079" s="237" t="n"/>
      <c r="G1079" s="238" t="n"/>
      <c r="H1079" s="95">
        <f>25%*75%</f>
        <v/>
      </c>
    </row>
    <row r="1080" ht="15.75" customHeight="1">
      <c r="A1080" s="94" t="n"/>
      <c r="B1080" s="141" t="n"/>
      <c r="C1080" s="141" t="n"/>
      <c r="D1080" s="141" t="n"/>
      <c r="E1080" s="141" t="n"/>
      <c r="F1080" s="237" t="n"/>
      <c r="G1080" s="238" t="n"/>
      <c r="H1080" s="95">
        <f>25%*75%</f>
        <v/>
      </c>
    </row>
    <row r="1081" ht="15.75" customHeight="1">
      <c r="A1081" s="94" t="n"/>
      <c r="B1081" s="141" t="n"/>
      <c r="C1081" s="141" t="n"/>
      <c r="D1081" s="141" t="n"/>
      <c r="E1081" s="141" t="n"/>
      <c r="F1081" s="237" t="n"/>
      <c r="G1081" s="238" t="n"/>
      <c r="H1081" s="95">
        <f>25%*75%</f>
        <v/>
      </c>
    </row>
    <row r="1082" hidden="1" ht="15.75" customHeight="1">
      <c r="A1082" s="94" t="n"/>
      <c r="B1082" s="141" t="n"/>
      <c r="C1082" s="141" t="n"/>
      <c r="D1082" s="141" t="n"/>
      <c r="E1082" s="141" t="n"/>
      <c r="F1082" s="237" t="n"/>
      <c r="G1082" s="238" t="n"/>
      <c r="H1082" s="95">
        <f>25%*75%</f>
        <v/>
      </c>
    </row>
    <row r="1083" hidden="1" ht="15.75" customHeight="1">
      <c r="A1083" s="94" t="n"/>
      <c r="B1083" s="141" t="n"/>
      <c r="C1083" s="141" t="n"/>
      <c r="D1083" s="141" t="n"/>
      <c r="E1083" s="141" t="n"/>
      <c r="F1083" s="237" t="n"/>
      <c r="G1083" s="238" t="n"/>
      <c r="H1083" s="95">
        <f>25%*75%</f>
        <v/>
      </c>
    </row>
    <row r="1084" hidden="1" ht="15.75" customHeight="1">
      <c r="A1084" s="94" t="n"/>
      <c r="B1084" s="141" t="n"/>
      <c r="C1084" s="141" t="n"/>
      <c r="D1084" s="141" t="n"/>
      <c r="E1084" s="141" t="n"/>
      <c r="F1084" s="237" t="n"/>
      <c r="G1084" s="238" t="n"/>
      <c r="H1084" s="95">
        <f>25%*75%</f>
        <v/>
      </c>
    </row>
    <row r="1085" hidden="1" ht="15.75" customHeight="1">
      <c r="A1085" s="94" t="n"/>
      <c r="B1085" s="141" t="n"/>
      <c r="C1085" s="141" t="n"/>
      <c r="D1085" s="141" t="n"/>
      <c r="E1085" s="141" t="n"/>
      <c r="F1085" s="237" t="n"/>
      <c r="G1085" s="238" t="n"/>
      <c r="H1085" s="95">
        <f>25%*75%</f>
        <v/>
      </c>
    </row>
    <row r="1086" hidden="1" ht="15.75" customHeight="1">
      <c r="A1086" s="94" t="n"/>
      <c r="B1086" s="141" t="n"/>
      <c r="C1086" s="141" t="n"/>
      <c r="D1086" s="141" t="n"/>
      <c r="E1086" s="141" t="n"/>
      <c r="F1086" s="237" t="n"/>
      <c r="G1086" s="238" t="n"/>
      <c r="H1086" s="95">
        <f>25%*75%</f>
        <v/>
      </c>
    </row>
    <row r="1087" hidden="1" ht="15.75" customHeight="1">
      <c r="A1087" s="94" t="n"/>
      <c r="B1087" s="141" t="n"/>
      <c r="C1087" s="141" t="n"/>
      <c r="D1087" s="141" t="n"/>
      <c r="E1087" s="141" t="n"/>
      <c r="F1087" s="237" t="n"/>
      <c r="G1087" s="238" t="n"/>
      <c r="H1087" s="95">
        <f>25%*75%</f>
        <v/>
      </c>
    </row>
    <row r="1088" hidden="1" ht="15.75" customHeight="1">
      <c r="A1088" s="94" t="n"/>
      <c r="B1088" s="141" t="n"/>
      <c r="C1088" s="141" t="n"/>
      <c r="D1088" s="141" t="n"/>
      <c r="E1088" s="141" t="n"/>
      <c r="F1088" s="237" t="n"/>
      <c r="G1088" s="238" t="n"/>
      <c r="H1088" s="95">
        <f>25%*75%</f>
        <v/>
      </c>
    </row>
    <row r="1089" hidden="1" ht="15.75" customHeight="1">
      <c r="A1089" s="94" t="n"/>
      <c r="B1089" s="141" t="n"/>
      <c r="C1089" s="141" t="n"/>
      <c r="D1089" s="141" t="n"/>
      <c r="E1089" s="141" t="n"/>
      <c r="F1089" s="237" t="n"/>
      <c r="G1089" s="238" t="n"/>
      <c r="H1089" s="95">
        <f>25%*75%</f>
        <v/>
      </c>
    </row>
    <row r="1090" hidden="1" ht="15.75" customHeight="1">
      <c r="A1090" s="94" t="n"/>
      <c r="B1090" s="141" t="n"/>
      <c r="C1090" s="141" t="n"/>
      <c r="D1090" s="141" t="n"/>
      <c r="E1090" s="141" t="n"/>
      <c r="F1090" s="237" t="n"/>
      <c r="G1090" s="238" t="n"/>
      <c r="H1090" s="95">
        <f>25%*75%</f>
        <v/>
      </c>
    </row>
    <row r="1091" hidden="1" ht="15.75" customHeight="1">
      <c r="A1091" s="94" t="n"/>
      <c r="B1091" s="141" t="n"/>
      <c r="C1091" s="141" t="n"/>
      <c r="D1091" s="141" t="n"/>
      <c r="E1091" s="141" t="n"/>
      <c r="F1091" s="237" t="n"/>
      <c r="G1091" s="238" t="n"/>
      <c r="H1091" s="95">
        <f>25%*75%</f>
        <v/>
      </c>
    </row>
    <row r="1092" hidden="1" ht="15.75" customHeight="1">
      <c r="A1092" s="94" t="n"/>
      <c r="B1092" s="141" t="n"/>
      <c r="C1092" s="141" t="n"/>
      <c r="D1092" s="141" t="n"/>
      <c r="E1092" s="141" t="n"/>
      <c r="F1092" s="237" t="n"/>
      <c r="G1092" s="238" t="n"/>
      <c r="H1092" s="95">
        <f>25%*75%</f>
        <v/>
      </c>
    </row>
    <row r="1093" hidden="1" ht="15.75" customHeight="1">
      <c r="A1093" s="94" t="n"/>
      <c r="B1093" s="141" t="n"/>
      <c r="C1093" s="141" t="n"/>
      <c r="D1093" s="141" t="n"/>
      <c r="E1093" s="141" t="n"/>
      <c r="F1093" s="237" t="n"/>
      <c r="G1093" s="238" t="n"/>
      <c r="H1093" s="95">
        <f>25%*75%</f>
        <v/>
      </c>
    </row>
    <row r="1094" hidden="1" ht="15.75" customHeight="1">
      <c r="A1094" s="94" t="n"/>
      <c r="B1094" s="141" t="n"/>
      <c r="C1094" s="141" t="n"/>
      <c r="D1094" s="141" t="n"/>
      <c r="E1094" s="141" t="n"/>
      <c r="F1094" s="237" t="n"/>
      <c r="G1094" s="237" t="n"/>
      <c r="H1094" s="95">
        <f>25%*75%</f>
        <v/>
      </c>
      <c r="I1094" s="37" t="n"/>
    </row>
    <row r="1095" hidden="1" ht="15.75" customHeight="1">
      <c r="A1095" s="94" t="n"/>
      <c r="B1095" s="96" t="n"/>
      <c r="C1095" s="97" t="inlineStr">
        <is>
          <t>Tổng Cộng</t>
        </is>
      </c>
      <c r="D1095" s="98" t="n"/>
      <c r="E1095" s="97" t="n"/>
      <c r="F1095" s="99">
        <f>SUM(F6:F1094)</f>
        <v/>
      </c>
      <c r="G1095" s="99">
        <f>SUM(G6:G1094)</f>
        <v/>
      </c>
      <c r="H1095" s="95">
        <f>SUM(H6:H1094)</f>
        <v/>
      </c>
      <c r="J1095" s="38" t="n"/>
    </row>
    <row r="1096" hidden="1" ht="15.75" customHeight="1">
      <c r="A1096" s="94" t="n"/>
      <c r="B1096" s="58" t="n"/>
      <c r="C1096" s="59" t="n"/>
      <c r="D1096" s="60" t="n"/>
      <c r="E1096" s="209" t="inlineStr">
        <is>
          <t>Cần Thơ, ngày 31 tháng 8 năm 2026</t>
        </is>
      </c>
      <c r="F1096" s="239" t="n"/>
      <c r="G1096" s="239" t="n"/>
      <c r="H1096" s="239" t="n"/>
      <c r="I1096" s="24" t="n"/>
      <c r="J1096" s="30" t="n"/>
    </row>
    <row r="1097" hidden="1" ht="15.75" customHeight="1">
      <c r="A1097" s="200" t="inlineStr">
        <is>
          <t>Lập bảng</t>
        </is>
      </c>
      <c r="D1097" s="62" t="n"/>
      <c r="E1097" s="211" t="inlineStr">
        <is>
          <t>Trưởng Khoa</t>
        </is>
      </c>
      <c r="I1097" s="15" t="n"/>
    </row>
    <row r="1098" hidden="1" ht="15.75" customHeight="1">
      <c r="A1098" s="200" t="n"/>
      <c r="B1098" s="200" t="n"/>
      <c r="C1098" s="200" t="n"/>
      <c r="D1098" s="62" t="n"/>
      <c r="E1098" s="63" t="n"/>
      <c r="F1098" s="64" t="n"/>
      <c r="G1098" s="64" t="n"/>
      <c r="H1098" s="65" t="n"/>
      <c r="I1098" s="240" t="n"/>
      <c r="J1098" s="30" t="n"/>
    </row>
    <row r="1099" hidden="1" ht="15.75" customHeight="1">
      <c r="A1099" s="200" t="n"/>
      <c r="B1099" s="200" t="n"/>
      <c r="C1099" s="200" t="n"/>
      <c r="D1099" s="62" t="n"/>
      <c r="E1099" s="63" t="n"/>
      <c r="F1099" s="140" t="n"/>
      <c r="G1099" s="64" t="n"/>
      <c r="H1099" s="65" t="n"/>
      <c r="I1099" s="240" t="n"/>
      <c r="J1099" s="30" t="n"/>
    </row>
    <row r="1100" hidden="1" ht="15.75" customHeight="1">
      <c r="A1100" s="58" t="n"/>
      <c r="B1100" s="58" t="n"/>
      <c r="C1100" s="66" t="n"/>
      <c r="D1100" s="67" t="n"/>
      <c r="E1100" s="68" t="n"/>
      <c r="F1100" s="57" t="n"/>
      <c r="G1100" s="64" t="n"/>
      <c r="H1100" s="64" t="n"/>
      <c r="I1100" s="240" t="n"/>
      <c r="J1100" s="30" t="n"/>
    </row>
    <row r="1101" hidden="1" ht="15.75" customHeight="1">
      <c r="A1101" s="197" t="inlineStr">
        <is>
          <t>ĐD. Phan Văn Hiếu</t>
        </is>
      </c>
      <c r="D1101" s="67" t="n"/>
      <c r="E1101" s="210" t="inlineStr">
        <is>
          <t>ThS. Bs. CKII. Nguyễn Lê Hoan</t>
        </is>
      </c>
      <c r="I1101" s="24" t="n"/>
      <c r="K1101" s="21" t="n"/>
    </row>
    <row r="1102" hidden="1" ht="15.75" customHeight="1">
      <c r="A1102" s="58" t="n"/>
      <c r="B1102" s="58" t="n"/>
      <c r="C1102" s="66" t="n"/>
      <c r="D1102" s="67" t="n"/>
      <c r="E1102" s="69" t="n"/>
      <c r="F1102" s="200" t="n"/>
      <c r="G1102" s="70" t="n"/>
      <c r="H1102" s="66" t="n"/>
    </row>
    <row r="1103" hidden="1" ht="15.75" customHeight="1">
      <c r="D1103" s="10" t="n"/>
      <c r="E1103" s="25" t="n"/>
      <c r="F1103" s="143" t="n"/>
      <c r="G1103" s="30" t="n"/>
      <c r="H1103" s="30" t="n"/>
    </row>
    <row r="1104" hidden="1" ht="15.75" customHeight="1">
      <c r="D1104" s="10" t="n"/>
      <c r="E1104" s="25" t="n"/>
      <c r="F1104" s="143" t="n"/>
      <c r="G1104" s="30" t="n"/>
    </row>
    <row r="1105" hidden="1" ht="15.75" customHeight="1">
      <c r="D1105" s="10" t="n"/>
      <c r="E1105" s="25" t="n"/>
      <c r="F1105" s="39" t="n"/>
      <c r="G1105" s="30" t="n"/>
    </row>
    <row r="1106" hidden="1" ht="15.75" customHeight="1">
      <c r="D1106" s="10" t="n"/>
      <c r="E1106" s="25" t="n"/>
      <c r="F1106" s="39" t="n"/>
      <c r="G1106" s="30" t="n"/>
    </row>
    <row r="1107" hidden="1" ht="15.75" customHeight="1">
      <c r="D1107" s="10" t="n"/>
      <c r="E1107" s="25" t="n"/>
      <c r="F1107" s="39" t="n"/>
      <c r="G1107" s="8" t="n"/>
    </row>
    <row r="1108" hidden="1" ht="15.75" customHeight="1">
      <c r="D1108" s="10" t="n"/>
      <c r="E1108" s="25" t="n"/>
      <c r="F1108" s="39" t="n"/>
      <c r="G1108" s="8" t="n"/>
    </row>
    <row r="1109" hidden="1" ht="15.75" customHeight="1">
      <c r="D1109" s="10" t="n"/>
      <c r="E1109" s="25" t="n"/>
      <c r="F1109" s="39" t="n"/>
      <c r="G1109" s="8" t="n"/>
    </row>
    <row r="1110" hidden="1" ht="15.75" customHeight="1">
      <c r="D1110" s="10" t="n"/>
      <c r="E1110" s="25" t="n"/>
      <c r="F1110" s="39" t="n"/>
      <c r="G1110" s="8" t="n"/>
    </row>
    <row r="1111" hidden="1" ht="15.75" customHeight="1">
      <c r="D1111" s="10" t="n"/>
      <c r="E1111" s="25" t="n"/>
      <c r="F1111" s="39" t="n"/>
      <c r="G1111" s="8" t="n"/>
    </row>
    <row r="1112" hidden="1" ht="15.75" customHeight="1">
      <c r="D1112" s="10" t="n"/>
      <c r="E1112" s="25" t="n"/>
      <c r="F1112" s="39" t="n"/>
      <c r="G1112" s="8" t="n"/>
    </row>
    <row r="1113" hidden="1" ht="15.75" customHeight="1">
      <c r="D1113" s="10" t="n"/>
      <c r="E1113" s="25" t="n"/>
      <c r="F1113" s="39" t="n"/>
      <c r="G1113" s="8" t="n"/>
    </row>
    <row r="1114" hidden="1" ht="15.75" customHeight="1">
      <c r="A1114" s="94" t="n"/>
      <c r="B1114" s="106" t="n"/>
      <c r="C1114" s="106" t="n"/>
      <c r="D1114" s="105" t="n"/>
      <c r="E1114" s="106" t="n"/>
      <c r="F1114" s="108" t="n"/>
      <c r="G1114" s="236" t="n"/>
      <c r="H1114" s="95" t="n"/>
      <c r="I1114" s="37" t="n"/>
    </row>
    <row r="1115" hidden="1" ht="15.75" customHeight="1">
      <c r="A1115" s="94" t="n"/>
      <c r="B1115" s="106" t="n"/>
      <c r="C1115" s="106" t="n"/>
      <c r="D1115" s="105" t="n"/>
      <c r="E1115" s="106" t="n"/>
      <c r="F1115" s="108" t="n"/>
      <c r="G1115" s="236" t="n"/>
      <c r="H1115" s="95" t="n"/>
      <c r="I1115" s="37" t="n"/>
    </row>
    <row r="1116" hidden="1" ht="15.75" customHeight="1">
      <c r="A1116" s="94" t="n"/>
      <c r="B1116" s="106" t="n"/>
      <c r="C1116" s="106" t="n"/>
      <c r="D1116" s="105" t="n"/>
      <c r="E1116" s="106" t="n"/>
      <c r="F1116" s="108" t="n"/>
      <c r="G1116" s="236" t="n"/>
      <c r="H1116" s="95" t="n"/>
      <c r="I1116" s="37" t="n"/>
    </row>
    <row r="1117" hidden="1" ht="15.75" customHeight="1">
      <c r="A1117" s="94" t="n"/>
      <c r="B1117" s="106" t="n"/>
      <c r="C1117" s="106" t="n"/>
      <c r="D1117" s="105" t="n"/>
      <c r="E1117" s="106" t="n"/>
      <c r="F1117" s="108" t="n"/>
      <c r="G1117" s="236" t="n"/>
      <c r="H1117" s="95" t="n"/>
      <c r="I1117" s="37" t="n"/>
    </row>
    <row r="1118" hidden="1" ht="15.75" customHeight="1">
      <c r="A1118" s="94" t="n"/>
      <c r="B1118" s="106" t="n"/>
      <c r="C1118" s="106" t="n"/>
      <c r="D1118" s="105" t="n"/>
      <c r="E1118" s="106" t="n"/>
      <c r="F1118" s="108" t="n"/>
      <c r="G1118" s="236" t="n"/>
      <c r="H1118" s="95" t="n"/>
      <c r="I1118" s="37" t="n"/>
    </row>
    <row r="1119" hidden="1" ht="15.75" customHeight="1">
      <c r="A1119" s="94" t="n"/>
      <c r="B1119" s="106" t="n"/>
      <c r="C1119" s="106" t="n"/>
      <c r="D1119" s="105" t="n"/>
      <c r="E1119" s="106" t="n"/>
      <c r="F1119" s="108" t="n"/>
      <c r="G1119" s="236" t="n"/>
      <c r="H1119" s="95" t="n"/>
      <c r="I1119" s="37" t="n"/>
    </row>
    <row r="1120" hidden="1" ht="15.75" customHeight="1">
      <c r="A1120" s="94" t="n"/>
      <c r="B1120" s="106" t="n"/>
      <c r="C1120" s="106" t="n"/>
      <c r="D1120" s="105" t="n"/>
      <c r="E1120" s="106" t="n"/>
      <c r="F1120" s="108" t="n"/>
      <c r="G1120" s="236" t="n"/>
      <c r="H1120" s="95" t="n"/>
      <c r="I1120" s="37" t="n"/>
    </row>
    <row r="1121" hidden="1" ht="15.75" customHeight="1">
      <c r="A1121" s="94" t="n"/>
      <c r="B1121" s="106" t="n"/>
      <c r="C1121" s="106" t="n"/>
      <c r="D1121" s="105" t="n"/>
      <c r="E1121" s="106" t="n"/>
      <c r="F1121" s="108" t="n"/>
      <c r="G1121" s="236" t="n"/>
      <c r="H1121" s="95" t="n"/>
      <c r="I1121" s="37" t="n"/>
    </row>
    <row r="1122" hidden="1" ht="15.75" customHeight="1">
      <c r="A1122" s="94" t="n"/>
      <c r="B1122" s="106" t="n"/>
      <c r="C1122" s="106" t="n"/>
      <c r="D1122" s="105" t="n"/>
      <c r="E1122" s="106" t="n"/>
      <c r="F1122" s="108" t="n"/>
      <c r="G1122" s="236" t="n"/>
      <c r="H1122" s="95" t="n"/>
      <c r="I1122" s="37" t="n"/>
    </row>
    <row r="1123" hidden="1" ht="15.75" customHeight="1">
      <c r="A1123" s="94" t="n"/>
      <c r="B1123" s="106" t="n"/>
      <c r="C1123" s="106" t="n"/>
      <c r="D1123" s="105" t="n"/>
      <c r="E1123" s="106" t="n"/>
      <c r="F1123" s="108" t="n"/>
      <c r="G1123" s="236" t="n"/>
      <c r="H1123" s="95" t="n"/>
      <c r="I1123" s="37" t="n"/>
    </row>
    <row r="1124" hidden="1" ht="15.75" customHeight="1">
      <c r="A1124" s="94" t="n"/>
      <c r="B1124" s="106" t="n"/>
      <c r="C1124" s="106" t="n"/>
      <c r="D1124" s="105" t="n"/>
      <c r="E1124" s="106" t="n"/>
      <c r="F1124" s="108" t="n"/>
      <c r="G1124" s="236" t="n"/>
      <c r="H1124" s="95" t="n"/>
      <c r="I1124" s="37" t="n"/>
    </row>
    <row r="1125" hidden="1" ht="15.75" customHeight="1">
      <c r="A1125" s="94" t="n"/>
      <c r="B1125" s="106" t="n"/>
      <c r="C1125" s="106" t="n"/>
      <c r="D1125" s="105" t="n"/>
      <c r="E1125" s="106" t="n"/>
      <c r="F1125" s="108" t="n"/>
      <c r="G1125" s="236" t="n"/>
      <c r="H1125" s="95" t="n"/>
      <c r="I1125" s="37" t="n"/>
    </row>
    <row r="1126" hidden="1" ht="15.75" customHeight="1">
      <c r="A1126" s="94" t="n"/>
      <c r="B1126" s="106" t="n"/>
      <c r="C1126" s="106" t="n"/>
      <c r="D1126" s="105" t="n"/>
      <c r="E1126" s="106" t="n"/>
      <c r="F1126" s="108" t="n"/>
      <c r="G1126" s="236" t="n"/>
      <c r="H1126" s="95" t="n"/>
      <c r="I1126" s="37" t="n"/>
    </row>
    <row r="1127" hidden="1" ht="15.75" customHeight="1">
      <c r="A1127" s="94" t="n"/>
      <c r="B1127" s="106" t="n"/>
      <c r="C1127" s="106" t="n"/>
      <c r="D1127" s="105" t="n"/>
      <c r="E1127" s="106" t="n"/>
      <c r="F1127" s="108" t="n"/>
      <c r="G1127" s="236" t="n"/>
      <c r="H1127" s="95" t="n"/>
      <c r="I1127" s="37" t="n"/>
    </row>
    <row r="1128" hidden="1" ht="15.75" customHeight="1">
      <c r="A1128" s="94" t="n"/>
      <c r="B1128" s="106" t="n"/>
      <c r="C1128" s="106" t="n"/>
      <c r="D1128" s="105" t="n"/>
      <c r="E1128" s="106" t="n"/>
      <c r="F1128" s="108" t="n"/>
      <c r="G1128" s="236" t="n"/>
      <c r="H1128" s="95" t="n"/>
      <c r="I1128" s="37" t="n"/>
    </row>
    <row r="1129" hidden="1" ht="15.75" customHeight="1">
      <c r="A1129" s="94" t="n"/>
      <c r="B1129" s="106" t="n"/>
      <c r="C1129" s="106" t="n"/>
      <c r="D1129" s="105" t="n"/>
      <c r="E1129" s="106" t="n"/>
      <c r="F1129" s="108" t="n"/>
      <c r="G1129" s="236" t="n"/>
      <c r="H1129" s="95" t="n"/>
      <c r="I1129" s="37" t="n"/>
    </row>
    <row r="1130" hidden="1" ht="15.75" customHeight="1">
      <c r="A1130" s="94" t="n"/>
      <c r="B1130" s="106" t="n"/>
      <c r="C1130" s="106" t="n"/>
      <c r="D1130" s="105" t="n"/>
      <c r="E1130" s="106" t="n"/>
      <c r="F1130" s="108" t="n"/>
      <c r="G1130" s="236" t="n"/>
      <c r="H1130" s="95" t="n"/>
      <c r="I1130" s="37" t="n"/>
    </row>
    <row r="1131" hidden="1" ht="15.75" customHeight="1">
      <c r="A1131" s="94" t="n"/>
      <c r="B1131" s="106" t="n"/>
      <c r="C1131" s="106" t="n"/>
      <c r="D1131" s="105" t="n"/>
      <c r="E1131" s="106" t="n"/>
      <c r="F1131" s="108" t="n"/>
      <c r="G1131" s="236" t="n"/>
      <c r="H1131" s="95" t="n"/>
      <c r="I1131" s="37" t="n"/>
    </row>
    <row r="1132" hidden="1" ht="15.75" customHeight="1">
      <c r="A1132" s="94" t="n"/>
      <c r="B1132" s="106" t="n"/>
      <c r="C1132" s="106" t="n"/>
      <c r="D1132" s="105" t="n"/>
      <c r="E1132" s="106" t="n"/>
      <c r="F1132" s="108" t="n"/>
      <c r="G1132" s="236" t="n"/>
      <c r="H1132" s="95" t="n"/>
      <c r="I1132" s="37" t="n"/>
    </row>
    <row r="1133" hidden="1" ht="15.75" customHeight="1">
      <c r="A1133" s="94" t="n"/>
      <c r="B1133" s="106" t="n"/>
      <c r="C1133" s="106" t="n"/>
      <c r="D1133" s="105" t="n"/>
      <c r="E1133" s="106" t="n"/>
      <c r="F1133" s="108" t="n"/>
      <c r="G1133" s="236" t="n"/>
      <c r="H1133" s="95" t="n"/>
      <c r="I1133" s="37" t="n"/>
    </row>
    <row r="1134" hidden="1" ht="15.75" customHeight="1">
      <c r="A1134" s="94" t="n"/>
      <c r="B1134" s="106" t="n"/>
      <c r="C1134" s="106" t="n"/>
      <c r="D1134" s="105" t="n"/>
      <c r="E1134" s="106" t="n"/>
      <c r="F1134" s="108" t="n"/>
      <c r="G1134" s="236" t="n"/>
      <c r="H1134" s="95" t="n"/>
      <c r="I1134" s="37" t="n"/>
    </row>
    <row r="1135" hidden="1" ht="15.75" customHeight="1">
      <c r="D1135" s="10" t="n"/>
      <c r="E1135" s="25" t="n"/>
      <c r="F1135" s="39" t="n"/>
      <c r="G1135" s="8" t="n"/>
    </row>
    <row r="1136" hidden="1" ht="15.75" customHeight="1">
      <c r="D1136" s="10" t="n"/>
      <c r="E1136" s="25" t="n"/>
      <c r="F1136" s="39" t="n"/>
      <c r="G1136" s="8" t="n"/>
    </row>
    <row r="1137" hidden="1" ht="15.75" customHeight="1">
      <c r="D1137" s="10" t="n"/>
      <c r="E1137" s="25" t="n"/>
      <c r="F1137" s="39" t="n"/>
      <c r="G1137" s="8" t="n"/>
    </row>
    <row r="1138" hidden="1" ht="15.75" customHeight="1">
      <c r="D1138" s="10" t="n"/>
      <c r="E1138" s="25" t="n"/>
      <c r="F1138" s="39" t="n"/>
      <c r="G1138" s="8" t="n"/>
    </row>
    <row r="1139" hidden="1" ht="15.75" customHeight="1">
      <c r="D1139" s="10" t="n"/>
      <c r="E1139" s="25" t="n"/>
      <c r="F1139" s="39" t="n"/>
      <c r="G1139" s="8" t="n"/>
    </row>
    <row r="1140" hidden="1" ht="15.75" customHeight="1">
      <c r="D1140" s="10" t="n"/>
      <c r="E1140" s="25" t="n"/>
      <c r="F1140" s="39" t="n"/>
      <c r="G1140" s="8" t="n"/>
    </row>
    <row r="1141" hidden="1" ht="15.75" customHeight="1">
      <c r="D1141" s="10" t="n"/>
      <c r="E1141" s="25" t="n"/>
      <c r="F1141" s="39" t="n"/>
      <c r="G1141" s="8" t="n"/>
    </row>
    <row r="1142" hidden="1" ht="15.75" customHeight="1">
      <c r="D1142" s="10" t="n"/>
      <c r="E1142" s="25" t="n"/>
      <c r="F1142" s="39" t="n"/>
      <c r="G1142" s="8" t="n"/>
    </row>
    <row r="1143" hidden="1" ht="15.75" customHeight="1">
      <c r="D1143" s="10" t="n"/>
      <c r="E1143" s="25" t="n"/>
      <c r="F1143" s="39" t="n"/>
      <c r="G1143" s="8" t="n"/>
    </row>
    <row r="1144" hidden="1" ht="15.75" customHeight="1">
      <c r="D1144" s="10" t="n"/>
      <c r="E1144" s="25" t="n"/>
      <c r="F1144" s="39" t="n"/>
      <c r="G1144" s="8" t="n"/>
    </row>
    <row r="1145" hidden="1" ht="15.75" customHeight="1">
      <c r="D1145" s="10" t="n"/>
      <c r="E1145" s="25" t="n"/>
      <c r="F1145" s="39" t="n"/>
      <c r="G1145" s="8" t="n"/>
    </row>
    <row r="1146" hidden="1" ht="15.75" customHeight="1">
      <c r="D1146" s="10" t="n"/>
      <c r="E1146" s="25" t="n"/>
      <c r="F1146" s="39" t="n"/>
      <c r="G1146" s="8" t="n"/>
    </row>
    <row r="1147" hidden="1" ht="15.75" customHeight="1">
      <c r="D1147" s="10" t="n"/>
      <c r="E1147" s="25" t="n"/>
      <c r="F1147" s="39" t="n"/>
      <c r="G1147" s="8" t="n"/>
    </row>
    <row r="1148" hidden="1" ht="15.75" customHeight="1">
      <c r="D1148" s="10" t="n"/>
      <c r="E1148" s="25" t="n"/>
      <c r="F1148" s="39" t="n"/>
      <c r="G1148" s="8" t="n"/>
    </row>
    <row r="1149" hidden="1" ht="15.75" customHeight="1">
      <c r="D1149" s="10" t="n"/>
      <c r="E1149" s="25" t="n"/>
      <c r="F1149" s="39" t="n"/>
      <c r="G1149" s="8" t="n"/>
    </row>
    <row r="1150" hidden="1" ht="15.75" customHeight="1">
      <c r="D1150" s="10" t="n"/>
      <c r="E1150" s="25" t="n"/>
      <c r="F1150" s="39" t="n"/>
      <c r="G1150" s="8" t="n"/>
    </row>
    <row r="1151" hidden="1" ht="15.75" customHeight="1">
      <c r="D1151" s="10" t="n"/>
      <c r="E1151" s="25" t="n"/>
      <c r="F1151" s="39" t="n"/>
      <c r="G1151" s="8" t="n"/>
    </row>
    <row r="1152" hidden="1" ht="15.75" customHeight="1">
      <c r="D1152" s="10" t="n"/>
      <c r="E1152" s="25" t="n"/>
      <c r="F1152" s="39" t="n"/>
      <c r="G1152" s="8" t="n"/>
    </row>
    <row r="1153" hidden="1" ht="15.75" customHeight="1">
      <c r="D1153" s="10" t="n"/>
      <c r="E1153" s="25" t="n"/>
      <c r="F1153" s="39" t="n"/>
      <c r="G1153" s="8" t="n"/>
    </row>
    <row r="1154" hidden="1" ht="15.75" customHeight="1">
      <c r="D1154" s="10" t="n"/>
      <c r="E1154" s="25" t="n"/>
      <c r="F1154" s="39" t="n"/>
      <c r="G1154" s="8" t="n"/>
    </row>
    <row r="1155" hidden="1" ht="15.75" customHeight="1">
      <c r="D1155" s="10" t="n"/>
      <c r="E1155" s="25" t="n"/>
      <c r="F1155" s="39" t="n"/>
      <c r="G1155" s="8" t="n"/>
    </row>
    <row r="1156" hidden="1" ht="15.75" customHeight="1">
      <c r="D1156" s="10" t="n"/>
      <c r="E1156" s="25" t="n"/>
      <c r="F1156" s="39" t="n"/>
      <c r="G1156" s="8" t="n"/>
    </row>
    <row r="1157" hidden="1" ht="15.75" customHeight="1">
      <c r="D1157" s="10" t="n"/>
      <c r="E1157" s="25" t="n"/>
      <c r="F1157" s="39" t="n"/>
      <c r="G1157" s="8" t="n"/>
    </row>
    <row r="1158" hidden="1" ht="15.75" customHeight="1">
      <c r="D1158" s="10" t="n"/>
      <c r="E1158" s="25" t="n"/>
      <c r="F1158" s="39" t="n"/>
      <c r="G1158" s="8" t="n"/>
    </row>
    <row r="1159" hidden="1" ht="15.75" customHeight="1">
      <c r="D1159" s="10" t="n"/>
      <c r="E1159" s="25" t="n"/>
      <c r="F1159" s="39" t="n"/>
      <c r="G1159" s="8" t="n"/>
    </row>
    <row r="1160" hidden="1" ht="15.75" customHeight="1">
      <c r="D1160" s="10" t="n"/>
      <c r="E1160" s="25" t="n"/>
      <c r="F1160" s="39" t="n"/>
      <c r="G1160" s="8" t="n"/>
    </row>
    <row r="1161" hidden="1" ht="15.75" customHeight="1">
      <c r="D1161" s="10" t="n"/>
      <c r="E1161" s="25" t="n"/>
      <c r="F1161" s="39" t="n"/>
      <c r="G1161" s="8" t="n"/>
    </row>
    <row r="1162" hidden="1" ht="15.75" customHeight="1">
      <c r="D1162" s="10" t="n"/>
      <c r="E1162" s="25" t="n"/>
      <c r="F1162" s="39" t="n"/>
      <c r="G1162" s="8" t="n"/>
    </row>
    <row r="1163" hidden="1" ht="15.75" customHeight="1">
      <c r="D1163" s="10" t="n"/>
      <c r="E1163" s="25" t="n"/>
      <c r="F1163" s="39" t="n"/>
      <c r="G1163" s="8" t="n"/>
    </row>
    <row r="1164" hidden="1" ht="15.75" customHeight="1">
      <c r="D1164" s="10" t="n"/>
      <c r="E1164" s="25" t="n"/>
      <c r="F1164" s="39" t="n"/>
      <c r="G1164" s="8" t="n"/>
    </row>
    <row r="1165" hidden="1" ht="15.75" customHeight="1">
      <c r="D1165" s="10" t="n"/>
      <c r="E1165" s="25" t="n"/>
      <c r="F1165" s="39" t="n"/>
      <c r="G1165" s="8" t="n"/>
    </row>
    <row r="1166" hidden="1" ht="15.75" customHeight="1">
      <c r="D1166" s="10" t="n"/>
      <c r="E1166" s="25" t="n"/>
      <c r="F1166" s="39" t="n"/>
      <c r="G1166" s="8" t="n"/>
    </row>
    <row r="1167" hidden="1" ht="15.75" customHeight="1">
      <c r="D1167" s="10" t="n"/>
      <c r="E1167" s="25" t="n"/>
      <c r="F1167" s="39" t="n"/>
      <c r="G1167" s="8" t="n"/>
    </row>
    <row r="1168" ht="15.75" customHeight="1">
      <c r="D1168" s="10" t="n"/>
      <c r="E1168" s="25" t="n"/>
      <c r="F1168" s="39" t="n"/>
      <c r="G1168" s="8" t="n"/>
    </row>
    <row r="1169" ht="15.75" customFormat="1" customHeight="1" s="21">
      <c r="D1169" s="10" t="n"/>
      <c r="E1169" s="25" t="n"/>
      <c r="F1169" s="39" t="n"/>
      <c r="G1169" s="8" t="n"/>
    </row>
    <row r="1170" customFormat="1" s="21">
      <c r="D1170" s="10" t="n"/>
      <c r="E1170" s="25" t="n"/>
      <c r="F1170" s="39" t="n"/>
      <c r="G1170" s="8" t="n"/>
    </row>
    <row r="1171" ht="18.75" customHeight="1">
      <c r="D1171" s="10" t="n"/>
      <c r="E1171" s="25" t="n"/>
      <c r="F1171" s="39" t="n"/>
      <c r="G1171" s="8" t="n"/>
    </row>
    <row r="1172" ht="15.75" customHeight="1">
      <c r="D1172" s="10" t="n"/>
      <c r="E1172" s="25" t="n"/>
      <c r="F1172" s="39" t="n"/>
      <c r="G1172" s="8" t="n"/>
    </row>
    <row r="1173" ht="18.75" customHeight="1">
      <c r="D1173" s="10" t="n"/>
      <c r="E1173" s="25" t="n"/>
      <c r="F1173" s="39" t="n"/>
      <c r="G1173" s="8" t="n"/>
    </row>
    <row r="1174" ht="18.75" customHeight="1">
      <c r="D1174" s="10" t="n"/>
      <c r="E1174" s="25" t="n"/>
      <c r="F1174" s="39" t="n"/>
      <c r="G1174" s="8" t="n"/>
    </row>
    <row r="1175" ht="18.75" customHeight="1">
      <c r="D1175" s="10" t="n"/>
      <c r="E1175" s="25" t="n"/>
      <c r="F1175" s="39" t="n"/>
      <c r="G1175" s="8" t="n"/>
    </row>
    <row r="1176" ht="15.75" customHeight="1">
      <c r="D1176" s="10" t="n"/>
      <c r="E1176" s="25" t="n"/>
      <c r="F1176" s="39" t="n"/>
      <c r="G1176" s="8" t="n"/>
    </row>
    <row r="1177" ht="15" customHeight="1">
      <c r="D1177" s="10" t="n"/>
      <c r="E1177" s="25" t="n"/>
      <c r="F1177" s="39" t="n"/>
      <c r="G1177" s="8" t="n"/>
    </row>
    <row r="1178">
      <c r="D1178" s="10" t="n"/>
      <c r="E1178" s="25" t="n"/>
      <c r="F1178" s="39" t="n"/>
      <c r="G1178" s="8" t="n"/>
    </row>
    <row r="1179">
      <c r="D1179" s="10" t="n"/>
      <c r="E1179" s="25" t="n"/>
      <c r="F1179" s="39" t="n"/>
      <c r="G1179" s="8" t="n"/>
    </row>
    <row r="1180">
      <c r="D1180" s="10" t="n"/>
      <c r="E1180" s="25" t="n"/>
      <c r="F1180" s="39" t="n"/>
      <c r="G1180" s="8" t="n"/>
    </row>
    <row r="1181">
      <c r="D1181" s="10" t="n"/>
      <c r="E1181" s="25" t="n"/>
      <c r="F1181" s="39" t="n"/>
      <c r="G1181" s="8" t="n"/>
    </row>
    <row r="1182">
      <c r="D1182" s="10" t="n"/>
      <c r="E1182" s="25" t="n"/>
      <c r="F1182" s="39" t="n"/>
      <c r="G1182" s="8" t="n"/>
    </row>
    <row r="1183">
      <c r="D1183" s="10" t="n"/>
      <c r="E1183" s="25" t="n"/>
      <c r="F1183" s="39" t="n"/>
      <c r="G1183" s="8" t="n"/>
    </row>
    <row r="1184">
      <c r="D1184" s="10" t="n"/>
      <c r="E1184" s="25" t="n"/>
      <c r="F1184" s="39" t="n"/>
      <c r="G1184" s="8" t="n"/>
    </row>
    <row r="1185">
      <c r="D1185" s="10" t="n"/>
      <c r="E1185" s="25" t="n"/>
      <c r="F1185" s="39" t="n"/>
      <c r="G1185" s="8" t="n"/>
    </row>
    <row r="1186">
      <c r="D1186" s="10" t="n"/>
      <c r="E1186" s="25" t="n"/>
      <c r="F1186" s="39" t="n"/>
      <c r="G1186" s="8" t="n"/>
    </row>
    <row r="1187">
      <c r="D1187" s="10" t="n"/>
      <c r="E1187" s="25" t="n"/>
      <c r="F1187" s="39" t="n"/>
      <c r="G1187" s="8" t="n"/>
    </row>
    <row r="1188">
      <c r="D1188" s="10" t="n"/>
      <c r="E1188" s="25" t="n"/>
      <c r="F1188" s="39" t="n"/>
      <c r="G1188" s="8" t="n"/>
    </row>
    <row r="1189" ht="15.75" customFormat="1" customHeight="1" s="21">
      <c r="D1189" s="10" t="n"/>
      <c r="E1189" s="25" t="n"/>
      <c r="F1189" s="39" t="n"/>
      <c r="G1189" s="8" t="n"/>
    </row>
    <row r="1190" ht="15.75" customFormat="1" customHeight="1" s="21">
      <c r="D1190" s="10" t="n"/>
      <c r="E1190" s="25" t="n"/>
      <c r="F1190" s="39" t="n"/>
      <c r="G1190" s="8" t="n"/>
    </row>
    <row r="1191" ht="15.75" customFormat="1" customHeight="1" s="21">
      <c r="D1191" s="10" t="n"/>
      <c r="E1191" s="25" t="n"/>
      <c r="F1191" s="39" t="n"/>
      <c r="G1191" s="8" t="n"/>
    </row>
    <row r="1192" ht="15.75" customFormat="1" customHeight="1" s="21">
      <c r="D1192" s="10" t="n"/>
      <c r="E1192" s="25" t="n"/>
      <c r="F1192" s="39" t="n"/>
      <c r="G1192" s="8" t="n"/>
    </row>
    <row r="1193" ht="15.75" customFormat="1" customHeight="1" s="21">
      <c r="D1193" s="10" t="n"/>
      <c r="E1193" s="25" t="n"/>
      <c r="F1193" s="39" t="n"/>
      <c r="G1193" s="8" t="n"/>
    </row>
    <row r="1194" ht="15.75" customFormat="1" customHeight="1" s="21">
      <c r="D1194" s="10" t="n"/>
      <c r="E1194" s="25" t="n"/>
      <c r="F1194" s="39" t="n"/>
      <c r="G1194" s="8" t="n"/>
    </row>
    <row r="1195" ht="15.75" customFormat="1" customHeight="1" s="21">
      <c r="D1195" s="10" t="n"/>
      <c r="E1195" s="25" t="n"/>
      <c r="F1195" s="39" t="n"/>
      <c r="G1195" s="8" t="n"/>
    </row>
    <row r="1196" ht="15.75" customFormat="1" customHeight="1" s="21">
      <c r="D1196" s="10" t="n"/>
      <c r="E1196" s="25" t="n"/>
      <c r="F1196" s="39" t="n"/>
      <c r="G1196" s="8" t="n"/>
    </row>
    <row r="1197" ht="15.75" customFormat="1" customHeight="1" s="21">
      <c r="D1197" s="10" t="n"/>
      <c r="E1197" s="25" t="n"/>
      <c r="F1197" s="39" t="n"/>
      <c r="G1197" s="8" t="n"/>
    </row>
    <row r="1198" ht="15.75" customFormat="1" customHeight="1" s="21">
      <c r="D1198" s="10" t="n"/>
      <c r="E1198" s="25" t="n"/>
      <c r="F1198" s="39" t="n"/>
      <c r="G1198" s="8" t="n"/>
    </row>
    <row r="1199" ht="15.75" customFormat="1" customHeight="1" s="21">
      <c r="D1199" s="10" t="n"/>
      <c r="E1199" s="25" t="n"/>
      <c r="F1199" s="39" t="n"/>
      <c r="G1199" s="8" t="n"/>
    </row>
    <row r="1200" ht="15.75" customFormat="1" customHeight="1" s="21">
      <c r="D1200" s="10" t="n"/>
      <c r="E1200" s="25" t="n"/>
      <c r="F1200" s="39" t="n"/>
      <c r="G1200" s="8" t="n"/>
    </row>
    <row r="1201" ht="15.75" customFormat="1" customHeight="1" s="21">
      <c r="D1201" s="10" t="n"/>
      <c r="E1201" s="25" t="n"/>
      <c r="F1201" s="39" t="n"/>
      <c r="G1201" s="8" t="n"/>
    </row>
    <row r="1202" ht="15.75" customFormat="1" customHeight="1" s="21">
      <c r="D1202" s="10" t="n"/>
      <c r="E1202" s="25" t="n"/>
      <c r="F1202" s="39" t="n"/>
      <c r="G1202" s="8" t="n"/>
    </row>
    <row r="1203" ht="15.75" customFormat="1" customHeight="1" s="21">
      <c r="D1203" s="10" t="n"/>
      <c r="E1203" s="25" t="n"/>
      <c r="F1203" s="39" t="n"/>
      <c r="G1203" s="8" t="n"/>
    </row>
    <row r="1204" ht="15.75" customFormat="1" customHeight="1" s="21">
      <c r="D1204" s="10" t="n"/>
      <c r="E1204" s="25" t="n"/>
      <c r="F1204" s="39" t="n"/>
      <c r="G1204" s="8" t="n"/>
    </row>
    <row r="1205" ht="15.75" customFormat="1" customHeight="1" s="21">
      <c r="D1205" s="10" t="n"/>
      <c r="E1205" s="25" t="n"/>
      <c r="F1205" s="39" t="n"/>
      <c r="G1205" s="8" t="n"/>
    </row>
    <row r="1206" ht="15.75" customFormat="1" customHeight="1" s="21">
      <c r="D1206" s="10" t="n"/>
      <c r="E1206" s="25" t="n"/>
      <c r="F1206" s="39" t="n"/>
      <c r="G1206" s="8" t="n"/>
    </row>
    <row r="1207" ht="15.75" customFormat="1" customHeight="1" s="21">
      <c r="D1207" s="10" t="n"/>
      <c r="E1207" s="25" t="n"/>
      <c r="F1207" s="39" t="n"/>
      <c r="G1207" s="8" t="n"/>
    </row>
    <row r="1208" ht="15.75" customFormat="1" customHeight="1" s="21">
      <c r="D1208" s="10" t="n"/>
      <c r="E1208" s="25" t="n"/>
      <c r="F1208" s="39" t="n"/>
      <c r="G1208" s="8" t="n"/>
    </row>
    <row r="1209" ht="15.75" customFormat="1" customHeight="1" s="21">
      <c r="D1209" s="10" t="n"/>
      <c r="E1209" s="25" t="n"/>
      <c r="F1209" s="39" t="n"/>
      <c r="G1209" s="8" t="n"/>
    </row>
    <row r="1210">
      <c r="D1210" s="10" t="n"/>
      <c r="E1210" s="25" t="n"/>
      <c r="F1210" s="39" t="n"/>
      <c r="G1210" s="8" t="n"/>
    </row>
    <row r="1211">
      <c r="D1211" s="10" t="n"/>
      <c r="E1211" s="25" t="n"/>
      <c r="F1211" s="39" t="n"/>
      <c r="G1211" s="8" t="n"/>
    </row>
    <row r="1212">
      <c r="D1212" s="10" t="n"/>
      <c r="E1212" s="25" t="n"/>
      <c r="F1212" s="39" t="n"/>
      <c r="G1212" s="8" t="n"/>
    </row>
    <row r="1213">
      <c r="D1213" s="10" t="n"/>
      <c r="E1213" s="25" t="n"/>
      <c r="F1213" s="39" t="n"/>
      <c r="G1213" s="8" t="n"/>
    </row>
    <row r="1214">
      <c r="D1214" s="10" t="n"/>
      <c r="E1214" s="25" t="n"/>
      <c r="F1214" s="39" t="n"/>
      <c r="G1214" s="8" t="n"/>
    </row>
    <row r="1215">
      <c r="D1215" s="10" t="n"/>
      <c r="E1215" s="25" t="n"/>
      <c r="F1215" s="39" t="n"/>
      <c r="G1215" s="8" t="n"/>
    </row>
    <row r="1216">
      <c r="D1216" s="10" t="n"/>
      <c r="E1216" s="25" t="n"/>
      <c r="F1216" s="39" t="n"/>
      <c r="G1216" s="8" t="n"/>
    </row>
    <row r="1217">
      <c r="D1217" s="10" t="n"/>
      <c r="E1217" s="25" t="n"/>
      <c r="F1217" s="39" t="n"/>
      <c r="G1217" s="8" t="n"/>
    </row>
    <row r="1218">
      <c r="D1218" s="10" t="n"/>
      <c r="E1218" s="25" t="n"/>
      <c r="F1218" s="39" t="n"/>
      <c r="G1218" s="8" t="n"/>
    </row>
    <row r="1219">
      <c r="D1219" s="10" t="n"/>
      <c r="E1219" s="25" t="n"/>
      <c r="F1219" s="39" t="n"/>
      <c r="G1219" s="8" t="n"/>
    </row>
    <row r="1220">
      <c r="D1220" s="10" t="n"/>
      <c r="E1220" s="25" t="n"/>
      <c r="F1220" s="39" t="n"/>
      <c r="G1220" s="8" t="n"/>
    </row>
    <row r="1221">
      <c r="D1221" s="10" t="n"/>
      <c r="E1221" s="25" t="n"/>
      <c r="F1221" s="39" t="n"/>
      <c r="G1221" s="8" t="n"/>
    </row>
    <row r="1222">
      <c r="D1222" s="10" t="n"/>
      <c r="E1222" s="25" t="n"/>
      <c r="F1222" s="39" t="n"/>
      <c r="G1222" s="8" t="n"/>
    </row>
    <row r="1223">
      <c r="D1223" s="10" t="n"/>
      <c r="E1223" s="25" t="n"/>
      <c r="F1223" s="39" t="n"/>
      <c r="G1223" s="8" t="n"/>
    </row>
    <row r="1224">
      <c r="D1224" s="10" t="n"/>
      <c r="E1224" s="25" t="n"/>
      <c r="F1224" s="39" t="n"/>
      <c r="G1224" s="8" t="n"/>
    </row>
    <row r="1225">
      <c r="D1225" s="10" t="n"/>
      <c r="E1225" s="25" t="n"/>
      <c r="F1225" s="39" t="n"/>
      <c r="G1225" s="8" t="n"/>
    </row>
    <row r="1226">
      <c r="D1226" s="10" t="n"/>
      <c r="E1226" s="25" t="n"/>
      <c r="F1226" s="39" t="n"/>
      <c r="G1226" s="8" t="n"/>
    </row>
    <row r="1227">
      <c r="D1227" s="10" t="n"/>
      <c r="E1227" s="25" t="n"/>
      <c r="F1227" s="39" t="n"/>
      <c r="G1227" s="8" t="n"/>
    </row>
    <row r="1228">
      <c r="D1228" s="10" t="n"/>
      <c r="E1228" s="25" t="n"/>
      <c r="F1228" s="39" t="n"/>
      <c r="G1228" s="8" t="n"/>
    </row>
    <row r="1229">
      <c r="D1229" s="10" t="n"/>
      <c r="E1229" s="25" t="n"/>
      <c r="F1229" s="39" t="n"/>
      <c r="G1229" s="8" t="n"/>
    </row>
    <row r="1230">
      <c r="D1230" s="10" t="n"/>
      <c r="E1230" s="25" t="n"/>
      <c r="F1230" s="39" t="n"/>
      <c r="G1230" s="8" t="n"/>
    </row>
    <row r="1231">
      <c r="D1231" s="10" t="n"/>
      <c r="E1231" s="25" t="n"/>
      <c r="F1231" s="39" t="n"/>
      <c r="G1231" s="8" t="n"/>
    </row>
    <row r="1232">
      <c r="D1232" s="10" t="n"/>
      <c r="E1232" s="25" t="n"/>
      <c r="F1232" s="39" t="n"/>
      <c r="G1232" s="8" t="n"/>
    </row>
    <row r="1233">
      <c r="D1233" s="10" t="n"/>
      <c r="E1233" s="25" t="n"/>
      <c r="F1233" s="39" t="n"/>
      <c r="G1233" s="8" t="n"/>
    </row>
    <row r="1234">
      <c r="D1234" s="10" t="n"/>
      <c r="E1234" s="25" t="n"/>
      <c r="F1234" s="39" t="n"/>
      <c r="G1234" s="8" t="n"/>
    </row>
    <row r="1235">
      <c r="D1235" s="10" t="n"/>
      <c r="E1235" s="25" t="n"/>
      <c r="F1235" s="39" t="n"/>
      <c r="G1235" s="8" t="n"/>
    </row>
    <row r="1236">
      <c r="D1236" s="10" t="n"/>
      <c r="E1236" s="25" t="n"/>
      <c r="F1236" s="39" t="n"/>
      <c r="G1236" s="8" t="n"/>
    </row>
    <row r="1237">
      <c r="D1237" s="10" t="n"/>
      <c r="E1237" s="25" t="n"/>
      <c r="F1237" s="39" t="n"/>
      <c r="G1237" s="8" t="n"/>
    </row>
    <row r="1238">
      <c r="D1238" s="10" t="n"/>
      <c r="E1238" s="25" t="n"/>
      <c r="F1238" s="39" t="n"/>
      <c r="G1238" s="8" t="n"/>
    </row>
    <row r="1239">
      <c r="D1239" s="10" t="n"/>
      <c r="E1239" s="25" t="n"/>
      <c r="F1239" s="39" t="n"/>
      <c r="G1239" s="8" t="n"/>
    </row>
    <row r="1240">
      <c r="D1240" s="10" t="n"/>
      <c r="E1240" s="25" t="n"/>
      <c r="F1240" s="39" t="n"/>
      <c r="G1240" s="8" t="n"/>
    </row>
    <row r="1241">
      <c r="D1241" s="10" t="n"/>
      <c r="E1241" s="25" t="n"/>
      <c r="F1241" s="39" t="n"/>
      <c r="G1241" s="8" t="n"/>
    </row>
    <row r="1242">
      <c r="D1242" s="10" t="n"/>
      <c r="E1242" s="25" t="n"/>
      <c r="F1242" s="39" t="n"/>
      <c r="G1242" s="8" t="n"/>
    </row>
    <row r="1243">
      <c r="D1243" s="10" t="n"/>
      <c r="E1243" s="25" t="n"/>
      <c r="F1243" s="39" t="n"/>
      <c r="G1243" s="8" t="n"/>
    </row>
    <row r="1244">
      <c r="D1244" s="10" t="n"/>
      <c r="E1244" s="25" t="n"/>
      <c r="F1244" s="39" t="n"/>
      <c r="G1244" s="8" t="n"/>
    </row>
    <row r="1245">
      <c r="D1245" s="10" t="n"/>
      <c r="E1245" s="25" t="n"/>
      <c r="F1245" s="39" t="n"/>
      <c r="G1245" s="8" t="n"/>
    </row>
    <row r="1246">
      <c r="D1246" s="10" t="n"/>
      <c r="E1246" s="25" t="n"/>
      <c r="F1246" s="39" t="n"/>
      <c r="G1246" s="8" t="n"/>
    </row>
    <row r="1247">
      <c r="D1247" s="10" t="n"/>
      <c r="E1247" s="25" t="n"/>
      <c r="F1247" s="39" t="n"/>
      <c r="G1247" s="8" t="n"/>
    </row>
    <row r="1248">
      <c r="D1248" s="10" t="n"/>
      <c r="E1248" s="25" t="n"/>
      <c r="F1248" s="39" t="n"/>
      <c r="G1248" s="8" t="n"/>
    </row>
    <row r="1249">
      <c r="D1249" s="10" t="n"/>
      <c r="E1249" s="25" t="n"/>
      <c r="F1249" s="39" t="n"/>
      <c r="G1249" s="8" t="n"/>
    </row>
    <row r="1250">
      <c r="D1250" s="10" t="n"/>
      <c r="E1250" s="25" t="n"/>
      <c r="F1250" s="39" t="n"/>
      <c r="G1250" s="8" t="n"/>
    </row>
    <row r="1251">
      <c r="D1251" s="10" t="n"/>
      <c r="E1251" s="25" t="n"/>
      <c r="F1251" s="39" t="n"/>
      <c r="G1251" s="8" t="n"/>
    </row>
    <row r="1252">
      <c r="D1252" s="10" t="n"/>
      <c r="E1252" s="25" t="n"/>
      <c r="F1252" s="39" t="n"/>
      <c r="G1252" s="8" t="n"/>
    </row>
    <row r="1253">
      <c r="D1253" s="10" t="n"/>
      <c r="E1253" s="25" t="n"/>
      <c r="F1253" s="39" t="n"/>
      <c r="G1253" s="8" t="n"/>
    </row>
    <row r="1254">
      <c r="D1254" s="10" t="n"/>
      <c r="E1254" s="25" t="n"/>
      <c r="F1254" s="39" t="n"/>
      <c r="G1254" s="8" t="n"/>
    </row>
    <row r="1255">
      <c r="D1255" s="10" t="n"/>
      <c r="E1255" s="25" t="n"/>
      <c r="F1255" s="39" t="n"/>
      <c r="G1255" s="8" t="n"/>
    </row>
    <row r="1256">
      <c r="D1256" s="10" t="n"/>
      <c r="E1256" s="25" t="n"/>
      <c r="F1256" s="39" t="n"/>
      <c r="G1256" s="8" t="n"/>
    </row>
    <row r="1257">
      <c r="D1257" s="10" t="n"/>
      <c r="E1257" s="25" t="n"/>
      <c r="F1257" s="39" t="n"/>
      <c r="G1257" s="8" t="n"/>
    </row>
    <row r="1258">
      <c r="D1258" s="10" t="n"/>
      <c r="E1258" s="25" t="n"/>
      <c r="F1258" s="39" t="n"/>
      <c r="G1258" s="8" t="n"/>
    </row>
    <row r="1259">
      <c r="D1259" s="10" t="n"/>
      <c r="E1259" s="25" t="n"/>
      <c r="F1259" s="39" t="n"/>
      <c r="G1259" s="8" t="n"/>
    </row>
    <row r="1260">
      <c r="D1260" s="10" t="n"/>
      <c r="E1260" s="25" t="n"/>
      <c r="F1260" s="39" t="n"/>
      <c r="G1260" s="8" t="n"/>
    </row>
    <row r="1261">
      <c r="D1261" s="10" t="n"/>
      <c r="E1261" s="25" t="n"/>
      <c r="F1261" s="39" t="n"/>
      <c r="G1261" s="8" t="n"/>
    </row>
    <row r="1262">
      <c r="D1262" s="10" t="n"/>
      <c r="E1262" s="25" t="n"/>
      <c r="F1262" s="39" t="n"/>
      <c r="G1262" s="8" t="n"/>
    </row>
    <row r="1263">
      <c r="D1263" s="10" t="n"/>
      <c r="E1263" s="25" t="n"/>
      <c r="F1263" s="39" t="n"/>
      <c r="G1263" s="8" t="n"/>
    </row>
    <row r="1264">
      <c r="D1264" s="10" t="n"/>
      <c r="E1264" s="25" t="n"/>
      <c r="F1264" s="39" t="n"/>
      <c r="G1264" s="8" t="n"/>
    </row>
    <row r="1265">
      <c r="D1265" s="10" t="n"/>
      <c r="E1265" s="25" t="n"/>
      <c r="F1265" s="39" t="n"/>
      <c r="G1265" s="8" t="n"/>
    </row>
    <row r="1266">
      <c r="D1266" s="10" t="n"/>
      <c r="E1266" s="25" t="n"/>
      <c r="F1266" s="39" t="n"/>
      <c r="G1266" s="8" t="n"/>
    </row>
    <row r="1267">
      <c r="D1267" s="10" t="n"/>
      <c r="E1267" s="25" t="n"/>
      <c r="F1267" s="39" t="n"/>
      <c r="G1267" s="8" t="n"/>
    </row>
    <row r="1268">
      <c r="D1268" s="10" t="n"/>
      <c r="E1268" s="25" t="n"/>
      <c r="F1268" s="39" t="n"/>
      <c r="G1268" s="8" t="n"/>
    </row>
    <row r="1269">
      <c r="D1269" s="10" t="n"/>
      <c r="E1269" s="25" t="n"/>
      <c r="F1269" s="39" t="n"/>
      <c r="G1269" s="8" t="n"/>
    </row>
    <row r="1270">
      <c r="D1270" s="10" t="n"/>
      <c r="E1270" s="25" t="n"/>
      <c r="F1270" s="39" t="n"/>
      <c r="G1270" s="8" t="n"/>
    </row>
    <row r="1271">
      <c r="D1271" s="10" t="n"/>
      <c r="E1271" s="25" t="n"/>
      <c r="F1271" s="39" t="n"/>
      <c r="G1271" s="8" t="n"/>
    </row>
    <row r="1272">
      <c r="D1272" s="10" t="n"/>
      <c r="E1272" s="25" t="n"/>
      <c r="F1272" s="39" t="n"/>
      <c r="G1272" s="8" t="n"/>
    </row>
    <row r="1273">
      <c r="D1273" s="10" t="n"/>
      <c r="E1273" s="25" t="n"/>
      <c r="F1273" s="39" t="n"/>
      <c r="G1273" s="8" t="n"/>
    </row>
    <row r="1274">
      <c r="D1274" s="10" t="n"/>
      <c r="E1274" s="25" t="n"/>
      <c r="F1274" s="39" t="n"/>
      <c r="G1274" s="8" t="n"/>
    </row>
    <row r="1275">
      <c r="D1275" s="10" t="n"/>
      <c r="E1275" s="25" t="n"/>
      <c r="F1275" s="39" t="n"/>
      <c r="G1275" s="8" t="n"/>
    </row>
    <row r="1276">
      <c r="D1276" s="10" t="n"/>
      <c r="E1276" s="25" t="n"/>
      <c r="F1276" s="39" t="n"/>
      <c r="G1276" s="8" t="n"/>
    </row>
    <row r="1277">
      <c r="D1277" s="10" t="n"/>
      <c r="E1277" s="25" t="n"/>
      <c r="F1277" s="39" t="n"/>
      <c r="G1277" s="8" t="n"/>
    </row>
    <row r="1278">
      <c r="D1278" s="10" t="n"/>
      <c r="E1278" s="25" t="n"/>
      <c r="F1278" s="39" t="n"/>
      <c r="G1278" s="8" t="n"/>
    </row>
    <row r="1279">
      <c r="D1279" s="10" t="n"/>
      <c r="E1279" s="25" t="n"/>
      <c r="F1279" s="39" t="n"/>
      <c r="G1279" s="8" t="n"/>
    </row>
    <row r="1280">
      <c r="D1280" s="10" t="n"/>
      <c r="E1280" s="25" t="n"/>
      <c r="F1280" s="39" t="n"/>
      <c r="G1280" s="8" t="n"/>
    </row>
    <row r="1281">
      <c r="D1281" s="10" t="n"/>
      <c r="E1281" s="25" t="n"/>
      <c r="F1281" s="39" t="n"/>
      <c r="G1281" s="8" t="n"/>
    </row>
    <row r="1282">
      <c r="D1282" s="10" t="n"/>
      <c r="E1282" s="25" t="n"/>
      <c r="F1282" s="39" t="n"/>
      <c r="G1282" s="8" t="n"/>
    </row>
    <row r="1283">
      <c r="D1283" s="10" t="n"/>
      <c r="E1283" s="25" t="n"/>
      <c r="F1283" s="39" t="n"/>
      <c r="G1283" s="8" t="n"/>
    </row>
    <row r="1284">
      <c r="D1284" s="10" t="n"/>
      <c r="E1284" s="25" t="n"/>
      <c r="F1284" s="39" t="n"/>
      <c r="G1284" s="8" t="n"/>
    </row>
    <row r="1285">
      <c r="D1285" s="10" t="n"/>
      <c r="E1285" s="25" t="n"/>
      <c r="F1285" s="39" t="n"/>
      <c r="G1285" s="8" t="n"/>
    </row>
    <row r="1286">
      <c r="D1286" s="10" t="n"/>
      <c r="E1286" s="25" t="n"/>
      <c r="F1286" s="39" t="n"/>
      <c r="G1286" s="8" t="n"/>
    </row>
    <row r="1287">
      <c r="D1287" s="10" t="n"/>
      <c r="E1287" s="25" t="n"/>
      <c r="F1287" s="39" t="n"/>
      <c r="G1287" s="8" t="n"/>
    </row>
  </sheetData>
  <autoFilter ref="A5:H1172"/>
  <mergeCells count="7">
    <mergeCell ref="A4:H4"/>
    <mergeCell ref="A3:H3"/>
    <mergeCell ref="A1101:C1101"/>
    <mergeCell ref="E1101:H1101"/>
    <mergeCell ref="E1096:H1096"/>
    <mergeCell ref="E1097:H1097"/>
    <mergeCell ref="A1097:C1097"/>
  </mergeCells>
  <pageMargins left="0.4375" right="0.3958333333333333" top="0.36" bottom="0.2" header="0.45" footer="0.22"/>
  <pageSetup orientation="landscape" paperSize="9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L136"/>
  <sheetViews>
    <sheetView zoomScaleNormal="100" workbookViewId="0">
      <pane xSplit="7" ySplit="6" topLeftCell="H34" activePane="bottomRight" state="frozen"/>
      <selection activeCell="I38" sqref="I38"/>
      <selection pane="topRight" activeCell="I38" sqref="I38"/>
      <selection pane="bottomLeft" activeCell="I38" sqref="I38"/>
      <selection pane="bottomRight" activeCell="A65" sqref="A65:XFD101"/>
    </sheetView>
  </sheetViews>
  <sheetFormatPr baseColWidth="8" defaultColWidth="4.7109375" defaultRowHeight="15" outlineLevelCol="0"/>
  <cols>
    <col width="4.7109375" customWidth="1" style="22" min="1" max="1"/>
    <col width="8.5703125" customWidth="1" style="22" min="2" max="2"/>
    <col width="24.140625" customWidth="1" style="40" min="3" max="3"/>
    <col width="9.85546875" customWidth="1" style="42" min="4" max="4"/>
    <col width="36.28515625" customWidth="1" style="40" min="5" max="5"/>
    <col width="7.7109375" customWidth="1" style="40" min="6" max="6"/>
    <col width="14.140625" bestFit="1" customWidth="1" style="56" min="7" max="7"/>
    <col width="8.28515625" bestFit="1" customWidth="1" style="39" min="8" max="8"/>
    <col width="12.85546875" bestFit="1" customWidth="1" style="53" min="9" max="9"/>
    <col width="9.5703125" customWidth="1" style="22" min="10" max="10"/>
    <col width="8.5703125" customWidth="1" style="22" min="11" max="11"/>
    <col width="10.140625" customWidth="1" style="22" min="12" max="12"/>
    <col width="9.140625" customWidth="1" style="12" min="13" max="13"/>
    <col width="19.85546875" customWidth="1" style="12" min="14" max="14"/>
    <col width="9.140625" customWidth="1" style="12" min="15" max="17"/>
    <col width="15.85546875" customWidth="1" style="12" min="18" max="18"/>
    <col width="9.140625" customWidth="1" style="12" min="19" max="249"/>
    <col width="5.140625" customWidth="1" style="12" min="250" max="250"/>
    <col width="4.7109375" customWidth="1" style="12" min="251" max="251"/>
    <col width="7.42578125" customWidth="1" style="12" min="252" max="252"/>
    <col width="23.85546875" customWidth="1" style="12" min="253" max="254"/>
    <col width="10.140625" customWidth="1" style="12" min="255" max="255"/>
    <col width="5.85546875" customWidth="1" style="12" min="256" max="256"/>
    <col width="4.7109375" customWidth="1" style="12" min="257" max="257"/>
    <col width="4.85546875" customWidth="1" style="12" min="258" max="258"/>
    <col width="16.140625" customWidth="1" style="12" min="259" max="259"/>
    <col width="9.7109375" customWidth="1" style="12" min="260" max="260"/>
    <col width="14.5703125" customWidth="1" style="12" min="261" max="261"/>
    <col width="10.7109375" customWidth="1" style="12" min="262" max="262"/>
    <col width="8.85546875" customWidth="1" style="12" min="263" max="263"/>
    <col width="11" customWidth="1" style="12" min="264" max="264"/>
    <col width="5.28515625" customWidth="1" style="12" min="265" max="265"/>
    <col width="10.28515625" customWidth="1" style="12" min="266" max="266"/>
    <col width="10.140625" customWidth="1" style="12" min="267" max="267"/>
    <col width="9.140625" customWidth="1" style="12" min="268" max="505"/>
    <col width="5.140625" customWidth="1" style="12" min="506" max="506"/>
    <col width="4.7109375" customWidth="1" style="12" min="507" max="507"/>
    <col width="7.42578125" customWidth="1" style="12" min="508" max="508"/>
    <col width="23.85546875" customWidth="1" style="12" min="509" max="510"/>
    <col width="10.140625" customWidth="1" style="12" min="511" max="511"/>
    <col width="5.85546875" customWidth="1" style="12" min="512" max="512"/>
    <col width="4.7109375" customWidth="1" style="12" min="513" max="513"/>
    <col width="4.85546875" customWidth="1" style="12" min="514" max="514"/>
    <col width="16.140625" customWidth="1" style="12" min="515" max="515"/>
    <col width="9.7109375" customWidth="1" style="12" min="516" max="516"/>
    <col width="14.5703125" customWidth="1" style="12" min="517" max="517"/>
    <col width="10.7109375" customWidth="1" style="12" min="518" max="518"/>
    <col width="8.85546875" customWidth="1" style="12" min="519" max="519"/>
    <col width="11" customWidth="1" style="12" min="520" max="520"/>
    <col width="5.28515625" customWidth="1" style="12" min="521" max="521"/>
    <col width="10.28515625" customWidth="1" style="12" min="522" max="522"/>
    <col width="10.140625" customWidth="1" style="12" min="523" max="523"/>
    <col width="9.140625" customWidth="1" style="12" min="524" max="761"/>
    <col width="5.140625" customWidth="1" style="12" min="762" max="762"/>
    <col width="4.7109375" customWidth="1" style="12" min="763" max="763"/>
    <col width="7.42578125" customWidth="1" style="12" min="764" max="764"/>
    <col width="23.85546875" customWidth="1" style="12" min="765" max="766"/>
    <col width="10.140625" customWidth="1" style="12" min="767" max="767"/>
    <col width="5.85546875" customWidth="1" style="12" min="768" max="768"/>
    <col width="4.7109375" customWidth="1" style="12" min="769" max="769"/>
    <col width="4.85546875" customWidth="1" style="12" min="770" max="770"/>
    <col width="16.140625" customWidth="1" style="12" min="771" max="771"/>
    <col width="9.7109375" customWidth="1" style="12" min="772" max="772"/>
    <col width="14.5703125" customWidth="1" style="12" min="773" max="773"/>
    <col width="10.7109375" customWidth="1" style="12" min="774" max="774"/>
    <col width="8.85546875" customWidth="1" style="12" min="775" max="775"/>
    <col width="11" customWidth="1" style="12" min="776" max="776"/>
    <col width="5.28515625" customWidth="1" style="12" min="777" max="777"/>
    <col width="10.28515625" customWidth="1" style="12" min="778" max="778"/>
    <col width="10.140625" customWidth="1" style="12" min="779" max="779"/>
    <col width="9.140625" customWidth="1" style="12" min="780" max="1017"/>
    <col width="5.140625" customWidth="1" style="12" min="1018" max="1018"/>
    <col width="4.7109375" customWidth="1" style="12" min="1019" max="1019"/>
    <col width="7.42578125" customWidth="1" style="12" min="1020" max="1020"/>
    <col width="23.85546875" customWidth="1" style="12" min="1021" max="1022"/>
    <col width="10.140625" customWidth="1" style="12" min="1023" max="1023"/>
    <col width="5.85546875" customWidth="1" style="12" min="1024" max="1024"/>
    <col width="4.7109375" customWidth="1" style="12" min="1025" max="1025"/>
    <col width="4.85546875" customWidth="1" style="12" min="1026" max="1026"/>
    <col width="16.140625" customWidth="1" style="12" min="1027" max="1027"/>
    <col width="9.7109375" customWidth="1" style="12" min="1028" max="1028"/>
    <col width="14.5703125" customWidth="1" style="12" min="1029" max="1029"/>
    <col width="10.7109375" customWidth="1" style="12" min="1030" max="1030"/>
    <col width="8.85546875" customWidth="1" style="12" min="1031" max="1031"/>
    <col width="11" customWidth="1" style="12" min="1032" max="1032"/>
    <col width="5.28515625" customWidth="1" style="12" min="1033" max="1033"/>
    <col width="10.28515625" customWidth="1" style="12" min="1034" max="1034"/>
    <col width="10.140625" customWidth="1" style="12" min="1035" max="1035"/>
    <col width="9.140625" customWidth="1" style="12" min="1036" max="1273"/>
    <col width="5.140625" customWidth="1" style="12" min="1274" max="1274"/>
    <col width="4.7109375" customWidth="1" style="12" min="1275" max="1275"/>
    <col width="7.42578125" customWidth="1" style="12" min="1276" max="1276"/>
    <col width="23.85546875" customWidth="1" style="12" min="1277" max="1278"/>
    <col width="10.140625" customWidth="1" style="12" min="1279" max="1279"/>
    <col width="5.85546875" customWidth="1" style="12" min="1280" max="1280"/>
    <col width="4.7109375" customWidth="1" style="12" min="1281" max="1281"/>
    <col width="4.85546875" customWidth="1" style="12" min="1282" max="1282"/>
    <col width="16.140625" customWidth="1" style="12" min="1283" max="1283"/>
    <col width="9.7109375" customWidth="1" style="12" min="1284" max="1284"/>
    <col width="14.5703125" customWidth="1" style="12" min="1285" max="1285"/>
    <col width="10.7109375" customWidth="1" style="12" min="1286" max="1286"/>
    <col width="8.85546875" customWidth="1" style="12" min="1287" max="1287"/>
    <col width="11" customWidth="1" style="12" min="1288" max="1288"/>
    <col width="5.28515625" customWidth="1" style="12" min="1289" max="1289"/>
    <col width="10.28515625" customWidth="1" style="12" min="1290" max="1290"/>
    <col width="10.140625" customWidth="1" style="12" min="1291" max="1291"/>
    <col width="9.140625" customWidth="1" style="12" min="1292" max="1529"/>
    <col width="5.140625" customWidth="1" style="12" min="1530" max="1530"/>
    <col width="4.7109375" customWidth="1" style="12" min="1531" max="1531"/>
    <col width="7.42578125" customWidth="1" style="12" min="1532" max="1532"/>
    <col width="23.85546875" customWidth="1" style="12" min="1533" max="1534"/>
    <col width="10.140625" customWidth="1" style="12" min="1535" max="1535"/>
    <col width="5.85546875" customWidth="1" style="12" min="1536" max="1536"/>
    <col width="4.7109375" customWidth="1" style="12" min="1537" max="1537"/>
    <col width="4.85546875" customWidth="1" style="12" min="1538" max="1538"/>
    <col width="16.140625" customWidth="1" style="12" min="1539" max="1539"/>
    <col width="9.7109375" customWidth="1" style="12" min="1540" max="1540"/>
    <col width="14.5703125" customWidth="1" style="12" min="1541" max="1541"/>
    <col width="10.7109375" customWidth="1" style="12" min="1542" max="1542"/>
    <col width="8.85546875" customWidth="1" style="12" min="1543" max="1543"/>
    <col width="11" customWidth="1" style="12" min="1544" max="1544"/>
    <col width="5.28515625" customWidth="1" style="12" min="1545" max="1545"/>
    <col width="10.28515625" customWidth="1" style="12" min="1546" max="1546"/>
    <col width="10.140625" customWidth="1" style="12" min="1547" max="1547"/>
    <col width="9.140625" customWidth="1" style="12" min="1548" max="1785"/>
    <col width="5.140625" customWidth="1" style="12" min="1786" max="1786"/>
    <col width="4.7109375" customWidth="1" style="12" min="1787" max="1787"/>
    <col width="7.42578125" customWidth="1" style="12" min="1788" max="1788"/>
    <col width="23.85546875" customWidth="1" style="12" min="1789" max="1790"/>
    <col width="10.140625" customWidth="1" style="12" min="1791" max="1791"/>
    <col width="5.85546875" customWidth="1" style="12" min="1792" max="1792"/>
    <col width="4.7109375" customWidth="1" style="12" min="1793" max="1793"/>
    <col width="4.85546875" customWidth="1" style="12" min="1794" max="1794"/>
    <col width="16.140625" customWidth="1" style="12" min="1795" max="1795"/>
    <col width="9.7109375" customWidth="1" style="12" min="1796" max="1796"/>
    <col width="14.5703125" customWidth="1" style="12" min="1797" max="1797"/>
    <col width="10.7109375" customWidth="1" style="12" min="1798" max="1798"/>
    <col width="8.85546875" customWidth="1" style="12" min="1799" max="1799"/>
    <col width="11" customWidth="1" style="12" min="1800" max="1800"/>
    <col width="5.28515625" customWidth="1" style="12" min="1801" max="1801"/>
    <col width="10.28515625" customWidth="1" style="12" min="1802" max="1802"/>
    <col width="10.140625" customWidth="1" style="12" min="1803" max="1803"/>
    <col width="9.140625" customWidth="1" style="12" min="1804" max="2041"/>
    <col width="5.140625" customWidth="1" style="12" min="2042" max="2042"/>
    <col width="4.7109375" customWidth="1" style="12" min="2043" max="2043"/>
    <col width="7.42578125" customWidth="1" style="12" min="2044" max="2044"/>
    <col width="23.85546875" customWidth="1" style="12" min="2045" max="2046"/>
    <col width="10.140625" customWidth="1" style="12" min="2047" max="2047"/>
    <col width="5.85546875" customWidth="1" style="12" min="2048" max="2048"/>
    <col width="4.7109375" customWidth="1" style="12" min="2049" max="2049"/>
    <col width="4.85546875" customWidth="1" style="12" min="2050" max="2050"/>
    <col width="16.140625" customWidth="1" style="12" min="2051" max="2051"/>
    <col width="9.7109375" customWidth="1" style="12" min="2052" max="2052"/>
    <col width="14.5703125" customWidth="1" style="12" min="2053" max="2053"/>
    <col width="10.7109375" customWidth="1" style="12" min="2054" max="2054"/>
    <col width="8.85546875" customWidth="1" style="12" min="2055" max="2055"/>
    <col width="11" customWidth="1" style="12" min="2056" max="2056"/>
    <col width="5.28515625" customWidth="1" style="12" min="2057" max="2057"/>
    <col width="10.28515625" customWidth="1" style="12" min="2058" max="2058"/>
    <col width="10.140625" customWidth="1" style="12" min="2059" max="2059"/>
    <col width="9.140625" customWidth="1" style="12" min="2060" max="2297"/>
    <col width="5.140625" customWidth="1" style="12" min="2298" max="2298"/>
    <col width="4.7109375" customWidth="1" style="12" min="2299" max="2299"/>
    <col width="7.42578125" customWidth="1" style="12" min="2300" max="2300"/>
    <col width="23.85546875" customWidth="1" style="12" min="2301" max="2302"/>
    <col width="10.140625" customWidth="1" style="12" min="2303" max="2303"/>
    <col width="5.85546875" customWidth="1" style="12" min="2304" max="2304"/>
    <col width="4.7109375" customWidth="1" style="12" min="2305" max="2305"/>
    <col width="4.85546875" customWidth="1" style="12" min="2306" max="2306"/>
    <col width="16.140625" customWidth="1" style="12" min="2307" max="2307"/>
    <col width="9.7109375" customWidth="1" style="12" min="2308" max="2308"/>
    <col width="14.5703125" customWidth="1" style="12" min="2309" max="2309"/>
    <col width="10.7109375" customWidth="1" style="12" min="2310" max="2310"/>
    <col width="8.85546875" customWidth="1" style="12" min="2311" max="2311"/>
    <col width="11" customWidth="1" style="12" min="2312" max="2312"/>
    <col width="5.28515625" customWidth="1" style="12" min="2313" max="2313"/>
    <col width="10.28515625" customWidth="1" style="12" min="2314" max="2314"/>
    <col width="10.140625" customWidth="1" style="12" min="2315" max="2315"/>
    <col width="9.140625" customWidth="1" style="12" min="2316" max="2553"/>
    <col width="5.140625" customWidth="1" style="12" min="2554" max="2554"/>
    <col width="4.7109375" customWidth="1" style="12" min="2555" max="2555"/>
    <col width="7.42578125" customWidth="1" style="12" min="2556" max="2556"/>
    <col width="23.85546875" customWidth="1" style="12" min="2557" max="2558"/>
    <col width="10.140625" customWidth="1" style="12" min="2559" max="2559"/>
    <col width="5.85546875" customWidth="1" style="12" min="2560" max="2560"/>
    <col width="4.7109375" customWidth="1" style="12" min="2561" max="2561"/>
    <col width="4.85546875" customWidth="1" style="12" min="2562" max="2562"/>
    <col width="16.140625" customWidth="1" style="12" min="2563" max="2563"/>
    <col width="9.7109375" customWidth="1" style="12" min="2564" max="2564"/>
    <col width="14.5703125" customWidth="1" style="12" min="2565" max="2565"/>
    <col width="10.7109375" customWidth="1" style="12" min="2566" max="2566"/>
    <col width="8.85546875" customWidth="1" style="12" min="2567" max="2567"/>
    <col width="11" customWidth="1" style="12" min="2568" max="2568"/>
    <col width="5.28515625" customWidth="1" style="12" min="2569" max="2569"/>
    <col width="10.28515625" customWidth="1" style="12" min="2570" max="2570"/>
    <col width="10.140625" customWidth="1" style="12" min="2571" max="2571"/>
    <col width="9.140625" customWidth="1" style="12" min="2572" max="2809"/>
    <col width="5.140625" customWidth="1" style="12" min="2810" max="2810"/>
    <col width="4.7109375" customWidth="1" style="12" min="2811" max="2811"/>
    <col width="7.42578125" customWidth="1" style="12" min="2812" max="2812"/>
    <col width="23.85546875" customWidth="1" style="12" min="2813" max="2814"/>
    <col width="10.140625" customWidth="1" style="12" min="2815" max="2815"/>
    <col width="5.85546875" customWidth="1" style="12" min="2816" max="2816"/>
    <col width="4.7109375" customWidth="1" style="12" min="2817" max="2817"/>
    <col width="4.85546875" customWidth="1" style="12" min="2818" max="2818"/>
    <col width="16.140625" customWidth="1" style="12" min="2819" max="2819"/>
    <col width="9.7109375" customWidth="1" style="12" min="2820" max="2820"/>
    <col width="14.5703125" customWidth="1" style="12" min="2821" max="2821"/>
    <col width="10.7109375" customWidth="1" style="12" min="2822" max="2822"/>
    <col width="8.85546875" customWidth="1" style="12" min="2823" max="2823"/>
    <col width="11" customWidth="1" style="12" min="2824" max="2824"/>
    <col width="5.28515625" customWidth="1" style="12" min="2825" max="2825"/>
    <col width="10.28515625" customWidth="1" style="12" min="2826" max="2826"/>
    <col width="10.140625" customWidth="1" style="12" min="2827" max="2827"/>
    <col width="9.140625" customWidth="1" style="12" min="2828" max="3065"/>
    <col width="5.140625" customWidth="1" style="12" min="3066" max="3066"/>
    <col width="4.7109375" customWidth="1" style="12" min="3067" max="3067"/>
    <col width="7.42578125" customWidth="1" style="12" min="3068" max="3068"/>
    <col width="23.85546875" customWidth="1" style="12" min="3069" max="3070"/>
    <col width="10.140625" customWidth="1" style="12" min="3071" max="3071"/>
    <col width="5.85546875" customWidth="1" style="12" min="3072" max="3072"/>
    <col width="4.7109375" customWidth="1" style="12" min="3073" max="3073"/>
    <col width="4.85546875" customWidth="1" style="12" min="3074" max="3074"/>
    <col width="16.140625" customWidth="1" style="12" min="3075" max="3075"/>
    <col width="9.7109375" customWidth="1" style="12" min="3076" max="3076"/>
    <col width="14.5703125" customWidth="1" style="12" min="3077" max="3077"/>
    <col width="10.7109375" customWidth="1" style="12" min="3078" max="3078"/>
    <col width="8.85546875" customWidth="1" style="12" min="3079" max="3079"/>
    <col width="11" customWidth="1" style="12" min="3080" max="3080"/>
    <col width="5.28515625" customWidth="1" style="12" min="3081" max="3081"/>
    <col width="10.28515625" customWidth="1" style="12" min="3082" max="3082"/>
    <col width="10.140625" customWidth="1" style="12" min="3083" max="3083"/>
    <col width="9.140625" customWidth="1" style="12" min="3084" max="3321"/>
    <col width="5.140625" customWidth="1" style="12" min="3322" max="3322"/>
    <col width="4.7109375" customWidth="1" style="12" min="3323" max="3323"/>
    <col width="7.42578125" customWidth="1" style="12" min="3324" max="3324"/>
    <col width="23.85546875" customWidth="1" style="12" min="3325" max="3326"/>
    <col width="10.140625" customWidth="1" style="12" min="3327" max="3327"/>
    <col width="5.85546875" customWidth="1" style="12" min="3328" max="3328"/>
    <col width="4.7109375" customWidth="1" style="12" min="3329" max="3329"/>
    <col width="4.85546875" customWidth="1" style="12" min="3330" max="3330"/>
    <col width="16.140625" customWidth="1" style="12" min="3331" max="3331"/>
    <col width="9.7109375" customWidth="1" style="12" min="3332" max="3332"/>
    <col width="14.5703125" customWidth="1" style="12" min="3333" max="3333"/>
    <col width="10.7109375" customWidth="1" style="12" min="3334" max="3334"/>
    <col width="8.85546875" customWidth="1" style="12" min="3335" max="3335"/>
    <col width="11" customWidth="1" style="12" min="3336" max="3336"/>
    <col width="5.28515625" customWidth="1" style="12" min="3337" max="3337"/>
    <col width="10.28515625" customWidth="1" style="12" min="3338" max="3338"/>
    <col width="10.140625" customWidth="1" style="12" min="3339" max="3339"/>
    <col width="9.140625" customWidth="1" style="12" min="3340" max="3577"/>
    <col width="5.140625" customWidth="1" style="12" min="3578" max="3578"/>
    <col width="4.7109375" customWidth="1" style="12" min="3579" max="3579"/>
    <col width="7.42578125" customWidth="1" style="12" min="3580" max="3580"/>
    <col width="23.85546875" customWidth="1" style="12" min="3581" max="3582"/>
    <col width="10.140625" customWidth="1" style="12" min="3583" max="3583"/>
    <col width="5.85546875" customWidth="1" style="12" min="3584" max="3584"/>
    <col width="4.7109375" customWidth="1" style="12" min="3585" max="3585"/>
    <col width="4.85546875" customWidth="1" style="12" min="3586" max="3586"/>
    <col width="16.140625" customWidth="1" style="12" min="3587" max="3587"/>
    <col width="9.7109375" customWidth="1" style="12" min="3588" max="3588"/>
    <col width="14.5703125" customWidth="1" style="12" min="3589" max="3589"/>
    <col width="10.7109375" customWidth="1" style="12" min="3590" max="3590"/>
    <col width="8.85546875" customWidth="1" style="12" min="3591" max="3591"/>
    <col width="11" customWidth="1" style="12" min="3592" max="3592"/>
    <col width="5.28515625" customWidth="1" style="12" min="3593" max="3593"/>
    <col width="10.28515625" customWidth="1" style="12" min="3594" max="3594"/>
    <col width="10.140625" customWidth="1" style="12" min="3595" max="3595"/>
    <col width="9.140625" customWidth="1" style="12" min="3596" max="3833"/>
    <col width="5.140625" customWidth="1" style="12" min="3834" max="3834"/>
    <col width="4.7109375" customWidth="1" style="12" min="3835" max="3835"/>
    <col width="7.42578125" customWidth="1" style="12" min="3836" max="3836"/>
    <col width="23.85546875" customWidth="1" style="12" min="3837" max="3838"/>
    <col width="10.140625" customWidth="1" style="12" min="3839" max="3839"/>
    <col width="5.85546875" customWidth="1" style="12" min="3840" max="3840"/>
    <col width="4.7109375" customWidth="1" style="12" min="3841" max="3841"/>
    <col width="4.85546875" customWidth="1" style="12" min="3842" max="3842"/>
    <col width="16.140625" customWidth="1" style="12" min="3843" max="3843"/>
    <col width="9.7109375" customWidth="1" style="12" min="3844" max="3844"/>
    <col width="14.5703125" customWidth="1" style="12" min="3845" max="3845"/>
    <col width="10.7109375" customWidth="1" style="12" min="3846" max="3846"/>
    <col width="8.85546875" customWidth="1" style="12" min="3847" max="3847"/>
    <col width="11" customWidth="1" style="12" min="3848" max="3848"/>
    <col width="5.28515625" customWidth="1" style="12" min="3849" max="3849"/>
    <col width="10.28515625" customWidth="1" style="12" min="3850" max="3850"/>
    <col width="10.140625" customWidth="1" style="12" min="3851" max="3851"/>
    <col width="9.140625" customWidth="1" style="12" min="3852" max="4089"/>
    <col width="5.140625" customWidth="1" style="12" min="4090" max="4090"/>
    <col width="4.7109375" customWidth="1" style="12" min="4091" max="4091"/>
    <col width="7.42578125" customWidth="1" style="12" min="4092" max="4092"/>
    <col width="23.85546875" customWidth="1" style="12" min="4093" max="4094"/>
    <col width="10.140625" customWidth="1" style="12" min="4095" max="4095"/>
    <col width="5.85546875" customWidth="1" style="12" min="4096" max="4096"/>
    <col width="4.7109375" customWidth="1" style="12" min="4097" max="4097"/>
    <col width="4.85546875" customWidth="1" style="12" min="4098" max="4098"/>
    <col width="16.140625" customWidth="1" style="12" min="4099" max="4099"/>
    <col width="9.7109375" customWidth="1" style="12" min="4100" max="4100"/>
    <col width="14.5703125" customWidth="1" style="12" min="4101" max="4101"/>
    <col width="10.7109375" customWidth="1" style="12" min="4102" max="4102"/>
    <col width="8.85546875" customWidth="1" style="12" min="4103" max="4103"/>
    <col width="11" customWidth="1" style="12" min="4104" max="4104"/>
    <col width="5.28515625" customWidth="1" style="12" min="4105" max="4105"/>
    <col width="10.28515625" customWidth="1" style="12" min="4106" max="4106"/>
    <col width="10.140625" customWidth="1" style="12" min="4107" max="4107"/>
    <col width="9.140625" customWidth="1" style="12" min="4108" max="4345"/>
    <col width="5.140625" customWidth="1" style="12" min="4346" max="4346"/>
    <col width="4.7109375" customWidth="1" style="12" min="4347" max="4347"/>
    <col width="7.42578125" customWidth="1" style="12" min="4348" max="4348"/>
    <col width="23.85546875" customWidth="1" style="12" min="4349" max="4350"/>
    <col width="10.140625" customWidth="1" style="12" min="4351" max="4351"/>
    <col width="5.85546875" customWidth="1" style="12" min="4352" max="4352"/>
    <col width="4.7109375" customWidth="1" style="12" min="4353" max="4353"/>
    <col width="4.85546875" customWidth="1" style="12" min="4354" max="4354"/>
    <col width="16.140625" customWidth="1" style="12" min="4355" max="4355"/>
    <col width="9.7109375" customWidth="1" style="12" min="4356" max="4356"/>
    <col width="14.5703125" customWidth="1" style="12" min="4357" max="4357"/>
    <col width="10.7109375" customWidth="1" style="12" min="4358" max="4358"/>
    <col width="8.85546875" customWidth="1" style="12" min="4359" max="4359"/>
    <col width="11" customWidth="1" style="12" min="4360" max="4360"/>
    <col width="5.28515625" customWidth="1" style="12" min="4361" max="4361"/>
    <col width="10.28515625" customWidth="1" style="12" min="4362" max="4362"/>
    <col width="10.140625" customWidth="1" style="12" min="4363" max="4363"/>
    <col width="9.140625" customWidth="1" style="12" min="4364" max="4601"/>
    <col width="5.140625" customWidth="1" style="12" min="4602" max="4602"/>
    <col width="4.7109375" customWidth="1" style="12" min="4603" max="4603"/>
    <col width="7.42578125" customWidth="1" style="12" min="4604" max="4604"/>
    <col width="23.85546875" customWidth="1" style="12" min="4605" max="4606"/>
    <col width="10.140625" customWidth="1" style="12" min="4607" max="4607"/>
    <col width="5.85546875" customWidth="1" style="12" min="4608" max="4608"/>
    <col width="4.7109375" customWidth="1" style="12" min="4609" max="4609"/>
    <col width="4.85546875" customWidth="1" style="12" min="4610" max="4610"/>
    <col width="16.140625" customWidth="1" style="12" min="4611" max="4611"/>
    <col width="9.7109375" customWidth="1" style="12" min="4612" max="4612"/>
    <col width="14.5703125" customWidth="1" style="12" min="4613" max="4613"/>
    <col width="10.7109375" customWidth="1" style="12" min="4614" max="4614"/>
    <col width="8.85546875" customWidth="1" style="12" min="4615" max="4615"/>
    <col width="11" customWidth="1" style="12" min="4616" max="4616"/>
    <col width="5.28515625" customWidth="1" style="12" min="4617" max="4617"/>
    <col width="10.28515625" customWidth="1" style="12" min="4618" max="4618"/>
    <col width="10.140625" customWidth="1" style="12" min="4619" max="4619"/>
    <col width="9.140625" customWidth="1" style="12" min="4620" max="4857"/>
    <col width="5.140625" customWidth="1" style="12" min="4858" max="4858"/>
    <col width="4.7109375" customWidth="1" style="12" min="4859" max="4859"/>
    <col width="7.42578125" customWidth="1" style="12" min="4860" max="4860"/>
    <col width="23.85546875" customWidth="1" style="12" min="4861" max="4862"/>
    <col width="10.140625" customWidth="1" style="12" min="4863" max="4863"/>
    <col width="5.85546875" customWidth="1" style="12" min="4864" max="4864"/>
    <col width="4.7109375" customWidth="1" style="12" min="4865" max="4865"/>
    <col width="4.85546875" customWidth="1" style="12" min="4866" max="4866"/>
    <col width="16.140625" customWidth="1" style="12" min="4867" max="4867"/>
    <col width="9.7109375" customWidth="1" style="12" min="4868" max="4868"/>
    <col width="14.5703125" customWidth="1" style="12" min="4869" max="4869"/>
    <col width="10.7109375" customWidth="1" style="12" min="4870" max="4870"/>
    <col width="8.85546875" customWidth="1" style="12" min="4871" max="4871"/>
    <col width="11" customWidth="1" style="12" min="4872" max="4872"/>
    <col width="5.28515625" customWidth="1" style="12" min="4873" max="4873"/>
    <col width="10.28515625" customWidth="1" style="12" min="4874" max="4874"/>
    <col width="10.140625" customWidth="1" style="12" min="4875" max="4875"/>
    <col width="9.140625" customWidth="1" style="12" min="4876" max="5113"/>
    <col width="5.140625" customWidth="1" style="12" min="5114" max="5114"/>
    <col width="4.7109375" customWidth="1" style="12" min="5115" max="5115"/>
    <col width="7.42578125" customWidth="1" style="12" min="5116" max="5116"/>
    <col width="23.85546875" customWidth="1" style="12" min="5117" max="5118"/>
    <col width="10.140625" customWidth="1" style="12" min="5119" max="5119"/>
    <col width="5.85546875" customWidth="1" style="12" min="5120" max="5120"/>
    <col width="4.7109375" customWidth="1" style="12" min="5121" max="5121"/>
    <col width="4.85546875" customWidth="1" style="12" min="5122" max="5122"/>
    <col width="16.140625" customWidth="1" style="12" min="5123" max="5123"/>
    <col width="9.7109375" customWidth="1" style="12" min="5124" max="5124"/>
    <col width="14.5703125" customWidth="1" style="12" min="5125" max="5125"/>
    <col width="10.7109375" customWidth="1" style="12" min="5126" max="5126"/>
    <col width="8.85546875" customWidth="1" style="12" min="5127" max="5127"/>
    <col width="11" customWidth="1" style="12" min="5128" max="5128"/>
    <col width="5.28515625" customWidth="1" style="12" min="5129" max="5129"/>
    <col width="10.28515625" customWidth="1" style="12" min="5130" max="5130"/>
    <col width="10.140625" customWidth="1" style="12" min="5131" max="5131"/>
    <col width="9.140625" customWidth="1" style="12" min="5132" max="5369"/>
    <col width="5.140625" customWidth="1" style="12" min="5370" max="5370"/>
    <col width="4.7109375" customWidth="1" style="12" min="5371" max="5371"/>
    <col width="7.42578125" customWidth="1" style="12" min="5372" max="5372"/>
    <col width="23.85546875" customWidth="1" style="12" min="5373" max="5374"/>
    <col width="10.140625" customWidth="1" style="12" min="5375" max="5375"/>
    <col width="5.85546875" customWidth="1" style="12" min="5376" max="5376"/>
    <col width="4.7109375" customWidth="1" style="12" min="5377" max="5377"/>
    <col width="4.85546875" customWidth="1" style="12" min="5378" max="5378"/>
    <col width="16.140625" customWidth="1" style="12" min="5379" max="5379"/>
    <col width="9.7109375" customWidth="1" style="12" min="5380" max="5380"/>
    <col width="14.5703125" customWidth="1" style="12" min="5381" max="5381"/>
    <col width="10.7109375" customWidth="1" style="12" min="5382" max="5382"/>
    <col width="8.85546875" customWidth="1" style="12" min="5383" max="5383"/>
    <col width="11" customWidth="1" style="12" min="5384" max="5384"/>
    <col width="5.28515625" customWidth="1" style="12" min="5385" max="5385"/>
    <col width="10.28515625" customWidth="1" style="12" min="5386" max="5386"/>
    <col width="10.140625" customWidth="1" style="12" min="5387" max="5387"/>
    <col width="9.140625" customWidth="1" style="12" min="5388" max="5625"/>
    <col width="5.140625" customWidth="1" style="12" min="5626" max="5626"/>
    <col width="4.7109375" customWidth="1" style="12" min="5627" max="5627"/>
    <col width="7.42578125" customWidth="1" style="12" min="5628" max="5628"/>
    <col width="23.85546875" customWidth="1" style="12" min="5629" max="5630"/>
    <col width="10.140625" customWidth="1" style="12" min="5631" max="5631"/>
    <col width="5.85546875" customWidth="1" style="12" min="5632" max="5632"/>
    <col width="4.7109375" customWidth="1" style="12" min="5633" max="5633"/>
    <col width="4.85546875" customWidth="1" style="12" min="5634" max="5634"/>
    <col width="16.140625" customWidth="1" style="12" min="5635" max="5635"/>
    <col width="9.7109375" customWidth="1" style="12" min="5636" max="5636"/>
    <col width="14.5703125" customWidth="1" style="12" min="5637" max="5637"/>
    <col width="10.7109375" customWidth="1" style="12" min="5638" max="5638"/>
    <col width="8.85546875" customWidth="1" style="12" min="5639" max="5639"/>
    <col width="11" customWidth="1" style="12" min="5640" max="5640"/>
    <col width="5.28515625" customWidth="1" style="12" min="5641" max="5641"/>
    <col width="10.28515625" customWidth="1" style="12" min="5642" max="5642"/>
    <col width="10.140625" customWidth="1" style="12" min="5643" max="5643"/>
    <col width="9.140625" customWidth="1" style="12" min="5644" max="5881"/>
    <col width="5.140625" customWidth="1" style="12" min="5882" max="5882"/>
    <col width="4.7109375" customWidth="1" style="12" min="5883" max="5883"/>
    <col width="7.42578125" customWidth="1" style="12" min="5884" max="5884"/>
    <col width="23.85546875" customWidth="1" style="12" min="5885" max="5886"/>
    <col width="10.140625" customWidth="1" style="12" min="5887" max="5887"/>
    <col width="5.85546875" customWidth="1" style="12" min="5888" max="5888"/>
    <col width="4.7109375" customWidth="1" style="12" min="5889" max="5889"/>
    <col width="4.85546875" customWidth="1" style="12" min="5890" max="5890"/>
    <col width="16.140625" customWidth="1" style="12" min="5891" max="5891"/>
    <col width="9.7109375" customWidth="1" style="12" min="5892" max="5892"/>
    <col width="14.5703125" customWidth="1" style="12" min="5893" max="5893"/>
    <col width="10.7109375" customWidth="1" style="12" min="5894" max="5894"/>
    <col width="8.85546875" customWidth="1" style="12" min="5895" max="5895"/>
    <col width="11" customWidth="1" style="12" min="5896" max="5896"/>
    <col width="5.28515625" customWidth="1" style="12" min="5897" max="5897"/>
    <col width="10.28515625" customWidth="1" style="12" min="5898" max="5898"/>
    <col width="10.140625" customWidth="1" style="12" min="5899" max="5899"/>
    <col width="9.140625" customWidth="1" style="12" min="5900" max="6137"/>
    <col width="5.140625" customWidth="1" style="12" min="6138" max="6138"/>
    <col width="4.7109375" customWidth="1" style="12" min="6139" max="6139"/>
    <col width="7.42578125" customWidth="1" style="12" min="6140" max="6140"/>
    <col width="23.85546875" customWidth="1" style="12" min="6141" max="6142"/>
    <col width="10.140625" customWidth="1" style="12" min="6143" max="6143"/>
    <col width="5.85546875" customWidth="1" style="12" min="6144" max="6144"/>
    <col width="4.7109375" customWidth="1" style="12" min="6145" max="6145"/>
    <col width="4.85546875" customWidth="1" style="12" min="6146" max="6146"/>
    <col width="16.140625" customWidth="1" style="12" min="6147" max="6147"/>
    <col width="9.7109375" customWidth="1" style="12" min="6148" max="6148"/>
    <col width="14.5703125" customWidth="1" style="12" min="6149" max="6149"/>
    <col width="10.7109375" customWidth="1" style="12" min="6150" max="6150"/>
    <col width="8.85546875" customWidth="1" style="12" min="6151" max="6151"/>
    <col width="11" customWidth="1" style="12" min="6152" max="6152"/>
    <col width="5.28515625" customWidth="1" style="12" min="6153" max="6153"/>
    <col width="10.28515625" customWidth="1" style="12" min="6154" max="6154"/>
    <col width="10.140625" customWidth="1" style="12" min="6155" max="6155"/>
    <col width="9.140625" customWidth="1" style="12" min="6156" max="6393"/>
    <col width="5.140625" customWidth="1" style="12" min="6394" max="6394"/>
    <col width="4.7109375" customWidth="1" style="12" min="6395" max="6395"/>
    <col width="7.42578125" customWidth="1" style="12" min="6396" max="6396"/>
    <col width="23.85546875" customWidth="1" style="12" min="6397" max="6398"/>
    <col width="10.140625" customWidth="1" style="12" min="6399" max="6399"/>
    <col width="5.85546875" customWidth="1" style="12" min="6400" max="6400"/>
    <col width="4.7109375" customWidth="1" style="12" min="6401" max="6401"/>
    <col width="4.85546875" customWidth="1" style="12" min="6402" max="6402"/>
    <col width="16.140625" customWidth="1" style="12" min="6403" max="6403"/>
    <col width="9.7109375" customWidth="1" style="12" min="6404" max="6404"/>
    <col width="14.5703125" customWidth="1" style="12" min="6405" max="6405"/>
    <col width="10.7109375" customWidth="1" style="12" min="6406" max="6406"/>
    <col width="8.85546875" customWidth="1" style="12" min="6407" max="6407"/>
    <col width="11" customWidth="1" style="12" min="6408" max="6408"/>
    <col width="5.28515625" customWidth="1" style="12" min="6409" max="6409"/>
    <col width="10.28515625" customWidth="1" style="12" min="6410" max="6410"/>
    <col width="10.140625" customWidth="1" style="12" min="6411" max="6411"/>
    <col width="9.140625" customWidth="1" style="12" min="6412" max="6649"/>
    <col width="5.140625" customWidth="1" style="12" min="6650" max="6650"/>
    <col width="4.7109375" customWidth="1" style="12" min="6651" max="6651"/>
    <col width="7.42578125" customWidth="1" style="12" min="6652" max="6652"/>
    <col width="23.85546875" customWidth="1" style="12" min="6653" max="6654"/>
    <col width="10.140625" customWidth="1" style="12" min="6655" max="6655"/>
    <col width="5.85546875" customWidth="1" style="12" min="6656" max="6656"/>
    <col width="4.7109375" customWidth="1" style="12" min="6657" max="6657"/>
    <col width="4.85546875" customWidth="1" style="12" min="6658" max="6658"/>
    <col width="16.140625" customWidth="1" style="12" min="6659" max="6659"/>
    <col width="9.7109375" customWidth="1" style="12" min="6660" max="6660"/>
    <col width="14.5703125" customWidth="1" style="12" min="6661" max="6661"/>
    <col width="10.7109375" customWidth="1" style="12" min="6662" max="6662"/>
    <col width="8.85546875" customWidth="1" style="12" min="6663" max="6663"/>
    <col width="11" customWidth="1" style="12" min="6664" max="6664"/>
    <col width="5.28515625" customWidth="1" style="12" min="6665" max="6665"/>
    <col width="10.28515625" customWidth="1" style="12" min="6666" max="6666"/>
    <col width="10.140625" customWidth="1" style="12" min="6667" max="6667"/>
    <col width="9.140625" customWidth="1" style="12" min="6668" max="6905"/>
    <col width="5.140625" customWidth="1" style="12" min="6906" max="6906"/>
    <col width="4.7109375" customWidth="1" style="12" min="6907" max="6907"/>
    <col width="7.42578125" customWidth="1" style="12" min="6908" max="6908"/>
    <col width="23.85546875" customWidth="1" style="12" min="6909" max="6910"/>
    <col width="10.140625" customWidth="1" style="12" min="6911" max="6911"/>
    <col width="5.85546875" customWidth="1" style="12" min="6912" max="6912"/>
    <col width="4.7109375" customWidth="1" style="12" min="6913" max="6913"/>
    <col width="4.85546875" customWidth="1" style="12" min="6914" max="6914"/>
    <col width="16.140625" customWidth="1" style="12" min="6915" max="6915"/>
    <col width="9.7109375" customWidth="1" style="12" min="6916" max="6916"/>
    <col width="14.5703125" customWidth="1" style="12" min="6917" max="6917"/>
    <col width="10.7109375" customWidth="1" style="12" min="6918" max="6918"/>
    <col width="8.85546875" customWidth="1" style="12" min="6919" max="6919"/>
    <col width="11" customWidth="1" style="12" min="6920" max="6920"/>
    <col width="5.28515625" customWidth="1" style="12" min="6921" max="6921"/>
    <col width="10.28515625" customWidth="1" style="12" min="6922" max="6922"/>
    <col width="10.140625" customWidth="1" style="12" min="6923" max="6923"/>
    <col width="9.140625" customWidth="1" style="12" min="6924" max="7161"/>
    <col width="5.140625" customWidth="1" style="12" min="7162" max="7162"/>
    <col width="4.7109375" customWidth="1" style="12" min="7163" max="7163"/>
    <col width="7.42578125" customWidth="1" style="12" min="7164" max="7164"/>
    <col width="23.85546875" customWidth="1" style="12" min="7165" max="7166"/>
    <col width="10.140625" customWidth="1" style="12" min="7167" max="7167"/>
    <col width="5.85546875" customWidth="1" style="12" min="7168" max="7168"/>
    <col width="4.7109375" customWidth="1" style="12" min="7169" max="7169"/>
    <col width="4.85546875" customWidth="1" style="12" min="7170" max="7170"/>
    <col width="16.140625" customWidth="1" style="12" min="7171" max="7171"/>
    <col width="9.7109375" customWidth="1" style="12" min="7172" max="7172"/>
    <col width="14.5703125" customWidth="1" style="12" min="7173" max="7173"/>
    <col width="10.7109375" customWidth="1" style="12" min="7174" max="7174"/>
    <col width="8.85546875" customWidth="1" style="12" min="7175" max="7175"/>
    <col width="11" customWidth="1" style="12" min="7176" max="7176"/>
    <col width="5.28515625" customWidth="1" style="12" min="7177" max="7177"/>
    <col width="10.28515625" customWidth="1" style="12" min="7178" max="7178"/>
    <col width="10.140625" customWidth="1" style="12" min="7179" max="7179"/>
    <col width="9.140625" customWidth="1" style="12" min="7180" max="7417"/>
    <col width="5.140625" customWidth="1" style="12" min="7418" max="7418"/>
    <col width="4.7109375" customWidth="1" style="12" min="7419" max="7419"/>
    <col width="7.42578125" customWidth="1" style="12" min="7420" max="7420"/>
    <col width="23.85546875" customWidth="1" style="12" min="7421" max="7422"/>
    <col width="10.140625" customWidth="1" style="12" min="7423" max="7423"/>
    <col width="5.85546875" customWidth="1" style="12" min="7424" max="7424"/>
    <col width="4.7109375" customWidth="1" style="12" min="7425" max="7425"/>
    <col width="4.85546875" customWidth="1" style="12" min="7426" max="7426"/>
    <col width="16.140625" customWidth="1" style="12" min="7427" max="7427"/>
    <col width="9.7109375" customWidth="1" style="12" min="7428" max="7428"/>
    <col width="14.5703125" customWidth="1" style="12" min="7429" max="7429"/>
    <col width="10.7109375" customWidth="1" style="12" min="7430" max="7430"/>
    <col width="8.85546875" customWidth="1" style="12" min="7431" max="7431"/>
    <col width="11" customWidth="1" style="12" min="7432" max="7432"/>
    <col width="5.28515625" customWidth="1" style="12" min="7433" max="7433"/>
    <col width="10.28515625" customWidth="1" style="12" min="7434" max="7434"/>
    <col width="10.140625" customWidth="1" style="12" min="7435" max="7435"/>
    <col width="9.140625" customWidth="1" style="12" min="7436" max="7673"/>
    <col width="5.140625" customWidth="1" style="12" min="7674" max="7674"/>
    <col width="4.7109375" customWidth="1" style="12" min="7675" max="7675"/>
    <col width="7.42578125" customWidth="1" style="12" min="7676" max="7676"/>
    <col width="23.85546875" customWidth="1" style="12" min="7677" max="7678"/>
    <col width="10.140625" customWidth="1" style="12" min="7679" max="7679"/>
    <col width="5.85546875" customWidth="1" style="12" min="7680" max="7680"/>
    <col width="4.7109375" customWidth="1" style="12" min="7681" max="7681"/>
    <col width="4.85546875" customWidth="1" style="12" min="7682" max="7682"/>
    <col width="16.140625" customWidth="1" style="12" min="7683" max="7683"/>
    <col width="9.7109375" customWidth="1" style="12" min="7684" max="7684"/>
    <col width="14.5703125" customWidth="1" style="12" min="7685" max="7685"/>
    <col width="10.7109375" customWidth="1" style="12" min="7686" max="7686"/>
    <col width="8.85546875" customWidth="1" style="12" min="7687" max="7687"/>
    <col width="11" customWidth="1" style="12" min="7688" max="7688"/>
    <col width="5.28515625" customWidth="1" style="12" min="7689" max="7689"/>
    <col width="10.28515625" customWidth="1" style="12" min="7690" max="7690"/>
    <col width="10.140625" customWidth="1" style="12" min="7691" max="7691"/>
    <col width="9.140625" customWidth="1" style="12" min="7692" max="7929"/>
    <col width="5.140625" customWidth="1" style="12" min="7930" max="7930"/>
    <col width="4.7109375" customWidth="1" style="12" min="7931" max="7931"/>
    <col width="7.42578125" customWidth="1" style="12" min="7932" max="7932"/>
    <col width="23.85546875" customWidth="1" style="12" min="7933" max="7934"/>
    <col width="10.140625" customWidth="1" style="12" min="7935" max="7935"/>
    <col width="5.85546875" customWidth="1" style="12" min="7936" max="7936"/>
    <col width="4.7109375" customWidth="1" style="12" min="7937" max="7937"/>
    <col width="4.85546875" customWidth="1" style="12" min="7938" max="7938"/>
    <col width="16.140625" customWidth="1" style="12" min="7939" max="7939"/>
    <col width="9.7109375" customWidth="1" style="12" min="7940" max="7940"/>
    <col width="14.5703125" customWidth="1" style="12" min="7941" max="7941"/>
    <col width="10.7109375" customWidth="1" style="12" min="7942" max="7942"/>
    <col width="8.85546875" customWidth="1" style="12" min="7943" max="7943"/>
    <col width="11" customWidth="1" style="12" min="7944" max="7944"/>
    <col width="5.28515625" customWidth="1" style="12" min="7945" max="7945"/>
    <col width="10.28515625" customWidth="1" style="12" min="7946" max="7946"/>
    <col width="10.140625" customWidth="1" style="12" min="7947" max="7947"/>
    <col width="9.140625" customWidth="1" style="12" min="7948" max="8185"/>
    <col width="5.140625" customWidth="1" style="12" min="8186" max="8186"/>
    <col width="4.7109375" customWidth="1" style="12" min="8187" max="8187"/>
    <col width="7.42578125" customWidth="1" style="12" min="8188" max="8188"/>
    <col width="23.85546875" customWidth="1" style="12" min="8189" max="8190"/>
    <col width="10.140625" customWidth="1" style="12" min="8191" max="8191"/>
    <col width="5.85546875" customWidth="1" style="12" min="8192" max="8192"/>
    <col width="4.7109375" customWidth="1" style="12" min="8193" max="8193"/>
    <col width="4.85546875" customWidth="1" style="12" min="8194" max="8194"/>
    <col width="16.140625" customWidth="1" style="12" min="8195" max="8195"/>
    <col width="9.7109375" customWidth="1" style="12" min="8196" max="8196"/>
    <col width="14.5703125" customWidth="1" style="12" min="8197" max="8197"/>
    <col width="10.7109375" customWidth="1" style="12" min="8198" max="8198"/>
    <col width="8.85546875" customWidth="1" style="12" min="8199" max="8199"/>
    <col width="11" customWidth="1" style="12" min="8200" max="8200"/>
    <col width="5.28515625" customWidth="1" style="12" min="8201" max="8201"/>
    <col width="10.28515625" customWidth="1" style="12" min="8202" max="8202"/>
    <col width="10.140625" customWidth="1" style="12" min="8203" max="8203"/>
    <col width="9.140625" customWidth="1" style="12" min="8204" max="8441"/>
    <col width="5.140625" customWidth="1" style="12" min="8442" max="8442"/>
    <col width="4.7109375" customWidth="1" style="12" min="8443" max="8443"/>
    <col width="7.42578125" customWidth="1" style="12" min="8444" max="8444"/>
    <col width="23.85546875" customWidth="1" style="12" min="8445" max="8446"/>
    <col width="10.140625" customWidth="1" style="12" min="8447" max="8447"/>
    <col width="5.85546875" customWidth="1" style="12" min="8448" max="8448"/>
    <col width="4.7109375" customWidth="1" style="12" min="8449" max="8449"/>
    <col width="4.85546875" customWidth="1" style="12" min="8450" max="8450"/>
    <col width="16.140625" customWidth="1" style="12" min="8451" max="8451"/>
    <col width="9.7109375" customWidth="1" style="12" min="8452" max="8452"/>
    <col width="14.5703125" customWidth="1" style="12" min="8453" max="8453"/>
    <col width="10.7109375" customWidth="1" style="12" min="8454" max="8454"/>
    <col width="8.85546875" customWidth="1" style="12" min="8455" max="8455"/>
    <col width="11" customWidth="1" style="12" min="8456" max="8456"/>
    <col width="5.28515625" customWidth="1" style="12" min="8457" max="8457"/>
    <col width="10.28515625" customWidth="1" style="12" min="8458" max="8458"/>
    <col width="10.140625" customWidth="1" style="12" min="8459" max="8459"/>
    <col width="9.140625" customWidth="1" style="12" min="8460" max="8697"/>
    <col width="5.140625" customWidth="1" style="12" min="8698" max="8698"/>
    <col width="4.7109375" customWidth="1" style="12" min="8699" max="8699"/>
    <col width="7.42578125" customWidth="1" style="12" min="8700" max="8700"/>
    <col width="23.85546875" customWidth="1" style="12" min="8701" max="8702"/>
    <col width="10.140625" customWidth="1" style="12" min="8703" max="8703"/>
    <col width="5.85546875" customWidth="1" style="12" min="8704" max="8704"/>
    <col width="4.7109375" customWidth="1" style="12" min="8705" max="8705"/>
    <col width="4.85546875" customWidth="1" style="12" min="8706" max="8706"/>
    <col width="16.140625" customWidth="1" style="12" min="8707" max="8707"/>
    <col width="9.7109375" customWidth="1" style="12" min="8708" max="8708"/>
    <col width="14.5703125" customWidth="1" style="12" min="8709" max="8709"/>
    <col width="10.7109375" customWidth="1" style="12" min="8710" max="8710"/>
    <col width="8.85546875" customWidth="1" style="12" min="8711" max="8711"/>
    <col width="11" customWidth="1" style="12" min="8712" max="8712"/>
    <col width="5.28515625" customWidth="1" style="12" min="8713" max="8713"/>
    <col width="10.28515625" customWidth="1" style="12" min="8714" max="8714"/>
    <col width="10.140625" customWidth="1" style="12" min="8715" max="8715"/>
    <col width="9.140625" customWidth="1" style="12" min="8716" max="8953"/>
    <col width="5.140625" customWidth="1" style="12" min="8954" max="8954"/>
    <col width="4.7109375" customWidth="1" style="12" min="8955" max="8955"/>
    <col width="7.42578125" customWidth="1" style="12" min="8956" max="8956"/>
    <col width="23.85546875" customWidth="1" style="12" min="8957" max="8958"/>
    <col width="10.140625" customWidth="1" style="12" min="8959" max="8959"/>
    <col width="5.85546875" customWidth="1" style="12" min="8960" max="8960"/>
    <col width="4.7109375" customWidth="1" style="12" min="8961" max="8961"/>
    <col width="4.85546875" customWidth="1" style="12" min="8962" max="8962"/>
    <col width="16.140625" customWidth="1" style="12" min="8963" max="8963"/>
    <col width="9.7109375" customWidth="1" style="12" min="8964" max="8964"/>
    <col width="14.5703125" customWidth="1" style="12" min="8965" max="8965"/>
    <col width="10.7109375" customWidth="1" style="12" min="8966" max="8966"/>
    <col width="8.85546875" customWidth="1" style="12" min="8967" max="8967"/>
    <col width="11" customWidth="1" style="12" min="8968" max="8968"/>
    <col width="5.28515625" customWidth="1" style="12" min="8969" max="8969"/>
    <col width="10.28515625" customWidth="1" style="12" min="8970" max="8970"/>
    <col width="10.140625" customWidth="1" style="12" min="8971" max="8971"/>
    <col width="9.140625" customWidth="1" style="12" min="8972" max="9209"/>
    <col width="5.140625" customWidth="1" style="12" min="9210" max="9210"/>
    <col width="4.7109375" customWidth="1" style="12" min="9211" max="9211"/>
    <col width="7.42578125" customWidth="1" style="12" min="9212" max="9212"/>
    <col width="23.85546875" customWidth="1" style="12" min="9213" max="9214"/>
    <col width="10.140625" customWidth="1" style="12" min="9215" max="9215"/>
    <col width="5.85546875" customWidth="1" style="12" min="9216" max="9216"/>
    <col width="4.7109375" customWidth="1" style="12" min="9217" max="9217"/>
    <col width="4.85546875" customWidth="1" style="12" min="9218" max="9218"/>
    <col width="16.140625" customWidth="1" style="12" min="9219" max="9219"/>
    <col width="9.7109375" customWidth="1" style="12" min="9220" max="9220"/>
    <col width="14.5703125" customWidth="1" style="12" min="9221" max="9221"/>
    <col width="10.7109375" customWidth="1" style="12" min="9222" max="9222"/>
    <col width="8.85546875" customWidth="1" style="12" min="9223" max="9223"/>
    <col width="11" customWidth="1" style="12" min="9224" max="9224"/>
    <col width="5.28515625" customWidth="1" style="12" min="9225" max="9225"/>
    <col width="10.28515625" customWidth="1" style="12" min="9226" max="9226"/>
    <col width="10.140625" customWidth="1" style="12" min="9227" max="9227"/>
    <col width="9.140625" customWidth="1" style="12" min="9228" max="9465"/>
    <col width="5.140625" customWidth="1" style="12" min="9466" max="9466"/>
    <col width="4.7109375" customWidth="1" style="12" min="9467" max="9467"/>
    <col width="7.42578125" customWidth="1" style="12" min="9468" max="9468"/>
    <col width="23.85546875" customWidth="1" style="12" min="9469" max="9470"/>
    <col width="10.140625" customWidth="1" style="12" min="9471" max="9471"/>
    <col width="5.85546875" customWidth="1" style="12" min="9472" max="9472"/>
    <col width="4.7109375" customWidth="1" style="12" min="9473" max="9473"/>
    <col width="4.85546875" customWidth="1" style="12" min="9474" max="9474"/>
    <col width="16.140625" customWidth="1" style="12" min="9475" max="9475"/>
    <col width="9.7109375" customWidth="1" style="12" min="9476" max="9476"/>
    <col width="14.5703125" customWidth="1" style="12" min="9477" max="9477"/>
    <col width="10.7109375" customWidth="1" style="12" min="9478" max="9478"/>
    <col width="8.85546875" customWidth="1" style="12" min="9479" max="9479"/>
    <col width="11" customWidth="1" style="12" min="9480" max="9480"/>
    <col width="5.28515625" customWidth="1" style="12" min="9481" max="9481"/>
    <col width="10.28515625" customWidth="1" style="12" min="9482" max="9482"/>
    <col width="10.140625" customWidth="1" style="12" min="9483" max="9483"/>
    <col width="9.140625" customWidth="1" style="12" min="9484" max="9721"/>
    <col width="5.140625" customWidth="1" style="12" min="9722" max="9722"/>
    <col width="4.7109375" customWidth="1" style="12" min="9723" max="9723"/>
    <col width="7.42578125" customWidth="1" style="12" min="9724" max="9724"/>
    <col width="23.85546875" customWidth="1" style="12" min="9725" max="9726"/>
    <col width="10.140625" customWidth="1" style="12" min="9727" max="9727"/>
    <col width="5.85546875" customWidth="1" style="12" min="9728" max="9728"/>
    <col width="4.7109375" customWidth="1" style="12" min="9729" max="9729"/>
    <col width="4.85546875" customWidth="1" style="12" min="9730" max="9730"/>
    <col width="16.140625" customWidth="1" style="12" min="9731" max="9731"/>
    <col width="9.7109375" customWidth="1" style="12" min="9732" max="9732"/>
    <col width="14.5703125" customWidth="1" style="12" min="9733" max="9733"/>
    <col width="10.7109375" customWidth="1" style="12" min="9734" max="9734"/>
    <col width="8.85546875" customWidth="1" style="12" min="9735" max="9735"/>
    <col width="11" customWidth="1" style="12" min="9736" max="9736"/>
    <col width="5.28515625" customWidth="1" style="12" min="9737" max="9737"/>
    <col width="10.28515625" customWidth="1" style="12" min="9738" max="9738"/>
    <col width="10.140625" customWidth="1" style="12" min="9739" max="9739"/>
    <col width="9.140625" customWidth="1" style="12" min="9740" max="9977"/>
    <col width="5.140625" customWidth="1" style="12" min="9978" max="9978"/>
    <col width="4.7109375" customWidth="1" style="12" min="9979" max="9979"/>
    <col width="7.42578125" customWidth="1" style="12" min="9980" max="9980"/>
    <col width="23.85546875" customWidth="1" style="12" min="9981" max="9982"/>
    <col width="10.140625" customWidth="1" style="12" min="9983" max="9983"/>
    <col width="5.85546875" customWidth="1" style="12" min="9984" max="9984"/>
    <col width="4.7109375" customWidth="1" style="12" min="9985" max="9985"/>
    <col width="4.85546875" customWidth="1" style="12" min="9986" max="9986"/>
    <col width="16.140625" customWidth="1" style="12" min="9987" max="9987"/>
    <col width="9.7109375" customWidth="1" style="12" min="9988" max="9988"/>
    <col width="14.5703125" customWidth="1" style="12" min="9989" max="9989"/>
    <col width="10.7109375" customWidth="1" style="12" min="9990" max="9990"/>
    <col width="8.85546875" customWidth="1" style="12" min="9991" max="9991"/>
    <col width="11" customWidth="1" style="12" min="9992" max="9992"/>
    <col width="5.28515625" customWidth="1" style="12" min="9993" max="9993"/>
    <col width="10.28515625" customWidth="1" style="12" min="9994" max="9994"/>
    <col width="10.140625" customWidth="1" style="12" min="9995" max="9995"/>
    <col width="9.140625" customWidth="1" style="12" min="9996" max="10233"/>
    <col width="5.140625" customWidth="1" style="12" min="10234" max="10234"/>
    <col width="4.7109375" customWidth="1" style="12" min="10235" max="10235"/>
    <col width="7.42578125" customWidth="1" style="12" min="10236" max="10236"/>
    <col width="23.85546875" customWidth="1" style="12" min="10237" max="10238"/>
    <col width="10.140625" customWidth="1" style="12" min="10239" max="10239"/>
    <col width="5.85546875" customWidth="1" style="12" min="10240" max="10240"/>
    <col width="4.7109375" customWidth="1" style="12" min="10241" max="10241"/>
    <col width="4.85546875" customWidth="1" style="12" min="10242" max="10242"/>
    <col width="16.140625" customWidth="1" style="12" min="10243" max="10243"/>
    <col width="9.7109375" customWidth="1" style="12" min="10244" max="10244"/>
    <col width="14.5703125" customWidth="1" style="12" min="10245" max="10245"/>
    <col width="10.7109375" customWidth="1" style="12" min="10246" max="10246"/>
    <col width="8.85546875" customWidth="1" style="12" min="10247" max="10247"/>
    <col width="11" customWidth="1" style="12" min="10248" max="10248"/>
    <col width="5.28515625" customWidth="1" style="12" min="10249" max="10249"/>
    <col width="10.28515625" customWidth="1" style="12" min="10250" max="10250"/>
    <col width="10.140625" customWidth="1" style="12" min="10251" max="10251"/>
    <col width="9.140625" customWidth="1" style="12" min="10252" max="10489"/>
    <col width="5.140625" customWidth="1" style="12" min="10490" max="10490"/>
    <col width="4.7109375" customWidth="1" style="12" min="10491" max="10491"/>
    <col width="7.42578125" customWidth="1" style="12" min="10492" max="10492"/>
    <col width="23.85546875" customWidth="1" style="12" min="10493" max="10494"/>
    <col width="10.140625" customWidth="1" style="12" min="10495" max="10495"/>
    <col width="5.85546875" customWidth="1" style="12" min="10496" max="10496"/>
    <col width="4.7109375" customWidth="1" style="12" min="10497" max="10497"/>
    <col width="4.85546875" customWidth="1" style="12" min="10498" max="10498"/>
    <col width="16.140625" customWidth="1" style="12" min="10499" max="10499"/>
    <col width="9.7109375" customWidth="1" style="12" min="10500" max="10500"/>
    <col width="14.5703125" customWidth="1" style="12" min="10501" max="10501"/>
    <col width="10.7109375" customWidth="1" style="12" min="10502" max="10502"/>
    <col width="8.85546875" customWidth="1" style="12" min="10503" max="10503"/>
    <col width="11" customWidth="1" style="12" min="10504" max="10504"/>
    <col width="5.28515625" customWidth="1" style="12" min="10505" max="10505"/>
    <col width="10.28515625" customWidth="1" style="12" min="10506" max="10506"/>
    <col width="10.140625" customWidth="1" style="12" min="10507" max="10507"/>
    <col width="9.140625" customWidth="1" style="12" min="10508" max="10745"/>
    <col width="5.140625" customWidth="1" style="12" min="10746" max="10746"/>
    <col width="4.7109375" customWidth="1" style="12" min="10747" max="10747"/>
    <col width="7.42578125" customWidth="1" style="12" min="10748" max="10748"/>
    <col width="23.85546875" customWidth="1" style="12" min="10749" max="10750"/>
    <col width="10.140625" customWidth="1" style="12" min="10751" max="10751"/>
    <col width="5.85546875" customWidth="1" style="12" min="10752" max="10752"/>
    <col width="4.7109375" customWidth="1" style="12" min="10753" max="10753"/>
    <col width="4.85546875" customWidth="1" style="12" min="10754" max="10754"/>
    <col width="16.140625" customWidth="1" style="12" min="10755" max="10755"/>
    <col width="9.7109375" customWidth="1" style="12" min="10756" max="10756"/>
    <col width="14.5703125" customWidth="1" style="12" min="10757" max="10757"/>
    <col width="10.7109375" customWidth="1" style="12" min="10758" max="10758"/>
    <col width="8.85546875" customWidth="1" style="12" min="10759" max="10759"/>
    <col width="11" customWidth="1" style="12" min="10760" max="10760"/>
    <col width="5.28515625" customWidth="1" style="12" min="10761" max="10761"/>
    <col width="10.28515625" customWidth="1" style="12" min="10762" max="10762"/>
    <col width="10.140625" customWidth="1" style="12" min="10763" max="10763"/>
    <col width="9.140625" customWidth="1" style="12" min="10764" max="11001"/>
    <col width="5.140625" customWidth="1" style="12" min="11002" max="11002"/>
    <col width="4.7109375" customWidth="1" style="12" min="11003" max="11003"/>
    <col width="7.42578125" customWidth="1" style="12" min="11004" max="11004"/>
    <col width="23.85546875" customWidth="1" style="12" min="11005" max="11006"/>
    <col width="10.140625" customWidth="1" style="12" min="11007" max="11007"/>
    <col width="5.85546875" customWidth="1" style="12" min="11008" max="11008"/>
    <col width="4.7109375" customWidth="1" style="12" min="11009" max="11009"/>
    <col width="4.85546875" customWidth="1" style="12" min="11010" max="11010"/>
    <col width="16.140625" customWidth="1" style="12" min="11011" max="11011"/>
    <col width="9.7109375" customWidth="1" style="12" min="11012" max="11012"/>
    <col width="14.5703125" customWidth="1" style="12" min="11013" max="11013"/>
    <col width="10.7109375" customWidth="1" style="12" min="11014" max="11014"/>
    <col width="8.85546875" customWidth="1" style="12" min="11015" max="11015"/>
    <col width="11" customWidth="1" style="12" min="11016" max="11016"/>
    <col width="5.28515625" customWidth="1" style="12" min="11017" max="11017"/>
    <col width="10.28515625" customWidth="1" style="12" min="11018" max="11018"/>
    <col width="10.140625" customWidth="1" style="12" min="11019" max="11019"/>
    <col width="9.140625" customWidth="1" style="12" min="11020" max="11257"/>
    <col width="5.140625" customWidth="1" style="12" min="11258" max="11258"/>
    <col width="4.7109375" customWidth="1" style="12" min="11259" max="11259"/>
    <col width="7.42578125" customWidth="1" style="12" min="11260" max="11260"/>
    <col width="23.85546875" customWidth="1" style="12" min="11261" max="11262"/>
    <col width="10.140625" customWidth="1" style="12" min="11263" max="11263"/>
    <col width="5.85546875" customWidth="1" style="12" min="11264" max="11264"/>
    <col width="4.7109375" customWidth="1" style="12" min="11265" max="11265"/>
    <col width="4.85546875" customWidth="1" style="12" min="11266" max="11266"/>
    <col width="16.140625" customWidth="1" style="12" min="11267" max="11267"/>
    <col width="9.7109375" customWidth="1" style="12" min="11268" max="11268"/>
    <col width="14.5703125" customWidth="1" style="12" min="11269" max="11269"/>
    <col width="10.7109375" customWidth="1" style="12" min="11270" max="11270"/>
    <col width="8.85546875" customWidth="1" style="12" min="11271" max="11271"/>
    <col width="11" customWidth="1" style="12" min="11272" max="11272"/>
    <col width="5.28515625" customWidth="1" style="12" min="11273" max="11273"/>
    <col width="10.28515625" customWidth="1" style="12" min="11274" max="11274"/>
    <col width="10.140625" customWidth="1" style="12" min="11275" max="11275"/>
    <col width="9.140625" customWidth="1" style="12" min="11276" max="11513"/>
    <col width="5.140625" customWidth="1" style="12" min="11514" max="11514"/>
    <col width="4.7109375" customWidth="1" style="12" min="11515" max="11515"/>
    <col width="7.42578125" customWidth="1" style="12" min="11516" max="11516"/>
    <col width="23.85546875" customWidth="1" style="12" min="11517" max="11518"/>
    <col width="10.140625" customWidth="1" style="12" min="11519" max="11519"/>
    <col width="5.85546875" customWidth="1" style="12" min="11520" max="11520"/>
    <col width="4.7109375" customWidth="1" style="12" min="11521" max="11521"/>
    <col width="4.85546875" customWidth="1" style="12" min="11522" max="11522"/>
    <col width="16.140625" customWidth="1" style="12" min="11523" max="11523"/>
    <col width="9.7109375" customWidth="1" style="12" min="11524" max="11524"/>
    <col width="14.5703125" customWidth="1" style="12" min="11525" max="11525"/>
    <col width="10.7109375" customWidth="1" style="12" min="11526" max="11526"/>
    <col width="8.85546875" customWidth="1" style="12" min="11527" max="11527"/>
    <col width="11" customWidth="1" style="12" min="11528" max="11528"/>
    <col width="5.28515625" customWidth="1" style="12" min="11529" max="11529"/>
    <col width="10.28515625" customWidth="1" style="12" min="11530" max="11530"/>
    <col width="10.140625" customWidth="1" style="12" min="11531" max="11531"/>
    <col width="9.140625" customWidth="1" style="12" min="11532" max="11769"/>
    <col width="5.140625" customWidth="1" style="12" min="11770" max="11770"/>
    <col width="4.7109375" customWidth="1" style="12" min="11771" max="11771"/>
    <col width="7.42578125" customWidth="1" style="12" min="11772" max="11772"/>
    <col width="23.85546875" customWidth="1" style="12" min="11773" max="11774"/>
    <col width="10.140625" customWidth="1" style="12" min="11775" max="11775"/>
    <col width="5.85546875" customWidth="1" style="12" min="11776" max="11776"/>
    <col width="4.7109375" customWidth="1" style="12" min="11777" max="11777"/>
    <col width="4.85546875" customWidth="1" style="12" min="11778" max="11778"/>
    <col width="16.140625" customWidth="1" style="12" min="11779" max="11779"/>
    <col width="9.7109375" customWidth="1" style="12" min="11780" max="11780"/>
    <col width="14.5703125" customWidth="1" style="12" min="11781" max="11781"/>
    <col width="10.7109375" customWidth="1" style="12" min="11782" max="11782"/>
    <col width="8.85546875" customWidth="1" style="12" min="11783" max="11783"/>
    <col width="11" customWidth="1" style="12" min="11784" max="11784"/>
    <col width="5.28515625" customWidth="1" style="12" min="11785" max="11785"/>
    <col width="10.28515625" customWidth="1" style="12" min="11786" max="11786"/>
    <col width="10.140625" customWidth="1" style="12" min="11787" max="11787"/>
    <col width="9.140625" customWidth="1" style="12" min="11788" max="12025"/>
    <col width="5.140625" customWidth="1" style="12" min="12026" max="12026"/>
    <col width="4.7109375" customWidth="1" style="12" min="12027" max="12027"/>
    <col width="7.42578125" customWidth="1" style="12" min="12028" max="12028"/>
    <col width="23.85546875" customWidth="1" style="12" min="12029" max="12030"/>
    <col width="10.140625" customWidth="1" style="12" min="12031" max="12031"/>
    <col width="5.85546875" customWidth="1" style="12" min="12032" max="12032"/>
    <col width="4.7109375" customWidth="1" style="12" min="12033" max="12033"/>
    <col width="4.85546875" customWidth="1" style="12" min="12034" max="12034"/>
    <col width="16.140625" customWidth="1" style="12" min="12035" max="12035"/>
    <col width="9.7109375" customWidth="1" style="12" min="12036" max="12036"/>
    <col width="14.5703125" customWidth="1" style="12" min="12037" max="12037"/>
    <col width="10.7109375" customWidth="1" style="12" min="12038" max="12038"/>
    <col width="8.85546875" customWidth="1" style="12" min="12039" max="12039"/>
    <col width="11" customWidth="1" style="12" min="12040" max="12040"/>
    <col width="5.28515625" customWidth="1" style="12" min="12041" max="12041"/>
    <col width="10.28515625" customWidth="1" style="12" min="12042" max="12042"/>
    <col width="10.140625" customWidth="1" style="12" min="12043" max="12043"/>
    <col width="9.140625" customWidth="1" style="12" min="12044" max="12281"/>
    <col width="5.140625" customWidth="1" style="12" min="12282" max="12282"/>
    <col width="4.7109375" customWidth="1" style="12" min="12283" max="12283"/>
    <col width="7.42578125" customWidth="1" style="12" min="12284" max="12284"/>
    <col width="23.85546875" customWidth="1" style="12" min="12285" max="12286"/>
    <col width="10.140625" customWidth="1" style="12" min="12287" max="12287"/>
    <col width="5.85546875" customWidth="1" style="12" min="12288" max="12288"/>
    <col width="4.7109375" customWidth="1" style="12" min="12289" max="12289"/>
    <col width="4.85546875" customWidth="1" style="12" min="12290" max="12290"/>
    <col width="16.140625" customWidth="1" style="12" min="12291" max="12291"/>
    <col width="9.7109375" customWidth="1" style="12" min="12292" max="12292"/>
    <col width="14.5703125" customWidth="1" style="12" min="12293" max="12293"/>
    <col width="10.7109375" customWidth="1" style="12" min="12294" max="12294"/>
    <col width="8.85546875" customWidth="1" style="12" min="12295" max="12295"/>
    <col width="11" customWidth="1" style="12" min="12296" max="12296"/>
    <col width="5.28515625" customWidth="1" style="12" min="12297" max="12297"/>
    <col width="10.28515625" customWidth="1" style="12" min="12298" max="12298"/>
    <col width="10.140625" customWidth="1" style="12" min="12299" max="12299"/>
    <col width="9.140625" customWidth="1" style="12" min="12300" max="12537"/>
    <col width="5.140625" customWidth="1" style="12" min="12538" max="12538"/>
    <col width="4.7109375" customWidth="1" style="12" min="12539" max="12539"/>
    <col width="7.42578125" customWidth="1" style="12" min="12540" max="12540"/>
    <col width="23.85546875" customWidth="1" style="12" min="12541" max="12542"/>
    <col width="10.140625" customWidth="1" style="12" min="12543" max="12543"/>
    <col width="5.85546875" customWidth="1" style="12" min="12544" max="12544"/>
    <col width="4.7109375" customWidth="1" style="12" min="12545" max="12545"/>
    <col width="4.85546875" customWidth="1" style="12" min="12546" max="12546"/>
    <col width="16.140625" customWidth="1" style="12" min="12547" max="12547"/>
    <col width="9.7109375" customWidth="1" style="12" min="12548" max="12548"/>
    <col width="14.5703125" customWidth="1" style="12" min="12549" max="12549"/>
    <col width="10.7109375" customWidth="1" style="12" min="12550" max="12550"/>
    <col width="8.85546875" customWidth="1" style="12" min="12551" max="12551"/>
    <col width="11" customWidth="1" style="12" min="12552" max="12552"/>
    <col width="5.28515625" customWidth="1" style="12" min="12553" max="12553"/>
    <col width="10.28515625" customWidth="1" style="12" min="12554" max="12554"/>
    <col width="10.140625" customWidth="1" style="12" min="12555" max="12555"/>
    <col width="9.140625" customWidth="1" style="12" min="12556" max="12793"/>
    <col width="5.140625" customWidth="1" style="12" min="12794" max="12794"/>
    <col width="4.7109375" customWidth="1" style="12" min="12795" max="12795"/>
    <col width="7.42578125" customWidth="1" style="12" min="12796" max="12796"/>
    <col width="23.85546875" customWidth="1" style="12" min="12797" max="12798"/>
    <col width="10.140625" customWidth="1" style="12" min="12799" max="12799"/>
    <col width="5.85546875" customWidth="1" style="12" min="12800" max="12800"/>
    <col width="4.7109375" customWidth="1" style="12" min="12801" max="12801"/>
    <col width="4.85546875" customWidth="1" style="12" min="12802" max="12802"/>
    <col width="16.140625" customWidth="1" style="12" min="12803" max="12803"/>
    <col width="9.7109375" customWidth="1" style="12" min="12804" max="12804"/>
    <col width="14.5703125" customWidth="1" style="12" min="12805" max="12805"/>
    <col width="10.7109375" customWidth="1" style="12" min="12806" max="12806"/>
    <col width="8.85546875" customWidth="1" style="12" min="12807" max="12807"/>
    <col width="11" customWidth="1" style="12" min="12808" max="12808"/>
    <col width="5.28515625" customWidth="1" style="12" min="12809" max="12809"/>
    <col width="10.28515625" customWidth="1" style="12" min="12810" max="12810"/>
    <col width="10.140625" customWidth="1" style="12" min="12811" max="12811"/>
    <col width="9.140625" customWidth="1" style="12" min="12812" max="13049"/>
    <col width="5.140625" customWidth="1" style="12" min="13050" max="13050"/>
    <col width="4.7109375" customWidth="1" style="12" min="13051" max="13051"/>
    <col width="7.42578125" customWidth="1" style="12" min="13052" max="13052"/>
    <col width="23.85546875" customWidth="1" style="12" min="13053" max="13054"/>
    <col width="10.140625" customWidth="1" style="12" min="13055" max="13055"/>
    <col width="5.85546875" customWidth="1" style="12" min="13056" max="13056"/>
    <col width="4.7109375" customWidth="1" style="12" min="13057" max="13057"/>
    <col width="4.85546875" customWidth="1" style="12" min="13058" max="13058"/>
    <col width="16.140625" customWidth="1" style="12" min="13059" max="13059"/>
    <col width="9.7109375" customWidth="1" style="12" min="13060" max="13060"/>
    <col width="14.5703125" customWidth="1" style="12" min="13061" max="13061"/>
    <col width="10.7109375" customWidth="1" style="12" min="13062" max="13062"/>
    <col width="8.85546875" customWidth="1" style="12" min="13063" max="13063"/>
    <col width="11" customWidth="1" style="12" min="13064" max="13064"/>
    <col width="5.28515625" customWidth="1" style="12" min="13065" max="13065"/>
    <col width="10.28515625" customWidth="1" style="12" min="13066" max="13066"/>
    <col width="10.140625" customWidth="1" style="12" min="13067" max="13067"/>
    <col width="9.140625" customWidth="1" style="12" min="13068" max="13305"/>
    <col width="5.140625" customWidth="1" style="12" min="13306" max="13306"/>
    <col width="4.7109375" customWidth="1" style="12" min="13307" max="13307"/>
    <col width="7.42578125" customWidth="1" style="12" min="13308" max="13308"/>
    <col width="23.85546875" customWidth="1" style="12" min="13309" max="13310"/>
    <col width="10.140625" customWidth="1" style="12" min="13311" max="13311"/>
    <col width="5.85546875" customWidth="1" style="12" min="13312" max="13312"/>
    <col width="4.7109375" customWidth="1" style="12" min="13313" max="13313"/>
    <col width="4.85546875" customWidth="1" style="12" min="13314" max="13314"/>
    <col width="16.140625" customWidth="1" style="12" min="13315" max="13315"/>
    <col width="9.7109375" customWidth="1" style="12" min="13316" max="13316"/>
    <col width="14.5703125" customWidth="1" style="12" min="13317" max="13317"/>
    <col width="10.7109375" customWidth="1" style="12" min="13318" max="13318"/>
    <col width="8.85546875" customWidth="1" style="12" min="13319" max="13319"/>
    <col width="11" customWidth="1" style="12" min="13320" max="13320"/>
    <col width="5.28515625" customWidth="1" style="12" min="13321" max="13321"/>
    <col width="10.28515625" customWidth="1" style="12" min="13322" max="13322"/>
    <col width="10.140625" customWidth="1" style="12" min="13323" max="13323"/>
    <col width="9.140625" customWidth="1" style="12" min="13324" max="13561"/>
    <col width="5.140625" customWidth="1" style="12" min="13562" max="13562"/>
    <col width="4.7109375" customWidth="1" style="12" min="13563" max="13563"/>
    <col width="7.42578125" customWidth="1" style="12" min="13564" max="13564"/>
    <col width="23.85546875" customWidth="1" style="12" min="13565" max="13566"/>
    <col width="10.140625" customWidth="1" style="12" min="13567" max="13567"/>
    <col width="5.85546875" customWidth="1" style="12" min="13568" max="13568"/>
    <col width="4.7109375" customWidth="1" style="12" min="13569" max="13569"/>
    <col width="4.85546875" customWidth="1" style="12" min="13570" max="13570"/>
    <col width="16.140625" customWidth="1" style="12" min="13571" max="13571"/>
    <col width="9.7109375" customWidth="1" style="12" min="13572" max="13572"/>
    <col width="14.5703125" customWidth="1" style="12" min="13573" max="13573"/>
    <col width="10.7109375" customWidth="1" style="12" min="13574" max="13574"/>
    <col width="8.85546875" customWidth="1" style="12" min="13575" max="13575"/>
    <col width="11" customWidth="1" style="12" min="13576" max="13576"/>
    <col width="5.28515625" customWidth="1" style="12" min="13577" max="13577"/>
    <col width="10.28515625" customWidth="1" style="12" min="13578" max="13578"/>
    <col width="10.140625" customWidth="1" style="12" min="13579" max="13579"/>
    <col width="9.140625" customWidth="1" style="12" min="13580" max="13817"/>
    <col width="5.140625" customWidth="1" style="12" min="13818" max="13818"/>
    <col width="4.7109375" customWidth="1" style="12" min="13819" max="13819"/>
    <col width="7.42578125" customWidth="1" style="12" min="13820" max="13820"/>
    <col width="23.85546875" customWidth="1" style="12" min="13821" max="13822"/>
    <col width="10.140625" customWidth="1" style="12" min="13823" max="13823"/>
    <col width="5.85546875" customWidth="1" style="12" min="13824" max="13824"/>
    <col width="4.7109375" customWidth="1" style="12" min="13825" max="13825"/>
    <col width="4.85546875" customWidth="1" style="12" min="13826" max="13826"/>
    <col width="16.140625" customWidth="1" style="12" min="13827" max="13827"/>
    <col width="9.7109375" customWidth="1" style="12" min="13828" max="13828"/>
    <col width="14.5703125" customWidth="1" style="12" min="13829" max="13829"/>
    <col width="10.7109375" customWidth="1" style="12" min="13830" max="13830"/>
    <col width="8.85546875" customWidth="1" style="12" min="13831" max="13831"/>
    <col width="11" customWidth="1" style="12" min="13832" max="13832"/>
    <col width="5.28515625" customWidth="1" style="12" min="13833" max="13833"/>
    <col width="10.28515625" customWidth="1" style="12" min="13834" max="13834"/>
    <col width="10.140625" customWidth="1" style="12" min="13835" max="13835"/>
    <col width="9.140625" customWidth="1" style="12" min="13836" max="14073"/>
    <col width="5.140625" customWidth="1" style="12" min="14074" max="14074"/>
    <col width="4.7109375" customWidth="1" style="12" min="14075" max="14075"/>
    <col width="7.42578125" customWidth="1" style="12" min="14076" max="14076"/>
    <col width="23.85546875" customWidth="1" style="12" min="14077" max="14078"/>
    <col width="10.140625" customWidth="1" style="12" min="14079" max="14079"/>
    <col width="5.85546875" customWidth="1" style="12" min="14080" max="14080"/>
    <col width="4.7109375" customWidth="1" style="12" min="14081" max="14081"/>
    <col width="4.85546875" customWidth="1" style="12" min="14082" max="14082"/>
    <col width="16.140625" customWidth="1" style="12" min="14083" max="14083"/>
    <col width="9.7109375" customWidth="1" style="12" min="14084" max="14084"/>
    <col width="14.5703125" customWidth="1" style="12" min="14085" max="14085"/>
    <col width="10.7109375" customWidth="1" style="12" min="14086" max="14086"/>
    <col width="8.85546875" customWidth="1" style="12" min="14087" max="14087"/>
    <col width="11" customWidth="1" style="12" min="14088" max="14088"/>
    <col width="5.28515625" customWidth="1" style="12" min="14089" max="14089"/>
    <col width="10.28515625" customWidth="1" style="12" min="14090" max="14090"/>
    <col width="10.140625" customWidth="1" style="12" min="14091" max="14091"/>
    <col width="9.140625" customWidth="1" style="12" min="14092" max="14329"/>
    <col width="5.140625" customWidth="1" style="12" min="14330" max="14330"/>
    <col width="4.7109375" customWidth="1" style="12" min="14331" max="14331"/>
    <col width="7.42578125" customWidth="1" style="12" min="14332" max="14332"/>
    <col width="23.85546875" customWidth="1" style="12" min="14333" max="14334"/>
    <col width="10.140625" customWidth="1" style="12" min="14335" max="14335"/>
    <col width="5.85546875" customWidth="1" style="12" min="14336" max="14336"/>
    <col width="4.7109375" customWidth="1" style="12" min="14337" max="14337"/>
    <col width="4.85546875" customWidth="1" style="12" min="14338" max="14338"/>
    <col width="16.140625" customWidth="1" style="12" min="14339" max="14339"/>
    <col width="9.7109375" customWidth="1" style="12" min="14340" max="14340"/>
    <col width="14.5703125" customWidth="1" style="12" min="14341" max="14341"/>
    <col width="10.7109375" customWidth="1" style="12" min="14342" max="14342"/>
    <col width="8.85546875" customWidth="1" style="12" min="14343" max="14343"/>
    <col width="11" customWidth="1" style="12" min="14344" max="14344"/>
    <col width="5.28515625" customWidth="1" style="12" min="14345" max="14345"/>
    <col width="10.28515625" customWidth="1" style="12" min="14346" max="14346"/>
    <col width="10.140625" customWidth="1" style="12" min="14347" max="14347"/>
    <col width="9.140625" customWidth="1" style="12" min="14348" max="14585"/>
    <col width="5.140625" customWidth="1" style="12" min="14586" max="14586"/>
    <col width="4.7109375" customWidth="1" style="12" min="14587" max="14587"/>
    <col width="7.42578125" customWidth="1" style="12" min="14588" max="14588"/>
    <col width="23.85546875" customWidth="1" style="12" min="14589" max="14590"/>
    <col width="10.140625" customWidth="1" style="12" min="14591" max="14591"/>
    <col width="5.85546875" customWidth="1" style="12" min="14592" max="14592"/>
    <col width="4.7109375" customWidth="1" style="12" min="14593" max="14593"/>
    <col width="4.85546875" customWidth="1" style="12" min="14594" max="14594"/>
    <col width="16.140625" customWidth="1" style="12" min="14595" max="14595"/>
    <col width="9.7109375" customWidth="1" style="12" min="14596" max="14596"/>
    <col width="14.5703125" customWidth="1" style="12" min="14597" max="14597"/>
    <col width="10.7109375" customWidth="1" style="12" min="14598" max="14598"/>
    <col width="8.85546875" customWidth="1" style="12" min="14599" max="14599"/>
    <col width="11" customWidth="1" style="12" min="14600" max="14600"/>
    <col width="5.28515625" customWidth="1" style="12" min="14601" max="14601"/>
    <col width="10.28515625" customWidth="1" style="12" min="14602" max="14602"/>
    <col width="10.140625" customWidth="1" style="12" min="14603" max="14603"/>
    <col width="9.140625" customWidth="1" style="12" min="14604" max="14841"/>
    <col width="5.140625" customWidth="1" style="12" min="14842" max="14842"/>
    <col width="4.7109375" customWidth="1" style="12" min="14843" max="14843"/>
    <col width="7.42578125" customWidth="1" style="12" min="14844" max="14844"/>
    <col width="23.85546875" customWidth="1" style="12" min="14845" max="14846"/>
    <col width="10.140625" customWidth="1" style="12" min="14847" max="14847"/>
    <col width="5.85546875" customWidth="1" style="12" min="14848" max="14848"/>
    <col width="4.7109375" customWidth="1" style="12" min="14849" max="14849"/>
    <col width="4.85546875" customWidth="1" style="12" min="14850" max="14850"/>
    <col width="16.140625" customWidth="1" style="12" min="14851" max="14851"/>
    <col width="9.7109375" customWidth="1" style="12" min="14852" max="14852"/>
    <col width="14.5703125" customWidth="1" style="12" min="14853" max="14853"/>
    <col width="10.7109375" customWidth="1" style="12" min="14854" max="14854"/>
    <col width="8.85546875" customWidth="1" style="12" min="14855" max="14855"/>
    <col width="11" customWidth="1" style="12" min="14856" max="14856"/>
    <col width="5.28515625" customWidth="1" style="12" min="14857" max="14857"/>
    <col width="10.28515625" customWidth="1" style="12" min="14858" max="14858"/>
    <col width="10.140625" customWidth="1" style="12" min="14859" max="14859"/>
    <col width="9.140625" customWidth="1" style="12" min="14860" max="15097"/>
    <col width="5.140625" customWidth="1" style="12" min="15098" max="15098"/>
    <col width="4.7109375" customWidth="1" style="12" min="15099" max="15099"/>
    <col width="7.42578125" customWidth="1" style="12" min="15100" max="15100"/>
    <col width="23.85546875" customWidth="1" style="12" min="15101" max="15102"/>
    <col width="10.140625" customWidth="1" style="12" min="15103" max="15103"/>
    <col width="5.85546875" customWidth="1" style="12" min="15104" max="15104"/>
    <col width="4.7109375" customWidth="1" style="12" min="15105" max="15105"/>
    <col width="4.85546875" customWidth="1" style="12" min="15106" max="15106"/>
    <col width="16.140625" customWidth="1" style="12" min="15107" max="15107"/>
    <col width="9.7109375" customWidth="1" style="12" min="15108" max="15108"/>
    <col width="14.5703125" customWidth="1" style="12" min="15109" max="15109"/>
    <col width="10.7109375" customWidth="1" style="12" min="15110" max="15110"/>
    <col width="8.85546875" customWidth="1" style="12" min="15111" max="15111"/>
    <col width="11" customWidth="1" style="12" min="15112" max="15112"/>
    <col width="5.28515625" customWidth="1" style="12" min="15113" max="15113"/>
    <col width="10.28515625" customWidth="1" style="12" min="15114" max="15114"/>
    <col width="10.140625" customWidth="1" style="12" min="15115" max="15115"/>
    <col width="9.140625" customWidth="1" style="12" min="15116" max="15353"/>
    <col width="5.140625" customWidth="1" style="12" min="15354" max="15354"/>
    <col width="4.7109375" customWidth="1" style="12" min="15355" max="15355"/>
    <col width="7.42578125" customWidth="1" style="12" min="15356" max="15356"/>
    <col width="23.85546875" customWidth="1" style="12" min="15357" max="15358"/>
    <col width="10.140625" customWidth="1" style="12" min="15359" max="15359"/>
    <col width="5.85546875" customWidth="1" style="12" min="15360" max="15360"/>
    <col width="4.7109375" customWidth="1" style="12" min="15361" max="15361"/>
    <col width="4.85546875" customWidth="1" style="12" min="15362" max="15362"/>
    <col width="16.140625" customWidth="1" style="12" min="15363" max="15363"/>
    <col width="9.7109375" customWidth="1" style="12" min="15364" max="15364"/>
    <col width="14.5703125" customWidth="1" style="12" min="15365" max="15365"/>
    <col width="10.7109375" customWidth="1" style="12" min="15366" max="15366"/>
    <col width="8.85546875" customWidth="1" style="12" min="15367" max="15367"/>
    <col width="11" customWidth="1" style="12" min="15368" max="15368"/>
    <col width="5.28515625" customWidth="1" style="12" min="15369" max="15369"/>
    <col width="10.28515625" customWidth="1" style="12" min="15370" max="15370"/>
    <col width="10.140625" customWidth="1" style="12" min="15371" max="15371"/>
    <col width="9.140625" customWidth="1" style="12" min="15372" max="15609"/>
    <col width="5.140625" customWidth="1" style="12" min="15610" max="15610"/>
    <col width="4.7109375" customWidth="1" style="12" min="15611" max="15611"/>
    <col width="7.42578125" customWidth="1" style="12" min="15612" max="15612"/>
    <col width="23.85546875" customWidth="1" style="12" min="15613" max="15614"/>
    <col width="10.140625" customWidth="1" style="12" min="15615" max="15615"/>
    <col width="5.85546875" customWidth="1" style="12" min="15616" max="15616"/>
    <col width="4.7109375" customWidth="1" style="12" min="15617" max="15617"/>
    <col width="4.85546875" customWidth="1" style="12" min="15618" max="15618"/>
    <col width="16.140625" customWidth="1" style="12" min="15619" max="15619"/>
    <col width="9.7109375" customWidth="1" style="12" min="15620" max="15620"/>
    <col width="14.5703125" customWidth="1" style="12" min="15621" max="15621"/>
    <col width="10.7109375" customWidth="1" style="12" min="15622" max="15622"/>
    <col width="8.85546875" customWidth="1" style="12" min="15623" max="15623"/>
    <col width="11" customWidth="1" style="12" min="15624" max="15624"/>
    <col width="5.28515625" customWidth="1" style="12" min="15625" max="15625"/>
    <col width="10.28515625" customWidth="1" style="12" min="15626" max="15626"/>
    <col width="10.140625" customWidth="1" style="12" min="15627" max="15627"/>
    <col width="9.140625" customWidth="1" style="12" min="15628" max="15865"/>
    <col width="5.140625" customWidth="1" style="12" min="15866" max="15866"/>
    <col width="4.7109375" customWidth="1" style="12" min="15867" max="15867"/>
    <col width="7.42578125" customWidth="1" style="12" min="15868" max="15868"/>
    <col width="23.85546875" customWidth="1" style="12" min="15869" max="15870"/>
    <col width="10.140625" customWidth="1" style="12" min="15871" max="15871"/>
    <col width="5.85546875" customWidth="1" style="12" min="15872" max="15872"/>
    <col width="4.7109375" customWidth="1" style="12" min="15873" max="15873"/>
    <col width="4.85546875" customWidth="1" style="12" min="15874" max="15874"/>
    <col width="16.140625" customWidth="1" style="12" min="15875" max="15875"/>
    <col width="9.7109375" customWidth="1" style="12" min="15876" max="15876"/>
    <col width="14.5703125" customWidth="1" style="12" min="15877" max="15877"/>
    <col width="10.7109375" customWidth="1" style="12" min="15878" max="15878"/>
    <col width="8.85546875" customWidth="1" style="12" min="15879" max="15879"/>
    <col width="11" customWidth="1" style="12" min="15880" max="15880"/>
    <col width="5.28515625" customWidth="1" style="12" min="15881" max="15881"/>
    <col width="10.28515625" customWidth="1" style="12" min="15882" max="15882"/>
    <col width="10.140625" customWidth="1" style="12" min="15883" max="15883"/>
    <col width="9.140625" customWidth="1" style="12" min="15884" max="16121"/>
    <col width="5.140625" customWidth="1" style="12" min="16122" max="16122"/>
    <col width="4.7109375" customWidth="1" style="12" min="16123" max="16123"/>
    <col width="7.42578125" customWidth="1" style="12" min="16124" max="16124"/>
    <col width="23.85546875" customWidth="1" style="12" min="16125" max="16126"/>
    <col width="10.140625" customWidth="1" style="12" min="16127" max="16127"/>
    <col width="5.85546875" customWidth="1" style="12" min="16128" max="16128"/>
    <col width="4.7109375" customWidth="1" style="12" min="16129" max="16129"/>
    <col width="4.85546875" customWidth="1" style="12" min="16130" max="16130"/>
    <col width="16.140625" customWidth="1" style="12" min="16131" max="16131"/>
    <col width="9.7109375" customWidth="1" style="12" min="16132" max="16132"/>
    <col width="14.5703125" customWidth="1" style="12" min="16133" max="16133"/>
    <col width="10.7109375" customWidth="1" style="12" min="16134" max="16134"/>
    <col width="8.85546875" customWidth="1" style="12" min="16135" max="16135"/>
    <col width="11" customWidth="1" style="12" min="16136" max="16136"/>
    <col width="5.28515625" customWidth="1" style="12" min="16137" max="16137"/>
    <col width="10.28515625" customWidth="1" style="12" min="16138" max="16138"/>
    <col width="10.140625" customWidth="1" style="12" min="16139" max="16139"/>
    <col width="9.140625" customWidth="1" style="12" min="16140" max="16377"/>
    <col width="5.140625" customWidth="1" style="12" min="16378" max="16384"/>
  </cols>
  <sheetData>
    <row r="1" ht="15.75" customHeight="1">
      <c r="A1" s="212" t="inlineStr">
        <is>
          <t>BV TRƯỜNG ĐHYD CẦN THƠ</t>
        </is>
      </c>
      <c r="K1" s="241" t="n"/>
    </row>
    <row r="2" ht="15.75" customHeight="1">
      <c r="A2" s="213" t="inlineStr">
        <is>
          <t>KHOA NGOẠI CTCH - TK</t>
        </is>
      </c>
      <c r="G2" s="57" t="n"/>
      <c r="K2" s="241" t="n"/>
    </row>
    <row r="3" ht="20.25" customHeight="1">
      <c r="A3" s="214" t="inlineStr">
        <is>
          <t>BẢNG KÊ TIỀN TIỂU PHẪU</t>
        </is>
      </c>
    </row>
    <row r="4" ht="15.75" customHeight="1">
      <c r="A4" s="215">
        <f>phauthuat!A4</f>
        <v/>
      </c>
    </row>
    <row r="5">
      <c r="I5" s="242" t="n"/>
      <c r="K5" s="241" t="n"/>
    </row>
    <row r="6" ht="18" customHeight="1">
      <c r="A6" s="31" t="inlineStr">
        <is>
          <t>STT</t>
        </is>
      </c>
      <c r="B6" s="32" t="inlineStr">
        <is>
          <t>Ngày chỉ định</t>
        </is>
      </c>
      <c r="C6" s="34" t="inlineStr">
        <is>
          <t>Tên bệnh nhân</t>
        </is>
      </c>
      <c r="D6" s="33" t="inlineStr">
        <is>
          <t>Năm sinh</t>
        </is>
      </c>
      <c r="E6" s="34" t="inlineStr">
        <is>
          <t>Tên dịch vụ/thuốc</t>
        </is>
      </c>
      <c r="F6" s="34" t="inlineStr">
        <is>
          <t>Số lượng</t>
        </is>
      </c>
      <c r="G6" s="32" t="inlineStr">
        <is>
          <t>Thành tiền</t>
        </is>
      </c>
      <c r="H6" s="72" t="inlineStr">
        <is>
          <t>Bác Sĩ</t>
        </is>
      </c>
      <c r="I6" s="32" t="inlineStr">
        <is>
          <t>Số Tiền</t>
        </is>
      </c>
      <c r="J6" s="32" t="inlineStr">
        <is>
          <t>Điều Dưỡng</t>
        </is>
      </c>
      <c r="K6" s="35" t="inlineStr">
        <is>
          <t>Số Tiền</t>
        </is>
      </c>
      <c r="L6" s="32" t="inlineStr">
        <is>
          <t>Thực Lãnh</t>
        </is>
      </c>
    </row>
    <row r="7" customFormat="1" s="22">
      <c r="A7" s="44" t="n">
        <v>1</v>
      </c>
      <c r="B7" s="165" t="inlineStr">
        <is>
          <t>2026/07/30 17:10</t>
        </is>
      </c>
      <c r="C7" s="155" t="inlineStr">
        <is>
          <t>NGUYỄN THỊ PHỤNG</t>
        </is>
      </c>
      <c r="D7" s="166" t="inlineStr">
        <is>
          <t>01/01/1956</t>
        </is>
      </c>
      <c r="E7" s="168" t="inlineStr">
        <is>
          <t>Phẫu thuật điều trị hội chứng ống cổ tay</t>
        </is>
      </c>
      <c r="F7" s="22" t="n">
        <v>1</v>
      </c>
      <c r="G7" s="236" t="n">
        <v>1349400</v>
      </c>
      <c r="H7" s="73" t="inlineStr">
        <is>
          <t>DUY</t>
        </is>
      </c>
      <c r="I7" s="45">
        <f>L7-K7</f>
        <v/>
      </c>
      <c r="J7" s="46" t="inlineStr">
        <is>
          <t>ĐD</t>
        </is>
      </c>
      <c r="K7" s="45">
        <f>G7*0.05</f>
        <v/>
      </c>
      <c r="L7" s="45">
        <f>IF(H7="NGUYỆN",G7*25%*75%,IF(H7="TOẢN",G7*25%*75%,IF(H7="TÂN",G7*25%*75%,G7*0.25)))</f>
        <v/>
      </c>
    </row>
    <row r="8" customFormat="1" s="22">
      <c r="A8" s="44" t="n">
        <v>2</v>
      </c>
      <c r="B8" s="104" t="inlineStr">
        <is>
          <t>2026/08/03 08:41</t>
        </is>
      </c>
      <c r="C8" s="105" t="inlineStr">
        <is>
          <t>QUẢNG THỊ HIỆN</t>
        </is>
      </c>
      <c r="D8" s="105" t="inlineStr">
        <is>
          <t>04/12/1971</t>
        </is>
      </c>
      <c r="E8" s="105" t="inlineStr">
        <is>
          <t>Phẫu thuật điều trị hội chứng ống cổ tay</t>
        </is>
      </c>
      <c r="F8" s="105" t="n">
        <v>1</v>
      </c>
      <c r="G8" s="236" t="n">
        <v>4000000</v>
      </c>
      <c r="H8" s="73" t="inlineStr">
        <is>
          <t>SƠN</t>
        </is>
      </c>
      <c r="I8" s="45">
        <f>L8-K8</f>
        <v/>
      </c>
      <c r="J8" s="46" t="inlineStr">
        <is>
          <t>ĐD</t>
        </is>
      </c>
      <c r="K8" s="45">
        <f>G8*0.05</f>
        <v/>
      </c>
      <c r="L8" s="45">
        <f>IF(H8="NGUYỆN",G8*25%*75%,IF(H8="TOẢN",G8*25%*75%,IF(H8="TÂN",G8*25%*75%,G8*0.25)))</f>
        <v/>
      </c>
    </row>
    <row r="9" customFormat="1" s="22">
      <c r="A9" s="44" t="n">
        <v>3</v>
      </c>
      <c r="B9" s="104" t="inlineStr">
        <is>
          <t>2026/08/03 08:55</t>
        </is>
      </c>
      <c r="C9" s="105" t="inlineStr">
        <is>
          <t>DƯƠNG THỊ LỘC</t>
        </is>
      </c>
      <c r="D9" s="105" t="inlineStr">
        <is>
          <t>29/06/1974</t>
        </is>
      </c>
      <c r="E9" s="105" t="inlineStr">
        <is>
          <t>Phẫu thuật điều trị hội chứng ống cổ tay</t>
        </is>
      </c>
      <c r="F9" s="105" t="n">
        <v>1</v>
      </c>
      <c r="G9" s="236" t="n">
        <v>4000000</v>
      </c>
      <c r="H9" s="73" t="inlineStr">
        <is>
          <t>SƠN</t>
        </is>
      </c>
      <c r="I9" s="45">
        <f>L9-K9</f>
        <v/>
      </c>
      <c r="J9" s="46" t="inlineStr">
        <is>
          <t>ĐD</t>
        </is>
      </c>
      <c r="K9" s="45">
        <f>G9*0.05</f>
        <v/>
      </c>
      <c r="L9" s="45">
        <f>IF(H9="NGUYỆN",G9*25%*75%,IF(H9="TOẢN",G9*25%*75%,IF(H9="TÂN",G9*25%*75%,G9*0.25)))</f>
        <v/>
      </c>
    </row>
    <row r="10" customFormat="1" s="22">
      <c r="A10" s="44" t="n">
        <v>4</v>
      </c>
      <c r="B10" s="104" t="inlineStr">
        <is>
          <t>2026/08/03 10:33</t>
        </is>
      </c>
      <c r="C10" s="105" t="inlineStr">
        <is>
          <t>LÊ HÙNG TÂN</t>
        </is>
      </c>
      <c r="D10" s="105" t="inlineStr">
        <is>
          <t>17/07/1973</t>
        </is>
      </c>
      <c r="E10" s="105" t="inlineStr">
        <is>
          <t>Phẫu thuật điều trị hội chứng ống cổ tay</t>
        </is>
      </c>
      <c r="F10" s="105" t="n">
        <v>1</v>
      </c>
      <c r="G10" s="236" t="n">
        <v>4000000</v>
      </c>
      <c r="H10" s="243" t="inlineStr">
        <is>
          <t>BẢO</t>
        </is>
      </c>
      <c r="I10" s="45">
        <f>L10-K10</f>
        <v/>
      </c>
      <c r="J10" s="46" t="inlineStr">
        <is>
          <t>ĐD</t>
        </is>
      </c>
      <c r="K10" s="45">
        <f>G10*0.05</f>
        <v/>
      </c>
      <c r="L10" s="45">
        <f>IF(H10="NGUYỆN",G10*25%*75%,IF(H10="TOẢN",G10*25%*75%,IF(H10="TÂN",G10*25%*75%,G10*0.25)))</f>
        <v/>
      </c>
    </row>
    <row r="11" customFormat="1" s="22">
      <c r="A11" s="44" t="n">
        <v>5</v>
      </c>
      <c r="B11" s="103" t="inlineStr">
        <is>
          <t>2026/08/04 07:36</t>
        </is>
      </c>
      <c r="C11" s="103" t="inlineStr">
        <is>
          <t>VÕ THỊ THO</t>
        </is>
      </c>
      <c r="D11" s="103" t="inlineStr">
        <is>
          <t>01/01/1978</t>
        </is>
      </c>
      <c r="E11" s="49" t="inlineStr">
        <is>
          <t>Phẫu thuật điều trị hội chứng ống cổ tay</t>
        </is>
      </c>
      <c r="F11" s="49" t="n">
        <v>1</v>
      </c>
      <c r="G11" s="236" t="n">
        <v>4000000</v>
      </c>
      <c r="H11" s="73" t="inlineStr">
        <is>
          <t>TUẤN</t>
        </is>
      </c>
      <c r="I11" s="45">
        <f>L11-K11</f>
        <v/>
      </c>
      <c r="J11" s="46" t="inlineStr">
        <is>
          <t>ĐD</t>
        </is>
      </c>
      <c r="K11" s="45">
        <f>G11*0.05</f>
        <v/>
      </c>
      <c r="L11" s="45">
        <f>IF(H11="NGUYỆN",G11*25%*75%,IF(H11="TOẢN",G11*25%*75%,IF(H11="TÂN",G11*25%*75%,G11*0.25)))</f>
        <v/>
      </c>
    </row>
    <row r="12" ht="25.5" customFormat="1" customHeight="1" s="22">
      <c r="A12" s="44" t="n">
        <v>6</v>
      </c>
      <c r="B12" s="104" t="inlineStr">
        <is>
          <t>2026/08/04 09:01</t>
        </is>
      </c>
      <c r="C12" s="105" t="inlineStr">
        <is>
          <t>HỒ LÊ BỬU NGỌC</t>
        </is>
      </c>
      <c r="D12" s="105" t="inlineStr">
        <is>
          <t>01/01/1975</t>
        </is>
      </c>
      <c r="E12" s="105" t="inlineStr">
        <is>
          <t>Phẫu thuật điều trị ngón tay cò súng (1 ngón)</t>
        </is>
      </c>
      <c r="F12" s="105" t="n">
        <v>1</v>
      </c>
      <c r="G12" s="236" t="n">
        <v>1000000</v>
      </c>
      <c r="H12" s="73" t="inlineStr">
        <is>
          <t>TOẢN</t>
        </is>
      </c>
      <c r="I12" s="45">
        <f>L12-K12</f>
        <v/>
      </c>
      <c r="J12" s="46" t="inlineStr">
        <is>
          <t>ĐD</t>
        </is>
      </c>
      <c r="K12" s="45">
        <f>G12*0.05</f>
        <v/>
      </c>
      <c r="L12" s="45">
        <f>IF(H12="NGUYỆN",G12*25%*75%,IF(H12="TOẢN",G12*25%*75%,IF(H12="TÂN",G12*25%*75%,G12*0.25)))</f>
        <v/>
      </c>
    </row>
    <row r="13" ht="25.5" customFormat="1" customHeight="1" s="22">
      <c r="A13" s="44" t="n">
        <v>7</v>
      </c>
      <c r="B13" s="104" t="inlineStr">
        <is>
          <t>2026/08/07 09:03</t>
        </is>
      </c>
      <c r="C13" s="105" t="inlineStr">
        <is>
          <t>TRẦN THANH BÌNH</t>
        </is>
      </c>
      <c r="D13" s="105" t="inlineStr">
        <is>
          <t>01/01/1975</t>
        </is>
      </c>
      <c r="E13" s="105" t="inlineStr">
        <is>
          <t>Phẫu thuật điều trị ngón tay cò súng (1 ngón)</t>
        </is>
      </c>
      <c r="F13" s="105" t="n">
        <v>1</v>
      </c>
      <c r="G13" s="236" t="n">
        <v>1000000</v>
      </c>
      <c r="H13" s="73" t="inlineStr">
        <is>
          <t>G.TỬ</t>
        </is>
      </c>
      <c r="I13" s="45">
        <f>L13-K13</f>
        <v/>
      </c>
      <c r="J13" s="46" t="inlineStr">
        <is>
          <t>ĐD</t>
        </is>
      </c>
      <c r="K13" s="45">
        <f>G13*0.05</f>
        <v/>
      </c>
      <c r="L13" s="45">
        <f>IF(H13="NGUYỆN",G13*25%*75%,IF(H13="TOẢN",G13*25%*75%,IF(H13="TÂN",G13*25%*75%,G13*0.25)))</f>
        <v/>
      </c>
    </row>
    <row r="14" ht="16.5" customFormat="1" customHeight="1" s="22">
      <c r="A14" s="44" t="n">
        <v>8</v>
      </c>
      <c r="B14" s="104" t="inlineStr">
        <is>
          <t>2026/08/07 09:44</t>
        </is>
      </c>
      <c r="C14" s="105" t="inlineStr">
        <is>
          <t>NGUYỄN THỊ TUYẾT HẠNH</t>
        </is>
      </c>
      <c r="D14" s="105" t="inlineStr">
        <is>
          <t>05/04/1982</t>
        </is>
      </c>
      <c r="E14" s="105" t="inlineStr">
        <is>
          <t>Phẫu thuật điều trị hội chứng ống cổ tay</t>
        </is>
      </c>
      <c r="F14" s="105" t="n">
        <v>1</v>
      </c>
      <c r="G14" s="236" t="n">
        <v>4000000</v>
      </c>
      <c r="H14" s="243" t="inlineStr">
        <is>
          <t>V.TÂN</t>
        </is>
      </c>
      <c r="I14" s="45">
        <f>L14-K14</f>
        <v/>
      </c>
      <c r="J14" s="46" t="inlineStr">
        <is>
          <t>ĐD</t>
        </is>
      </c>
      <c r="K14" s="45">
        <f>G14*0.05</f>
        <v/>
      </c>
      <c r="L14" s="45">
        <f>IF(H14="NGUYỆN",G14*25%*75%,IF(H14="TOẢN",G14*25%*75%,IF(H14="TÂN",G14*25%*75%,G14*0.25)))</f>
        <v/>
      </c>
    </row>
    <row r="15" ht="25.5" customFormat="1" customHeight="1" s="22">
      <c r="A15" s="44" t="n">
        <v>9</v>
      </c>
      <c r="B15" s="104" t="inlineStr">
        <is>
          <t>2026/08/07 10:00</t>
        </is>
      </c>
      <c r="C15" s="105" t="inlineStr">
        <is>
          <t>DƯƠNG HOÀNG TRUNG</t>
        </is>
      </c>
      <c r="D15" s="105" t="inlineStr">
        <is>
          <t>20/09/1983</t>
        </is>
      </c>
      <c r="E15" s="105" t="inlineStr">
        <is>
          <t>Phẫu thuật rạch dẫn lưu viêm tấy lan toả vùng hàm mặt</t>
        </is>
      </c>
      <c r="F15" s="105" t="n">
        <v>1</v>
      </c>
      <c r="G15" s="236" t="n">
        <v>2497500</v>
      </c>
      <c r="H15" s="243" t="n"/>
      <c r="I15" s="45">
        <f>L15-K15</f>
        <v/>
      </c>
      <c r="J15" s="46" t="inlineStr">
        <is>
          <t>ĐD</t>
        </is>
      </c>
      <c r="K15" s="45">
        <f>G15*0.05</f>
        <v/>
      </c>
      <c r="L15" s="45">
        <f>IF(H15="NGUYỆN",G15*25%*75%,IF(H15="TOẢN",G15*25%*75%,IF(H15="TÂN",G15*25%*75%,G15*0.25)))</f>
        <v/>
      </c>
    </row>
    <row r="16" customFormat="1" s="22">
      <c r="A16" s="44" t="n">
        <v>10</v>
      </c>
      <c r="B16" s="104" t="inlineStr">
        <is>
          <t>2026/08/07 14:22</t>
        </is>
      </c>
      <c r="C16" s="105" t="inlineStr">
        <is>
          <t>HỒ THỊ HỒNG MAI</t>
        </is>
      </c>
      <c r="D16" s="105" t="inlineStr">
        <is>
          <t>01/01/1981</t>
        </is>
      </c>
      <c r="E16" s="105" t="inlineStr">
        <is>
          <t>Phẫu thuật điều trị hội chứng ống cổ tay</t>
        </is>
      </c>
      <c r="F16" s="105" t="n">
        <v>1</v>
      </c>
      <c r="G16" s="236" t="n">
        <v>4000000</v>
      </c>
      <c r="H16" s="243" t="inlineStr">
        <is>
          <t>G.TỬ</t>
        </is>
      </c>
      <c r="I16" s="45">
        <f>L16-K16</f>
        <v/>
      </c>
      <c r="J16" s="46" t="inlineStr">
        <is>
          <t>ĐD</t>
        </is>
      </c>
      <c r="K16" s="45">
        <f>G16*0.05</f>
        <v/>
      </c>
      <c r="L16" s="45">
        <f>IF(H16="NGUYỆN",G16*25%*75%,IF(H16="TOẢN",G16*25%*75%,IF(H16="TÂN",G16*25%*75%,G16*0.25)))</f>
        <v/>
      </c>
    </row>
    <row r="17" ht="25.5" customFormat="1" customHeight="1" s="22">
      <c r="A17" s="44" t="n">
        <v>11</v>
      </c>
      <c r="B17" s="104" t="inlineStr">
        <is>
          <t>2026/08/10 10:49</t>
        </is>
      </c>
      <c r="C17" s="105" t="inlineStr">
        <is>
          <t>TRẦN NGỌC ĐIỆP</t>
        </is>
      </c>
      <c r="D17" s="105" t="inlineStr">
        <is>
          <t>23/01/1974</t>
        </is>
      </c>
      <c r="E17" s="105" t="inlineStr">
        <is>
          <t>Phẫu thuật điều trị ngón tay cò súng (2 ngón)</t>
        </is>
      </c>
      <c r="F17" s="105" t="n">
        <v>1</v>
      </c>
      <c r="G17" s="236" t="n">
        <v>1500000</v>
      </c>
      <c r="H17" s="243" t="inlineStr">
        <is>
          <t>SƠN</t>
        </is>
      </c>
      <c r="I17" s="45">
        <f>L17-K17</f>
        <v/>
      </c>
      <c r="J17" s="46" t="inlineStr">
        <is>
          <t>ĐD</t>
        </is>
      </c>
      <c r="K17" s="45">
        <f>G17*0.05</f>
        <v/>
      </c>
      <c r="L17" s="45">
        <f>IF(H17="NGUYỆN",G17*25%*75%,IF(H17="TOẢN",G17*25%*75%,IF(H17="TÂN",G17*25%*75%,G17*0.25)))</f>
        <v/>
      </c>
    </row>
    <row r="18" ht="18" customFormat="1" customHeight="1" s="22">
      <c r="A18" s="44" t="n">
        <v>12</v>
      </c>
      <c r="B18" s="103" t="inlineStr">
        <is>
          <t>2026/08/10 11:00</t>
        </is>
      </c>
      <c r="C18" s="103" t="inlineStr">
        <is>
          <t>NGUYỄN THỊ KIM NHUNG</t>
        </is>
      </c>
      <c r="D18" s="103" t="inlineStr">
        <is>
          <t>15/06/1976</t>
        </is>
      </c>
      <c r="E18" s="49" t="inlineStr">
        <is>
          <t>Phẫu thuật điều trị ngón tay cò súng (1 ngón)</t>
        </is>
      </c>
      <c r="F18" s="49" t="n">
        <v>1</v>
      </c>
      <c r="G18" s="236" t="n">
        <v>1000000</v>
      </c>
      <c r="H18" s="243" t="inlineStr">
        <is>
          <t>SƠN</t>
        </is>
      </c>
      <c r="I18" s="45">
        <f>L18-K18</f>
        <v/>
      </c>
      <c r="J18" s="46" t="inlineStr">
        <is>
          <t>ĐD</t>
        </is>
      </c>
      <c r="K18" s="45">
        <f>G18*0.05</f>
        <v/>
      </c>
      <c r="L18" s="45">
        <f>IF(H18="NGUYỆN",G18*25%*75%,IF(H18="TOẢN",G18*25%*75%,IF(H18="TÂN",G18*25%*75%,G18*0.25)))</f>
        <v/>
      </c>
    </row>
    <row r="19" customFormat="1" s="22">
      <c r="A19" s="44" t="n">
        <v>13</v>
      </c>
      <c r="B19" s="104" t="inlineStr">
        <is>
          <t>2026/08/11 10:21</t>
        </is>
      </c>
      <c r="C19" s="104" t="inlineStr">
        <is>
          <t>THẠCH BÉ BA</t>
        </is>
      </c>
      <c r="D19" s="104" t="inlineStr">
        <is>
          <t>01/01/1968</t>
        </is>
      </c>
      <c r="E19" s="105" t="inlineStr">
        <is>
          <t>Phẫu thuật điều trị hội chứng ống cổ tay</t>
        </is>
      </c>
      <c r="F19" s="105" t="n">
        <v>1</v>
      </c>
      <c r="G19" s="236" t="n">
        <v>4000000</v>
      </c>
      <c r="H19" s="243" t="inlineStr">
        <is>
          <t>TUẤN</t>
        </is>
      </c>
      <c r="I19" s="45" t="n"/>
      <c r="J19" s="46" t="n"/>
      <c r="K19" s="45" t="n"/>
      <c r="L19" s="45" t="n"/>
    </row>
    <row r="20" ht="25.5" customFormat="1" customHeight="1" s="22">
      <c r="A20" s="44" t="n">
        <v>14</v>
      </c>
      <c r="B20" s="104" t="inlineStr">
        <is>
          <t>2026/08/11 10:56</t>
        </is>
      </c>
      <c r="C20" s="105" t="inlineStr">
        <is>
          <t>MAI DIỄM TRANG</t>
        </is>
      </c>
      <c r="D20" s="105" t="inlineStr">
        <is>
          <t>09/09/1975</t>
        </is>
      </c>
      <c r="E20" s="105" t="inlineStr">
        <is>
          <t>Phẫu thuật điều trị ngón tay cò súng (1 ngón)</t>
        </is>
      </c>
      <c r="F20" s="105" t="n">
        <v>1</v>
      </c>
      <c r="G20" s="236" t="n">
        <v>1000000</v>
      </c>
      <c r="H20" s="243" t="inlineStr">
        <is>
          <t>TUẤN</t>
        </is>
      </c>
      <c r="I20" s="45" t="n"/>
      <c r="J20" s="46" t="n"/>
      <c r="K20" s="45" t="n"/>
      <c r="L20" s="45" t="n"/>
    </row>
    <row r="21" ht="25.5" customFormat="1" customHeight="1" s="22">
      <c r="A21" s="44" t="n">
        <v>15</v>
      </c>
      <c r="B21" s="104" t="inlineStr">
        <is>
          <t>2026/08/11 11:07</t>
        </is>
      </c>
      <c r="C21" s="105" t="inlineStr">
        <is>
          <t>LÊ HỒNG PHƯỢNG</t>
        </is>
      </c>
      <c r="D21" s="105" t="inlineStr">
        <is>
          <t>02/10/1975</t>
        </is>
      </c>
      <c r="E21" s="105" t="inlineStr">
        <is>
          <t>Phẫu thuật điều trị ngón tay cò súng (1 ngón)</t>
        </is>
      </c>
      <c r="F21" s="105" t="n">
        <v>1</v>
      </c>
      <c r="G21" s="236" t="n">
        <v>1000000</v>
      </c>
      <c r="H21" s="244" t="inlineStr">
        <is>
          <t>TUẤN</t>
        </is>
      </c>
      <c r="I21" s="45" t="n"/>
      <c r="J21" s="46" t="n"/>
      <c r="K21" s="45" t="n"/>
      <c r="L21" s="45" t="n"/>
    </row>
    <row r="22" ht="25.5" customFormat="1" customHeight="1" s="22">
      <c r="A22" s="44" t="n">
        <v>16</v>
      </c>
      <c r="B22" s="103" t="inlineStr">
        <is>
          <t>2026/08/11 14:24</t>
        </is>
      </c>
      <c r="C22" s="103" t="inlineStr">
        <is>
          <t>NGUYỄN THỊ BÍCH TUYỀN</t>
        </is>
      </c>
      <c r="D22" s="103" t="inlineStr">
        <is>
          <t>31/12/1976</t>
        </is>
      </c>
      <c r="E22" s="49" t="inlineStr">
        <is>
          <t>Phẫu thuật điều trị ngón tay cò súng (1 ngón)</t>
        </is>
      </c>
      <c r="F22" s="49" t="n">
        <v>1</v>
      </c>
      <c r="G22" s="236" t="n">
        <v>1000000</v>
      </c>
      <c r="H22" s="75" t="inlineStr">
        <is>
          <t>TUẤN</t>
        </is>
      </c>
      <c r="I22" s="45" t="n"/>
      <c r="J22" s="46" t="n"/>
      <c r="K22" s="45" t="n"/>
      <c r="L22" s="45" t="n"/>
    </row>
    <row r="23" customFormat="1" s="22">
      <c r="A23" s="44" t="n">
        <v>17</v>
      </c>
      <c r="B23" s="104" t="inlineStr">
        <is>
          <t>2026/08/12 08:43</t>
        </is>
      </c>
      <c r="C23" s="105" t="inlineStr">
        <is>
          <t>TRẦN THỊ ĐÈO</t>
        </is>
      </c>
      <c r="D23" s="105" t="inlineStr">
        <is>
          <t>01/01/1971</t>
        </is>
      </c>
      <c r="E23" s="105" t="inlineStr">
        <is>
          <t>Phẫu thuật điều trị hội chứng ống cổ tay</t>
        </is>
      </c>
      <c r="F23" s="105" t="n">
        <v>1</v>
      </c>
      <c r="G23" s="236" t="n">
        <v>4000000</v>
      </c>
      <c r="H23" s="244" t="inlineStr">
        <is>
          <t>DUY</t>
        </is>
      </c>
      <c r="I23" s="45" t="n"/>
      <c r="J23" s="46" t="n"/>
      <c r="K23" s="45" t="n"/>
      <c r="L23" s="45" t="n"/>
    </row>
    <row r="24" ht="25.5" customFormat="1" customHeight="1" s="22">
      <c r="A24" s="44" t="n">
        <v>18</v>
      </c>
      <c r="B24" s="104" t="inlineStr">
        <is>
          <t>2026/08/12 09:28</t>
        </is>
      </c>
      <c r="C24" s="105" t="inlineStr">
        <is>
          <t>NGUYỄN THỊ KIM NGUYÊN</t>
        </is>
      </c>
      <c r="D24" s="105" t="inlineStr">
        <is>
          <t>04/09/1980</t>
        </is>
      </c>
      <c r="E24" s="105" t="inlineStr">
        <is>
          <t>Phẫu thuật điều trị ngón tay cò súng (1 ngón)</t>
        </is>
      </c>
      <c r="F24" s="105" t="n">
        <v>1</v>
      </c>
      <c r="G24" s="236" t="n">
        <v>1000000</v>
      </c>
      <c r="H24" s="244" t="inlineStr">
        <is>
          <t>DUY</t>
        </is>
      </c>
      <c r="I24" s="45" t="n"/>
      <c r="J24" s="46" t="n"/>
      <c r="K24" s="45" t="n"/>
      <c r="L24" s="45" t="n"/>
    </row>
    <row r="25" ht="25.5" customFormat="1" customHeight="1" s="22">
      <c r="A25" s="44" t="n">
        <v>19</v>
      </c>
      <c r="B25" s="104" t="inlineStr">
        <is>
          <t>2026/08/13 07:46</t>
        </is>
      </c>
      <c r="C25" s="105" t="inlineStr">
        <is>
          <t>CHƯƠNG THỊ THẮM</t>
        </is>
      </c>
      <c r="D25" s="105" t="inlineStr">
        <is>
          <t>28/05/1975</t>
        </is>
      </c>
      <c r="E25" s="105" t="inlineStr">
        <is>
          <t>Phẫu thuật điều trị bệnh DE QUER VAIN và ngón tay cò súng [gây tê]</t>
        </is>
      </c>
      <c r="F25" s="105" t="n">
        <v>1</v>
      </c>
      <c r="G25" s="236" t="n">
        <v>3184700</v>
      </c>
      <c r="H25" s="244" t="n"/>
      <c r="I25" s="45" t="n"/>
      <c r="J25" s="46" t="n"/>
      <c r="K25" s="45" t="n"/>
      <c r="L25" s="45" t="n"/>
    </row>
    <row r="26" customFormat="1" s="22">
      <c r="A26" s="44" t="n">
        <v>20</v>
      </c>
      <c r="B26" s="104" t="inlineStr">
        <is>
          <t>2026/08/14 08:21</t>
        </is>
      </c>
      <c r="C26" s="105" t="inlineStr">
        <is>
          <t>HỒ NGỌC THÀ</t>
        </is>
      </c>
      <c r="D26" s="105" t="inlineStr">
        <is>
          <t>14/10/1988</t>
        </is>
      </c>
      <c r="E26" s="105" t="inlineStr">
        <is>
          <t>Cắt u lành phần mềm đường kính dưới 10 cm</t>
        </is>
      </c>
      <c r="F26" s="105" t="n">
        <v>1</v>
      </c>
      <c r="G26" s="236" t="n">
        <v>3000000</v>
      </c>
      <c r="H26" s="244" t="n"/>
      <c r="I26" s="45" t="n"/>
      <c r="J26" s="46" t="n"/>
      <c r="K26" s="45" t="n"/>
      <c r="L26" s="45" t="n"/>
    </row>
    <row r="27" customFormat="1" s="22">
      <c r="A27" s="44" t="n">
        <v>21</v>
      </c>
      <c r="B27" s="103" t="inlineStr">
        <is>
          <t>2026/08/17 07:32</t>
        </is>
      </c>
      <c r="C27" s="103" t="inlineStr">
        <is>
          <t>ĐỖ THỊ KIM NGUYÊN</t>
        </is>
      </c>
      <c r="D27" s="103" t="inlineStr">
        <is>
          <t>01/01/1972</t>
        </is>
      </c>
      <c r="E27" s="49" t="inlineStr">
        <is>
          <t>Phẫu thuật điều trị hội chứng ống cổ tay</t>
        </is>
      </c>
      <c r="F27" s="49" t="n">
        <v>1</v>
      </c>
      <c r="G27" s="236" t="n">
        <v>4000000</v>
      </c>
      <c r="H27" s="244" t="n"/>
      <c r="I27" s="45" t="n"/>
      <c r="J27" s="46" t="n"/>
      <c r="K27" s="45" t="n"/>
      <c r="L27" s="45" t="n"/>
    </row>
    <row r="28" ht="25.5" customFormat="1" customHeight="1" s="22">
      <c r="A28" s="44" t="n">
        <v>22</v>
      </c>
      <c r="B28" s="104" t="inlineStr">
        <is>
          <t>2026/08/17 08:05</t>
        </is>
      </c>
      <c r="C28" s="105" t="inlineStr">
        <is>
          <t>NGUYỄN VĂN ĐỰC</t>
        </is>
      </c>
      <c r="D28" s="105" t="inlineStr">
        <is>
          <t>01/01/1977</t>
        </is>
      </c>
      <c r="E28" s="105" t="inlineStr">
        <is>
          <t>Phẫu thuật điều trị ngón tay cò súng (2 ngón)</t>
        </is>
      </c>
      <c r="F28" s="105" t="n">
        <v>1</v>
      </c>
      <c r="G28" s="236" t="n">
        <v>1500000</v>
      </c>
      <c r="H28" s="244" t="n"/>
      <c r="I28" s="45" t="n"/>
      <c r="J28" s="46" t="n"/>
      <c r="K28" s="45" t="n"/>
      <c r="L28" s="45" t="n"/>
    </row>
    <row r="29" customFormat="1" s="22">
      <c r="A29" s="44" t="n">
        <v>23</v>
      </c>
      <c r="B29" s="104" t="inlineStr">
        <is>
          <t>2026/08/17 08:30</t>
        </is>
      </c>
      <c r="C29" s="105" t="inlineStr">
        <is>
          <t>ĐÀO THANH NHANH</t>
        </is>
      </c>
      <c r="D29" s="105" t="inlineStr">
        <is>
          <t>23/03/1980</t>
        </is>
      </c>
      <c r="E29" s="105" t="inlineStr">
        <is>
          <t>Phẫu thuật điều trị hội chứng ống cổ tay</t>
        </is>
      </c>
      <c r="F29" s="105" t="n">
        <v>1</v>
      </c>
      <c r="G29" s="236" t="n">
        <v>4000000</v>
      </c>
      <c r="H29" s="244" t="n"/>
      <c r="I29" s="45" t="n"/>
      <c r="J29" s="46" t="n"/>
      <c r="K29" s="45" t="n"/>
      <c r="L29" s="45" t="n"/>
    </row>
    <row r="30" customFormat="1" s="22">
      <c r="A30" s="44" t="n">
        <v>24</v>
      </c>
      <c r="B30" s="104" t="inlineStr">
        <is>
          <t>2026/08/17 15:39</t>
        </is>
      </c>
      <c r="C30" s="105" t="inlineStr">
        <is>
          <t>PHẠM THỊ NHỦ</t>
        </is>
      </c>
      <c r="D30" s="105" t="inlineStr">
        <is>
          <t>24/11/1974</t>
        </is>
      </c>
      <c r="E30" s="105" t="inlineStr">
        <is>
          <t>Phẫu thuật điều trị hội chứng ống cổ tay</t>
        </is>
      </c>
      <c r="F30" s="105" t="n">
        <v>1</v>
      </c>
      <c r="G30" s="236" t="n">
        <v>4000000</v>
      </c>
      <c r="H30" s="244" t="n"/>
      <c r="I30" s="45" t="n"/>
      <c r="J30" s="46" t="n"/>
      <c r="K30" s="45" t="n"/>
      <c r="L30" s="45" t="n"/>
    </row>
    <row r="31" ht="25.5" customFormat="1" customHeight="1" s="22">
      <c r="A31" s="44" t="n">
        <v>25</v>
      </c>
      <c r="B31" s="104" t="inlineStr">
        <is>
          <t>2026/08/19 08:09</t>
        </is>
      </c>
      <c r="C31" s="105" t="inlineStr">
        <is>
          <t>LÊ THỊ DIỄM TRANG</t>
        </is>
      </c>
      <c r="D31" s="105" t="inlineStr">
        <is>
          <t>01/01/1971</t>
        </is>
      </c>
      <c r="E31" s="105" t="inlineStr">
        <is>
          <t>Phẫu thuật điều trị ngón tay cò súng (1 ngón)</t>
        </is>
      </c>
      <c r="F31" s="105" t="n">
        <v>1</v>
      </c>
      <c r="G31" s="236" t="n">
        <v>1000000</v>
      </c>
      <c r="H31" s="244" t="n"/>
      <c r="I31" s="45" t="n"/>
      <c r="J31" s="46" t="n"/>
      <c r="K31" s="45" t="n"/>
      <c r="L31" s="45" t="n"/>
    </row>
    <row r="32" customFormat="1" s="22">
      <c r="A32" s="44" t="n">
        <v>26</v>
      </c>
      <c r="B32" s="104" t="inlineStr">
        <is>
          <t>2026/08/19 09:17</t>
        </is>
      </c>
      <c r="C32" s="105" t="inlineStr">
        <is>
          <t>NGUYỄN VĂN YÊN</t>
        </is>
      </c>
      <c r="D32" s="105" t="inlineStr">
        <is>
          <t>01/01/1957</t>
        </is>
      </c>
      <c r="E32" s="105" t="inlineStr">
        <is>
          <t>Phẫu thuật điều trị hội chứng ống cổ tay</t>
        </is>
      </c>
      <c r="F32" s="105" t="n">
        <v>1</v>
      </c>
      <c r="G32" s="236" t="n">
        <v>4000000</v>
      </c>
      <c r="H32" s="244" t="n"/>
      <c r="I32" s="45" t="n"/>
      <c r="J32" s="46" t="n"/>
      <c r="K32" s="45" t="n"/>
      <c r="L32" s="45" t="n"/>
    </row>
    <row r="33" customFormat="1" s="22">
      <c r="A33" s="44" t="n">
        <v>27</v>
      </c>
      <c r="B33" s="104" t="inlineStr">
        <is>
          <t>2026/08/19 10:24</t>
        </is>
      </c>
      <c r="C33" s="105" t="inlineStr">
        <is>
          <t>LÊ THỊ NGỌC DIỄM</t>
        </is>
      </c>
      <c r="D33" s="105" t="inlineStr">
        <is>
          <t>01/01/1972</t>
        </is>
      </c>
      <c r="E33" s="105" t="inlineStr">
        <is>
          <t>Phẫu thuật điều trị hội chứng ống cổ tay</t>
        </is>
      </c>
      <c r="F33" s="105" t="n">
        <v>1</v>
      </c>
      <c r="G33" s="236" t="n">
        <v>4000000</v>
      </c>
      <c r="H33" s="244" t="n"/>
      <c r="I33" s="45" t="n"/>
      <c r="J33" s="46" t="n"/>
      <c r="K33" s="45" t="n"/>
      <c r="L33" s="45" t="n"/>
    </row>
    <row r="34" ht="25.5" customFormat="1" customHeight="1" s="22">
      <c r="A34" s="44" t="n">
        <v>28</v>
      </c>
      <c r="B34" s="104" t="inlineStr">
        <is>
          <t>2026/08/20 08:11</t>
        </is>
      </c>
      <c r="C34" s="105" t="inlineStr">
        <is>
          <t>ĐINH THANH THÚY</t>
        </is>
      </c>
      <c r="D34" s="105" t="inlineStr">
        <is>
          <t>01/01/1972</t>
        </is>
      </c>
      <c r="E34" s="105" t="inlineStr">
        <is>
          <t>Phẫu thuật điều trị ngón tay cò súng (1 ngón)</t>
        </is>
      </c>
      <c r="F34" s="105" t="n">
        <v>1</v>
      </c>
      <c r="G34" s="236" t="n">
        <v>1000000</v>
      </c>
      <c r="H34" s="244" t="n"/>
      <c r="I34" s="45" t="n"/>
      <c r="J34" s="46" t="n"/>
      <c r="K34" s="45" t="n"/>
      <c r="L34" s="45" t="n"/>
    </row>
    <row r="35" customFormat="1" s="22">
      <c r="A35" s="44" t="n">
        <v>29</v>
      </c>
      <c r="B35" s="104" t="inlineStr">
        <is>
          <t>2026/08/20 10:36</t>
        </is>
      </c>
      <c r="C35" s="105" t="inlineStr">
        <is>
          <t>NGUYỄN THỊ HỒNG</t>
        </is>
      </c>
      <c r="D35" s="105" t="inlineStr">
        <is>
          <t>01/01/1955</t>
        </is>
      </c>
      <c r="E35" s="105" t="inlineStr">
        <is>
          <t>Phẫu thuật điều trị hội chứng ống cổ tay</t>
        </is>
      </c>
      <c r="F35" s="105" t="n">
        <v>1</v>
      </c>
      <c r="G35" s="236" t="n">
        <v>4000000</v>
      </c>
      <c r="H35" s="244" t="n"/>
      <c r="I35" s="45" t="n"/>
      <c r="J35" s="46" t="n"/>
      <c r="K35" s="45" t="n"/>
      <c r="L35" s="45" t="n"/>
    </row>
    <row r="36" ht="25.5" customFormat="1" customHeight="1" s="22">
      <c r="A36" s="44" t="n">
        <v>30</v>
      </c>
      <c r="B36" s="104" t="inlineStr">
        <is>
          <t>2026/08/21 08:13</t>
        </is>
      </c>
      <c r="C36" s="105" t="inlineStr">
        <is>
          <t>LÊ THỊ THỨC</t>
        </is>
      </c>
      <c r="D36" s="105" t="inlineStr">
        <is>
          <t>16/08/1965</t>
        </is>
      </c>
      <c r="E36" s="105" t="inlineStr">
        <is>
          <t>Phẫu thuật điều trị ngón tay cò súng (1 ngón)</t>
        </is>
      </c>
      <c r="F36" s="105" t="n">
        <v>1</v>
      </c>
      <c r="G36" s="236" t="n">
        <v>1000000</v>
      </c>
      <c r="H36" s="244" t="n"/>
      <c r="I36" s="45" t="n"/>
      <c r="J36" s="46" t="n"/>
      <c r="K36" s="45" t="n"/>
      <c r="L36" s="45" t="n"/>
    </row>
    <row r="37" customFormat="1" s="22">
      <c r="A37" s="44" t="n">
        <v>31</v>
      </c>
      <c r="B37" s="104" t="inlineStr">
        <is>
          <t>2026/08/24 07:49</t>
        </is>
      </c>
      <c r="C37" s="105" t="inlineStr">
        <is>
          <t>LÊ XUÂN VIỂN</t>
        </is>
      </c>
      <c r="D37" s="105" t="inlineStr">
        <is>
          <t>03/01/1966</t>
        </is>
      </c>
      <c r="E37" s="105" t="inlineStr">
        <is>
          <t>Phẫu thuật điều trị hội chứng ống cổ tay</t>
        </is>
      </c>
      <c r="F37" s="105" t="n">
        <v>1</v>
      </c>
      <c r="G37" s="236" t="n">
        <v>4000000</v>
      </c>
      <c r="H37" s="244" t="n"/>
      <c r="I37" s="45" t="n"/>
      <c r="J37" s="46" t="n"/>
      <c r="K37" s="45" t="n"/>
      <c r="L37" s="45" t="n"/>
    </row>
    <row r="38" ht="25.5" customFormat="1" customHeight="1" s="22">
      <c r="A38" s="44" t="n">
        <v>32</v>
      </c>
      <c r="B38" s="104" t="inlineStr">
        <is>
          <t>2026/08/26 09:22</t>
        </is>
      </c>
      <c r="C38" s="105" t="inlineStr">
        <is>
          <t>NGUYỄN THỊ XINH</t>
        </is>
      </c>
      <c r="D38" s="105" t="inlineStr">
        <is>
          <t>15/01/1954</t>
        </is>
      </c>
      <c r="E38" s="105" t="inlineStr">
        <is>
          <t>Phẫu thuật điều trị ngón tay cò súng (1 ngón)</t>
        </is>
      </c>
      <c r="F38" s="105" t="n">
        <v>1</v>
      </c>
      <c r="G38" s="236" t="n">
        <v>1000000</v>
      </c>
      <c r="H38" s="244" t="n"/>
      <c r="I38" s="45" t="n"/>
      <c r="J38" s="46" t="n"/>
      <c r="K38" s="45" t="n"/>
      <c r="L38" s="45" t="n"/>
    </row>
    <row r="39" customFormat="1" s="22">
      <c r="A39" s="44" t="n">
        <v>33</v>
      </c>
      <c r="B39" s="104" t="inlineStr">
        <is>
          <t>2026/08/28 08:38</t>
        </is>
      </c>
      <c r="C39" s="105" t="inlineStr">
        <is>
          <t>ĐÀO TRƯƠNG BẢO CHÂU</t>
        </is>
      </c>
      <c r="D39" s="105" t="inlineStr">
        <is>
          <t>12/04/1992</t>
        </is>
      </c>
      <c r="E39" s="105" t="inlineStr">
        <is>
          <t>Phẫu thuật điều trị hội chứng ống cổ tay</t>
        </is>
      </c>
      <c r="F39" s="105" t="n">
        <v>1</v>
      </c>
      <c r="G39" s="236" t="n">
        <v>4000000</v>
      </c>
      <c r="H39" s="244" t="n"/>
      <c r="I39" s="45" t="n"/>
      <c r="J39" s="46" t="n"/>
      <c r="K39" s="45" t="n"/>
      <c r="L39" s="45" t="n"/>
    </row>
    <row r="40" customFormat="1" s="22">
      <c r="A40" s="44" t="n">
        <v>34</v>
      </c>
      <c r="B40" s="165" t="inlineStr">
        <is>
          <t>2026/08/03 09:13</t>
        </is>
      </c>
      <c r="C40" s="155" t="inlineStr">
        <is>
          <t>HỒ NGỌC BÍCH</t>
        </is>
      </c>
      <c r="D40" s="166" t="inlineStr">
        <is>
          <t>25/05/1974</t>
        </is>
      </c>
      <c r="E40" s="168" t="inlineStr">
        <is>
          <t>Tiêm gân gấp ngón tay</t>
        </is>
      </c>
      <c r="F40" s="22" t="n">
        <v>1</v>
      </c>
      <c r="G40" s="253" t="n">
        <v>384000</v>
      </c>
      <c r="H40" s="73" t="inlineStr">
        <is>
          <t>BẢO</t>
        </is>
      </c>
      <c r="I40" s="254">
        <f>L40-K40</f>
        <v/>
      </c>
      <c r="J40" s="46" t="inlineStr">
        <is>
          <t>ĐD</t>
        </is>
      </c>
      <c r="K40" s="254">
        <f>G40*0.05</f>
        <v/>
      </c>
      <c r="L40" s="254">
        <f>IF(H40="NGUYỆN",G40*25%*75%,IF(H40="TOẢN",G40*25%*75%,IF(H40="TÂN",G40*25%*75%,G40*0.25)))</f>
        <v/>
      </c>
    </row>
    <row r="41" customFormat="1" s="22">
      <c r="A41" s="44" t="n">
        <v>35</v>
      </c>
      <c r="B41" s="165" t="inlineStr">
        <is>
          <t>2026/08/03 09:40</t>
        </is>
      </c>
      <c r="C41" s="155" t="inlineStr">
        <is>
          <t>PHAN KHẮC THƯỜNG</t>
        </is>
      </c>
      <c r="D41" s="166" t="inlineStr">
        <is>
          <t>10/06/1989</t>
        </is>
      </c>
      <c r="E41" s="168" t="inlineStr">
        <is>
          <t>Tiêm gân duỗi ngón tay</t>
        </is>
      </c>
      <c r="F41" s="22" t="n">
        <v>1</v>
      </c>
      <c r="G41" s="253" t="n">
        <v>300000</v>
      </c>
      <c r="H41" s="73" t="inlineStr">
        <is>
          <t>SƠN</t>
        </is>
      </c>
      <c r="I41" s="254">
        <f>L41-K41</f>
        <v/>
      </c>
      <c r="J41" s="46" t="inlineStr">
        <is>
          <t>ĐD</t>
        </is>
      </c>
      <c r="K41" s="254">
        <f>G41*0.05</f>
        <v/>
      </c>
      <c r="L41" s="254">
        <f>IF(H41="NGUYỆN",G41*25%*75%,IF(H41="TOẢN",G41*25%*75%,IF(H41="TÂN",G41*25%*75%,G41*0.25)))</f>
        <v/>
      </c>
    </row>
    <row r="42" customFormat="1" s="22">
      <c r="A42" s="44" t="n">
        <v>36</v>
      </c>
      <c r="B42" s="165" t="inlineStr">
        <is>
          <t>2026/08/03 14:04</t>
        </is>
      </c>
      <c r="C42" s="155" t="inlineStr">
        <is>
          <t>NGUYỄN CÔNG SƠN</t>
        </is>
      </c>
      <c r="D42" s="166" t="inlineStr">
        <is>
          <t>02/05/1972</t>
        </is>
      </c>
      <c r="E42" s="168" t="inlineStr">
        <is>
          <t>Hút ổ viêm/áp xe phần mềm</t>
        </is>
      </c>
      <c r="F42" s="22" t="n">
        <v>1</v>
      </c>
      <c r="G42" s="253" t="n">
        <v>126700</v>
      </c>
      <c r="H42" s="73" t="inlineStr">
        <is>
          <t>BẢO</t>
        </is>
      </c>
      <c r="I42" s="254">
        <f>L42-K42</f>
        <v/>
      </c>
      <c r="J42" s="46" t="inlineStr">
        <is>
          <t>ĐD</t>
        </is>
      </c>
      <c r="K42" s="254">
        <f>G42*0.05</f>
        <v/>
      </c>
      <c r="L42" s="254">
        <f>IF(H42="NGUYỆN",G42*25%*75%,IF(H42="TOẢN",G42*25%*75%,IF(H42="TÂN",G42*25%*75%,G42*0.25)))</f>
        <v/>
      </c>
    </row>
    <row r="43" customFormat="1" s="22">
      <c r="A43" s="44" t="n">
        <v>37</v>
      </c>
      <c r="B43" s="165" t="inlineStr">
        <is>
          <t>2026/08/03 09:57</t>
        </is>
      </c>
      <c r="C43" s="155" t="inlineStr">
        <is>
          <t>PHẠM THỊ DIỆU HIỀN</t>
        </is>
      </c>
      <c r="D43" s="166" t="inlineStr">
        <is>
          <t>13/07/1964</t>
        </is>
      </c>
      <c r="E43" s="168" t="inlineStr">
        <is>
          <t>Tiêm gân gấp ngón tay</t>
        </is>
      </c>
      <c r="F43" s="22" t="n">
        <v>1</v>
      </c>
      <c r="G43" s="253" t="n">
        <v>104400</v>
      </c>
      <c r="H43" s="73" t="inlineStr">
        <is>
          <t>SƠN</t>
        </is>
      </c>
      <c r="I43" s="254">
        <f>L43-K43</f>
        <v/>
      </c>
      <c r="J43" s="46" t="inlineStr">
        <is>
          <t>ĐD</t>
        </is>
      </c>
      <c r="K43" s="254">
        <f>G43*0.05</f>
        <v/>
      </c>
      <c r="L43" s="254">
        <f>IF(H43="NGUYỆN",G43*25%*75%,IF(H43="TOẢN",G43*25%*75%,IF(H43="TÂN",G43*25%*75%,G43*0.25)))</f>
        <v/>
      </c>
    </row>
    <row r="44" customFormat="1" s="22">
      <c r="A44" s="44" t="n">
        <v>38</v>
      </c>
      <c r="B44" s="165" t="inlineStr">
        <is>
          <t>2026/08/04 09:50</t>
        </is>
      </c>
      <c r="C44" s="155" t="inlineStr">
        <is>
          <t>DƯƠNG THỊ ÚT</t>
        </is>
      </c>
      <c r="D44" s="166" t="inlineStr">
        <is>
          <t>01/01/1952</t>
        </is>
      </c>
      <c r="E44" s="168" t="inlineStr">
        <is>
          <t>Tiêm khớp gối</t>
        </is>
      </c>
      <c r="F44" s="22" t="n">
        <v>1</v>
      </c>
      <c r="G44" s="253" t="n">
        <v>384000</v>
      </c>
      <c r="H44" s="73" t="inlineStr">
        <is>
          <t>TOẢN</t>
        </is>
      </c>
      <c r="I44" s="254">
        <f>L44-K44</f>
        <v/>
      </c>
      <c r="J44" s="46" t="inlineStr">
        <is>
          <t>ĐD</t>
        </is>
      </c>
      <c r="K44" s="254">
        <f>G44*0.05</f>
        <v/>
      </c>
      <c r="L44" s="254">
        <f>IF(H44="NGUYỆN",G44*25%*75%,IF(H44="TOẢN",G44*25%*75%,IF(H44="TÂN",G44*25%*75%,G44*0.25)))</f>
        <v/>
      </c>
    </row>
    <row r="45" customFormat="1" s="22">
      <c r="A45" s="44" t="n">
        <v>39</v>
      </c>
      <c r="B45" s="165" t="inlineStr">
        <is>
          <t>2026/08/05 08:10</t>
        </is>
      </c>
      <c r="C45" s="155" t="inlineStr">
        <is>
          <t>PHẠM THỊ NHỎ</t>
        </is>
      </c>
      <c r="D45" s="166" t="inlineStr">
        <is>
          <t>18/08/1970</t>
        </is>
      </c>
      <c r="E45" s="168" t="inlineStr">
        <is>
          <t>Hút dịch khớp gối</t>
        </is>
      </c>
      <c r="F45" s="22" t="n">
        <v>1</v>
      </c>
      <c r="G45" s="253" t="n">
        <v>129600</v>
      </c>
      <c r="H45" s="73" t="inlineStr">
        <is>
          <t>TÚ</t>
        </is>
      </c>
      <c r="I45" s="254">
        <f>L45-K45</f>
        <v/>
      </c>
      <c r="J45" s="46" t="inlineStr">
        <is>
          <t>ĐD</t>
        </is>
      </c>
      <c r="K45" s="254">
        <f>G45*0.05</f>
        <v/>
      </c>
      <c r="L45" s="254">
        <f>IF(H45="NGUYỆN",G45*25%*75%,IF(H45="TOẢN",G45*25%*75%,IF(H45="TÂN",G45*25%*75%,G45*0.25)))</f>
        <v/>
      </c>
    </row>
    <row r="46" customFormat="1" s="22">
      <c r="A46" s="44" t="n">
        <v>40</v>
      </c>
      <c r="B46" s="165" t="inlineStr">
        <is>
          <t>2026/08/05 08:37</t>
        </is>
      </c>
      <c r="C46" s="155" t="inlineStr">
        <is>
          <t>MAI VĂN KHA LY</t>
        </is>
      </c>
      <c r="D46" s="166" t="inlineStr">
        <is>
          <t>20/07/1981</t>
        </is>
      </c>
      <c r="E46" s="168" t="inlineStr">
        <is>
          <t>Hút dịch khớp gối</t>
        </is>
      </c>
      <c r="F46" s="22" t="n">
        <v>1</v>
      </c>
      <c r="G46" s="253" t="n">
        <v>129600</v>
      </c>
      <c r="H46" s="73" t="inlineStr">
        <is>
          <t>TÚ</t>
        </is>
      </c>
      <c r="I46" s="254">
        <f>L46-K46</f>
        <v/>
      </c>
      <c r="J46" s="46" t="inlineStr">
        <is>
          <t>ĐD</t>
        </is>
      </c>
      <c r="K46" s="254">
        <f>G46*0.05</f>
        <v/>
      </c>
      <c r="L46" s="254">
        <f>IF(H46="NGUYỆN",G46*25%*75%,IF(H46="TOẢN",G46*25%*75%,IF(H46="TÂN",G46*25%*75%,G46*0.25)))</f>
        <v/>
      </c>
    </row>
    <row r="47" customFormat="1" s="22">
      <c r="A47" s="44" t="n">
        <v>41</v>
      </c>
      <c r="B47" s="165" t="inlineStr">
        <is>
          <t>2026/08/05 10:41</t>
        </is>
      </c>
      <c r="C47" s="155" t="inlineStr">
        <is>
          <t>THẠCH NGUYỄN XUÂN NGỌC</t>
        </is>
      </c>
      <c r="D47" s="166" t="inlineStr">
        <is>
          <t>08/12/2001</t>
        </is>
      </c>
      <c r="E47" s="168" t="inlineStr">
        <is>
          <t>Tiêm gân Dequervein</t>
        </is>
      </c>
      <c r="F47" s="22" t="n">
        <v>1</v>
      </c>
      <c r="G47" s="253" t="n">
        <v>300000</v>
      </c>
      <c r="H47" s="73" t="inlineStr">
        <is>
          <t>DUY</t>
        </is>
      </c>
      <c r="I47" s="254">
        <f>L47-K47</f>
        <v/>
      </c>
      <c r="J47" s="46" t="inlineStr">
        <is>
          <t>ĐD</t>
        </is>
      </c>
      <c r="K47" s="254">
        <f>G47*0.05</f>
        <v/>
      </c>
      <c r="L47" s="254">
        <f>IF(H47="NGUYỆN",G47*25%*75%,IF(H47="TOẢN",G47*25%*75%,IF(H47="TÂN",G47*25%*75%,G47*0.25)))</f>
        <v/>
      </c>
    </row>
    <row r="48" customFormat="1" s="22">
      <c r="A48" s="44" t="n">
        <v>42</v>
      </c>
      <c r="B48" s="165" t="inlineStr">
        <is>
          <t>2026/08/05 14:03</t>
        </is>
      </c>
      <c r="C48" s="155" t="inlineStr">
        <is>
          <t>NGUYỄN TUYẾT HẠNH</t>
        </is>
      </c>
      <c r="D48" s="166" t="inlineStr">
        <is>
          <t>01/01/1979</t>
        </is>
      </c>
      <c r="E48" s="168" t="inlineStr">
        <is>
          <t>Tiêm gân Dequervein</t>
        </is>
      </c>
      <c r="F48" s="22" t="n">
        <v>1</v>
      </c>
      <c r="G48" s="253" t="n">
        <v>300000</v>
      </c>
      <c r="H48" s="73" t="inlineStr">
        <is>
          <t>DUY</t>
        </is>
      </c>
      <c r="I48" s="254">
        <f>L48-K48</f>
        <v/>
      </c>
      <c r="J48" s="46" t="inlineStr">
        <is>
          <t>ĐD</t>
        </is>
      </c>
      <c r="K48" s="254">
        <f>G48*0.05</f>
        <v/>
      </c>
      <c r="L48" s="254">
        <f>IF(H48="NGUYỆN",G48*25%*75%,IF(H48="TOẢN",G48*25%*75%,IF(H48="TÂN",G48*25%*75%,G48*0.25)))</f>
        <v/>
      </c>
    </row>
    <row r="49" customFormat="1" s="22">
      <c r="A49" s="44" t="n">
        <v>43</v>
      </c>
      <c r="B49" s="165" t="inlineStr">
        <is>
          <t>2026/08/05 15:11</t>
        </is>
      </c>
      <c r="C49" s="155" t="inlineStr">
        <is>
          <t>HUỲNH THỊ THÙY</t>
        </is>
      </c>
      <c r="D49" s="166" t="inlineStr">
        <is>
          <t>20/11/2002</t>
        </is>
      </c>
      <c r="E49" s="168" t="inlineStr">
        <is>
          <t>Mắt cá 1-2 thương tổn</t>
        </is>
      </c>
      <c r="F49" s="22" t="n">
        <v>1</v>
      </c>
      <c r="G49" s="253" t="n">
        <v>500000</v>
      </c>
      <c r="H49" s="73" t="inlineStr">
        <is>
          <t>TÚ</t>
        </is>
      </c>
      <c r="I49" s="254">
        <f>L49-K49</f>
        <v/>
      </c>
      <c r="J49" s="46" t="inlineStr">
        <is>
          <t>ĐD</t>
        </is>
      </c>
      <c r="K49" s="254">
        <f>G49*0.05</f>
        <v/>
      </c>
      <c r="L49" s="254">
        <f>IF(H49="NGUYỆN",G49*25%*75%,IF(H49="TOẢN",G49*25%*75%,IF(H49="TÂN",G49*25%*75%,G49*0.25)))</f>
        <v/>
      </c>
    </row>
    <row r="50" customFormat="1" s="22">
      <c r="A50" s="44" t="n">
        <v>44</v>
      </c>
      <c r="B50" s="165" t="inlineStr">
        <is>
          <t>2026/08/06 07:32</t>
        </is>
      </c>
      <c r="C50" s="155" t="inlineStr">
        <is>
          <t>NGUYỄN THỊ THÙY TRANG</t>
        </is>
      </c>
      <c r="D50" s="166" t="inlineStr">
        <is>
          <t>16/04/1967</t>
        </is>
      </c>
      <c r="E50" s="168" t="inlineStr">
        <is>
          <t>Tiêm khớp gối</t>
        </is>
      </c>
      <c r="F50" s="22" t="n">
        <v>1</v>
      </c>
      <c r="G50" s="253" t="n">
        <v>104400</v>
      </c>
      <c r="H50" s="73" t="inlineStr">
        <is>
          <t>HOAN</t>
        </is>
      </c>
      <c r="I50" s="254">
        <f>L50-K50</f>
        <v/>
      </c>
      <c r="J50" s="46" t="inlineStr">
        <is>
          <t>ĐD</t>
        </is>
      </c>
      <c r="K50" s="254">
        <f>G50*0.05</f>
        <v/>
      </c>
      <c r="L50" s="254">
        <f>IF(H50="NGUYỆN",G50*25%*75%,IF(H50="TOẢN",G50*25%*75%,IF(H50="TÂN",G50*25%*75%,G50*0.25)))</f>
        <v/>
      </c>
    </row>
    <row r="51" customFormat="1" s="22">
      <c r="A51" s="44" t="n">
        <v>45</v>
      </c>
      <c r="B51" s="165" t="inlineStr">
        <is>
          <t>2026/08/07 08:30</t>
        </is>
      </c>
      <c r="C51" s="155" t="inlineStr">
        <is>
          <t>ĐỔ CÔNG HIẾU</t>
        </is>
      </c>
      <c r="D51" s="166" t="inlineStr">
        <is>
          <t>01/01/1968</t>
        </is>
      </c>
      <c r="E51" s="168" t="inlineStr">
        <is>
          <t>Hút ổ viêm/áp xe phần mềm</t>
        </is>
      </c>
      <c r="F51" s="22" t="n">
        <v>1</v>
      </c>
      <c r="G51" s="253" t="n">
        <v>418000</v>
      </c>
      <c r="H51" s="73" t="inlineStr">
        <is>
          <t>G.TỬ</t>
        </is>
      </c>
      <c r="I51" s="254">
        <f>L51-K51</f>
        <v/>
      </c>
      <c r="J51" s="46" t="inlineStr">
        <is>
          <t>ĐD</t>
        </is>
      </c>
      <c r="K51" s="254">
        <f>G51*0.05</f>
        <v/>
      </c>
      <c r="L51" s="254">
        <f>IF(H51="NGUYỆN",G51*25%*75%,IF(H51="TOẢN",G51*25%*75%,IF(H51="TÂN",G51*25%*75%,G51*0.25)))</f>
        <v/>
      </c>
    </row>
    <row r="52" customFormat="1" s="22">
      <c r="A52" s="44" t="n">
        <v>46</v>
      </c>
      <c r="B52" s="165" t="inlineStr">
        <is>
          <t>2026/08/07 13:43</t>
        </is>
      </c>
      <c r="C52" s="155" t="inlineStr">
        <is>
          <t>NGUYỄN THU THỦY</t>
        </is>
      </c>
      <c r="D52" s="166" t="inlineStr">
        <is>
          <t>01/01/1967</t>
        </is>
      </c>
      <c r="E52" s="168" t="inlineStr">
        <is>
          <t>Hút ổ viêm/áp xe phần mềm</t>
        </is>
      </c>
      <c r="F52" s="22" t="n">
        <v>1</v>
      </c>
      <c r="G52" s="253" t="n">
        <v>126700</v>
      </c>
      <c r="H52" s="73" t="inlineStr">
        <is>
          <t>G.TỬ</t>
        </is>
      </c>
      <c r="I52" s="254">
        <f>L52-K52</f>
        <v/>
      </c>
      <c r="J52" s="46" t="inlineStr">
        <is>
          <t>ĐD</t>
        </is>
      </c>
      <c r="K52" s="254">
        <f>G52*0.05</f>
        <v/>
      </c>
      <c r="L52" s="254">
        <f>IF(H52="NGUYỆN",G52*25%*75%,IF(H52="TOẢN",G52*25%*75%,IF(H52="TÂN",G52*25%*75%,G52*0.25)))</f>
        <v/>
      </c>
    </row>
    <row r="53" customFormat="1" s="22">
      <c r="A53" s="44" t="n">
        <v>47</v>
      </c>
      <c r="B53" s="165" t="inlineStr">
        <is>
          <t>2026/08/07 08:50</t>
        </is>
      </c>
      <c r="C53" s="155" t="inlineStr">
        <is>
          <t>NGUYỄN THỊ LOAN</t>
        </is>
      </c>
      <c r="D53" s="166" t="inlineStr">
        <is>
          <t>01/01/1972</t>
        </is>
      </c>
      <c r="E53" s="168" t="inlineStr">
        <is>
          <t>Hút ổ viêm/áp xe phần mềm</t>
        </is>
      </c>
      <c r="F53" s="22" t="n">
        <v>1</v>
      </c>
      <c r="G53" s="253" t="n">
        <v>418000</v>
      </c>
      <c r="H53" s="73" t="inlineStr">
        <is>
          <t>G.TỬ</t>
        </is>
      </c>
      <c r="I53" s="254">
        <f>L53-K53</f>
        <v/>
      </c>
      <c r="J53" s="46" t="inlineStr">
        <is>
          <t>ĐD</t>
        </is>
      </c>
      <c r="K53" s="254">
        <f>G53*0.05</f>
        <v/>
      </c>
      <c r="L53" s="254">
        <f>IF(H53="NGUYỆN",G53*25%*75%,IF(H53="TOẢN",G53*25%*75%,IF(H53="TÂN",G53*25%*75%,G53*0.25)))</f>
        <v/>
      </c>
    </row>
    <row r="54" customFormat="1" s="22">
      <c r="A54" s="44" t="n">
        <v>48</v>
      </c>
      <c r="B54" s="165" t="inlineStr">
        <is>
          <t>2026/08/10 10:11</t>
        </is>
      </c>
      <c r="C54" s="155" t="inlineStr">
        <is>
          <t>NGUYỄN THANH PHƯƠNG</t>
        </is>
      </c>
      <c r="D54" s="166" t="inlineStr">
        <is>
          <t>01/07/1983</t>
        </is>
      </c>
      <c r="E54" s="168" t="inlineStr">
        <is>
          <t>Hút ổ viêm/áp xe phần mềm dưới hướng dẫn của siêu âm</t>
        </is>
      </c>
      <c r="F54" s="22" t="n">
        <v>1</v>
      </c>
      <c r="G54" s="253" t="n">
        <v>171900</v>
      </c>
      <c r="H54" s="73" t="inlineStr">
        <is>
          <t>SƠN</t>
        </is>
      </c>
      <c r="I54" s="254">
        <f>L54-K54</f>
        <v/>
      </c>
      <c r="J54" s="46" t="inlineStr">
        <is>
          <t>ĐD</t>
        </is>
      </c>
      <c r="K54" s="254">
        <f>G54*0.05</f>
        <v/>
      </c>
      <c r="L54" s="254">
        <f>IF(H54="NGUYỆN",G54*25%*75%,IF(H54="TOẢN",G54*25%*75%,IF(H54="TÂN",G54*25%*75%,G54*0.25)))</f>
        <v/>
      </c>
    </row>
    <row r="55">
      <c r="A55" s="44" t="n">
        <v>49</v>
      </c>
      <c r="B55" s="165" t="inlineStr">
        <is>
          <t>2026/08/10 10:29</t>
        </is>
      </c>
      <c r="C55" s="155" t="inlineStr">
        <is>
          <t>NGUYỄN VĂN TĂNG</t>
        </is>
      </c>
      <c r="D55" s="166" t="inlineStr">
        <is>
          <t>01/01/1943</t>
        </is>
      </c>
      <c r="E55" s="168" t="inlineStr">
        <is>
          <t>Hút ổ viêm/áp xe phần mềm</t>
        </is>
      </c>
      <c r="F55" s="22" t="n">
        <v>1</v>
      </c>
      <c r="G55" s="253" t="n">
        <v>126700</v>
      </c>
      <c r="H55" s="73" t="inlineStr">
        <is>
          <t>BẢO</t>
        </is>
      </c>
      <c r="I55" s="254">
        <f>L55-K55</f>
        <v/>
      </c>
      <c r="J55" s="46" t="inlineStr">
        <is>
          <t>ĐD</t>
        </is>
      </c>
      <c r="K55" s="254">
        <f>G55*0.05</f>
        <v/>
      </c>
      <c r="L55" s="254">
        <f>IF(H55="NGUYỆN",G55*25%*75%,IF(H55="TOẢN",G55*25%*75%,IF(H55="TÂN",G55*25%*75%,G55*0.25)))</f>
        <v/>
      </c>
    </row>
    <row r="56">
      <c r="A56" s="44" t="n">
        <v>50</v>
      </c>
      <c r="B56" s="165" t="inlineStr">
        <is>
          <t>2026/08/10 08:44</t>
        </is>
      </c>
      <c r="C56" s="155" t="inlineStr">
        <is>
          <t>PHẠM THỊ HỒNG CHÂU</t>
        </is>
      </c>
      <c r="D56" s="166" t="inlineStr">
        <is>
          <t>01/01/1972</t>
        </is>
      </c>
      <c r="E56" s="168" t="inlineStr">
        <is>
          <t>Tiêm gân gấp ngón tay</t>
        </is>
      </c>
      <c r="F56" s="22" t="n">
        <v>1</v>
      </c>
      <c r="G56" s="253" t="n">
        <v>384000</v>
      </c>
      <c r="H56" s="73" t="n"/>
      <c r="I56" s="254">
        <f>L56-K56</f>
        <v/>
      </c>
      <c r="J56" s="46" t="inlineStr">
        <is>
          <t>ĐD</t>
        </is>
      </c>
      <c r="K56" s="254">
        <f>G56*0.05</f>
        <v/>
      </c>
      <c r="L56" s="254">
        <f>IF(H56="NGUYỆN",G56*25%*75%,IF(H56="TOẢN",G56*25%*75%,IF(H56="TÂN",G56*25%*75%,G56*0.25)))</f>
        <v/>
      </c>
    </row>
    <row r="57">
      <c r="A57" s="44" t="n">
        <v>51</v>
      </c>
      <c r="B57" s="165" t="inlineStr">
        <is>
          <t>2026/08/10 08:59</t>
        </is>
      </c>
      <c r="C57" s="155" t="inlineStr">
        <is>
          <t>NGUYỄN VĂN TOÀN</t>
        </is>
      </c>
      <c r="D57" s="166" t="inlineStr">
        <is>
          <t>30/01/2008</t>
        </is>
      </c>
      <c r="E57" s="168" t="inlineStr">
        <is>
          <t>Hút ổ viêm/áp xe phần mềm</t>
        </is>
      </c>
      <c r="F57" s="22" t="n">
        <v>1</v>
      </c>
      <c r="G57" s="253" t="n">
        <v>418000</v>
      </c>
      <c r="H57" s="73" t="n"/>
      <c r="I57" s="254">
        <f>L57-K57</f>
        <v/>
      </c>
      <c r="J57" s="46" t="inlineStr">
        <is>
          <t>ĐD</t>
        </is>
      </c>
      <c r="K57" s="254">
        <f>G57*0.05</f>
        <v/>
      </c>
      <c r="L57" s="254">
        <f>IF(H57="NGUYỆN",G57*25%*75%,IF(H57="TOẢN",G57*25%*75%,IF(H57="TÂN",G57*25%*75%,G57*0.25)))</f>
        <v/>
      </c>
    </row>
    <row r="58">
      <c r="A58" s="44" t="n">
        <v>52</v>
      </c>
      <c r="B58" s="165" t="inlineStr">
        <is>
          <t>2026/08/10 08:55</t>
        </is>
      </c>
      <c r="C58" s="155" t="inlineStr">
        <is>
          <t>LÊ NGUYỄN TẤN LỘC</t>
        </is>
      </c>
      <c r="D58" s="166" t="inlineStr">
        <is>
          <t>15/12/1984</t>
        </is>
      </c>
      <c r="E58" s="168" t="inlineStr">
        <is>
          <t>Tiêm gân lồi cầu cánh tay trong/ngoài</t>
        </is>
      </c>
      <c r="F58" s="22" t="n">
        <v>1</v>
      </c>
      <c r="G58" s="253" t="n">
        <v>300000</v>
      </c>
      <c r="H58" s="73" t="n"/>
      <c r="I58" s="254">
        <f>L58-K58</f>
        <v/>
      </c>
      <c r="J58" s="46" t="inlineStr">
        <is>
          <t>ĐD</t>
        </is>
      </c>
      <c r="K58" s="254">
        <f>G58*0.05</f>
        <v/>
      </c>
      <c r="L58" s="254">
        <f>IF(H58="NGUYỆN",G58*25%*75%,IF(H58="TOẢN",G58*25%*75%,IF(H58="TÂN",G58*25%*75%,G58*0.25)))</f>
        <v/>
      </c>
    </row>
    <row r="59">
      <c r="A59" s="44" t="n">
        <v>53</v>
      </c>
      <c r="B59" s="165" t="inlineStr">
        <is>
          <t>2026/08/10 14:34</t>
        </is>
      </c>
      <c r="C59" s="155" t="inlineStr">
        <is>
          <t>NGUYỄN ĐÌNH BẢO THU</t>
        </is>
      </c>
      <c r="D59" s="166" t="inlineStr">
        <is>
          <t>01/01/1976</t>
        </is>
      </c>
      <c r="E59" s="168" t="inlineStr">
        <is>
          <t>Khâu vết thương phần mềm dài dưới 10 cm [tổn thương nông]</t>
        </is>
      </c>
      <c r="F59" s="22" t="n">
        <v>1</v>
      </c>
      <c r="G59" s="253" t="n">
        <v>500000</v>
      </c>
      <c r="H59" s="73" t="n"/>
      <c r="I59" s="254">
        <f>L59-K59</f>
        <v/>
      </c>
      <c r="J59" s="46" t="inlineStr">
        <is>
          <t>ĐD</t>
        </is>
      </c>
      <c r="K59" s="254">
        <f>G59*0.05</f>
        <v/>
      </c>
      <c r="L59" s="254">
        <f>IF(H59="NGUYỆN",G59*25%*75%,IF(H59="TOẢN",G59*25%*75%,IF(H59="TÂN",G59*25%*75%,G59*0.25)))</f>
        <v/>
      </c>
    </row>
    <row r="60">
      <c r="A60" s="44" t="n">
        <v>54</v>
      </c>
      <c r="B60" s="165" t="inlineStr">
        <is>
          <t>2026/08/10 10:40</t>
        </is>
      </c>
      <c r="C60" s="155" t="inlineStr">
        <is>
          <t>CAO THỊ BÍCH NGỌC</t>
        </is>
      </c>
      <c r="D60" s="166" t="inlineStr">
        <is>
          <t>01/01/1962</t>
        </is>
      </c>
      <c r="E60" s="168" t="inlineStr">
        <is>
          <t>Hút ổ viêm/áp xe phần mềm</t>
        </is>
      </c>
      <c r="F60" s="22" t="n">
        <v>1</v>
      </c>
      <c r="G60" s="253" t="n">
        <v>418000</v>
      </c>
      <c r="H60" s="73" t="n"/>
      <c r="I60" s="254">
        <f>L60-K60</f>
        <v/>
      </c>
      <c r="J60" s="46" t="inlineStr">
        <is>
          <t>ĐD</t>
        </is>
      </c>
      <c r="K60" s="254">
        <f>G60*0.05</f>
        <v/>
      </c>
      <c r="L60" s="254">
        <f>IF(H60="NGUYỆN",G60*25%*75%,IF(H60="TOẢN",G60*25%*75%,IF(H60="TÂN",G60*25%*75%,G60*0.25)))</f>
        <v/>
      </c>
    </row>
    <row r="61">
      <c r="A61" s="44" t="n">
        <v>55</v>
      </c>
      <c r="B61" s="165" t="inlineStr">
        <is>
          <t>2026/08/10 15:07</t>
        </is>
      </c>
      <c r="C61" s="155" t="inlineStr">
        <is>
          <t>LÊ KIM OANH</t>
        </is>
      </c>
      <c r="D61" s="166" t="inlineStr">
        <is>
          <t>01/01/1973</t>
        </is>
      </c>
      <c r="E61" s="168" t="inlineStr">
        <is>
          <t>Tiêm gân Dequervein</t>
        </is>
      </c>
      <c r="F61" s="22" t="n">
        <v>1</v>
      </c>
      <c r="G61" s="253" t="n">
        <v>300000</v>
      </c>
      <c r="H61" s="73" t="inlineStr">
        <is>
          <t>SƠN</t>
        </is>
      </c>
      <c r="I61" s="254">
        <f>L61-K61</f>
        <v/>
      </c>
      <c r="J61" s="46" t="inlineStr">
        <is>
          <t>ĐD</t>
        </is>
      </c>
      <c r="K61" s="254">
        <f>G61*0.05</f>
        <v/>
      </c>
      <c r="L61" s="254">
        <f>IF(H61="NGUYỆN",G61*25%*75%,IF(H61="TOẢN",G61*25%*75%,IF(H61="TÂN",G61*25%*75%,G61*0.25)))</f>
        <v/>
      </c>
    </row>
    <row r="62">
      <c r="A62" s="44" t="n">
        <v>56</v>
      </c>
      <c r="B62" s="165" t="inlineStr">
        <is>
          <t>2026/08/11 10:42</t>
        </is>
      </c>
      <c r="C62" s="155" t="inlineStr">
        <is>
          <t>NGUYỄN HOÀNG SANG</t>
        </is>
      </c>
      <c r="D62" s="166" t="inlineStr">
        <is>
          <t>01/08/1999</t>
        </is>
      </c>
      <c r="E62" s="168" t="inlineStr">
        <is>
          <t>Hút ổ viêm/áp xe phần mềm</t>
        </is>
      </c>
      <c r="F62" s="22" t="n">
        <v>1</v>
      </c>
      <c r="G62" s="253" t="n">
        <v>418000</v>
      </c>
      <c r="H62" s="73" t="inlineStr">
        <is>
          <t>TOẢN</t>
        </is>
      </c>
      <c r="I62" s="254">
        <f>L62-K62</f>
        <v/>
      </c>
      <c r="J62" s="46" t="inlineStr">
        <is>
          <t>ĐD</t>
        </is>
      </c>
      <c r="K62" s="254">
        <f>G62*0.05</f>
        <v/>
      </c>
      <c r="L62" s="254">
        <f>IF(H62="NGUYỆN",G62*25%*75%,IF(H62="TOẢN",G62*25%*75%,IF(H62="TÂN",G62*25%*75%,G62*0.25)))</f>
        <v/>
      </c>
    </row>
    <row r="63">
      <c r="A63" s="44" t="n">
        <v>57</v>
      </c>
      <c r="B63" s="165" t="inlineStr">
        <is>
          <t>2026/08/11 14:25</t>
        </is>
      </c>
      <c r="C63" s="155" t="inlineStr">
        <is>
          <t>NGUYỄN VĂN HẢI</t>
        </is>
      </c>
      <c r="D63" s="166" t="inlineStr">
        <is>
          <t>09/02/1991</t>
        </is>
      </c>
      <c r="E63" s="168" t="inlineStr">
        <is>
          <t>Hút ổ viêm/áp xe phần mềm</t>
        </is>
      </c>
      <c r="F63" s="22" t="n">
        <v>1</v>
      </c>
      <c r="G63" s="253" t="n">
        <v>418000</v>
      </c>
      <c r="H63" s="73" t="inlineStr">
        <is>
          <t>TOẢN</t>
        </is>
      </c>
      <c r="I63" s="254">
        <f>L63-K63</f>
        <v/>
      </c>
      <c r="J63" s="46" t="inlineStr">
        <is>
          <t>ĐD</t>
        </is>
      </c>
      <c r="K63" s="254">
        <f>G63*0.05</f>
        <v/>
      </c>
      <c r="L63" s="254">
        <f>IF(H63="NGUYỆN",G63*25%*75%,IF(H63="TOẢN",G63*25%*75%,IF(H63="TÂN",G63*25%*75%,G63*0.25)))</f>
        <v/>
      </c>
    </row>
    <row r="64">
      <c r="A64" s="44" t="n">
        <v>58</v>
      </c>
      <c r="B64" s="165" t="inlineStr">
        <is>
          <t>2026/08/12 09:33</t>
        </is>
      </c>
      <c r="C64" s="155" t="inlineStr">
        <is>
          <t>NGUYỄN THỊ CẨM VÂN</t>
        </is>
      </c>
      <c r="D64" s="166" t="inlineStr">
        <is>
          <t>01/01/1969</t>
        </is>
      </c>
      <c r="E64" s="168" t="inlineStr">
        <is>
          <t>Hút ổ viêm/áp xe phần mềm</t>
        </is>
      </c>
      <c r="F64" s="22" t="n">
        <v>1</v>
      </c>
      <c r="G64" s="253" t="n">
        <v>418000</v>
      </c>
      <c r="H64" s="73" t="inlineStr">
        <is>
          <t>V.TÂN</t>
        </is>
      </c>
      <c r="I64" s="254">
        <f>L64-K64</f>
        <v/>
      </c>
      <c r="J64" s="46" t="inlineStr">
        <is>
          <t>ĐD</t>
        </is>
      </c>
      <c r="K64" s="254">
        <f>G64*0.05</f>
        <v/>
      </c>
      <c r="L64" s="254">
        <f>IF(H64="NGUYỆN",G64*25%*75%,IF(H64="TOẢN",G64*25%*75%,IF(H64="TÂN",G64*25%*75%,G64*0.25)))</f>
        <v/>
      </c>
    </row>
    <row r="65">
      <c r="A65" s="44" t="n">
        <v>59</v>
      </c>
      <c r="B65" s="165" t="inlineStr">
        <is>
          <t>2026/08/12 08:02</t>
        </is>
      </c>
      <c r="C65" s="155" t="inlineStr">
        <is>
          <t>NGUYỄN THANH MAI</t>
        </is>
      </c>
      <c r="D65" s="166" t="inlineStr">
        <is>
          <t>12/03/1953</t>
        </is>
      </c>
      <c r="E65" s="168" t="inlineStr">
        <is>
          <t>Khâu vết thương phần mềm dài dưới 10 cm [tổn thương nông]</t>
        </is>
      </c>
      <c r="F65" s="22" t="n">
        <v>1</v>
      </c>
      <c r="G65" s="253" t="n">
        <v>194700</v>
      </c>
      <c r="H65" s="73" t="inlineStr">
        <is>
          <t>DUY</t>
        </is>
      </c>
      <c r="I65" s="254">
        <f>L65-K65</f>
        <v/>
      </c>
      <c r="J65" s="46" t="inlineStr">
        <is>
          <t>ĐD</t>
        </is>
      </c>
      <c r="K65" s="254">
        <f>G65*0.05</f>
        <v/>
      </c>
      <c r="L65" s="254">
        <f>IF(H65="NGUYỆN",G65*25%*75%,IF(H65="TOẢN",G65*25%*75%,IF(H65="TÂN",G65*25%*75%,G65*0.25)))</f>
        <v/>
      </c>
    </row>
    <row r="66">
      <c r="A66" s="44" t="n">
        <v>60</v>
      </c>
      <c r="B66" s="165" t="inlineStr">
        <is>
          <t>2026/08/12 08:00</t>
        </is>
      </c>
      <c r="C66" s="155" t="inlineStr">
        <is>
          <t>CAO VĂN BA</t>
        </is>
      </c>
      <c r="D66" s="166" t="inlineStr">
        <is>
          <t>01/01/1952</t>
        </is>
      </c>
      <c r="E66" s="168" t="inlineStr">
        <is>
          <t>Hút ổ viêm/áp xe phần mềm</t>
        </is>
      </c>
      <c r="F66" s="22" t="n">
        <v>1</v>
      </c>
      <c r="G66" s="253" t="n">
        <v>126700</v>
      </c>
      <c r="H66" s="73" t="inlineStr">
        <is>
          <t>V.TÂN</t>
        </is>
      </c>
      <c r="I66" s="254">
        <f>L66-K66</f>
        <v/>
      </c>
      <c r="J66" s="46" t="inlineStr">
        <is>
          <t>ĐD</t>
        </is>
      </c>
      <c r="K66" s="254">
        <f>G66*0.05</f>
        <v/>
      </c>
      <c r="L66" s="254">
        <f>IF(H66="NGUYỆN",G66*25%*75%,IF(H66="TOẢN",G66*25%*75%,IF(H66="TÂN",G66*25%*75%,G66*0.25)))</f>
        <v/>
      </c>
    </row>
    <row r="67">
      <c r="A67" s="44" t="n">
        <v>61</v>
      </c>
      <c r="B67" s="165" t="inlineStr">
        <is>
          <t>2026/08/12 08:05</t>
        </is>
      </c>
      <c r="C67" s="155" t="inlineStr">
        <is>
          <t>NGUYỄN THỊ KIM CHI</t>
        </is>
      </c>
      <c r="D67" s="166" t="inlineStr">
        <is>
          <t>18/01/1974</t>
        </is>
      </c>
      <c r="E67" s="168" t="inlineStr">
        <is>
          <t>Tiêm gân Dequervein</t>
        </is>
      </c>
      <c r="F67" s="22" t="n">
        <v>1</v>
      </c>
      <c r="G67" s="253" t="n">
        <v>300000</v>
      </c>
      <c r="H67" s="73" t="inlineStr">
        <is>
          <t>DUY</t>
        </is>
      </c>
      <c r="I67" s="254">
        <f>L67-K67</f>
        <v/>
      </c>
      <c r="J67" s="46" t="inlineStr">
        <is>
          <t>ĐD</t>
        </is>
      </c>
      <c r="K67" s="254">
        <f>G67*0.05</f>
        <v/>
      </c>
      <c r="L67" s="254">
        <f>IF(H67="NGUYỆN",G67*25%*75%,IF(H67="TOẢN",G67*25%*75%,IF(H67="TÂN",G67*25%*75%,G67*0.25)))</f>
        <v/>
      </c>
    </row>
    <row r="68">
      <c r="A68" s="44" t="n">
        <v>62</v>
      </c>
      <c r="B68" s="165" t="inlineStr">
        <is>
          <t>2026/08/12 10:22</t>
        </is>
      </c>
      <c r="C68" s="155" t="inlineStr">
        <is>
          <t>NGUYỄN THỊ THẮM</t>
        </is>
      </c>
      <c r="D68" s="166" t="inlineStr">
        <is>
          <t>01/01/1972</t>
        </is>
      </c>
      <c r="E68" s="168" t="inlineStr">
        <is>
          <t>Tiêm gân lồi cầu cánh tay trong/ngoài</t>
        </is>
      </c>
      <c r="F68" s="22" t="n">
        <v>1</v>
      </c>
      <c r="G68" s="253" t="n">
        <v>300000</v>
      </c>
      <c r="H68" s="73" t="inlineStr">
        <is>
          <t>DUY</t>
        </is>
      </c>
      <c r="I68" s="254">
        <f>L68-K68</f>
        <v/>
      </c>
      <c r="J68" s="46" t="inlineStr">
        <is>
          <t>ĐD</t>
        </is>
      </c>
      <c r="K68" s="254">
        <f>G68*0.05</f>
        <v/>
      </c>
      <c r="L68" s="254">
        <f>IF(H68="NGUYỆN",G68*25%*75%,IF(H68="TOẢN",G68*25%*75%,IF(H68="TÂN",G68*25%*75%,G68*0.25)))</f>
        <v/>
      </c>
    </row>
    <row r="69">
      <c r="A69" s="44" t="n">
        <v>63</v>
      </c>
      <c r="B69" s="165" t="inlineStr">
        <is>
          <t>2026/08/12 13:56</t>
        </is>
      </c>
      <c r="C69" s="155" t="inlineStr">
        <is>
          <t>LÂM QUAN NHỰT</t>
        </is>
      </c>
      <c r="D69" s="166" t="inlineStr">
        <is>
          <t>10/03/1997</t>
        </is>
      </c>
      <c r="E69" s="168" t="inlineStr">
        <is>
          <t>Khâu vết thương phần mềm dài dưới 10 cm [tổn thương nông]</t>
        </is>
      </c>
      <c r="F69" s="22" t="n">
        <v>1</v>
      </c>
      <c r="G69" s="253" t="n">
        <v>500000</v>
      </c>
      <c r="H69" s="73" t="inlineStr">
        <is>
          <t>DUY</t>
        </is>
      </c>
      <c r="I69" s="254">
        <f>L69-K69</f>
        <v/>
      </c>
      <c r="J69" s="46" t="inlineStr">
        <is>
          <t>ĐD</t>
        </is>
      </c>
      <c r="K69" s="254">
        <f>G69*0.05</f>
        <v/>
      </c>
      <c r="L69" s="254">
        <f>IF(H69="NGUYỆN",G69*25%*75%,IF(H69="TOẢN",G69*25%*75%,IF(H69="TÂN",G69*25%*75%,G69*0.25)))</f>
        <v/>
      </c>
    </row>
    <row r="70">
      <c r="A70" s="44" t="n">
        <v>64</v>
      </c>
      <c r="B70" s="165" t="inlineStr">
        <is>
          <t>2026/08/13 07:20</t>
        </is>
      </c>
      <c r="C70" s="155" t="inlineStr">
        <is>
          <t>VÕ THỊ OANH</t>
        </is>
      </c>
      <c r="D70" s="166" t="inlineStr">
        <is>
          <t>01/01/1954</t>
        </is>
      </c>
      <c r="E70" s="168" t="inlineStr">
        <is>
          <t>Tiêm gân gấp ngón tay</t>
        </is>
      </c>
      <c r="F70" s="22" t="n">
        <v>1</v>
      </c>
      <c r="G70" s="253" t="n">
        <v>104400</v>
      </c>
      <c r="H70" s="73" t="inlineStr">
        <is>
          <t>HOAN</t>
        </is>
      </c>
      <c r="I70" s="254">
        <f>L70-K70</f>
        <v/>
      </c>
      <c r="J70" s="46" t="inlineStr">
        <is>
          <t>ĐD</t>
        </is>
      </c>
      <c r="K70" s="254">
        <f>G70*0.05</f>
        <v/>
      </c>
      <c r="L70" s="254">
        <f>IF(H70="NGUYỆN",G70*25%*75%,IF(H70="TOẢN",G70*25%*75%,IF(H70="TÂN",G70*25%*75%,G70*0.25)))</f>
        <v/>
      </c>
    </row>
    <row r="71">
      <c r="A71" s="44" t="n">
        <v>65</v>
      </c>
      <c r="B71" s="165" t="inlineStr">
        <is>
          <t>2026/08/17 07:32</t>
        </is>
      </c>
      <c r="C71" s="155" t="inlineStr">
        <is>
          <t>LÂM THỊ CẨM LÌNH</t>
        </is>
      </c>
      <c r="D71" s="166" t="inlineStr">
        <is>
          <t>01/01/1950</t>
        </is>
      </c>
      <c r="E71" s="168" t="inlineStr">
        <is>
          <t>Tiêm khớp gối</t>
        </is>
      </c>
      <c r="F71" s="22" t="n">
        <v>1</v>
      </c>
      <c r="G71" s="253" t="n">
        <v>384000</v>
      </c>
      <c r="H71" s="73" t="inlineStr">
        <is>
          <t>SƠN</t>
        </is>
      </c>
      <c r="I71" s="254">
        <f>L71-K71</f>
        <v/>
      </c>
      <c r="J71" s="46" t="inlineStr">
        <is>
          <t>ĐD</t>
        </is>
      </c>
      <c r="K71" s="254">
        <f>G71*0.05</f>
        <v/>
      </c>
      <c r="L71" s="254">
        <f>IF(H71="NGUYỆN",G71*25%*75%,IF(H71="TOẢN",G71*25%*75%,IF(H71="TÂN",G71*25%*75%,G71*0.25)))</f>
        <v/>
      </c>
    </row>
    <row r="72">
      <c r="A72" s="44" t="n">
        <v>66</v>
      </c>
      <c r="B72" s="165" t="inlineStr">
        <is>
          <t>2026/08/17 08:04</t>
        </is>
      </c>
      <c r="C72" s="155" t="inlineStr">
        <is>
          <t>TRẦN VĂN SANG</t>
        </is>
      </c>
      <c r="D72" s="166" t="inlineStr">
        <is>
          <t>01/01/1975</t>
        </is>
      </c>
      <c r="E72" s="168" t="inlineStr">
        <is>
          <t>Tiêm gân lồi cầu cánh tay trong/ngoài</t>
        </is>
      </c>
      <c r="F72" s="22" t="n">
        <v>1</v>
      </c>
      <c r="G72" s="253" t="n">
        <v>300000</v>
      </c>
      <c r="H72" s="73" t="inlineStr">
        <is>
          <t>BẢO</t>
        </is>
      </c>
      <c r="I72" s="254">
        <f>L72-K72</f>
        <v/>
      </c>
      <c r="J72" s="46" t="inlineStr">
        <is>
          <t>ĐD</t>
        </is>
      </c>
      <c r="K72" s="254">
        <f>G72*0.05</f>
        <v/>
      </c>
      <c r="L72" s="254">
        <f>IF(H72="NGUYỆN",G72*25%*75%,IF(H72="TOẢN",G72*25%*75%,IF(H72="TÂN",G72*25%*75%,G72*0.25)))</f>
        <v/>
      </c>
    </row>
    <row r="73">
      <c r="A73" s="44" t="n">
        <v>67</v>
      </c>
      <c r="B73" s="165" t="inlineStr">
        <is>
          <t>2026/08/18 08:09</t>
        </is>
      </c>
      <c r="C73" s="155" t="inlineStr">
        <is>
          <t>PHẠM MINH HIỀN</t>
        </is>
      </c>
      <c r="D73" s="166" t="inlineStr">
        <is>
          <t>01/01/1970</t>
        </is>
      </c>
      <c r="E73" s="168" t="inlineStr">
        <is>
          <t>Hút ổ viêm/áp xe phần mềm</t>
        </is>
      </c>
      <c r="F73" s="22" t="n">
        <v>1</v>
      </c>
      <c r="G73" s="253" t="n">
        <v>418000</v>
      </c>
      <c r="H73" s="73" t="inlineStr">
        <is>
          <t>TOẢN</t>
        </is>
      </c>
      <c r="I73" s="254">
        <f>L73-K73</f>
        <v/>
      </c>
      <c r="J73" s="46" t="inlineStr">
        <is>
          <t>ĐD</t>
        </is>
      </c>
      <c r="K73" s="254">
        <f>G73*0.05</f>
        <v/>
      </c>
      <c r="L73" s="254">
        <f>IF(H73="NGUYỆN",G73*25%*75%,IF(H73="TOẢN",G73*25%*75%,IF(H73="TÂN",G73*25%*75%,G73*0.25)))</f>
        <v/>
      </c>
    </row>
    <row r="74">
      <c r="A74" s="44" t="n">
        <v>68</v>
      </c>
      <c r="B74" s="165" t="inlineStr">
        <is>
          <t>2026/08/18 07:33</t>
        </is>
      </c>
      <c r="C74" s="155" t="inlineStr">
        <is>
          <t>TRẦN THỊ BÍCH HỒNG</t>
        </is>
      </c>
      <c r="D74" s="166" t="inlineStr">
        <is>
          <t>06/10/1976</t>
        </is>
      </c>
      <c r="E74" s="168" t="inlineStr">
        <is>
          <t>Hút ổ viêm/áp xe phần mềm</t>
        </is>
      </c>
      <c r="F74" s="22" t="n">
        <v>1</v>
      </c>
      <c r="G74" s="253" t="n">
        <v>126700</v>
      </c>
      <c r="H74" s="73" t="inlineStr">
        <is>
          <t>TUẤN</t>
        </is>
      </c>
      <c r="I74" s="254">
        <f>L74-K74</f>
        <v/>
      </c>
      <c r="J74" s="46" t="inlineStr">
        <is>
          <t>ĐD</t>
        </is>
      </c>
      <c r="K74" s="254">
        <f>G74*0.05</f>
        <v/>
      </c>
      <c r="L74" s="254">
        <f>IF(H74="NGUYỆN",G74*25%*75%,IF(H74="TOẢN",G74*25%*75%,IF(H74="TÂN",G74*25%*75%,G74*0.25)))</f>
        <v/>
      </c>
    </row>
    <row r="75">
      <c r="A75" s="44" t="n">
        <v>69</v>
      </c>
      <c r="B75" s="165" t="inlineStr">
        <is>
          <t>2026/08/18 08:40</t>
        </is>
      </c>
      <c r="C75" s="155" t="inlineStr">
        <is>
          <t>ĐẶNG THỊ XƯA</t>
        </is>
      </c>
      <c r="D75" s="166" t="inlineStr">
        <is>
          <t>20/02/1981</t>
        </is>
      </c>
      <c r="E75" s="168" t="inlineStr">
        <is>
          <t>Hút ổ viêm/áp xe phần mềm</t>
        </is>
      </c>
      <c r="F75" s="22" t="n">
        <v>1</v>
      </c>
      <c r="G75" s="253" t="n">
        <v>418000</v>
      </c>
      <c r="H75" s="73" t="inlineStr">
        <is>
          <t>TOẢN</t>
        </is>
      </c>
      <c r="I75" s="254">
        <f>L75-K75</f>
        <v/>
      </c>
      <c r="J75" s="46" t="inlineStr">
        <is>
          <t>ĐD</t>
        </is>
      </c>
      <c r="K75" s="254">
        <f>G75*0.05</f>
        <v/>
      </c>
      <c r="L75" s="254">
        <f>IF(H75="NGUYỆN",G75*25%*75%,IF(H75="TOẢN",G75*25%*75%,IF(H75="TÂN",G75*25%*75%,G75*0.25)))</f>
        <v/>
      </c>
    </row>
    <row r="76">
      <c r="A76" s="44" t="n">
        <v>70</v>
      </c>
      <c r="B76" s="165" t="inlineStr">
        <is>
          <t>2026/08/19 07:43</t>
        </is>
      </c>
      <c r="C76" s="155" t="inlineStr">
        <is>
          <t>VÕ THÚY KIỀU</t>
        </is>
      </c>
      <c r="D76" s="166" t="inlineStr">
        <is>
          <t>03/11/1983</t>
        </is>
      </c>
      <c r="E76" s="168" t="inlineStr">
        <is>
          <t>Tiêm gân lồi cầu cánh tay trong/ngoài</t>
        </is>
      </c>
      <c r="F76" s="22" t="n">
        <v>1</v>
      </c>
      <c r="G76" s="253" t="n">
        <v>300000</v>
      </c>
      <c r="H76" s="73" t="inlineStr">
        <is>
          <t>DUY</t>
        </is>
      </c>
      <c r="I76" s="254">
        <f>L76-K76</f>
        <v/>
      </c>
      <c r="J76" s="46" t="inlineStr">
        <is>
          <t>ĐD</t>
        </is>
      </c>
      <c r="K76" s="254">
        <f>G76*0.05</f>
        <v/>
      </c>
      <c r="L76" s="254">
        <f>IF(H76="NGUYỆN",G76*25%*75%,IF(H76="TOẢN",G76*25%*75%,IF(H76="TÂN",G76*25%*75%,G76*0.25)))</f>
        <v/>
      </c>
    </row>
    <row r="77">
      <c r="A77" s="44" t="n">
        <v>71</v>
      </c>
      <c r="B77" s="165" t="inlineStr">
        <is>
          <t>2026/08/19 08:02</t>
        </is>
      </c>
      <c r="C77" s="155" t="inlineStr">
        <is>
          <t>ĐỖ VĂN NGỌC</t>
        </is>
      </c>
      <c r="D77" s="166" t="inlineStr">
        <is>
          <t>12/03/1964</t>
        </is>
      </c>
      <c r="E77" s="168" t="inlineStr">
        <is>
          <t>Mắt cá 1-2 thương tổn</t>
        </is>
      </c>
      <c r="F77" s="22" t="n">
        <v>1</v>
      </c>
      <c r="G77" s="253" t="n">
        <v>500000</v>
      </c>
      <c r="H77" s="73" t="inlineStr">
        <is>
          <t>TÚ</t>
        </is>
      </c>
      <c r="I77" s="254">
        <f>L77-K77</f>
        <v/>
      </c>
      <c r="J77" s="46" t="inlineStr">
        <is>
          <t>ĐD</t>
        </is>
      </c>
      <c r="K77" s="254">
        <f>G77*0.05</f>
        <v/>
      </c>
      <c r="L77" s="254">
        <f>IF(H77="NGUYỆN",G77*25%*75%,IF(H77="TOẢN",G77*25%*75%,IF(H77="TÂN",G77*25%*75%,G77*0.25)))</f>
        <v/>
      </c>
    </row>
    <row r="78">
      <c r="A78" s="44" t="n">
        <v>72</v>
      </c>
      <c r="B78" s="165" t="inlineStr">
        <is>
          <t>2026/08/19 13:25</t>
        </is>
      </c>
      <c r="C78" s="155" t="inlineStr">
        <is>
          <t>LÊ NHỰT KHÁNH</t>
        </is>
      </c>
      <c r="D78" s="166" t="inlineStr">
        <is>
          <t>07/05/2006</t>
        </is>
      </c>
      <c r="E78" s="168" t="inlineStr">
        <is>
          <t>Hút ổ viêm/áp xe phần mềm</t>
        </is>
      </c>
      <c r="F78" s="22" t="n">
        <v>1</v>
      </c>
      <c r="G78" s="253" t="n">
        <v>126700</v>
      </c>
      <c r="H78" s="73" t="inlineStr">
        <is>
          <t>DUY</t>
        </is>
      </c>
      <c r="I78" s="254">
        <f>L78-K78</f>
        <v/>
      </c>
      <c r="J78" s="46" t="inlineStr">
        <is>
          <t>ĐD</t>
        </is>
      </c>
      <c r="K78" s="254">
        <f>G78*0.05</f>
        <v/>
      </c>
      <c r="L78" s="254">
        <f>IF(H78="NGUYỆN",G78*25%*75%,IF(H78="TOẢN",G78*25%*75%,IF(H78="TÂN",G78*25%*75%,G78*0.25)))</f>
        <v/>
      </c>
    </row>
    <row r="79">
      <c r="A79" s="44" t="n">
        <v>73</v>
      </c>
      <c r="B79" s="165" t="inlineStr">
        <is>
          <t>2026/08/19 14:46</t>
        </is>
      </c>
      <c r="C79" s="155" t="inlineStr">
        <is>
          <t>NGUYỄN THỊ KIM NGÂN</t>
        </is>
      </c>
      <c r="D79" s="166" t="inlineStr">
        <is>
          <t>01/01/2006</t>
        </is>
      </c>
      <c r="E79" s="168" t="inlineStr">
        <is>
          <t>Hút ổ viêm/áp xe phần mềm</t>
        </is>
      </c>
      <c r="F79" s="22" t="n">
        <v>1</v>
      </c>
      <c r="G79" s="253" t="n">
        <v>418000</v>
      </c>
      <c r="H79" s="73" t="inlineStr">
        <is>
          <t>DUY</t>
        </is>
      </c>
      <c r="I79" s="254">
        <f>L79-K79</f>
        <v/>
      </c>
      <c r="J79" s="46" t="inlineStr">
        <is>
          <t>ĐD</t>
        </is>
      </c>
      <c r="K79" s="254">
        <f>G79*0.05</f>
        <v/>
      </c>
      <c r="L79" s="254">
        <f>IF(H79="NGUYỆN",G79*25%*75%,IF(H79="TOẢN",G79*25%*75%,IF(H79="TÂN",G79*25%*75%,G79*0.25)))</f>
        <v/>
      </c>
    </row>
    <row r="80">
      <c r="A80" s="44" t="n">
        <v>74</v>
      </c>
      <c r="B80" s="165" t="inlineStr">
        <is>
          <t>2026/08/19 13:42</t>
        </is>
      </c>
      <c r="C80" s="155" t="inlineStr">
        <is>
          <t>NGUYỄN HỒNG PHƯỢNG</t>
        </is>
      </c>
      <c r="D80" s="166" t="inlineStr">
        <is>
          <t>26/12/1982</t>
        </is>
      </c>
      <c r="E80" s="168" t="inlineStr">
        <is>
          <t>Tiêm gân gót</t>
        </is>
      </c>
      <c r="F80" s="22" t="n">
        <v>1</v>
      </c>
      <c r="G80" s="253" t="n">
        <v>300000</v>
      </c>
      <c r="H80" s="73" t="inlineStr">
        <is>
          <t>DUY</t>
        </is>
      </c>
      <c r="I80" s="254">
        <f>L80-K80</f>
        <v/>
      </c>
      <c r="J80" s="46" t="inlineStr">
        <is>
          <t>ĐD</t>
        </is>
      </c>
      <c r="K80" s="254">
        <f>G80*0.05</f>
        <v/>
      </c>
      <c r="L80" s="254">
        <f>IF(H80="NGUYỆN",G80*25%*75%,IF(H80="TOẢN",G80*25%*75%,IF(H80="TÂN",G80*25%*75%,G80*0.25)))</f>
        <v/>
      </c>
    </row>
    <row r="81">
      <c r="A81" s="44" t="n">
        <v>75</v>
      </c>
      <c r="B81" s="165" t="inlineStr">
        <is>
          <t>2026/08/19 16:50</t>
        </is>
      </c>
      <c r="C81" s="155" t="inlineStr">
        <is>
          <t>LÊ MINH TÔN</t>
        </is>
      </c>
      <c r="D81" s="166" t="inlineStr">
        <is>
          <t>10/10/1964</t>
        </is>
      </c>
      <c r="E81" s="168" t="inlineStr">
        <is>
          <t>Tiêm khớp vai</t>
        </is>
      </c>
      <c r="F81" s="22" t="n">
        <v>1</v>
      </c>
      <c r="G81" s="253" t="n">
        <v>104400</v>
      </c>
      <c r="H81" s="73" t="inlineStr">
        <is>
          <t>DUY</t>
        </is>
      </c>
      <c r="I81" s="254">
        <f>L81-K81</f>
        <v/>
      </c>
      <c r="J81" s="46" t="inlineStr">
        <is>
          <t>ĐD</t>
        </is>
      </c>
      <c r="K81" s="254">
        <f>G81*0.05</f>
        <v/>
      </c>
      <c r="L81" s="254">
        <f>IF(H81="NGUYỆN",G81*25%*75%,IF(H81="TOẢN",G81*25%*75%,IF(H81="TÂN",G81*25%*75%,G81*0.25)))</f>
        <v/>
      </c>
    </row>
    <row r="82">
      <c r="A82" s="44" t="n">
        <v>76</v>
      </c>
      <c r="B82" s="165" t="inlineStr">
        <is>
          <t>2026/08/19 14:49</t>
        </is>
      </c>
      <c r="C82" s="155" t="inlineStr">
        <is>
          <t>NGUYỄN TIẾN THÀNH</t>
        </is>
      </c>
      <c r="D82" s="166" t="inlineStr">
        <is>
          <t>24/04/2002</t>
        </is>
      </c>
      <c r="E82" s="168" t="inlineStr">
        <is>
          <t>Khâu vết thương phần mềm dài dưới 10 cm [tổn thương nông]</t>
        </is>
      </c>
      <c r="F82" s="22" t="n">
        <v>1</v>
      </c>
      <c r="G82" s="253" t="n">
        <v>500000</v>
      </c>
      <c r="H82" s="73" t="inlineStr">
        <is>
          <t>DUY</t>
        </is>
      </c>
      <c r="I82" s="254">
        <f>L82-K82</f>
        <v/>
      </c>
      <c r="J82" s="46" t="inlineStr">
        <is>
          <t>ĐD</t>
        </is>
      </c>
      <c r="K82" s="254">
        <f>G82*0.05</f>
        <v/>
      </c>
      <c r="L82" s="254">
        <f>IF(H82="NGUYỆN",G82*25%*75%,IF(H82="TOẢN",G82*25%*75%,IF(H82="TÂN",G82*25%*75%,G82*0.25)))</f>
        <v/>
      </c>
    </row>
    <row r="83">
      <c r="A83" s="44" t="n">
        <v>77</v>
      </c>
      <c r="B83" s="165" t="inlineStr">
        <is>
          <t>2026/08/19 16:01</t>
        </is>
      </c>
      <c r="C83" s="155" t="inlineStr">
        <is>
          <t>PHẠM VĂN TUẤN</t>
        </is>
      </c>
      <c r="D83" s="166" t="inlineStr">
        <is>
          <t>01/01/1982</t>
        </is>
      </c>
      <c r="E83" s="168" t="inlineStr">
        <is>
          <t>Tiêm gân lồi cầu cánh tay trong/ngoài</t>
        </is>
      </c>
      <c r="F83" s="22" t="n">
        <v>1</v>
      </c>
      <c r="G83" s="253" t="n">
        <v>300000</v>
      </c>
      <c r="H83" s="73" t="inlineStr">
        <is>
          <t>DUY</t>
        </is>
      </c>
      <c r="I83" s="254">
        <f>L83-K83</f>
        <v/>
      </c>
      <c r="J83" s="46" t="inlineStr">
        <is>
          <t>ĐD</t>
        </is>
      </c>
      <c r="K83" s="254">
        <f>G83*0.05</f>
        <v/>
      </c>
      <c r="L83" s="254">
        <f>IF(H83="NGUYỆN",G83*25%*75%,IF(H83="TOẢN",G83*25%*75%,IF(H83="TÂN",G83*25%*75%,G83*0.25)))</f>
        <v/>
      </c>
    </row>
    <row r="84">
      <c r="A84" s="44" t="n">
        <v>78</v>
      </c>
      <c r="B84" s="165" t="inlineStr">
        <is>
          <t>2026/08/20 08:59</t>
        </is>
      </c>
      <c r="C84" s="155" t="inlineStr">
        <is>
          <t>HỒ THỊ THIỆT</t>
        </is>
      </c>
      <c r="D84" s="166" t="inlineStr">
        <is>
          <t>01/01/1972</t>
        </is>
      </c>
      <c r="E84" s="168" t="inlineStr">
        <is>
          <t>Tiêm gân Dequervein</t>
        </is>
      </c>
      <c r="F84" s="22" t="n">
        <v>1</v>
      </c>
      <c r="G84" s="253" t="n">
        <v>300000</v>
      </c>
      <c r="H84" s="73" t="inlineStr">
        <is>
          <t>ĐIỀN</t>
        </is>
      </c>
      <c r="I84" s="254">
        <f>L84-K84</f>
        <v/>
      </c>
      <c r="J84" s="46" t="inlineStr">
        <is>
          <t>ĐD</t>
        </is>
      </c>
      <c r="K84" s="254">
        <f>G84*0.05</f>
        <v/>
      </c>
      <c r="L84" s="254">
        <f>IF(H84="NGUYỆN",G84*25%*75%,IF(H84="TOẢN",G84*25%*75%,IF(H84="TÂN",G84*25%*75%,G84*0.25)))</f>
        <v/>
      </c>
    </row>
    <row r="85">
      <c r="A85" s="44" t="n">
        <v>79</v>
      </c>
      <c r="B85" s="165" t="inlineStr">
        <is>
          <t>2026/08/20 07:58</t>
        </is>
      </c>
      <c r="C85" s="155" t="inlineStr">
        <is>
          <t>NGUYỄN THỊ TUYẾT HỒNG</t>
        </is>
      </c>
      <c r="D85" s="166" t="inlineStr">
        <is>
          <t>15/07/1969</t>
        </is>
      </c>
      <c r="E85" s="168" t="inlineStr">
        <is>
          <t>Tiêm gân gấp ngón tay</t>
        </is>
      </c>
      <c r="F85" s="22" t="n">
        <v>1</v>
      </c>
      <c r="G85" s="253" t="n">
        <v>104400</v>
      </c>
      <c r="H85" s="73" t="inlineStr">
        <is>
          <t>HOAN</t>
        </is>
      </c>
      <c r="I85" s="254">
        <f>L85-K85</f>
        <v/>
      </c>
      <c r="J85" s="46" t="inlineStr">
        <is>
          <t>ĐD</t>
        </is>
      </c>
      <c r="K85" s="254">
        <f>G85*0.05</f>
        <v/>
      </c>
      <c r="L85" s="254">
        <f>IF(H85="NGUYỆN",G85*25%*75%,IF(H85="TOẢN",G85*25%*75%,IF(H85="TÂN",G85*25%*75%,G85*0.25)))</f>
        <v/>
      </c>
    </row>
    <row r="86">
      <c r="A86" s="44" t="n">
        <v>80</v>
      </c>
      <c r="B86" s="165" t="inlineStr">
        <is>
          <t>2026/08/20 08:21</t>
        </is>
      </c>
      <c r="C86" s="155" t="inlineStr">
        <is>
          <t>LÊ THỊ TUYẾT</t>
        </is>
      </c>
      <c r="D86" s="166" t="inlineStr">
        <is>
          <t>01/01/1972</t>
        </is>
      </c>
      <c r="E86" s="168" t="inlineStr">
        <is>
          <t>Tiêm khớp gối</t>
        </is>
      </c>
      <c r="F86" s="22" t="n">
        <v>1</v>
      </c>
      <c r="G86" s="253" t="n">
        <v>384000</v>
      </c>
      <c r="H86" s="73" t="inlineStr">
        <is>
          <t>ĐIỀN</t>
        </is>
      </c>
      <c r="I86" s="254">
        <f>L86-K86</f>
        <v/>
      </c>
      <c r="J86" s="46" t="inlineStr">
        <is>
          <t>ĐD</t>
        </is>
      </c>
      <c r="K86" s="254">
        <f>G86*0.05</f>
        <v/>
      </c>
      <c r="L86" s="254">
        <f>IF(H86="NGUYỆN",G86*25%*75%,IF(H86="TOẢN",G86*25%*75%,IF(H86="TÂN",G86*25%*75%,G86*0.25)))</f>
        <v/>
      </c>
    </row>
    <row r="87">
      <c r="A87" s="44" t="n">
        <v>81</v>
      </c>
      <c r="B87" s="165" t="inlineStr">
        <is>
          <t>2026/08/20 10:47</t>
        </is>
      </c>
      <c r="C87" s="155" t="inlineStr">
        <is>
          <t>CAO VĂN TRỌNG</t>
        </is>
      </c>
      <c r="D87" s="166" t="inlineStr">
        <is>
          <t>06/09/2006</t>
        </is>
      </c>
      <c r="E87" s="168" t="inlineStr">
        <is>
          <t>Hút ổ viêm/áp xe phần mềm</t>
        </is>
      </c>
      <c r="F87" s="22" t="n">
        <v>1</v>
      </c>
      <c r="G87" s="253" t="n">
        <v>418000</v>
      </c>
      <c r="H87" s="73" t="inlineStr">
        <is>
          <t>ĐIỀN</t>
        </is>
      </c>
      <c r="I87" s="254">
        <f>L87-K87</f>
        <v/>
      </c>
      <c r="J87" s="46" t="inlineStr">
        <is>
          <t>ĐD</t>
        </is>
      </c>
      <c r="K87" s="254">
        <f>G87*0.05</f>
        <v/>
      </c>
      <c r="L87" s="254">
        <f>IF(H87="NGUYỆN",G87*25%*75%,IF(H87="TOẢN",G87*25%*75%,IF(H87="TÂN",G87*25%*75%,G87*0.25)))</f>
        <v/>
      </c>
    </row>
    <row r="88">
      <c r="A88" s="44" t="n">
        <v>82</v>
      </c>
      <c r="B88" s="165" t="inlineStr">
        <is>
          <t>2026/08/20 09:19</t>
        </is>
      </c>
      <c r="C88" s="155" t="inlineStr">
        <is>
          <t>VÕ THỊ NGỌC YẾN</t>
        </is>
      </c>
      <c r="D88" s="166" t="inlineStr">
        <is>
          <t>11/02/1978</t>
        </is>
      </c>
      <c r="E88" s="168" t="inlineStr">
        <is>
          <t>Hút ổ viêm/áp xe phần mềm</t>
        </is>
      </c>
      <c r="F88" s="22" t="n">
        <v>1</v>
      </c>
      <c r="G88" s="253" t="n">
        <v>418000</v>
      </c>
      <c r="H88" s="73" t="inlineStr">
        <is>
          <t>ĐIỀN</t>
        </is>
      </c>
      <c r="I88" s="254">
        <f>L88-K88</f>
        <v/>
      </c>
      <c r="J88" s="46" t="inlineStr">
        <is>
          <t>ĐD</t>
        </is>
      </c>
      <c r="K88" s="254">
        <f>G88*0.05</f>
        <v/>
      </c>
      <c r="L88" s="254">
        <f>IF(H88="NGUYỆN",G88*25%*75%,IF(H88="TOẢN",G88*25%*75%,IF(H88="TÂN",G88*25%*75%,G88*0.25)))</f>
        <v/>
      </c>
    </row>
    <row r="89">
      <c r="A89" s="44" t="n">
        <v>83</v>
      </c>
      <c r="B89" s="165" t="inlineStr">
        <is>
          <t>2026/08/20 09:49</t>
        </is>
      </c>
      <c r="C89" s="155" t="inlineStr">
        <is>
          <t>HUỲNH THỊ TỐ QUYÊN</t>
        </is>
      </c>
      <c r="D89" s="166" t="inlineStr">
        <is>
          <t>19/02/1987</t>
        </is>
      </c>
      <c r="E89" s="168" t="inlineStr">
        <is>
          <t>Tiêm khớp gối</t>
        </is>
      </c>
      <c r="F89" s="22" t="n">
        <v>1</v>
      </c>
      <c r="G89" s="253" t="n">
        <v>384000</v>
      </c>
      <c r="H89" s="73" t="inlineStr">
        <is>
          <t>ĐIỀN</t>
        </is>
      </c>
      <c r="I89" s="254">
        <f>L89-K89</f>
        <v/>
      </c>
      <c r="J89" s="46" t="inlineStr">
        <is>
          <t>ĐD</t>
        </is>
      </c>
      <c r="K89" s="254">
        <f>G89*0.05</f>
        <v/>
      </c>
      <c r="L89" s="254">
        <f>IF(H89="NGUYỆN",G89*25%*75%,IF(H89="TOẢN",G89*25%*75%,IF(H89="TÂN",G89*25%*75%,G89*0.25)))</f>
        <v/>
      </c>
    </row>
    <row r="90">
      <c r="A90" s="44" t="n">
        <v>84</v>
      </c>
      <c r="B90" s="165" t="inlineStr">
        <is>
          <t>2026/08/20 16:02</t>
        </is>
      </c>
      <c r="C90" s="155" t="inlineStr">
        <is>
          <t>VÕ THỊ NGỌC XUÂN</t>
        </is>
      </c>
      <c r="D90" s="166" t="inlineStr">
        <is>
          <t>19/02/1998</t>
        </is>
      </c>
      <c r="E90" s="168" t="inlineStr">
        <is>
          <t>Hút ổ viêm/áp xe phần mềm</t>
        </is>
      </c>
      <c r="F90" s="22" t="n">
        <v>1</v>
      </c>
      <c r="G90" s="253" t="n">
        <v>418000</v>
      </c>
      <c r="H90" s="73" t="inlineStr">
        <is>
          <t>ĐIỀN</t>
        </is>
      </c>
      <c r="I90" s="254">
        <f>L90-K90</f>
        <v/>
      </c>
      <c r="J90" s="46" t="inlineStr">
        <is>
          <t>ĐD</t>
        </is>
      </c>
      <c r="K90" s="254">
        <f>G90*0.05</f>
        <v/>
      </c>
      <c r="L90" s="254">
        <f>IF(H90="NGUYỆN",G90*25%*75%,IF(H90="TOẢN",G90*25%*75%,IF(H90="TÂN",G90*25%*75%,G90*0.25)))</f>
        <v/>
      </c>
    </row>
    <row r="91">
      <c r="A91" s="44" t="n">
        <v>85</v>
      </c>
      <c r="B91" s="165" t="inlineStr">
        <is>
          <t>2026/08/21 08:51</t>
        </is>
      </c>
      <c r="C91" s="155" t="inlineStr">
        <is>
          <t>PHAN NGỌC KIỀU</t>
        </is>
      </c>
      <c r="D91" s="166" t="inlineStr">
        <is>
          <t>30/09/1987</t>
        </is>
      </c>
      <c r="E91" s="168" t="inlineStr">
        <is>
          <t>Tiêm gân duỗi ngón tay</t>
        </is>
      </c>
      <c r="F91" s="22" t="n">
        <v>1</v>
      </c>
      <c r="G91" s="253" t="n">
        <v>300000</v>
      </c>
      <c r="H91" s="73" t="inlineStr">
        <is>
          <t>G.TỬ</t>
        </is>
      </c>
      <c r="I91" s="254">
        <f>L91-K91</f>
        <v/>
      </c>
      <c r="J91" s="46" t="inlineStr">
        <is>
          <t>ĐD</t>
        </is>
      </c>
      <c r="K91" s="254">
        <f>G91*0.05</f>
        <v/>
      </c>
      <c r="L91" s="254">
        <f>IF(H91="NGUYỆN",G91*25%*75%,IF(H91="TOẢN",G91*25%*75%,IF(H91="TÂN",G91*25%*75%,G91*0.25)))</f>
        <v/>
      </c>
    </row>
    <row r="92">
      <c r="A92" s="44" t="n">
        <v>86</v>
      </c>
      <c r="B92" s="165" t="inlineStr">
        <is>
          <t>2026/08/21 13:19</t>
        </is>
      </c>
      <c r="C92" s="155" t="inlineStr">
        <is>
          <t>PHẠM CÔNG TẦN TÔN NỮ TRÀ MY</t>
        </is>
      </c>
      <c r="D92" s="166" t="inlineStr">
        <is>
          <t>19/01/2000</t>
        </is>
      </c>
      <c r="E92" s="168" t="inlineStr">
        <is>
          <t>Hút ổ viêm/áp xe phần mềm</t>
        </is>
      </c>
      <c r="F92" s="22" t="n">
        <v>1</v>
      </c>
      <c r="G92" s="253" t="n">
        <v>418000</v>
      </c>
      <c r="H92" s="73" t="inlineStr">
        <is>
          <t>V.TÂN</t>
        </is>
      </c>
      <c r="I92" s="254">
        <f>L92-K92</f>
        <v/>
      </c>
      <c r="J92" s="46" t="inlineStr">
        <is>
          <t>ĐD</t>
        </is>
      </c>
      <c r="K92" s="254">
        <f>G92*0.05</f>
        <v/>
      </c>
      <c r="L92" s="254">
        <f>IF(H92="NGUYỆN",G92*25%*75%,IF(H92="TOẢN",G92*25%*75%,IF(H92="TÂN",G92*25%*75%,G92*0.25)))</f>
        <v/>
      </c>
    </row>
    <row r="93">
      <c r="A93" s="44" t="n">
        <v>87</v>
      </c>
      <c r="B93" s="165" t="inlineStr">
        <is>
          <t>2026/08/21 14:41</t>
        </is>
      </c>
      <c r="C93" s="155" t="inlineStr">
        <is>
          <t>BÙI VĂN BẢY</t>
        </is>
      </c>
      <c r="D93" s="166" t="inlineStr">
        <is>
          <t>01/01/1963</t>
        </is>
      </c>
      <c r="E93" s="168" t="inlineStr">
        <is>
          <t>Hút ổ viêm/áp xe phần mềm</t>
        </is>
      </c>
      <c r="F93" s="22" t="n">
        <v>1</v>
      </c>
      <c r="G93" s="253" t="n">
        <v>418000</v>
      </c>
      <c r="H93" s="73" t="inlineStr">
        <is>
          <t>V.TÂN</t>
        </is>
      </c>
      <c r="I93" s="254">
        <f>L93-K93</f>
        <v/>
      </c>
      <c r="J93" s="46" t="inlineStr">
        <is>
          <t>ĐD</t>
        </is>
      </c>
      <c r="K93" s="254">
        <f>G93*0.05</f>
        <v/>
      </c>
      <c r="L93" s="254">
        <f>IF(H93="NGUYỆN",G93*25%*75%,IF(H93="TOẢN",G93*25%*75%,IF(H93="TÂN",G93*25%*75%,G93*0.25)))</f>
        <v/>
      </c>
    </row>
    <row r="94">
      <c r="A94" s="44" t="n">
        <v>88</v>
      </c>
      <c r="B94" s="165" t="inlineStr">
        <is>
          <t>2026/08/21 15:42</t>
        </is>
      </c>
      <c r="C94" s="155" t="inlineStr">
        <is>
          <t>TRẦN THỊ PHƯƠNG ANH</t>
        </is>
      </c>
      <c r="D94" s="166" t="inlineStr">
        <is>
          <t>20/02/1965</t>
        </is>
      </c>
      <c r="E94" s="168" t="inlineStr">
        <is>
          <t>Tiêm gân gấp ngón tay</t>
        </is>
      </c>
      <c r="F94" s="22" t="n">
        <v>1</v>
      </c>
      <c r="G94" s="253" t="n">
        <v>104400</v>
      </c>
      <c r="H94" s="73" t="inlineStr">
        <is>
          <t>BẢO</t>
        </is>
      </c>
      <c r="I94" s="254">
        <f>L94-K94</f>
        <v/>
      </c>
      <c r="J94" s="46" t="inlineStr">
        <is>
          <t>ĐD</t>
        </is>
      </c>
      <c r="K94" s="254">
        <f>G94*0.05</f>
        <v/>
      </c>
      <c r="L94" s="254">
        <f>IF(H94="NGUYỆN",G94*25%*75%,IF(H94="TOẢN",G94*25%*75%,IF(H94="TÂN",G94*25%*75%,G94*0.25)))</f>
        <v/>
      </c>
    </row>
    <row r="95">
      <c r="A95" s="44" t="n">
        <v>89</v>
      </c>
      <c r="B95" s="165" t="inlineStr">
        <is>
          <t>2026/08/22 08:29</t>
        </is>
      </c>
      <c r="C95" s="155" t="inlineStr">
        <is>
          <t>TRẦN DUY TRÚC</t>
        </is>
      </c>
      <c r="D95" s="166" t="inlineStr">
        <is>
          <t>22/11/1981</t>
        </is>
      </c>
      <c r="E95" s="168" t="inlineStr">
        <is>
          <t>Mắt cá 1-2 thương tổn</t>
        </is>
      </c>
      <c r="F95" s="22" t="n">
        <v>1</v>
      </c>
      <c r="G95" s="253" t="n">
        <v>500000</v>
      </c>
      <c r="H95" s="73" t="inlineStr">
        <is>
          <t>SƠN</t>
        </is>
      </c>
      <c r="I95" s="254">
        <f>L95-K95</f>
        <v/>
      </c>
      <c r="J95" s="46" t="inlineStr">
        <is>
          <t>ĐD</t>
        </is>
      </c>
      <c r="K95" s="254">
        <f>G95*0.05</f>
        <v/>
      </c>
      <c r="L95" s="254">
        <f>IF(H95="NGUYỆN",G95*25%*75%,IF(H95="TOẢN",G95*25%*75%,IF(H95="TÂN",G95*25%*75%,G95*0.25)))</f>
        <v/>
      </c>
    </row>
    <row r="96">
      <c r="A96" s="44" t="n">
        <v>90</v>
      </c>
      <c r="B96" s="165" t="inlineStr">
        <is>
          <t>2026/08/22 14:06</t>
        </is>
      </c>
      <c r="C96" s="155" t="inlineStr">
        <is>
          <t>THÁI HOÀNG BẢO LONG</t>
        </is>
      </c>
      <c r="D96" s="166" t="inlineStr">
        <is>
          <t>19/09/2005</t>
        </is>
      </c>
      <c r="E96" s="168" t="inlineStr">
        <is>
          <t>Hút ổ viêm/áp xe phần mềm</t>
        </is>
      </c>
      <c r="F96" s="22" t="n">
        <v>1</v>
      </c>
      <c r="G96" s="253" t="n">
        <v>418000</v>
      </c>
      <c r="H96" s="73" t="inlineStr">
        <is>
          <t>BẢO</t>
        </is>
      </c>
      <c r="I96" s="254">
        <f>L96-K96</f>
        <v/>
      </c>
      <c r="J96" s="46" t="inlineStr">
        <is>
          <t>ĐD</t>
        </is>
      </c>
      <c r="K96" s="254">
        <f>G96*0.05</f>
        <v/>
      </c>
      <c r="L96" s="254">
        <f>IF(H96="NGUYỆN",G96*25%*75%,IF(H96="TOẢN",G96*25%*75%,IF(H96="TÂN",G96*25%*75%,G96*0.25)))</f>
        <v/>
      </c>
    </row>
    <row r="97">
      <c r="A97" s="44" t="n">
        <v>91</v>
      </c>
      <c r="B97" s="165" t="inlineStr">
        <is>
          <t>2026/08/24 11:03</t>
        </is>
      </c>
      <c r="C97" s="155" t="inlineStr">
        <is>
          <t>HỒ HOÀN KIẾM</t>
        </is>
      </c>
      <c r="D97" s="166" t="inlineStr">
        <is>
          <t>18/11/1959</t>
        </is>
      </c>
      <c r="E97" s="168" t="inlineStr">
        <is>
          <t>Tiêm khớp gối</t>
        </is>
      </c>
      <c r="F97" s="22" t="n">
        <v>1</v>
      </c>
      <c r="G97" s="253" t="n">
        <v>384000</v>
      </c>
      <c r="H97" s="73" t="inlineStr">
        <is>
          <t>Lê Ngọc Diệu</t>
        </is>
      </c>
      <c r="I97" s="254">
        <f>L97-K97</f>
        <v/>
      </c>
      <c r="J97" s="46" t="inlineStr">
        <is>
          <t>ĐD</t>
        </is>
      </c>
      <c r="K97" s="254">
        <f>G97*0.05</f>
        <v/>
      </c>
      <c r="L97" s="254">
        <f>IF(H97="NGUYỆN",G97*25%*75%,IF(H97="TOẢN",G97*25%*75%,IF(H97="TÂN",G97*25%*75%,G97*0.25)))</f>
        <v/>
      </c>
    </row>
    <row r="98">
      <c r="A98" s="44" t="n">
        <v>92</v>
      </c>
      <c r="B98" s="165" t="inlineStr">
        <is>
          <t>2026/08/24 14:14</t>
        </is>
      </c>
      <c r="C98" s="155" t="inlineStr">
        <is>
          <t>NGUYỄN VĂN QUẢNG</t>
        </is>
      </c>
      <c r="D98" s="166" t="inlineStr">
        <is>
          <t>27/06/1976</t>
        </is>
      </c>
      <c r="E98" s="168" t="inlineStr">
        <is>
          <t>Hút dịch khớp gối</t>
        </is>
      </c>
      <c r="F98" s="22" t="n">
        <v>1</v>
      </c>
      <c r="G98" s="253" t="n">
        <v>129600</v>
      </c>
      <c r="H98" s="73" t="inlineStr">
        <is>
          <t>SƠN</t>
        </is>
      </c>
      <c r="I98" s="254">
        <f>L98-K98</f>
        <v/>
      </c>
      <c r="J98" s="46" t="inlineStr">
        <is>
          <t>ĐD</t>
        </is>
      </c>
      <c r="K98" s="254">
        <f>G98*0.05</f>
        <v/>
      </c>
      <c r="L98" s="254">
        <f>IF(H98="NGUYỆN",G98*25%*75%,IF(H98="TOẢN",G98*25%*75%,IF(H98="TÂN",G98*25%*75%,G98*0.25)))</f>
        <v/>
      </c>
    </row>
    <row r="99">
      <c r="A99" s="44" t="n">
        <v>93</v>
      </c>
      <c r="B99" s="165" t="inlineStr">
        <is>
          <t>2026/08/25 07:23</t>
        </is>
      </c>
      <c r="C99" s="155" t="inlineStr">
        <is>
          <t>LÊ THỊ ỬNG</t>
        </is>
      </c>
      <c r="D99" s="166" t="inlineStr">
        <is>
          <t>02/09/1953</t>
        </is>
      </c>
      <c r="E99" s="168" t="inlineStr">
        <is>
          <t>Hút ổ viêm/áp xe phần mềm</t>
        </is>
      </c>
      <c r="F99" s="22" t="n">
        <v>1</v>
      </c>
      <c r="G99" s="253" t="n">
        <v>126700</v>
      </c>
      <c r="H99" s="73" t="inlineStr">
        <is>
          <t>TUẤN</t>
        </is>
      </c>
      <c r="I99" s="254">
        <f>L99-K99</f>
        <v/>
      </c>
      <c r="J99" s="46" t="inlineStr">
        <is>
          <t>ĐD</t>
        </is>
      </c>
      <c r="K99" s="254">
        <f>G99*0.05</f>
        <v/>
      </c>
      <c r="L99" s="254">
        <f>IF(H99="NGUYỆN",G99*25%*75%,IF(H99="TOẢN",G99*25%*75%,IF(H99="TÂN",G99*25%*75%,G99*0.25)))</f>
        <v/>
      </c>
    </row>
    <row r="100">
      <c r="A100" s="44" t="n">
        <v>94</v>
      </c>
      <c r="B100" s="165" t="inlineStr">
        <is>
          <t>2026/08/26 14:00</t>
        </is>
      </c>
      <c r="C100" s="155" t="inlineStr">
        <is>
          <t>LÊ THU LAN</t>
        </is>
      </c>
      <c r="D100" s="166" t="inlineStr">
        <is>
          <t>01/01/1960</t>
        </is>
      </c>
      <c r="E100" s="168" t="inlineStr">
        <is>
          <t>Tiêm khớp vai</t>
        </is>
      </c>
      <c r="F100" s="22" t="n">
        <v>1</v>
      </c>
      <c r="G100" s="253" t="n">
        <v>384000</v>
      </c>
      <c r="H100" s="73" t="inlineStr">
        <is>
          <t>DUY</t>
        </is>
      </c>
      <c r="I100" s="254">
        <f>L100-K100</f>
        <v/>
      </c>
      <c r="J100" s="46" t="inlineStr">
        <is>
          <t>ĐD</t>
        </is>
      </c>
      <c r="K100" s="254">
        <f>G100*0.05</f>
        <v/>
      </c>
      <c r="L100" s="254">
        <f>IF(H100="NGUYỆN",G100*25%*75%,IF(H100="TOẢN",G100*25%*75%,IF(H100="TÂN",G100*25%*75%,G100*0.25)))</f>
        <v/>
      </c>
    </row>
    <row r="101">
      <c r="A101" s="44" t="n">
        <v>95</v>
      </c>
      <c r="B101" s="165" t="inlineStr">
        <is>
          <t>2026/08/26 07:59</t>
        </is>
      </c>
      <c r="C101" s="155" t="inlineStr">
        <is>
          <t>BÙI THỊ KIM BÊ</t>
        </is>
      </c>
      <c r="D101" s="166" t="inlineStr">
        <is>
          <t>05/05/1957</t>
        </is>
      </c>
      <c r="E101" s="168" t="inlineStr">
        <is>
          <t>Tiêm gân Dequervein</t>
        </is>
      </c>
      <c r="F101" s="22" t="n">
        <v>1</v>
      </c>
      <c r="G101" s="253" t="n">
        <v>300000</v>
      </c>
      <c r="H101" s="73" t="inlineStr">
        <is>
          <t>DUY</t>
        </is>
      </c>
      <c r="I101" s="254">
        <f>L101-K101</f>
        <v/>
      </c>
      <c r="J101" s="46" t="inlineStr">
        <is>
          <t>ĐD</t>
        </is>
      </c>
      <c r="K101" s="254">
        <f>G101*0.05</f>
        <v/>
      </c>
      <c r="L101" s="254">
        <f>IF(H101="NGUYỆN",G101*25%*75%,IF(H101="TOẢN",G101*25%*75%,IF(H101="TÂN",G101*25%*75%,G101*0.25)))</f>
        <v/>
      </c>
    </row>
    <row r="102">
      <c r="A102" s="44" t="n">
        <v>96</v>
      </c>
      <c r="B102" s="165" t="inlineStr">
        <is>
          <t>2026/08/26 09:40</t>
        </is>
      </c>
      <c r="C102" s="155" t="inlineStr">
        <is>
          <t>LÝ VĂN KHƯƠNG</t>
        </is>
      </c>
      <c r="D102" s="166" t="inlineStr">
        <is>
          <t>05/06/1970</t>
        </is>
      </c>
      <c r="E102" s="168" t="inlineStr">
        <is>
          <t>Tiêm khớp gối</t>
        </is>
      </c>
      <c r="F102" s="22" t="n">
        <v>1</v>
      </c>
      <c r="G102" s="253" t="n">
        <v>384000</v>
      </c>
      <c r="H102" s="73" t="inlineStr">
        <is>
          <t>DUY</t>
        </is>
      </c>
      <c r="I102" s="254">
        <f>L102-K102</f>
        <v/>
      </c>
      <c r="J102" s="46" t="inlineStr">
        <is>
          <t>ĐD</t>
        </is>
      </c>
      <c r="K102" s="254">
        <f>G102*0.05</f>
        <v/>
      </c>
      <c r="L102" s="254">
        <f>IF(H102="NGUYỆN",G102*25%*75%,IF(H102="TOẢN",G102*25%*75%,IF(H102="TÂN",G102*25%*75%,G102*0.25)))</f>
        <v/>
      </c>
    </row>
    <row r="103">
      <c r="A103" s="44" t="n">
        <v>97</v>
      </c>
      <c r="B103" s="165" t="inlineStr">
        <is>
          <t>2026/08/26 10:24</t>
        </is>
      </c>
      <c r="C103" s="155" t="inlineStr">
        <is>
          <t>NGUYỄN VĂN TÒNG</t>
        </is>
      </c>
      <c r="D103" s="166" t="inlineStr">
        <is>
          <t>19/03/1962</t>
        </is>
      </c>
      <c r="E103" s="168" t="inlineStr">
        <is>
          <t>Tiêm khớp gối</t>
        </is>
      </c>
      <c r="F103" s="22" t="n">
        <v>1</v>
      </c>
      <c r="G103" s="253" t="n">
        <v>384000</v>
      </c>
      <c r="H103" s="73" t="inlineStr">
        <is>
          <t>DUY</t>
        </is>
      </c>
      <c r="I103" s="254">
        <f>L103-K103</f>
        <v/>
      </c>
      <c r="J103" s="46" t="inlineStr">
        <is>
          <t>ĐD</t>
        </is>
      </c>
      <c r="K103" s="254">
        <f>G103*0.05</f>
        <v/>
      </c>
      <c r="L103" s="254">
        <f>IF(H103="NGUYỆN",G103*25%*75%,IF(H103="TOẢN",G103*25%*75%,IF(H103="TÂN",G103*25%*75%,G103*0.25)))</f>
        <v/>
      </c>
    </row>
    <row r="104">
      <c r="A104" s="44" t="n">
        <v>98</v>
      </c>
      <c r="B104" s="165" t="inlineStr">
        <is>
          <t>2026/08/26 10:23</t>
        </is>
      </c>
      <c r="C104" s="155" t="inlineStr">
        <is>
          <t>NGUYỄN VĂN TÒNG</t>
        </is>
      </c>
      <c r="D104" s="166" t="inlineStr">
        <is>
          <t>19/03/1962</t>
        </is>
      </c>
      <c r="E104" s="168" t="inlineStr">
        <is>
          <t>Tiêm khớp gối</t>
        </is>
      </c>
      <c r="F104" s="22" t="n">
        <v>1</v>
      </c>
      <c r="G104" s="253" t="n">
        <v>384000</v>
      </c>
      <c r="H104" s="73" t="inlineStr">
        <is>
          <t>DUY</t>
        </is>
      </c>
      <c r="I104" s="254">
        <f>L104-K104</f>
        <v/>
      </c>
      <c r="J104" s="46" t="inlineStr">
        <is>
          <t>ĐD</t>
        </is>
      </c>
      <c r="K104" s="254">
        <f>G104*0.05</f>
        <v/>
      </c>
      <c r="L104" s="254">
        <f>IF(H104="NGUYỆN",G104*25%*75%,IF(H104="TOẢN",G104*25%*75%,IF(H104="TÂN",G104*25%*75%,G104*0.25)))</f>
        <v/>
      </c>
    </row>
    <row r="105">
      <c r="A105" s="44" t="n">
        <v>99</v>
      </c>
      <c r="B105" s="165" t="inlineStr">
        <is>
          <t>2026/08/26 14:25</t>
        </is>
      </c>
      <c r="C105" s="155" t="inlineStr">
        <is>
          <t>PHẠM THỊ LOAN TRINH</t>
        </is>
      </c>
      <c r="D105" s="166" t="inlineStr">
        <is>
          <t>13/09/1999</t>
        </is>
      </c>
      <c r="E105" s="168" t="inlineStr">
        <is>
          <t>Hút ổ viêm/áp xe phần mềm</t>
        </is>
      </c>
      <c r="F105" s="22" t="n">
        <v>1</v>
      </c>
      <c r="G105" s="253" t="n">
        <v>418000</v>
      </c>
      <c r="H105" s="73" t="inlineStr">
        <is>
          <t>DUY</t>
        </is>
      </c>
      <c r="I105" s="254">
        <f>L105-K105</f>
        <v/>
      </c>
      <c r="J105" s="46" t="inlineStr">
        <is>
          <t>ĐD</t>
        </is>
      </c>
      <c r="K105" s="254">
        <f>G105*0.05</f>
        <v/>
      </c>
      <c r="L105" s="254">
        <f>IF(H105="NGUYỆN",G105*25%*75%,IF(H105="TOẢN",G105*25%*75%,IF(H105="TÂN",G105*25%*75%,G105*0.25)))</f>
        <v/>
      </c>
    </row>
    <row r="106">
      <c r="A106" s="44" t="n">
        <v>100</v>
      </c>
      <c r="B106" s="165" t="inlineStr">
        <is>
          <t>2026/08/26 14:57</t>
        </is>
      </c>
      <c r="C106" s="155" t="inlineStr">
        <is>
          <t>HUỲNH PHÚC DUY</t>
        </is>
      </c>
      <c r="D106" s="166" t="inlineStr">
        <is>
          <t>09/04/2004</t>
        </is>
      </c>
      <c r="E106" s="168" t="inlineStr">
        <is>
          <t>Hút ổ viêm/áp xe phần mềm</t>
        </is>
      </c>
      <c r="F106" s="22" t="n">
        <v>1</v>
      </c>
      <c r="G106" s="253" t="n">
        <v>126700</v>
      </c>
      <c r="H106" s="73" t="inlineStr">
        <is>
          <t>DUY</t>
        </is>
      </c>
      <c r="I106" s="254">
        <f>L106-K106</f>
        <v/>
      </c>
      <c r="J106" s="46" t="inlineStr">
        <is>
          <t>ĐD</t>
        </is>
      </c>
      <c r="K106" s="254">
        <f>G106*0.05</f>
        <v/>
      </c>
      <c r="L106" s="254">
        <f>IF(H106="NGUYỆN",G106*25%*75%,IF(H106="TOẢN",G106*25%*75%,IF(H106="TÂN",G106*25%*75%,G106*0.25)))</f>
        <v/>
      </c>
    </row>
    <row r="107">
      <c r="A107" s="44" t="n">
        <v>101</v>
      </c>
      <c r="B107" s="165" t="inlineStr">
        <is>
          <t>2026/08/27 08:32</t>
        </is>
      </c>
      <c r="C107" s="155" t="inlineStr">
        <is>
          <t>HỒ THỊ TUYẾT</t>
        </is>
      </c>
      <c r="D107" s="166" t="inlineStr">
        <is>
          <t>12/07/1956</t>
        </is>
      </c>
      <c r="E107" s="168" t="inlineStr">
        <is>
          <t>Tiêm khớp gối</t>
        </is>
      </c>
      <c r="F107" s="22" t="n">
        <v>1</v>
      </c>
      <c r="G107" s="253" t="n">
        <v>104400</v>
      </c>
      <c r="H107" s="73" t="inlineStr">
        <is>
          <t>HOAN</t>
        </is>
      </c>
      <c r="I107" s="254">
        <f>L107-K107</f>
        <v/>
      </c>
      <c r="J107" s="46" t="inlineStr">
        <is>
          <t>ĐD</t>
        </is>
      </c>
      <c r="K107" s="254">
        <f>G107*0.05</f>
        <v/>
      </c>
      <c r="L107" s="254">
        <f>IF(H107="NGUYỆN",G107*25%*75%,IF(H107="TOẢN",G107*25%*75%,IF(H107="TÂN",G107*25%*75%,G107*0.25)))</f>
        <v/>
      </c>
    </row>
    <row r="108">
      <c r="A108" s="44" t="n">
        <v>102</v>
      </c>
      <c r="B108" s="165" t="inlineStr">
        <is>
          <t>2026/08/27 13:13</t>
        </is>
      </c>
      <c r="C108" s="155" t="inlineStr">
        <is>
          <t>NGUYỄN THỊ ĐÀO</t>
        </is>
      </c>
      <c r="D108" s="166" t="inlineStr">
        <is>
          <t>01/01/1957</t>
        </is>
      </c>
      <c r="E108" s="168" t="inlineStr">
        <is>
          <t>Hút ổ viêm/áp xe phần mềm</t>
        </is>
      </c>
      <c r="F108" s="22" t="n">
        <v>1</v>
      </c>
      <c r="G108" s="253" t="n">
        <v>418000</v>
      </c>
      <c r="H108" s="73" t="inlineStr">
        <is>
          <t>ĐIỀN</t>
        </is>
      </c>
      <c r="I108" s="254">
        <f>L108-K108</f>
        <v/>
      </c>
      <c r="J108" s="46" t="inlineStr">
        <is>
          <t>ĐD</t>
        </is>
      </c>
      <c r="K108" s="254">
        <f>G108*0.05</f>
        <v/>
      </c>
      <c r="L108" s="254">
        <f>IF(H108="NGUYỆN",G108*25%*75%,IF(H108="TOẢN",G108*25%*75%,IF(H108="TÂN",G108*25%*75%,G108*0.25)))</f>
        <v/>
      </c>
    </row>
    <row r="109">
      <c r="A109" s="44" t="n">
        <v>103</v>
      </c>
      <c r="B109" s="165" t="inlineStr">
        <is>
          <t>2026/08/27 15:58</t>
        </is>
      </c>
      <c r="C109" s="155" t="inlineStr">
        <is>
          <t>NGUYỄN KHÁNH LINH</t>
        </is>
      </c>
      <c r="D109" s="166" t="inlineStr">
        <is>
          <t>02/02/1994</t>
        </is>
      </c>
      <c r="E109" s="168" t="inlineStr">
        <is>
          <t>Tiêm gân gấp ngón tay</t>
        </is>
      </c>
      <c r="F109" s="22" t="n">
        <v>1</v>
      </c>
      <c r="G109" s="253" t="n">
        <v>104400</v>
      </c>
      <c r="H109" s="73" t="inlineStr">
        <is>
          <t>ĐIỀN</t>
        </is>
      </c>
      <c r="I109" s="254">
        <f>L109-K109</f>
        <v/>
      </c>
      <c r="J109" s="46" t="inlineStr">
        <is>
          <t>ĐD</t>
        </is>
      </c>
      <c r="K109" s="254">
        <f>G109*0.05</f>
        <v/>
      </c>
      <c r="L109" s="254">
        <f>IF(H109="NGUYỆN",G109*25%*75%,IF(H109="TOẢN",G109*25%*75%,IF(H109="TÂN",G109*25%*75%,G109*0.25)))</f>
        <v/>
      </c>
    </row>
    <row r="110">
      <c r="A110" s="44" t="n">
        <v>104</v>
      </c>
      <c r="B110" s="165" t="inlineStr">
        <is>
          <t>2026/08/28 09:32</t>
        </is>
      </c>
      <c r="C110" s="155" t="inlineStr">
        <is>
          <t>TRẦN THỊ ĐIỂM</t>
        </is>
      </c>
      <c r="D110" s="166" t="inlineStr">
        <is>
          <t>01/01/1985</t>
        </is>
      </c>
      <c r="E110" s="168" t="inlineStr">
        <is>
          <t>Hút ổ viêm/áp xe phần mềm</t>
        </is>
      </c>
      <c r="F110" s="22" t="n">
        <v>1</v>
      </c>
      <c r="G110" s="253" t="n">
        <v>126700</v>
      </c>
      <c r="H110" s="73" t="inlineStr">
        <is>
          <t>ĐIỀN</t>
        </is>
      </c>
      <c r="I110" s="254">
        <f>L110-K110</f>
        <v/>
      </c>
      <c r="J110" s="46" t="inlineStr">
        <is>
          <t>ĐD</t>
        </is>
      </c>
      <c r="K110" s="254">
        <f>G110*0.05</f>
        <v/>
      </c>
      <c r="L110" s="254">
        <f>IF(H110="NGUYỆN",G110*25%*75%,IF(H110="TOẢN",G110*25%*75%,IF(H110="TÂN",G110*25%*75%,G110*0.25)))</f>
        <v/>
      </c>
    </row>
    <row r="111">
      <c r="A111" s="44" t="n">
        <v>105</v>
      </c>
      <c r="B111" s="165" t="inlineStr">
        <is>
          <t>2026/08/28 10:34</t>
        </is>
      </c>
      <c r="C111" s="155" t="inlineStr">
        <is>
          <t>LÝ THỊ THANH TÂM</t>
        </is>
      </c>
      <c r="D111" s="166" t="inlineStr">
        <is>
          <t>02/09/1964</t>
        </is>
      </c>
      <c r="E111" s="168" t="inlineStr">
        <is>
          <t>Tiêm khớp gối</t>
        </is>
      </c>
      <c r="F111" s="22" t="n">
        <v>1</v>
      </c>
      <c r="G111" s="253" t="n">
        <v>104400</v>
      </c>
      <c r="H111" s="73" t="inlineStr">
        <is>
          <t>ĐIỀN</t>
        </is>
      </c>
      <c r="I111" s="254">
        <f>L111-K111</f>
        <v/>
      </c>
      <c r="J111" s="46" t="inlineStr">
        <is>
          <t>ĐD</t>
        </is>
      </c>
      <c r="K111" s="254">
        <f>G111*0.05</f>
        <v/>
      </c>
      <c r="L111" s="254">
        <f>IF(H111="NGUYỆN",G111*25%*75%,IF(H111="TOẢN",G111*25%*75%,IF(H111="TÂN",G111*25%*75%,G111*0.25)))</f>
        <v/>
      </c>
    </row>
    <row r="112">
      <c r="A112" s="44" t="n">
        <v>106</v>
      </c>
      <c r="B112" s="165" t="inlineStr">
        <is>
          <t>2026/08/28 10:25</t>
        </is>
      </c>
      <c r="C112" s="155" t="inlineStr">
        <is>
          <t>HUỲNH THỌ TÀI</t>
        </is>
      </c>
      <c r="D112" s="166" t="inlineStr">
        <is>
          <t>02/11/2004</t>
        </is>
      </c>
      <c r="E112" s="168" t="inlineStr">
        <is>
          <t>Mắt cá 1-2 thương tổn</t>
        </is>
      </c>
      <c r="F112" s="22" t="n">
        <v>1</v>
      </c>
      <c r="G112" s="253" t="n">
        <v>500000</v>
      </c>
      <c r="H112" s="73" t="inlineStr">
        <is>
          <t>ĐIỀN</t>
        </is>
      </c>
      <c r="I112" s="254">
        <f>L112-K112</f>
        <v/>
      </c>
      <c r="J112" s="46" t="inlineStr">
        <is>
          <t>ĐD</t>
        </is>
      </c>
      <c r="K112" s="254">
        <f>G112*0.05</f>
        <v/>
      </c>
      <c r="L112" s="254">
        <f>IF(H112="NGUYỆN",G112*25%*75%,IF(H112="TOẢN",G112*25%*75%,IF(H112="TÂN",G112*25%*75%,G112*0.25)))</f>
        <v/>
      </c>
    </row>
    <row r="113">
      <c r="A113" s="44" t="n">
        <v>107</v>
      </c>
      <c r="B113" s="165" t="inlineStr">
        <is>
          <t>2026/08/28 14:03</t>
        </is>
      </c>
      <c r="C113" s="155" t="inlineStr">
        <is>
          <t>LÊ VĂN TƯ</t>
        </is>
      </c>
      <c r="D113" s="166" t="inlineStr">
        <is>
          <t>01/01/1962</t>
        </is>
      </c>
      <c r="E113" s="168" t="inlineStr">
        <is>
          <t>Tiêm khớp gối</t>
        </is>
      </c>
      <c r="F113" s="22" t="n">
        <v>1</v>
      </c>
      <c r="G113" s="253" t="n">
        <v>104400</v>
      </c>
      <c r="H113" s="73" t="inlineStr">
        <is>
          <t>ĐIỀN</t>
        </is>
      </c>
      <c r="I113" s="254">
        <f>L113-K113</f>
        <v/>
      </c>
      <c r="J113" s="46" t="inlineStr">
        <is>
          <t>ĐD</t>
        </is>
      </c>
      <c r="K113" s="254">
        <f>G113*0.05</f>
        <v/>
      </c>
      <c r="L113" s="254">
        <f>IF(H113="NGUYỆN",G113*25%*75%,IF(H113="TOẢN",G113*25%*75%,IF(H113="TÂN",G113*25%*75%,G113*0.25)))</f>
        <v/>
      </c>
    </row>
    <row r="114">
      <c r="A114" s="44" t="n">
        <v>108</v>
      </c>
      <c r="B114" s="165" t="inlineStr">
        <is>
          <t>2026/08/28 15:01</t>
        </is>
      </c>
      <c r="C114" s="155" t="inlineStr">
        <is>
          <t>NGUYỄN THANH TIẾN</t>
        </is>
      </c>
      <c r="D114" s="166" t="inlineStr">
        <is>
          <t>01/04/2003</t>
        </is>
      </c>
      <c r="E114" s="168" t="inlineStr">
        <is>
          <t>Hút dịch khớp gối</t>
        </is>
      </c>
      <c r="F114" s="22" t="n">
        <v>1</v>
      </c>
      <c r="G114" s="253" t="n">
        <v>400000</v>
      </c>
      <c r="H114" s="73" t="inlineStr">
        <is>
          <t>ĐIỀN</t>
        </is>
      </c>
      <c r="I114" s="254">
        <f>L114-K114</f>
        <v/>
      </c>
      <c r="J114" s="46" t="inlineStr">
        <is>
          <t>ĐD</t>
        </is>
      </c>
      <c r="K114" s="254">
        <f>G114*0.05</f>
        <v/>
      </c>
      <c r="L114" s="254">
        <f>IF(H114="NGUYỆN",G114*25%*75%,IF(H114="TOẢN",G114*25%*75%,IF(H114="TÂN",G114*25%*75%,G114*0.25)))</f>
        <v/>
      </c>
    </row>
    <row r="115">
      <c r="A115" s="44" t="n"/>
      <c r="B115" s="104" t="n"/>
      <c r="C115" s="105" t="n"/>
      <c r="D115" s="105" t="n"/>
      <c r="E115" s="105" t="n"/>
      <c r="F115" s="105" t="n"/>
      <c r="G115" s="236" t="n"/>
      <c r="H115" s="244" t="n"/>
      <c r="I115" s="45" t="n"/>
      <c r="J115" s="46" t="n"/>
      <c r="K115" s="45" t="n"/>
      <c r="L115" s="45" t="n"/>
    </row>
    <row r="116">
      <c r="A116" s="44" t="n"/>
      <c r="B116" s="104" t="n"/>
      <c r="C116" s="105" t="n"/>
      <c r="D116" s="105" t="n"/>
      <c r="E116" s="105" t="n"/>
      <c r="F116" s="105" t="n"/>
      <c r="G116" s="236" t="n"/>
      <c r="H116" s="244" t="n"/>
      <c r="I116" s="45" t="n"/>
      <c r="J116" s="46" t="n"/>
      <c r="K116" s="45" t="n"/>
      <c r="L116" s="45" t="n"/>
    </row>
    <row r="117">
      <c r="A117" s="44" t="n"/>
      <c r="B117" s="104" t="n"/>
      <c r="C117" s="105" t="n"/>
      <c r="D117" s="105" t="n"/>
      <c r="E117" s="105" t="n"/>
      <c r="F117" s="105" t="n"/>
      <c r="G117" s="236" t="n"/>
      <c r="H117" s="244" t="n"/>
      <c r="I117" s="45" t="n"/>
      <c r="J117" s="46" t="n"/>
      <c r="K117" s="45" t="n"/>
      <c r="L117" s="45" t="n"/>
    </row>
    <row r="118">
      <c r="A118" s="44" t="n"/>
      <c r="B118" s="104" t="n"/>
      <c r="C118" s="105" t="n"/>
      <c r="D118" s="105" t="n"/>
      <c r="E118" s="105" t="n"/>
      <c r="F118" s="105" t="n"/>
      <c r="G118" s="236" t="n"/>
      <c r="H118" s="244" t="n"/>
      <c r="I118" s="45" t="n"/>
      <c r="J118" s="46" t="n"/>
      <c r="K118" s="45" t="n"/>
      <c r="L118" s="45" t="n"/>
    </row>
    <row r="119">
      <c r="A119" s="44" t="n"/>
      <c r="B119" s="104" t="n"/>
      <c r="C119" s="105" t="n"/>
      <c r="D119" s="105" t="n"/>
      <c r="E119" s="105" t="n"/>
      <c r="F119" s="105" t="n"/>
      <c r="G119" s="236" t="n"/>
      <c r="H119" s="244" t="n"/>
      <c r="I119" s="45" t="n"/>
      <c r="J119" s="46" t="n"/>
      <c r="K119" s="45" t="n"/>
      <c r="L119" s="45" t="n"/>
    </row>
    <row r="120">
      <c r="A120" s="44" t="n"/>
      <c r="B120" s="104" t="n"/>
      <c r="C120" s="105" t="n"/>
      <c r="D120" s="105" t="n"/>
      <c r="E120" s="105" t="n"/>
      <c r="F120" s="105" t="n"/>
      <c r="G120" s="236" t="n"/>
      <c r="H120" s="244" t="n"/>
      <c r="I120" s="45" t="n"/>
      <c r="J120" s="46" t="n"/>
      <c r="K120" s="45" t="n"/>
      <c r="L120" s="45" t="n"/>
    </row>
    <row r="121">
      <c r="A121" s="44" t="n"/>
      <c r="B121" s="104" t="n"/>
      <c r="C121" s="105" t="n"/>
      <c r="D121" s="105" t="n"/>
      <c r="E121" s="105" t="n"/>
      <c r="F121" s="105" t="n"/>
      <c r="G121" s="236" t="n"/>
      <c r="H121" s="244" t="n"/>
      <c r="I121" s="45" t="n"/>
      <c r="J121" s="46" t="n"/>
      <c r="K121" s="45" t="n"/>
      <c r="L121" s="45" t="n"/>
    </row>
    <row r="122">
      <c r="A122" s="44" t="n"/>
      <c r="B122" s="104" t="n"/>
      <c r="C122" s="105" t="n"/>
      <c r="D122" s="105" t="n"/>
      <c r="E122" s="105" t="n"/>
      <c r="F122" s="105" t="n"/>
      <c r="G122" s="236" t="n"/>
      <c r="H122" s="244" t="n"/>
      <c r="I122" s="45" t="n"/>
      <c r="J122" s="46" t="n"/>
      <c r="K122" s="45" t="n"/>
      <c r="L122" s="45" t="n"/>
    </row>
    <row r="123">
      <c r="A123" s="44" t="n"/>
      <c r="B123" s="104" t="n"/>
      <c r="C123" s="105" t="n"/>
      <c r="D123" s="105" t="n"/>
      <c r="E123" s="105" t="n"/>
      <c r="F123" s="105" t="n"/>
      <c r="G123" s="236" t="n"/>
      <c r="H123" s="244" t="n"/>
      <c r="I123" s="45" t="n"/>
      <c r="J123" s="46" t="n"/>
      <c r="K123" s="45" t="n"/>
      <c r="L123" s="45" t="n"/>
    </row>
    <row r="124">
      <c r="A124" s="44" t="n"/>
      <c r="B124" s="104" t="n"/>
      <c r="C124" s="105" t="n"/>
      <c r="D124" s="105" t="n"/>
      <c r="E124" s="105" t="n"/>
      <c r="F124" s="105" t="n"/>
      <c r="G124" s="236" t="n"/>
      <c r="H124" s="244" t="n"/>
      <c r="I124" s="45" t="n"/>
      <c r="J124" s="46" t="n"/>
      <c r="K124" s="45" t="n"/>
      <c r="L124" s="45" t="n"/>
    </row>
    <row r="125">
      <c r="A125" s="44" t="n"/>
      <c r="B125" s="104" t="n"/>
      <c r="C125" s="105" t="n"/>
      <c r="D125" s="105" t="n"/>
      <c r="E125" s="105" t="n"/>
      <c r="F125" s="105" t="n"/>
      <c r="G125" s="236" t="n"/>
      <c r="H125" s="244" t="n"/>
      <c r="I125" s="45" t="n"/>
      <c r="J125" s="46" t="n"/>
      <c r="K125" s="45" t="n"/>
      <c r="L125" s="45" t="n"/>
    </row>
    <row r="126">
      <c r="A126" s="44" t="n"/>
      <c r="B126" s="104" t="n"/>
      <c r="C126" s="105" t="n"/>
      <c r="D126" s="105" t="n"/>
      <c r="E126" s="105" t="n"/>
      <c r="F126" s="105" t="n"/>
      <c r="G126" s="236" t="n"/>
      <c r="H126" s="244" t="n"/>
      <c r="I126" s="45" t="n"/>
      <c r="J126" s="46" t="n"/>
      <c r="K126" s="45" t="n"/>
      <c r="L126" s="45" t="n"/>
    </row>
    <row r="127">
      <c r="A127" s="44" t="n"/>
      <c r="B127" s="104" t="n"/>
      <c r="C127" s="105" t="n"/>
      <c r="D127" s="105" t="n"/>
      <c r="E127" s="105" t="n"/>
      <c r="F127" s="105" t="n"/>
      <c r="G127" s="236" t="n"/>
      <c r="H127" s="244" t="n"/>
      <c r="I127" s="45" t="n"/>
      <c r="J127" s="46" t="n"/>
      <c r="K127" s="45" t="n"/>
      <c r="L127" s="45" t="n"/>
    </row>
    <row r="128">
      <c r="A128" s="44" t="n"/>
      <c r="B128" s="104" t="n"/>
      <c r="C128" s="104" t="n"/>
      <c r="D128" s="104" t="n"/>
      <c r="E128" s="105" t="n"/>
      <c r="F128" s="105" t="n"/>
      <c r="G128" s="245" t="n"/>
      <c r="H128" s="75" t="n"/>
      <c r="I128" s="45">
        <f>L128-K128</f>
        <v/>
      </c>
      <c r="J128" s="46" t="n"/>
      <c r="K128" s="45">
        <f>G128*0.05</f>
        <v/>
      </c>
      <c r="L128" s="45">
        <f>IF(H128="NGUYỆN",G128*25%*75%,IF(H128="TOẢN",G128*25%*75%,IF(H128="TÂN",G128*25%*75%,G128*0.25)))</f>
        <v/>
      </c>
    </row>
    <row r="129">
      <c r="A129" s="77" t="n"/>
      <c r="B129" s="194" t="n"/>
      <c r="C129" s="47" t="inlineStr">
        <is>
          <t>Tổng Cộng</t>
        </is>
      </c>
      <c r="D129" s="78" t="n"/>
      <c r="E129" s="79" t="n"/>
      <c r="F129" s="48">
        <f>SUM(F7:F128)</f>
        <v/>
      </c>
      <c r="G129" s="48">
        <f>SUM(G7:G128)</f>
        <v/>
      </c>
      <c r="H129" s="71" t="n"/>
      <c r="I129" s="48">
        <f>SUM(I7:I128)</f>
        <v/>
      </c>
      <c r="J129" s="48" t="n"/>
      <c r="K129" s="48">
        <f>SUM(K7:K128)</f>
        <v/>
      </c>
      <c r="L129" s="48">
        <f>SUM(L7:L128)</f>
        <v/>
      </c>
    </row>
    <row r="130">
      <c r="A130" s="80" t="n"/>
      <c r="B130" s="195" t="n"/>
      <c r="C130" s="81" t="n"/>
      <c r="D130" s="82" t="n"/>
      <c r="E130" s="81" t="n"/>
      <c r="F130" s="81" t="n"/>
      <c r="G130" s="83" t="n"/>
      <c r="H130" s="218" t="inlineStr">
        <is>
          <t>Cần Thơ, Ngày 31 tháng 8 năm 2026</t>
        </is>
      </c>
    </row>
    <row r="131">
      <c r="A131" s="219" t="inlineStr">
        <is>
          <t>Lập bảng</t>
        </is>
      </c>
      <c r="D131" s="84" t="n"/>
      <c r="E131" s="85" t="n"/>
      <c r="F131" s="85" t="n"/>
      <c r="G131" s="86" t="n"/>
      <c r="H131" s="218" t="inlineStr">
        <is>
          <t xml:space="preserve">           Trưởng khoa</t>
        </is>
      </c>
    </row>
    <row r="132">
      <c r="A132" s="80" t="n"/>
      <c r="B132" s="80" t="n"/>
      <c r="C132" s="87" t="n"/>
      <c r="D132" s="88" t="n"/>
      <c r="E132" s="87" t="n"/>
      <c r="F132" s="87" t="n"/>
      <c r="G132" s="86" t="n"/>
      <c r="H132" s="90" t="n"/>
      <c r="I132" s="80" t="n"/>
      <c r="J132" s="80" t="n"/>
      <c r="K132" s="80" t="n"/>
      <c r="L132" s="91" t="n"/>
    </row>
    <row r="133">
      <c r="A133" s="80" t="n"/>
      <c r="B133" s="80" t="n"/>
      <c r="C133" s="87" t="n"/>
      <c r="D133" s="88" t="n"/>
      <c r="E133" s="87" t="n"/>
      <c r="F133" s="87" t="n"/>
      <c r="G133" s="89" t="n"/>
      <c r="H133" s="90" t="n"/>
      <c r="I133" s="80" t="n"/>
      <c r="J133" s="80" t="n"/>
      <c r="K133" s="80" t="n"/>
      <c r="L133" s="91" t="n"/>
    </row>
    <row r="134">
      <c r="A134" s="80" t="n"/>
      <c r="B134" s="80" t="n"/>
      <c r="C134" s="87" t="n"/>
      <c r="D134" s="92" t="n"/>
      <c r="E134" s="87" t="n"/>
      <c r="F134" s="87" t="n"/>
      <c r="G134" s="86" t="n"/>
      <c r="H134" s="90" t="n"/>
      <c r="I134" s="80" t="n"/>
      <c r="J134" s="80" t="n"/>
      <c r="K134" s="80" t="n"/>
      <c r="L134" s="93" t="n"/>
    </row>
    <row r="135">
      <c r="A135" s="217" t="inlineStr">
        <is>
          <t>ĐD. Phan Văn Hiếu</t>
        </is>
      </c>
      <c r="D135" s="92" t="n"/>
      <c r="E135" s="87" t="n"/>
      <c r="F135" s="87" t="n"/>
      <c r="G135" s="86" t="n"/>
      <c r="H135" s="220" t="inlineStr">
        <is>
          <t xml:space="preserve">         ThS. Bs. CKII. Nguyễn Lê Hoan</t>
        </is>
      </c>
    </row>
    <row r="136">
      <c r="A136" s="80" t="n"/>
      <c r="B136" s="80" t="n"/>
      <c r="C136" s="87" t="n"/>
      <c r="D136" s="92" t="n"/>
      <c r="E136" s="87" t="n"/>
      <c r="F136" s="87" t="n"/>
      <c r="G136" s="89" t="n"/>
      <c r="H136" s="90" t="n"/>
      <c r="I136" s="80" t="n"/>
      <c r="J136" s="80" t="n"/>
      <c r="K136" s="80" t="n"/>
      <c r="L136" s="80" t="n"/>
    </row>
  </sheetData>
  <autoFilter ref="A6:XEX56"/>
  <mergeCells count="9">
    <mergeCell ref="A1:D1"/>
    <mergeCell ref="H130:L130"/>
    <mergeCell ref="A135:C135"/>
    <mergeCell ref="A131:C131"/>
    <mergeCell ref="A2:D2"/>
    <mergeCell ref="A3:L3"/>
    <mergeCell ref="A4:L4"/>
    <mergeCell ref="H131:L131"/>
    <mergeCell ref="H135:L135"/>
  </mergeCells>
  <pageMargins left="0.4783163265306122" right="0.3932823129251701" top="0.38" bottom="0.39" header="0.54" footer="0.61"/>
  <pageSetup orientation="landscape" paperSize="9"/>
</worksheet>
</file>

<file path=xl/worksheets/sheet4.xml><?xml version="1.0" encoding="utf-8"?>
<worksheet xmlns="http://schemas.openxmlformats.org/spreadsheetml/2006/main">
  <sheetPr>
    <tabColor rgb="FFFFFF00"/>
    <outlinePr summaryBelow="1" summaryRight="1"/>
    <pageSetUpPr/>
  </sheetPr>
  <dimension ref="A1:IE1249"/>
  <sheetViews>
    <sheetView workbookViewId="0">
      <pane xSplit="5" ySplit="8" topLeftCell="F1203" activePane="bottomRight" state="frozen"/>
      <selection pane="topRight" activeCell="F1" sqref="F1"/>
      <selection pane="bottomLeft" activeCell="A9" sqref="A9"/>
      <selection pane="bottomRight" activeCell="E1214" sqref="E1214"/>
    </sheetView>
  </sheetViews>
  <sheetFormatPr baseColWidth="8" defaultRowHeight="12.75" outlineLevelCol="0"/>
  <cols>
    <col width="6.28515625" customWidth="1" min="1" max="1"/>
    <col width="10.7109375" customWidth="1" min="2" max="2"/>
    <col width="22.7109375" customWidth="1" min="3" max="3"/>
    <col width="8" customWidth="1" min="4" max="4"/>
    <col width="32.28515625" customWidth="1" min="5" max="5"/>
    <col width="6.85546875" customWidth="1" min="6" max="6"/>
    <col width="13.28515625" customWidth="1" min="7" max="7"/>
  </cols>
  <sheetData>
    <row r="1" ht="16.5" customHeight="1">
      <c r="A1" s="109" t="inlineStr">
        <is>
          <t>BỆNH VIỆN TRƯỜNG ĐH Y DƯỢC CẦN THƠ</t>
        </is>
      </c>
      <c r="C1" s="109" t="n"/>
      <c r="D1" s="109" t="n"/>
      <c r="E1" s="109" t="n"/>
      <c r="F1" s="110" t="n"/>
    </row>
    <row r="2">
      <c r="A2" s="110" t="n"/>
      <c r="B2" s="110" t="n"/>
      <c r="C2" s="110" t="n"/>
      <c r="D2" s="110" t="n"/>
      <c r="E2" s="110" t="n"/>
      <c r="F2" s="110" t="n"/>
    </row>
    <row r="3" ht="18.75" customHeight="1">
      <c r="A3" s="221" t="inlineStr">
        <is>
          <t>DANH SÁCH CHỈ ĐỊNH GIƯỜNG BỆNH</t>
        </is>
      </c>
      <c r="H3" s="111" t="n"/>
      <c r="I3" s="111" t="n"/>
      <c r="J3" s="111" t="n"/>
    </row>
    <row r="4" ht="16.5" customHeight="1">
      <c r="A4" s="222">
        <f>phauthuat!A4</f>
        <v/>
      </c>
      <c r="H4" s="109" t="n"/>
      <c r="I4" s="109" t="n"/>
      <c r="J4" s="109" t="n"/>
    </row>
    <row r="5">
      <c r="A5" s="110" t="n"/>
      <c r="B5" s="110" t="n"/>
      <c r="C5" s="110" t="n"/>
      <c r="D5" s="110" t="n"/>
      <c r="E5" s="110" t="n"/>
      <c r="F5" s="112" t="inlineStr">
        <is>
          <t>Số GB vượt &gt;100%</t>
        </is>
      </c>
      <c r="G5" s="115">
        <f>IF((D7-D6)&gt;0,D7-D6,0)</f>
        <v/>
      </c>
    </row>
    <row r="6">
      <c r="A6" s="113" t="inlineStr">
        <is>
          <t xml:space="preserve">Giường phân bổ: 40 GB Tổng Ngày giường Kế hoạch </t>
        </is>
      </c>
      <c r="C6" s="113" t="n"/>
      <c r="D6" s="114">
        <f>40*31</f>
        <v/>
      </c>
      <c r="E6" s="113" t="n"/>
      <c r="F6" s="112" t="inlineStr">
        <is>
          <t>Số GB vượt 80%-100%</t>
        </is>
      </c>
      <c r="G6" s="115">
        <f>IF(D7-D6*0.8&gt;0,(D7-D6*0.8)-G5,0)</f>
        <v/>
      </c>
    </row>
    <row r="7">
      <c r="A7" s="113" t="inlineStr">
        <is>
          <t>Ngày giường thực hiện</t>
        </is>
      </c>
      <c r="C7" s="113" t="n"/>
      <c r="D7" s="246">
        <f>F1203</f>
        <v/>
      </c>
      <c r="E7" s="113" t="n"/>
      <c r="F7" s="112" t="inlineStr">
        <is>
          <t>Công suất GB:</t>
        </is>
      </c>
      <c r="G7" s="223">
        <f>D7/D6*100%</f>
        <v/>
      </c>
      <c r="H7" s="247" t="n"/>
    </row>
    <row r="8" ht="15.75" customHeight="1">
      <c r="A8" s="117" t="inlineStr">
        <is>
          <t>STT</t>
        </is>
      </c>
      <c r="B8" s="117" t="inlineStr">
        <is>
          <t>Ngày</t>
        </is>
      </c>
      <c r="C8" s="117" t="inlineStr">
        <is>
          <t>Họ và tên</t>
        </is>
      </c>
      <c r="D8" s="117" t="inlineStr">
        <is>
          <t>Tuổi</t>
        </is>
      </c>
      <c r="E8" s="117" t="inlineStr">
        <is>
          <t>Tên CLS</t>
        </is>
      </c>
      <c r="F8" s="248" t="inlineStr">
        <is>
          <t>Số Lượng</t>
        </is>
      </c>
      <c r="G8" s="248" t="inlineStr">
        <is>
          <t>Thành tiền</t>
        </is>
      </c>
    </row>
    <row r="9" ht="15.75" customHeight="1">
      <c r="A9" s="119" t="n">
        <v>1</v>
      </c>
      <c r="B9" s="119" t="inlineStr">
        <is>
          <t>2026/07/15 08:35</t>
        </is>
      </c>
      <c r="C9" s="119" t="inlineStr">
        <is>
          <t>LÂM THỊ THÚY</t>
        </is>
      </c>
      <c r="D9" s="119" t="inlineStr">
        <is>
          <t>01/01/1972</t>
        </is>
      </c>
      <c r="E9" s="119" t="inlineStr">
        <is>
          <t>Giường Nội khoa loại 2 - Khoa Chấn thương chỉnh hình</t>
        </is>
      </c>
      <c r="F9" s="249" t="n">
        <v>1</v>
      </c>
      <c r="G9" s="249" t="n">
        <v>222300</v>
      </c>
    </row>
    <row r="10" ht="15.75" customHeight="1">
      <c r="A10" s="119" t="n">
        <v>2</v>
      </c>
      <c r="B10" s="119" t="inlineStr">
        <is>
          <t>2026/07/16 00:00</t>
        </is>
      </c>
      <c r="C10" s="119" t="inlineStr">
        <is>
          <t>LÂM THỊ THÚY</t>
        </is>
      </c>
      <c r="D10" s="119" t="inlineStr">
        <is>
          <t>01/01/1972</t>
        </is>
      </c>
      <c r="E10" s="119" t="inlineStr">
        <is>
          <t>Giường Nội khoa loại 2 - Khoa Chấn thương chỉnh hình</t>
        </is>
      </c>
      <c r="F10" s="249" t="n">
        <v>1</v>
      </c>
      <c r="G10" s="249" t="n">
        <v>222300</v>
      </c>
    </row>
    <row r="11" ht="15.75" customHeight="1">
      <c r="A11" s="119" t="n">
        <v>3</v>
      </c>
      <c r="B11" s="119" t="inlineStr">
        <is>
          <t>2026/07/17 00:00</t>
        </is>
      </c>
      <c r="C11" s="119" t="inlineStr">
        <is>
          <t>LÂM THỊ THÚY</t>
        </is>
      </c>
      <c r="D11" s="119" t="inlineStr">
        <is>
          <t>01/01/1972</t>
        </is>
      </c>
      <c r="E11" s="119" t="inlineStr">
        <is>
          <t>Giường Nội khoa loại 2 - Khoa Chấn thương chỉnh hình</t>
        </is>
      </c>
      <c r="F11" s="249" t="n">
        <v>1</v>
      </c>
      <c r="G11" s="249" t="n">
        <v>222300</v>
      </c>
    </row>
    <row r="12" ht="15.75" customHeight="1">
      <c r="A12" s="119" t="n">
        <v>4</v>
      </c>
      <c r="B12" s="119" t="inlineStr">
        <is>
          <t>2026/07/17 11:09</t>
        </is>
      </c>
      <c r="C12" s="119" t="inlineStr">
        <is>
          <t>LÊ TRƯỜNG GIANG</t>
        </is>
      </c>
      <c r="D12" s="119" t="inlineStr">
        <is>
          <t>01/01/1980</t>
        </is>
      </c>
      <c r="E12" s="119" t="inlineStr">
        <is>
          <t>Giường Nội khoa loại 2 - Khoa Chấn thương chỉnh hình</t>
        </is>
      </c>
      <c r="F12" s="249" t="n">
        <v>1</v>
      </c>
      <c r="G12" s="249" t="n">
        <v>222300</v>
      </c>
    </row>
    <row r="13" ht="15.75" customHeight="1">
      <c r="A13" s="119" t="n">
        <v>5</v>
      </c>
      <c r="B13" s="119" t="inlineStr">
        <is>
          <t>2026/07/18 00:00</t>
        </is>
      </c>
      <c r="C13" s="119" t="inlineStr">
        <is>
          <t>LÂM THỊ THÚY</t>
        </is>
      </c>
      <c r="D13" s="119" t="inlineStr">
        <is>
          <t>01/01/1972</t>
        </is>
      </c>
      <c r="E13" s="119" t="inlineStr">
        <is>
          <t>Giường Nội khoa loại 2 - Khoa Chấn thương chỉnh hình</t>
        </is>
      </c>
      <c r="F13" s="249" t="n">
        <v>1</v>
      </c>
      <c r="G13" s="249" t="n">
        <v>222300</v>
      </c>
    </row>
    <row r="14" ht="15.75" customHeight="1">
      <c r="A14" s="119" t="n">
        <v>6</v>
      </c>
      <c r="B14" s="119" t="inlineStr">
        <is>
          <t>2026/07/18 00:00</t>
        </is>
      </c>
      <c r="C14" s="119" t="inlineStr">
        <is>
          <t>LÊ TRƯỜNG GIANG</t>
        </is>
      </c>
      <c r="D14" s="119" t="inlineStr">
        <is>
          <t>01/01/1980</t>
        </is>
      </c>
      <c r="E14" s="119" t="inlineStr">
        <is>
          <t>Giường Nội khoa loại 2 - Khoa Chấn thương chỉnh hình</t>
        </is>
      </c>
      <c r="F14" s="249" t="n">
        <v>1</v>
      </c>
      <c r="G14" s="249" t="n">
        <v>222300</v>
      </c>
    </row>
    <row r="15" ht="15.75" customHeight="1">
      <c r="A15" s="119" t="n">
        <v>7</v>
      </c>
      <c r="B15" s="119" t="inlineStr">
        <is>
          <t>2026/07/19 00:00</t>
        </is>
      </c>
      <c r="C15" s="119" t="inlineStr">
        <is>
          <t>LÂM THỊ THÚY</t>
        </is>
      </c>
      <c r="D15" s="119" t="inlineStr">
        <is>
          <t>01/01/1972</t>
        </is>
      </c>
      <c r="E15" s="119" t="inlineStr">
        <is>
          <t>Giường Nội khoa loại 2 - Khoa Chấn thương chỉnh hình</t>
        </is>
      </c>
      <c r="F15" s="249" t="n">
        <v>1</v>
      </c>
      <c r="G15" s="249" t="n">
        <v>222300</v>
      </c>
    </row>
    <row r="16" ht="15.75" customHeight="1">
      <c r="A16" s="119" t="n">
        <v>8</v>
      </c>
      <c r="B16" s="119" t="inlineStr">
        <is>
          <t>2026/07/19 00:00</t>
        </is>
      </c>
      <c r="C16" s="119" t="inlineStr">
        <is>
          <t>LÊ TRƯỜNG GIANG</t>
        </is>
      </c>
      <c r="D16" s="119" t="inlineStr">
        <is>
          <t>01/01/1980</t>
        </is>
      </c>
      <c r="E16" s="119" t="inlineStr">
        <is>
          <t>Giường Nội khoa loại 2 - Khoa Chấn thương chỉnh hình</t>
        </is>
      </c>
      <c r="F16" s="249" t="n">
        <v>1</v>
      </c>
      <c r="G16" s="249" t="n">
        <v>222300</v>
      </c>
    </row>
    <row r="17" ht="15.75" customHeight="1">
      <c r="A17" s="119" t="n">
        <v>9</v>
      </c>
      <c r="B17" s="119" t="inlineStr">
        <is>
          <t>2026/07/19 11:00</t>
        </is>
      </c>
      <c r="C17" s="119" t="inlineStr">
        <is>
          <t>VÕ THỊ HUỆ</t>
        </is>
      </c>
      <c r="D17" s="119" t="inlineStr">
        <is>
          <t>01/01/1948</t>
        </is>
      </c>
      <c r="E17" s="119" t="inlineStr">
        <is>
          <t>Giường Nội khoa loại 2 - Khoa Chấn thương chỉnh hình</t>
        </is>
      </c>
      <c r="F17" s="249" t="n">
        <v>1</v>
      </c>
      <c r="G17" s="249" t="n">
        <v>222300</v>
      </c>
    </row>
    <row r="18" ht="15.75" customHeight="1">
      <c r="A18" s="119" t="n">
        <v>10</v>
      </c>
      <c r="B18" s="119" t="inlineStr">
        <is>
          <t>2026/07/20 00:00</t>
        </is>
      </c>
      <c r="C18" s="119" t="inlineStr">
        <is>
          <t>LÂM THỊ THÚY</t>
        </is>
      </c>
      <c r="D18" s="119" t="inlineStr">
        <is>
          <t>01/01/1972</t>
        </is>
      </c>
      <c r="E18" s="119" t="inlineStr">
        <is>
          <t>Giường Nội khoa loại 2 - Khoa Chấn thương chỉnh hình</t>
        </is>
      </c>
      <c r="F18" s="249" t="n">
        <v>1</v>
      </c>
      <c r="G18" s="249" t="n">
        <v>222300</v>
      </c>
    </row>
    <row r="19" ht="15.75" customHeight="1">
      <c r="A19" s="119" t="n">
        <v>11</v>
      </c>
      <c r="B19" s="119" t="inlineStr">
        <is>
          <t>2026/07/20 00:00</t>
        </is>
      </c>
      <c r="C19" s="119" t="inlineStr">
        <is>
          <t>LÊ TRƯỜNG GIANG</t>
        </is>
      </c>
      <c r="D19" s="119" t="inlineStr">
        <is>
          <t>01/01/1980</t>
        </is>
      </c>
      <c r="E19" s="119" t="inlineStr">
        <is>
          <t>Giường Nội khoa loại 2 - Khoa Chấn thương chỉnh hình</t>
        </is>
      </c>
      <c r="F19" s="249" t="n">
        <v>1</v>
      </c>
      <c r="G19" s="249" t="n">
        <v>222300</v>
      </c>
    </row>
    <row r="20" ht="15.75" customHeight="1">
      <c r="A20" s="119" t="n">
        <v>12</v>
      </c>
      <c r="B20" s="119" t="inlineStr">
        <is>
          <t>2026/07/20 00:00</t>
        </is>
      </c>
      <c r="C20" s="119" t="inlineStr">
        <is>
          <t>VÕ THỊ HUỆ</t>
        </is>
      </c>
      <c r="D20" s="119" t="inlineStr">
        <is>
          <t>01/01/1948</t>
        </is>
      </c>
      <c r="E20" s="119" t="inlineStr">
        <is>
          <t>Giường Nội khoa loại 2 - Khoa Chấn thương chỉnh hình</t>
        </is>
      </c>
      <c r="F20" s="249" t="n">
        <v>1</v>
      </c>
      <c r="G20" s="249" t="n">
        <v>222300</v>
      </c>
    </row>
    <row r="21" ht="15.75" customHeight="1">
      <c r="A21" s="119" t="n">
        <v>13</v>
      </c>
      <c r="B21" s="119" t="inlineStr">
        <is>
          <t>2026/07/20 09:32</t>
        </is>
      </c>
      <c r="C21" s="119" t="inlineStr">
        <is>
          <t>THỊ MỸ</t>
        </is>
      </c>
      <c r="D21" s="119" t="inlineStr">
        <is>
          <t>01/01/1971</t>
        </is>
      </c>
      <c r="E21" s="119" t="inlineStr">
        <is>
          <t>Giường Nội khoa loại 2 - Khoa Chấn thương chỉnh hình</t>
        </is>
      </c>
      <c r="F21" s="249" t="n">
        <v>1</v>
      </c>
      <c r="G21" s="249" t="n">
        <v>222300</v>
      </c>
    </row>
    <row r="22" ht="15.75" customHeight="1">
      <c r="A22" s="119" t="n">
        <v>14</v>
      </c>
      <c r="B22" s="119" t="inlineStr">
        <is>
          <t>2026/07/21 00:00</t>
        </is>
      </c>
      <c r="C22" s="119" t="inlineStr">
        <is>
          <t>THỊ MỸ</t>
        </is>
      </c>
      <c r="D22" s="119" t="inlineStr">
        <is>
          <t>01/01/1971</t>
        </is>
      </c>
      <c r="E22" s="119" t="inlineStr">
        <is>
          <t>Giường Nội khoa loại 2 - Khoa Chấn thương chỉnh hình</t>
        </is>
      </c>
      <c r="F22" s="249" t="n">
        <v>1</v>
      </c>
      <c r="G22" s="249" t="n">
        <v>222300</v>
      </c>
    </row>
    <row r="23" ht="15.75" customHeight="1">
      <c r="A23" s="119" t="n">
        <v>15</v>
      </c>
      <c r="B23" s="119" t="inlineStr">
        <is>
          <t>2026/07/21 00:00</t>
        </is>
      </c>
      <c r="C23" s="119" t="inlineStr">
        <is>
          <t>VÕ THỊ HUỆ</t>
        </is>
      </c>
      <c r="D23" s="119" t="inlineStr">
        <is>
          <t>01/01/1948</t>
        </is>
      </c>
      <c r="E23" s="119" t="inlineStr">
        <is>
          <t>Giường Nội khoa loại 2 - Khoa Chấn thương chỉnh hình</t>
        </is>
      </c>
      <c r="F23" s="249" t="n">
        <v>1</v>
      </c>
      <c r="G23" s="249" t="n">
        <v>222300</v>
      </c>
    </row>
    <row r="24" ht="15.75" customHeight="1">
      <c r="A24" s="119" t="n">
        <v>16</v>
      </c>
      <c r="B24" s="119" t="inlineStr">
        <is>
          <t>2026/07/21 15:53</t>
        </is>
      </c>
      <c r="C24" s="119" t="inlineStr">
        <is>
          <t>LÂM THỊ THÚY</t>
        </is>
      </c>
      <c r="D24" s="119" t="inlineStr">
        <is>
          <t>01/01/1972</t>
        </is>
      </c>
      <c r="E24" s="119" t="inlineStr">
        <is>
          <t>Giường Ngoại khoa loại 1 - Khoa Chấn thương chỉnh hình</t>
        </is>
      </c>
      <c r="F24" s="249" t="n">
        <v>1</v>
      </c>
      <c r="G24" s="249" t="n">
        <v>341800</v>
      </c>
    </row>
    <row r="25" ht="15.75" customHeight="1">
      <c r="A25" s="119" t="n">
        <v>17</v>
      </c>
      <c r="B25" s="119" t="inlineStr">
        <is>
          <t>2026/07/21 22:20</t>
        </is>
      </c>
      <c r="C25" s="119" t="inlineStr">
        <is>
          <t>LÊ TRƯỜNG GIANG</t>
        </is>
      </c>
      <c r="D25" s="119" t="inlineStr">
        <is>
          <t>01/01/1980</t>
        </is>
      </c>
      <c r="E25" s="119" t="inlineStr">
        <is>
          <t>Giường Ngoại khoa loại 1 - Khoa Chấn thương chỉnh hình</t>
        </is>
      </c>
      <c r="F25" s="249" t="n">
        <v>1</v>
      </c>
      <c r="G25" s="249" t="n">
        <v>341800</v>
      </c>
    </row>
    <row r="26" ht="15.75" customHeight="1">
      <c r="A26" s="119" t="n">
        <v>18</v>
      </c>
      <c r="B26" s="119" t="inlineStr">
        <is>
          <t>2026/07/22 00:00</t>
        </is>
      </c>
      <c r="C26" s="119" t="inlineStr">
        <is>
          <t>LÂM THỊ THÚY</t>
        </is>
      </c>
      <c r="D26" s="119" t="inlineStr">
        <is>
          <t>01/01/1972</t>
        </is>
      </c>
      <c r="E26" s="119" t="inlineStr">
        <is>
          <t>Giường Ngoại khoa loại 1 - Khoa Chấn thương chỉnh hình</t>
        </is>
      </c>
      <c r="F26" s="249" t="n">
        <v>1</v>
      </c>
      <c r="G26" s="249" t="n">
        <v>341800</v>
      </c>
    </row>
    <row r="27" ht="15.75" customHeight="1">
      <c r="A27" s="119" t="n">
        <v>19</v>
      </c>
      <c r="B27" s="119" t="inlineStr">
        <is>
          <t>2026/07/22 00:00</t>
        </is>
      </c>
      <c r="C27" s="119" t="inlineStr">
        <is>
          <t>LÊ TRƯỜNG GIANG</t>
        </is>
      </c>
      <c r="D27" s="119" t="inlineStr">
        <is>
          <t>01/01/1980</t>
        </is>
      </c>
      <c r="E27" s="119" t="inlineStr">
        <is>
          <t>Giường Ngoại khoa loại 1 - Khoa Chấn thương chỉnh hình</t>
        </is>
      </c>
      <c r="F27" s="249" t="n">
        <v>1</v>
      </c>
      <c r="G27" s="249" t="n">
        <v>341800</v>
      </c>
    </row>
    <row r="28" ht="15.75" customHeight="1">
      <c r="A28" s="119" t="n">
        <v>20</v>
      </c>
      <c r="B28" s="119" t="inlineStr">
        <is>
          <t>2026/07/22 00:00</t>
        </is>
      </c>
      <c r="C28" s="119" t="inlineStr">
        <is>
          <t>THỊ MỸ</t>
        </is>
      </c>
      <c r="D28" s="119" t="inlineStr">
        <is>
          <t>01/01/1971</t>
        </is>
      </c>
      <c r="E28" s="119" t="inlineStr">
        <is>
          <t>Giường Nội khoa loại 2 - Khoa Chấn thương chỉnh hình</t>
        </is>
      </c>
      <c r="F28" s="249" t="n">
        <v>1</v>
      </c>
      <c r="G28" s="249" t="n">
        <v>222300</v>
      </c>
    </row>
    <row r="29" ht="15.75" customHeight="1">
      <c r="A29" s="119" t="n">
        <v>21</v>
      </c>
      <c r="B29" s="119" t="inlineStr">
        <is>
          <t>2026/07/22 00:00</t>
        </is>
      </c>
      <c r="C29" s="119" t="inlineStr">
        <is>
          <t>VÕ THỊ HUỆ</t>
        </is>
      </c>
      <c r="D29" s="119" t="inlineStr">
        <is>
          <t>01/01/1948</t>
        </is>
      </c>
      <c r="E29" s="119" t="inlineStr">
        <is>
          <t>Giường Nội khoa loại 2 - Khoa Chấn thương chỉnh hình</t>
        </is>
      </c>
      <c r="F29" s="249" t="n">
        <v>1</v>
      </c>
      <c r="G29" s="249" t="n">
        <v>222300</v>
      </c>
    </row>
    <row r="30" ht="15.75" customHeight="1">
      <c r="A30" s="119" t="n">
        <v>22</v>
      </c>
      <c r="B30" s="119" t="inlineStr">
        <is>
          <t>2026/07/22 12:35</t>
        </is>
      </c>
      <c r="C30" s="119" t="inlineStr">
        <is>
          <t>PHẠM THỊ NGỌC ÁNH</t>
        </is>
      </c>
      <c r="D30" s="119" t="inlineStr">
        <is>
          <t>01/01/1957</t>
        </is>
      </c>
      <c r="E30" s="119" t="inlineStr">
        <is>
          <t>Giường Nội khoa loại 2 - Khoa Chấn thương chỉnh hình</t>
        </is>
      </c>
      <c r="F30" s="249" t="n">
        <v>1</v>
      </c>
      <c r="G30" s="249" t="n">
        <v>222300</v>
      </c>
    </row>
    <row r="31" ht="15.75" customHeight="1">
      <c r="A31" s="119" t="n">
        <v>23</v>
      </c>
      <c r="B31" s="119" t="inlineStr">
        <is>
          <t>2026/07/23 00:00</t>
        </is>
      </c>
      <c r="C31" s="119" t="inlineStr">
        <is>
          <t>LÂM THỊ THÚY</t>
        </is>
      </c>
      <c r="D31" s="119" t="inlineStr">
        <is>
          <t>01/01/1972</t>
        </is>
      </c>
      <c r="E31" s="119" t="inlineStr">
        <is>
          <t>Giường Ngoại khoa loại 1 - Khoa Chấn thương chỉnh hình</t>
        </is>
      </c>
      <c r="F31" s="249" t="n">
        <v>1</v>
      </c>
      <c r="G31" s="249" t="n">
        <v>341800</v>
      </c>
    </row>
    <row r="32" ht="15.75" customHeight="1">
      <c r="A32" s="119" t="n">
        <v>24</v>
      </c>
      <c r="B32" s="119" t="inlineStr">
        <is>
          <t>2026/07/23 00:00</t>
        </is>
      </c>
      <c r="C32" s="119" t="inlineStr">
        <is>
          <t>LÊ TRƯỜNG GIANG</t>
        </is>
      </c>
      <c r="D32" s="119" t="inlineStr">
        <is>
          <t>01/01/1980</t>
        </is>
      </c>
      <c r="E32" s="119" t="inlineStr">
        <is>
          <t>Giường Ngoại khoa loại 1 - Khoa Chấn thương chỉnh hình</t>
        </is>
      </c>
      <c r="F32" s="249" t="n">
        <v>1</v>
      </c>
      <c r="G32" s="249" t="n">
        <v>341800</v>
      </c>
    </row>
    <row r="33" ht="15.75" customHeight="1">
      <c r="A33" s="119" t="n">
        <v>25</v>
      </c>
      <c r="B33" s="119" t="inlineStr">
        <is>
          <t>2026/07/23 00:00</t>
        </is>
      </c>
      <c r="C33" s="119" t="inlineStr">
        <is>
          <t>THỊ MỸ</t>
        </is>
      </c>
      <c r="D33" s="119" t="inlineStr">
        <is>
          <t>01/01/1971</t>
        </is>
      </c>
      <c r="E33" s="119" t="inlineStr">
        <is>
          <t>Giường Nội khoa loại 2 - Khoa Chấn thương chỉnh hình</t>
        </is>
      </c>
      <c r="F33" s="249" t="n">
        <v>1</v>
      </c>
      <c r="G33" s="249" t="n">
        <v>222300</v>
      </c>
    </row>
    <row r="34" ht="15.75" customHeight="1">
      <c r="A34" s="119" t="n">
        <v>26</v>
      </c>
      <c r="B34" s="119" t="inlineStr">
        <is>
          <t>2026/07/23 00:00</t>
        </is>
      </c>
      <c r="C34" s="119" t="inlineStr">
        <is>
          <t>VÕ THỊ HUỆ</t>
        </is>
      </c>
      <c r="D34" s="119" t="inlineStr">
        <is>
          <t>01/01/1948</t>
        </is>
      </c>
      <c r="E34" s="119" t="inlineStr">
        <is>
          <t>Giường Nội khoa loại 2 - Khoa Chấn thương chỉnh hình</t>
        </is>
      </c>
      <c r="F34" s="249" t="n">
        <v>1</v>
      </c>
      <c r="G34" s="249" t="n">
        <v>222300</v>
      </c>
    </row>
    <row r="35" ht="15.75" customHeight="1">
      <c r="A35" s="119" t="n">
        <v>27</v>
      </c>
      <c r="B35" s="119" t="inlineStr">
        <is>
          <t>2026/07/23 00:00</t>
        </is>
      </c>
      <c r="C35" s="119" t="inlineStr">
        <is>
          <t>PHẠM THỊ NGỌC ÁNH</t>
        </is>
      </c>
      <c r="D35" s="119" t="inlineStr">
        <is>
          <t>01/01/1957</t>
        </is>
      </c>
      <c r="E35" s="119" t="inlineStr">
        <is>
          <t>Giường Nội khoa loại 2 - Khoa Chấn thương chỉnh hình</t>
        </is>
      </c>
      <c r="F35" s="249" t="n">
        <v>1</v>
      </c>
      <c r="G35" s="249" t="n">
        <v>222300</v>
      </c>
    </row>
    <row r="36" ht="15.75" customHeight="1">
      <c r="A36" s="119" t="n">
        <v>28</v>
      </c>
      <c r="B36" s="119" t="inlineStr">
        <is>
          <t>2026/07/24 00:00</t>
        </is>
      </c>
      <c r="C36" s="119" t="inlineStr">
        <is>
          <t>LÂM THỊ THÚY</t>
        </is>
      </c>
      <c r="D36" s="119" t="inlineStr">
        <is>
          <t>01/01/1972</t>
        </is>
      </c>
      <c r="E36" s="119" t="inlineStr">
        <is>
          <t>Giường Ngoại khoa loại 1 - Khoa Chấn thương chỉnh hình</t>
        </is>
      </c>
      <c r="F36" s="249" t="n">
        <v>1</v>
      </c>
      <c r="G36" s="249" t="n">
        <v>341800</v>
      </c>
    </row>
    <row r="37" ht="15.75" customHeight="1">
      <c r="A37" s="119" t="n">
        <v>29</v>
      </c>
      <c r="B37" s="119" t="inlineStr">
        <is>
          <t>2026/07/24 00:00</t>
        </is>
      </c>
      <c r="C37" s="119" t="inlineStr">
        <is>
          <t>LÊ TRƯỜNG GIANG</t>
        </is>
      </c>
      <c r="D37" s="119" t="inlineStr">
        <is>
          <t>01/01/1980</t>
        </is>
      </c>
      <c r="E37" s="119" t="inlineStr">
        <is>
          <t>Giường Ngoại khoa loại 1 - Khoa Chấn thương chỉnh hình</t>
        </is>
      </c>
      <c r="F37" s="249" t="n">
        <v>1</v>
      </c>
      <c r="G37" s="249" t="n">
        <v>341800</v>
      </c>
    </row>
    <row r="38" ht="15.75" customHeight="1">
      <c r="A38" s="119" t="n">
        <v>30</v>
      </c>
      <c r="B38" s="119" t="inlineStr">
        <is>
          <t>2026/07/24 00:00</t>
        </is>
      </c>
      <c r="C38" s="119" t="inlineStr">
        <is>
          <t>THỊ MỸ</t>
        </is>
      </c>
      <c r="D38" s="119" t="inlineStr">
        <is>
          <t>01/01/1971</t>
        </is>
      </c>
      <c r="E38" s="119" t="inlineStr">
        <is>
          <t>Giường Nội khoa loại 2 - Khoa Chấn thương chỉnh hình</t>
        </is>
      </c>
      <c r="F38" s="249" t="n">
        <v>1</v>
      </c>
      <c r="G38" s="249" t="n">
        <v>222300</v>
      </c>
    </row>
    <row r="39" ht="15.75" customHeight="1">
      <c r="A39" s="119" t="n">
        <v>31</v>
      </c>
      <c r="B39" s="119" t="inlineStr">
        <is>
          <t>2026/07/24 00:00</t>
        </is>
      </c>
      <c r="C39" s="119" t="inlineStr">
        <is>
          <t>VÕ THỊ HUỆ</t>
        </is>
      </c>
      <c r="D39" s="119" t="inlineStr">
        <is>
          <t>01/01/1948</t>
        </is>
      </c>
      <c r="E39" s="119" t="inlineStr">
        <is>
          <t>Giường Nội khoa loại 2 - Khoa Chấn thương chỉnh hình</t>
        </is>
      </c>
      <c r="F39" s="249" t="n">
        <v>1</v>
      </c>
      <c r="G39" s="249" t="n">
        <v>222300</v>
      </c>
    </row>
    <row r="40" ht="15.75" customHeight="1">
      <c r="A40" s="119" t="n">
        <v>32</v>
      </c>
      <c r="B40" s="119" t="inlineStr">
        <is>
          <t>2026/07/24 00:00</t>
        </is>
      </c>
      <c r="C40" s="119" t="inlineStr">
        <is>
          <t>NGUYỄN THỊ NĂM</t>
        </is>
      </c>
      <c r="D40" s="119" t="inlineStr">
        <is>
          <t>01/01/1939</t>
        </is>
      </c>
      <c r="E40" s="119" t="inlineStr">
        <is>
          <t>Giường Ngoại khoa loại 3 - Khoa Chấn thương chỉnh hình</t>
        </is>
      </c>
      <c r="F40" s="249" t="n">
        <v>1</v>
      </c>
      <c r="G40" s="249" t="n">
        <v>269200</v>
      </c>
    </row>
    <row r="41" ht="15.75" customHeight="1">
      <c r="A41" s="119" t="n">
        <v>33</v>
      </c>
      <c r="B41" s="119" t="inlineStr">
        <is>
          <t>2026/07/24 00:00</t>
        </is>
      </c>
      <c r="C41" s="119" t="inlineStr">
        <is>
          <t>PHẠM THỊ NGỌC ÁNH</t>
        </is>
      </c>
      <c r="D41" s="119" t="inlineStr">
        <is>
          <t>01/01/1957</t>
        </is>
      </c>
      <c r="E41" s="119" t="inlineStr">
        <is>
          <t>Giường Nội khoa loại 2 - Khoa Chấn thương chỉnh hình</t>
        </is>
      </c>
      <c r="F41" s="249" t="n">
        <v>1</v>
      </c>
      <c r="G41" s="249" t="n">
        <v>222300</v>
      </c>
    </row>
    <row r="42" ht="15.75" customHeight="1">
      <c r="A42" s="119" t="n">
        <v>34</v>
      </c>
      <c r="B42" s="119" t="inlineStr">
        <is>
          <t>2026/07/24 09:36</t>
        </is>
      </c>
      <c r="C42" s="119" t="inlineStr">
        <is>
          <t>NGUYỄN VĂN CƯ</t>
        </is>
      </c>
      <c r="D42" s="119" t="inlineStr">
        <is>
          <t>20/09/1951</t>
        </is>
      </c>
      <c r="E42" s="119" t="inlineStr">
        <is>
          <t>Giường Nội khoa loại 2 - Khoa Chấn thương chỉnh hình</t>
        </is>
      </c>
      <c r="F42" s="249" t="n">
        <v>1</v>
      </c>
      <c r="G42" s="249" t="n">
        <v>222300</v>
      </c>
    </row>
    <row r="43" ht="15.75" customHeight="1">
      <c r="A43" s="119" t="n">
        <v>35</v>
      </c>
      <c r="B43" s="119" t="inlineStr">
        <is>
          <t>2026/07/24 18:45</t>
        </is>
      </c>
      <c r="C43" s="119" t="inlineStr">
        <is>
          <t>NGUYỄN NHẬT VÂN</t>
        </is>
      </c>
      <c r="D43" s="119" t="inlineStr">
        <is>
          <t>01/01/1967</t>
        </is>
      </c>
      <c r="E43" s="119" t="inlineStr">
        <is>
          <t>Giường Nội khoa loại 2 - Khoa Chấn thương chỉnh hình</t>
        </is>
      </c>
      <c r="F43" s="249" t="n">
        <v>1</v>
      </c>
      <c r="G43" s="249" t="n">
        <v>222300</v>
      </c>
    </row>
    <row r="44" ht="15.75" customHeight="1">
      <c r="A44" s="119" t="n">
        <v>36</v>
      </c>
      <c r="B44" s="119" t="inlineStr">
        <is>
          <t>2026/07/25 00:00</t>
        </is>
      </c>
      <c r="C44" s="119" t="inlineStr">
        <is>
          <t>LÂM THỊ THÚY</t>
        </is>
      </c>
      <c r="D44" s="119" t="inlineStr">
        <is>
          <t>01/01/1972</t>
        </is>
      </c>
      <c r="E44" s="119" t="inlineStr">
        <is>
          <t>Giường Ngoại khoa loại 1 - Khoa Chấn thương chỉnh hình</t>
        </is>
      </c>
      <c r="F44" s="249" t="n">
        <v>1</v>
      </c>
      <c r="G44" s="249" t="n">
        <v>341800</v>
      </c>
    </row>
    <row r="45" ht="15.75" customHeight="1">
      <c r="A45" s="119" t="n">
        <v>37</v>
      </c>
      <c r="B45" s="119" t="inlineStr">
        <is>
          <t>2026/07/25 00:00</t>
        </is>
      </c>
      <c r="C45" s="119" t="inlineStr">
        <is>
          <t>LÊ TRƯỜNG GIANG</t>
        </is>
      </c>
      <c r="D45" s="119" t="inlineStr">
        <is>
          <t>01/01/1980</t>
        </is>
      </c>
      <c r="E45" s="119" t="inlineStr">
        <is>
          <t>Giường Ngoại khoa loại 1 - Khoa Chấn thương chỉnh hình</t>
        </is>
      </c>
      <c r="F45" s="249" t="n">
        <v>1</v>
      </c>
      <c r="G45" s="249" t="n">
        <v>341800</v>
      </c>
    </row>
    <row r="46" ht="15.75" customHeight="1">
      <c r="A46" s="119" t="n">
        <v>38</v>
      </c>
      <c r="B46" s="119" t="inlineStr">
        <is>
          <t>2026/07/25 00:00</t>
        </is>
      </c>
      <c r="C46" s="119" t="inlineStr">
        <is>
          <t>NGUYỄN NHẬT VÂN</t>
        </is>
      </c>
      <c r="D46" s="119" t="inlineStr">
        <is>
          <t>01/01/1967</t>
        </is>
      </c>
      <c r="E46" s="119" t="inlineStr">
        <is>
          <t>Giường Nội khoa loại 2 - Khoa Chấn thương chỉnh hình</t>
        </is>
      </c>
      <c r="F46" s="249" t="n">
        <v>1</v>
      </c>
      <c r="G46" s="249" t="n">
        <v>222300</v>
      </c>
    </row>
    <row r="47" ht="15.75" customHeight="1">
      <c r="A47" s="119" t="n">
        <v>39</v>
      </c>
      <c r="B47" s="119" t="inlineStr">
        <is>
          <t>2026/07/25 00:00</t>
        </is>
      </c>
      <c r="C47" s="119" t="inlineStr">
        <is>
          <t>NGUYỄN THỊ NĂM</t>
        </is>
      </c>
      <c r="D47" s="119" t="inlineStr">
        <is>
          <t>01/01/1939</t>
        </is>
      </c>
      <c r="E47" s="119" t="inlineStr">
        <is>
          <t>Giường Ngoại khoa loại 3 - Khoa Chấn thương chỉnh hình</t>
        </is>
      </c>
      <c r="F47" s="249" t="n">
        <v>1</v>
      </c>
      <c r="G47" s="249" t="n">
        <v>269200</v>
      </c>
    </row>
    <row r="48" ht="15.75" customHeight="1">
      <c r="A48" s="119" t="n">
        <v>40</v>
      </c>
      <c r="B48" s="119" t="inlineStr">
        <is>
          <t>2026/07/25 00:00</t>
        </is>
      </c>
      <c r="C48" s="119" t="inlineStr">
        <is>
          <t>NGUYỄN VĂN CƯ</t>
        </is>
      </c>
      <c r="D48" s="119" t="inlineStr">
        <is>
          <t>20/09/1951</t>
        </is>
      </c>
      <c r="E48" s="119" t="inlineStr">
        <is>
          <t>Giường Nội khoa loại 2 - Khoa Chấn thương chỉnh hình</t>
        </is>
      </c>
      <c r="F48" s="249" t="n">
        <v>1</v>
      </c>
      <c r="G48" s="249" t="n">
        <v>222300</v>
      </c>
    </row>
    <row r="49" ht="15.75" customHeight="1">
      <c r="A49" s="119" t="n">
        <v>41</v>
      </c>
      <c r="B49" s="119" t="inlineStr">
        <is>
          <t>2026/07/25 00:00</t>
        </is>
      </c>
      <c r="C49" s="119" t="inlineStr">
        <is>
          <t>THỊ MỸ</t>
        </is>
      </c>
      <c r="D49" s="119" t="inlineStr">
        <is>
          <t>01/01/1971</t>
        </is>
      </c>
      <c r="E49" s="119" t="inlineStr">
        <is>
          <t>Giường Nội khoa loại 2 - Khoa Chấn thương chỉnh hình</t>
        </is>
      </c>
      <c r="F49" s="249" t="n">
        <v>1</v>
      </c>
      <c r="G49" s="249" t="n">
        <v>222300</v>
      </c>
    </row>
    <row r="50" ht="15.75" customHeight="1">
      <c r="A50" s="119" t="n">
        <v>42</v>
      </c>
      <c r="B50" s="119" t="inlineStr">
        <is>
          <t>2026/07/25 00:00</t>
        </is>
      </c>
      <c r="C50" s="119" t="inlineStr">
        <is>
          <t>VÕ THỊ HUỆ</t>
        </is>
      </c>
      <c r="D50" s="119" t="inlineStr">
        <is>
          <t>01/01/1948</t>
        </is>
      </c>
      <c r="E50" s="119" t="inlineStr">
        <is>
          <t>Giường Nội khoa loại 2 - Khoa Chấn thương chỉnh hình</t>
        </is>
      </c>
      <c r="F50" s="249" t="n">
        <v>1</v>
      </c>
      <c r="G50" s="249" t="n">
        <v>222300</v>
      </c>
    </row>
    <row r="51" ht="15.75" customHeight="1">
      <c r="A51" s="119" t="n">
        <v>43</v>
      </c>
      <c r="B51" s="119" t="inlineStr">
        <is>
          <t>2026/07/25 00:00</t>
        </is>
      </c>
      <c r="C51" s="119" t="inlineStr">
        <is>
          <t>PHẠM THỊ NGỌC ÁNH</t>
        </is>
      </c>
      <c r="D51" s="119" t="inlineStr">
        <is>
          <t>01/01/1957</t>
        </is>
      </c>
      <c r="E51" s="119" t="inlineStr">
        <is>
          <t>Giường Nội khoa loại 2 - Khoa Chấn thương chỉnh hình</t>
        </is>
      </c>
      <c r="F51" s="249" t="n">
        <v>1</v>
      </c>
      <c r="G51" s="249" t="n">
        <v>222300</v>
      </c>
    </row>
    <row r="52" ht="15.75" customHeight="1">
      <c r="A52" s="119" t="n">
        <v>44</v>
      </c>
      <c r="B52" s="119" t="inlineStr">
        <is>
          <t>2026/07/26 00:00</t>
        </is>
      </c>
      <c r="C52" s="119" t="inlineStr">
        <is>
          <t>LÂM THỊ THÚY</t>
        </is>
      </c>
      <c r="D52" s="119" t="inlineStr">
        <is>
          <t>01/01/1972</t>
        </is>
      </c>
      <c r="E52" s="119" t="inlineStr">
        <is>
          <t>Giường Ngoại khoa loại 1 - Khoa Chấn thương chỉnh hình</t>
        </is>
      </c>
      <c r="F52" s="249" t="n">
        <v>1</v>
      </c>
      <c r="G52" s="249" t="n">
        <v>341800</v>
      </c>
    </row>
    <row r="53" ht="15.75" customHeight="1">
      <c r="A53" s="119" t="n">
        <v>45</v>
      </c>
      <c r="B53" s="119" t="inlineStr">
        <is>
          <t>2026/07/26 00:00</t>
        </is>
      </c>
      <c r="C53" s="119" t="inlineStr">
        <is>
          <t>LÊ TRƯỜNG GIANG</t>
        </is>
      </c>
      <c r="D53" s="119" t="inlineStr">
        <is>
          <t>01/01/1980</t>
        </is>
      </c>
      <c r="E53" s="119" t="inlineStr">
        <is>
          <t>Giường Ngoại khoa loại 1 - Khoa Chấn thương chỉnh hình</t>
        </is>
      </c>
      <c r="F53" s="249" t="n">
        <v>1</v>
      </c>
      <c r="G53" s="249" t="n">
        <v>341800</v>
      </c>
    </row>
    <row r="54" ht="15.75" customHeight="1">
      <c r="A54" s="119" t="n">
        <v>46</v>
      </c>
      <c r="B54" s="119" t="inlineStr">
        <is>
          <t>2026/07/26 00:00</t>
        </is>
      </c>
      <c r="C54" s="119" t="inlineStr">
        <is>
          <t>NGUYỄN NHẬT VÂN</t>
        </is>
      </c>
      <c r="D54" s="119" t="inlineStr">
        <is>
          <t>01/01/1967</t>
        </is>
      </c>
      <c r="E54" s="119" t="inlineStr">
        <is>
          <t>Giường Nội khoa loại 2 - Khoa Chấn thương chỉnh hình</t>
        </is>
      </c>
      <c r="F54" s="249" t="n">
        <v>1</v>
      </c>
      <c r="G54" s="249" t="n">
        <v>222300</v>
      </c>
    </row>
    <row r="55" ht="15.75" customHeight="1">
      <c r="A55" s="119" t="n">
        <v>47</v>
      </c>
      <c r="B55" s="119" t="inlineStr">
        <is>
          <t>2026/07/26 00:00</t>
        </is>
      </c>
      <c r="C55" s="119" t="inlineStr">
        <is>
          <t>NGUYỄN THỊ NĂM</t>
        </is>
      </c>
      <c r="D55" s="119" t="inlineStr">
        <is>
          <t>01/01/1939</t>
        </is>
      </c>
      <c r="E55" s="119" t="inlineStr">
        <is>
          <t>Giường Ngoại khoa loại 3 - Khoa Chấn thương chỉnh hình</t>
        </is>
      </c>
      <c r="F55" s="249" t="n">
        <v>1</v>
      </c>
      <c r="G55" s="249" t="n">
        <v>269200</v>
      </c>
    </row>
    <row r="56" ht="15.75" customHeight="1">
      <c r="A56" s="119" t="n">
        <v>48</v>
      </c>
      <c r="B56" s="119" t="inlineStr">
        <is>
          <t>2026/07/26 00:00</t>
        </is>
      </c>
      <c r="C56" s="119" t="inlineStr">
        <is>
          <t>NGUYỄN VĂN CƯ</t>
        </is>
      </c>
      <c r="D56" s="119" t="inlineStr">
        <is>
          <t>20/09/1951</t>
        </is>
      </c>
      <c r="E56" s="119" t="inlineStr">
        <is>
          <t>Giường Nội khoa loại 2 - Khoa Chấn thương chỉnh hình</t>
        </is>
      </c>
      <c r="F56" s="249" t="n">
        <v>1</v>
      </c>
      <c r="G56" s="249" t="n">
        <v>222300</v>
      </c>
    </row>
    <row r="57" ht="15.75" customHeight="1">
      <c r="A57" s="119" t="n">
        <v>49</v>
      </c>
      <c r="B57" s="119" t="inlineStr">
        <is>
          <t>2026/07/26 00:00</t>
        </is>
      </c>
      <c r="C57" s="119" t="inlineStr">
        <is>
          <t>THỊ MỸ</t>
        </is>
      </c>
      <c r="D57" s="119" t="inlineStr">
        <is>
          <t>01/01/1971</t>
        </is>
      </c>
      <c r="E57" s="119" t="inlineStr">
        <is>
          <t>Giường Nội khoa loại 2 - Khoa Chấn thương chỉnh hình</t>
        </is>
      </c>
      <c r="F57" s="249" t="n">
        <v>1</v>
      </c>
      <c r="G57" s="249" t="n">
        <v>222300</v>
      </c>
    </row>
    <row r="58" ht="15.75" customHeight="1">
      <c r="A58" s="119" t="n">
        <v>50</v>
      </c>
      <c r="B58" s="119" t="inlineStr">
        <is>
          <t>2026/07/26 00:00</t>
        </is>
      </c>
      <c r="C58" s="119" t="inlineStr">
        <is>
          <t>VÕ THỊ HUỆ</t>
        </is>
      </c>
      <c r="D58" s="119" t="inlineStr">
        <is>
          <t>01/01/1948</t>
        </is>
      </c>
      <c r="E58" s="119" t="inlineStr">
        <is>
          <t>Giường Nội khoa loại 2 - Khoa Chấn thương chỉnh hình</t>
        </is>
      </c>
      <c r="F58" s="249" t="n">
        <v>1</v>
      </c>
      <c r="G58" s="249" t="n">
        <v>222300</v>
      </c>
    </row>
    <row r="59" ht="15.75" customHeight="1">
      <c r="A59" s="119" t="n">
        <v>51</v>
      </c>
      <c r="B59" s="119" t="inlineStr">
        <is>
          <t>2026/07/26 00:00</t>
        </is>
      </c>
      <c r="C59" s="119" t="inlineStr">
        <is>
          <t>PHẠM THỊ NGỌC ÁNH</t>
        </is>
      </c>
      <c r="D59" s="119" t="inlineStr">
        <is>
          <t>01/01/1957</t>
        </is>
      </c>
      <c r="E59" s="119" t="inlineStr">
        <is>
          <t>Giường Nội khoa loại 2 - Khoa Chấn thương chỉnh hình</t>
        </is>
      </c>
      <c r="F59" s="249" t="n">
        <v>1</v>
      </c>
      <c r="G59" s="249" t="n">
        <v>222300</v>
      </c>
    </row>
    <row r="60" ht="15.75" customHeight="1">
      <c r="A60" s="119" t="n">
        <v>52</v>
      </c>
      <c r="B60" s="119" t="inlineStr">
        <is>
          <t>2026/07/26 23:59</t>
        </is>
      </c>
      <c r="C60" s="119" t="inlineStr">
        <is>
          <t>THỊ MỸ</t>
        </is>
      </c>
      <c r="D60" s="119" t="inlineStr">
        <is>
          <t>01/01/1971</t>
        </is>
      </c>
      <c r="E60" s="119" t="inlineStr">
        <is>
          <t>Giường Nội khoa loại 2 - Khoa Chấn thương chỉnh hình</t>
        </is>
      </c>
      <c r="F60" s="249" t="n">
        <v>1</v>
      </c>
      <c r="G60" s="249" t="n">
        <v>222300</v>
      </c>
    </row>
    <row r="61" ht="15.75" customHeight="1">
      <c r="A61" s="119" t="n">
        <v>53</v>
      </c>
      <c r="B61" s="119" t="inlineStr">
        <is>
          <t>2026/07/27 00:00</t>
        </is>
      </c>
      <c r="C61" s="119" t="inlineStr">
        <is>
          <t>LÂM THỊ THÚY</t>
        </is>
      </c>
      <c r="D61" s="119" t="inlineStr">
        <is>
          <t>01/01/1972</t>
        </is>
      </c>
      <c r="E61" s="119" t="inlineStr">
        <is>
          <t>Giường Ngoại khoa loại 1 - Khoa Chấn thương chỉnh hình</t>
        </is>
      </c>
      <c r="F61" s="249" t="n">
        <v>1</v>
      </c>
      <c r="G61" s="249" t="n">
        <v>341800</v>
      </c>
    </row>
    <row r="62" ht="15.75" customHeight="1">
      <c r="A62" s="119" t="n">
        <v>54</v>
      </c>
      <c r="B62" s="119" t="inlineStr">
        <is>
          <t>2026/07/27 00:00</t>
        </is>
      </c>
      <c r="C62" s="119" t="inlineStr">
        <is>
          <t>LÊ TRƯỜNG GIANG</t>
        </is>
      </c>
      <c r="D62" s="119" t="inlineStr">
        <is>
          <t>01/01/1980</t>
        </is>
      </c>
      <c r="E62" s="119" t="inlineStr">
        <is>
          <t>Giường Ngoại khoa loại 1 - Khoa Chấn thương chỉnh hình</t>
        </is>
      </c>
      <c r="F62" s="249" t="n">
        <v>1</v>
      </c>
      <c r="G62" s="249" t="n">
        <v>341800</v>
      </c>
    </row>
    <row r="63" ht="15.75" customHeight="1">
      <c r="A63" s="119" t="n">
        <v>55</v>
      </c>
      <c r="B63" s="119" t="inlineStr">
        <is>
          <t>2026/07/27 00:00</t>
        </is>
      </c>
      <c r="C63" s="119" t="inlineStr">
        <is>
          <t>NGUYỄN NHẬT VÂN</t>
        </is>
      </c>
      <c r="D63" s="119" t="inlineStr">
        <is>
          <t>01/01/1967</t>
        </is>
      </c>
      <c r="E63" s="119" t="inlineStr">
        <is>
          <t>Giường Nội khoa loại 2 - Khoa Chấn thương chỉnh hình</t>
        </is>
      </c>
      <c r="F63" s="249" t="n">
        <v>1</v>
      </c>
      <c r="G63" s="249" t="n">
        <v>222300</v>
      </c>
    </row>
    <row r="64" ht="15.75" customHeight="1">
      <c r="A64" s="119" t="n">
        <v>56</v>
      </c>
      <c r="B64" s="119" t="inlineStr">
        <is>
          <t>2026/07/27 00:00</t>
        </is>
      </c>
      <c r="C64" s="119" t="inlineStr">
        <is>
          <t>NGUYỄN THỊ NĂM</t>
        </is>
      </c>
      <c r="D64" s="119" t="inlineStr">
        <is>
          <t>01/01/1939</t>
        </is>
      </c>
      <c r="E64" s="119" t="inlineStr">
        <is>
          <t>Giường Ngoại khoa loại 3 - Khoa Chấn thương chỉnh hình</t>
        </is>
      </c>
      <c r="F64" s="249" t="n">
        <v>1</v>
      </c>
      <c r="G64" s="249" t="n">
        <v>269200</v>
      </c>
    </row>
    <row r="65" ht="15.75" customHeight="1">
      <c r="A65" s="119" t="n">
        <v>57</v>
      </c>
      <c r="B65" s="119" t="inlineStr">
        <is>
          <t>2026/07/27 00:00</t>
        </is>
      </c>
      <c r="C65" s="119" t="inlineStr">
        <is>
          <t>NGUYỄN VĂN CƯ</t>
        </is>
      </c>
      <c r="D65" s="119" t="inlineStr">
        <is>
          <t>20/09/1951</t>
        </is>
      </c>
      <c r="E65" s="119" t="inlineStr">
        <is>
          <t>Giường Nội khoa loại 2 - Khoa Chấn thương chỉnh hình</t>
        </is>
      </c>
      <c r="F65" s="249" t="n">
        <v>1</v>
      </c>
      <c r="G65" s="249" t="n">
        <v>222300</v>
      </c>
    </row>
    <row r="66" ht="15.75" customHeight="1">
      <c r="A66" s="119" t="n">
        <v>58</v>
      </c>
      <c r="B66" s="119" t="inlineStr">
        <is>
          <t>2026/07/27 00:00</t>
        </is>
      </c>
      <c r="C66" s="119" t="inlineStr">
        <is>
          <t>VÕ THỊ HUỆ</t>
        </is>
      </c>
      <c r="D66" s="119" t="inlineStr">
        <is>
          <t>01/01/1948</t>
        </is>
      </c>
      <c r="E66" s="119" t="inlineStr">
        <is>
          <t>Giường Nội khoa loại 2 - Khoa Chấn thương chỉnh hình</t>
        </is>
      </c>
      <c r="F66" s="249" t="n">
        <v>1</v>
      </c>
      <c r="G66" s="249" t="n">
        <v>222300</v>
      </c>
    </row>
    <row r="67" ht="15.75" customHeight="1">
      <c r="A67" s="119" t="n">
        <v>59</v>
      </c>
      <c r="B67" s="119" t="inlineStr">
        <is>
          <t>2026/07/27 08:35</t>
        </is>
      </c>
      <c r="C67" s="119" t="inlineStr">
        <is>
          <t>NGUYỄN THỊ THANH HÒA</t>
        </is>
      </c>
      <c r="D67" s="119" t="inlineStr">
        <is>
          <t>19/03/1973</t>
        </is>
      </c>
      <c r="E67" s="119" t="inlineStr">
        <is>
          <t>Giường Nội khoa loại 2 - Khoa Chấn thương chỉnh hình</t>
        </is>
      </c>
      <c r="F67" s="249" t="n">
        <v>1</v>
      </c>
      <c r="G67" s="249" t="n">
        <v>222300</v>
      </c>
    </row>
    <row r="68" ht="15.75" customHeight="1">
      <c r="A68" s="119" t="n">
        <v>60</v>
      </c>
      <c r="B68" s="119" t="inlineStr">
        <is>
          <t>2026/07/27 10:31</t>
        </is>
      </c>
      <c r="C68" s="119" t="inlineStr">
        <is>
          <t>LÂM CHÍ VỈNH</t>
        </is>
      </c>
      <c r="D68" s="119" t="inlineStr">
        <is>
          <t>13/07/2006</t>
        </is>
      </c>
      <c r="E68" s="119" t="inlineStr">
        <is>
          <t>Giường Nội khoa loại 2 - Khoa Chấn thương chỉnh hình</t>
        </is>
      </c>
      <c r="F68" s="249" t="n">
        <v>1</v>
      </c>
      <c r="G68" s="249" t="n">
        <v>222300</v>
      </c>
    </row>
    <row r="69" ht="15.75" customHeight="1">
      <c r="A69" s="119" t="n">
        <v>61</v>
      </c>
      <c r="B69" s="119" t="inlineStr">
        <is>
          <t>2026/07/27 11:10</t>
        </is>
      </c>
      <c r="C69" s="119" t="inlineStr">
        <is>
          <t>NGUYỄN THỊ PHỤNG</t>
        </is>
      </c>
      <c r="D69" s="119" t="inlineStr">
        <is>
          <t>01/01/1956</t>
        </is>
      </c>
      <c r="E69" s="119" t="inlineStr">
        <is>
          <t>Giường Nội khoa loại 2 - Khoa Chấn thương chỉnh hình</t>
        </is>
      </c>
      <c r="F69" s="249" t="n">
        <v>1</v>
      </c>
      <c r="G69" s="249" t="n">
        <v>222300</v>
      </c>
    </row>
    <row r="70" ht="15.75" customHeight="1">
      <c r="A70" s="119" t="n">
        <v>62</v>
      </c>
      <c r="B70" s="119" t="inlineStr">
        <is>
          <t>2026/07/27 16:15</t>
        </is>
      </c>
      <c r="C70" s="119" t="inlineStr">
        <is>
          <t>PHẠM THỊ NGỌC ÁNH</t>
        </is>
      </c>
      <c r="D70" s="119" t="inlineStr">
        <is>
          <t>01/01/1957</t>
        </is>
      </c>
      <c r="E70" s="119" t="inlineStr">
        <is>
          <t>Giường Ngoại khoa loại 1 - Khoa Chấn thương chỉnh hình</t>
        </is>
      </c>
      <c r="F70" s="249" t="n">
        <v>1</v>
      </c>
      <c r="G70" s="249" t="n">
        <v>341800</v>
      </c>
    </row>
    <row r="71" ht="15.75" customHeight="1">
      <c r="A71" s="119" t="n">
        <v>63</v>
      </c>
      <c r="B71" s="119" t="inlineStr">
        <is>
          <t>2026/07/27 16:32</t>
        </is>
      </c>
      <c r="C71" s="119" t="inlineStr">
        <is>
          <t>TĂNG THỊ MIỀN</t>
        </is>
      </c>
      <c r="D71" s="119" t="inlineStr">
        <is>
          <t>01/01/1951</t>
        </is>
      </c>
      <c r="E71" s="119" t="inlineStr">
        <is>
          <t>Giường Nội khoa loại 2 - Khoa Chấn thương chỉnh hình</t>
        </is>
      </c>
      <c r="F71" s="249" t="n">
        <v>1</v>
      </c>
      <c r="G71" s="249" t="n">
        <v>222300</v>
      </c>
    </row>
    <row r="72" ht="15.75" customHeight="1">
      <c r="A72" s="119" t="n">
        <v>64</v>
      </c>
      <c r="B72" s="119" t="inlineStr">
        <is>
          <t>2026/07/28 00:00</t>
        </is>
      </c>
      <c r="C72" s="119" t="inlineStr">
        <is>
          <t>LÂM CHÍ VỈNH</t>
        </is>
      </c>
      <c r="D72" s="119" t="inlineStr">
        <is>
          <t>13/07/2006</t>
        </is>
      </c>
      <c r="E72" s="119" t="inlineStr">
        <is>
          <t>Giường Nội khoa loại 2 - Khoa Chấn thương chỉnh hình</t>
        </is>
      </c>
      <c r="F72" s="249" t="n">
        <v>1</v>
      </c>
      <c r="G72" s="249" t="n">
        <v>222300</v>
      </c>
    </row>
    <row r="73" ht="15.75" customHeight="1">
      <c r="A73" s="119" t="n">
        <v>65</v>
      </c>
      <c r="B73" s="119" t="inlineStr">
        <is>
          <t>2026/07/28 00:00</t>
        </is>
      </c>
      <c r="C73" s="119" t="inlineStr">
        <is>
          <t>LÂM THỊ THÚY</t>
        </is>
      </c>
      <c r="D73" s="119" t="inlineStr">
        <is>
          <t>01/01/1972</t>
        </is>
      </c>
      <c r="E73" s="119" t="inlineStr">
        <is>
          <t>Giường Ngoại khoa loại 1 - Khoa Chấn thương chỉnh hình</t>
        </is>
      </c>
      <c r="F73" s="249" t="n">
        <v>1</v>
      </c>
      <c r="G73" s="249" t="n">
        <v>341800</v>
      </c>
    </row>
    <row r="74" ht="15.75" customHeight="1">
      <c r="A74" s="119" t="n">
        <v>66</v>
      </c>
      <c r="B74" s="119" t="inlineStr">
        <is>
          <t>2026/07/28 00:00</t>
        </is>
      </c>
      <c r="C74" s="119" t="inlineStr">
        <is>
          <t>LÊ THỊ THANH NHANH</t>
        </is>
      </c>
      <c r="D74" s="119" t="inlineStr">
        <is>
          <t>01/01/1976</t>
        </is>
      </c>
      <c r="E74" s="119" t="inlineStr">
        <is>
          <t>Giường Nội khoa loại 2 - Khoa Chấn thương chỉnh hình</t>
        </is>
      </c>
      <c r="F74" s="249" t="n">
        <v>1</v>
      </c>
      <c r="G74" s="249" t="n">
        <v>222300</v>
      </c>
    </row>
    <row r="75" ht="15.75" customHeight="1">
      <c r="A75" s="119" t="n">
        <v>67</v>
      </c>
      <c r="B75" s="119" t="inlineStr">
        <is>
          <t>2026/07/28 00:00</t>
        </is>
      </c>
      <c r="C75" s="119" t="inlineStr">
        <is>
          <t>LÊ TRƯỜNG GIANG</t>
        </is>
      </c>
      <c r="D75" s="119" t="inlineStr">
        <is>
          <t>01/01/1980</t>
        </is>
      </c>
      <c r="E75" s="119" t="inlineStr">
        <is>
          <t>Giường Ngoại khoa loại 1 - Khoa Chấn thương chỉnh hình</t>
        </is>
      </c>
      <c r="F75" s="249" t="n">
        <v>1</v>
      </c>
      <c r="G75" s="249" t="n">
        <v>341800</v>
      </c>
    </row>
    <row r="76" ht="15.75" customHeight="1">
      <c r="A76" s="119" t="n">
        <v>68</v>
      </c>
      <c r="B76" s="119" t="inlineStr">
        <is>
          <t>2026/07/28 00:00</t>
        </is>
      </c>
      <c r="C76" s="119" t="inlineStr">
        <is>
          <t>NGUYỄN NHẬT VÂN</t>
        </is>
      </c>
      <c r="D76" s="119" t="inlineStr">
        <is>
          <t>01/01/1967</t>
        </is>
      </c>
      <c r="E76" s="119" t="inlineStr">
        <is>
          <t>Giường Nội khoa loại 2 - Khoa Chấn thương chỉnh hình</t>
        </is>
      </c>
      <c r="F76" s="249" t="n">
        <v>1</v>
      </c>
      <c r="G76" s="249" t="n">
        <v>222300</v>
      </c>
    </row>
    <row r="77" ht="15.75" customHeight="1">
      <c r="A77" s="119" t="n">
        <v>69</v>
      </c>
      <c r="B77" s="119" t="inlineStr">
        <is>
          <t>2026/07/28 00:00</t>
        </is>
      </c>
      <c r="C77" s="119" t="inlineStr">
        <is>
          <t>NGUYỄN THỊ NĂM</t>
        </is>
      </c>
      <c r="D77" s="119" t="inlineStr">
        <is>
          <t>01/01/1939</t>
        </is>
      </c>
      <c r="E77" s="119" t="inlineStr">
        <is>
          <t>Giường Ngoại khoa loại 3 - Khoa Chấn thương chỉnh hình</t>
        </is>
      </c>
      <c r="F77" s="249" t="n">
        <v>1</v>
      </c>
      <c r="G77" s="249" t="n">
        <v>269200</v>
      </c>
    </row>
    <row r="78" ht="15.75" customHeight="1">
      <c r="A78" s="119" t="n">
        <v>70</v>
      </c>
      <c r="B78" s="119" t="inlineStr">
        <is>
          <t>2026/07/28 00:00</t>
        </is>
      </c>
      <c r="C78" s="119" t="inlineStr">
        <is>
          <t>NGUYỄN THỊ PHỤNG</t>
        </is>
      </c>
      <c r="D78" s="119" t="inlineStr">
        <is>
          <t>01/01/1956</t>
        </is>
      </c>
      <c r="E78" s="119" t="inlineStr">
        <is>
          <t>Giường Nội khoa loại 2 - Khoa Chấn thương chỉnh hình</t>
        </is>
      </c>
      <c r="F78" s="249" t="n">
        <v>1</v>
      </c>
      <c r="G78" s="249" t="n">
        <v>222300</v>
      </c>
    </row>
    <row r="79" ht="15.75" customHeight="1">
      <c r="A79" s="119" t="n">
        <v>71</v>
      </c>
      <c r="B79" s="119" t="inlineStr">
        <is>
          <t>2026/07/28 00:00</t>
        </is>
      </c>
      <c r="C79" s="119" t="inlineStr">
        <is>
          <t>NGUYỄN THỊ THANH HÒA</t>
        </is>
      </c>
      <c r="D79" s="119" t="inlineStr">
        <is>
          <t>19/03/1973</t>
        </is>
      </c>
      <c r="E79" s="119" t="inlineStr">
        <is>
          <t>Giường Nội khoa loại 2 - Khoa Chấn thương chỉnh hình</t>
        </is>
      </c>
      <c r="F79" s="249" t="n">
        <v>1</v>
      </c>
      <c r="G79" s="249" t="n">
        <v>222300</v>
      </c>
    </row>
    <row r="80" ht="15.75" customHeight="1">
      <c r="A80" s="119" t="n">
        <v>72</v>
      </c>
      <c r="B80" s="119" t="inlineStr">
        <is>
          <t>2026/07/28 00:00</t>
        </is>
      </c>
      <c r="C80" s="119" t="inlineStr">
        <is>
          <t>NGUYỄN VĂN CƯ</t>
        </is>
      </c>
      <c r="D80" s="119" t="inlineStr">
        <is>
          <t>20/09/1951</t>
        </is>
      </c>
      <c r="E80" s="119" t="inlineStr">
        <is>
          <t>Giường Nội khoa loại 2 - Khoa Chấn thương chỉnh hình</t>
        </is>
      </c>
      <c r="F80" s="249" t="n">
        <v>1</v>
      </c>
      <c r="G80" s="249" t="n">
        <v>222300</v>
      </c>
    </row>
    <row r="81" ht="15.75" customHeight="1">
      <c r="A81" s="119" t="n">
        <v>73</v>
      </c>
      <c r="B81" s="119" t="inlineStr">
        <is>
          <t>2026/07/28 00:00</t>
        </is>
      </c>
      <c r="C81" s="119" t="inlineStr">
        <is>
          <t>PHAN THƯỢNG HẢI</t>
        </is>
      </c>
      <c r="D81" s="119" t="inlineStr">
        <is>
          <t>15/07/1972</t>
        </is>
      </c>
      <c r="E81" s="119" t="inlineStr">
        <is>
          <t>Giường Nội khoa loại 2 - Khoa Chấn thương chỉnh hình</t>
        </is>
      </c>
      <c r="F81" s="249" t="n">
        <v>1</v>
      </c>
      <c r="G81" s="249" t="n">
        <v>222300</v>
      </c>
    </row>
    <row r="82" ht="15.75" customHeight="1">
      <c r="A82" s="119" t="n">
        <v>74</v>
      </c>
      <c r="B82" s="119" t="inlineStr">
        <is>
          <t>2026/07/28 00:00</t>
        </is>
      </c>
      <c r="C82" s="119" t="inlineStr">
        <is>
          <t>THỊ MỸ</t>
        </is>
      </c>
      <c r="D82" s="119" t="inlineStr">
        <is>
          <t>01/01/1971</t>
        </is>
      </c>
      <c r="E82" s="119" t="inlineStr">
        <is>
          <t>Giường Nội khoa loại 2 - Khoa Chấn thương chỉnh hình</t>
        </is>
      </c>
      <c r="F82" s="249" t="n">
        <v>1</v>
      </c>
      <c r="G82" s="249" t="n">
        <v>222300</v>
      </c>
    </row>
    <row r="83" ht="15.75" customHeight="1">
      <c r="A83" s="119" t="n">
        <v>75</v>
      </c>
      <c r="B83" s="119" t="inlineStr">
        <is>
          <t>2026/07/28 00:00</t>
        </is>
      </c>
      <c r="C83" s="119" t="inlineStr">
        <is>
          <t>TĂNG THỊ MIỀN</t>
        </is>
      </c>
      <c r="D83" s="119" t="inlineStr">
        <is>
          <t>01/01/1951</t>
        </is>
      </c>
      <c r="E83" s="119" t="inlineStr">
        <is>
          <t>Giường Nội khoa loại 2 - Khoa Chấn thương chỉnh hình</t>
        </is>
      </c>
      <c r="F83" s="249" t="n">
        <v>1</v>
      </c>
      <c r="G83" s="249" t="n">
        <v>222300</v>
      </c>
    </row>
    <row r="84" ht="15.75" customHeight="1">
      <c r="A84" s="119" t="n">
        <v>76</v>
      </c>
      <c r="B84" s="119" t="inlineStr">
        <is>
          <t>2026/07/28 00:00</t>
        </is>
      </c>
      <c r="C84" s="119" t="inlineStr">
        <is>
          <t>VÕ THỊ HUỆ</t>
        </is>
      </c>
      <c r="D84" s="119" t="inlineStr">
        <is>
          <t>01/01/1948</t>
        </is>
      </c>
      <c r="E84" s="119" t="inlineStr">
        <is>
          <t>Giường Nội khoa loại 2 - Khoa Chấn thương chỉnh hình</t>
        </is>
      </c>
      <c r="F84" s="249" t="n">
        <v>1</v>
      </c>
      <c r="G84" s="249" t="n">
        <v>222300</v>
      </c>
    </row>
    <row r="85" ht="15.75" customHeight="1">
      <c r="A85" s="119" t="n">
        <v>77</v>
      </c>
      <c r="B85" s="119" t="inlineStr">
        <is>
          <t>2026/07/28 00:00</t>
        </is>
      </c>
      <c r="C85" s="119" t="inlineStr">
        <is>
          <t>PHẠM THỊ NGỌC ÁNH</t>
        </is>
      </c>
      <c r="D85" s="119" t="inlineStr">
        <is>
          <t>01/01/1957</t>
        </is>
      </c>
      <c r="E85" s="119" t="inlineStr">
        <is>
          <t>Giường Ngoại khoa loại 1 - Khoa Chấn thương chỉnh hình</t>
        </is>
      </c>
      <c r="F85" s="249" t="n">
        <v>1</v>
      </c>
      <c r="G85" s="249" t="n">
        <v>341800</v>
      </c>
    </row>
    <row r="86" ht="15.75" customHeight="1">
      <c r="A86" s="119" t="n">
        <v>78</v>
      </c>
      <c r="B86" s="119" t="inlineStr">
        <is>
          <t>2026/07/28 08:50</t>
        </is>
      </c>
      <c r="C86" s="119" t="inlineStr">
        <is>
          <t>LÊ THỊ ỬNG</t>
        </is>
      </c>
      <c r="D86" s="119" t="inlineStr">
        <is>
          <t>02/09/1953</t>
        </is>
      </c>
      <c r="E86" s="119" t="inlineStr">
        <is>
          <t>Giường Nội khoa loại 2 - Khoa Chấn thương chỉnh hình</t>
        </is>
      </c>
      <c r="F86" s="249" t="n">
        <v>1</v>
      </c>
      <c r="G86" s="249" t="n">
        <v>222300</v>
      </c>
    </row>
    <row r="87" ht="15.75" customHeight="1">
      <c r="A87" s="119" t="n">
        <v>79</v>
      </c>
      <c r="B87" s="119" t="inlineStr">
        <is>
          <t>2026/07/28 14:07</t>
        </is>
      </c>
      <c r="C87" s="119" t="inlineStr">
        <is>
          <t>NGUYỄN THỊ HỒNG THO</t>
        </is>
      </c>
      <c r="D87" s="119" t="inlineStr">
        <is>
          <t>19/05/1997</t>
        </is>
      </c>
      <c r="E87" s="119" t="inlineStr">
        <is>
          <t>Giường Ngoại khoa loại 2 - Khoa Chấn thương chỉnh hình</t>
        </is>
      </c>
      <c r="F87" s="249" t="n">
        <v>1</v>
      </c>
      <c r="G87" s="249" t="n">
        <v>301600</v>
      </c>
    </row>
    <row r="88" ht="15.75" customHeight="1">
      <c r="A88" s="119" t="n">
        <v>80</v>
      </c>
      <c r="B88" s="119" t="inlineStr">
        <is>
          <t>2026/07/28 23:59</t>
        </is>
      </c>
      <c r="C88" s="119" t="inlineStr">
        <is>
          <t>LÂM THỊ THÚY</t>
        </is>
      </c>
      <c r="D88" s="119" t="inlineStr">
        <is>
          <t>01/01/1972</t>
        </is>
      </c>
      <c r="E88" s="119" t="inlineStr">
        <is>
          <t>Giường Ngoại khoa loại 1 - Khoa Chấn thương chỉnh hình</t>
        </is>
      </c>
      <c r="F88" s="249" t="n">
        <v>1</v>
      </c>
      <c r="G88" s="249" t="n">
        <v>341800</v>
      </c>
    </row>
    <row r="89" ht="15.75" customHeight="1">
      <c r="A89" s="119" t="n">
        <v>81</v>
      </c>
      <c r="B89" s="119" t="inlineStr">
        <is>
          <t>2026/07/29 00:00</t>
        </is>
      </c>
      <c r="C89" s="119" t="inlineStr">
        <is>
          <t>LÂM CHÍ VỈNH</t>
        </is>
      </c>
      <c r="D89" s="119" t="inlineStr">
        <is>
          <t>13/07/2006</t>
        </is>
      </c>
      <c r="E89" s="119" t="inlineStr">
        <is>
          <t>Giường Nội khoa loại 2 - Khoa Chấn thương chỉnh hình</t>
        </is>
      </c>
      <c r="F89" s="249" t="n">
        <v>1</v>
      </c>
      <c r="G89" s="249" t="n">
        <v>222300</v>
      </c>
    </row>
    <row r="90" ht="15.75" customHeight="1">
      <c r="A90" s="119" t="n">
        <v>82</v>
      </c>
      <c r="B90" s="119" t="inlineStr">
        <is>
          <t>2026/07/29 00:00</t>
        </is>
      </c>
      <c r="C90" s="119" t="inlineStr">
        <is>
          <t>LÊ HOÀI NAM</t>
        </is>
      </c>
      <c r="D90" s="119" t="inlineStr">
        <is>
          <t>02/05/1982</t>
        </is>
      </c>
      <c r="E90" s="119" t="inlineStr">
        <is>
          <t>Giường Nội khoa loại 2 - Khoa Chấn thương chỉnh hình</t>
        </is>
      </c>
      <c r="F90" s="249" t="n">
        <v>1</v>
      </c>
      <c r="G90" s="249" t="n">
        <v>222300</v>
      </c>
    </row>
    <row r="91" ht="15.75" customHeight="1">
      <c r="A91" s="119" t="n">
        <v>83</v>
      </c>
      <c r="B91" s="119" t="inlineStr">
        <is>
          <t>2026/07/29 00:00</t>
        </is>
      </c>
      <c r="C91" s="119" t="inlineStr">
        <is>
          <t>LÊ THỊ THANH NHANH</t>
        </is>
      </c>
      <c r="D91" s="119" t="inlineStr">
        <is>
          <t>01/01/1976</t>
        </is>
      </c>
      <c r="E91" s="119" t="inlineStr">
        <is>
          <t>Giường Nội khoa loại 2 - Khoa Chấn thương chỉnh hình</t>
        </is>
      </c>
      <c r="F91" s="249" t="n">
        <v>1</v>
      </c>
      <c r="G91" s="249" t="n">
        <v>222300</v>
      </c>
    </row>
    <row r="92" ht="15.75" customHeight="1">
      <c r="A92" s="119" t="n">
        <v>84</v>
      </c>
      <c r="B92" s="119" t="inlineStr">
        <is>
          <t>2026/07/29 00:00</t>
        </is>
      </c>
      <c r="C92" s="119" t="inlineStr">
        <is>
          <t>LÊ THỊ ỬNG</t>
        </is>
      </c>
      <c r="D92" s="119" t="inlineStr">
        <is>
          <t>02/09/1953</t>
        </is>
      </c>
      <c r="E92" s="119" t="inlineStr">
        <is>
          <t>Giường Nội khoa loại 2 - Khoa Chấn thương chỉnh hình</t>
        </is>
      </c>
      <c r="F92" s="249" t="n">
        <v>1</v>
      </c>
      <c r="G92" s="249" t="n">
        <v>222300</v>
      </c>
    </row>
    <row r="93" ht="15.75" customHeight="1">
      <c r="A93" s="119" t="n">
        <v>85</v>
      </c>
      <c r="B93" s="119" t="inlineStr">
        <is>
          <t>2026/07/29 00:00</t>
        </is>
      </c>
      <c r="C93" s="119" t="inlineStr">
        <is>
          <t>LÊ TRƯỜNG GIANG</t>
        </is>
      </c>
      <c r="D93" s="119" t="inlineStr">
        <is>
          <t>01/01/1980</t>
        </is>
      </c>
      <c r="E93" s="119" t="inlineStr">
        <is>
          <t>Giường Ngoại khoa loại 1 - Khoa Chấn thương chỉnh hình</t>
        </is>
      </c>
      <c r="F93" s="249" t="n">
        <v>1</v>
      </c>
      <c r="G93" s="249" t="n">
        <v>341800</v>
      </c>
    </row>
    <row r="94" ht="15.75" customHeight="1">
      <c r="A94" s="119" t="n">
        <v>86</v>
      </c>
      <c r="B94" s="119" t="inlineStr">
        <is>
          <t>2026/07/29 00:00</t>
        </is>
      </c>
      <c r="C94" s="119" t="inlineStr">
        <is>
          <t>NGUYỄN THỊ HỒNG THO</t>
        </is>
      </c>
      <c r="D94" s="119" t="inlineStr">
        <is>
          <t>19/05/1997</t>
        </is>
      </c>
      <c r="E94" s="119" t="inlineStr">
        <is>
          <t>Giường Ngoại khoa loại 2 - Khoa Chấn thương chỉnh hình</t>
        </is>
      </c>
      <c r="F94" s="249" t="n">
        <v>1</v>
      </c>
      <c r="G94" s="249" t="n">
        <v>301600</v>
      </c>
    </row>
    <row r="95" ht="15.75" customHeight="1">
      <c r="A95" s="119" t="n">
        <v>87</v>
      </c>
      <c r="B95" s="119" t="inlineStr">
        <is>
          <t>2026/07/29 00:00</t>
        </is>
      </c>
      <c r="C95" s="119" t="inlineStr">
        <is>
          <t>NGUYỄN THỊ NĂM</t>
        </is>
      </c>
      <c r="D95" s="119" t="inlineStr">
        <is>
          <t>01/01/1939</t>
        </is>
      </c>
      <c r="E95" s="119" t="inlineStr">
        <is>
          <t>Giường Ngoại khoa loại 3 - Khoa Chấn thương chỉnh hình</t>
        </is>
      </c>
      <c r="F95" s="249" t="n">
        <v>1</v>
      </c>
      <c r="G95" s="249" t="n">
        <v>269200</v>
      </c>
    </row>
    <row r="96" ht="15.75" customHeight="1">
      <c r="A96" s="119" t="n">
        <v>88</v>
      </c>
      <c r="B96" s="119" t="inlineStr">
        <is>
          <t>2026/07/29 00:00</t>
        </is>
      </c>
      <c r="C96" s="119" t="inlineStr">
        <is>
          <t>NGUYỄN THỊ PHỤNG</t>
        </is>
      </c>
      <c r="D96" s="119" t="inlineStr">
        <is>
          <t>01/01/1956</t>
        </is>
      </c>
      <c r="E96" s="119" t="inlineStr">
        <is>
          <t>Giường Nội khoa loại 2 - Khoa Chấn thương chỉnh hình</t>
        </is>
      </c>
      <c r="F96" s="249" t="n">
        <v>1</v>
      </c>
      <c r="G96" s="249" t="n">
        <v>222300</v>
      </c>
    </row>
    <row r="97" ht="15.75" customHeight="1">
      <c r="A97" s="119" t="n">
        <v>89</v>
      </c>
      <c r="B97" s="119" t="inlineStr">
        <is>
          <t>2026/07/29 00:00</t>
        </is>
      </c>
      <c r="C97" s="119" t="inlineStr">
        <is>
          <t>NGUYỄN THỊ THANH HÒA</t>
        </is>
      </c>
      <c r="D97" s="119" t="inlineStr">
        <is>
          <t>19/03/1973</t>
        </is>
      </c>
      <c r="E97" s="119" t="inlineStr">
        <is>
          <t>Giường Ngoại khoa loại 2 - Khoa Chấn thương chỉnh hình</t>
        </is>
      </c>
      <c r="F97" s="249" t="n">
        <v>1</v>
      </c>
      <c r="G97" s="249" t="n">
        <v>301600</v>
      </c>
    </row>
    <row r="98" ht="15.75" customHeight="1">
      <c r="A98" s="119" t="n">
        <v>90</v>
      </c>
      <c r="B98" s="119" t="inlineStr">
        <is>
          <t>2026/07/29 00:00</t>
        </is>
      </c>
      <c r="C98" s="119" t="inlineStr">
        <is>
          <t>NGUYỄN VĂN CƯ</t>
        </is>
      </c>
      <c r="D98" s="119" t="inlineStr">
        <is>
          <t>20/09/1951</t>
        </is>
      </c>
      <c r="E98" s="119" t="inlineStr">
        <is>
          <t>Giường Ngoại khoa loại 1 - Khoa Chấn thương chỉnh hình</t>
        </is>
      </c>
      <c r="F98" s="249" t="n">
        <v>1</v>
      </c>
      <c r="G98" s="249" t="n">
        <v>341800</v>
      </c>
    </row>
    <row r="99" ht="15.75" customHeight="1">
      <c r="A99" s="119" t="n">
        <v>91</v>
      </c>
      <c r="B99" s="119" t="inlineStr">
        <is>
          <t>2026/07/29 00:00</t>
        </is>
      </c>
      <c r="C99" s="119" t="inlineStr">
        <is>
          <t>PHAN THƯỢNG HẢI</t>
        </is>
      </c>
      <c r="D99" s="119" t="inlineStr">
        <is>
          <t>15/07/1972</t>
        </is>
      </c>
      <c r="E99" s="119" t="inlineStr">
        <is>
          <t>Giường Nội khoa loại 2 - Khoa Chấn thương chỉnh hình</t>
        </is>
      </c>
      <c r="F99" s="249" t="n">
        <v>1</v>
      </c>
      <c r="G99" s="249" t="n">
        <v>222300</v>
      </c>
    </row>
    <row r="100" ht="15.75" customHeight="1">
      <c r="A100" s="119" t="n">
        <v>92</v>
      </c>
      <c r="B100" s="119" t="inlineStr">
        <is>
          <t>2026/07/29 00:00</t>
        </is>
      </c>
      <c r="C100" s="119" t="inlineStr">
        <is>
          <t>THỊ MỸ</t>
        </is>
      </c>
      <c r="D100" s="119" t="inlineStr">
        <is>
          <t>01/01/1971</t>
        </is>
      </c>
      <c r="E100" s="119" t="inlineStr">
        <is>
          <t>Giường Nội khoa loại 2 - Khoa Chấn thương chỉnh hình</t>
        </is>
      </c>
      <c r="F100" s="249" t="n">
        <v>1</v>
      </c>
      <c r="G100" s="249" t="n">
        <v>222300</v>
      </c>
    </row>
    <row r="101" ht="15.75" customHeight="1">
      <c r="A101" s="119" t="n">
        <v>93</v>
      </c>
      <c r="B101" s="119" t="inlineStr">
        <is>
          <t>2026/07/29 00:00</t>
        </is>
      </c>
      <c r="C101" s="119" t="inlineStr">
        <is>
          <t>TĂNG THỊ MIỀN</t>
        </is>
      </c>
      <c r="D101" s="119" t="inlineStr">
        <is>
          <t>01/01/1951</t>
        </is>
      </c>
      <c r="E101" s="119" t="inlineStr">
        <is>
          <t>Giường Nội khoa loại 2 - Khoa Chấn thương chỉnh hình</t>
        </is>
      </c>
      <c r="F101" s="249" t="n">
        <v>1</v>
      </c>
      <c r="G101" s="249" t="n">
        <v>222300</v>
      </c>
    </row>
    <row r="102" ht="15.75" customHeight="1">
      <c r="A102" s="119" t="n">
        <v>94</v>
      </c>
      <c r="B102" s="119" t="inlineStr">
        <is>
          <t>2026/07/29 00:00</t>
        </is>
      </c>
      <c r="C102" s="119" t="inlineStr">
        <is>
          <t>VÕ THỊ HUỆ</t>
        </is>
      </c>
      <c r="D102" s="119" t="inlineStr">
        <is>
          <t>01/01/1948</t>
        </is>
      </c>
      <c r="E102" s="119" t="inlineStr">
        <is>
          <t>Giường Nội khoa loại 2 - Khoa Chấn thương chỉnh hình</t>
        </is>
      </c>
      <c r="F102" s="249" t="n">
        <v>1</v>
      </c>
      <c r="G102" s="249" t="n">
        <v>222300</v>
      </c>
    </row>
    <row r="103" ht="15.75" customHeight="1">
      <c r="A103" s="119" t="n">
        <v>95</v>
      </c>
      <c r="B103" s="119" t="inlineStr">
        <is>
          <t>2026/07/29 00:00</t>
        </is>
      </c>
      <c r="C103" s="119" t="inlineStr">
        <is>
          <t>PHẠM THỊ NGỌC ÁNH</t>
        </is>
      </c>
      <c r="D103" s="119" t="inlineStr">
        <is>
          <t>01/01/1957</t>
        </is>
      </c>
      <c r="E103" s="119" t="inlineStr">
        <is>
          <t>Giường Ngoại khoa loại 1 - Khoa Chấn thương chỉnh hình</t>
        </is>
      </c>
      <c r="F103" s="249" t="n">
        <v>1</v>
      </c>
      <c r="G103" s="249" t="n">
        <v>341800</v>
      </c>
    </row>
    <row r="104" ht="15.75" customHeight="1">
      <c r="A104" s="119" t="n">
        <v>96</v>
      </c>
      <c r="B104" s="119" t="inlineStr">
        <is>
          <t>2026/07/29 08:26</t>
        </is>
      </c>
      <c r="C104" s="119" t="inlineStr">
        <is>
          <t>TRƯƠNG PHƯỚC HIẾU</t>
        </is>
      </c>
      <c r="D104" s="119" t="inlineStr">
        <is>
          <t>02/09/1991</t>
        </is>
      </c>
      <c r="E104" s="119" t="inlineStr">
        <is>
          <t>Giường Nội khoa loại 2 - Khoa Chấn thương chỉnh hình</t>
        </is>
      </c>
      <c r="F104" s="249" t="n">
        <v>1</v>
      </c>
      <c r="G104" s="249" t="n">
        <v>222300</v>
      </c>
    </row>
    <row r="105" ht="15.75" customHeight="1">
      <c r="A105" s="119" t="n">
        <v>97</v>
      </c>
      <c r="B105" s="119" t="inlineStr">
        <is>
          <t>2026/07/29 09:26</t>
        </is>
      </c>
      <c r="C105" s="119" t="inlineStr">
        <is>
          <t>LÊ THỊ NGỌC PHƯỢNG</t>
        </is>
      </c>
      <c r="D105" s="119" t="inlineStr">
        <is>
          <t>01/01/1951</t>
        </is>
      </c>
      <c r="E105" s="119" t="inlineStr">
        <is>
          <t>Giường Nội khoa loại 2 - Khoa Chấn thương chỉnh hình</t>
        </is>
      </c>
      <c r="F105" s="249" t="n">
        <v>1</v>
      </c>
      <c r="G105" s="249" t="n">
        <v>222300</v>
      </c>
    </row>
    <row r="106" ht="15.75" customHeight="1">
      <c r="A106" s="119" t="n">
        <v>98</v>
      </c>
      <c r="B106" s="119" t="inlineStr">
        <is>
          <t>2026/07/29 10:03</t>
        </is>
      </c>
      <c r="C106" s="119" t="inlineStr">
        <is>
          <t>HỒ MINH TUẤN</t>
        </is>
      </c>
      <c r="D106" s="119" t="inlineStr">
        <is>
          <t>25/08/1987</t>
        </is>
      </c>
      <c r="E106" s="119" t="inlineStr">
        <is>
          <t>Giường Nội khoa loại 2 - Khoa Chấn thương chỉnh hình</t>
        </is>
      </c>
      <c r="F106" s="249" t="n">
        <v>1</v>
      </c>
      <c r="G106" s="249" t="n">
        <v>222300</v>
      </c>
    </row>
    <row r="107" ht="15.75" customHeight="1">
      <c r="A107" s="119" t="n">
        <v>99</v>
      </c>
      <c r="B107" s="119" t="inlineStr">
        <is>
          <t>2026/07/29 14:00</t>
        </is>
      </c>
      <c r="C107" s="119" t="inlineStr">
        <is>
          <t>NGUYỄN NHẬT VÂN</t>
        </is>
      </c>
      <c r="D107" s="119" t="inlineStr">
        <is>
          <t>01/01/1967</t>
        </is>
      </c>
      <c r="E107" s="119" t="inlineStr">
        <is>
          <t>Giường Ngoại khoa loại 1 - Khoa Chấn thương chỉnh hình</t>
        </is>
      </c>
      <c r="F107" s="249" t="n">
        <v>1</v>
      </c>
      <c r="G107" s="249" t="n">
        <v>341800</v>
      </c>
    </row>
    <row r="108" ht="15.75" customHeight="1">
      <c r="A108" s="119" t="n">
        <v>100</v>
      </c>
      <c r="B108" s="119" t="inlineStr">
        <is>
          <t>2026/07/29 14:07</t>
        </is>
      </c>
      <c r="C108" s="119" t="inlineStr">
        <is>
          <t>TRƯƠNG TRIỀU DŨNG</t>
        </is>
      </c>
      <c r="D108" s="119" t="inlineStr">
        <is>
          <t>27/11/2008</t>
        </is>
      </c>
      <c r="E108" s="119" t="inlineStr">
        <is>
          <t>Giường Nội khoa loại 2 - Khoa Chấn thương chỉnh hình</t>
        </is>
      </c>
      <c r="F108" s="249" t="n">
        <v>1</v>
      </c>
      <c r="G108" s="249" t="n">
        <v>222300</v>
      </c>
    </row>
    <row r="109" ht="15.75" customHeight="1">
      <c r="A109" s="119" t="n">
        <v>101</v>
      </c>
      <c r="B109" s="119" t="inlineStr">
        <is>
          <t>2026/07/29 15:38</t>
        </is>
      </c>
      <c r="C109" s="119" t="inlineStr">
        <is>
          <t>HUỲNH VĂN CHÓT</t>
        </is>
      </c>
      <c r="D109" s="119" t="inlineStr">
        <is>
          <t>01/01/1964</t>
        </is>
      </c>
      <c r="E109" s="119" t="inlineStr">
        <is>
          <t>Giường Nội khoa loại 2 - Khoa Chấn thương chỉnh hình</t>
        </is>
      </c>
      <c r="F109" s="249" t="n">
        <v>1</v>
      </c>
      <c r="G109" s="249" t="n">
        <v>222300</v>
      </c>
    </row>
    <row r="110" ht="15.75" customHeight="1">
      <c r="A110" s="119" t="n">
        <v>102</v>
      </c>
      <c r="B110" s="119" t="inlineStr">
        <is>
          <t>2026/07/29 16:54</t>
        </is>
      </c>
      <c r="C110" s="119" t="inlineStr">
        <is>
          <t>TRẦN THỊ NGỌC XỨNG</t>
        </is>
      </c>
      <c r="D110" s="119" t="inlineStr">
        <is>
          <t>15/06/1962</t>
        </is>
      </c>
      <c r="E110" s="119" t="inlineStr">
        <is>
          <t>Giường Nội khoa loại 2 - Khoa Chấn thương chỉnh hình</t>
        </is>
      </c>
      <c r="F110" s="249" t="n">
        <v>1</v>
      </c>
      <c r="G110" s="249" t="n">
        <v>222300</v>
      </c>
    </row>
    <row r="111" ht="15.75" customHeight="1">
      <c r="A111" s="119" t="n">
        <v>103</v>
      </c>
      <c r="B111" s="119" t="inlineStr">
        <is>
          <t>2026/07/30 00:00</t>
        </is>
      </c>
      <c r="C111" s="119" t="inlineStr">
        <is>
          <t>HUỲNH VĂN CHÓT</t>
        </is>
      </c>
      <c r="D111" s="119" t="inlineStr">
        <is>
          <t>01/01/1964</t>
        </is>
      </c>
      <c r="E111" s="119" t="inlineStr">
        <is>
          <t>Giường Nội khoa loại 2 - Khoa Chấn thương chỉnh hình</t>
        </is>
      </c>
      <c r="F111" s="249" t="n">
        <v>1</v>
      </c>
      <c r="G111" s="249" t="n">
        <v>222300</v>
      </c>
    </row>
    <row r="112" ht="15.75" customHeight="1">
      <c r="A112" s="119" t="n">
        <v>104</v>
      </c>
      <c r="B112" s="119" t="inlineStr">
        <is>
          <t>2026/07/30 00:00</t>
        </is>
      </c>
      <c r="C112" s="119" t="inlineStr">
        <is>
          <t>HỒ MINH TUẤN</t>
        </is>
      </c>
      <c r="D112" s="119" t="inlineStr">
        <is>
          <t>25/08/1987</t>
        </is>
      </c>
      <c r="E112" s="119" t="inlineStr">
        <is>
          <t>Giường Nội khoa loại 2 - Khoa Chấn thương chỉnh hình</t>
        </is>
      </c>
      <c r="F112" s="249" t="n">
        <v>1</v>
      </c>
      <c r="G112" s="249" t="n">
        <v>222300</v>
      </c>
    </row>
    <row r="113" ht="15.75" customHeight="1">
      <c r="A113" s="119" t="n">
        <v>105</v>
      </c>
      <c r="B113" s="119" t="inlineStr">
        <is>
          <t>2026/07/30 00:00</t>
        </is>
      </c>
      <c r="C113" s="119" t="inlineStr">
        <is>
          <t>LÂM THỊ THÚY</t>
        </is>
      </c>
      <c r="D113" s="119" t="inlineStr">
        <is>
          <t>01/01/1972</t>
        </is>
      </c>
      <c r="E113" s="119" t="inlineStr">
        <is>
          <t>Giường Ngoại khoa loại 1 - Khoa Chấn thương chỉnh hình</t>
        </is>
      </c>
      <c r="F113" s="249" t="n">
        <v>1</v>
      </c>
      <c r="G113" s="249" t="n">
        <v>341800</v>
      </c>
    </row>
    <row r="114" ht="15.75" customHeight="1">
      <c r="A114" s="119" t="n">
        <v>106</v>
      </c>
      <c r="B114" s="119" t="inlineStr">
        <is>
          <t>2026/07/30 00:00</t>
        </is>
      </c>
      <c r="C114" s="119" t="inlineStr">
        <is>
          <t>LÊ HOÀI NAM</t>
        </is>
      </c>
      <c r="D114" s="119" t="inlineStr">
        <is>
          <t>02/05/1982</t>
        </is>
      </c>
      <c r="E114" s="119" t="inlineStr">
        <is>
          <t>Giường Nội khoa loại 2 - Khoa Chấn thương chỉnh hình</t>
        </is>
      </c>
      <c r="F114" s="249" t="n">
        <v>1</v>
      </c>
      <c r="G114" s="249" t="n">
        <v>222300</v>
      </c>
    </row>
    <row r="115" ht="15.75" customHeight="1">
      <c r="A115" s="119" t="n">
        <v>107</v>
      </c>
      <c r="B115" s="119" t="inlineStr">
        <is>
          <t>2026/07/30 00:00</t>
        </is>
      </c>
      <c r="C115" s="119" t="inlineStr">
        <is>
          <t>LÊ THỊ NGỌC PHƯỢNG</t>
        </is>
      </c>
      <c r="D115" s="119" t="inlineStr">
        <is>
          <t>01/01/1951</t>
        </is>
      </c>
      <c r="E115" s="119" t="inlineStr">
        <is>
          <t>Giường Nội khoa loại 2 - Khoa Chấn thương chỉnh hình</t>
        </is>
      </c>
      <c r="F115" s="249" t="n">
        <v>1</v>
      </c>
      <c r="G115" s="249" t="n">
        <v>222300</v>
      </c>
    </row>
    <row r="116" ht="15.75" customHeight="1">
      <c r="A116" s="119" t="n">
        <v>108</v>
      </c>
      <c r="B116" s="119" t="inlineStr">
        <is>
          <t>2026/07/30 00:00</t>
        </is>
      </c>
      <c r="C116" s="119" t="inlineStr">
        <is>
          <t>LÊ THỊ THANH NHANH</t>
        </is>
      </c>
      <c r="D116" s="119" t="inlineStr">
        <is>
          <t>01/01/1976</t>
        </is>
      </c>
      <c r="E116" s="119" t="inlineStr">
        <is>
          <t>Giường Ngoại khoa loại 1 - Khoa Chấn thương chỉnh hình</t>
        </is>
      </c>
      <c r="F116" s="249" t="n">
        <v>1</v>
      </c>
      <c r="G116" s="249" t="n">
        <v>341800</v>
      </c>
    </row>
    <row r="117" ht="15.75" customHeight="1">
      <c r="A117" s="119" t="n">
        <v>109</v>
      </c>
      <c r="B117" s="119" t="inlineStr">
        <is>
          <t>2026/07/30 00:00</t>
        </is>
      </c>
      <c r="C117" s="119" t="inlineStr">
        <is>
          <t>LÊ THỊ ỬNG</t>
        </is>
      </c>
      <c r="D117" s="119" t="inlineStr">
        <is>
          <t>02/09/1953</t>
        </is>
      </c>
      <c r="E117" s="119" t="inlineStr">
        <is>
          <t>Giường Nội khoa loại 2 - Khoa Chấn thương chỉnh hình</t>
        </is>
      </c>
      <c r="F117" s="249" t="n">
        <v>1</v>
      </c>
      <c r="G117" s="249" t="n">
        <v>222300</v>
      </c>
    </row>
    <row r="118" ht="15.75" customHeight="1">
      <c r="A118" s="119" t="n">
        <v>110</v>
      </c>
      <c r="B118" s="119" t="inlineStr">
        <is>
          <t>2026/07/30 00:00</t>
        </is>
      </c>
      <c r="C118" s="119" t="inlineStr">
        <is>
          <t>LÊ TRƯỜNG GIANG</t>
        </is>
      </c>
      <c r="D118" s="119" t="inlineStr">
        <is>
          <t>01/01/1980</t>
        </is>
      </c>
      <c r="E118" s="119" t="inlineStr">
        <is>
          <t>Giường Ngoại khoa loại 1 - Khoa Chấn thương chỉnh hình</t>
        </is>
      </c>
      <c r="F118" s="249" t="n">
        <v>1</v>
      </c>
      <c r="G118" s="249" t="n">
        <v>341800</v>
      </c>
    </row>
    <row r="119" ht="15.75" customHeight="1">
      <c r="A119" s="119" t="n">
        <v>111</v>
      </c>
      <c r="B119" s="119" t="inlineStr">
        <is>
          <t>2026/07/30 00:00</t>
        </is>
      </c>
      <c r="C119" s="119" t="inlineStr">
        <is>
          <t>NGUYỄN NHẬT VÂN</t>
        </is>
      </c>
      <c r="D119" s="119" t="inlineStr">
        <is>
          <t>01/01/1967</t>
        </is>
      </c>
      <c r="E119" s="119" t="inlineStr">
        <is>
          <t>Giường Ngoại khoa loại 1 - Khoa Chấn thương chỉnh hình</t>
        </is>
      </c>
      <c r="F119" s="249" t="n">
        <v>1</v>
      </c>
      <c r="G119" s="249" t="n">
        <v>341800</v>
      </c>
    </row>
    <row r="120" ht="15.75" customHeight="1">
      <c r="A120" s="119" t="n">
        <v>112</v>
      </c>
      <c r="B120" s="119" t="inlineStr">
        <is>
          <t>2026/07/30 00:00</t>
        </is>
      </c>
      <c r="C120" s="119" t="inlineStr">
        <is>
          <t>NGUYỄN THỊ HỒNG THO</t>
        </is>
      </c>
      <c r="D120" s="119" t="inlineStr">
        <is>
          <t>19/05/1997</t>
        </is>
      </c>
      <c r="E120" s="119" t="inlineStr">
        <is>
          <t>Giường Ngoại khoa loại 3 - Khoa Chấn thương chỉnh hình</t>
        </is>
      </c>
      <c r="F120" s="249" t="n">
        <v>1</v>
      </c>
      <c r="G120" s="249" t="n">
        <v>269200</v>
      </c>
    </row>
    <row r="121" ht="15.75" customHeight="1">
      <c r="A121" s="119" t="n">
        <v>113</v>
      </c>
      <c r="B121" s="119" t="inlineStr">
        <is>
          <t>2026/07/30 00:00</t>
        </is>
      </c>
      <c r="C121" s="119" t="inlineStr">
        <is>
          <t>NGUYỄN THỊ NĂM</t>
        </is>
      </c>
      <c r="D121" s="119" t="inlineStr">
        <is>
          <t>01/01/1939</t>
        </is>
      </c>
      <c r="E121" s="119" t="inlineStr">
        <is>
          <t>Giường Ngoại khoa loại 3 - Khoa Chấn thương chỉnh hình</t>
        </is>
      </c>
      <c r="F121" s="249" t="n">
        <v>1</v>
      </c>
      <c r="G121" s="249" t="n">
        <v>269200</v>
      </c>
    </row>
    <row r="122" ht="15.75" customHeight="1">
      <c r="A122" s="119" t="n">
        <v>114</v>
      </c>
      <c r="B122" s="119" t="inlineStr">
        <is>
          <t>2026/07/30 00:00</t>
        </is>
      </c>
      <c r="C122" s="119" t="inlineStr">
        <is>
          <t>NGUYỄN THỊ PHỤNG</t>
        </is>
      </c>
      <c r="D122" s="119" t="inlineStr">
        <is>
          <t>01/01/1956</t>
        </is>
      </c>
      <c r="E122" s="119" t="inlineStr">
        <is>
          <t>Giường Nội khoa loại 2 - Khoa Chấn thương chỉnh hình</t>
        </is>
      </c>
      <c r="F122" s="249" t="n">
        <v>1</v>
      </c>
      <c r="G122" s="249" t="n">
        <v>222300</v>
      </c>
    </row>
    <row r="123" ht="15.75" customHeight="1">
      <c r="A123" s="119" t="n">
        <v>115</v>
      </c>
      <c r="B123" s="119" t="inlineStr">
        <is>
          <t>2026/07/30 00:00</t>
        </is>
      </c>
      <c r="C123" s="119" t="inlineStr">
        <is>
          <t>NGUYỄN THỊ THANH HÒA</t>
        </is>
      </c>
      <c r="D123" s="119" t="inlineStr">
        <is>
          <t>19/03/1973</t>
        </is>
      </c>
      <c r="E123" s="119" t="inlineStr">
        <is>
          <t>Giường Ngoại khoa loại 2 - Khoa Chấn thương chỉnh hình</t>
        </is>
      </c>
      <c r="F123" s="249" t="n">
        <v>1</v>
      </c>
      <c r="G123" s="249" t="n">
        <v>301600</v>
      </c>
    </row>
    <row r="124" ht="15.75" customHeight="1">
      <c r="A124" s="119" t="n">
        <v>116</v>
      </c>
      <c r="B124" s="119" t="inlineStr">
        <is>
          <t>2026/07/30 00:00</t>
        </is>
      </c>
      <c r="C124" s="119" t="inlineStr">
        <is>
          <t>NGUYỄN VĂN CƯ</t>
        </is>
      </c>
      <c r="D124" s="119" t="inlineStr">
        <is>
          <t>20/09/1951</t>
        </is>
      </c>
      <c r="E124" s="119" t="inlineStr">
        <is>
          <t>Giường Ngoại khoa loại 1 - Khoa Chấn thương chỉnh hình</t>
        </is>
      </c>
      <c r="F124" s="249" t="n">
        <v>1</v>
      </c>
      <c r="G124" s="249" t="n">
        <v>341800</v>
      </c>
    </row>
    <row r="125" ht="15.75" customHeight="1">
      <c r="A125" s="119" t="n">
        <v>117</v>
      </c>
      <c r="B125" s="119" t="inlineStr">
        <is>
          <t>2026/07/30 00:00</t>
        </is>
      </c>
      <c r="C125" s="119" t="inlineStr">
        <is>
          <t>PHAN THƯỢNG HẢI</t>
        </is>
      </c>
      <c r="D125" s="119" t="inlineStr">
        <is>
          <t>15/07/1972</t>
        </is>
      </c>
      <c r="E125" s="119" t="inlineStr">
        <is>
          <t>Giường Nội khoa loại 2 - Khoa Chấn thương chỉnh hình</t>
        </is>
      </c>
      <c r="F125" s="249" t="n">
        <v>1</v>
      </c>
      <c r="G125" s="249" t="n">
        <v>222300</v>
      </c>
    </row>
    <row r="126" ht="15.75" customHeight="1">
      <c r="A126" s="119" t="n">
        <v>118</v>
      </c>
      <c r="B126" s="119" t="inlineStr">
        <is>
          <t>2026/07/30 00:00</t>
        </is>
      </c>
      <c r="C126" s="119" t="inlineStr">
        <is>
          <t>THỊ MỸ</t>
        </is>
      </c>
      <c r="D126" s="119" t="inlineStr">
        <is>
          <t>01/01/1971</t>
        </is>
      </c>
      <c r="E126" s="119" t="inlineStr">
        <is>
          <t>Giường Nội khoa loại 2 - Khoa Chấn thương chỉnh hình</t>
        </is>
      </c>
      <c r="F126" s="249" t="n">
        <v>1</v>
      </c>
      <c r="G126" s="249" t="n">
        <v>222300</v>
      </c>
    </row>
    <row r="127" ht="15.75" customHeight="1">
      <c r="A127" s="119" t="n">
        <v>119</v>
      </c>
      <c r="B127" s="119" t="inlineStr">
        <is>
          <t>2026/07/30 00:00</t>
        </is>
      </c>
      <c r="C127" s="119" t="inlineStr">
        <is>
          <t>TRƯƠNG PHƯỚC HIẾU</t>
        </is>
      </c>
      <c r="D127" s="119" t="inlineStr">
        <is>
          <t>02/09/1991</t>
        </is>
      </c>
      <c r="E127" s="119" t="inlineStr">
        <is>
          <t>Giường Nội khoa loại 2 - Khoa Chấn thương chỉnh hình</t>
        </is>
      </c>
      <c r="F127" s="249" t="n">
        <v>1</v>
      </c>
      <c r="G127" s="249" t="n">
        <v>222300</v>
      </c>
    </row>
    <row r="128" ht="15.75" customHeight="1">
      <c r="A128" s="119" t="n">
        <v>120</v>
      </c>
      <c r="B128" s="119" t="inlineStr">
        <is>
          <t>2026/07/30 00:00</t>
        </is>
      </c>
      <c r="C128" s="119" t="inlineStr">
        <is>
          <t>TRƯƠNG TRIỀU DŨNG</t>
        </is>
      </c>
      <c r="D128" s="119" t="inlineStr">
        <is>
          <t>27/11/2008</t>
        </is>
      </c>
      <c r="E128" s="119" t="inlineStr">
        <is>
          <t>Giường Nội khoa loại 2 - Khoa Chấn thương chỉnh hình</t>
        </is>
      </c>
      <c r="F128" s="249" t="n">
        <v>1</v>
      </c>
      <c r="G128" s="249" t="n">
        <v>222300</v>
      </c>
    </row>
    <row r="129" ht="15.75" customHeight="1">
      <c r="A129" s="119" t="n">
        <v>121</v>
      </c>
      <c r="B129" s="119" t="inlineStr">
        <is>
          <t>2026/07/30 00:00</t>
        </is>
      </c>
      <c r="C129" s="119" t="inlineStr">
        <is>
          <t>TRẦN THỊ NGỌC XỨNG</t>
        </is>
      </c>
      <c r="D129" s="119" t="inlineStr">
        <is>
          <t>15/06/1962</t>
        </is>
      </c>
      <c r="E129" s="119" t="inlineStr">
        <is>
          <t>Giường Nội khoa loại 2 - Khoa Chấn thương chỉnh hình</t>
        </is>
      </c>
      <c r="F129" s="249" t="n">
        <v>1</v>
      </c>
      <c r="G129" s="249" t="n">
        <v>222300</v>
      </c>
    </row>
    <row r="130" ht="15.75" customHeight="1">
      <c r="A130" s="119" t="n">
        <v>122</v>
      </c>
      <c r="B130" s="119" t="inlineStr">
        <is>
          <t>2026/07/30 00:00</t>
        </is>
      </c>
      <c r="C130" s="119" t="inlineStr">
        <is>
          <t>VÕ THỊ HUỆ</t>
        </is>
      </c>
      <c r="D130" s="119" t="inlineStr">
        <is>
          <t>01/01/1948</t>
        </is>
      </c>
      <c r="E130" s="119" t="inlineStr">
        <is>
          <t>Giường Nội khoa loại 2 - Khoa Chấn thương chỉnh hình</t>
        </is>
      </c>
      <c r="F130" s="249" t="n">
        <v>1</v>
      </c>
      <c r="G130" s="249" t="n">
        <v>222300</v>
      </c>
    </row>
    <row r="131" ht="15.75" customHeight="1">
      <c r="A131" s="119" t="n">
        <v>123</v>
      </c>
      <c r="B131" s="119" t="inlineStr">
        <is>
          <t>2026/07/30 00:00</t>
        </is>
      </c>
      <c r="C131" s="119" t="inlineStr">
        <is>
          <t>LÂM CHÍ VỈNH</t>
        </is>
      </c>
      <c r="D131" s="119" t="inlineStr">
        <is>
          <t>13/07/2006</t>
        </is>
      </c>
      <c r="E131" s="119" t="inlineStr">
        <is>
          <t>Giường Ngoại khoa loại 1 - Khoa Chấn thương chỉnh hình</t>
        </is>
      </c>
      <c r="F131" s="249" t="n">
        <v>1</v>
      </c>
      <c r="G131" s="249" t="n">
        <v>341800</v>
      </c>
    </row>
    <row r="132" ht="15.75" customHeight="1">
      <c r="A132" s="119" t="n">
        <v>124</v>
      </c>
      <c r="B132" s="119" t="inlineStr">
        <is>
          <t>2026/07/30 00:00</t>
        </is>
      </c>
      <c r="C132" s="119" t="inlineStr">
        <is>
          <t>PHẠM THỊ NGỌC ÁNH</t>
        </is>
      </c>
      <c r="D132" s="119" t="inlineStr">
        <is>
          <t>01/01/1957</t>
        </is>
      </c>
      <c r="E132" s="119" t="inlineStr">
        <is>
          <t>Giường Ngoại khoa loại 1 - Khoa Chấn thương chỉnh hình</t>
        </is>
      </c>
      <c r="F132" s="249" t="n">
        <v>1</v>
      </c>
      <c r="G132" s="249" t="n">
        <v>341800</v>
      </c>
    </row>
    <row r="133" ht="15.75" customHeight="1">
      <c r="A133" s="119" t="n">
        <v>125</v>
      </c>
      <c r="B133" s="119" t="inlineStr">
        <is>
          <t>2026/07/30 00:00</t>
        </is>
      </c>
      <c r="C133" s="119" t="inlineStr">
        <is>
          <t>TĂNG THỊ MIỀN</t>
        </is>
      </c>
      <c r="D133" s="119" t="inlineStr">
        <is>
          <t>01/01/1951</t>
        </is>
      </c>
      <c r="E133" s="119" t="inlineStr">
        <is>
          <t>Giường Ngoại khoa loại 3 - Khoa Chấn thương chỉnh hình</t>
        </is>
      </c>
      <c r="F133" s="249" t="n">
        <v>1</v>
      </c>
      <c r="G133" s="249" t="n">
        <v>269200</v>
      </c>
    </row>
    <row r="134" ht="15.75" customHeight="1">
      <c r="A134" s="119" t="n">
        <v>126</v>
      </c>
      <c r="B134" s="119" t="inlineStr">
        <is>
          <t>2026/07/30 08:08</t>
        </is>
      </c>
      <c r="C134" s="119" t="inlineStr">
        <is>
          <t>LÊ THỊ GHI</t>
        </is>
      </c>
      <c r="D134" s="119" t="inlineStr">
        <is>
          <t>01/01/1963</t>
        </is>
      </c>
      <c r="E134" s="119" t="inlineStr">
        <is>
          <t>Giường Nội khoa loại 2 - Khoa Chấn thương chỉnh hình</t>
        </is>
      </c>
      <c r="F134" s="249" t="n">
        <v>1</v>
      </c>
      <c r="G134" s="249" t="n">
        <v>250000</v>
      </c>
    </row>
    <row r="135" ht="15.75" customHeight="1">
      <c r="A135" s="119" t="n">
        <v>127</v>
      </c>
      <c r="B135" s="119" t="inlineStr">
        <is>
          <t>2026/07/30 08:38</t>
        </is>
      </c>
      <c r="C135" s="119" t="inlineStr">
        <is>
          <t>ĐOÀN THỊ VÂN</t>
        </is>
      </c>
      <c r="D135" s="119" t="inlineStr">
        <is>
          <t>01/01/1988</t>
        </is>
      </c>
      <c r="E135" s="119" t="inlineStr">
        <is>
          <t>Giường Nội khoa loại 2 - Khoa Chấn thương chỉnh hình</t>
        </is>
      </c>
      <c r="F135" s="249" t="n">
        <v>1</v>
      </c>
      <c r="G135" s="249" t="n">
        <v>222300</v>
      </c>
    </row>
    <row r="136" ht="15.75" customHeight="1">
      <c r="A136" s="119" t="n">
        <v>128</v>
      </c>
      <c r="B136" s="119" t="inlineStr">
        <is>
          <t>2026/07/30 09:13</t>
        </is>
      </c>
      <c r="C136" s="119" t="inlineStr">
        <is>
          <t>LÂM PHI DŨNG</t>
        </is>
      </c>
      <c r="D136" s="119" t="inlineStr">
        <is>
          <t>12/12/1965</t>
        </is>
      </c>
      <c r="E136" s="119" t="inlineStr">
        <is>
          <t>Giường Nội khoa loại 2 - Khoa Chấn thương chỉnh hình</t>
        </is>
      </c>
      <c r="F136" s="249" t="n">
        <v>1</v>
      </c>
      <c r="G136" s="249" t="n">
        <v>222300</v>
      </c>
    </row>
    <row r="137" ht="15.75" customHeight="1">
      <c r="A137" s="119" t="n">
        <v>129</v>
      </c>
      <c r="B137" s="119" t="inlineStr">
        <is>
          <t>2026/07/30 18:44</t>
        </is>
      </c>
      <c r="C137" s="119" t="inlineStr">
        <is>
          <t>LÊ CÔNG THẠNH</t>
        </is>
      </c>
      <c r="D137" s="119" t="inlineStr">
        <is>
          <t>01/01/1974</t>
        </is>
      </c>
      <c r="E137" s="119" t="inlineStr">
        <is>
          <t>Giường Nội khoa loại 2 - Khoa Chấn thương chỉnh hình</t>
        </is>
      </c>
      <c r="F137" s="249" t="n">
        <v>1</v>
      </c>
      <c r="G137" s="249" t="n">
        <v>222300</v>
      </c>
    </row>
    <row r="138" ht="15.75" customHeight="1">
      <c r="A138" s="119" t="n">
        <v>130</v>
      </c>
      <c r="B138" s="119" t="inlineStr">
        <is>
          <t>2026/07/31 00:00</t>
        </is>
      </c>
      <c r="C138" s="119" t="inlineStr">
        <is>
          <t>BẰNG ĐĂNG KHOA</t>
        </is>
      </c>
      <c r="D138" s="119" t="inlineStr">
        <is>
          <t>20/05/2001</t>
        </is>
      </c>
      <c r="E138" s="119" t="inlineStr">
        <is>
          <t>Giường Nội khoa loại 2 - Khoa Chấn thương chỉnh hình</t>
        </is>
      </c>
      <c r="F138" s="249" t="n">
        <v>1</v>
      </c>
      <c r="G138" s="249" t="n">
        <v>222300</v>
      </c>
    </row>
    <row r="139" ht="15.75" customHeight="1">
      <c r="A139" s="119" t="n">
        <v>131</v>
      </c>
      <c r="B139" s="119" t="inlineStr">
        <is>
          <t>2026/07/31 00:00</t>
        </is>
      </c>
      <c r="C139" s="119" t="inlineStr">
        <is>
          <t>HUỲNH VĂN CHÓT</t>
        </is>
      </c>
      <c r="D139" s="119" t="inlineStr">
        <is>
          <t>01/01/1964</t>
        </is>
      </c>
      <c r="E139" s="119" t="inlineStr">
        <is>
          <t>Giường Ngoại khoa loại 1 - Khoa Chấn thương chỉnh hình</t>
        </is>
      </c>
      <c r="F139" s="249" t="n">
        <v>1</v>
      </c>
      <c r="G139" s="249" t="n">
        <v>341800</v>
      </c>
    </row>
    <row r="140" ht="15.75" customHeight="1">
      <c r="A140" s="119" t="n">
        <v>132</v>
      </c>
      <c r="B140" s="119" t="inlineStr">
        <is>
          <t>2026/07/31 00:00</t>
        </is>
      </c>
      <c r="C140" s="119" t="inlineStr">
        <is>
          <t>HỒ MINH TUẤN</t>
        </is>
      </c>
      <c r="D140" s="119" t="inlineStr">
        <is>
          <t>25/08/1987</t>
        </is>
      </c>
      <c r="E140" s="119" t="inlineStr">
        <is>
          <t>Giường Ngoại khoa loại 3 - Khoa Chấn thương chỉnh hình</t>
        </is>
      </c>
      <c r="F140" s="249" t="n">
        <v>1</v>
      </c>
      <c r="G140" s="249" t="n">
        <v>269200</v>
      </c>
    </row>
    <row r="141" ht="15.75" customHeight="1">
      <c r="A141" s="119" t="n">
        <v>133</v>
      </c>
      <c r="B141" s="119" t="inlineStr">
        <is>
          <t>2026/07/31 00:00</t>
        </is>
      </c>
      <c r="C141" s="119" t="inlineStr">
        <is>
          <t>LÂM THỊ THÚY</t>
        </is>
      </c>
      <c r="D141" s="119" t="inlineStr">
        <is>
          <t>01/01/1972</t>
        </is>
      </c>
      <c r="E141" s="119" t="inlineStr">
        <is>
          <t>Giường Nội khoa loại 2 - Khoa Chấn thương chỉnh hình</t>
        </is>
      </c>
      <c r="F141" s="249" t="n">
        <v>1</v>
      </c>
      <c r="G141" s="249" t="n">
        <v>222300</v>
      </c>
    </row>
    <row r="142" ht="15.75" customHeight="1">
      <c r="A142" s="119" t="n">
        <v>134</v>
      </c>
      <c r="B142" s="119" t="inlineStr">
        <is>
          <t>2026/07/31 00:00</t>
        </is>
      </c>
      <c r="C142" s="119" t="inlineStr">
        <is>
          <t>LÊ CÔNG THẠNH</t>
        </is>
      </c>
      <c r="D142" s="119" t="inlineStr">
        <is>
          <t>01/01/1974</t>
        </is>
      </c>
      <c r="E142" s="119" t="inlineStr">
        <is>
          <t>Giường Nội khoa loại 2 - Khoa Chấn thương chỉnh hình</t>
        </is>
      </c>
      <c r="F142" s="249" t="n">
        <v>1</v>
      </c>
      <c r="G142" s="249" t="n">
        <v>222300</v>
      </c>
    </row>
    <row r="143" ht="15.75" customHeight="1">
      <c r="A143" s="119" t="n">
        <v>135</v>
      </c>
      <c r="B143" s="119" t="inlineStr">
        <is>
          <t>2026/07/31 00:00</t>
        </is>
      </c>
      <c r="C143" s="119" t="inlineStr">
        <is>
          <t>LÊ HOÀI NAM</t>
        </is>
      </c>
      <c r="D143" s="119" t="inlineStr">
        <is>
          <t>02/05/1982</t>
        </is>
      </c>
      <c r="E143" s="119" t="inlineStr">
        <is>
          <t>Giường Nội khoa loại 2 - Khoa Chấn thương chỉnh hình</t>
        </is>
      </c>
      <c r="F143" s="249" t="n">
        <v>1</v>
      </c>
      <c r="G143" s="249" t="n">
        <v>222300</v>
      </c>
    </row>
    <row r="144" ht="15.75" customHeight="1">
      <c r="A144" s="119" t="n">
        <v>136</v>
      </c>
      <c r="B144" s="119" t="inlineStr">
        <is>
          <t>2026/07/31 00:00</t>
        </is>
      </c>
      <c r="C144" s="119" t="inlineStr">
        <is>
          <t>LÊ THỊ GHI</t>
        </is>
      </c>
      <c r="D144" s="119" t="inlineStr">
        <is>
          <t>01/01/1963</t>
        </is>
      </c>
      <c r="E144" s="119" t="inlineStr">
        <is>
          <t>Giường Ngoại khoa loại 3 - Khoa Chấn thương chỉnh hình</t>
        </is>
      </c>
      <c r="F144" s="249" t="n">
        <v>1</v>
      </c>
      <c r="G144" s="249" t="n">
        <v>269200</v>
      </c>
    </row>
    <row r="145" ht="15.75" customHeight="1">
      <c r="A145" s="119" t="n">
        <v>137</v>
      </c>
      <c r="B145" s="119" t="inlineStr">
        <is>
          <t>2026/07/31 00:00</t>
        </is>
      </c>
      <c r="C145" s="119" t="inlineStr">
        <is>
          <t>LÊ THỊ NGỌC PHƯỢNG</t>
        </is>
      </c>
      <c r="D145" s="119" t="inlineStr">
        <is>
          <t>01/01/1951</t>
        </is>
      </c>
      <c r="E145" s="119" t="inlineStr">
        <is>
          <t>Giường Nội khoa loại 2 - Khoa Chấn thương chỉnh hình</t>
        </is>
      </c>
      <c r="F145" s="249" t="n">
        <v>1</v>
      </c>
      <c r="G145" s="249" t="n">
        <v>222300</v>
      </c>
    </row>
    <row r="146" ht="15.75" customHeight="1">
      <c r="A146" s="119" t="n">
        <v>138</v>
      </c>
      <c r="B146" s="119" t="inlineStr">
        <is>
          <t>2026/07/31 00:00</t>
        </is>
      </c>
      <c r="C146" s="119" t="inlineStr">
        <is>
          <t>LÊ THỊ THANH NHANH</t>
        </is>
      </c>
      <c r="D146" s="119" t="inlineStr">
        <is>
          <t>01/01/1976</t>
        </is>
      </c>
      <c r="E146" s="119" t="inlineStr">
        <is>
          <t>Giường Ngoại khoa loại 1 - Khoa Chấn thương chỉnh hình</t>
        </is>
      </c>
      <c r="F146" s="249" t="n">
        <v>1</v>
      </c>
      <c r="G146" s="249" t="n">
        <v>341800</v>
      </c>
    </row>
    <row r="147" ht="15.75" customHeight="1">
      <c r="A147" s="119" t="n">
        <v>139</v>
      </c>
      <c r="B147" s="119" t="inlineStr">
        <is>
          <t>2026/07/31 00:00</t>
        </is>
      </c>
      <c r="C147" s="119" t="inlineStr">
        <is>
          <t>LÊ THỊ ỬNG</t>
        </is>
      </c>
      <c r="D147" s="119" t="inlineStr">
        <is>
          <t>02/09/1953</t>
        </is>
      </c>
      <c r="E147" s="119" t="inlineStr">
        <is>
          <t>Giường Nội khoa loại 2 - Khoa Chấn thương chỉnh hình</t>
        </is>
      </c>
      <c r="F147" s="249" t="n">
        <v>1</v>
      </c>
      <c r="G147" s="249" t="n">
        <v>222300</v>
      </c>
    </row>
    <row r="148" ht="15.75" customHeight="1">
      <c r="A148" s="119" t="n">
        <v>140</v>
      </c>
      <c r="B148" s="119" t="inlineStr">
        <is>
          <t>2026/07/31 00:00</t>
        </is>
      </c>
      <c r="C148" s="119" t="inlineStr">
        <is>
          <t>LÊ TRƯỜNG GIANG</t>
        </is>
      </c>
      <c r="D148" s="119" t="inlineStr">
        <is>
          <t>01/01/1980</t>
        </is>
      </c>
      <c r="E148" s="119" t="inlineStr">
        <is>
          <t>Giường Nội khoa loại 2 - Khoa Chấn thương chỉnh hình</t>
        </is>
      </c>
      <c r="F148" s="249" t="n">
        <v>1</v>
      </c>
      <c r="G148" s="249" t="n">
        <v>222300</v>
      </c>
    </row>
    <row r="149" ht="15.75" customHeight="1">
      <c r="A149" s="119" t="n">
        <v>141</v>
      </c>
      <c r="B149" s="119" t="inlineStr">
        <is>
          <t>2026/07/31 00:00</t>
        </is>
      </c>
      <c r="C149" s="119" t="inlineStr">
        <is>
          <t>NGUYỄN NHẬT VÂN</t>
        </is>
      </c>
      <c r="D149" s="119" t="inlineStr">
        <is>
          <t>01/01/1967</t>
        </is>
      </c>
      <c r="E149" s="119" t="inlineStr">
        <is>
          <t>Giường Ngoại khoa loại 1 - Khoa Chấn thương chỉnh hình</t>
        </is>
      </c>
      <c r="F149" s="249" t="n">
        <v>1</v>
      </c>
      <c r="G149" s="249" t="n">
        <v>341800</v>
      </c>
    </row>
    <row r="150" ht="15.75" customHeight="1">
      <c r="A150" s="119" t="n">
        <v>142</v>
      </c>
      <c r="B150" s="119" t="inlineStr">
        <is>
          <t>2026/07/31 00:00</t>
        </is>
      </c>
      <c r="C150" s="119" t="inlineStr">
        <is>
          <t>NGUYỄN THỊ HỒNG THO</t>
        </is>
      </c>
      <c r="D150" s="119" t="inlineStr">
        <is>
          <t>19/05/1997</t>
        </is>
      </c>
      <c r="E150" s="119" t="inlineStr">
        <is>
          <t>Giường Ngoại khoa loại 3 - Khoa Chấn thương chỉnh hình</t>
        </is>
      </c>
      <c r="F150" s="249" t="n">
        <v>1</v>
      </c>
      <c r="G150" s="249" t="n">
        <v>269200</v>
      </c>
    </row>
    <row r="151" ht="15.75" customHeight="1">
      <c r="A151" s="119" t="n">
        <v>143</v>
      </c>
      <c r="B151" s="119" t="inlineStr">
        <is>
          <t>2026/07/31 00:00</t>
        </is>
      </c>
      <c r="C151" s="119" t="inlineStr">
        <is>
          <t>NGUYỄN THỊ NĂM</t>
        </is>
      </c>
      <c r="D151" s="119" t="inlineStr">
        <is>
          <t>01/01/1939</t>
        </is>
      </c>
      <c r="E151" s="119" t="inlineStr">
        <is>
          <t>Giường Ngoại khoa loại 3 - Khoa Chấn thương chỉnh hình</t>
        </is>
      </c>
      <c r="F151" s="249" t="n">
        <v>1</v>
      </c>
      <c r="G151" s="249" t="n">
        <v>269200</v>
      </c>
    </row>
    <row r="152" ht="15.75" customHeight="1">
      <c r="A152" s="119" t="n">
        <v>144</v>
      </c>
      <c r="B152" s="119" t="inlineStr">
        <is>
          <t>2026/07/31 00:00</t>
        </is>
      </c>
      <c r="C152" s="119" t="inlineStr">
        <is>
          <t>NGUYỄN THỊ PHỤNG</t>
        </is>
      </c>
      <c r="D152" s="119" t="inlineStr">
        <is>
          <t>01/01/1956</t>
        </is>
      </c>
      <c r="E152" s="119" t="inlineStr">
        <is>
          <t>Giường Ngoại khoa loại 2 - Khoa Chấn thương chỉnh hình</t>
        </is>
      </c>
      <c r="F152" s="249" t="n">
        <v>1</v>
      </c>
      <c r="G152" s="249" t="n">
        <v>301600</v>
      </c>
    </row>
    <row r="153" ht="15.75" customHeight="1">
      <c r="A153" s="119" t="n">
        <v>145</v>
      </c>
      <c r="B153" s="119" t="inlineStr">
        <is>
          <t>2026/07/31 00:00</t>
        </is>
      </c>
      <c r="C153" s="119" t="inlineStr">
        <is>
          <t>NGUYỄN THỊ THANH HÒA</t>
        </is>
      </c>
      <c r="D153" s="119" t="inlineStr">
        <is>
          <t>19/03/1973</t>
        </is>
      </c>
      <c r="E153" s="119" t="inlineStr">
        <is>
          <t>Giường Ngoại khoa loại 2 - Khoa Chấn thương chỉnh hình</t>
        </is>
      </c>
      <c r="F153" s="249" t="n">
        <v>1</v>
      </c>
      <c r="G153" s="249" t="n">
        <v>301600</v>
      </c>
    </row>
    <row r="154" ht="15.75" customHeight="1">
      <c r="A154" s="119" t="n">
        <v>146</v>
      </c>
      <c r="B154" s="119" t="inlineStr">
        <is>
          <t>2026/07/31 00:00</t>
        </is>
      </c>
      <c r="C154" s="119" t="inlineStr">
        <is>
          <t>NGUYỄN VĂN CƯ</t>
        </is>
      </c>
      <c r="D154" s="119" t="inlineStr">
        <is>
          <t>20/09/1951</t>
        </is>
      </c>
      <c r="E154" s="119" t="inlineStr">
        <is>
          <t>Giường Ngoại khoa loại 1 - Khoa Chấn thương chỉnh hình</t>
        </is>
      </c>
      <c r="F154" s="249" t="n">
        <v>1</v>
      </c>
      <c r="G154" s="249" t="n">
        <v>341800</v>
      </c>
    </row>
    <row r="155" ht="15.75" customHeight="1">
      <c r="A155" s="119" t="n">
        <v>147</v>
      </c>
      <c r="B155" s="119" t="inlineStr">
        <is>
          <t>2026/07/31 00:00</t>
        </is>
      </c>
      <c r="C155" s="119" t="inlineStr">
        <is>
          <t>PHAN THƯỢNG HẢI</t>
        </is>
      </c>
      <c r="D155" s="119" t="inlineStr">
        <is>
          <t>15/07/1972</t>
        </is>
      </c>
      <c r="E155" s="119" t="inlineStr">
        <is>
          <t>Giường Nội khoa loại 2 - Khoa Chấn thương chỉnh hình</t>
        </is>
      </c>
      <c r="F155" s="249" t="n">
        <v>1</v>
      </c>
      <c r="G155" s="249" t="n">
        <v>222300</v>
      </c>
    </row>
    <row r="156" ht="15.75" customHeight="1">
      <c r="A156" s="119" t="n">
        <v>148</v>
      </c>
      <c r="B156" s="119" t="inlineStr">
        <is>
          <t>2026/07/31 00:00</t>
        </is>
      </c>
      <c r="C156" s="119" t="inlineStr">
        <is>
          <t>THỊ MỸ</t>
        </is>
      </c>
      <c r="D156" s="119" t="inlineStr">
        <is>
          <t>01/01/1971</t>
        </is>
      </c>
      <c r="E156" s="119" t="inlineStr">
        <is>
          <t>Giường Nội khoa loại 2 - Khoa Chấn thương chỉnh hình</t>
        </is>
      </c>
      <c r="F156" s="249" t="n">
        <v>1</v>
      </c>
      <c r="G156" s="249" t="n">
        <v>222300</v>
      </c>
    </row>
    <row r="157" ht="15.75" customHeight="1">
      <c r="A157" s="119" t="n">
        <v>149</v>
      </c>
      <c r="B157" s="119" t="inlineStr">
        <is>
          <t>2026/07/31 00:00</t>
        </is>
      </c>
      <c r="C157" s="119" t="inlineStr">
        <is>
          <t>TRƯƠNG PHƯỚC HIẾU</t>
        </is>
      </c>
      <c r="D157" s="119" t="inlineStr">
        <is>
          <t>02/09/1991</t>
        </is>
      </c>
      <c r="E157" s="119" t="inlineStr">
        <is>
          <t>Giường Ngoại khoa loại 1 - Khoa Chấn thương chỉnh hình</t>
        </is>
      </c>
      <c r="F157" s="249" t="n">
        <v>1</v>
      </c>
      <c r="G157" s="249" t="n">
        <v>341800</v>
      </c>
    </row>
    <row r="158" ht="15.75" customHeight="1">
      <c r="A158" s="119" t="n">
        <v>150</v>
      </c>
      <c r="B158" s="119" t="inlineStr">
        <is>
          <t>2026/07/31 00:00</t>
        </is>
      </c>
      <c r="C158" s="119" t="inlineStr">
        <is>
          <t>TRƯƠNG TRIỀU DŨNG</t>
        </is>
      </c>
      <c r="D158" s="119" t="inlineStr">
        <is>
          <t>27/11/2008</t>
        </is>
      </c>
      <c r="E158" s="119" t="inlineStr">
        <is>
          <t>Giường Ngoại khoa loại 1 - Khoa Chấn thương chỉnh hình</t>
        </is>
      </c>
      <c r="F158" s="249" t="n">
        <v>1</v>
      </c>
      <c r="G158" s="249" t="n">
        <v>341800</v>
      </c>
    </row>
    <row r="159" ht="15.75" customHeight="1">
      <c r="A159" s="119" t="n">
        <v>151</v>
      </c>
      <c r="B159" s="119" t="inlineStr">
        <is>
          <t>2026/07/31 00:00</t>
        </is>
      </c>
      <c r="C159" s="119" t="inlineStr">
        <is>
          <t>TRẦN THỊ NGỌC XỨNG</t>
        </is>
      </c>
      <c r="D159" s="119" t="inlineStr">
        <is>
          <t>15/06/1962</t>
        </is>
      </c>
      <c r="E159" s="119" t="inlineStr">
        <is>
          <t>Giường Nội khoa loại 2 - Khoa Chấn thương chỉnh hình</t>
        </is>
      </c>
      <c r="F159" s="249" t="n">
        <v>1</v>
      </c>
      <c r="G159" s="249" t="n">
        <v>222300</v>
      </c>
    </row>
    <row r="160" ht="15.75" customHeight="1">
      <c r="A160" s="119" t="n">
        <v>152</v>
      </c>
      <c r="B160" s="119" t="inlineStr">
        <is>
          <t>2026/07/31 00:00</t>
        </is>
      </c>
      <c r="C160" s="119" t="inlineStr">
        <is>
          <t>VÕ THỊ HUỆ</t>
        </is>
      </c>
      <c r="D160" s="119" t="inlineStr">
        <is>
          <t>01/01/1948</t>
        </is>
      </c>
      <c r="E160" s="119" t="inlineStr">
        <is>
          <t>Giường Nội khoa loại 2 - Khoa Chấn thương chỉnh hình</t>
        </is>
      </c>
      <c r="F160" s="249" t="n">
        <v>1</v>
      </c>
      <c r="G160" s="249" t="n">
        <v>222300</v>
      </c>
    </row>
    <row r="161" ht="15.75" customHeight="1">
      <c r="A161" s="119" t="n">
        <v>153</v>
      </c>
      <c r="B161" s="119" t="inlineStr">
        <is>
          <t>2026/07/31 00:00</t>
        </is>
      </c>
      <c r="C161" s="119" t="inlineStr">
        <is>
          <t>ĐOÀN THỊ VÂN</t>
        </is>
      </c>
      <c r="D161" s="119" t="inlineStr">
        <is>
          <t>01/01/1988</t>
        </is>
      </c>
      <c r="E161" s="119" t="inlineStr">
        <is>
          <t>Giường Nội khoa loại 2 - Khoa Chấn thương chỉnh hình</t>
        </is>
      </c>
      <c r="F161" s="249" t="n">
        <v>1</v>
      </c>
      <c r="G161" s="249" t="n">
        <v>222300</v>
      </c>
    </row>
    <row r="162" ht="15.75" customHeight="1">
      <c r="A162" s="119" t="n">
        <v>154</v>
      </c>
      <c r="B162" s="119" t="inlineStr">
        <is>
          <t>2026/07/31 00:00</t>
        </is>
      </c>
      <c r="C162" s="119" t="inlineStr">
        <is>
          <t>LÂM CHÍ VỈNH</t>
        </is>
      </c>
      <c r="D162" s="119" t="inlineStr">
        <is>
          <t>13/07/2006</t>
        </is>
      </c>
      <c r="E162" s="119" t="inlineStr">
        <is>
          <t>Giường Ngoại khoa loại 1 - Khoa Chấn thương chỉnh hình</t>
        </is>
      </c>
      <c r="F162" s="249" t="n">
        <v>1</v>
      </c>
      <c r="G162" s="249" t="n">
        <v>341800</v>
      </c>
    </row>
    <row r="163" ht="15.75" customHeight="1">
      <c r="A163" s="119" t="n">
        <v>155</v>
      </c>
      <c r="B163" s="119" t="inlineStr">
        <is>
          <t>2026/07/31 00:00</t>
        </is>
      </c>
      <c r="C163" s="119" t="inlineStr">
        <is>
          <t>PHẠM THỊ NGỌC ÁNH</t>
        </is>
      </c>
      <c r="D163" s="119" t="inlineStr">
        <is>
          <t>01/01/1957</t>
        </is>
      </c>
      <c r="E163" s="119" t="inlineStr">
        <is>
          <t>Giường Ngoại khoa loại 1 - Khoa Chấn thương chỉnh hình</t>
        </is>
      </c>
      <c r="F163" s="249" t="n">
        <v>1</v>
      </c>
      <c r="G163" s="249" t="n">
        <v>341800</v>
      </c>
    </row>
    <row r="164" ht="15.75" customHeight="1">
      <c r="A164" s="119" t="n">
        <v>156</v>
      </c>
      <c r="B164" s="119" t="inlineStr">
        <is>
          <t>2026/07/31 00:00</t>
        </is>
      </c>
      <c r="C164" s="119" t="inlineStr">
        <is>
          <t>TĂNG THỊ MIỀN</t>
        </is>
      </c>
      <c r="D164" s="119" t="inlineStr">
        <is>
          <t>01/01/1951</t>
        </is>
      </c>
      <c r="E164" s="119" t="inlineStr">
        <is>
          <t>Giường Ngoại khoa loại 3 - Khoa Chấn thương chỉnh hình</t>
        </is>
      </c>
      <c r="F164" s="249" t="n">
        <v>1</v>
      </c>
      <c r="G164" s="249" t="n">
        <v>269200</v>
      </c>
    </row>
    <row r="165" ht="15.75" customHeight="1">
      <c r="A165" s="119" t="n">
        <v>157</v>
      </c>
      <c r="B165" s="119" t="inlineStr">
        <is>
          <t>2026/07/31 09:19</t>
        </is>
      </c>
      <c r="C165" s="119" t="inlineStr">
        <is>
          <t>NGUYỄN THỊ HƯƠNG</t>
        </is>
      </c>
      <c r="D165" s="119" t="inlineStr">
        <is>
          <t>02/07/1965</t>
        </is>
      </c>
      <c r="E165" s="119" t="inlineStr">
        <is>
          <t>Giường Nội khoa loại 2 - Khoa Chấn thương chỉnh hình</t>
        </is>
      </c>
      <c r="F165" s="249" t="n">
        <v>1</v>
      </c>
      <c r="G165" s="249" t="n">
        <v>222300</v>
      </c>
    </row>
    <row r="166" ht="15.75" customHeight="1">
      <c r="A166" s="119" t="n">
        <v>158</v>
      </c>
      <c r="B166" s="119" t="inlineStr">
        <is>
          <t>2026/07/31 10:06</t>
        </is>
      </c>
      <c r="C166" s="119" t="inlineStr">
        <is>
          <t>TRẦN MINH TƯỞNG</t>
        </is>
      </c>
      <c r="D166" s="119" t="inlineStr">
        <is>
          <t>29/11/2002</t>
        </is>
      </c>
      <c r="E166" s="119" t="inlineStr">
        <is>
          <t>Giường Nội khoa loại 2 - Khoa Chấn thương chỉnh hình</t>
        </is>
      </c>
      <c r="F166" s="249" t="n">
        <v>1</v>
      </c>
      <c r="G166" s="249" t="n">
        <v>222300</v>
      </c>
    </row>
    <row r="167" ht="15.75" customHeight="1">
      <c r="A167" s="119" t="n">
        <v>159</v>
      </c>
      <c r="B167" s="119" t="inlineStr">
        <is>
          <t>2026/07/31 14:26</t>
        </is>
      </c>
      <c r="C167" s="119" t="inlineStr">
        <is>
          <t>PHẠM THỊ KIM GIÀU</t>
        </is>
      </c>
      <c r="D167" s="119" t="inlineStr">
        <is>
          <t>26/08/2007</t>
        </is>
      </c>
      <c r="E167" s="119" t="inlineStr">
        <is>
          <t>Giường Nội khoa loại 2 - Khoa Chấn thương chỉnh hình</t>
        </is>
      </c>
      <c r="F167" s="249" t="n">
        <v>1</v>
      </c>
      <c r="G167" s="249" t="n">
        <v>222300</v>
      </c>
    </row>
    <row r="168" ht="15.75" customHeight="1">
      <c r="A168" s="119" t="n">
        <v>160</v>
      </c>
      <c r="B168" s="119" t="inlineStr">
        <is>
          <t>2026/07/31 18:40</t>
        </is>
      </c>
      <c r="C168" s="119" t="inlineStr">
        <is>
          <t>LÂM PHI DŨNG</t>
        </is>
      </c>
      <c r="D168" s="119" t="inlineStr">
        <is>
          <t>12/12/1965</t>
        </is>
      </c>
      <c r="E168" s="119" t="inlineStr">
        <is>
          <t>Giường Ngoại khoa loại 1 - Khoa Chấn thương chỉnh hình</t>
        </is>
      </c>
      <c r="F168" s="249" t="n">
        <v>1</v>
      </c>
      <c r="G168" s="249" t="n">
        <v>341800</v>
      </c>
    </row>
    <row r="169" ht="15.75" customHeight="1">
      <c r="A169" s="119" t="n">
        <v>161</v>
      </c>
      <c r="B169" s="119" t="inlineStr">
        <is>
          <t>2026/08/01 00:00</t>
        </is>
      </c>
      <c r="C169" s="119" t="inlineStr">
        <is>
          <t>BẰNG ĐĂNG KHOA</t>
        </is>
      </c>
      <c r="D169" s="119" t="inlineStr">
        <is>
          <t>20/05/2001</t>
        </is>
      </c>
      <c r="E169" s="119" t="inlineStr">
        <is>
          <t>Giường Nội khoa loại 2 - Khoa Chấn thương chỉnh hình</t>
        </is>
      </c>
      <c r="F169" s="249" t="n">
        <v>1</v>
      </c>
      <c r="G169" s="249" t="n">
        <v>222300</v>
      </c>
    </row>
    <row r="170" ht="15.75" customHeight="1">
      <c r="A170" s="119" t="n">
        <v>162</v>
      </c>
      <c r="B170" s="119" t="inlineStr">
        <is>
          <t>2026/08/01 00:00</t>
        </is>
      </c>
      <c r="C170" s="119" t="inlineStr">
        <is>
          <t>HUỲNH VĂN CHÓT</t>
        </is>
      </c>
      <c r="D170" s="119" t="inlineStr">
        <is>
          <t>01/01/1964</t>
        </is>
      </c>
      <c r="E170" s="119" t="inlineStr">
        <is>
          <t>Giường Ngoại khoa loại 1 - Khoa Chấn thương chỉnh hình</t>
        </is>
      </c>
      <c r="F170" s="249" t="n">
        <v>1</v>
      </c>
      <c r="G170" s="249" t="n">
        <v>341800</v>
      </c>
    </row>
    <row r="171" ht="15.75" customHeight="1">
      <c r="A171" s="119" t="n">
        <v>163</v>
      </c>
      <c r="B171" s="119" t="inlineStr">
        <is>
          <t>2026/08/01 00:00</t>
        </is>
      </c>
      <c r="C171" s="119" t="inlineStr">
        <is>
          <t>HỒ MINH TUẤN</t>
        </is>
      </c>
      <c r="D171" s="119" t="inlineStr">
        <is>
          <t>25/08/1987</t>
        </is>
      </c>
      <c r="E171" s="119" t="inlineStr">
        <is>
          <t>Giường Ngoại khoa loại 3 - Khoa Chấn thương chỉnh hình</t>
        </is>
      </c>
      <c r="F171" s="249" t="n">
        <v>1</v>
      </c>
      <c r="G171" s="249" t="n">
        <v>269200</v>
      </c>
    </row>
    <row r="172" ht="15.75" customHeight="1">
      <c r="A172" s="119" t="n">
        <v>164</v>
      </c>
      <c r="B172" s="119" t="inlineStr">
        <is>
          <t>2026/08/01 00:00</t>
        </is>
      </c>
      <c r="C172" s="119" t="inlineStr">
        <is>
          <t>LÂM PHI DŨNG</t>
        </is>
      </c>
      <c r="D172" s="119" t="inlineStr">
        <is>
          <t>12/12/1965</t>
        </is>
      </c>
      <c r="E172" s="119" t="inlineStr">
        <is>
          <t>Giường Ngoại khoa loại 1 - Khoa Chấn thương chỉnh hình</t>
        </is>
      </c>
      <c r="F172" s="249" t="n">
        <v>1</v>
      </c>
      <c r="G172" s="249" t="n">
        <v>341800</v>
      </c>
    </row>
    <row r="173" ht="15.75" customHeight="1">
      <c r="A173" s="119" t="n">
        <v>165</v>
      </c>
      <c r="B173" s="119" t="inlineStr">
        <is>
          <t>2026/08/01 00:00</t>
        </is>
      </c>
      <c r="C173" s="119" t="inlineStr">
        <is>
          <t>LÂM THỊ THÚY</t>
        </is>
      </c>
      <c r="D173" s="119" t="inlineStr">
        <is>
          <t>01/01/1972</t>
        </is>
      </c>
      <c r="E173" s="119" t="inlineStr">
        <is>
          <t>Giường Nội khoa loại 2 - Khoa Chấn thương chỉnh hình</t>
        </is>
      </c>
      <c r="F173" s="249" t="n">
        <v>1</v>
      </c>
      <c r="G173" s="249" t="n">
        <v>222300</v>
      </c>
    </row>
    <row r="174" ht="15.75" customHeight="1">
      <c r="A174" s="119" t="n">
        <v>166</v>
      </c>
      <c r="B174" s="119" t="inlineStr">
        <is>
          <t>2026/08/01 00:00</t>
        </is>
      </c>
      <c r="C174" s="119" t="inlineStr">
        <is>
          <t>LÊ CÔNG THẠNH</t>
        </is>
      </c>
      <c r="D174" s="119" t="inlineStr">
        <is>
          <t>01/01/1974</t>
        </is>
      </c>
      <c r="E174" s="119" t="inlineStr">
        <is>
          <t>Giường Nội khoa loại 2 - Khoa Chấn thương chỉnh hình</t>
        </is>
      </c>
      <c r="F174" s="249" t="n">
        <v>1</v>
      </c>
      <c r="G174" s="249" t="n">
        <v>222300</v>
      </c>
    </row>
    <row r="175" ht="15.75" customHeight="1">
      <c r="A175" s="119" t="n">
        <v>167</v>
      </c>
      <c r="B175" s="119" t="inlineStr">
        <is>
          <t>2026/08/01 00:00</t>
        </is>
      </c>
      <c r="C175" s="119" t="inlineStr">
        <is>
          <t>LÊ HOÀI NAM</t>
        </is>
      </c>
      <c r="D175" s="119" t="inlineStr">
        <is>
          <t>02/05/1982</t>
        </is>
      </c>
      <c r="E175" s="119" t="inlineStr">
        <is>
          <t>Giường Nội khoa loại 2 - Khoa Chấn thương chỉnh hình</t>
        </is>
      </c>
      <c r="F175" s="249" t="n">
        <v>1</v>
      </c>
      <c r="G175" s="249" t="n">
        <v>222300</v>
      </c>
    </row>
    <row r="176" ht="15.75" customHeight="1">
      <c r="A176" s="119" t="n">
        <v>168</v>
      </c>
      <c r="B176" s="119" t="inlineStr">
        <is>
          <t>2026/08/01 00:00</t>
        </is>
      </c>
      <c r="C176" s="119" t="inlineStr">
        <is>
          <t>LÊ THỊ GHI</t>
        </is>
      </c>
      <c r="D176" s="119" t="inlineStr">
        <is>
          <t>01/01/1963</t>
        </is>
      </c>
      <c r="E176" s="119" t="inlineStr">
        <is>
          <t>Giường Ngoại khoa loại 3 - Khoa Chấn thương chỉnh hình</t>
        </is>
      </c>
      <c r="F176" s="249" t="n">
        <v>1</v>
      </c>
      <c r="G176" s="249" t="n">
        <v>269200</v>
      </c>
    </row>
    <row r="177" ht="15.75" customHeight="1">
      <c r="A177" s="119" t="n">
        <v>169</v>
      </c>
      <c r="B177" s="119" t="inlineStr">
        <is>
          <t>2026/08/01 00:00</t>
        </is>
      </c>
      <c r="C177" s="119" t="inlineStr">
        <is>
          <t>LÊ THỊ NGỌC PHƯỢNG</t>
        </is>
      </c>
      <c r="D177" s="119" t="inlineStr">
        <is>
          <t>01/01/1951</t>
        </is>
      </c>
      <c r="E177" s="119" t="inlineStr">
        <is>
          <t>Giường Nội khoa loại 2 - Khoa Chấn thương chỉnh hình</t>
        </is>
      </c>
      <c r="F177" s="249" t="n">
        <v>1</v>
      </c>
      <c r="G177" s="249" t="n">
        <v>222300</v>
      </c>
    </row>
    <row r="178" ht="15.75" customHeight="1">
      <c r="A178" s="119" t="n">
        <v>170</v>
      </c>
      <c r="B178" s="119" t="inlineStr">
        <is>
          <t>2026/08/01 00:00</t>
        </is>
      </c>
      <c r="C178" s="119" t="inlineStr">
        <is>
          <t>LÊ THỊ THANH NHANH</t>
        </is>
      </c>
      <c r="D178" s="119" t="inlineStr">
        <is>
          <t>01/01/1976</t>
        </is>
      </c>
      <c r="E178" s="119" t="inlineStr">
        <is>
          <t>Giường Ngoại khoa loại 1 - Khoa Chấn thương chỉnh hình</t>
        </is>
      </c>
      <c r="F178" s="249" t="n">
        <v>1</v>
      </c>
      <c r="G178" s="249" t="n">
        <v>341800</v>
      </c>
    </row>
    <row r="179" ht="15.75" customHeight="1">
      <c r="A179" s="119" t="n">
        <v>171</v>
      </c>
      <c r="B179" s="119" t="inlineStr">
        <is>
          <t>2026/08/01 00:00</t>
        </is>
      </c>
      <c r="C179" s="119" t="inlineStr">
        <is>
          <t>LÊ THỊ ỬNG</t>
        </is>
      </c>
      <c r="D179" s="119" t="inlineStr">
        <is>
          <t>02/09/1953</t>
        </is>
      </c>
      <c r="E179" s="119" t="inlineStr">
        <is>
          <t>Giường Nội khoa loại 2 - Khoa Chấn thương chỉnh hình</t>
        </is>
      </c>
      <c r="F179" s="249" t="n">
        <v>1</v>
      </c>
      <c r="G179" s="249" t="n">
        <v>222300</v>
      </c>
    </row>
    <row r="180" ht="15.75" customHeight="1">
      <c r="A180" s="119" t="n">
        <v>172</v>
      </c>
      <c r="B180" s="119" t="inlineStr">
        <is>
          <t>2026/08/01 00:00</t>
        </is>
      </c>
      <c r="C180" s="119" t="inlineStr">
        <is>
          <t>LÊ TRƯỜNG GIANG</t>
        </is>
      </c>
      <c r="D180" s="119" t="inlineStr">
        <is>
          <t>01/01/1980</t>
        </is>
      </c>
      <c r="E180" s="119" t="inlineStr">
        <is>
          <t>Giường Nội khoa loại 2 - Khoa Chấn thương chỉnh hình</t>
        </is>
      </c>
      <c r="F180" s="249" t="n">
        <v>1</v>
      </c>
      <c r="G180" s="249" t="n">
        <v>222300</v>
      </c>
    </row>
    <row r="181" ht="15.75" customHeight="1">
      <c r="A181" s="119" t="n">
        <v>173</v>
      </c>
      <c r="B181" s="119" t="inlineStr">
        <is>
          <t>2026/08/01 00:00</t>
        </is>
      </c>
      <c r="C181" s="119" t="inlineStr">
        <is>
          <t>NGUYỄN NHẬT VÂN</t>
        </is>
      </c>
      <c r="D181" s="119" t="inlineStr">
        <is>
          <t>01/01/1967</t>
        </is>
      </c>
      <c r="E181" s="119" t="inlineStr">
        <is>
          <t>Giường Ngoại khoa loại 1 - Khoa Chấn thương chỉnh hình</t>
        </is>
      </c>
      <c r="F181" s="249" t="n">
        <v>1</v>
      </c>
      <c r="G181" s="249" t="n">
        <v>341800</v>
      </c>
    </row>
    <row r="182" ht="15.75" customHeight="1">
      <c r="A182" s="119" t="n">
        <v>174</v>
      </c>
      <c r="B182" s="119" t="inlineStr">
        <is>
          <t>2026/08/01 00:00</t>
        </is>
      </c>
      <c r="C182" s="119" t="inlineStr">
        <is>
          <t>NGUYỄN THỊ HƯƠNG</t>
        </is>
      </c>
      <c r="D182" s="119" t="inlineStr">
        <is>
          <t>02/07/1965</t>
        </is>
      </c>
      <c r="E182" s="119" t="inlineStr">
        <is>
          <t>Giường Nội khoa loại 2 - Khoa Chấn thương chỉnh hình</t>
        </is>
      </c>
      <c r="F182" s="249" t="n">
        <v>1</v>
      </c>
      <c r="G182" s="249" t="n">
        <v>222300</v>
      </c>
    </row>
    <row r="183" ht="15.75" customHeight="1">
      <c r="A183" s="119" t="n">
        <v>175</v>
      </c>
      <c r="B183" s="119" t="inlineStr">
        <is>
          <t>2026/08/01 00:00</t>
        </is>
      </c>
      <c r="C183" s="119" t="inlineStr">
        <is>
          <t>NGUYỄN THỊ HỒNG THO</t>
        </is>
      </c>
      <c r="D183" s="119" t="inlineStr">
        <is>
          <t>19/05/1997</t>
        </is>
      </c>
      <c r="E183" s="119" t="inlineStr">
        <is>
          <t>Giường Ngoại khoa loại 3 - Khoa Chấn thương chỉnh hình</t>
        </is>
      </c>
      <c r="F183" s="249" t="n">
        <v>1</v>
      </c>
      <c r="G183" s="249" t="n">
        <v>269200</v>
      </c>
    </row>
    <row r="184" ht="15.75" customHeight="1">
      <c r="A184" s="119" t="n">
        <v>176</v>
      </c>
      <c r="B184" s="119" t="inlineStr">
        <is>
          <t>2026/08/01 00:00</t>
        </is>
      </c>
      <c r="C184" s="119" t="inlineStr">
        <is>
          <t>NGUYỄN THỊ PHỤNG</t>
        </is>
      </c>
      <c r="D184" s="119" t="inlineStr">
        <is>
          <t>01/01/1956</t>
        </is>
      </c>
      <c r="E184" s="119" t="inlineStr">
        <is>
          <t>Giường Ngoại khoa loại 2 - Khoa Chấn thương chỉnh hình</t>
        </is>
      </c>
      <c r="F184" s="249" t="n">
        <v>1</v>
      </c>
      <c r="G184" s="249" t="n">
        <v>301600</v>
      </c>
    </row>
    <row r="185" ht="15.75" customHeight="1">
      <c r="A185" s="119" t="n">
        <v>177</v>
      </c>
      <c r="B185" s="119" t="inlineStr">
        <is>
          <t>2026/08/01 00:00</t>
        </is>
      </c>
      <c r="C185" s="119" t="inlineStr">
        <is>
          <t>NGUYỄN THỊ THANH HÒA</t>
        </is>
      </c>
      <c r="D185" s="119" t="inlineStr">
        <is>
          <t>19/03/1973</t>
        </is>
      </c>
      <c r="E185" s="119" t="inlineStr">
        <is>
          <t>Giường Ngoại khoa loại 2 - Khoa Chấn thương chỉnh hình</t>
        </is>
      </c>
      <c r="F185" s="249" t="n">
        <v>1</v>
      </c>
      <c r="G185" s="249" t="n">
        <v>301600</v>
      </c>
    </row>
    <row r="186" ht="15.75" customHeight="1">
      <c r="A186" s="119" t="n">
        <v>178</v>
      </c>
      <c r="B186" s="119" t="inlineStr">
        <is>
          <t>2026/08/01 00:00</t>
        </is>
      </c>
      <c r="C186" s="119" t="inlineStr">
        <is>
          <t>NGUYỄN VĂN CƯ</t>
        </is>
      </c>
      <c r="D186" s="119" t="inlineStr">
        <is>
          <t>20/09/1951</t>
        </is>
      </c>
      <c r="E186" s="119" t="inlineStr">
        <is>
          <t>Giường Ngoại khoa loại 1 - Khoa Chấn thương chỉnh hình</t>
        </is>
      </c>
      <c r="F186" s="249" t="n">
        <v>1</v>
      </c>
      <c r="G186" s="249" t="n">
        <v>341800</v>
      </c>
    </row>
    <row r="187" ht="15.75" customHeight="1">
      <c r="A187" s="119" t="n">
        <v>179</v>
      </c>
      <c r="B187" s="119" t="inlineStr">
        <is>
          <t>2026/08/01 00:00</t>
        </is>
      </c>
      <c r="C187" s="119" t="inlineStr">
        <is>
          <t>PHAN THƯỢNG HẢI</t>
        </is>
      </c>
      <c r="D187" s="119" t="inlineStr">
        <is>
          <t>15/07/1972</t>
        </is>
      </c>
      <c r="E187" s="119" t="inlineStr">
        <is>
          <t>Giường Nội khoa loại 2 - Khoa Chấn thương chỉnh hình</t>
        </is>
      </c>
      <c r="F187" s="249" t="n">
        <v>1</v>
      </c>
      <c r="G187" s="249" t="n">
        <v>222300</v>
      </c>
    </row>
    <row r="188" ht="15.75" customHeight="1">
      <c r="A188" s="119" t="n">
        <v>180</v>
      </c>
      <c r="B188" s="119" t="inlineStr">
        <is>
          <t>2026/08/01 00:00</t>
        </is>
      </c>
      <c r="C188" s="119" t="inlineStr">
        <is>
          <t>PHẠM THỊ KIM GIÀU</t>
        </is>
      </c>
      <c r="D188" s="119" t="inlineStr">
        <is>
          <t>26/08/2007</t>
        </is>
      </c>
      <c r="E188" s="119" t="inlineStr">
        <is>
          <t>Giường Nội khoa loại 2 - Khoa Chấn thương chỉnh hình</t>
        </is>
      </c>
      <c r="F188" s="249" t="n">
        <v>1</v>
      </c>
      <c r="G188" s="249" t="n">
        <v>222300</v>
      </c>
    </row>
    <row r="189" ht="15.75" customHeight="1">
      <c r="A189" s="119" t="n">
        <v>181</v>
      </c>
      <c r="B189" s="119" t="inlineStr">
        <is>
          <t>2026/08/01 00:00</t>
        </is>
      </c>
      <c r="C189" s="119" t="inlineStr">
        <is>
          <t>THỊ MỸ</t>
        </is>
      </c>
      <c r="D189" s="119" t="inlineStr">
        <is>
          <t>01/01/1971</t>
        </is>
      </c>
      <c r="E189" s="119" t="inlineStr">
        <is>
          <t>Giường Nội khoa loại 2 - Khoa Chấn thương chỉnh hình</t>
        </is>
      </c>
      <c r="F189" s="249" t="n">
        <v>1</v>
      </c>
      <c r="G189" s="249" t="n">
        <v>222300</v>
      </c>
    </row>
    <row r="190" ht="15.75" customHeight="1">
      <c r="A190" s="119" t="n">
        <v>182</v>
      </c>
      <c r="B190" s="119" t="inlineStr">
        <is>
          <t>2026/08/01 00:00</t>
        </is>
      </c>
      <c r="C190" s="119" t="inlineStr">
        <is>
          <t>TRƯƠNG PHƯỚC HIẾU</t>
        </is>
      </c>
      <c r="D190" s="119" t="inlineStr">
        <is>
          <t>02/09/1991</t>
        </is>
      </c>
      <c r="E190" s="119" t="inlineStr">
        <is>
          <t>Giường Ngoại khoa loại 1 - Khoa Chấn thương chỉnh hình</t>
        </is>
      </c>
      <c r="F190" s="249" t="n">
        <v>1</v>
      </c>
      <c r="G190" s="249" t="n">
        <v>341800</v>
      </c>
    </row>
    <row r="191" ht="15.75" customHeight="1">
      <c r="A191" s="119" t="n">
        <v>183</v>
      </c>
      <c r="B191" s="119" t="inlineStr">
        <is>
          <t>2026/08/01 00:00</t>
        </is>
      </c>
      <c r="C191" s="119" t="inlineStr">
        <is>
          <t>TRƯƠNG TRIỀU DŨNG</t>
        </is>
      </c>
      <c r="D191" s="119" t="inlineStr">
        <is>
          <t>27/11/2008</t>
        </is>
      </c>
      <c r="E191" s="119" t="inlineStr">
        <is>
          <t>Giường Ngoại khoa loại 1 - Khoa Chấn thương chỉnh hình</t>
        </is>
      </c>
      <c r="F191" s="249" t="n">
        <v>1</v>
      </c>
      <c r="G191" s="249" t="n">
        <v>341800</v>
      </c>
    </row>
    <row r="192" ht="15.75" customHeight="1">
      <c r="A192" s="119" t="n">
        <v>184</v>
      </c>
      <c r="B192" s="119" t="inlineStr">
        <is>
          <t>2026/08/01 00:00</t>
        </is>
      </c>
      <c r="C192" s="119" t="inlineStr">
        <is>
          <t>TRẦN MINH TƯỞNG</t>
        </is>
      </c>
      <c r="D192" s="119" t="inlineStr">
        <is>
          <t>29/11/2002</t>
        </is>
      </c>
      <c r="E192" s="119" t="inlineStr">
        <is>
          <t>Giường Nội khoa loại 2 - Khoa Chấn thương chỉnh hình</t>
        </is>
      </c>
      <c r="F192" s="249" t="n">
        <v>1</v>
      </c>
      <c r="G192" s="249" t="n">
        <v>222300</v>
      </c>
    </row>
    <row r="193" ht="15.75" customHeight="1">
      <c r="A193" s="119" t="n">
        <v>185</v>
      </c>
      <c r="B193" s="119" t="inlineStr">
        <is>
          <t>2026/08/01 00:00</t>
        </is>
      </c>
      <c r="C193" s="119" t="inlineStr">
        <is>
          <t>TRẦN THỊ NGỌC XỨNG</t>
        </is>
      </c>
      <c r="D193" s="119" t="inlineStr">
        <is>
          <t>15/06/1962</t>
        </is>
      </c>
      <c r="E193" s="119" t="inlineStr">
        <is>
          <t>Giường Nội khoa loại 2 - Khoa Chấn thương chỉnh hình</t>
        </is>
      </c>
      <c r="F193" s="249" t="n">
        <v>1</v>
      </c>
      <c r="G193" s="249" t="n">
        <v>222300</v>
      </c>
    </row>
    <row r="194" ht="15.75" customHeight="1">
      <c r="A194" s="119" t="n">
        <v>186</v>
      </c>
      <c r="B194" s="119" t="inlineStr">
        <is>
          <t>2026/08/01 00:00</t>
        </is>
      </c>
      <c r="C194" s="119" t="inlineStr">
        <is>
          <t>VÕ THỊ HUỆ</t>
        </is>
      </c>
      <c r="D194" s="119" t="inlineStr">
        <is>
          <t>01/01/1948</t>
        </is>
      </c>
      <c r="E194" s="119" t="inlineStr">
        <is>
          <t>Giường Nội khoa loại 2 - Khoa Chấn thương chỉnh hình</t>
        </is>
      </c>
      <c r="F194" s="249" t="n">
        <v>1</v>
      </c>
      <c r="G194" s="249" t="n">
        <v>222300</v>
      </c>
    </row>
    <row r="195" ht="15.75" customHeight="1">
      <c r="A195" s="119" t="n">
        <v>187</v>
      </c>
      <c r="B195" s="119" t="inlineStr">
        <is>
          <t>2026/08/01 00:00</t>
        </is>
      </c>
      <c r="C195" s="119" t="inlineStr">
        <is>
          <t>LÂM CHÍ VỈNH</t>
        </is>
      </c>
      <c r="D195" s="119" t="inlineStr">
        <is>
          <t>13/07/2006</t>
        </is>
      </c>
      <c r="E195" s="119" t="inlineStr">
        <is>
          <t>Giường Ngoại khoa loại 1 - Khoa Chấn thương chỉnh hình</t>
        </is>
      </c>
      <c r="F195" s="249" t="n">
        <v>1</v>
      </c>
      <c r="G195" s="249" t="n">
        <v>341800</v>
      </c>
    </row>
    <row r="196" ht="15.75" customHeight="1">
      <c r="A196" s="119" t="n">
        <v>188</v>
      </c>
      <c r="B196" s="119" t="inlineStr">
        <is>
          <t>2026/08/01 00:00</t>
        </is>
      </c>
      <c r="C196" s="119" t="inlineStr">
        <is>
          <t>PHẠM THỊ NGỌC ÁNH</t>
        </is>
      </c>
      <c r="D196" s="119" t="inlineStr">
        <is>
          <t>01/01/1957</t>
        </is>
      </c>
      <c r="E196" s="119" t="inlineStr">
        <is>
          <t>Giường Ngoại khoa loại 1 - Khoa Chấn thương chỉnh hình</t>
        </is>
      </c>
      <c r="F196" s="249" t="n">
        <v>1</v>
      </c>
      <c r="G196" s="249" t="n">
        <v>341800</v>
      </c>
    </row>
    <row r="197" ht="15.75" customHeight="1">
      <c r="A197" s="119" t="n">
        <v>189</v>
      </c>
      <c r="B197" s="119" t="inlineStr">
        <is>
          <t>2026/08/01 00:00</t>
        </is>
      </c>
      <c r="C197" s="119" t="inlineStr">
        <is>
          <t>TĂNG THỊ MIỀN</t>
        </is>
      </c>
      <c r="D197" s="119" t="inlineStr">
        <is>
          <t>01/01/1951</t>
        </is>
      </c>
      <c r="E197" s="119" t="inlineStr">
        <is>
          <t>Giường Ngoại khoa loại 3 - Khoa Chấn thương chỉnh hình</t>
        </is>
      </c>
      <c r="F197" s="249" t="n">
        <v>1</v>
      </c>
      <c r="G197" s="249" t="n">
        <v>269200</v>
      </c>
    </row>
    <row r="198" ht="15.75" customHeight="1">
      <c r="A198" s="119" t="n">
        <v>190</v>
      </c>
      <c r="B198" s="119" t="inlineStr">
        <is>
          <t>2026/08/01 00:00</t>
        </is>
      </c>
      <c r="C198" s="119" t="inlineStr">
        <is>
          <t>ĐOÀN THỊ VÂN</t>
        </is>
      </c>
      <c r="D198" s="119" t="inlineStr">
        <is>
          <t>01/01/1988</t>
        </is>
      </c>
      <c r="E198" s="119" t="inlineStr">
        <is>
          <t>Giường Ngoại khoa loại 3 - Khoa Chấn thương chỉnh hình</t>
        </is>
      </c>
      <c r="F198" s="249" t="n">
        <v>1</v>
      </c>
      <c r="G198" s="249" t="n">
        <v>269200</v>
      </c>
    </row>
    <row r="199" ht="15.75" customHeight="1">
      <c r="A199" s="119" t="n">
        <v>191</v>
      </c>
      <c r="B199" s="119" t="inlineStr">
        <is>
          <t>2026/08/01 11:00</t>
        </is>
      </c>
      <c r="C199" s="119" t="inlineStr">
        <is>
          <t>PHAN HOÀNG ÂN</t>
        </is>
      </c>
      <c r="D199" s="119" t="inlineStr">
        <is>
          <t>05/03/2001</t>
        </is>
      </c>
      <c r="E199" s="119" t="inlineStr">
        <is>
          <t>Giường Ngoại khoa loại 2 - Khoa Chấn thương chỉnh hình</t>
        </is>
      </c>
      <c r="F199" s="249" t="n">
        <v>1</v>
      </c>
      <c r="G199" s="249" t="n">
        <v>301600</v>
      </c>
    </row>
    <row r="200" ht="15.75" customHeight="1">
      <c r="A200" s="119" t="n">
        <v>192</v>
      </c>
      <c r="B200" s="119" t="inlineStr">
        <is>
          <t>2026/08/01 12:21</t>
        </is>
      </c>
      <c r="C200" s="119" t="inlineStr">
        <is>
          <t>LÊ NHƯ Ý</t>
        </is>
      </c>
      <c r="D200" s="119" t="inlineStr">
        <is>
          <t>09/08/2003</t>
        </is>
      </c>
      <c r="E200" s="119" t="inlineStr">
        <is>
          <t>Giường Nội khoa loại 2 - Khoa Chấn thương chỉnh hình</t>
        </is>
      </c>
      <c r="F200" s="249" t="n">
        <v>1</v>
      </c>
      <c r="G200" s="249" t="n">
        <v>222300</v>
      </c>
    </row>
    <row r="201" ht="15.75" customHeight="1">
      <c r="A201" s="119" t="n">
        <v>193</v>
      </c>
      <c r="B201" s="119" t="inlineStr">
        <is>
          <t>2026/08/02 00:00</t>
        </is>
      </c>
      <c r="C201" s="119" t="inlineStr">
        <is>
          <t>HUỲNH VĂN CHÓT</t>
        </is>
      </c>
      <c r="D201" s="119" t="inlineStr">
        <is>
          <t>01/01/1964</t>
        </is>
      </c>
      <c r="E201" s="119" t="inlineStr">
        <is>
          <t>Giường Ngoại khoa loại 1 - Khoa Chấn thương chỉnh hình</t>
        </is>
      </c>
      <c r="F201" s="249" t="n">
        <v>1</v>
      </c>
      <c r="G201" s="249" t="n">
        <v>341800</v>
      </c>
    </row>
    <row r="202" ht="15.75" customHeight="1">
      <c r="A202" s="119" t="n">
        <v>194</v>
      </c>
      <c r="B202" s="119" t="inlineStr">
        <is>
          <t>2026/08/02 00:00</t>
        </is>
      </c>
      <c r="C202" s="119" t="inlineStr">
        <is>
          <t>HỒ MINH TUẤN</t>
        </is>
      </c>
      <c r="D202" s="119" t="inlineStr">
        <is>
          <t>25/08/1987</t>
        </is>
      </c>
      <c r="E202" s="119" t="inlineStr">
        <is>
          <t>Giường Ngoại khoa loại 3 - Khoa Chấn thương chỉnh hình</t>
        </is>
      </c>
      <c r="F202" s="249" t="n">
        <v>1</v>
      </c>
      <c r="G202" s="249" t="n">
        <v>269200</v>
      </c>
    </row>
    <row r="203" ht="15.75" customHeight="1">
      <c r="A203" s="119" t="n">
        <v>195</v>
      </c>
      <c r="B203" s="119" t="inlineStr">
        <is>
          <t>2026/08/02 00:00</t>
        </is>
      </c>
      <c r="C203" s="119" t="inlineStr">
        <is>
          <t>LÂM PHI DŨNG</t>
        </is>
      </c>
      <c r="D203" s="119" t="inlineStr">
        <is>
          <t>12/12/1965</t>
        </is>
      </c>
      <c r="E203" s="119" t="inlineStr">
        <is>
          <t>Giường Ngoại khoa loại 1 - Khoa Chấn thương chỉnh hình</t>
        </is>
      </c>
      <c r="F203" s="249" t="n">
        <v>1</v>
      </c>
      <c r="G203" s="249" t="n">
        <v>341800</v>
      </c>
    </row>
    <row r="204" ht="15.75" customHeight="1">
      <c r="A204" s="119" t="n">
        <v>196</v>
      </c>
      <c r="B204" s="119" t="inlineStr">
        <is>
          <t>2026/08/02 00:00</t>
        </is>
      </c>
      <c r="C204" s="119" t="inlineStr">
        <is>
          <t>LÂM THỊ THÚY</t>
        </is>
      </c>
      <c r="D204" s="119" t="inlineStr">
        <is>
          <t>01/01/1972</t>
        </is>
      </c>
      <c r="E204" s="119" t="inlineStr">
        <is>
          <t>Giường Nội khoa loại 2 - Khoa Chấn thương chỉnh hình</t>
        </is>
      </c>
      <c r="F204" s="249" t="n">
        <v>1</v>
      </c>
      <c r="G204" s="249" t="n">
        <v>222300</v>
      </c>
    </row>
    <row r="205" ht="15.75" customHeight="1">
      <c r="A205" s="119" t="n">
        <v>197</v>
      </c>
      <c r="B205" s="119" t="inlineStr">
        <is>
          <t>2026/08/02 00:00</t>
        </is>
      </c>
      <c r="C205" s="119" t="inlineStr">
        <is>
          <t>LÊ CÔNG THẠNH</t>
        </is>
      </c>
      <c r="D205" s="119" t="inlineStr">
        <is>
          <t>01/01/1974</t>
        </is>
      </c>
      <c r="E205" s="119" t="inlineStr">
        <is>
          <t>Giường Nội khoa loại 2 - Khoa Chấn thương chỉnh hình</t>
        </is>
      </c>
      <c r="F205" s="249" t="n">
        <v>1</v>
      </c>
      <c r="G205" s="249" t="n">
        <v>222300</v>
      </c>
    </row>
    <row r="206" ht="15.75" customHeight="1">
      <c r="A206" s="119" t="n">
        <v>198</v>
      </c>
      <c r="B206" s="119" t="inlineStr">
        <is>
          <t>2026/08/02 00:00</t>
        </is>
      </c>
      <c r="C206" s="119" t="inlineStr">
        <is>
          <t>LÊ HOÀI NAM</t>
        </is>
      </c>
      <c r="D206" s="119" t="inlineStr">
        <is>
          <t>02/05/1982</t>
        </is>
      </c>
      <c r="E206" s="119" t="inlineStr">
        <is>
          <t>Giường Nội khoa loại 2 - Khoa Chấn thương chỉnh hình</t>
        </is>
      </c>
      <c r="F206" s="249" t="n">
        <v>1</v>
      </c>
      <c r="G206" s="249" t="n">
        <v>222300</v>
      </c>
    </row>
    <row r="207" ht="15.75" customHeight="1">
      <c r="A207" s="119" t="n">
        <v>199</v>
      </c>
      <c r="B207" s="119" t="inlineStr">
        <is>
          <t>2026/08/02 00:00</t>
        </is>
      </c>
      <c r="C207" s="119" t="inlineStr">
        <is>
          <t>LÊ NHƯ Ý</t>
        </is>
      </c>
      <c r="D207" s="119" t="inlineStr">
        <is>
          <t>09/08/2003</t>
        </is>
      </c>
      <c r="E207" s="119" t="inlineStr">
        <is>
          <t>Giường Nội khoa loại 2 - Khoa Chấn thương chỉnh hình</t>
        </is>
      </c>
      <c r="F207" s="249" t="n">
        <v>1</v>
      </c>
      <c r="G207" s="249" t="n">
        <v>222300</v>
      </c>
    </row>
    <row r="208" ht="15.75" customHeight="1">
      <c r="A208" s="119" t="n">
        <v>200</v>
      </c>
      <c r="B208" s="119" t="inlineStr">
        <is>
          <t>2026/08/02 00:00</t>
        </is>
      </c>
      <c r="C208" s="119" t="inlineStr">
        <is>
          <t>LÊ THỊ GHI</t>
        </is>
      </c>
      <c r="D208" s="119" t="inlineStr">
        <is>
          <t>01/01/1963</t>
        </is>
      </c>
      <c r="E208" s="119" t="inlineStr">
        <is>
          <t>Giường Ngoại khoa loại 3 - Khoa Chấn thương chỉnh hình</t>
        </is>
      </c>
      <c r="F208" s="249" t="n">
        <v>1</v>
      </c>
      <c r="G208" s="249" t="n">
        <v>269200</v>
      </c>
    </row>
    <row r="209" ht="18" customHeight="1">
      <c r="A209" s="119" t="n">
        <v>201</v>
      </c>
      <c r="B209" s="119" t="inlineStr">
        <is>
          <t>2026/08/02 00:00</t>
        </is>
      </c>
      <c r="C209" s="119" t="inlineStr">
        <is>
          <t>LÊ THỊ NGỌC PHƯỢNG</t>
        </is>
      </c>
      <c r="D209" s="119" t="inlineStr">
        <is>
          <t>01/01/1951</t>
        </is>
      </c>
      <c r="E209" s="119" t="inlineStr">
        <is>
          <t>Giường Nội khoa loại 2 - Khoa Chấn thương chỉnh hình</t>
        </is>
      </c>
      <c r="F209" s="249" t="n">
        <v>1</v>
      </c>
      <c r="G209" s="249" t="n">
        <v>222300</v>
      </c>
    </row>
    <row r="210" ht="15.75" customHeight="1">
      <c r="A210" s="119" t="n">
        <v>202</v>
      </c>
      <c r="B210" s="119" t="inlineStr">
        <is>
          <t>2026/08/02 00:00</t>
        </is>
      </c>
      <c r="C210" s="119" t="inlineStr">
        <is>
          <t>LÊ THỊ THANH NHANH</t>
        </is>
      </c>
      <c r="D210" s="119" t="inlineStr">
        <is>
          <t>01/01/1976</t>
        </is>
      </c>
      <c r="E210" s="119" t="inlineStr">
        <is>
          <t>Giường Ngoại khoa loại 1 - Khoa Chấn thương chỉnh hình</t>
        </is>
      </c>
      <c r="F210" s="249" t="n">
        <v>1</v>
      </c>
      <c r="G210" s="249" t="n">
        <v>341800</v>
      </c>
    </row>
    <row r="211" ht="15.75" customHeight="1">
      <c r="A211" s="119" t="n">
        <v>203</v>
      </c>
      <c r="B211" s="119" t="inlineStr">
        <is>
          <t>2026/08/02 00:00</t>
        </is>
      </c>
      <c r="C211" s="119" t="inlineStr">
        <is>
          <t>LÊ THỊ ỬNG</t>
        </is>
      </c>
      <c r="D211" s="119" t="inlineStr">
        <is>
          <t>02/09/1953</t>
        </is>
      </c>
      <c r="E211" s="119" t="inlineStr">
        <is>
          <t>Giường Nội khoa loại 2 - Khoa Chấn thương chỉnh hình</t>
        </is>
      </c>
      <c r="F211" s="249" t="n">
        <v>1</v>
      </c>
      <c r="G211" s="249" t="n">
        <v>222300</v>
      </c>
    </row>
    <row r="212" ht="15.75" customHeight="1">
      <c r="A212" s="119" t="n">
        <v>204</v>
      </c>
      <c r="B212" s="119" t="inlineStr">
        <is>
          <t>2026/08/02 00:00</t>
        </is>
      </c>
      <c r="C212" s="119" t="inlineStr">
        <is>
          <t>LÊ TRƯỜNG GIANG</t>
        </is>
      </c>
      <c r="D212" s="119" t="inlineStr">
        <is>
          <t>01/01/1980</t>
        </is>
      </c>
      <c r="E212" s="119" t="inlineStr">
        <is>
          <t>Giường Nội khoa loại 2 - Khoa Chấn thương chỉnh hình</t>
        </is>
      </c>
      <c r="F212" s="249" t="n">
        <v>1</v>
      </c>
      <c r="G212" s="249" t="n">
        <v>222300</v>
      </c>
    </row>
    <row r="213" ht="15.75" customHeight="1">
      <c r="A213" s="119" t="n">
        <v>205</v>
      </c>
      <c r="B213" s="119" t="inlineStr">
        <is>
          <t>2026/08/02 00:00</t>
        </is>
      </c>
      <c r="C213" s="119" t="inlineStr">
        <is>
          <t>NGUYỄN NHẬT VÂN</t>
        </is>
      </c>
      <c r="D213" s="119" t="inlineStr">
        <is>
          <t>01/01/1967</t>
        </is>
      </c>
      <c r="E213" s="119" t="inlineStr">
        <is>
          <t>Giường Ngoại khoa loại 1 - Khoa Chấn thương chỉnh hình</t>
        </is>
      </c>
      <c r="F213" s="249" t="n">
        <v>1</v>
      </c>
      <c r="G213" s="249" t="n">
        <v>341800</v>
      </c>
    </row>
    <row r="214" ht="15.75" customHeight="1">
      <c r="A214" s="119" t="n">
        <v>206</v>
      </c>
      <c r="B214" s="119" t="inlineStr">
        <is>
          <t>2026/08/02 00:00</t>
        </is>
      </c>
      <c r="C214" s="119" t="inlineStr">
        <is>
          <t>NGUYỄN THỊ HƯƠNG</t>
        </is>
      </c>
      <c r="D214" s="119" t="inlineStr">
        <is>
          <t>02/07/1965</t>
        </is>
      </c>
      <c r="E214" s="119" t="inlineStr">
        <is>
          <t>Giường Nội khoa loại 2 - Khoa Chấn thương chỉnh hình</t>
        </is>
      </c>
      <c r="F214" s="249" t="n">
        <v>1</v>
      </c>
      <c r="G214" s="249" t="n">
        <v>222300</v>
      </c>
    </row>
    <row r="215" ht="15.75" customHeight="1">
      <c r="A215" s="119" t="n">
        <v>207</v>
      </c>
      <c r="B215" s="119" t="inlineStr">
        <is>
          <t>2026/08/02 00:00</t>
        </is>
      </c>
      <c r="C215" s="119" t="inlineStr">
        <is>
          <t>NGUYỄN THỊ HỒNG THO</t>
        </is>
      </c>
      <c r="D215" s="119" t="inlineStr">
        <is>
          <t>19/05/1997</t>
        </is>
      </c>
      <c r="E215" s="119" t="inlineStr">
        <is>
          <t>Giường Ngoại khoa loại 3 - Khoa Chấn thương chỉnh hình</t>
        </is>
      </c>
      <c r="F215" s="249" t="n">
        <v>1</v>
      </c>
      <c r="G215" s="249" t="n">
        <v>269200</v>
      </c>
    </row>
    <row r="216" ht="15.75" customHeight="1">
      <c r="A216" s="119" t="n">
        <v>208</v>
      </c>
      <c r="B216" s="119" t="inlineStr">
        <is>
          <t>2026/08/02 00:00</t>
        </is>
      </c>
      <c r="C216" s="119" t="inlineStr">
        <is>
          <t>NGUYỄN THỊ PHỤNG</t>
        </is>
      </c>
      <c r="D216" s="119" t="inlineStr">
        <is>
          <t>01/01/1956</t>
        </is>
      </c>
      <c r="E216" s="119" t="inlineStr">
        <is>
          <t>Giường Ngoại khoa loại 2 - Khoa Chấn thương chỉnh hình</t>
        </is>
      </c>
      <c r="F216" s="249" t="n">
        <v>1</v>
      </c>
      <c r="G216" s="249" t="n">
        <v>301600</v>
      </c>
    </row>
    <row r="217" ht="15.75" customHeight="1">
      <c r="A217" s="119" t="n">
        <v>209</v>
      </c>
      <c r="B217" s="119" t="inlineStr">
        <is>
          <t>2026/08/02 00:00</t>
        </is>
      </c>
      <c r="C217" s="119" t="inlineStr">
        <is>
          <t>NGUYỄN THỊ THANH HÒA</t>
        </is>
      </c>
      <c r="D217" s="119" t="inlineStr">
        <is>
          <t>19/03/1973</t>
        </is>
      </c>
      <c r="E217" s="119" t="inlineStr">
        <is>
          <t>Giường Ngoại khoa loại 2 - Khoa Chấn thương chỉnh hình</t>
        </is>
      </c>
      <c r="F217" s="249" t="n">
        <v>1</v>
      </c>
      <c r="G217" s="249" t="n">
        <v>301600</v>
      </c>
    </row>
    <row r="218" ht="15.75" customHeight="1">
      <c r="A218" s="119" t="n">
        <v>210</v>
      </c>
      <c r="B218" s="119" t="inlineStr">
        <is>
          <t>2026/08/02 00:00</t>
        </is>
      </c>
      <c r="C218" s="119" t="inlineStr">
        <is>
          <t>NGUYỄN VĂN CƯ</t>
        </is>
      </c>
      <c r="D218" s="119" t="inlineStr">
        <is>
          <t>20/09/1951</t>
        </is>
      </c>
      <c r="E218" s="119" t="inlineStr">
        <is>
          <t>Giường Ngoại khoa loại 1 - Khoa Chấn thương chỉnh hình</t>
        </is>
      </c>
      <c r="F218" s="249" t="n">
        <v>1</v>
      </c>
      <c r="G218" s="249" t="n">
        <v>341800</v>
      </c>
    </row>
    <row r="219" ht="15.75" customHeight="1">
      <c r="A219" s="119" t="n">
        <v>211</v>
      </c>
      <c r="B219" s="119" t="inlineStr">
        <is>
          <t>2026/08/02 00:00</t>
        </is>
      </c>
      <c r="C219" s="119" t="inlineStr">
        <is>
          <t>PHAN HOÀNG ÂN</t>
        </is>
      </c>
      <c r="D219" s="119" t="inlineStr">
        <is>
          <t>05/03/2001</t>
        </is>
      </c>
      <c r="E219" s="119" t="inlineStr">
        <is>
          <t>Giường Ngoại khoa loại 2 - Khoa Chấn thương chỉnh hình</t>
        </is>
      </c>
      <c r="F219" s="249" t="n">
        <v>1</v>
      </c>
      <c r="G219" s="249" t="n">
        <v>301600</v>
      </c>
    </row>
    <row r="220" ht="15.75" customHeight="1">
      <c r="A220" s="119" t="n">
        <v>212</v>
      </c>
      <c r="B220" s="119" t="inlineStr">
        <is>
          <t>2026/08/02 00:00</t>
        </is>
      </c>
      <c r="C220" s="119" t="inlineStr">
        <is>
          <t>PHAN THƯỢNG HẢI</t>
        </is>
      </c>
      <c r="D220" s="119" t="inlineStr">
        <is>
          <t>15/07/1972</t>
        </is>
      </c>
      <c r="E220" s="119" t="inlineStr">
        <is>
          <t>Giường Nội khoa loại 2 - Khoa Chấn thương chỉnh hình</t>
        </is>
      </c>
      <c r="F220" s="249" t="n">
        <v>1</v>
      </c>
      <c r="G220" s="249" t="n">
        <v>222300</v>
      </c>
    </row>
    <row r="221" ht="15.75" customHeight="1">
      <c r="A221" s="119" t="n">
        <v>213</v>
      </c>
      <c r="B221" s="119" t="inlineStr">
        <is>
          <t>2026/08/02 00:00</t>
        </is>
      </c>
      <c r="C221" s="119" t="inlineStr">
        <is>
          <t>PHẠM THỊ KIM GIÀU</t>
        </is>
      </c>
      <c r="D221" s="119" t="inlineStr">
        <is>
          <t>26/08/2007</t>
        </is>
      </c>
      <c r="E221" s="119" t="inlineStr">
        <is>
          <t>Giường Nội khoa loại 2 - Khoa Chấn thương chỉnh hình</t>
        </is>
      </c>
      <c r="F221" s="249" t="n">
        <v>1</v>
      </c>
      <c r="G221" s="249" t="n">
        <v>222300</v>
      </c>
    </row>
    <row r="222" ht="15.75" customHeight="1">
      <c r="A222" s="119" t="n">
        <v>214</v>
      </c>
      <c r="B222" s="119" t="inlineStr">
        <is>
          <t>2026/08/02 00:00</t>
        </is>
      </c>
      <c r="C222" s="119" t="inlineStr">
        <is>
          <t>THỊ MỸ</t>
        </is>
      </c>
      <c r="D222" s="119" t="inlineStr">
        <is>
          <t>01/01/1971</t>
        </is>
      </c>
      <c r="E222" s="119" t="inlineStr">
        <is>
          <t>Giường Nội khoa loại 2 - Khoa Chấn thương chỉnh hình</t>
        </is>
      </c>
      <c r="F222" s="249" t="n">
        <v>1</v>
      </c>
      <c r="G222" s="249" t="n">
        <v>222300</v>
      </c>
    </row>
    <row r="223" ht="15.75" customHeight="1">
      <c r="A223" s="119" t="n">
        <v>215</v>
      </c>
      <c r="B223" s="119" t="inlineStr">
        <is>
          <t>2026/08/02 00:00</t>
        </is>
      </c>
      <c r="C223" s="119" t="inlineStr">
        <is>
          <t>TRƯƠNG PHƯỚC HIẾU</t>
        </is>
      </c>
      <c r="D223" s="119" t="inlineStr">
        <is>
          <t>02/09/1991</t>
        </is>
      </c>
      <c r="E223" s="119" t="inlineStr">
        <is>
          <t>Giường Ngoại khoa loại 1 - Khoa Chấn thương chỉnh hình</t>
        </is>
      </c>
      <c r="F223" s="249" t="n">
        <v>1</v>
      </c>
      <c r="G223" s="249" t="n">
        <v>341800</v>
      </c>
    </row>
    <row r="224" ht="15.75" customHeight="1">
      <c r="A224" s="119" t="n">
        <v>216</v>
      </c>
      <c r="B224" s="119" t="inlineStr">
        <is>
          <t>2026/08/02 00:00</t>
        </is>
      </c>
      <c r="C224" s="119" t="inlineStr">
        <is>
          <t>TRƯƠNG TRIỀU DŨNG</t>
        </is>
      </c>
      <c r="D224" s="119" t="inlineStr">
        <is>
          <t>27/11/2008</t>
        </is>
      </c>
      <c r="E224" s="119" t="inlineStr">
        <is>
          <t>Giường Ngoại khoa loại 1 - Khoa Chấn thương chỉnh hình</t>
        </is>
      </c>
      <c r="F224" s="249" t="n">
        <v>1</v>
      </c>
      <c r="G224" s="249" t="n">
        <v>341800</v>
      </c>
    </row>
    <row r="225" ht="15.75" customHeight="1">
      <c r="A225" s="119" t="n">
        <v>217</v>
      </c>
      <c r="B225" s="119" t="inlineStr">
        <is>
          <t>2026/08/02 00:00</t>
        </is>
      </c>
      <c r="C225" s="119" t="inlineStr">
        <is>
          <t>TRẦN MINH TƯỞNG</t>
        </is>
      </c>
      <c r="D225" s="119" t="inlineStr">
        <is>
          <t>29/11/2002</t>
        </is>
      </c>
      <c r="E225" s="119" t="inlineStr">
        <is>
          <t>Giường Nội khoa loại 2 - Khoa Chấn thương chỉnh hình</t>
        </is>
      </c>
      <c r="F225" s="249" t="n">
        <v>1</v>
      </c>
      <c r="G225" s="249" t="n">
        <v>222300</v>
      </c>
    </row>
    <row r="226" ht="15.75" customHeight="1">
      <c r="A226" s="119" t="n">
        <v>218</v>
      </c>
      <c r="B226" s="119" t="inlineStr">
        <is>
          <t>2026/08/02 00:00</t>
        </is>
      </c>
      <c r="C226" s="119" t="inlineStr">
        <is>
          <t>TRẦN THỊ NGỌC XỨNG</t>
        </is>
      </c>
      <c r="D226" s="119" t="inlineStr">
        <is>
          <t>15/06/1962</t>
        </is>
      </c>
      <c r="E226" s="119" t="inlineStr">
        <is>
          <t>Giường Nội khoa loại 2 - Khoa Chấn thương chỉnh hình</t>
        </is>
      </c>
      <c r="F226" s="249" t="n">
        <v>1</v>
      </c>
      <c r="G226" s="249" t="n">
        <v>222300</v>
      </c>
    </row>
    <row r="227" ht="15.75" customHeight="1">
      <c r="A227" s="119" t="n">
        <v>219</v>
      </c>
      <c r="B227" s="119" t="inlineStr">
        <is>
          <t>2026/08/02 00:00</t>
        </is>
      </c>
      <c r="C227" s="119" t="inlineStr">
        <is>
          <t>VÕ THỊ HUỆ</t>
        </is>
      </c>
      <c r="D227" s="119" t="inlineStr">
        <is>
          <t>01/01/1948</t>
        </is>
      </c>
      <c r="E227" s="119" t="inlineStr">
        <is>
          <t>Giường Nội khoa loại 2 - Khoa Chấn thương chỉnh hình</t>
        </is>
      </c>
      <c r="F227" s="249" t="n">
        <v>1</v>
      </c>
      <c r="G227" s="249" t="n">
        <v>222300</v>
      </c>
    </row>
    <row r="228" ht="15.75" customHeight="1">
      <c r="A228" s="119" t="n">
        <v>220</v>
      </c>
      <c r="B228" s="119" t="inlineStr">
        <is>
          <t>2026/08/02 00:00</t>
        </is>
      </c>
      <c r="C228" s="119" t="inlineStr">
        <is>
          <t>LÂM CHÍ VỈNH</t>
        </is>
      </c>
      <c r="D228" s="119" t="inlineStr">
        <is>
          <t>13/07/2006</t>
        </is>
      </c>
      <c r="E228" s="119" t="inlineStr">
        <is>
          <t>Giường Ngoại khoa loại 1 - Khoa Chấn thương chỉnh hình</t>
        </is>
      </c>
      <c r="F228" s="249" t="n">
        <v>1</v>
      </c>
      <c r="G228" s="249" t="n">
        <v>341800</v>
      </c>
    </row>
    <row r="229" ht="15.75" customHeight="1">
      <c r="A229" s="119" t="n">
        <v>221</v>
      </c>
      <c r="B229" s="119" t="inlineStr">
        <is>
          <t>2026/08/02 00:00</t>
        </is>
      </c>
      <c r="C229" s="119" t="inlineStr">
        <is>
          <t>PHẠM THỊ NGỌC ÁNH</t>
        </is>
      </c>
      <c r="D229" s="119" t="inlineStr">
        <is>
          <t>01/01/1957</t>
        </is>
      </c>
      <c r="E229" s="119" t="inlineStr">
        <is>
          <t>Giường Ngoại khoa loại 1 - Khoa Chấn thương chỉnh hình</t>
        </is>
      </c>
      <c r="F229" s="249" t="n">
        <v>1</v>
      </c>
      <c r="G229" s="249" t="n">
        <v>341800</v>
      </c>
    </row>
    <row r="230" ht="15.75" customHeight="1">
      <c r="A230" s="119" t="n">
        <v>222</v>
      </c>
      <c r="B230" s="119" t="inlineStr">
        <is>
          <t>2026/08/02 00:00</t>
        </is>
      </c>
      <c r="C230" s="119" t="inlineStr">
        <is>
          <t>TĂNG THỊ MIỀN</t>
        </is>
      </c>
      <c r="D230" s="119" t="inlineStr">
        <is>
          <t>01/01/1951</t>
        </is>
      </c>
      <c r="E230" s="119" t="inlineStr">
        <is>
          <t>Giường Ngoại khoa loại 3 - Khoa Chấn thương chỉnh hình</t>
        </is>
      </c>
      <c r="F230" s="249" t="n">
        <v>1</v>
      </c>
      <c r="G230" s="249" t="n">
        <v>269200</v>
      </c>
    </row>
    <row r="231" ht="15.75" customHeight="1">
      <c r="A231" s="119" t="n">
        <v>223</v>
      </c>
      <c r="B231" s="119" t="inlineStr">
        <is>
          <t>2026/08/02 00:00</t>
        </is>
      </c>
      <c r="C231" s="119" t="inlineStr">
        <is>
          <t>ĐOÀN THỊ VÂN</t>
        </is>
      </c>
      <c r="D231" s="119" t="inlineStr">
        <is>
          <t>01/01/1988</t>
        </is>
      </c>
      <c r="E231" s="119" t="inlineStr">
        <is>
          <t>Giường Ngoại khoa loại 3 - Khoa Chấn thương chỉnh hình</t>
        </is>
      </c>
      <c r="F231" s="249" t="n">
        <v>1</v>
      </c>
      <c r="G231" s="249" t="n">
        <v>269200</v>
      </c>
    </row>
    <row r="232" ht="15.75" customHeight="1">
      <c r="A232" s="119" t="n">
        <v>224</v>
      </c>
      <c r="B232" s="119" t="inlineStr">
        <is>
          <t>2026/08/02 09:33</t>
        </is>
      </c>
      <c r="C232" s="119" t="inlineStr">
        <is>
          <t>VÕ THỊ XIÊNG</t>
        </is>
      </c>
      <c r="D232" s="119" t="inlineStr">
        <is>
          <t>01/01/1971</t>
        </is>
      </c>
      <c r="E232" s="119" t="inlineStr">
        <is>
          <t>Giường Nội khoa loại 2 - Khoa Chấn thương chỉnh hình</t>
        </is>
      </c>
      <c r="F232" s="249" t="n">
        <v>1</v>
      </c>
      <c r="G232" s="249" t="n">
        <v>222300</v>
      </c>
    </row>
    <row r="233" ht="15.75" customHeight="1">
      <c r="A233" s="119" t="n">
        <v>225</v>
      </c>
      <c r="B233" s="119" t="inlineStr">
        <is>
          <t>2026/08/02 11:00</t>
        </is>
      </c>
      <c r="C233" s="119" t="inlineStr">
        <is>
          <t>NGUYỄN THỊ ÁNH LOAN</t>
        </is>
      </c>
      <c r="D233" s="119" t="inlineStr">
        <is>
          <t>30/10/1967</t>
        </is>
      </c>
      <c r="E233" s="119" t="inlineStr">
        <is>
          <t>Giường Nội khoa loại 2 - Khoa Chấn thương chỉnh hình</t>
        </is>
      </c>
      <c r="F233" s="249" t="n">
        <v>1</v>
      </c>
      <c r="G233" s="249" t="n">
        <v>600000</v>
      </c>
    </row>
    <row r="234" ht="15.75" customHeight="1">
      <c r="A234" s="119" t="n">
        <v>226</v>
      </c>
      <c r="B234" s="119" t="inlineStr">
        <is>
          <t>2026/08/02 17:23</t>
        </is>
      </c>
      <c r="C234" s="119" t="inlineStr">
        <is>
          <t>DƯƠNG BÁ NHẪN</t>
        </is>
      </c>
      <c r="D234" s="119" t="inlineStr">
        <is>
          <t>13/12/1999</t>
        </is>
      </c>
      <c r="E234" s="119" t="inlineStr">
        <is>
          <t>Giường Ngoại khoa loại 1 - Khoa Chấn thương chỉnh hình</t>
        </is>
      </c>
      <c r="F234" s="249" t="n">
        <v>1</v>
      </c>
      <c r="G234" s="249" t="n">
        <v>341800</v>
      </c>
    </row>
    <row r="235" ht="15.75" customHeight="1">
      <c r="A235" s="119" t="n">
        <v>227</v>
      </c>
      <c r="B235" s="119" t="inlineStr">
        <is>
          <t>2026/08/03 00:00</t>
        </is>
      </c>
      <c r="C235" s="119" t="inlineStr">
        <is>
          <t>DƯƠNG BÁ NHẪN</t>
        </is>
      </c>
      <c r="D235" s="119" t="inlineStr">
        <is>
          <t>13/12/1999</t>
        </is>
      </c>
      <c r="E235" s="119" t="inlineStr">
        <is>
          <t>Giường Ngoại khoa loại 1 - Khoa Chấn thương chỉnh hình</t>
        </is>
      </c>
      <c r="F235" s="249" t="n">
        <v>1</v>
      </c>
      <c r="G235" s="249" t="n">
        <v>341800</v>
      </c>
    </row>
    <row r="236" ht="15.75" customHeight="1">
      <c r="A236" s="119" t="n">
        <v>228</v>
      </c>
      <c r="B236" s="119" t="inlineStr">
        <is>
          <t>2026/08/03 00:00</t>
        </is>
      </c>
      <c r="C236" s="119" t="inlineStr">
        <is>
          <t>LÂM PHI DŨNG</t>
        </is>
      </c>
      <c r="D236" s="119" t="inlineStr">
        <is>
          <t>12/12/1965</t>
        </is>
      </c>
      <c r="E236" s="119" t="inlineStr">
        <is>
          <t>Giường Ngoại khoa loại 1 - Khoa Chấn thương chỉnh hình</t>
        </is>
      </c>
      <c r="F236" s="249" t="n">
        <v>1</v>
      </c>
      <c r="G236" s="249" t="n">
        <v>341800</v>
      </c>
    </row>
    <row r="237" ht="15.75" customHeight="1">
      <c r="A237" s="119" t="n">
        <v>229</v>
      </c>
      <c r="B237" s="119" t="inlineStr">
        <is>
          <t>2026/08/03 00:00</t>
        </is>
      </c>
      <c r="C237" s="119" t="inlineStr">
        <is>
          <t>LÂM THỊ THÚY</t>
        </is>
      </c>
      <c r="D237" s="119" t="inlineStr">
        <is>
          <t>01/01/1972</t>
        </is>
      </c>
      <c r="E237" s="119" t="inlineStr">
        <is>
          <t>Giường Nội khoa loại 2 - Khoa Chấn thương chỉnh hình</t>
        </is>
      </c>
      <c r="F237" s="249" t="n">
        <v>1</v>
      </c>
      <c r="G237" s="249" t="n">
        <v>222300</v>
      </c>
    </row>
    <row r="238" ht="15.75" customHeight="1">
      <c r="A238" s="119" t="n">
        <v>230</v>
      </c>
      <c r="B238" s="119" t="inlineStr">
        <is>
          <t>2026/08/03 00:00</t>
        </is>
      </c>
      <c r="C238" s="119" t="inlineStr">
        <is>
          <t>LÊ CÔNG THẠNH</t>
        </is>
      </c>
      <c r="D238" s="119" t="inlineStr">
        <is>
          <t>01/01/1974</t>
        </is>
      </c>
      <c r="E238" s="119" t="inlineStr">
        <is>
          <t>Giường Nội khoa loại 2 - Khoa Chấn thương chỉnh hình</t>
        </is>
      </c>
      <c r="F238" s="249" t="n">
        <v>1</v>
      </c>
      <c r="G238" s="249" t="n">
        <v>222300</v>
      </c>
    </row>
    <row r="239" ht="15.75" customHeight="1">
      <c r="A239" s="119" t="n">
        <v>231</v>
      </c>
      <c r="B239" s="119" t="inlineStr">
        <is>
          <t>2026/08/03 00:00</t>
        </is>
      </c>
      <c r="C239" s="119" t="inlineStr">
        <is>
          <t>LÊ HOÀI NAM</t>
        </is>
      </c>
      <c r="D239" s="119" t="inlineStr">
        <is>
          <t>02/05/1982</t>
        </is>
      </c>
      <c r="E239" s="119" t="inlineStr">
        <is>
          <t>Giường Nội khoa loại 2 - Khoa Chấn thương chỉnh hình</t>
        </is>
      </c>
      <c r="F239" s="249" t="n">
        <v>1</v>
      </c>
      <c r="G239" s="249" t="n">
        <v>222300</v>
      </c>
    </row>
    <row r="240" ht="15.75" customHeight="1">
      <c r="A240" s="119" t="n">
        <v>232</v>
      </c>
      <c r="B240" s="119" t="inlineStr">
        <is>
          <t>2026/08/03 00:00</t>
        </is>
      </c>
      <c r="C240" s="119" t="inlineStr">
        <is>
          <t>LÊ THỊ GHI</t>
        </is>
      </c>
      <c r="D240" s="119" t="inlineStr">
        <is>
          <t>01/01/1963</t>
        </is>
      </c>
      <c r="E240" s="119" t="inlineStr">
        <is>
          <t>Giường Ngoại khoa loại 3 - Khoa Chấn thương chỉnh hình</t>
        </is>
      </c>
      <c r="F240" s="249" t="n">
        <v>1</v>
      </c>
      <c r="G240" s="249" t="n">
        <v>269200</v>
      </c>
    </row>
    <row r="241" ht="15.75" customHeight="1">
      <c r="A241" s="119" t="n">
        <v>233</v>
      </c>
      <c r="B241" s="119" t="inlineStr">
        <is>
          <t>2026/08/03 00:00</t>
        </is>
      </c>
      <c r="C241" s="119" t="inlineStr">
        <is>
          <t>LÊ THỊ NGỌC PHƯỢNG</t>
        </is>
      </c>
      <c r="D241" s="119" t="inlineStr">
        <is>
          <t>01/01/1951</t>
        </is>
      </c>
      <c r="E241" s="119" t="inlineStr">
        <is>
          <t>Giường Nội khoa loại 2 - Khoa Chấn thương chỉnh hình</t>
        </is>
      </c>
      <c r="F241" s="249" t="n">
        <v>1</v>
      </c>
      <c r="G241" s="249" t="n">
        <v>222300</v>
      </c>
    </row>
    <row r="242" ht="15.75" customHeight="1">
      <c r="A242" s="119" t="n">
        <v>234</v>
      </c>
      <c r="B242" s="119" t="inlineStr">
        <is>
          <t>2026/08/03 00:00</t>
        </is>
      </c>
      <c r="C242" s="119" t="inlineStr">
        <is>
          <t>LÊ THỊ THANH NHANH</t>
        </is>
      </c>
      <c r="D242" s="119" t="inlineStr">
        <is>
          <t>01/01/1976</t>
        </is>
      </c>
      <c r="E242" s="119" t="inlineStr">
        <is>
          <t>Giường Ngoại khoa loại 1 - Khoa Chấn thương chỉnh hình</t>
        </is>
      </c>
      <c r="F242" s="249" t="n">
        <v>1</v>
      </c>
      <c r="G242" s="249" t="n">
        <v>341800</v>
      </c>
    </row>
    <row r="243" ht="15.75" customHeight="1">
      <c r="A243" s="119" t="n">
        <v>235</v>
      </c>
      <c r="B243" s="119" t="inlineStr">
        <is>
          <t>2026/08/03 00:00</t>
        </is>
      </c>
      <c r="C243" s="119" t="inlineStr">
        <is>
          <t>LÊ THỊ ỬNG</t>
        </is>
      </c>
      <c r="D243" s="119" t="inlineStr">
        <is>
          <t>02/09/1953</t>
        </is>
      </c>
      <c r="E243" s="119" t="inlineStr">
        <is>
          <t>Giường Nội khoa loại 2 - Khoa Chấn thương chỉnh hình</t>
        </is>
      </c>
      <c r="F243" s="249" t="n">
        <v>1</v>
      </c>
      <c r="G243" s="249" t="n">
        <v>222300</v>
      </c>
    </row>
    <row r="244" ht="15.75" customHeight="1">
      <c r="A244" s="119" t="n">
        <v>236</v>
      </c>
      <c r="B244" s="119" t="inlineStr">
        <is>
          <t>2026/08/03 00:00</t>
        </is>
      </c>
      <c r="C244" s="119" t="inlineStr">
        <is>
          <t>LÊ TRƯỜNG GIANG</t>
        </is>
      </c>
      <c r="D244" s="119" t="inlineStr">
        <is>
          <t>01/01/1980</t>
        </is>
      </c>
      <c r="E244" s="119" t="inlineStr">
        <is>
          <t>Giường Nội khoa loại 2 - Khoa Chấn thương chỉnh hình</t>
        </is>
      </c>
      <c r="F244" s="249" t="n">
        <v>1</v>
      </c>
      <c r="G244" s="249" t="n">
        <v>222300</v>
      </c>
    </row>
    <row r="245" ht="15.75" customHeight="1">
      <c r="A245" s="119" t="n">
        <v>237</v>
      </c>
      <c r="B245" s="119" t="inlineStr">
        <is>
          <t>2026/08/03 00:00</t>
        </is>
      </c>
      <c r="C245" s="119" t="inlineStr">
        <is>
          <t>NGUYỄN THỊ HỒNG THO</t>
        </is>
      </c>
      <c r="D245" s="119" t="inlineStr">
        <is>
          <t>19/05/1997</t>
        </is>
      </c>
      <c r="E245" s="119" t="inlineStr">
        <is>
          <t>Giường Ngoại khoa loại 3 - Khoa Chấn thương chỉnh hình</t>
        </is>
      </c>
      <c r="F245" s="249" t="n">
        <v>1</v>
      </c>
      <c r="G245" s="249" t="n">
        <v>269200</v>
      </c>
    </row>
    <row r="246" ht="15.75" customHeight="1">
      <c r="A246" s="119" t="n">
        <v>238</v>
      </c>
      <c r="B246" s="119" t="inlineStr">
        <is>
          <t>2026/08/03 00:00</t>
        </is>
      </c>
      <c r="C246" s="119" t="inlineStr">
        <is>
          <t>NGUYỄN THỊ THANH HÒA</t>
        </is>
      </c>
      <c r="D246" s="119" t="inlineStr">
        <is>
          <t>19/03/1973</t>
        </is>
      </c>
      <c r="E246" s="119" t="inlineStr">
        <is>
          <t>Giường Ngoại khoa loại 2 - Khoa Chấn thương chỉnh hình</t>
        </is>
      </c>
      <c r="F246" s="249" t="n">
        <v>1</v>
      </c>
      <c r="G246" s="249" t="n">
        <v>301600</v>
      </c>
    </row>
    <row r="247" ht="15.75" customHeight="1">
      <c r="A247" s="119" t="n">
        <v>239</v>
      </c>
      <c r="B247" s="119" t="inlineStr">
        <is>
          <t>2026/08/03 00:00</t>
        </is>
      </c>
      <c r="C247" s="119" t="inlineStr">
        <is>
          <t>NGUYỄN THỊ ÁNH LOAN</t>
        </is>
      </c>
      <c r="D247" s="119" t="inlineStr">
        <is>
          <t>30/10/1967</t>
        </is>
      </c>
      <c r="E247" s="119" t="inlineStr">
        <is>
          <t>Giường Nội khoa loại 2 - Khoa Chấn thương chỉnh hình</t>
        </is>
      </c>
      <c r="F247" s="249" t="n">
        <v>1</v>
      </c>
      <c r="G247" s="249" t="n">
        <v>600000</v>
      </c>
    </row>
    <row r="248" ht="15.75" customHeight="1">
      <c r="A248" s="119" t="n">
        <v>240</v>
      </c>
      <c r="B248" s="119" t="inlineStr">
        <is>
          <t>2026/08/03 00:00</t>
        </is>
      </c>
      <c r="C248" s="119" t="inlineStr">
        <is>
          <t>PHAN HOÀNG ÂN</t>
        </is>
      </c>
      <c r="D248" s="119" t="inlineStr">
        <is>
          <t>05/03/2001</t>
        </is>
      </c>
      <c r="E248" s="119" t="inlineStr">
        <is>
          <t>Giường Ngoại khoa loại 2 - Khoa Chấn thương chỉnh hình</t>
        </is>
      </c>
      <c r="F248" s="249" t="n">
        <v>1</v>
      </c>
      <c r="G248" s="249" t="n">
        <v>301600</v>
      </c>
    </row>
    <row r="249" ht="15.75" customHeight="1">
      <c r="A249" s="119" t="n">
        <v>241</v>
      </c>
      <c r="B249" s="119" t="inlineStr">
        <is>
          <t>2026/08/03 00:00</t>
        </is>
      </c>
      <c r="C249" s="119" t="inlineStr">
        <is>
          <t>PHAN THƯỢNG HẢI</t>
        </is>
      </c>
      <c r="D249" s="119" t="inlineStr">
        <is>
          <t>15/07/1972</t>
        </is>
      </c>
      <c r="E249" s="119" t="inlineStr">
        <is>
          <t>Giường Nội khoa loại 2 - Khoa Chấn thương chỉnh hình</t>
        </is>
      </c>
      <c r="F249" s="249" t="n">
        <v>1</v>
      </c>
      <c r="G249" s="249" t="n">
        <v>222300</v>
      </c>
    </row>
    <row r="250" ht="15.75" customHeight="1">
      <c r="A250" s="119" t="n">
        <v>242</v>
      </c>
      <c r="B250" s="119" t="inlineStr">
        <is>
          <t>2026/08/03 00:00</t>
        </is>
      </c>
      <c r="C250" s="119" t="inlineStr">
        <is>
          <t>PHẠM THỊ KIM GIÀU</t>
        </is>
      </c>
      <c r="D250" s="119" t="inlineStr">
        <is>
          <t>26/08/2007</t>
        </is>
      </c>
      <c r="E250" s="119" t="inlineStr">
        <is>
          <t>Giường Nội khoa loại 2 - Khoa Chấn thương chỉnh hình</t>
        </is>
      </c>
      <c r="F250" s="249" t="n">
        <v>1</v>
      </c>
      <c r="G250" s="249" t="n">
        <v>222300</v>
      </c>
    </row>
    <row r="251" ht="15.75" customHeight="1">
      <c r="A251" s="119" t="n">
        <v>243</v>
      </c>
      <c r="B251" s="119" t="inlineStr">
        <is>
          <t>2026/08/03 00:00</t>
        </is>
      </c>
      <c r="C251" s="119" t="inlineStr">
        <is>
          <t>TRƯƠNG PHƯỚC HIẾU</t>
        </is>
      </c>
      <c r="D251" s="119" t="inlineStr">
        <is>
          <t>02/09/1991</t>
        </is>
      </c>
      <c r="E251" s="119" t="inlineStr">
        <is>
          <t>Giường Ngoại khoa loại 1 - Khoa Chấn thương chỉnh hình</t>
        </is>
      </c>
      <c r="F251" s="249" t="n">
        <v>1</v>
      </c>
      <c r="G251" s="249" t="n">
        <v>341800</v>
      </c>
    </row>
    <row r="252" ht="15.75" customHeight="1">
      <c r="A252" s="119" t="n">
        <v>244</v>
      </c>
      <c r="B252" s="119" t="inlineStr">
        <is>
          <t>2026/08/03 00:00</t>
        </is>
      </c>
      <c r="C252" s="119" t="inlineStr">
        <is>
          <t>TRẦN THỊ NGỌC XỨNG</t>
        </is>
      </c>
      <c r="D252" s="119" t="inlineStr">
        <is>
          <t>15/06/1962</t>
        </is>
      </c>
      <c r="E252" s="119" t="inlineStr">
        <is>
          <t>Giường Nội khoa loại 2 - Khoa Chấn thương chỉnh hình</t>
        </is>
      </c>
      <c r="F252" s="249" t="n">
        <v>1</v>
      </c>
      <c r="G252" s="249" t="n">
        <v>222300</v>
      </c>
    </row>
    <row r="253" ht="15.75" customHeight="1">
      <c r="A253" s="119" t="n">
        <v>245</v>
      </c>
      <c r="B253" s="119" t="inlineStr">
        <is>
          <t>2026/08/03 00:00</t>
        </is>
      </c>
      <c r="C253" s="119" t="inlineStr">
        <is>
          <t>VÕ THỊ XIÊNG</t>
        </is>
      </c>
      <c r="D253" s="119" t="inlineStr">
        <is>
          <t>01/01/1971</t>
        </is>
      </c>
      <c r="E253" s="119" t="inlineStr">
        <is>
          <t>Giường Nội khoa loại 2 - Khoa Chấn thương chỉnh hình</t>
        </is>
      </c>
      <c r="F253" s="249" t="n">
        <v>1</v>
      </c>
      <c r="G253" s="249" t="n">
        <v>222300</v>
      </c>
    </row>
    <row r="254" ht="15.75" customHeight="1">
      <c r="A254" s="119" t="n">
        <v>246</v>
      </c>
      <c r="B254" s="119" t="inlineStr">
        <is>
          <t>2026/08/03 00:00</t>
        </is>
      </c>
      <c r="C254" s="119" t="inlineStr">
        <is>
          <t>PHẠM THỊ NGỌC ÁNH</t>
        </is>
      </c>
      <c r="D254" s="119" t="inlineStr">
        <is>
          <t>01/01/1957</t>
        </is>
      </c>
      <c r="E254" s="119" t="inlineStr">
        <is>
          <t>Giường Ngoại khoa loại 1 - Khoa Chấn thương chỉnh hình</t>
        </is>
      </c>
      <c r="F254" s="249" t="n">
        <v>1</v>
      </c>
      <c r="G254" s="249" t="n">
        <v>341800</v>
      </c>
    </row>
    <row r="255" ht="15.75" customHeight="1">
      <c r="A255" s="119" t="n">
        <v>247</v>
      </c>
      <c r="B255" s="119" t="inlineStr">
        <is>
          <t>2026/08/03 00:00</t>
        </is>
      </c>
      <c r="C255" s="119" t="inlineStr">
        <is>
          <t>TĂNG THỊ MIỀN</t>
        </is>
      </c>
      <c r="D255" s="119" t="inlineStr">
        <is>
          <t>01/01/1951</t>
        </is>
      </c>
      <c r="E255" s="119" t="inlineStr">
        <is>
          <t>Giường Ngoại khoa loại 3 - Khoa Chấn thương chỉnh hình</t>
        </is>
      </c>
      <c r="F255" s="249" t="n">
        <v>1</v>
      </c>
      <c r="G255" s="249" t="n">
        <v>269200</v>
      </c>
    </row>
    <row r="256" ht="15.75" customHeight="1">
      <c r="A256" s="119" t="n">
        <v>248</v>
      </c>
      <c r="B256" s="119" t="inlineStr">
        <is>
          <t>2026/08/03 08:00</t>
        </is>
      </c>
      <c r="C256" s="119" t="inlineStr">
        <is>
          <t>TRƯƠNG CẨM TÚ</t>
        </is>
      </c>
      <c r="D256" s="119" t="inlineStr">
        <is>
          <t>09/02/1994</t>
        </is>
      </c>
      <c r="E256" s="119" t="inlineStr">
        <is>
          <t>Giường Nội khoa loại 2 - Khoa Chấn thương chỉnh hình</t>
        </is>
      </c>
      <c r="F256" s="249" t="n">
        <v>1</v>
      </c>
      <c r="G256" s="249" t="n">
        <v>222300</v>
      </c>
    </row>
    <row r="257" ht="15.75" customHeight="1">
      <c r="A257" s="119" t="n">
        <v>249</v>
      </c>
      <c r="B257" s="119" t="inlineStr">
        <is>
          <t>2026/08/03 08:00</t>
        </is>
      </c>
      <c r="C257" s="119" t="inlineStr">
        <is>
          <t>TRẦN THỊ ƠN</t>
        </is>
      </c>
      <c r="D257" s="119" t="inlineStr">
        <is>
          <t>01/01/1957</t>
        </is>
      </c>
      <c r="E257" s="119" t="inlineStr">
        <is>
          <t>Giường Nội khoa loại 2 - Khoa Chấn thương chỉnh hình</t>
        </is>
      </c>
      <c r="F257" s="249" t="n">
        <v>1</v>
      </c>
      <c r="G257" s="249" t="n">
        <v>222300</v>
      </c>
    </row>
    <row r="258" ht="15.75" customHeight="1">
      <c r="A258" s="119" t="n">
        <v>250</v>
      </c>
      <c r="B258" s="119" t="inlineStr">
        <is>
          <t>2026/08/03 08:27</t>
        </is>
      </c>
      <c r="C258" s="119" t="inlineStr">
        <is>
          <t>BÙI VĂN TRƯỜNG</t>
        </is>
      </c>
      <c r="D258" s="119" t="inlineStr">
        <is>
          <t>01/01/1972</t>
        </is>
      </c>
      <c r="E258" s="119" t="inlineStr">
        <is>
          <t>Giường Ngoại khoa loại 1 - Khoa Chấn thương chỉnh hình</t>
        </is>
      </c>
      <c r="F258" s="249" t="n">
        <v>1</v>
      </c>
      <c r="G258" s="249" t="n">
        <v>341800</v>
      </c>
    </row>
    <row r="259" ht="15.75" customHeight="1">
      <c r="A259" s="119" t="n">
        <v>251</v>
      </c>
      <c r="B259" s="119" t="inlineStr">
        <is>
          <t>2026/08/03 08:48</t>
        </is>
      </c>
      <c r="C259" s="119" t="inlineStr">
        <is>
          <t>THÁI THIỆN THẢO</t>
        </is>
      </c>
      <c r="D259" s="119" t="inlineStr">
        <is>
          <t>15/12/1969</t>
        </is>
      </c>
      <c r="E259" s="119" t="inlineStr">
        <is>
          <t>Giường Nội khoa loại 2 - Khoa Chấn thương chỉnh hình</t>
        </is>
      </c>
      <c r="F259" s="249" t="n">
        <v>1</v>
      </c>
      <c r="G259" s="249" t="n">
        <v>222300</v>
      </c>
    </row>
    <row r="260" ht="15.75" customHeight="1">
      <c r="A260" s="119" t="n">
        <v>252</v>
      </c>
      <c r="B260" s="119" t="inlineStr">
        <is>
          <t>2026/08/03 09:30</t>
        </is>
      </c>
      <c r="C260" s="119" t="inlineStr">
        <is>
          <t>TRẦN PHƯƠNG ĐÔNG</t>
        </is>
      </c>
      <c r="D260" s="119" t="inlineStr">
        <is>
          <t>01/01/1977</t>
        </is>
      </c>
      <c r="E260" s="119" t="inlineStr">
        <is>
          <t>Giường Nội khoa loại 2 - Khoa Chấn thương chỉnh hình</t>
        </is>
      </c>
      <c r="F260" s="249" t="n">
        <v>1</v>
      </c>
      <c r="G260" s="249" t="n">
        <v>222300</v>
      </c>
    </row>
    <row r="261" ht="15.75" customHeight="1">
      <c r="A261" s="119" t="n">
        <v>253</v>
      </c>
      <c r="B261" s="119" t="inlineStr">
        <is>
          <t>2026/08/03 10:26</t>
        </is>
      </c>
      <c r="C261" s="119" t="inlineStr">
        <is>
          <t>NGUYỄN THỊ NĂM</t>
        </is>
      </c>
      <c r="D261" s="119" t="inlineStr">
        <is>
          <t>30/04/1955</t>
        </is>
      </c>
      <c r="E261" s="119" t="inlineStr">
        <is>
          <t>Giường Nội khoa loại 2 - Khoa Chấn thương chỉnh hình</t>
        </is>
      </c>
      <c r="F261" s="249" t="n">
        <v>1</v>
      </c>
      <c r="G261" s="249" t="n">
        <v>222300</v>
      </c>
    </row>
    <row r="262" ht="15.75" customHeight="1">
      <c r="A262" s="119" t="n">
        <v>254</v>
      </c>
      <c r="B262" s="119" t="inlineStr">
        <is>
          <t>2026/08/03 13:45</t>
        </is>
      </c>
      <c r="C262" s="119" t="inlineStr">
        <is>
          <t>TRẦN MINH TƯỞNG</t>
        </is>
      </c>
      <c r="D262" s="119" t="inlineStr">
        <is>
          <t>29/11/2002</t>
        </is>
      </c>
      <c r="E262" s="119" t="inlineStr">
        <is>
          <t>Giường Ngoại khoa loại 2 - Khoa Chấn thương chỉnh hình</t>
        </is>
      </c>
      <c r="F262" s="249" t="n">
        <v>1</v>
      </c>
      <c r="G262" s="249" t="n">
        <v>301600</v>
      </c>
    </row>
    <row r="263" ht="15.75" customHeight="1">
      <c r="A263" s="119" t="n">
        <v>255</v>
      </c>
      <c r="B263" s="119" t="inlineStr">
        <is>
          <t>2026/08/03 14:11</t>
        </is>
      </c>
      <c r="C263" s="119" t="inlineStr">
        <is>
          <t>NGUYỄN THỊ HƯƠNG</t>
        </is>
      </c>
      <c r="D263" s="119" t="inlineStr">
        <is>
          <t>02/07/1965</t>
        </is>
      </c>
      <c r="E263" s="119" t="inlineStr">
        <is>
          <t>Giường Ngoại khoa loại 4 - Khoa Chấn thương chỉnh hình</t>
        </is>
      </c>
      <c r="F263" s="249" t="n">
        <v>1</v>
      </c>
      <c r="G263" s="249" t="n">
        <v>229200</v>
      </c>
    </row>
    <row r="264" ht="15.75" customHeight="1">
      <c r="A264" s="119" t="n">
        <v>256</v>
      </c>
      <c r="B264" s="119" t="inlineStr">
        <is>
          <t>2026/08/03 14:50</t>
        </is>
      </c>
      <c r="C264" s="119" t="inlineStr">
        <is>
          <t>LA BÍCH LỆ</t>
        </is>
      </c>
      <c r="D264" s="119" t="inlineStr">
        <is>
          <t>01/01/1949</t>
        </is>
      </c>
      <c r="E264" s="119" t="inlineStr">
        <is>
          <t>Giường Nội khoa loại 2 - Khoa Chấn thương chỉnh hình</t>
        </is>
      </c>
      <c r="F264" s="249" t="n">
        <v>1</v>
      </c>
      <c r="G264" s="249" t="n">
        <v>222300</v>
      </c>
    </row>
    <row r="265" ht="15.75" customHeight="1">
      <c r="A265" s="119" t="n">
        <v>257</v>
      </c>
      <c r="B265" s="119" t="inlineStr">
        <is>
          <t>2026/08/03 14:55</t>
        </is>
      </c>
      <c r="C265" s="119" t="inlineStr">
        <is>
          <t>TRẦN MINH KHA</t>
        </is>
      </c>
      <c r="D265" s="119" t="inlineStr">
        <is>
          <t>15/02/1994</t>
        </is>
      </c>
      <c r="E265" s="119" t="inlineStr">
        <is>
          <t>Giường Nội khoa loại 2 - Khoa Chấn thương chỉnh hình</t>
        </is>
      </c>
      <c r="F265" s="249" t="n">
        <v>1</v>
      </c>
      <c r="G265" s="249" t="n">
        <v>222300</v>
      </c>
    </row>
    <row r="266" ht="15.75" customHeight="1">
      <c r="A266" s="119" t="n">
        <v>258</v>
      </c>
      <c r="B266" s="119" t="inlineStr">
        <is>
          <t>2026/08/03 15:12</t>
        </is>
      </c>
      <c r="C266" s="119" t="inlineStr">
        <is>
          <t>MAI THỊ LIỄU</t>
        </is>
      </c>
      <c r="D266" s="119" t="inlineStr">
        <is>
          <t>02/07/1969</t>
        </is>
      </c>
      <c r="E266" s="119" t="inlineStr">
        <is>
          <t>Giường Nội khoa loại 2 - Khoa Chấn thương chỉnh hình</t>
        </is>
      </c>
      <c r="F266" s="249" t="n">
        <v>1</v>
      </c>
      <c r="G266" s="249" t="n">
        <v>222300</v>
      </c>
    </row>
    <row r="267" ht="15.75" customHeight="1">
      <c r="A267" s="119" t="n">
        <v>259</v>
      </c>
      <c r="B267" s="119" t="inlineStr">
        <is>
          <t>2026/08/03 19:26</t>
        </is>
      </c>
      <c r="C267" s="119" t="inlineStr">
        <is>
          <t>VÕ THỊ HUỆ</t>
        </is>
      </c>
      <c r="D267" s="119" t="inlineStr">
        <is>
          <t>01/01/1948</t>
        </is>
      </c>
      <c r="E267" s="119" t="inlineStr">
        <is>
          <t>Giường Nội khoa loại 2 - Khoa Chấn thương chỉnh hình</t>
        </is>
      </c>
      <c r="F267" s="249" t="n">
        <v>1</v>
      </c>
      <c r="G267" s="249" t="n">
        <v>222300</v>
      </c>
    </row>
    <row r="268" ht="15.75" customHeight="1">
      <c r="A268" s="119" t="n">
        <v>260</v>
      </c>
      <c r="B268" s="119" t="inlineStr">
        <is>
          <t>2026/08/04 00:00</t>
        </is>
      </c>
      <c r="C268" s="119" t="inlineStr">
        <is>
          <t>BÙI VĂN TRƯỜNG</t>
        </is>
      </c>
      <c r="D268" s="119" t="inlineStr">
        <is>
          <t>01/01/1972</t>
        </is>
      </c>
      <c r="E268" s="119" t="inlineStr">
        <is>
          <t>Giường Ngoại khoa loại 1 - Khoa Chấn thương chỉnh hình</t>
        </is>
      </c>
      <c r="F268" s="249" t="n">
        <v>1</v>
      </c>
      <c r="G268" s="249" t="n">
        <v>341800</v>
      </c>
    </row>
    <row r="269" ht="15.75" customHeight="1">
      <c r="A269" s="119" t="n">
        <v>261</v>
      </c>
      <c r="B269" s="119" t="inlineStr">
        <is>
          <t>2026/08/04 00:00</t>
        </is>
      </c>
      <c r="C269" s="119" t="inlineStr">
        <is>
          <t>DƯƠNG BÁ NHẪN</t>
        </is>
      </c>
      <c r="D269" s="119" t="inlineStr">
        <is>
          <t>13/12/1999</t>
        </is>
      </c>
      <c r="E269" s="119" t="inlineStr">
        <is>
          <t>Giường Ngoại khoa loại 1 - Khoa Chấn thương chỉnh hình</t>
        </is>
      </c>
      <c r="F269" s="249" t="n">
        <v>1</v>
      </c>
      <c r="G269" s="249" t="n">
        <v>341800</v>
      </c>
    </row>
    <row r="270" ht="15.75" customHeight="1">
      <c r="A270" s="119" t="n">
        <v>262</v>
      </c>
      <c r="B270" s="119" t="inlineStr">
        <is>
          <t>2026/08/04 00:00</t>
        </is>
      </c>
      <c r="C270" s="119" t="inlineStr">
        <is>
          <t>LÂM PHI DŨNG</t>
        </is>
      </c>
      <c r="D270" s="119" t="inlineStr">
        <is>
          <t>12/12/1965</t>
        </is>
      </c>
      <c r="E270" s="119" t="inlineStr">
        <is>
          <t>Giường Ngoại khoa loại 1 - Khoa Chấn thương chỉnh hình</t>
        </is>
      </c>
      <c r="F270" s="249" t="n">
        <v>1</v>
      </c>
      <c r="G270" s="249" t="n">
        <v>341800</v>
      </c>
    </row>
    <row r="271" ht="15.75" customHeight="1">
      <c r="A271" s="119" t="n">
        <v>263</v>
      </c>
      <c r="B271" s="119" t="inlineStr">
        <is>
          <t>2026/08/04 00:00</t>
        </is>
      </c>
      <c r="C271" s="119" t="inlineStr">
        <is>
          <t>LÂM THỊ THÚY</t>
        </is>
      </c>
      <c r="D271" s="119" t="inlineStr">
        <is>
          <t>01/01/1972</t>
        </is>
      </c>
      <c r="E271" s="119" t="inlineStr">
        <is>
          <t>Giường Nội khoa loại 2 - Khoa Chấn thương chỉnh hình</t>
        </is>
      </c>
      <c r="F271" s="249" t="n">
        <v>1</v>
      </c>
      <c r="G271" s="249" t="n">
        <v>222300</v>
      </c>
    </row>
    <row r="272" ht="15.75" customHeight="1">
      <c r="A272" s="119" t="n">
        <v>264</v>
      </c>
      <c r="B272" s="119" t="inlineStr">
        <is>
          <t>2026/08/04 00:00</t>
        </is>
      </c>
      <c r="C272" s="119" t="inlineStr">
        <is>
          <t>LÊ HOÀI NAM</t>
        </is>
      </c>
      <c r="D272" s="119" t="inlineStr">
        <is>
          <t>02/05/1982</t>
        </is>
      </c>
      <c r="E272" s="119" t="inlineStr">
        <is>
          <t>Giường Nội khoa loại 2 - Khoa Chấn thương chỉnh hình</t>
        </is>
      </c>
      <c r="F272" s="249" t="n">
        <v>1</v>
      </c>
      <c r="G272" s="249" t="n">
        <v>222300</v>
      </c>
    </row>
    <row r="273" ht="15.75" customHeight="1">
      <c r="A273" s="119" t="n">
        <v>265</v>
      </c>
      <c r="B273" s="119" t="inlineStr">
        <is>
          <t>2026/08/04 00:00</t>
        </is>
      </c>
      <c r="C273" s="119" t="inlineStr">
        <is>
          <t>LÊ THỊ GHI</t>
        </is>
      </c>
      <c r="D273" s="119" t="inlineStr">
        <is>
          <t>01/01/1963</t>
        </is>
      </c>
      <c r="E273" s="119" t="inlineStr">
        <is>
          <t>Giường Ngoại khoa loại 3 - Khoa Chấn thương chỉnh hình</t>
        </is>
      </c>
      <c r="F273" s="249" t="n">
        <v>1</v>
      </c>
      <c r="G273" s="249" t="n">
        <v>269200</v>
      </c>
    </row>
    <row r="274" ht="15.75" customHeight="1">
      <c r="A274" s="119" t="n">
        <v>266</v>
      </c>
      <c r="B274" s="119" t="inlineStr">
        <is>
          <t>2026/08/04 00:00</t>
        </is>
      </c>
      <c r="C274" s="119" t="inlineStr">
        <is>
          <t>LÊ THỊ NGỌC PHƯỢNG</t>
        </is>
      </c>
      <c r="D274" s="119" t="inlineStr">
        <is>
          <t>01/01/1951</t>
        </is>
      </c>
      <c r="E274" s="119" t="inlineStr">
        <is>
          <t>Giường Nội khoa loại 2 - Khoa Chấn thương chỉnh hình</t>
        </is>
      </c>
      <c r="F274" s="249" t="n">
        <v>1</v>
      </c>
      <c r="G274" s="249" t="n">
        <v>222300</v>
      </c>
    </row>
    <row r="275" ht="15.75" customHeight="1">
      <c r="A275" s="119" t="n">
        <v>267</v>
      </c>
      <c r="B275" s="119" t="inlineStr">
        <is>
          <t>2026/08/04 00:00</t>
        </is>
      </c>
      <c r="C275" s="119" t="inlineStr">
        <is>
          <t>LÊ TRƯỜNG GIANG</t>
        </is>
      </c>
      <c r="D275" s="119" t="inlineStr">
        <is>
          <t>01/01/1980</t>
        </is>
      </c>
      <c r="E275" s="119" t="inlineStr">
        <is>
          <t>Giường Nội khoa loại 2 - Khoa Chấn thương chỉnh hình</t>
        </is>
      </c>
      <c r="F275" s="249" t="n">
        <v>1</v>
      </c>
      <c r="G275" s="249" t="n">
        <v>222300</v>
      </c>
    </row>
    <row r="276" ht="15.75" customHeight="1">
      <c r="A276" s="119" t="n">
        <v>268</v>
      </c>
      <c r="B276" s="119" t="inlineStr">
        <is>
          <t>2026/08/04 00:00</t>
        </is>
      </c>
      <c r="C276" s="119" t="inlineStr">
        <is>
          <t>MAI THỊ LIỄU</t>
        </is>
      </c>
      <c r="D276" s="119" t="inlineStr">
        <is>
          <t>02/07/1969</t>
        </is>
      </c>
      <c r="E276" s="119" t="inlineStr">
        <is>
          <t>Giường Nội khoa loại 2 - Khoa Chấn thương chỉnh hình</t>
        </is>
      </c>
      <c r="F276" s="249" t="n">
        <v>1</v>
      </c>
      <c r="G276" s="249" t="n">
        <v>222300</v>
      </c>
    </row>
    <row r="277" ht="15.75" customHeight="1">
      <c r="A277" s="119" t="n">
        <v>269</v>
      </c>
      <c r="B277" s="119" t="inlineStr">
        <is>
          <t>2026/08/04 00:00</t>
        </is>
      </c>
      <c r="C277" s="119" t="inlineStr">
        <is>
          <t>NGUYỄN THỊ HƯƠNG</t>
        </is>
      </c>
      <c r="D277" s="119" t="inlineStr">
        <is>
          <t>02/07/1965</t>
        </is>
      </c>
      <c r="E277" s="119" t="inlineStr">
        <is>
          <t>Giường Ngoại khoa loại 4 - Khoa Chấn thương chỉnh hình</t>
        </is>
      </c>
      <c r="F277" s="249" t="n">
        <v>1</v>
      </c>
      <c r="G277" s="249" t="n">
        <v>229200</v>
      </c>
    </row>
    <row r="278" ht="15.75" customHeight="1">
      <c r="A278" s="119" t="n">
        <v>270</v>
      </c>
      <c r="B278" s="119" t="inlineStr">
        <is>
          <t>2026/08/04 00:00</t>
        </is>
      </c>
      <c r="C278" s="119" t="inlineStr">
        <is>
          <t>NGUYỄN THỊ HỒNG THO</t>
        </is>
      </c>
      <c r="D278" s="119" t="inlineStr">
        <is>
          <t>19/05/1997</t>
        </is>
      </c>
      <c r="E278" s="119" t="inlineStr">
        <is>
          <t>Giường Ngoại khoa loại 3 - Khoa Chấn thương chỉnh hình</t>
        </is>
      </c>
      <c r="F278" s="249" t="n">
        <v>1</v>
      </c>
      <c r="G278" s="249" t="n">
        <v>269200</v>
      </c>
    </row>
    <row r="279" ht="15.75" customHeight="1">
      <c r="A279" s="119" t="n">
        <v>271</v>
      </c>
      <c r="B279" s="119" t="inlineStr">
        <is>
          <t>2026/08/04 00:00</t>
        </is>
      </c>
      <c r="C279" s="119" t="inlineStr">
        <is>
          <t>NGUYỄN THỊ TIÊN</t>
        </is>
      </c>
      <c r="D279" s="119" t="inlineStr">
        <is>
          <t>16/10/1961</t>
        </is>
      </c>
      <c r="E279" s="119" t="inlineStr">
        <is>
          <t>Giường Ngoại khoa loại 2 - Khoa Chấn thương chỉnh hình</t>
        </is>
      </c>
      <c r="F279" s="249" t="n">
        <v>1</v>
      </c>
      <c r="G279" s="249" t="n">
        <v>301600</v>
      </c>
    </row>
    <row r="280" ht="15.75" customHeight="1">
      <c r="A280" s="119" t="n">
        <v>272</v>
      </c>
      <c r="B280" s="119" t="inlineStr">
        <is>
          <t>2026/08/04 00:00</t>
        </is>
      </c>
      <c r="C280" s="119" t="inlineStr">
        <is>
          <t>NGUYỄN THỊ ÁNH LOAN</t>
        </is>
      </c>
      <c r="D280" s="119" t="inlineStr">
        <is>
          <t>30/10/1967</t>
        </is>
      </c>
      <c r="E280" s="119" t="inlineStr">
        <is>
          <t>Giường Ngoại khoa loại 1 - Khoa Chấn thương chỉnh hình</t>
        </is>
      </c>
      <c r="F280" s="249" t="n">
        <v>1</v>
      </c>
      <c r="G280" s="249" t="n">
        <v>600000</v>
      </c>
    </row>
    <row r="281" ht="15.75" customHeight="1">
      <c r="A281" s="119" t="n">
        <v>273</v>
      </c>
      <c r="B281" s="119" t="inlineStr">
        <is>
          <t>2026/08/04 00:00</t>
        </is>
      </c>
      <c r="C281" s="119" t="inlineStr">
        <is>
          <t>PHAN THƯỢNG HẢI</t>
        </is>
      </c>
      <c r="D281" s="119" t="inlineStr">
        <is>
          <t>15/07/1972</t>
        </is>
      </c>
      <c r="E281" s="119" t="inlineStr">
        <is>
          <t>Giường Nội khoa loại 2 - Khoa Chấn thương chỉnh hình</t>
        </is>
      </c>
      <c r="F281" s="249" t="n">
        <v>1</v>
      </c>
      <c r="G281" s="249" t="n">
        <v>222300</v>
      </c>
    </row>
    <row r="282" ht="15.75" customHeight="1">
      <c r="A282" s="119" t="n">
        <v>274</v>
      </c>
      <c r="B282" s="119" t="inlineStr">
        <is>
          <t>2026/08/04 00:00</t>
        </is>
      </c>
      <c r="C282" s="119" t="inlineStr">
        <is>
          <t>PHẠM THỊ KIM GIÀU</t>
        </is>
      </c>
      <c r="D282" s="119" t="inlineStr">
        <is>
          <t>26/08/2007</t>
        </is>
      </c>
      <c r="E282" s="119" t="inlineStr">
        <is>
          <t>Giường Ngoại khoa loại 1 - Khoa Chấn thương chỉnh hình</t>
        </is>
      </c>
      <c r="F282" s="249" t="n">
        <v>1</v>
      </c>
      <c r="G282" s="249" t="n">
        <v>341800</v>
      </c>
    </row>
    <row r="283" ht="15.75" customHeight="1">
      <c r="A283" s="119" t="n">
        <v>275</v>
      </c>
      <c r="B283" s="119" t="inlineStr">
        <is>
          <t>2026/08/04 00:00</t>
        </is>
      </c>
      <c r="C283" s="119" t="inlineStr">
        <is>
          <t>TRẦN MINH TƯỞNG</t>
        </is>
      </c>
      <c r="D283" s="119" t="inlineStr">
        <is>
          <t>29/11/2002</t>
        </is>
      </c>
      <c r="E283" s="119" t="inlineStr">
        <is>
          <t>Giường Ngoại khoa loại 2 - Khoa Chấn thương chỉnh hình</t>
        </is>
      </c>
      <c r="F283" s="249" t="n">
        <v>1</v>
      </c>
      <c r="G283" s="249" t="n">
        <v>301600</v>
      </c>
    </row>
    <row r="284" ht="15.75" customHeight="1">
      <c r="A284" s="119" t="n">
        <v>276</v>
      </c>
      <c r="B284" s="119" t="inlineStr">
        <is>
          <t>2026/08/04 00:00</t>
        </is>
      </c>
      <c r="C284" s="119" t="inlineStr">
        <is>
          <t>TRẦN THỊ ƠN</t>
        </is>
      </c>
      <c r="D284" s="119" t="inlineStr">
        <is>
          <t>01/01/1957</t>
        </is>
      </c>
      <c r="E284" s="119" t="inlineStr">
        <is>
          <t>Giường Nội khoa loại 2 - Khoa Chấn thương chỉnh hình</t>
        </is>
      </c>
      <c r="F284" s="249" t="n">
        <v>1</v>
      </c>
      <c r="G284" s="249" t="n">
        <v>222300</v>
      </c>
    </row>
    <row r="285" ht="15.75" customHeight="1">
      <c r="A285" s="119" t="n">
        <v>277</v>
      </c>
      <c r="B285" s="119" t="inlineStr">
        <is>
          <t>2026/08/04 00:00</t>
        </is>
      </c>
      <c r="C285" s="119" t="inlineStr">
        <is>
          <t>VÕ THỊ HUỆ</t>
        </is>
      </c>
      <c r="D285" s="119" t="inlineStr">
        <is>
          <t>01/01/1948</t>
        </is>
      </c>
      <c r="E285" s="119" t="inlineStr">
        <is>
          <t>Giường Nội khoa loại 2 - Khoa Chấn thương chỉnh hình</t>
        </is>
      </c>
      <c r="F285" s="249" t="n">
        <v>1</v>
      </c>
      <c r="G285" s="249" t="n">
        <v>222300</v>
      </c>
    </row>
    <row r="286" ht="15.75" customHeight="1">
      <c r="A286" s="119" t="n">
        <v>278</v>
      </c>
      <c r="B286" s="119" t="inlineStr">
        <is>
          <t>2026/08/04 00:00</t>
        </is>
      </c>
      <c r="C286" s="119" t="inlineStr">
        <is>
          <t>VÕ THỊ XIÊNG</t>
        </is>
      </c>
      <c r="D286" s="119" t="inlineStr">
        <is>
          <t>01/01/1971</t>
        </is>
      </c>
      <c r="E286" s="119" t="inlineStr">
        <is>
          <t>Giường Ngoại khoa loại 1 - Khoa Chấn thương chỉnh hình</t>
        </is>
      </c>
      <c r="F286" s="249" t="n">
        <v>1</v>
      </c>
      <c r="G286" s="249" t="n">
        <v>341800</v>
      </c>
    </row>
    <row r="287" ht="15.75" customHeight="1">
      <c r="A287" s="119" t="n">
        <v>279</v>
      </c>
      <c r="B287" s="119" t="inlineStr">
        <is>
          <t>2026/08/04 00:00</t>
        </is>
      </c>
      <c r="C287" s="119" t="inlineStr">
        <is>
          <t>LÊ THỊ ỬNG</t>
        </is>
      </c>
      <c r="D287" s="119" t="inlineStr">
        <is>
          <t>02/09/1953</t>
        </is>
      </c>
      <c r="E287" s="119" t="inlineStr">
        <is>
          <t>Giường Ngoại khoa loại 1 - Khoa Chấn thương chỉnh hình</t>
        </is>
      </c>
      <c r="F287" s="249" t="n">
        <v>1</v>
      </c>
      <c r="G287" s="249" t="n">
        <v>341800</v>
      </c>
    </row>
    <row r="288" ht="15.75" customHeight="1">
      <c r="A288" s="119" t="n">
        <v>280</v>
      </c>
      <c r="B288" s="119" t="inlineStr">
        <is>
          <t>2026/08/04 00:00</t>
        </is>
      </c>
      <c r="C288" s="119" t="inlineStr">
        <is>
          <t>TRẦN PHƯƠNG ĐÔNG</t>
        </is>
      </c>
      <c r="D288" s="119" t="inlineStr">
        <is>
          <t>01/01/1977</t>
        </is>
      </c>
      <c r="E288" s="119" t="inlineStr">
        <is>
          <t>Giường Ngoại khoa loại 3 - Khoa Chấn thương chỉnh hình</t>
        </is>
      </c>
      <c r="F288" s="249" t="n">
        <v>1</v>
      </c>
      <c r="G288" s="249" t="n">
        <v>269200</v>
      </c>
    </row>
    <row r="289" ht="15.75" customHeight="1">
      <c r="A289" s="119" t="n">
        <v>281</v>
      </c>
      <c r="B289" s="119" t="inlineStr">
        <is>
          <t>2026/08/04 00:00</t>
        </is>
      </c>
      <c r="C289" s="119" t="inlineStr">
        <is>
          <t>TĂNG THỊ MIỀN</t>
        </is>
      </c>
      <c r="D289" s="119" t="inlineStr">
        <is>
          <t>01/01/1951</t>
        </is>
      </c>
      <c r="E289" s="119" t="inlineStr">
        <is>
          <t>Giường Ngoại khoa loại 3 - Khoa Chấn thương chỉnh hình</t>
        </is>
      </c>
      <c r="F289" s="249" t="n">
        <v>1</v>
      </c>
      <c r="G289" s="249" t="n">
        <v>269200</v>
      </c>
    </row>
    <row r="290" ht="15.75" customHeight="1">
      <c r="A290" s="119" t="n">
        <v>282</v>
      </c>
      <c r="B290" s="119" t="inlineStr">
        <is>
          <t>2026/08/04 07:30</t>
        </is>
      </c>
      <c r="C290" s="119" t="inlineStr">
        <is>
          <t>LÊ THỊ VẸN</t>
        </is>
      </c>
      <c r="D290" s="119" t="inlineStr">
        <is>
          <t>01/01/1949</t>
        </is>
      </c>
      <c r="E290" s="119" t="inlineStr">
        <is>
          <t>Giường Nội khoa loại 2 - Khoa Chấn thương chỉnh hình</t>
        </is>
      </c>
      <c r="F290" s="249" t="n">
        <v>1</v>
      </c>
      <c r="G290" s="249" t="n">
        <v>222300</v>
      </c>
    </row>
    <row r="291" ht="15.75" customHeight="1">
      <c r="A291" s="119" t="n">
        <v>283</v>
      </c>
      <c r="B291" s="119" t="inlineStr">
        <is>
          <t>2026/08/04 07:39</t>
        </is>
      </c>
      <c r="C291" s="119" t="inlineStr">
        <is>
          <t>NGUYỄN VĂN HƯỞNG</t>
        </is>
      </c>
      <c r="D291" s="119" t="inlineStr">
        <is>
          <t>11/12/1992</t>
        </is>
      </c>
      <c r="E291" s="119" t="inlineStr">
        <is>
          <t>Giường Nội khoa loại 2 - Khoa Chấn thương chỉnh hình</t>
        </is>
      </c>
      <c r="F291" s="249" t="n">
        <v>1</v>
      </c>
      <c r="G291" s="249" t="n">
        <v>222300</v>
      </c>
    </row>
    <row r="292" ht="15.75" customHeight="1">
      <c r="A292" s="119" t="n">
        <v>284</v>
      </c>
      <c r="B292" s="119" t="inlineStr">
        <is>
          <t>2026/08/04 08:13</t>
        </is>
      </c>
      <c r="C292" s="119" t="inlineStr">
        <is>
          <t>ĐẶNG THANH PHONG</t>
        </is>
      </c>
      <c r="D292" s="119" t="inlineStr">
        <is>
          <t>01/01/1976</t>
        </is>
      </c>
      <c r="E292" s="119" t="inlineStr">
        <is>
          <t>Giường Nội khoa loại 2 - Khoa Chấn thương chỉnh hình</t>
        </is>
      </c>
      <c r="F292" s="249" t="n">
        <v>1</v>
      </c>
      <c r="G292" s="249" t="n">
        <v>222300</v>
      </c>
    </row>
    <row r="293" ht="15.75" customHeight="1">
      <c r="A293" s="119" t="n">
        <v>285</v>
      </c>
      <c r="B293" s="119" t="inlineStr">
        <is>
          <t>2026/08/04 08:32</t>
        </is>
      </c>
      <c r="C293" s="119" t="inlineStr">
        <is>
          <t>VÕ MINH TRÍ</t>
        </is>
      </c>
      <c r="D293" s="119" t="inlineStr">
        <is>
          <t>03/01/1994</t>
        </is>
      </c>
      <c r="E293" s="119" t="inlineStr">
        <is>
          <t>Giường Nội khoa loại 2 - Khoa Chấn thương chỉnh hình</t>
        </is>
      </c>
      <c r="F293" s="249" t="n">
        <v>1</v>
      </c>
      <c r="G293" s="249" t="n">
        <v>222300</v>
      </c>
    </row>
    <row r="294" ht="15.75" customHeight="1">
      <c r="A294" s="119" t="n">
        <v>286</v>
      </c>
      <c r="B294" s="119" t="inlineStr">
        <is>
          <t>2026/08/04 08:47</t>
        </is>
      </c>
      <c r="C294" s="119" t="inlineStr">
        <is>
          <t>NGUYỄN THỊ NĂM</t>
        </is>
      </c>
      <c r="D294" s="119" t="inlineStr">
        <is>
          <t>30/04/1955</t>
        </is>
      </c>
      <c r="E294" s="119" t="inlineStr">
        <is>
          <t>Giường Ngoại khoa loại 1 - Khoa Chấn thương chỉnh hình</t>
        </is>
      </c>
      <c r="F294" s="249" t="n">
        <v>1</v>
      </c>
      <c r="G294" s="249" t="n">
        <v>341800</v>
      </c>
    </row>
    <row r="295" ht="15.75" customHeight="1">
      <c r="A295" s="119" t="n">
        <v>287</v>
      </c>
      <c r="B295" s="119" t="inlineStr">
        <is>
          <t>2026/08/04 09:33</t>
        </is>
      </c>
      <c r="C295" s="119" t="inlineStr">
        <is>
          <t>NGUYỄN HỮU HIỆP</t>
        </is>
      </c>
      <c r="D295" s="119" t="inlineStr">
        <is>
          <t>01/01/1973</t>
        </is>
      </c>
      <c r="E295" s="119" t="inlineStr">
        <is>
          <t>Giường Nội khoa loại 2 - Khoa Chấn thương chỉnh hình</t>
        </is>
      </c>
      <c r="F295" s="249" t="n">
        <v>1</v>
      </c>
      <c r="G295" s="249" t="n">
        <v>222300</v>
      </c>
    </row>
    <row r="296" ht="15.75" customHeight="1">
      <c r="A296" s="119" t="n">
        <v>288</v>
      </c>
      <c r="B296" s="119" t="inlineStr">
        <is>
          <t>2026/08/04 09:54</t>
        </is>
      </c>
      <c r="C296" s="119" t="inlineStr">
        <is>
          <t>DƯƠNG NHẬT THÁI</t>
        </is>
      </c>
      <c r="D296" s="119" t="inlineStr">
        <is>
          <t>01/06/2008</t>
        </is>
      </c>
      <c r="E296" s="119" t="inlineStr">
        <is>
          <t>Giường Nội khoa loại 2 - Khoa Chấn thương chỉnh hình</t>
        </is>
      </c>
      <c r="F296" s="249" t="n">
        <v>1</v>
      </c>
      <c r="G296" s="249" t="n">
        <v>222300</v>
      </c>
    </row>
    <row r="297" ht="15.75" customHeight="1">
      <c r="A297" s="119" t="n">
        <v>289</v>
      </c>
      <c r="B297" s="119" t="inlineStr">
        <is>
          <t>2026/08/04 10:50</t>
        </is>
      </c>
      <c r="C297" s="119" t="inlineStr">
        <is>
          <t>THÁI THIỆN THẢO</t>
        </is>
      </c>
      <c r="D297" s="119" t="inlineStr">
        <is>
          <t>15/12/1969</t>
        </is>
      </c>
      <c r="E297" s="119" t="inlineStr">
        <is>
          <t>Giường Ngoại khoa loại 2 - Khoa Chấn thương chỉnh hình</t>
        </is>
      </c>
      <c r="F297" s="249" t="n">
        <v>1</v>
      </c>
      <c r="G297" s="249" t="n">
        <v>301600</v>
      </c>
    </row>
    <row r="298" ht="15.75" customHeight="1">
      <c r="A298" s="119" t="n">
        <v>290</v>
      </c>
      <c r="B298" s="119" t="inlineStr">
        <is>
          <t>2026/08/04 11:07</t>
        </is>
      </c>
      <c r="C298" s="119" t="inlineStr">
        <is>
          <t>PHAN VĂN HÙNG</t>
        </is>
      </c>
      <c r="D298" s="119" t="inlineStr">
        <is>
          <t>01/01/1956</t>
        </is>
      </c>
      <c r="E298" s="119" t="inlineStr">
        <is>
          <t>Giường Nội khoa loại 2 - Khoa Chấn thương chỉnh hình</t>
        </is>
      </c>
      <c r="F298" s="249" t="n">
        <v>1</v>
      </c>
      <c r="G298" s="249" t="n">
        <v>222300</v>
      </c>
    </row>
    <row r="299" ht="15.75" customHeight="1">
      <c r="A299" s="119" t="n">
        <v>291</v>
      </c>
      <c r="B299" s="119" t="inlineStr">
        <is>
          <t>2026/08/04 14:56</t>
        </is>
      </c>
      <c r="C299" s="119" t="inlineStr">
        <is>
          <t>TRƯƠNG CẨM TÚ</t>
        </is>
      </c>
      <c r="D299" s="119" t="inlineStr">
        <is>
          <t>09/02/1994</t>
        </is>
      </c>
      <c r="E299" s="119" t="inlineStr">
        <is>
          <t>Giường Ngoại khoa loại 1 - Khoa Chấn thương chỉnh hình</t>
        </is>
      </c>
      <c r="F299" s="249" t="n">
        <v>1</v>
      </c>
      <c r="G299" s="249" t="n">
        <v>341800</v>
      </c>
    </row>
    <row r="300" ht="15.75" customHeight="1">
      <c r="A300" s="119" t="n">
        <v>292</v>
      </c>
      <c r="B300" s="119" t="inlineStr">
        <is>
          <t>2026/08/04 16:30</t>
        </is>
      </c>
      <c r="C300" s="119" t="inlineStr">
        <is>
          <t>NGUYỄN THỊ XUÂN LAN</t>
        </is>
      </c>
      <c r="D300" s="119" t="inlineStr">
        <is>
          <t>30/12/1956</t>
        </is>
      </c>
      <c r="E300" s="119" t="inlineStr">
        <is>
          <t>Giường Nội khoa loại 2 - Khoa Chấn thương chỉnh hình</t>
        </is>
      </c>
      <c r="F300" s="249" t="n">
        <v>1</v>
      </c>
      <c r="G300" s="249" t="n">
        <v>222300</v>
      </c>
    </row>
    <row r="301" ht="15.75" customHeight="1">
      <c r="A301" s="119" t="n">
        <v>293</v>
      </c>
      <c r="B301" s="119" t="inlineStr">
        <is>
          <t>2026/08/04 16:53</t>
        </is>
      </c>
      <c r="C301" s="119" t="inlineStr">
        <is>
          <t>PHẠM THỊ NGỌC ÁNH</t>
        </is>
      </c>
      <c r="D301" s="119" t="inlineStr">
        <is>
          <t>01/01/1957</t>
        </is>
      </c>
      <c r="E301" s="119" t="inlineStr">
        <is>
          <t>Giường Ngoại khoa loại 2 - Khoa Chấn thương chỉnh hình</t>
        </is>
      </c>
      <c r="F301" s="249" t="n">
        <v>1</v>
      </c>
      <c r="G301" s="249" t="n">
        <v>301600</v>
      </c>
    </row>
    <row r="302" ht="15.75" customHeight="1">
      <c r="A302" s="119" t="n">
        <v>294</v>
      </c>
      <c r="B302" s="119" t="inlineStr">
        <is>
          <t>2026/08/04 18:19</t>
        </is>
      </c>
      <c r="C302" s="119" t="inlineStr">
        <is>
          <t>TRẦN MINH KHA</t>
        </is>
      </c>
      <c r="D302" s="119" t="inlineStr">
        <is>
          <t>15/02/1994</t>
        </is>
      </c>
      <c r="E302" s="119" t="inlineStr">
        <is>
          <t>Giường Ngoại khoa loại 3 - Khoa Chấn thương chỉnh hình</t>
        </is>
      </c>
      <c r="F302" s="249" t="n">
        <v>1</v>
      </c>
      <c r="G302" s="249" t="n">
        <v>269200</v>
      </c>
    </row>
    <row r="303" ht="15.75" customHeight="1">
      <c r="A303" s="119" t="n">
        <v>295</v>
      </c>
      <c r="B303" s="119" t="inlineStr">
        <is>
          <t>2026/08/04 23:59</t>
        </is>
      </c>
      <c r="C303" s="119" t="inlineStr">
        <is>
          <t>PHẠM THỊ THANH TRÚC</t>
        </is>
      </c>
      <c r="D303" s="119" t="inlineStr">
        <is>
          <t>20/06/1978</t>
        </is>
      </c>
      <c r="E303" s="119" t="inlineStr">
        <is>
          <t>Giường Ngoại khoa loại 3 - Khoa Chấn thương chỉnh hình</t>
        </is>
      </c>
      <c r="F303" s="249" t="n">
        <v>1</v>
      </c>
      <c r="G303" s="249" t="n">
        <v>269200</v>
      </c>
    </row>
    <row r="304" ht="15.75" customHeight="1">
      <c r="A304" s="119" t="n">
        <v>296</v>
      </c>
      <c r="B304" s="119" t="inlineStr">
        <is>
          <t>2026/08/05 00:00</t>
        </is>
      </c>
      <c r="C304" s="119" t="inlineStr">
        <is>
          <t>BÙI VĂN TRƯỜNG</t>
        </is>
      </c>
      <c r="D304" s="119" t="inlineStr">
        <is>
          <t>01/01/1972</t>
        </is>
      </c>
      <c r="E304" s="119" t="inlineStr">
        <is>
          <t>Giường Ngoại khoa loại 1 - Khoa Chấn thương chỉnh hình</t>
        </is>
      </c>
      <c r="F304" s="249" t="n">
        <v>1</v>
      </c>
      <c r="G304" s="249" t="n">
        <v>341800</v>
      </c>
    </row>
    <row r="305" ht="15.75" customHeight="1">
      <c r="A305" s="119" t="n">
        <v>297</v>
      </c>
      <c r="B305" s="119" t="inlineStr">
        <is>
          <t>2026/08/05 00:00</t>
        </is>
      </c>
      <c r="C305" s="119" t="inlineStr">
        <is>
          <t>DƯƠNG BÁ NHẪN</t>
        </is>
      </c>
      <c r="D305" s="119" t="inlineStr">
        <is>
          <t>13/12/1999</t>
        </is>
      </c>
      <c r="E305" s="119" t="inlineStr">
        <is>
          <t>Giường Ngoại khoa loại 1 - Khoa Chấn thương chỉnh hình</t>
        </is>
      </c>
      <c r="F305" s="249" t="n">
        <v>1</v>
      </c>
      <c r="G305" s="249" t="n">
        <v>341800</v>
      </c>
    </row>
    <row r="306" ht="15.75" customHeight="1">
      <c r="A306" s="119" t="n">
        <v>298</v>
      </c>
      <c r="B306" s="119" t="inlineStr">
        <is>
          <t>2026/08/05 00:00</t>
        </is>
      </c>
      <c r="C306" s="119" t="inlineStr">
        <is>
          <t>DƯƠNG HOÀNG TRUNG</t>
        </is>
      </c>
      <c r="D306" s="119" t="inlineStr">
        <is>
          <t>20/09/1983</t>
        </is>
      </c>
      <c r="E306" s="119" t="inlineStr">
        <is>
          <t>Giường Nội khoa loại 2 - Khoa Chấn thương chỉnh hình</t>
        </is>
      </c>
      <c r="F306" s="249" t="n">
        <v>1</v>
      </c>
      <c r="G306" s="249" t="n">
        <v>222300</v>
      </c>
    </row>
    <row r="307" ht="15.75" customHeight="1">
      <c r="A307" s="119" t="n">
        <v>299</v>
      </c>
      <c r="B307" s="119" t="inlineStr">
        <is>
          <t>2026/08/05 00:00</t>
        </is>
      </c>
      <c r="C307" s="119" t="inlineStr">
        <is>
          <t>LA BÍCH LỆ</t>
        </is>
      </c>
      <c r="D307" s="119" t="inlineStr">
        <is>
          <t>01/01/1949</t>
        </is>
      </c>
      <c r="E307" s="119" t="inlineStr">
        <is>
          <t>Giường Ngoại khoa loại 4 - Khoa Chấn thương chỉnh hình</t>
        </is>
      </c>
      <c r="F307" s="249" t="n">
        <v>1</v>
      </c>
      <c r="G307" s="249" t="n">
        <v>229200</v>
      </c>
    </row>
    <row r="308" ht="15.75" customHeight="1">
      <c r="A308" s="119" t="n">
        <v>300</v>
      </c>
      <c r="B308" s="119" t="inlineStr">
        <is>
          <t>2026/08/05 00:00</t>
        </is>
      </c>
      <c r="C308" s="119" t="inlineStr">
        <is>
          <t>LÊ HOÀI NAM</t>
        </is>
      </c>
      <c r="D308" s="119" t="inlineStr">
        <is>
          <t>02/05/1982</t>
        </is>
      </c>
      <c r="E308" s="119" t="inlineStr">
        <is>
          <t>Giường Nội khoa loại 2 - Khoa Chấn thương chỉnh hình</t>
        </is>
      </c>
      <c r="F308" s="249" t="n">
        <v>1</v>
      </c>
      <c r="G308" s="249" t="n">
        <v>222300</v>
      </c>
    </row>
    <row r="309" ht="15.75" customHeight="1">
      <c r="A309" s="119" t="n">
        <v>301</v>
      </c>
      <c r="B309" s="119" t="inlineStr">
        <is>
          <t>2026/08/05 00:00</t>
        </is>
      </c>
      <c r="C309" s="119" t="inlineStr">
        <is>
          <t>LÊ THỊ VẸN</t>
        </is>
      </c>
      <c r="D309" s="119" t="inlineStr">
        <is>
          <t>01/01/1949</t>
        </is>
      </c>
      <c r="E309" s="119" t="inlineStr">
        <is>
          <t>Giường Nội khoa loại 2 - Khoa Chấn thương chỉnh hình</t>
        </is>
      </c>
      <c r="F309" s="249" t="n">
        <v>1</v>
      </c>
      <c r="G309" s="249" t="n">
        <v>222300</v>
      </c>
    </row>
    <row r="310" ht="15.75" customHeight="1">
      <c r="A310" s="119" t="n">
        <v>302</v>
      </c>
      <c r="B310" s="119" t="inlineStr">
        <is>
          <t>2026/08/05 00:00</t>
        </is>
      </c>
      <c r="C310" s="119" t="inlineStr">
        <is>
          <t>LÊ TRƯỜNG GIANG</t>
        </is>
      </c>
      <c r="D310" s="119" t="inlineStr">
        <is>
          <t>01/01/1980</t>
        </is>
      </c>
      <c r="E310" s="119" t="inlineStr">
        <is>
          <t>Giường Nội khoa loại 2 - Khoa Chấn thương chỉnh hình</t>
        </is>
      </c>
      <c r="F310" s="249" t="n">
        <v>1</v>
      </c>
      <c r="G310" s="249" t="n">
        <v>222300</v>
      </c>
    </row>
    <row r="311" ht="15.75" customHeight="1">
      <c r="A311" s="119" t="n">
        <v>303</v>
      </c>
      <c r="B311" s="119" t="inlineStr">
        <is>
          <t>2026/08/05 00:00</t>
        </is>
      </c>
      <c r="C311" s="119" t="inlineStr">
        <is>
          <t>MAI THỊ LIỄU</t>
        </is>
      </c>
      <c r="D311" s="119" t="inlineStr">
        <is>
          <t>02/07/1969</t>
        </is>
      </c>
      <c r="E311" s="119" t="inlineStr">
        <is>
          <t>Giường Nội khoa loại 2 - Khoa Chấn thương chỉnh hình</t>
        </is>
      </c>
      <c r="F311" s="249" t="n">
        <v>1</v>
      </c>
      <c r="G311" s="249" t="n">
        <v>222300</v>
      </c>
    </row>
    <row r="312" ht="15.75" customHeight="1">
      <c r="A312" s="119" t="n">
        <v>304</v>
      </c>
      <c r="B312" s="119" t="inlineStr">
        <is>
          <t>2026/08/05 00:00</t>
        </is>
      </c>
      <c r="C312" s="119" t="inlineStr">
        <is>
          <t>NGUYỄN HỮU HIỆP</t>
        </is>
      </c>
      <c r="D312" s="119" t="inlineStr">
        <is>
          <t>01/01/1973</t>
        </is>
      </c>
      <c r="E312" s="119" t="inlineStr">
        <is>
          <t>Giường Nội khoa loại 2 - Khoa Chấn thương chỉnh hình</t>
        </is>
      </c>
      <c r="F312" s="249" t="n">
        <v>1</v>
      </c>
      <c r="G312" s="249" t="n">
        <v>222300</v>
      </c>
    </row>
    <row r="313" ht="15.75" customHeight="1">
      <c r="A313" s="119" t="n">
        <v>305</v>
      </c>
      <c r="B313" s="119" t="inlineStr">
        <is>
          <t>2026/08/05 00:00</t>
        </is>
      </c>
      <c r="C313" s="119" t="inlineStr">
        <is>
          <t>NGUYỄN THỊ HƯƠNG</t>
        </is>
      </c>
      <c r="D313" s="119" t="inlineStr">
        <is>
          <t>02/07/1965</t>
        </is>
      </c>
      <c r="E313" s="119" t="inlineStr">
        <is>
          <t>Giường Ngoại khoa loại 4 - Khoa Chấn thương chỉnh hình</t>
        </is>
      </c>
      <c r="F313" s="249" t="n">
        <v>1</v>
      </c>
      <c r="G313" s="249" t="n">
        <v>229200</v>
      </c>
    </row>
    <row r="314" ht="15.75" customHeight="1">
      <c r="A314" s="119" t="n">
        <v>306</v>
      </c>
      <c r="B314" s="119" t="inlineStr">
        <is>
          <t>2026/08/05 00:00</t>
        </is>
      </c>
      <c r="C314" s="119" t="inlineStr">
        <is>
          <t>NGUYỄN THỊ HỒNG THO</t>
        </is>
      </c>
      <c r="D314" s="119" t="inlineStr">
        <is>
          <t>19/05/1997</t>
        </is>
      </c>
      <c r="E314" s="119" t="inlineStr">
        <is>
          <t>Giường Ngoại khoa loại 3 - Khoa Chấn thương chỉnh hình</t>
        </is>
      </c>
      <c r="F314" s="249" t="n">
        <v>1</v>
      </c>
      <c r="G314" s="249" t="n">
        <v>269200</v>
      </c>
    </row>
    <row r="315" ht="15.75" customHeight="1">
      <c r="A315" s="119" t="n">
        <v>307</v>
      </c>
      <c r="B315" s="119" t="inlineStr">
        <is>
          <t>2026/08/05 00:00</t>
        </is>
      </c>
      <c r="C315" s="119" t="inlineStr">
        <is>
          <t>NGUYỄN THỊ NĂM</t>
        </is>
      </c>
      <c r="D315" s="119" t="inlineStr">
        <is>
          <t>30/04/1955</t>
        </is>
      </c>
      <c r="E315" s="119" t="inlineStr">
        <is>
          <t>Giường Ngoại khoa loại 1 - Khoa Chấn thương chỉnh hình</t>
        </is>
      </c>
      <c r="F315" s="249" t="n">
        <v>1</v>
      </c>
      <c r="G315" s="249" t="n">
        <v>341800</v>
      </c>
    </row>
    <row r="316" ht="15.75" customHeight="1">
      <c r="A316" s="119" t="n">
        <v>308</v>
      </c>
      <c r="B316" s="119" t="inlineStr">
        <is>
          <t>2026/08/05 00:00</t>
        </is>
      </c>
      <c r="C316" s="119" t="inlineStr">
        <is>
          <t>NGUYỄN THỊ XUÂN LAN</t>
        </is>
      </c>
      <c r="D316" s="119" t="inlineStr">
        <is>
          <t>30/12/1956</t>
        </is>
      </c>
      <c r="E316" s="119" t="inlineStr">
        <is>
          <t>Giường Nội khoa loại 2 - Khoa Chấn thương chỉnh hình</t>
        </is>
      </c>
      <c r="F316" s="249" t="n">
        <v>1</v>
      </c>
      <c r="G316" s="249" t="n">
        <v>222300</v>
      </c>
    </row>
    <row r="317" ht="15.75" customHeight="1">
      <c r="A317" s="119" t="n">
        <v>309</v>
      </c>
      <c r="B317" s="119" t="inlineStr">
        <is>
          <t>2026/08/05 00:00</t>
        </is>
      </c>
      <c r="C317" s="119" t="inlineStr">
        <is>
          <t>NGUYỄN THỊ ÁNH LOAN</t>
        </is>
      </c>
      <c r="D317" s="119" t="inlineStr">
        <is>
          <t>30/10/1967</t>
        </is>
      </c>
      <c r="E317" s="119" t="inlineStr">
        <is>
          <t>Giường Ngoại khoa loại 1 - Khoa Chấn thương chỉnh hình</t>
        </is>
      </c>
      <c r="F317" s="249" t="n">
        <v>1</v>
      </c>
      <c r="G317" s="249" t="n">
        <v>600000</v>
      </c>
    </row>
    <row r="318" ht="15.75" customHeight="1">
      <c r="A318" s="119" t="n">
        <v>310</v>
      </c>
      <c r="B318" s="119" t="inlineStr">
        <is>
          <t>2026/08/05 00:00</t>
        </is>
      </c>
      <c r="C318" s="119" t="inlineStr">
        <is>
          <t>PHAN THƯỢNG HẢI</t>
        </is>
      </c>
      <c r="D318" s="119" t="inlineStr">
        <is>
          <t>15/07/1972</t>
        </is>
      </c>
      <c r="E318" s="119" t="inlineStr">
        <is>
          <t>Giường Nội khoa loại 2 - Khoa Chấn thương chỉnh hình</t>
        </is>
      </c>
      <c r="F318" s="249" t="n">
        <v>1</v>
      </c>
      <c r="G318" s="249" t="n">
        <v>222300</v>
      </c>
    </row>
    <row r="319" ht="15.75" customHeight="1">
      <c r="A319" s="119" t="n">
        <v>311</v>
      </c>
      <c r="B319" s="119" t="inlineStr">
        <is>
          <t>2026/08/05 00:00</t>
        </is>
      </c>
      <c r="C319" s="119" t="inlineStr">
        <is>
          <t>PHAN VĂN HÙNG</t>
        </is>
      </c>
      <c r="D319" s="119" t="inlineStr">
        <is>
          <t>01/01/1956</t>
        </is>
      </c>
      <c r="E319" s="119" t="inlineStr">
        <is>
          <t>Giường Nội khoa loại 2 - Khoa Chấn thương chỉnh hình</t>
        </is>
      </c>
      <c r="F319" s="249" t="n">
        <v>1</v>
      </c>
      <c r="G319" s="249" t="n">
        <v>222300</v>
      </c>
    </row>
    <row r="320" ht="15.75" customHeight="1">
      <c r="A320" s="119" t="n">
        <v>312</v>
      </c>
      <c r="B320" s="119" t="inlineStr">
        <is>
          <t>2026/08/05 00:00</t>
        </is>
      </c>
      <c r="C320" s="119" t="inlineStr">
        <is>
          <t>PHẠM THỊ KIM GIÀU</t>
        </is>
      </c>
      <c r="D320" s="119" t="inlineStr">
        <is>
          <t>26/08/2007</t>
        </is>
      </c>
      <c r="E320" s="119" t="inlineStr">
        <is>
          <t>Giường Ngoại khoa loại 1 - Khoa Chấn thương chỉnh hình</t>
        </is>
      </c>
      <c r="F320" s="249" t="n">
        <v>1</v>
      </c>
      <c r="G320" s="249" t="n">
        <v>341800</v>
      </c>
    </row>
    <row r="321" ht="15.75" customHeight="1">
      <c r="A321" s="119" t="n">
        <v>313</v>
      </c>
      <c r="B321" s="119" t="inlineStr">
        <is>
          <t>2026/08/05 00:00</t>
        </is>
      </c>
      <c r="C321" s="119" t="inlineStr">
        <is>
          <t>TRƯƠNG CẨM TÚ</t>
        </is>
      </c>
      <c r="D321" s="119" t="inlineStr">
        <is>
          <t>09/02/1994</t>
        </is>
      </c>
      <c r="E321" s="119" t="inlineStr">
        <is>
          <t>Giường Ngoại khoa loại 1 - Khoa Chấn thương chỉnh hình</t>
        </is>
      </c>
      <c r="F321" s="249" t="n">
        <v>1</v>
      </c>
      <c r="G321" s="249" t="n">
        <v>341800</v>
      </c>
    </row>
    <row r="322" ht="15.75" customHeight="1">
      <c r="A322" s="119" t="n">
        <v>314</v>
      </c>
      <c r="B322" s="119" t="inlineStr">
        <is>
          <t>2026/08/05 00:00</t>
        </is>
      </c>
      <c r="C322" s="119" t="inlineStr">
        <is>
          <t>TRẦN MINH KHA</t>
        </is>
      </c>
      <c r="D322" s="119" t="inlineStr">
        <is>
          <t>15/02/1994</t>
        </is>
      </c>
      <c r="E322" s="119" t="inlineStr">
        <is>
          <t>Giường Ngoại khoa loại 3 - Khoa Chấn thương chỉnh hình</t>
        </is>
      </c>
      <c r="F322" s="249" t="n">
        <v>1</v>
      </c>
      <c r="G322" s="249" t="n">
        <v>269200</v>
      </c>
    </row>
    <row r="323" ht="15.75" customHeight="1">
      <c r="A323" s="119" t="n">
        <v>315</v>
      </c>
      <c r="B323" s="119" t="inlineStr">
        <is>
          <t>2026/08/05 00:00</t>
        </is>
      </c>
      <c r="C323" s="119" t="inlineStr">
        <is>
          <t>TRẦN MINH TƯỞNG</t>
        </is>
      </c>
      <c r="D323" s="119" t="inlineStr">
        <is>
          <t>29/11/2002</t>
        </is>
      </c>
      <c r="E323" s="119" t="inlineStr">
        <is>
          <t>Giường Ngoại khoa loại 2 - Khoa Chấn thương chỉnh hình</t>
        </is>
      </c>
      <c r="F323" s="249" t="n">
        <v>1</v>
      </c>
      <c r="G323" s="249" t="n">
        <v>301600</v>
      </c>
    </row>
    <row r="324" ht="15.75" customHeight="1">
      <c r="A324" s="119" t="n">
        <v>316</v>
      </c>
      <c r="B324" s="119" t="inlineStr">
        <is>
          <t>2026/08/05 00:00</t>
        </is>
      </c>
      <c r="C324" s="119" t="inlineStr">
        <is>
          <t>TRẦN THỊ ƠN</t>
        </is>
      </c>
      <c r="D324" s="119" t="inlineStr">
        <is>
          <t>01/01/1957</t>
        </is>
      </c>
      <c r="E324" s="119" t="inlineStr">
        <is>
          <t>Giường Nội khoa loại 2 - Khoa Chấn thương chỉnh hình</t>
        </is>
      </c>
      <c r="F324" s="249" t="n">
        <v>1</v>
      </c>
      <c r="G324" s="249" t="n">
        <v>222300</v>
      </c>
    </row>
    <row r="325" ht="15.75" customHeight="1">
      <c r="A325" s="119" t="n">
        <v>317</v>
      </c>
      <c r="B325" s="119" t="inlineStr">
        <is>
          <t>2026/08/05 00:00</t>
        </is>
      </c>
      <c r="C325" s="119" t="inlineStr">
        <is>
          <t>VÕ THỊ XIÊNG</t>
        </is>
      </c>
      <c r="D325" s="119" t="inlineStr">
        <is>
          <t>01/01/1971</t>
        </is>
      </c>
      <c r="E325" s="119" t="inlineStr">
        <is>
          <t>Giường Ngoại khoa loại 1 - Khoa Chấn thương chỉnh hình</t>
        </is>
      </c>
      <c r="F325" s="249" t="n">
        <v>1</v>
      </c>
      <c r="G325" s="249" t="n">
        <v>341800</v>
      </c>
    </row>
    <row r="326" ht="15.75" customHeight="1">
      <c r="A326" s="119" t="n">
        <v>318</v>
      </c>
      <c r="B326" s="119" t="inlineStr">
        <is>
          <t>2026/08/05 00:00</t>
        </is>
      </c>
      <c r="C326" s="119" t="inlineStr">
        <is>
          <t>ĐẶNG THANH PHONG</t>
        </is>
      </c>
      <c r="D326" s="119" t="inlineStr">
        <is>
          <t>01/01/1976</t>
        </is>
      </c>
      <c r="E326" s="119" t="inlineStr">
        <is>
          <t>Giường Nội khoa loại 2 - Khoa Chấn thương chỉnh hình</t>
        </is>
      </c>
      <c r="F326" s="249" t="n">
        <v>1</v>
      </c>
      <c r="G326" s="249" t="n">
        <v>222300</v>
      </c>
    </row>
    <row r="327" ht="15.75" customHeight="1">
      <c r="A327" s="119" t="n">
        <v>319</v>
      </c>
      <c r="B327" s="119" t="inlineStr">
        <is>
          <t>2026/08/05 00:00</t>
        </is>
      </c>
      <c r="C327" s="119" t="inlineStr">
        <is>
          <t>LÊ THỊ ỬNG</t>
        </is>
      </c>
      <c r="D327" s="119" t="inlineStr">
        <is>
          <t>02/09/1953</t>
        </is>
      </c>
      <c r="E327" s="119" t="inlineStr">
        <is>
          <t>Giường Ngoại khoa loại 1 - Khoa Chấn thương chỉnh hình</t>
        </is>
      </c>
      <c r="F327" s="249" t="n">
        <v>1</v>
      </c>
      <c r="G327" s="249" t="n">
        <v>341800</v>
      </c>
    </row>
    <row r="328" ht="15.75" customHeight="1">
      <c r="A328" s="119" t="n">
        <v>320</v>
      </c>
      <c r="B328" s="119" t="inlineStr">
        <is>
          <t>2026/08/05 00:00</t>
        </is>
      </c>
      <c r="C328" s="119" t="inlineStr">
        <is>
          <t>PHẠM THỊ NGỌC ÁNH</t>
        </is>
      </c>
      <c r="D328" s="119" t="inlineStr">
        <is>
          <t>01/01/1957</t>
        </is>
      </c>
      <c r="E328" s="119" t="inlineStr">
        <is>
          <t>Giường Ngoại khoa loại 2 - Khoa Chấn thương chỉnh hình</t>
        </is>
      </c>
      <c r="F328" s="249" t="n">
        <v>1</v>
      </c>
      <c r="G328" s="249" t="n">
        <v>301600</v>
      </c>
    </row>
    <row r="329" ht="15.75" customHeight="1">
      <c r="A329" s="119" t="n">
        <v>321</v>
      </c>
      <c r="B329" s="119" t="inlineStr">
        <is>
          <t>2026/08/05 00:00</t>
        </is>
      </c>
      <c r="C329" s="119" t="inlineStr">
        <is>
          <t>TRẦN PHƯƠNG ĐÔNG</t>
        </is>
      </c>
      <c r="D329" s="119" t="inlineStr">
        <is>
          <t>01/01/1977</t>
        </is>
      </c>
      <c r="E329" s="119" t="inlineStr">
        <is>
          <t>Giường Ngoại khoa loại 3 - Khoa Chấn thương chỉnh hình</t>
        </is>
      </c>
      <c r="F329" s="249" t="n">
        <v>1</v>
      </c>
      <c r="G329" s="249" t="n">
        <v>269200</v>
      </c>
    </row>
    <row r="330" ht="15.75" customHeight="1">
      <c r="A330" s="119" t="n">
        <v>322</v>
      </c>
      <c r="B330" s="119" t="inlineStr">
        <is>
          <t>2026/08/05 00:00</t>
        </is>
      </c>
      <c r="C330" s="119" t="inlineStr">
        <is>
          <t>TĂNG THỊ MIỀN</t>
        </is>
      </c>
      <c r="D330" s="119" t="inlineStr">
        <is>
          <t>01/01/1951</t>
        </is>
      </c>
      <c r="E330" s="119" t="inlineStr">
        <is>
          <t>Giường Ngoại khoa loại 3 - Khoa Chấn thương chỉnh hình</t>
        </is>
      </c>
      <c r="F330" s="249" t="n">
        <v>1</v>
      </c>
      <c r="G330" s="249" t="n">
        <v>269200</v>
      </c>
    </row>
    <row r="331" ht="15.75" customHeight="1">
      <c r="A331" s="119" t="n">
        <v>323</v>
      </c>
      <c r="B331" s="119" t="inlineStr">
        <is>
          <t>2026/08/05 09:40</t>
        </is>
      </c>
      <c r="C331" s="119" t="inlineStr">
        <is>
          <t>NGUYỄN TUYẾT HOA</t>
        </is>
      </c>
      <c r="D331" s="119" t="inlineStr">
        <is>
          <t>25/05/1950</t>
        </is>
      </c>
      <c r="E331" s="119" t="inlineStr">
        <is>
          <t>Giường Nội khoa loại 2 - Khoa Chấn thương chỉnh hình</t>
        </is>
      </c>
      <c r="F331" s="249" t="n">
        <v>1</v>
      </c>
      <c r="G331" s="249" t="n">
        <v>222300</v>
      </c>
    </row>
    <row r="332" ht="15.75" customHeight="1">
      <c r="A332" s="119" t="n">
        <v>324</v>
      </c>
      <c r="B332" s="119" t="inlineStr">
        <is>
          <t>2026/08/05 09:51</t>
        </is>
      </c>
      <c r="C332" s="119" t="inlineStr">
        <is>
          <t>NGUYỄN THỊ THÚY HẰNG</t>
        </is>
      </c>
      <c r="D332" s="119" t="inlineStr">
        <is>
          <t>02/07/1980</t>
        </is>
      </c>
      <c r="E332" s="119" t="inlineStr">
        <is>
          <t>Giường Nội khoa loại 2 - Khoa Chấn thương chỉnh hình</t>
        </is>
      </c>
      <c r="F332" s="249" t="n">
        <v>1</v>
      </c>
      <c r="G332" s="249" t="n">
        <v>222300</v>
      </c>
    </row>
    <row r="333" ht="15.75" customHeight="1">
      <c r="A333" s="119" t="n">
        <v>325</v>
      </c>
      <c r="B333" s="119" t="inlineStr">
        <is>
          <t>2026/08/05 11:00</t>
        </is>
      </c>
      <c r="C333" s="119" t="inlineStr">
        <is>
          <t>LÊ THỊ CHÍN</t>
        </is>
      </c>
      <c r="D333" s="119" t="inlineStr">
        <is>
          <t>16/06/1941</t>
        </is>
      </c>
      <c r="E333" s="119" t="inlineStr">
        <is>
          <t>Giường Nội khoa loại 2 - Khoa Chấn thương chỉnh hình</t>
        </is>
      </c>
      <c r="F333" s="249" t="n">
        <v>1</v>
      </c>
      <c r="G333" s="249" t="n">
        <v>222300</v>
      </c>
    </row>
    <row r="334" ht="15.75" customHeight="1">
      <c r="A334" s="119" t="n">
        <v>326</v>
      </c>
      <c r="B334" s="119" t="inlineStr">
        <is>
          <t>2026/08/05 11:27</t>
        </is>
      </c>
      <c r="C334" s="119" t="inlineStr">
        <is>
          <t>PHAN HỮU HƯNG</t>
        </is>
      </c>
      <c r="D334" s="119" t="inlineStr">
        <is>
          <t>19/02/1983</t>
        </is>
      </c>
      <c r="E334" s="119" t="inlineStr">
        <is>
          <t>Giường Nội khoa loại 2 - Khoa Chấn thương chỉnh hình</t>
        </is>
      </c>
      <c r="F334" s="249" t="n">
        <v>1</v>
      </c>
      <c r="G334" s="249" t="n">
        <v>600000</v>
      </c>
    </row>
    <row r="335" ht="15.75" customHeight="1">
      <c r="A335" s="119" t="n">
        <v>327</v>
      </c>
      <c r="B335" s="119" t="inlineStr">
        <is>
          <t>2026/08/05 11:27</t>
        </is>
      </c>
      <c r="C335" s="119" t="inlineStr">
        <is>
          <t>PHAN HỮU HƯNG</t>
        </is>
      </c>
      <c r="D335" s="119" t="inlineStr">
        <is>
          <t>19/02/1983</t>
        </is>
      </c>
      <c r="E335" s="119" t="inlineStr">
        <is>
          <t>Giường Nội khoa loại 2 - Khoa Chấn thương chỉnh hình</t>
        </is>
      </c>
      <c r="F335" s="249" t="n">
        <v>1</v>
      </c>
      <c r="G335" s="249" t="n">
        <v>222300</v>
      </c>
    </row>
    <row r="336" ht="15.75" customHeight="1">
      <c r="A336" s="119" t="n">
        <v>328</v>
      </c>
      <c r="B336" s="119" t="inlineStr">
        <is>
          <t>2026/08/05 13:00</t>
        </is>
      </c>
      <c r="C336" s="119" t="inlineStr">
        <is>
          <t>DƯƠNG NHẬT THÁI</t>
        </is>
      </c>
      <c r="D336" s="119" t="inlineStr">
        <is>
          <t>01/06/2008</t>
        </is>
      </c>
      <c r="E336" s="119" t="inlineStr">
        <is>
          <t>Giường Ngoại khoa loại 3 - Khoa Chấn thương chỉnh hình</t>
        </is>
      </c>
      <c r="F336" s="249" t="n">
        <v>1</v>
      </c>
      <c r="G336" s="249" t="n">
        <v>269200</v>
      </c>
    </row>
    <row r="337" ht="15.75" customHeight="1">
      <c r="A337" s="119" t="n">
        <v>329</v>
      </c>
      <c r="B337" s="119" t="inlineStr">
        <is>
          <t>2026/08/05 13:51</t>
        </is>
      </c>
      <c r="C337" s="119" t="inlineStr">
        <is>
          <t>VÕ MINH TRÍ</t>
        </is>
      </c>
      <c r="D337" s="119" t="inlineStr">
        <is>
          <t>03/01/1994</t>
        </is>
      </c>
      <c r="E337" s="119" t="inlineStr">
        <is>
          <t>Giường Ngoại khoa loại 3 - Khoa Chấn thương chỉnh hình</t>
        </is>
      </c>
      <c r="F337" s="249" t="n">
        <v>1</v>
      </c>
      <c r="G337" s="249" t="n">
        <v>269200</v>
      </c>
    </row>
    <row r="338" ht="15.75" customHeight="1">
      <c r="A338" s="119" t="n">
        <v>330</v>
      </c>
      <c r="B338" s="119" t="inlineStr">
        <is>
          <t>2026/08/05 18:05</t>
        </is>
      </c>
      <c r="C338" s="119" t="inlineStr">
        <is>
          <t>NGUYỄN VĂN HƯỞNG</t>
        </is>
      </c>
      <c r="D338" s="119" t="inlineStr">
        <is>
          <t>11/12/1992</t>
        </is>
      </c>
      <c r="E338" s="119" t="inlineStr">
        <is>
          <t>Giường Ngoại khoa loại 2 - Khoa Chấn thương chỉnh hình</t>
        </is>
      </c>
      <c r="F338" s="249" t="n">
        <v>1</v>
      </c>
      <c r="G338" s="249" t="n">
        <v>301600</v>
      </c>
    </row>
    <row r="339" ht="15.75" customHeight="1">
      <c r="A339" s="119" t="n">
        <v>331</v>
      </c>
      <c r="B339" s="119" t="inlineStr">
        <is>
          <t>2026/08/05 22:48</t>
        </is>
      </c>
      <c r="C339" s="119" t="inlineStr">
        <is>
          <t>NGUYỄN VĂN KHẢI</t>
        </is>
      </c>
      <c r="D339" s="119" t="inlineStr">
        <is>
          <t>04/11/1951</t>
        </is>
      </c>
      <c r="E339" s="119" t="inlineStr">
        <is>
          <t>Giường Nội khoa loại 2 - Khoa Chấn thương chỉnh hình</t>
        </is>
      </c>
      <c r="F339" s="249" t="n">
        <v>1</v>
      </c>
      <c r="G339" s="249" t="n">
        <v>222300</v>
      </c>
    </row>
    <row r="340" ht="15.75" customHeight="1">
      <c r="A340" s="119" t="n">
        <v>332</v>
      </c>
      <c r="B340" s="119" t="inlineStr">
        <is>
          <t>2026/08/05 23:59</t>
        </is>
      </c>
      <c r="C340" s="119" t="inlineStr">
        <is>
          <t>PHAN VĂN HÙNG</t>
        </is>
      </c>
      <c r="D340" s="119" t="inlineStr">
        <is>
          <t>01/01/1956</t>
        </is>
      </c>
      <c r="E340" s="119" t="inlineStr">
        <is>
          <t>Giường Nội khoa loại 2 - Khoa Chấn thương chỉnh hình</t>
        </is>
      </c>
      <c r="F340" s="249" t="n">
        <v>1</v>
      </c>
      <c r="G340" s="249" t="n">
        <v>222300</v>
      </c>
    </row>
    <row r="341" ht="15.75" customHeight="1">
      <c r="A341" s="119" t="n">
        <v>333</v>
      </c>
      <c r="B341" s="119" t="inlineStr">
        <is>
          <t>2026/08/06 00:00</t>
        </is>
      </c>
      <c r="C341" s="119" t="inlineStr">
        <is>
          <t>BÙI VĂN TRƯỜNG</t>
        </is>
      </c>
      <c r="D341" s="119" t="inlineStr">
        <is>
          <t>01/01/1972</t>
        </is>
      </c>
      <c r="E341" s="119" t="inlineStr">
        <is>
          <t>Giường Ngoại khoa loại 1 - Khoa Chấn thương chỉnh hình</t>
        </is>
      </c>
      <c r="F341" s="249" t="n">
        <v>1</v>
      </c>
      <c r="G341" s="249" t="n">
        <v>341800</v>
      </c>
    </row>
    <row r="342" ht="15.75" customHeight="1">
      <c r="A342" s="119" t="n">
        <v>334</v>
      </c>
      <c r="B342" s="119" t="inlineStr">
        <is>
          <t>2026/08/06 00:00</t>
        </is>
      </c>
      <c r="C342" s="119" t="inlineStr">
        <is>
          <t>DƯƠNG BÁ NHẪN</t>
        </is>
      </c>
      <c r="D342" s="119" t="inlineStr">
        <is>
          <t>13/12/1999</t>
        </is>
      </c>
      <c r="E342" s="119" t="inlineStr">
        <is>
          <t>Giường Ngoại khoa loại 1 - Khoa Chấn thương chỉnh hình</t>
        </is>
      </c>
      <c r="F342" s="249" t="n">
        <v>1</v>
      </c>
      <c r="G342" s="249" t="n">
        <v>341800</v>
      </c>
    </row>
    <row r="343" ht="15.75" customHeight="1">
      <c r="A343" s="119" t="n">
        <v>335</v>
      </c>
      <c r="B343" s="119" t="inlineStr">
        <is>
          <t>2026/08/06 00:00</t>
        </is>
      </c>
      <c r="C343" s="119" t="inlineStr">
        <is>
          <t>DƯƠNG HOÀNG TRUNG</t>
        </is>
      </c>
      <c r="D343" s="119" t="inlineStr">
        <is>
          <t>20/09/1983</t>
        </is>
      </c>
      <c r="E343" s="119" t="inlineStr">
        <is>
          <t>Giường Nội khoa loại 2 - Khoa Chấn thương chỉnh hình</t>
        </is>
      </c>
      <c r="F343" s="249" t="n">
        <v>1</v>
      </c>
      <c r="G343" s="249" t="n">
        <v>222300</v>
      </c>
    </row>
    <row r="344" ht="15.75" customHeight="1">
      <c r="A344" s="119" t="n">
        <v>336</v>
      </c>
      <c r="B344" s="119" t="inlineStr">
        <is>
          <t>2026/08/06 00:00</t>
        </is>
      </c>
      <c r="C344" s="119" t="inlineStr">
        <is>
          <t>DƯƠNG NHẬT THÁI</t>
        </is>
      </c>
      <c r="D344" s="119" t="inlineStr">
        <is>
          <t>01/06/2008</t>
        </is>
      </c>
      <c r="E344" s="119" t="inlineStr">
        <is>
          <t>Giường Ngoại khoa loại 3 - Khoa Chấn thương chỉnh hình</t>
        </is>
      </c>
      <c r="F344" s="249" t="n">
        <v>1</v>
      </c>
      <c r="G344" s="249" t="n">
        <v>269200</v>
      </c>
    </row>
    <row r="345" ht="15.75" customHeight="1">
      <c r="A345" s="119" t="n">
        <v>337</v>
      </c>
      <c r="B345" s="119" t="inlineStr">
        <is>
          <t>2026/08/06 00:00</t>
        </is>
      </c>
      <c r="C345" s="119" t="inlineStr">
        <is>
          <t>LA BÍCH LỆ</t>
        </is>
      </c>
      <c r="D345" s="119" t="inlineStr">
        <is>
          <t>01/01/1949</t>
        </is>
      </c>
      <c r="E345" s="119" t="inlineStr">
        <is>
          <t>Giường Ngoại khoa loại 4 - Khoa Chấn thương chỉnh hình</t>
        </is>
      </c>
      <c r="F345" s="249" t="n">
        <v>1</v>
      </c>
      <c r="G345" s="249" t="n">
        <v>229200</v>
      </c>
    </row>
    <row r="346" ht="15.75" customHeight="1">
      <c r="A346" s="119" t="n">
        <v>338</v>
      </c>
      <c r="B346" s="119" t="inlineStr">
        <is>
          <t>2026/08/06 00:00</t>
        </is>
      </c>
      <c r="C346" s="119" t="inlineStr">
        <is>
          <t>LÊ TRƯỜNG GIANG</t>
        </is>
      </c>
      <c r="D346" s="119" t="inlineStr">
        <is>
          <t>01/01/1980</t>
        </is>
      </c>
      <c r="E346" s="119" t="inlineStr">
        <is>
          <t>Giường Nội khoa loại 2 - Khoa Chấn thương chỉnh hình</t>
        </is>
      </c>
      <c r="F346" s="249" t="n">
        <v>1</v>
      </c>
      <c r="G346" s="249" t="n">
        <v>222300</v>
      </c>
    </row>
    <row r="347" ht="15.75" customHeight="1">
      <c r="A347" s="119" t="n">
        <v>339</v>
      </c>
      <c r="B347" s="119" t="inlineStr">
        <is>
          <t>2026/08/06 00:00</t>
        </is>
      </c>
      <c r="C347" s="119" t="inlineStr">
        <is>
          <t>NGUYỄN HỮU HIỆP</t>
        </is>
      </c>
      <c r="D347" s="119" t="inlineStr">
        <is>
          <t>01/01/1973</t>
        </is>
      </c>
      <c r="E347" s="119" t="inlineStr">
        <is>
          <t>Giường Nội khoa loại 2 - Khoa Chấn thương chỉnh hình</t>
        </is>
      </c>
      <c r="F347" s="249" t="n">
        <v>1</v>
      </c>
      <c r="G347" s="249" t="n">
        <v>222300</v>
      </c>
    </row>
    <row r="348" ht="15.75" customHeight="1">
      <c r="A348" s="119" t="n">
        <v>340</v>
      </c>
      <c r="B348" s="119" t="inlineStr">
        <is>
          <t>2026/08/06 00:00</t>
        </is>
      </c>
      <c r="C348" s="119" t="inlineStr">
        <is>
          <t>NGUYỄN THỊ HƯƠNG</t>
        </is>
      </c>
      <c r="D348" s="119" t="inlineStr">
        <is>
          <t>02/07/1965</t>
        </is>
      </c>
      <c r="E348" s="119" t="inlineStr">
        <is>
          <t>Giường Ngoại khoa loại 4 - Khoa Chấn thương chỉnh hình</t>
        </is>
      </c>
      <c r="F348" s="249" t="n">
        <v>1</v>
      </c>
      <c r="G348" s="249" t="n">
        <v>229200</v>
      </c>
    </row>
    <row r="349" ht="15.75" customHeight="1">
      <c r="A349" s="119" t="n">
        <v>341</v>
      </c>
      <c r="B349" s="119" t="inlineStr">
        <is>
          <t>2026/08/06 00:00</t>
        </is>
      </c>
      <c r="C349" s="119" t="inlineStr">
        <is>
          <t>NGUYỄN THỊ NĂM</t>
        </is>
      </c>
      <c r="D349" s="119" t="inlineStr">
        <is>
          <t>30/04/1955</t>
        </is>
      </c>
      <c r="E349" s="119" t="inlineStr">
        <is>
          <t>Giường Ngoại khoa loại 1 - Khoa Chấn thương chỉnh hình</t>
        </is>
      </c>
      <c r="F349" s="249" t="n">
        <v>1</v>
      </c>
      <c r="G349" s="249" t="n">
        <v>341800</v>
      </c>
    </row>
    <row r="350" ht="15.75" customHeight="1">
      <c r="A350" s="119" t="n">
        <v>342</v>
      </c>
      <c r="B350" s="119" t="inlineStr">
        <is>
          <t>2026/08/06 00:00</t>
        </is>
      </c>
      <c r="C350" s="119" t="inlineStr">
        <is>
          <t>NGUYỄN THỊ THÚY HẰNG</t>
        </is>
      </c>
      <c r="D350" s="119" t="inlineStr">
        <is>
          <t>02/07/1980</t>
        </is>
      </c>
      <c r="E350" s="119" t="inlineStr">
        <is>
          <t>Giường Nội khoa loại 2 - Khoa Chấn thương chỉnh hình</t>
        </is>
      </c>
      <c r="F350" s="249" t="n">
        <v>1</v>
      </c>
      <c r="G350" s="249" t="n">
        <v>222300</v>
      </c>
    </row>
    <row r="351" ht="15.75" customHeight="1">
      <c r="A351" s="119" t="n">
        <v>343</v>
      </c>
      <c r="B351" s="119" t="inlineStr">
        <is>
          <t>2026/08/06 00:00</t>
        </is>
      </c>
      <c r="C351" s="119" t="inlineStr">
        <is>
          <t>NGUYỄN THỊ XUÂN LAN</t>
        </is>
      </c>
      <c r="D351" s="119" t="inlineStr">
        <is>
          <t>30/12/1956</t>
        </is>
      </c>
      <c r="E351" s="119" t="inlineStr">
        <is>
          <t>Giường Nội khoa loại 2 - Khoa Chấn thương chỉnh hình</t>
        </is>
      </c>
      <c r="F351" s="249" t="n">
        <v>1</v>
      </c>
      <c r="G351" s="249" t="n">
        <v>222300</v>
      </c>
    </row>
    <row r="352" ht="15.75" customHeight="1">
      <c r="A352" s="119" t="n">
        <v>344</v>
      </c>
      <c r="B352" s="119" t="inlineStr">
        <is>
          <t>2026/08/06 00:00</t>
        </is>
      </c>
      <c r="C352" s="119" t="inlineStr">
        <is>
          <t>NGUYỄN THỊ ÁNH LOAN</t>
        </is>
      </c>
      <c r="D352" s="119" t="inlineStr">
        <is>
          <t>30/10/1967</t>
        </is>
      </c>
      <c r="E352" s="119" t="inlineStr">
        <is>
          <t>Giường Ngoại khoa loại 1 - Khoa Chấn thương chỉnh hình</t>
        </is>
      </c>
      <c r="F352" s="249" t="n">
        <v>1</v>
      </c>
      <c r="G352" s="249" t="n">
        <v>600000</v>
      </c>
    </row>
    <row r="353" ht="15.75" customHeight="1">
      <c r="A353" s="119" t="n">
        <v>345</v>
      </c>
      <c r="B353" s="119" t="inlineStr">
        <is>
          <t>2026/08/06 00:00</t>
        </is>
      </c>
      <c r="C353" s="119" t="inlineStr">
        <is>
          <t>TRƯƠNG CẨM TÚ</t>
        </is>
      </c>
      <c r="D353" s="119" t="inlineStr">
        <is>
          <t>09/02/1994</t>
        </is>
      </c>
      <c r="E353" s="119" t="inlineStr">
        <is>
          <t>Giường Ngoại khoa loại 1 - Khoa Chấn thương chỉnh hình</t>
        </is>
      </c>
      <c r="F353" s="249" t="n">
        <v>1</v>
      </c>
      <c r="G353" s="249" t="n">
        <v>341800</v>
      </c>
    </row>
    <row r="354" ht="15.75" customHeight="1">
      <c r="A354" s="119" t="n">
        <v>346</v>
      </c>
      <c r="B354" s="119" t="inlineStr">
        <is>
          <t>2026/08/06 00:00</t>
        </is>
      </c>
      <c r="C354" s="119" t="inlineStr">
        <is>
          <t>TRẦN MINH TƯỞNG</t>
        </is>
      </c>
      <c r="D354" s="119" t="inlineStr">
        <is>
          <t>29/11/2002</t>
        </is>
      </c>
      <c r="E354" s="119" t="inlineStr">
        <is>
          <t>Giường Ngoại khoa loại 2 - Khoa Chấn thương chỉnh hình</t>
        </is>
      </c>
      <c r="F354" s="249" t="n">
        <v>1</v>
      </c>
      <c r="G354" s="249" t="n">
        <v>301600</v>
      </c>
    </row>
    <row r="355" ht="15.75" customHeight="1">
      <c r="A355" s="119" t="n">
        <v>347</v>
      </c>
      <c r="B355" s="119" t="inlineStr">
        <is>
          <t>2026/08/06 00:00</t>
        </is>
      </c>
      <c r="C355" s="119" t="inlineStr">
        <is>
          <t>VÕ MINH TRÍ</t>
        </is>
      </c>
      <c r="D355" s="119" t="inlineStr">
        <is>
          <t>03/01/1994</t>
        </is>
      </c>
      <c r="E355" s="119" t="inlineStr">
        <is>
          <t>Giường Ngoại khoa loại 3 - Khoa Chấn thương chỉnh hình</t>
        </is>
      </c>
      <c r="F355" s="249" t="n">
        <v>1</v>
      </c>
      <c r="G355" s="249" t="n">
        <v>269200</v>
      </c>
    </row>
    <row r="356" ht="15.75" customHeight="1">
      <c r="A356" s="119" t="n">
        <v>348</v>
      </c>
      <c r="B356" s="119" t="inlineStr">
        <is>
          <t>2026/08/06 00:00</t>
        </is>
      </c>
      <c r="C356" s="119" t="inlineStr">
        <is>
          <t>ĐOÀN THỊ NGUYÊN</t>
        </is>
      </c>
      <c r="D356" s="119" t="inlineStr">
        <is>
          <t>01/01/1936</t>
        </is>
      </c>
      <c r="E356" s="119" t="inlineStr">
        <is>
          <t>Giường Nội khoa loại 2 - Khoa Chấn thương chỉnh hình</t>
        </is>
      </c>
      <c r="F356" s="249" t="n">
        <v>1</v>
      </c>
      <c r="G356" s="249" t="n">
        <v>222300</v>
      </c>
    </row>
    <row r="357" ht="15.75" customHeight="1">
      <c r="A357" s="119" t="n">
        <v>349</v>
      </c>
      <c r="B357" s="119" t="inlineStr">
        <is>
          <t>2026/08/06 00:00</t>
        </is>
      </c>
      <c r="C357" s="119" t="inlineStr">
        <is>
          <t>LÊ THỊ ỬNG</t>
        </is>
      </c>
      <c r="D357" s="119" t="inlineStr">
        <is>
          <t>02/09/1953</t>
        </is>
      </c>
      <c r="E357" s="119" t="inlineStr">
        <is>
          <t>Giường Ngoại khoa loại 1 - Khoa Chấn thương chỉnh hình</t>
        </is>
      </c>
      <c r="F357" s="249" t="n">
        <v>1</v>
      </c>
      <c r="G357" s="249" t="n">
        <v>341800</v>
      </c>
    </row>
    <row r="358" ht="15.75" customHeight="1">
      <c r="A358" s="119" t="n">
        <v>350</v>
      </c>
      <c r="B358" s="119" t="inlineStr">
        <is>
          <t>2026/08/06 00:00</t>
        </is>
      </c>
      <c r="C358" s="119" t="inlineStr">
        <is>
          <t>NGUYỄN VĂN HƯỞNG</t>
        </is>
      </c>
      <c r="D358" s="119" t="inlineStr">
        <is>
          <t>11/12/1992</t>
        </is>
      </c>
      <c r="E358" s="119" t="inlineStr">
        <is>
          <t>Giường Ngoại khoa loại 2 - Khoa Chấn thương chỉnh hình</t>
        </is>
      </c>
      <c r="F358" s="249" t="n">
        <v>1</v>
      </c>
      <c r="G358" s="249" t="n">
        <v>301600</v>
      </c>
    </row>
    <row r="359" ht="15.75" customHeight="1">
      <c r="A359" s="119" t="n">
        <v>351</v>
      </c>
      <c r="B359" s="119" t="inlineStr">
        <is>
          <t>2026/08/06 00:00</t>
        </is>
      </c>
      <c r="C359" s="119" t="inlineStr">
        <is>
          <t>PHẠM THỊ NGỌC ÁNH</t>
        </is>
      </c>
      <c r="D359" s="119" t="inlineStr">
        <is>
          <t>01/01/1957</t>
        </is>
      </c>
      <c r="E359" s="119" t="inlineStr">
        <is>
          <t>Giường Ngoại khoa loại 2 - Khoa Chấn thương chỉnh hình</t>
        </is>
      </c>
      <c r="F359" s="249" t="n">
        <v>1</v>
      </c>
      <c r="G359" s="249" t="n">
        <v>301600</v>
      </c>
    </row>
    <row r="360" ht="15.75" customHeight="1">
      <c r="A360" s="119" t="n">
        <v>352</v>
      </c>
      <c r="B360" s="119" t="inlineStr">
        <is>
          <t>2026/08/06 00:00</t>
        </is>
      </c>
      <c r="C360" s="119" t="inlineStr">
        <is>
          <t>TRẦN PHƯƠNG ĐÔNG</t>
        </is>
      </c>
      <c r="D360" s="119" t="inlineStr">
        <is>
          <t>01/01/1977</t>
        </is>
      </c>
      <c r="E360" s="119" t="inlineStr">
        <is>
          <t>Giường Ngoại khoa loại 3 - Khoa Chấn thương chỉnh hình</t>
        </is>
      </c>
      <c r="F360" s="249" t="n">
        <v>1</v>
      </c>
      <c r="G360" s="249" t="n">
        <v>269200</v>
      </c>
    </row>
    <row r="361" ht="15.75" customHeight="1">
      <c r="A361" s="119" t="n">
        <v>353</v>
      </c>
      <c r="B361" s="119" t="inlineStr">
        <is>
          <t>2026/08/06 00:00</t>
        </is>
      </c>
      <c r="C361" s="119" t="inlineStr">
        <is>
          <t>TĂNG THỊ MIỀN</t>
        </is>
      </c>
      <c r="D361" s="119" t="inlineStr">
        <is>
          <t>01/01/1951</t>
        </is>
      </c>
      <c r="E361" s="119" t="inlineStr">
        <is>
          <t>Giường Ngoại khoa loại 3 - Khoa Chấn thương chỉnh hình</t>
        </is>
      </c>
      <c r="F361" s="249" t="n">
        <v>1</v>
      </c>
      <c r="G361" s="249" t="n">
        <v>269200</v>
      </c>
    </row>
    <row r="362" ht="15.75" customHeight="1">
      <c r="A362" s="119" t="n">
        <v>354</v>
      </c>
      <c r="B362" s="119" t="inlineStr">
        <is>
          <t>2026/08/06 11:11</t>
        </is>
      </c>
      <c r="C362" s="119" t="inlineStr">
        <is>
          <t>NGUYỄN XUÂN ĐÀO</t>
        </is>
      </c>
      <c r="D362" s="119" t="inlineStr">
        <is>
          <t>20/11/1975</t>
        </is>
      </c>
      <c r="E362" s="119" t="inlineStr">
        <is>
          <t>Giường Nội khoa loại 2 - Khoa Chấn thương chỉnh hình</t>
        </is>
      </c>
      <c r="F362" s="249" t="n">
        <v>1</v>
      </c>
      <c r="G362" s="249" t="n">
        <v>222300</v>
      </c>
    </row>
    <row r="363" ht="15.75" customHeight="1">
      <c r="A363" s="119" t="n">
        <v>355</v>
      </c>
      <c r="B363" s="119" t="inlineStr">
        <is>
          <t>2026/08/06 11:26</t>
        </is>
      </c>
      <c r="C363" s="119" t="inlineStr">
        <is>
          <t>PHAN HỮU HƯNG</t>
        </is>
      </c>
      <c r="D363" s="119" t="inlineStr">
        <is>
          <t>19/02/1983</t>
        </is>
      </c>
      <c r="E363" s="119" t="inlineStr">
        <is>
          <t>Giường Nội khoa loại 2 - Khoa Chấn thương chỉnh hình</t>
        </is>
      </c>
      <c r="F363" s="249" t="n">
        <v>1</v>
      </c>
      <c r="G363" s="249" t="n">
        <v>600000</v>
      </c>
    </row>
    <row r="364" ht="15.75" customHeight="1">
      <c r="A364" s="119" t="n">
        <v>356</v>
      </c>
      <c r="B364" s="119" t="inlineStr">
        <is>
          <t>2026/08/06 11:26</t>
        </is>
      </c>
      <c r="C364" s="119" t="inlineStr">
        <is>
          <t>PHAN HỮU HƯNG</t>
        </is>
      </c>
      <c r="D364" s="119" t="inlineStr">
        <is>
          <t>19/02/1983</t>
        </is>
      </c>
      <c r="E364" s="119" t="inlineStr">
        <is>
          <t>Giường Nội khoa loại 2 - Khoa Chấn thương chỉnh hình</t>
        </is>
      </c>
      <c r="F364" s="249" t="n">
        <v>1</v>
      </c>
      <c r="G364" s="249" t="n">
        <v>222300</v>
      </c>
    </row>
    <row r="365" ht="15.75" customHeight="1">
      <c r="A365" s="119" t="n">
        <v>357</v>
      </c>
      <c r="B365" s="119" t="inlineStr">
        <is>
          <t>2026/08/06 15:32</t>
        </is>
      </c>
      <c r="C365" s="119" t="inlineStr">
        <is>
          <t>ĐẶNG THANH PHONG</t>
        </is>
      </c>
      <c r="D365" s="119" t="inlineStr">
        <is>
          <t>01/01/1976</t>
        </is>
      </c>
      <c r="E365" s="119" t="inlineStr">
        <is>
          <t>Giường Ngoại khoa loại 1 - Khoa Chấn thương chỉnh hình</t>
        </is>
      </c>
      <c r="F365" s="249" t="n">
        <v>1</v>
      </c>
      <c r="G365" s="249" t="n">
        <v>341800</v>
      </c>
    </row>
    <row r="366" ht="15.75" customHeight="1">
      <c r="A366" s="119" t="n">
        <v>358</v>
      </c>
      <c r="B366" s="119" t="inlineStr">
        <is>
          <t>2026/08/06 17:04</t>
        </is>
      </c>
      <c r="C366" s="119" t="inlineStr">
        <is>
          <t>LÂM THỊ THÚY</t>
        </is>
      </c>
      <c r="D366" s="119" t="inlineStr">
        <is>
          <t>01/01/1972</t>
        </is>
      </c>
      <c r="E366" s="119" t="inlineStr">
        <is>
          <t>Giường Nội khoa loại 2 - Khoa Chấn thương chỉnh hình</t>
        </is>
      </c>
      <c r="F366" s="249" t="n">
        <v>1</v>
      </c>
      <c r="G366" s="249" t="n">
        <v>222300</v>
      </c>
    </row>
    <row r="367" ht="15.75" customHeight="1">
      <c r="A367" s="119" t="n">
        <v>359</v>
      </c>
      <c r="B367" s="119" t="inlineStr">
        <is>
          <t>2026/08/06 18:10</t>
        </is>
      </c>
      <c r="C367" s="119" t="inlineStr">
        <is>
          <t>PHAN THƯỢNG HẢI</t>
        </is>
      </c>
      <c r="D367" s="119" t="inlineStr">
        <is>
          <t>15/07/1972</t>
        </is>
      </c>
      <c r="E367" s="119" t="inlineStr">
        <is>
          <t>Giường Ngoại khoa loại 1 - Khoa Chấn thương chỉnh hình</t>
        </is>
      </c>
      <c r="F367" s="249" t="n">
        <v>1</v>
      </c>
      <c r="G367" s="249" t="n">
        <v>341800</v>
      </c>
    </row>
    <row r="368" ht="15.75" customHeight="1">
      <c r="A368" s="119" t="n">
        <v>360</v>
      </c>
      <c r="B368" s="119" t="inlineStr">
        <is>
          <t>2026/08/06 22:48</t>
        </is>
      </c>
      <c r="C368" s="119" t="inlineStr">
        <is>
          <t>NGUYỄN VĂN KHẢI</t>
        </is>
      </c>
      <c r="D368" s="119" t="inlineStr">
        <is>
          <t>04/11/1951</t>
        </is>
      </c>
      <c r="E368" s="119" t="inlineStr">
        <is>
          <t>Giường Ngoại khoa loại 1 - Khoa Chấn thương chỉnh hình</t>
        </is>
      </c>
      <c r="F368" s="249" t="n">
        <v>1</v>
      </c>
      <c r="G368" s="249" t="n">
        <v>341800</v>
      </c>
    </row>
    <row r="369" ht="15.75" customHeight="1">
      <c r="A369" s="119" t="n">
        <v>361</v>
      </c>
      <c r="B369" s="119" t="inlineStr">
        <is>
          <t>2026/08/07 00:00</t>
        </is>
      </c>
      <c r="C369" s="119" t="inlineStr">
        <is>
          <t>DƯƠNG HOÀNG TRUNG</t>
        </is>
      </c>
      <c r="D369" s="119" t="inlineStr">
        <is>
          <t>20/09/1983</t>
        </is>
      </c>
      <c r="E369" s="119" t="inlineStr">
        <is>
          <t>Giường Nội khoa loại 2 - Khoa Chấn thương chỉnh hình</t>
        </is>
      </c>
      <c r="F369" s="249" t="n">
        <v>1</v>
      </c>
      <c r="G369" s="249" t="n">
        <v>222300</v>
      </c>
    </row>
    <row r="370" ht="15.75" customHeight="1">
      <c r="A370" s="119" t="n">
        <v>362</v>
      </c>
      <c r="B370" s="119" t="inlineStr">
        <is>
          <t>2026/08/07 00:00</t>
        </is>
      </c>
      <c r="C370" s="119" t="inlineStr">
        <is>
          <t>LA BÍCH LỆ</t>
        </is>
      </c>
      <c r="D370" s="119" t="inlineStr">
        <is>
          <t>01/01/1949</t>
        </is>
      </c>
      <c r="E370" s="119" t="inlineStr">
        <is>
          <t>Giường Ngoại khoa loại 4 - Khoa Chấn thương chỉnh hình</t>
        </is>
      </c>
      <c r="F370" s="249" t="n">
        <v>1</v>
      </c>
      <c r="G370" s="249" t="n">
        <v>229200</v>
      </c>
    </row>
    <row r="371" ht="15.75" customHeight="1">
      <c r="A371" s="119" t="n">
        <v>363</v>
      </c>
      <c r="B371" s="119" t="inlineStr">
        <is>
          <t>2026/08/07 00:00</t>
        </is>
      </c>
      <c r="C371" s="119" t="inlineStr">
        <is>
          <t>LÂM THỊ THÚY</t>
        </is>
      </c>
      <c r="D371" s="119" t="inlineStr">
        <is>
          <t>01/01/1972</t>
        </is>
      </c>
      <c r="E371" s="119" t="inlineStr">
        <is>
          <t>Giường Nội khoa loại 2 - Khoa Chấn thương chỉnh hình</t>
        </is>
      </c>
      <c r="F371" s="249" t="n">
        <v>1</v>
      </c>
      <c r="G371" s="249" t="n">
        <v>222300</v>
      </c>
    </row>
    <row r="372" ht="15.75" customHeight="1">
      <c r="A372" s="119" t="n">
        <v>364</v>
      </c>
      <c r="B372" s="119" t="inlineStr">
        <is>
          <t>2026/08/07 00:00</t>
        </is>
      </c>
      <c r="C372" s="119" t="inlineStr">
        <is>
          <t>NGUYỄN HỮU HIỆP</t>
        </is>
      </c>
      <c r="D372" s="119" t="inlineStr">
        <is>
          <t>01/01/1973</t>
        </is>
      </c>
      <c r="E372" s="119" t="inlineStr">
        <is>
          <t>Giường Nội khoa loại 2 - Khoa Chấn thương chỉnh hình</t>
        </is>
      </c>
      <c r="F372" s="249" t="n">
        <v>1</v>
      </c>
      <c r="G372" s="249" t="n">
        <v>222300</v>
      </c>
    </row>
    <row r="373" ht="15.75" customHeight="1">
      <c r="A373" s="119" t="n">
        <v>365</v>
      </c>
      <c r="B373" s="119" t="inlineStr">
        <is>
          <t>2026/08/07 00:00</t>
        </is>
      </c>
      <c r="C373" s="119" t="inlineStr">
        <is>
          <t>NGUYỄN THỊ HƯƠNG</t>
        </is>
      </c>
      <c r="D373" s="119" t="inlineStr">
        <is>
          <t>02/07/1965</t>
        </is>
      </c>
      <c r="E373" s="119" t="inlineStr">
        <is>
          <t>Giường Ngoại khoa loại 4 - Khoa Chấn thương chỉnh hình</t>
        </is>
      </c>
      <c r="F373" s="249" t="n">
        <v>1</v>
      </c>
      <c r="G373" s="249" t="n">
        <v>229200</v>
      </c>
    </row>
    <row r="374" ht="15.75" customHeight="1">
      <c r="A374" s="119" t="n">
        <v>366</v>
      </c>
      <c r="B374" s="119" t="inlineStr">
        <is>
          <t>2026/08/07 00:00</t>
        </is>
      </c>
      <c r="C374" s="119" t="inlineStr">
        <is>
          <t>NGUYỄN THỊ THÚY HẰNG</t>
        </is>
      </c>
      <c r="D374" s="119" t="inlineStr">
        <is>
          <t>02/07/1980</t>
        </is>
      </c>
      <c r="E374" s="119" t="inlineStr">
        <is>
          <t>Giường Nội khoa loại 2 - Khoa Chấn thương chỉnh hình</t>
        </is>
      </c>
      <c r="F374" s="249" t="n">
        <v>1</v>
      </c>
      <c r="G374" s="249" t="n">
        <v>222300</v>
      </c>
    </row>
    <row r="375" ht="15.75" customHeight="1">
      <c r="A375" s="119" t="n">
        <v>367</v>
      </c>
      <c r="B375" s="119" t="inlineStr">
        <is>
          <t>2026/08/07 00:00</t>
        </is>
      </c>
      <c r="C375" s="119" t="inlineStr">
        <is>
          <t>NGUYỄN THỊ XUÂN LAN</t>
        </is>
      </c>
      <c r="D375" s="119" t="inlineStr">
        <is>
          <t>30/12/1956</t>
        </is>
      </c>
      <c r="E375" s="119" t="inlineStr">
        <is>
          <t>Giường Nội khoa loại 2 - Khoa Chấn thương chỉnh hình</t>
        </is>
      </c>
      <c r="F375" s="249" t="n">
        <v>1</v>
      </c>
      <c r="G375" s="249" t="n">
        <v>222300</v>
      </c>
    </row>
    <row r="376" ht="15.75" customHeight="1">
      <c r="A376" s="119" t="n">
        <v>368</v>
      </c>
      <c r="B376" s="119" t="inlineStr">
        <is>
          <t>2026/08/07 00:00</t>
        </is>
      </c>
      <c r="C376" s="119" t="inlineStr">
        <is>
          <t>PHAN THƯỢNG HẢI</t>
        </is>
      </c>
      <c r="D376" s="119" t="inlineStr">
        <is>
          <t>15/07/1972</t>
        </is>
      </c>
      <c r="E376" s="119" t="inlineStr">
        <is>
          <t>Giường Ngoại khoa loại 1 - Khoa Chấn thương chỉnh hình</t>
        </is>
      </c>
      <c r="F376" s="249" t="n">
        <v>1</v>
      </c>
      <c r="G376" s="249" t="n">
        <v>341800</v>
      </c>
    </row>
    <row r="377" ht="15.75" customHeight="1">
      <c r="A377" s="119" t="n">
        <v>369</v>
      </c>
      <c r="B377" s="119" t="inlineStr">
        <is>
          <t>2026/08/07 00:00</t>
        </is>
      </c>
      <c r="C377" s="119" t="inlineStr">
        <is>
          <t>TRƯƠNG CẨM TÚ</t>
        </is>
      </c>
      <c r="D377" s="119" t="inlineStr">
        <is>
          <t>09/02/1994</t>
        </is>
      </c>
      <c r="E377" s="119" t="inlineStr">
        <is>
          <t>Giường Ngoại khoa loại 1 - Khoa Chấn thương chỉnh hình</t>
        </is>
      </c>
      <c r="F377" s="249" t="n">
        <v>1</v>
      </c>
      <c r="G377" s="249" t="n">
        <v>341800</v>
      </c>
    </row>
    <row r="378" ht="15.75" customHeight="1">
      <c r="A378" s="119" t="n">
        <v>370</v>
      </c>
      <c r="B378" s="119" t="inlineStr">
        <is>
          <t>2026/08/07 00:00</t>
        </is>
      </c>
      <c r="C378" s="119" t="inlineStr">
        <is>
          <t>TRƯƠNG THỊ SÁU</t>
        </is>
      </c>
      <c r="D378" s="119" t="inlineStr">
        <is>
          <t>01/01/1943</t>
        </is>
      </c>
      <c r="E378" s="119" t="inlineStr">
        <is>
          <t>Giường Nội khoa loại 2 - Khoa Chấn thương chỉnh hình</t>
        </is>
      </c>
      <c r="F378" s="249" t="n">
        <v>1</v>
      </c>
      <c r="G378" s="249" t="n">
        <v>222300</v>
      </c>
    </row>
    <row r="379" ht="15.75" customHeight="1">
      <c r="A379" s="119" t="n">
        <v>371</v>
      </c>
      <c r="B379" s="119" t="inlineStr">
        <is>
          <t>2026/08/07 00:00</t>
        </is>
      </c>
      <c r="C379" s="119" t="inlineStr">
        <is>
          <t>TRẦN MINH TƯỞNG</t>
        </is>
      </c>
      <c r="D379" s="119" t="inlineStr">
        <is>
          <t>29/11/2002</t>
        </is>
      </c>
      <c r="E379" s="119" t="inlineStr">
        <is>
          <t>Giường Ngoại khoa loại 2 - Khoa Chấn thương chỉnh hình</t>
        </is>
      </c>
      <c r="F379" s="249" t="n">
        <v>1</v>
      </c>
      <c r="G379" s="249" t="n">
        <v>301600</v>
      </c>
    </row>
    <row r="380" ht="15.75" customHeight="1">
      <c r="A380" s="119" t="n">
        <v>372</v>
      </c>
      <c r="B380" s="119" t="inlineStr">
        <is>
          <t>2026/08/07 00:00</t>
        </is>
      </c>
      <c r="C380" s="119" t="inlineStr">
        <is>
          <t>ĐOÀN THỊ NGUYÊN</t>
        </is>
      </c>
      <c r="D380" s="119" t="inlineStr">
        <is>
          <t>01/01/1936</t>
        </is>
      </c>
      <c r="E380" s="119" t="inlineStr">
        <is>
          <t>Giường Nội khoa loại 2 - Khoa Chấn thương chỉnh hình</t>
        </is>
      </c>
      <c r="F380" s="249" t="n">
        <v>1</v>
      </c>
      <c r="G380" s="249" t="n">
        <v>222300</v>
      </c>
    </row>
    <row r="381" ht="15.75" customHeight="1">
      <c r="A381" s="119" t="n">
        <v>373</v>
      </c>
      <c r="B381" s="119" t="inlineStr">
        <is>
          <t>2026/08/07 00:00</t>
        </is>
      </c>
      <c r="C381" s="119" t="inlineStr">
        <is>
          <t>LÊ THỊ ỬNG</t>
        </is>
      </c>
      <c r="D381" s="119" t="inlineStr">
        <is>
          <t>02/09/1953</t>
        </is>
      </c>
      <c r="E381" s="119" t="inlineStr">
        <is>
          <t>Giường Ngoại khoa loại 1 - Khoa Chấn thương chỉnh hình</t>
        </is>
      </c>
      <c r="F381" s="249" t="n">
        <v>1</v>
      </c>
      <c r="G381" s="249" t="n">
        <v>341800</v>
      </c>
    </row>
    <row r="382" ht="15.75" customHeight="1">
      <c r="A382" s="119" t="n">
        <v>374</v>
      </c>
      <c r="B382" s="119" t="inlineStr">
        <is>
          <t>2026/08/07 00:00</t>
        </is>
      </c>
      <c r="C382" s="119" t="inlineStr">
        <is>
          <t>NGUYỄN VĂN HƯỞNG</t>
        </is>
      </c>
      <c r="D382" s="119" t="inlineStr">
        <is>
          <t>11/12/1992</t>
        </is>
      </c>
      <c r="E382" s="119" t="inlineStr">
        <is>
          <t>Giường Ngoại khoa loại 2 - Khoa Chấn thương chỉnh hình</t>
        </is>
      </c>
      <c r="F382" s="249" t="n">
        <v>1</v>
      </c>
      <c r="G382" s="249" t="n">
        <v>301600</v>
      </c>
    </row>
    <row r="383" ht="15.75" customHeight="1">
      <c r="A383" s="119" t="n">
        <v>375</v>
      </c>
      <c r="B383" s="119" t="inlineStr">
        <is>
          <t>2026/08/07 00:00</t>
        </is>
      </c>
      <c r="C383" s="119" t="inlineStr">
        <is>
          <t>NGUYỄN XUÂN ĐÀO</t>
        </is>
      </c>
      <c r="D383" s="119" t="inlineStr">
        <is>
          <t>20/11/1975</t>
        </is>
      </c>
      <c r="E383" s="119" t="inlineStr">
        <is>
          <t>Giường Nội khoa loại 2 - Khoa Chấn thương chỉnh hình</t>
        </is>
      </c>
      <c r="F383" s="249" t="n">
        <v>1</v>
      </c>
      <c r="G383" s="249" t="n">
        <v>222300</v>
      </c>
    </row>
    <row r="384" ht="15.75" customHeight="1">
      <c r="A384" s="119" t="n">
        <v>376</v>
      </c>
      <c r="B384" s="119" t="inlineStr">
        <is>
          <t>2026/08/07 00:00</t>
        </is>
      </c>
      <c r="C384" s="119" t="inlineStr">
        <is>
          <t>ĐẶNG THANH PHONG</t>
        </is>
      </c>
      <c r="D384" s="119" t="inlineStr">
        <is>
          <t>01/01/1976</t>
        </is>
      </c>
      <c r="E384" s="119" t="inlineStr">
        <is>
          <t>Giường Ngoại khoa loại 1 - Khoa Chấn thương chỉnh hình</t>
        </is>
      </c>
      <c r="F384" s="249" t="n">
        <v>1</v>
      </c>
      <c r="G384" s="249" t="n">
        <v>341800</v>
      </c>
    </row>
    <row r="385" ht="15.75" customHeight="1">
      <c r="A385" s="119" t="n">
        <v>377</v>
      </c>
      <c r="B385" s="119" t="inlineStr">
        <is>
          <t>2026/08/07 01:58</t>
        </is>
      </c>
      <c r="C385" s="119" t="inlineStr">
        <is>
          <t>NGUYỄN THANH BÌNH</t>
        </is>
      </c>
      <c r="D385" s="119" t="inlineStr">
        <is>
          <t>20/09/1983</t>
        </is>
      </c>
      <c r="E385" s="119" t="inlineStr">
        <is>
          <t>Giường Nội khoa loại 2 - Khoa Chấn thương chỉnh hình</t>
        </is>
      </c>
      <c r="F385" s="249" t="n">
        <v>1</v>
      </c>
      <c r="G385" s="249" t="n">
        <v>250000</v>
      </c>
    </row>
    <row r="386" ht="15.75" customHeight="1">
      <c r="A386" s="119" t="n">
        <v>378</v>
      </c>
      <c r="B386" s="119" t="inlineStr">
        <is>
          <t>2026/08/07 07:00</t>
        </is>
      </c>
      <c r="C386" s="119" t="inlineStr">
        <is>
          <t>BÙI VĂN TRƯỜNG</t>
        </is>
      </c>
      <c r="D386" s="119" t="inlineStr">
        <is>
          <t>01/01/1972</t>
        </is>
      </c>
      <c r="E386" s="119" t="inlineStr">
        <is>
          <t>Giường Ngoại khoa loại 1 - Khoa Chấn thương chỉnh hình</t>
        </is>
      </c>
      <c r="F386" s="249" t="n">
        <v>1</v>
      </c>
      <c r="G386" s="249" t="n">
        <v>341800</v>
      </c>
    </row>
    <row r="387" ht="15.75" customHeight="1">
      <c r="A387" s="119" t="n">
        <v>379</v>
      </c>
      <c r="B387" s="119" t="inlineStr">
        <is>
          <t>2026/08/07 09:12</t>
        </is>
      </c>
      <c r="C387" s="119" t="inlineStr">
        <is>
          <t>LÊ THỊ HẠNH</t>
        </is>
      </c>
      <c r="D387" s="119" t="inlineStr">
        <is>
          <t>01/01/1975</t>
        </is>
      </c>
      <c r="E387" s="119" t="inlineStr">
        <is>
          <t>Giường Ngoại khoa loại 2 - Khoa Chấn thương chỉnh hình</t>
        </is>
      </c>
      <c r="F387" s="249" t="n">
        <v>1</v>
      </c>
      <c r="G387" s="249" t="n">
        <v>301600</v>
      </c>
    </row>
    <row r="388" ht="15.75" customHeight="1">
      <c r="A388" s="119" t="n">
        <v>380</v>
      </c>
      <c r="B388" s="119" t="inlineStr">
        <is>
          <t>2026/08/07 09:18</t>
        </is>
      </c>
      <c r="C388" s="119" t="inlineStr">
        <is>
          <t>PHẠM THỊ BẨN</t>
        </is>
      </c>
      <c r="D388" s="119" t="inlineStr">
        <is>
          <t>17/12/1965</t>
        </is>
      </c>
      <c r="E388" s="119" t="inlineStr">
        <is>
          <t>Giường Nội khoa loại 2 - Khoa Chấn thương chỉnh hình</t>
        </is>
      </c>
      <c r="F388" s="249" t="n">
        <v>1</v>
      </c>
      <c r="G388" s="249" t="n">
        <v>222300</v>
      </c>
    </row>
    <row r="389" ht="15.75" customHeight="1">
      <c r="A389" s="119" t="n">
        <v>381</v>
      </c>
      <c r="B389" s="119" t="inlineStr">
        <is>
          <t>2026/08/07 09:29</t>
        </is>
      </c>
      <c r="C389" s="119" t="inlineStr">
        <is>
          <t>TRƯƠNG VĂN ÚT</t>
        </is>
      </c>
      <c r="D389" s="119" t="inlineStr">
        <is>
          <t>01/01/1948</t>
        </is>
      </c>
      <c r="E389" s="119" t="inlineStr">
        <is>
          <t>Giường Nội khoa loại 2 - Khoa Chấn thương chỉnh hình</t>
        </is>
      </c>
      <c r="F389" s="249" t="n">
        <v>1</v>
      </c>
      <c r="G389" s="249" t="n">
        <v>222300</v>
      </c>
    </row>
    <row r="390" ht="15.75" customHeight="1">
      <c r="A390" s="119" t="n">
        <v>382</v>
      </c>
      <c r="B390" s="119" t="inlineStr">
        <is>
          <t>2026/08/07 10:02</t>
        </is>
      </c>
      <c r="C390" s="119" t="inlineStr">
        <is>
          <t>TRẦN THỊ KÍNH</t>
        </is>
      </c>
      <c r="D390" s="119" t="inlineStr">
        <is>
          <t>01/01/1951</t>
        </is>
      </c>
      <c r="E390" s="119" t="inlineStr">
        <is>
          <t>Giường Nội khoa loại 2 - Khoa Chấn thương chỉnh hình</t>
        </is>
      </c>
      <c r="F390" s="249" t="n">
        <v>1</v>
      </c>
      <c r="G390" s="249" t="n">
        <v>222300</v>
      </c>
    </row>
    <row r="391" ht="15.75" customHeight="1">
      <c r="A391" s="119" t="n">
        <v>383</v>
      </c>
      <c r="B391" s="119" t="inlineStr">
        <is>
          <t>2026/08/07 11:27</t>
        </is>
      </c>
      <c r="C391" s="119" t="inlineStr">
        <is>
          <t>PHAN HỮU HƯNG</t>
        </is>
      </c>
      <c r="D391" s="119" t="inlineStr">
        <is>
          <t>19/02/1983</t>
        </is>
      </c>
      <c r="E391" s="119" t="inlineStr">
        <is>
          <t>Giường Nội khoa loại 2 - Khoa Chấn thương chỉnh hình</t>
        </is>
      </c>
      <c r="F391" s="249" t="n">
        <v>1</v>
      </c>
      <c r="G391" s="249" t="n">
        <v>600000</v>
      </c>
    </row>
    <row r="392" ht="15.75" customHeight="1">
      <c r="A392" s="119" t="n">
        <v>384</v>
      </c>
      <c r="B392" s="119" t="inlineStr">
        <is>
          <t>2026/08/07 11:27</t>
        </is>
      </c>
      <c r="C392" s="119" t="inlineStr">
        <is>
          <t>PHAN HỮU HƯNG</t>
        </is>
      </c>
      <c r="D392" s="119" t="inlineStr">
        <is>
          <t>19/02/1983</t>
        </is>
      </c>
      <c r="E392" s="119" t="inlineStr">
        <is>
          <t>Giường Nội khoa loại 2 - Khoa Chấn thương chỉnh hình</t>
        </is>
      </c>
      <c r="F392" s="249" t="n">
        <v>1</v>
      </c>
      <c r="G392" s="249" t="n">
        <v>222300</v>
      </c>
    </row>
    <row r="393" ht="15.75" customHeight="1">
      <c r="A393" s="119" t="n">
        <v>385</v>
      </c>
      <c r="B393" s="119" t="inlineStr">
        <is>
          <t>2026/08/07 12:14</t>
        </is>
      </c>
      <c r="C393" s="119" t="inlineStr">
        <is>
          <t>HUỲNH THU HỒNG</t>
        </is>
      </c>
      <c r="D393" s="119" t="inlineStr">
        <is>
          <t>10/12/1957</t>
        </is>
      </c>
      <c r="E393" s="119" t="inlineStr">
        <is>
          <t>Giường Nội khoa loại 2 - Khoa Chấn thương chỉnh hình</t>
        </is>
      </c>
      <c r="F393" s="249" t="n">
        <v>1</v>
      </c>
      <c r="G393" s="249" t="n">
        <v>222300</v>
      </c>
    </row>
    <row r="394" ht="15.75" customHeight="1">
      <c r="A394" s="119" t="n">
        <v>386</v>
      </c>
      <c r="B394" s="119" t="inlineStr">
        <is>
          <t>2026/08/07 13:45</t>
        </is>
      </c>
      <c r="C394" s="119" t="inlineStr">
        <is>
          <t>TĂNG THỊ MIỀN</t>
        </is>
      </c>
      <c r="D394" s="119" t="inlineStr">
        <is>
          <t>01/01/1951</t>
        </is>
      </c>
      <c r="E394" s="119" t="inlineStr">
        <is>
          <t>Giường Ngoại khoa loại 3 - Khoa Chấn thương chỉnh hình</t>
        </is>
      </c>
      <c r="F394" s="249" t="n">
        <v>1</v>
      </c>
      <c r="G394" s="249" t="n">
        <v>269200</v>
      </c>
    </row>
    <row r="395" ht="15.75" customHeight="1">
      <c r="A395" s="119" t="n">
        <v>387</v>
      </c>
      <c r="B395" s="119" t="inlineStr">
        <is>
          <t>2026/08/07 15:37</t>
        </is>
      </c>
      <c r="C395" s="119" t="inlineStr">
        <is>
          <t>TRẦN THỊ MỸ TRỌNG</t>
        </is>
      </c>
      <c r="D395" s="119" t="inlineStr">
        <is>
          <t>26/04/1992</t>
        </is>
      </c>
      <c r="E395" s="119" t="inlineStr">
        <is>
          <t>Giường Nội khoa loại 2 - Khoa Chấn thương chỉnh hình</t>
        </is>
      </c>
      <c r="F395" s="249" t="n">
        <v>1</v>
      </c>
      <c r="G395" s="249" t="n">
        <v>222300</v>
      </c>
    </row>
    <row r="396" ht="15.75" customHeight="1">
      <c r="A396" s="119" t="n">
        <v>388</v>
      </c>
      <c r="B396" s="119" t="inlineStr">
        <is>
          <t>2026/08/07 16:15</t>
        </is>
      </c>
      <c r="C396" s="119" t="inlineStr">
        <is>
          <t>LÊ THỊ DIỆU HIỀN</t>
        </is>
      </c>
      <c r="D396" s="119" t="inlineStr">
        <is>
          <t>13/05/1961</t>
        </is>
      </c>
      <c r="E396" s="119" t="inlineStr">
        <is>
          <t>Giường Nội khoa loại 2 - Khoa Chấn thương chỉnh hình</t>
        </is>
      </c>
      <c r="F396" s="249" t="n">
        <v>1</v>
      </c>
      <c r="G396" s="249" t="n">
        <v>222300</v>
      </c>
    </row>
    <row r="397" ht="15.75" customHeight="1">
      <c r="A397" s="119" t="n">
        <v>389</v>
      </c>
      <c r="B397" s="119" t="inlineStr">
        <is>
          <t>2026/08/07 18:40</t>
        </is>
      </c>
      <c r="C397" s="119" t="inlineStr">
        <is>
          <t>TRƯƠNG TRUNG TRỰC</t>
        </is>
      </c>
      <c r="D397" s="119" t="inlineStr">
        <is>
          <t>01/09/1942</t>
        </is>
      </c>
      <c r="E397" s="119" t="inlineStr">
        <is>
          <t>Giường Nội khoa loại 2 - Khoa Chấn thương chỉnh hình</t>
        </is>
      </c>
      <c r="F397" s="249" t="n">
        <v>1</v>
      </c>
      <c r="G397" s="249" t="n">
        <v>222300</v>
      </c>
    </row>
    <row r="398" ht="15.75" customHeight="1">
      <c r="A398" s="119" t="n">
        <v>390</v>
      </c>
      <c r="B398" s="119" t="inlineStr">
        <is>
          <t>2026/08/07 22:48</t>
        </is>
      </c>
      <c r="C398" s="119" t="inlineStr">
        <is>
          <t>NGUYỄN VĂN KHẢI</t>
        </is>
      </c>
      <c r="D398" s="119" t="inlineStr">
        <is>
          <t>04/11/1951</t>
        </is>
      </c>
      <c r="E398" s="119" t="inlineStr">
        <is>
          <t>Giường Ngoại khoa loại 1 - Khoa Chấn thương chỉnh hình</t>
        </is>
      </c>
      <c r="F398" s="249" t="n">
        <v>1</v>
      </c>
      <c r="G398" s="249" t="n">
        <v>341800</v>
      </c>
    </row>
    <row r="399" ht="15.75" customHeight="1">
      <c r="A399" s="119" t="n">
        <v>391</v>
      </c>
      <c r="B399" s="119" t="inlineStr">
        <is>
          <t>2026/08/08 00:00</t>
        </is>
      </c>
      <c r="C399" s="119" t="inlineStr">
        <is>
          <t>BÙI VĂN TRƯỜNG</t>
        </is>
      </c>
      <c r="D399" s="119" t="inlineStr">
        <is>
          <t>01/01/1972</t>
        </is>
      </c>
      <c r="E399" s="119" t="inlineStr">
        <is>
          <t>Giường Ngoại khoa loại 1 - Khoa Chấn thương chỉnh hình</t>
        </is>
      </c>
      <c r="F399" s="249" t="n">
        <v>1</v>
      </c>
      <c r="G399" s="249" t="n">
        <v>341800</v>
      </c>
    </row>
    <row r="400" ht="15.75" customHeight="1">
      <c r="A400" s="119" t="n">
        <v>392</v>
      </c>
      <c r="B400" s="119" t="inlineStr">
        <is>
          <t>2026/08/08 00:00</t>
        </is>
      </c>
      <c r="C400" s="119" t="inlineStr">
        <is>
          <t>HUỲNH THU HỒNG</t>
        </is>
      </c>
      <c r="D400" s="119" t="inlineStr">
        <is>
          <t>10/12/1957</t>
        </is>
      </c>
      <c r="E400" s="119" t="inlineStr">
        <is>
          <t>Giường Nội khoa loại 2 - Khoa Chấn thương chỉnh hình</t>
        </is>
      </c>
      <c r="F400" s="249" t="n">
        <v>1</v>
      </c>
      <c r="G400" s="249" t="n">
        <v>222300</v>
      </c>
    </row>
    <row r="401" ht="15.75" customHeight="1">
      <c r="A401" s="119" t="n">
        <v>393</v>
      </c>
      <c r="B401" s="119" t="inlineStr">
        <is>
          <t>2026/08/08 00:00</t>
        </is>
      </c>
      <c r="C401" s="119" t="inlineStr">
        <is>
          <t>LA BÍCH LỆ</t>
        </is>
      </c>
      <c r="D401" s="119" t="inlineStr">
        <is>
          <t>01/01/1949</t>
        </is>
      </c>
      <c r="E401" s="119" t="inlineStr">
        <is>
          <t>Giường Ngoại khoa loại 4 - Khoa Chấn thương chỉnh hình</t>
        </is>
      </c>
      <c r="F401" s="249" t="n">
        <v>1</v>
      </c>
      <c r="G401" s="249" t="n">
        <v>229200</v>
      </c>
    </row>
    <row r="402" ht="15.75" customHeight="1">
      <c r="A402" s="119" t="n">
        <v>394</v>
      </c>
      <c r="B402" s="119" t="inlineStr">
        <is>
          <t>2026/08/08 00:00</t>
        </is>
      </c>
      <c r="C402" s="119" t="inlineStr">
        <is>
          <t>LÂM THỊ THÚY</t>
        </is>
      </c>
      <c r="D402" s="119" t="inlineStr">
        <is>
          <t>01/01/1972</t>
        </is>
      </c>
      <c r="E402" s="119" t="inlineStr">
        <is>
          <t>Giường Nội khoa loại 2 - Khoa Chấn thương chỉnh hình</t>
        </is>
      </c>
      <c r="F402" s="249" t="n">
        <v>1</v>
      </c>
      <c r="G402" s="249" t="n">
        <v>222300</v>
      </c>
    </row>
    <row r="403" ht="15.75" customHeight="1">
      <c r="A403" s="119" t="n">
        <v>395</v>
      </c>
      <c r="B403" s="119" t="inlineStr">
        <is>
          <t>2026/08/08 00:00</t>
        </is>
      </c>
      <c r="C403" s="119" t="inlineStr">
        <is>
          <t>NGUYỄN HỮU HIỆP</t>
        </is>
      </c>
      <c r="D403" s="119" t="inlineStr">
        <is>
          <t>01/01/1973</t>
        </is>
      </c>
      <c r="E403" s="119" t="inlineStr">
        <is>
          <t>Giường Nội khoa loại 2 - Khoa Chấn thương chỉnh hình</t>
        </is>
      </c>
      <c r="F403" s="249" t="n">
        <v>1</v>
      </c>
      <c r="G403" s="249" t="n">
        <v>222300</v>
      </c>
    </row>
    <row r="404" ht="15.75" customHeight="1">
      <c r="A404" s="119" t="n">
        <v>396</v>
      </c>
      <c r="B404" s="119" t="inlineStr">
        <is>
          <t>2026/08/08 00:00</t>
        </is>
      </c>
      <c r="C404" s="119" t="inlineStr">
        <is>
          <t>NGUYỄN THANH BÌNH</t>
        </is>
      </c>
      <c r="D404" s="119" t="inlineStr">
        <is>
          <t>20/09/1983</t>
        </is>
      </c>
      <c r="E404" s="119" t="inlineStr">
        <is>
          <t>Giường Nội khoa loại 2 - Khoa Chấn thương chỉnh hình</t>
        </is>
      </c>
      <c r="F404" s="249" t="n">
        <v>1</v>
      </c>
      <c r="G404" s="249" t="n">
        <v>250000</v>
      </c>
    </row>
    <row r="405" ht="15.75" customHeight="1">
      <c r="A405" s="119" t="n">
        <v>397</v>
      </c>
      <c r="B405" s="119" t="inlineStr">
        <is>
          <t>2026/08/08 00:00</t>
        </is>
      </c>
      <c r="C405" s="119" t="inlineStr">
        <is>
          <t>NGUYỄN THỊ HƯƠNG</t>
        </is>
      </c>
      <c r="D405" s="119" t="inlineStr">
        <is>
          <t>02/07/1965</t>
        </is>
      </c>
      <c r="E405" s="119" t="inlineStr">
        <is>
          <t>Giường Ngoại khoa loại 4 - Khoa Chấn thương chỉnh hình</t>
        </is>
      </c>
      <c r="F405" s="249" t="n">
        <v>1</v>
      </c>
      <c r="G405" s="249" t="n">
        <v>229200</v>
      </c>
    </row>
    <row r="406" ht="15.75" customHeight="1">
      <c r="A406" s="119" t="n">
        <v>398</v>
      </c>
      <c r="B406" s="119" t="inlineStr">
        <is>
          <t>2026/08/08 00:00</t>
        </is>
      </c>
      <c r="C406" s="119" t="inlineStr">
        <is>
          <t>NGUYỄN THỊ THÚY HẰNG</t>
        </is>
      </c>
      <c r="D406" s="119" t="inlineStr">
        <is>
          <t>02/07/1980</t>
        </is>
      </c>
      <c r="E406" s="119" t="inlineStr">
        <is>
          <t>Giường Nội khoa loại 2 - Khoa Chấn thương chỉnh hình</t>
        </is>
      </c>
      <c r="F406" s="249" t="n">
        <v>1</v>
      </c>
      <c r="G406" s="249" t="n">
        <v>222300</v>
      </c>
    </row>
    <row r="407" ht="15.75" customHeight="1">
      <c r="A407" s="119" t="n">
        <v>399</v>
      </c>
      <c r="B407" s="119" t="inlineStr">
        <is>
          <t>2026/08/08 00:00</t>
        </is>
      </c>
      <c r="C407" s="119" t="inlineStr">
        <is>
          <t>NGUYỄN THỊ XUÂN LAN</t>
        </is>
      </c>
      <c r="D407" s="119" t="inlineStr">
        <is>
          <t>30/12/1956</t>
        </is>
      </c>
      <c r="E407" s="119" t="inlineStr">
        <is>
          <t>Giường Nội khoa loại 2 - Khoa Chấn thương chỉnh hình</t>
        </is>
      </c>
      <c r="F407" s="249" t="n">
        <v>1</v>
      </c>
      <c r="G407" s="249" t="n">
        <v>222300</v>
      </c>
    </row>
    <row r="408" ht="15.75" customHeight="1">
      <c r="A408" s="119" t="n">
        <v>400</v>
      </c>
      <c r="B408" s="119" t="inlineStr">
        <is>
          <t>2026/08/08 00:00</t>
        </is>
      </c>
      <c r="C408" s="119" t="inlineStr">
        <is>
          <t>PHAN THƯỢNG HẢI</t>
        </is>
      </c>
      <c r="D408" s="119" t="inlineStr">
        <is>
          <t>15/07/1972</t>
        </is>
      </c>
      <c r="E408" s="119" t="inlineStr">
        <is>
          <t>Giường Ngoại khoa loại 1 - Khoa Chấn thương chỉnh hình</t>
        </is>
      </c>
      <c r="F408" s="249" t="n">
        <v>1</v>
      </c>
      <c r="G408" s="249" t="n">
        <v>341800</v>
      </c>
    </row>
    <row r="409" ht="15.75" customHeight="1">
      <c r="A409" s="119" t="n">
        <v>401</v>
      </c>
      <c r="B409" s="119" t="inlineStr">
        <is>
          <t>2026/08/08 00:00</t>
        </is>
      </c>
      <c r="C409" s="119" t="inlineStr">
        <is>
          <t>PHẠM THỊ BẨN</t>
        </is>
      </c>
      <c r="D409" s="119" t="inlineStr">
        <is>
          <t>17/12/1965</t>
        </is>
      </c>
      <c r="E409" s="119" t="inlineStr">
        <is>
          <t>Giường Ngoại khoa loại 2 - Khoa Chấn thương chỉnh hình</t>
        </is>
      </c>
      <c r="F409" s="249" t="n">
        <v>1</v>
      </c>
      <c r="G409" s="249" t="n">
        <v>301600</v>
      </c>
    </row>
    <row r="410" ht="15.75" customHeight="1">
      <c r="A410" s="119" t="n">
        <v>402</v>
      </c>
      <c r="B410" s="119" t="inlineStr">
        <is>
          <t>2026/08/08 00:00</t>
        </is>
      </c>
      <c r="C410" s="119" t="inlineStr">
        <is>
          <t>TRƯƠNG CẨM TÚ</t>
        </is>
      </c>
      <c r="D410" s="119" t="inlineStr">
        <is>
          <t>09/02/1994</t>
        </is>
      </c>
      <c r="E410" s="119" t="inlineStr">
        <is>
          <t>Giường Ngoại khoa loại 1 - Khoa Chấn thương chỉnh hình</t>
        </is>
      </c>
      <c r="F410" s="249" t="n">
        <v>1</v>
      </c>
      <c r="G410" s="249" t="n">
        <v>341800</v>
      </c>
    </row>
    <row r="411" ht="15.75" customHeight="1">
      <c r="A411" s="119" t="n">
        <v>403</v>
      </c>
      <c r="B411" s="119" t="inlineStr">
        <is>
          <t>2026/08/08 00:00</t>
        </is>
      </c>
      <c r="C411" s="119" t="inlineStr">
        <is>
          <t>TRƯƠNG TRUNG TRỰC</t>
        </is>
      </c>
      <c r="D411" s="119" t="inlineStr">
        <is>
          <t>01/09/1942</t>
        </is>
      </c>
      <c r="E411" s="119" t="inlineStr">
        <is>
          <t>Giường Nội khoa loại 2 - Khoa Chấn thương chỉnh hình</t>
        </is>
      </c>
      <c r="F411" s="249" t="n">
        <v>1</v>
      </c>
      <c r="G411" s="249" t="n">
        <v>222300</v>
      </c>
    </row>
    <row r="412" ht="15.75" customHeight="1">
      <c r="A412" s="119" t="n">
        <v>404</v>
      </c>
      <c r="B412" s="119" t="inlineStr">
        <is>
          <t>2026/08/08 00:00</t>
        </is>
      </c>
      <c r="C412" s="119" t="inlineStr">
        <is>
          <t>TRƯƠNG VĂN ÚT</t>
        </is>
      </c>
      <c r="D412" s="119" t="inlineStr">
        <is>
          <t>01/01/1948</t>
        </is>
      </c>
      <c r="E412" s="119" t="inlineStr">
        <is>
          <t>Giường Nội khoa loại 2 - Khoa Chấn thương chỉnh hình</t>
        </is>
      </c>
      <c r="F412" s="249" t="n">
        <v>1</v>
      </c>
      <c r="G412" s="249" t="n">
        <v>222300</v>
      </c>
    </row>
    <row r="413" ht="15.75" customHeight="1">
      <c r="A413" s="119" t="n">
        <v>405</v>
      </c>
      <c r="B413" s="119" t="inlineStr">
        <is>
          <t>2026/08/08 00:00</t>
        </is>
      </c>
      <c r="C413" s="119" t="inlineStr">
        <is>
          <t>TRẦN MINH TƯỞNG</t>
        </is>
      </c>
      <c r="D413" s="119" t="inlineStr">
        <is>
          <t>29/11/2002</t>
        </is>
      </c>
      <c r="E413" s="119" t="inlineStr">
        <is>
          <t>Giường Ngoại khoa loại 2 - Khoa Chấn thương chỉnh hình</t>
        </is>
      </c>
      <c r="F413" s="249" t="n">
        <v>1</v>
      </c>
      <c r="G413" s="249" t="n">
        <v>301600</v>
      </c>
    </row>
    <row r="414" ht="15.75" customHeight="1">
      <c r="A414" s="119" t="n">
        <v>406</v>
      </c>
      <c r="B414" s="119" t="inlineStr">
        <is>
          <t>2026/08/08 00:00</t>
        </is>
      </c>
      <c r="C414" s="119" t="inlineStr">
        <is>
          <t>TRẦN THỊ MỸ TRỌNG</t>
        </is>
      </c>
      <c r="D414" s="119" t="inlineStr">
        <is>
          <t>26/04/1992</t>
        </is>
      </c>
      <c r="E414" s="119" t="inlineStr">
        <is>
          <t>Giường Nội khoa loại 2 - Khoa Chấn thương chỉnh hình</t>
        </is>
      </c>
      <c r="F414" s="249" t="n">
        <v>1</v>
      </c>
      <c r="G414" s="249" t="n">
        <v>222300</v>
      </c>
    </row>
    <row r="415" ht="15.75" customHeight="1">
      <c r="A415" s="119" t="n">
        <v>407</v>
      </c>
      <c r="B415" s="119" t="inlineStr">
        <is>
          <t>2026/08/08 00:00</t>
        </is>
      </c>
      <c r="C415" s="119" t="inlineStr">
        <is>
          <t>ĐOÀN THỊ NGUYÊN</t>
        </is>
      </c>
      <c r="D415" s="119" t="inlineStr">
        <is>
          <t>01/01/1936</t>
        </is>
      </c>
      <c r="E415" s="119" t="inlineStr">
        <is>
          <t>Giường Nội khoa loại 2 - Khoa Chấn thương chỉnh hình</t>
        </is>
      </c>
      <c r="F415" s="249" t="n">
        <v>1</v>
      </c>
      <c r="G415" s="249" t="n">
        <v>222300</v>
      </c>
    </row>
    <row r="416" ht="15.75" customHeight="1">
      <c r="A416" s="119" t="n">
        <v>408</v>
      </c>
      <c r="B416" s="119" t="inlineStr">
        <is>
          <t>2026/08/08 00:00</t>
        </is>
      </c>
      <c r="C416" s="119" t="inlineStr">
        <is>
          <t>LÊ THỊ ỬNG</t>
        </is>
      </c>
      <c r="D416" s="119" t="inlineStr">
        <is>
          <t>02/09/1953</t>
        </is>
      </c>
      <c r="E416" s="119" t="inlineStr">
        <is>
          <t>Giường Ngoại khoa loại 1 - Khoa Chấn thương chỉnh hình</t>
        </is>
      </c>
      <c r="F416" s="249" t="n">
        <v>1</v>
      </c>
      <c r="G416" s="249" t="n">
        <v>341800</v>
      </c>
    </row>
    <row r="417" ht="15.75" customHeight="1">
      <c r="A417" s="119" t="n">
        <v>409</v>
      </c>
      <c r="B417" s="119" t="inlineStr">
        <is>
          <t>2026/08/08 00:00</t>
        </is>
      </c>
      <c r="C417" s="119" t="inlineStr">
        <is>
          <t>NGUYỄN VĂN HƯỞNG</t>
        </is>
      </c>
      <c r="D417" s="119" t="inlineStr">
        <is>
          <t>11/12/1992</t>
        </is>
      </c>
      <c r="E417" s="119" t="inlineStr">
        <is>
          <t>Giường Ngoại khoa loại 2 - Khoa Chấn thương chỉnh hình</t>
        </is>
      </c>
      <c r="F417" s="249" t="n">
        <v>1</v>
      </c>
      <c r="G417" s="249" t="n">
        <v>301600</v>
      </c>
    </row>
    <row r="418" ht="15.75" customHeight="1">
      <c r="A418" s="119" t="n">
        <v>410</v>
      </c>
      <c r="B418" s="119" t="inlineStr">
        <is>
          <t>2026/08/08 00:00</t>
        </is>
      </c>
      <c r="C418" s="119" t="inlineStr">
        <is>
          <t>NGUYỄN XUÂN ĐÀO</t>
        </is>
      </c>
      <c r="D418" s="119" t="inlineStr">
        <is>
          <t>20/11/1975</t>
        </is>
      </c>
      <c r="E418" s="119" t="inlineStr">
        <is>
          <t>Giường Nội khoa loại 2 - Khoa Chấn thương chỉnh hình</t>
        </is>
      </c>
      <c r="F418" s="249" t="n">
        <v>1</v>
      </c>
      <c r="G418" s="249" t="n">
        <v>222300</v>
      </c>
    </row>
    <row r="419" ht="15.75" customHeight="1">
      <c r="A419" s="119" t="n">
        <v>411</v>
      </c>
      <c r="B419" s="119" t="inlineStr">
        <is>
          <t>2026/08/08 00:00</t>
        </is>
      </c>
      <c r="C419" s="119" t="inlineStr">
        <is>
          <t>TRẦN THỊ KÍNH</t>
        </is>
      </c>
      <c r="D419" s="119" t="inlineStr">
        <is>
          <t>01/01/1951</t>
        </is>
      </c>
      <c r="E419" s="119" t="inlineStr">
        <is>
          <t>Giường Ngoại khoa loại 3 - Khoa Chấn thương chỉnh hình</t>
        </is>
      </c>
      <c r="F419" s="249" t="n">
        <v>1</v>
      </c>
      <c r="G419" s="249" t="n">
        <v>269200</v>
      </c>
    </row>
    <row r="420" ht="15.75" customHeight="1">
      <c r="A420" s="119" t="n">
        <v>412</v>
      </c>
      <c r="B420" s="119" t="inlineStr">
        <is>
          <t>2026/08/08 00:00</t>
        </is>
      </c>
      <c r="C420" s="119" t="inlineStr">
        <is>
          <t>TĂNG THỊ MIỀN</t>
        </is>
      </c>
      <c r="D420" s="119" t="inlineStr">
        <is>
          <t>01/01/1951</t>
        </is>
      </c>
      <c r="E420" s="119" t="inlineStr">
        <is>
          <t>Giường Ngoại khoa loại 3 - Khoa Chấn thương chỉnh hình</t>
        </is>
      </c>
      <c r="F420" s="249" t="n">
        <v>1</v>
      </c>
      <c r="G420" s="249" t="n">
        <v>269200</v>
      </c>
    </row>
    <row r="421" ht="15.75" customHeight="1">
      <c r="A421" s="119" t="n">
        <v>413</v>
      </c>
      <c r="B421" s="119" t="inlineStr">
        <is>
          <t>2026/08/08 00:00</t>
        </is>
      </c>
      <c r="C421" s="119" t="inlineStr">
        <is>
          <t>ĐẶNG THANH PHONG</t>
        </is>
      </c>
      <c r="D421" s="119" t="inlineStr">
        <is>
          <t>01/01/1976</t>
        </is>
      </c>
      <c r="E421" s="119" t="inlineStr">
        <is>
          <t>Giường Ngoại khoa loại 1 - Khoa Chấn thương chỉnh hình</t>
        </is>
      </c>
      <c r="F421" s="249" t="n">
        <v>1</v>
      </c>
      <c r="G421" s="249" t="n">
        <v>341800</v>
      </c>
    </row>
    <row r="422" ht="15.75" customHeight="1">
      <c r="A422" s="119" t="n">
        <v>414</v>
      </c>
      <c r="B422" s="119" t="inlineStr">
        <is>
          <t>2026/08/08 11:26</t>
        </is>
      </c>
      <c r="C422" s="119" t="inlineStr">
        <is>
          <t>PHAN HỮU HƯNG</t>
        </is>
      </c>
      <c r="D422" s="119" t="inlineStr">
        <is>
          <t>19/02/1983</t>
        </is>
      </c>
      <c r="E422" s="119" t="inlineStr">
        <is>
          <t>Giường Nội khoa loại 2 - Khoa Chấn thương chỉnh hình</t>
        </is>
      </c>
      <c r="F422" s="249" t="n">
        <v>1</v>
      </c>
      <c r="G422" s="249" t="n">
        <v>600000</v>
      </c>
    </row>
    <row r="423" ht="15.75" customHeight="1">
      <c r="A423" s="119" t="n">
        <v>415</v>
      </c>
      <c r="B423" s="119" t="inlineStr">
        <is>
          <t>2026/08/08 11:27</t>
        </is>
      </c>
      <c r="C423" s="119" t="inlineStr">
        <is>
          <t>PHAN HỮU HƯNG</t>
        </is>
      </c>
      <c r="D423" s="119" t="inlineStr">
        <is>
          <t>19/02/1983</t>
        </is>
      </c>
      <c r="E423" s="119" t="inlineStr">
        <is>
          <t>Giường Nội khoa loại 2 - Khoa Chấn thương chỉnh hình</t>
        </is>
      </c>
      <c r="F423" s="249" t="n">
        <v>1</v>
      </c>
      <c r="G423" s="249" t="n">
        <v>222300</v>
      </c>
    </row>
    <row r="424" ht="15.75" customHeight="1">
      <c r="A424" s="119" t="n">
        <v>416</v>
      </c>
      <c r="B424" s="119" t="inlineStr">
        <is>
          <t>2026/08/08 16:05</t>
        </is>
      </c>
      <c r="C424" s="119" t="inlineStr">
        <is>
          <t>HUỲNH GIA TIẾN</t>
        </is>
      </c>
      <c r="D424" s="119" t="inlineStr">
        <is>
          <t>09/07/1988</t>
        </is>
      </c>
      <c r="E424" s="119" t="inlineStr">
        <is>
          <t>Giường Nội khoa loại 2 - Khoa Chấn thương chỉnh hình</t>
        </is>
      </c>
      <c r="F424" s="249" t="n">
        <v>1</v>
      </c>
      <c r="G424" s="249" t="n">
        <v>222300</v>
      </c>
    </row>
    <row r="425" ht="15.75" customHeight="1">
      <c r="A425" s="119" t="n">
        <v>417</v>
      </c>
      <c r="B425" s="119" t="inlineStr">
        <is>
          <t>2026/08/08 16:15</t>
        </is>
      </c>
      <c r="C425" s="119" t="inlineStr">
        <is>
          <t>LÊ THỊ DIỆU HIỀN</t>
        </is>
      </c>
      <c r="D425" s="119" t="inlineStr">
        <is>
          <t>13/05/1961</t>
        </is>
      </c>
      <c r="E425" s="119" t="inlineStr">
        <is>
          <t>Giường Nội khoa loại 2 - Khoa Chấn thương chỉnh hình</t>
        </is>
      </c>
      <c r="F425" s="249" t="n">
        <v>1</v>
      </c>
      <c r="G425" s="249" t="n">
        <v>222300</v>
      </c>
    </row>
    <row r="426" ht="15.75" customHeight="1">
      <c r="A426" s="119" t="n">
        <v>418</v>
      </c>
      <c r="B426" s="119" t="inlineStr">
        <is>
          <t>2026/08/08 22:48</t>
        </is>
      </c>
      <c r="C426" s="119" t="inlineStr">
        <is>
          <t>NGUYỄN VĂN KHẢI</t>
        </is>
      </c>
      <c r="D426" s="119" t="inlineStr">
        <is>
          <t>04/11/1951</t>
        </is>
      </c>
      <c r="E426" s="119" t="inlineStr">
        <is>
          <t>Giường Ngoại khoa loại 1 - Khoa Chấn thương chỉnh hình</t>
        </is>
      </c>
      <c r="F426" s="249" t="n">
        <v>1</v>
      </c>
      <c r="G426" s="249" t="n">
        <v>341800</v>
      </c>
    </row>
    <row r="427" ht="15.75" customHeight="1">
      <c r="A427" s="119" t="n">
        <v>419</v>
      </c>
      <c r="B427" s="119" t="inlineStr">
        <is>
          <t>2026/08/09 00:00</t>
        </is>
      </c>
      <c r="C427" s="119" t="inlineStr">
        <is>
          <t>BÙI VĂN TRƯỜNG</t>
        </is>
      </c>
      <c r="D427" s="119" t="inlineStr">
        <is>
          <t>01/01/1972</t>
        </is>
      </c>
      <c r="E427" s="119" t="inlineStr">
        <is>
          <t>Giường Ngoại khoa loại 1 - Khoa Chấn thương chỉnh hình</t>
        </is>
      </c>
      <c r="F427" s="249" t="n">
        <v>1</v>
      </c>
      <c r="G427" s="249" t="n">
        <v>341800</v>
      </c>
    </row>
    <row r="428" ht="15.75" customHeight="1">
      <c r="A428" s="119" t="n">
        <v>420</v>
      </c>
      <c r="B428" s="119" t="inlineStr">
        <is>
          <t>2026/08/09 00:00</t>
        </is>
      </c>
      <c r="C428" s="119" t="inlineStr">
        <is>
          <t>HUỲNH THU HỒNG</t>
        </is>
      </c>
      <c r="D428" s="119" t="inlineStr">
        <is>
          <t>10/12/1957</t>
        </is>
      </c>
      <c r="E428" s="119" t="inlineStr">
        <is>
          <t>Giường Nội khoa loại 2 - Khoa Chấn thương chỉnh hình</t>
        </is>
      </c>
      <c r="F428" s="249" t="n">
        <v>1</v>
      </c>
      <c r="G428" s="249" t="n">
        <v>222300</v>
      </c>
    </row>
    <row r="429" ht="15.75" customHeight="1">
      <c r="A429" s="119" t="n">
        <v>421</v>
      </c>
      <c r="B429" s="119" t="inlineStr">
        <is>
          <t>2026/08/09 00:00</t>
        </is>
      </c>
      <c r="C429" s="119" t="inlineStr">
        <is>
          <t>LA BÍCH LỆ</t>
        </is>
      </c>
      <c r="D429" s="119" t="inlineStr">
        <is>
          <t>01/01/1949</t>
        </is>
      </c>
      <c r="E429" s="119" t="inlineStr">
        <is>
          <t>Giường Ngoại khoa loại 4 - Khoa Chấn thương chỉnh hình</t>
        </is>
      </c>
      <c r="F429" s="249" t="n">
        <v>1</v>
      </c>
      <c r="G429" s="249" t="n">
        <v>229200</v>
      </c>
    </row>
    <row r="430" ht="15.75" customHeight="1">
      <c r="A430" s="119" t="n">
        <v>422</v>
      </c>
      <c r="B430" s="119" t="inlineStr">
        <is>
          <t>2026/08/09 00:00</t>
        </is>
      </c>
      <c r="C430" s="119" t="inlineStr">
        <is>
          <t>LÂM THỊ THÚY</t>
        </is>
      </c>
      <c r="D430" s="119" t="inlineStr">
        <is>
          <t>01/01/1972</t>
        </is>
      </c>
      <c r="E430" s="119" t="inlineStr">
        <is>
          <t>Giường Nội khoa loại 2 - Khoa Chấn thương chỉnh hình</t>
        </is>
      </c>
      <c r="F430" s="249" t="n">
        <v>1</v>
      </c>
      <c r="G430" s="249" t="n">
        <v>222300</v>
      </c>
    </row>
    <row r="431" ht="15.75" customHeight="1">
      <c r="A431" s="119" t="n">
        <v>423</v>
      </c>
      <c r="B431" s="119" t="inlineStr">
        <is>
          <t>2026/08/09 00:00</t>
        </is>
      </c>
      <c r="C431" s="119" t="inlineStr">
        <is>
          <t>NGUYỄN HỮU HIỆP</t>
        </is>
      </c>
      <c r="D431" s="119" t="inlineStr">
        <is>
          <t>01/01/1973</t>
        </is>
      </c>
      <c r="E431" s="119" t="inlineStr">
        <is>
          <t>Giường Nội khoa loại 2 - Khoa Chấn thương chỉnh hình</t>
        </is>
      </c>
      <c r="F431" s="249" t="n">
        <v>1</v>
      </c>
      <c r="G431" s="249" t="n">
        <v>222300</v>
      </c>
    </row>
    <row r="432" ht="15.75" customHeight="1">
      <c r="A432" s="119" t="n">
        <v>424</v>
      </c>
      <c r="B432" s="119" t="inlineStr">
        <is>
          <t>2026/08/09 00:00</t>
        </is>
      </c>
      <c r="C432" s="119" t="inlineStr">
        <is>
          <t>NGUYỄN THANH BÌNH</t>
        </is>
      </c>
      <c r="D432" s="119" t="inlineStr">
        <is>
          <t>20/09/1983</t>
        </is>
      </c>
      <c r="E432" s="119" t="inlineStr">
        <is>
          <t>Giường Nội khoa loại 2 - Khoa Chấn thương chỉnh hình</t>
        </is>
      </c>
      <c r="F432" s="249" t="n">
        <v>1</v>
      </c>
      <c r="G432" s="249" t="n">
        <v>250000</v>
      </c>
    </row>
    <row r="433" ht="15.75" customHeight="1">
      <c r="A433" s="119" t="n">
        <v>425</v>
      </c>
      <c r="B433" s="119" t="inlineStr">
        <is>
          <t>2026/08/09 00:00</t>
        </is>
      </c>
      <c r="C433" s="119" t="inlineStr">
        <is>
          <t>NGUYỄN THỊ HƯƠNG</t>
        </is>
      </c>
      <c r="D433" s="119" t="inlineStr">
        <is>
          <t>02/07/1965</t>
        </is>
      </c>
      <c r="E433" s="119" t="inlineStr">
        <is>
          <t>Giường Ngoại khoa loại 4 - Khoa Chấn thương chỉnh hình</t>
        </is>
      </c>
      <c r="F433" s="249" t="n">
        <v>1</v>
      </c>
      <c r="G433" s="249" t="n">
        <v>229200</v>
      </c>
    </row>
    <row r="434" ht="15.75" customHeight="1">
      <c r="A434" s="119" t="n">
        <v>426</v>
      </c>
      <c r="B434" s="119" t="inlineStr">
        <is>
          <t>2026/08/09 00:00</t>
        </is>
      </c>
      <c r="C434" s="119" t="inlineStr">
        <is>
          <t>NGUYỄN THỊ THÚY HẰNG</t>
        </is>
      </c>
      <c r="D434" s="119" t="inlineStr">
        <is>
          <t>02/07/1980</t>
        </is>
      </c>
      <c r="E434" s="119" t="inlineStr">
        <is>
          <t>Giường Nội khoa loại 2 - Khoa Chấn thương chỉnh hình</t>
        </is>
      </c>
      <c r="F434" s="249" t="n">
        <v>1</v>
      </c>
      <c r="G434" s="249" t="n">
        <v>222300</v>
      </c>
    </row>
    <row r="435" ht="15.75" customHeight="1">
      <c r="A435" s="119" t="n">
        <v>427</v>
      </c>
      <c r="B435" s="119" t="inlineStr">
        <is>
          <t>2026/08/09 00:00</t>
        </is>
      </c>
      <c r="C435" s="119" t="inlineStr">
        <is>
          <t>NGUYỄN THỊ XUÂN LAN</t>
        </is>
      </c>
      <c r="D435" s="119" t="inlineStr">
        <is>
          <t>30/12/1956</t>
        </is>
      </c>
      <c r="E435" s="119" t="inlineStr">
        <is>
          <t>Giường Nội khoa loại 2 - Khoa Chấn thương chỉnh hình</t>
        </is>
      </c>
      <c r="F435" s="249" t="n">
        <v>1</v>
      </c>
      <c r="G435" s="249" t="n">
        <v>222300</v>
      </c>
    </row>
    <row r="436" ht="15.75" customHeight="1">
      <c r="A436" s="119" t="n">
        <v>428</v>
      </c>
      <c r="B436" s="119" t="inlineStr">
        <is>
          <t>2026/08/09 00:00</t>
        </is>
      </c>
      <c r="C436" s="119" t="inlineStr">
        <is>
          <t>PHAN THƯỢNG HẢI</t>
        </is>
      </c>
      <c r="D436" s="119" t="inlineStr">
        <is>
          <t>15/07/1972</t>
        </is>
      </c>
      <c r="E436" s="119" t="inlineStr">
        <is>
          <t>Giường Ngoại khoa loại 1 - Khoa Chấn thương chỉnh hình</t>
        </is>
      </c>
      <c r="F436" s="249" t="n">
        <v>1</v>
      </c>
      <c r="G436" s="249" t="n">
        <v>341800</v>
      </c>
    </row>
    <row r="437" ht="15.75" customHeight="1">
      <c r="A437" s="119" t="n">
        <v>429</v>
      </c>
      <c r="B437" s="119" t="inlineStr">
        <is>
          <t>2026/08/09 00:00</t>
        </is>
      </c>
      <c r="C437" s="119" t="inlineStr">
        <is>
          <t>PHẠM THỊ BẨN</t>
        </is>
      </c>
      <c r="D437" s="119" t="inlineStr">
        <is>
          <t>17/12/1965</t>
        </is>
      </c>
      <c r="E437" s="119" t="inlineStr">
        <is>
          <t>Giường Ngoại khoa loại 2 - Khoa Chấn thương chỉnh hình</t>
        </is>
      </c>
      <c r="F437" s="249" t="n">
        <v>1</v>
      </c>
      <c r="G437" s="249" t="n">
        <v>301600</v>
      </c>
    </row>
    <row r="438" ht="15.75" customHeight="1">
      <c r="A438" s="119" t="n">
        <v>430</v>
      </c>
      <c r="B438" s="119" t="inlineStr">
        <is>
          <t>2026/08/09 00:00</t>
        </is>
      </c>
      <c r="C438" s="119" t="inlineStr">
        <is>
          <t>TRƯƠNG CẨM TÚ</t>
        </is>
      </c>
      <c r="D438" s="119" t="inlineStr">
        <is>
          <t>09/02/1994</t>
        </is>
      </c>
      <c r="E438" s="119" t="inlineStr">
        <is>
          <t>Giường Ngoại khoa loại 1 - Khoa Chấn thương chỉnh hình</t>
        </is>
      </c>
      <c r="F438" s="249" t="n">
        <v>1</v>
      </c>
      <c r="G438" s="249" t="n">
        <v>341800</v>
      </c>
    </row>
    <row r="439" ht="15.75" customHeight="1">
      <c r="A439" s="119" t="n">
        <v>431</v>
      </c>
      <c r="B439" s="119" t="inlineStr">
        <is>
          <t>2026/08/09 00:00</t>
        </is>
      </c>
      <c r="C439" s="119" t="inlineStr">
        <is>
          <t>TRƯƠNG TRUNG TRỰC</t>
        </is>
      </c>
      <c r="D439" s="119" t="inlineStr">
        <is>
          <t>01/09/1942</t>
        </is>
      </c>
      <c r="E439" s="119" t="inlineStr">
        <is>
          <t>Giường Nội khoa loại 2 - Khoa Chấn thương chỉnh hình</t>
        </is>
      </c>
      <c r="F439" s="249" t="n">
        <v>1</v>
      </c>
      <c r="G439" s="249" t="n">
        <v>222300</v>
      </c>
    </row>
    <row r="440" ht="15.75" customHeight="1">
      <c r="A440" s="119" t="n">
        <v>432</v>
      </c>
      <c r="B440" s="119" t="inlineStr">
        <is>
          <t>2026/08/09 00:00</t>
        </is>
      </c>
      <c r="C440" s="119" t="inlineStr">
        <is>
          <t>TRƯƠNG VĂN ÚT</t>
        </is>
      </c>
      <c r="D440" s="119" t="inlineStr">
        <is>
          <t>01/01/1948</t>
        </is>
      </c>
      <c r="E440" s="119" t="inlineStr">
        <is>
          <t>Giường Nội khoa loại 2 - Khoa Chấn thương chỉnh hình</t>
        </is>
      </c>
      <c r="F440" s="249" t="n">
        <v>1</v>
      </c>
      <c r="G440" s="249" t="n">
        <v>222300</v>
      </c>
    </row>
    <row r="441" ht="15.75" customHeight="1">
      <c r="A441" s="119" t="n">
        <v>433</v>
      </c>
      <c r="B441" s="119" t="inlineStr">
        <is>
          <t>2026/08/09 00:00</t>
        </is>
      </c>
      <c r="C441" s="119" t="inlineStr">
        <is>
          <t>TRẦN MINH TƯỞNG</t>
        </is>
      </c>
      <c r="D441" s="119" t="inlineStr">
        <is>
          <t>29/11/2002</t>
        </is>
      </c>
      <c r="E441" s="119" t="inlineStr">
        <is>
          <t>Giường Ngoại khoa loại 2 - Khoa Chấn thương chỉnh hình</t>
        </is>
      </c>
      <c r="F441" s="249" t="n">
        <v>1</v>
      </c>
      <c r="G441" s="249" t="n">
        <v>301600</v>
      </c>
    </row>
    <row r="442" ht="15.75" customHeight="1">
      <c r="A442" s="119" t="n">
        <v>434</v>
      </c>
      <c r="B442" s="119" t="inlineStr">
        <is>
          <t>2026/08/09 00:00</t>
        </is>
      </c>
      <c r="C442" s="119" t="inlineStr">
        <is>
          <t>TRẦN THỊ MỸ TRỌNG</t>
        </is>
      </c>
      <c r="D442" s="119" t="inlineStr">
        <is>
          <t>26/04/1992</t>
        </is>
      </c>
      <c r="E442" s="119" t="inlineStr">
        <is>
          <t>Giường Nội khoa loại 2 - Khoa Chấn thương chỉnh hình</t>
        </is>
      </c>
      <c r="F442" s="249" t="n">
        <v>1</v>
      </c>
      <c r="G442" s="249" t="n">
        <v>222300</v>
      </c>
    </row>
    <row r="443" ht="15.75" customHeight="1">
      <c r="A443" s="119" t="n">
        <v>435</v>
      </c>
      <c r="B443" s="119" t="inlineStr">
        <is>
          <t>2026/08/09 00:00</t>
        </is>
      </c>
      <c r="C443" s="119" t="inlineStr">
        <is>
          <t>ĐOÀN THỊ NGUYÊN</t>
        </is>
      </c>
      <c r="D443" s="119" t="inlineStr">
        <is>
          <t>01/01/1936</t>
        </is>
      </c>
      <c r="E443" s="119" t="inlineStr">
        <is>
          <t>Giường Nội khoa loại 2 - Khoa Chấn thương chỉnh hình</t>
        </is>
      </c>
      <c r="F443" s="249" t="n">
        <v>1</v>
      </c>
      <c r="G443" s="249" t="n">
        <v>222300</v>
      </c>
    </row>
    <row r="444" ht="15.75" customHeight="1">
      <c r="A444" s="119" t="n">
        <v>436</v>
      </c>
      <c r="B444" s="119" t="inlineStr">
        <is>
          <t>2026/08/09 00:00</t>
        </is>
      </c>
      <c r="C444" s="119" t="inlineStr">
        <is>
          <t>LÊ THỊ ỬNG</t>
        </is>
      </c>
      <c r="D444" s="119" t="inlineStr">
        <is>
          <t>02/09/1953</t>
        </is>
      </c>
      <c r="E444" s="119" t="inlineStr">
        <is>
          <t>Giường Ngoại khoa loại 1 - Khoa Chấn thương chỉnh hình</t>
        </is>
      </c>
      <c r="F444" s="249" t="n">
        <v>1</v>
      </c>
      <c r="G444" s="249" t="n">
        <v>341800</v>
      </c>
    </row>
    <row r="445" ht="15.75" customHeight="1">
      <c r="A445" s="119" t="n">
        <v>437</v>
      </c>
      <c r="B445" s="119" t="inlineStr">
        <is>
          <t>2026/08/09 00:00</t>
        </is>
      </c>
      <c r="C445" s="119" t="inlineStr">
        <is>
          <t>NGUYỄN VĂN HƯỞNG</t>
        </is>
      </c>
      <c r="D445" s="119" t="inlineStr">
        <is>
          <t>11/12/1992</t>
        </is>
      </c>
      <c r="E445" s="119" t="inlineStr">
        <is>
          <t>Giường Ngoại khoa loại 2 - Khoa Chấn thương chỉnh hình</t>
        </is>
      </c>
      <c r="F445" s="249" t="n">
        <v>1</v>
      </c>
      <c r="G445" s="249" t="n">
        <v>301600</v>
      </c>
    </row>
    <row r="446" ht="15.75" customHeight="1">
      <c r="A446" s="119" t="n">
        <v>438</v>
      </c>
      <c r="B446" s="119" t="inlineStr">
        <is>
          <t>2026/08/09 00:00</t>
        </is>
      </c>
      <c r="C446" s="119" t="inlineStr">
        <is>
          <t>NGUYỄN XUÂN ĐÀO</t>
        </is>
      </c>
      <c r="D446" s="119" t="inlineStr">
        <is>
          <t>20/11/1975</t>
        </is>
      </c>
      <c r="E446" s="119" t="inlineStr">
        <is>
          <t>Giường Nội khoa loại 2 - Khoa Chấn thương chỉnh hình</t>
        </is>
      </c>
      <c r="F446" s="249" t="n">
        <v>1</v>
      </c>
      <c r="G446" s="249" t="n">
        <v>222300</v>
      </c>
    </row>
    <row r="447" ht="15.75" customHeight="1">
      <c r="A447" s="119" t="n">
        <v>439</v>
      </c>
      <c r="B447" s="119" t="inlineStr">
        <is>
          <t>2026/08/09 00:00</t>
        </is>
      </c>
      <c r="C447" s="119" t="inlineStr">
        <is>
          <t>TRẦN THỊ KÍNH</t>
        </is>
      </c>
      <c r="D447" s="119" t="inlineStr">
        <is>
          <t>01/01/1951</t>
        </is>
      </c>
      <c r="E447" s="119" t="inlineStr">
        <is>
          <t>Giường Ngoại khoa loại 3 - Khoa Chấn thương chỉnh hình</t>
        </is>
      </c>
      <c r="F447" s="249" t="n">
        <v>1</v>
      </c>
      <c r="G447" s="249" t="n">
        <v>269200</v>
      </c>
    </row>
    <row r="448" ht="15.75" customHeight="1">
      <c r="A448" s="119" t="n">
        <v>440</v>
      </c>
      <c r="B448" s="119" t="inlineStr">
        <is>
          <t>2026/08/09 00:00</t>
        </is>
      </c>
      <c r="C448" s="119" t="inlineStr">
        <is>
          <t>TĂNG THỊ MIỀN</t>
        </is>
      </c>
      <c r="D448" s="119" t="inlineStr">
        <is>
          <t>01/01/1951</t>
        </is>
      </c>
      <c r="E448" s="119" t="inlineStr">
        <is>
          <t>Giường Ngoại khoa loại 3 - Khoa Chấn thương chỉnh hình</t>
        </is>
      </c>
      <c r="F448" s="249" t="n">
        <v>1</v>
      </c>
      <c r="G448" s="249" t="n">
        <v>269200</v>
      </c>
    </row>
    <row r="449" ht="15.75" customHeight="1">
      <c r="A449" s="119" t="n">
        <v>441</v>
      </c>
      <c r="B449" s="119" t="inlineStr">
        <is>
          <t>2026/08/09 00:00</t>
        </is>
      </c>
      <c r="C449" s="119" t="inlineStr">
        <is>
          <t>ĐẶNG THANH PHONG</t>
        </is>
      </c>
      <c r="D449" s="119" t="inlineStr">
        <is>
          <t>01/01/1976</t>
        </is>
      </c>
      <c r="E449" s="119" t="inlineStr">
        <is>
          <t>Giường Ngoại khoa loại 1 - Khoa Chấn thương chỉnh hình</t>
        </is>
      </c>
      <c r="F449" s="249" t="n">
        <v>1</v>
      </c>
      <c r="G449" s="249" t="n">
        <v>341800</v>
      </c>
    </row>
    <row r="450" ht="15.75" customHeight="1">
      <c r="A450" s="119" t="n">
        <v>442</v>
      </c>
      <c r="B450" s="119" t="inlineStr">
        <is>
          <t>2026/08/09 11:26</t>
        </is>
      </c>
      <c r="C450" s="119" t="inlineStr">
        <is>
          <t>PHAN HỮU HƯNG</t>
        </is>
      </c>
      <c r="D450" s="119" t="inlineStr">
        <is>
          <t>19/02/1983</t>
        </is>
      </c>
      <c r="E450" s="119" t="inlineStr">
        <is>
          <t>Giường Nội khoa loại 2 - Khoa Chấn thương chỉnh hình</t>
        </is>
      </c>
      <c r="F450" s="249" t="n">
        <v>1</v>
      </c>
      <c r="G450" s="249" t="n">
        <v>600000</v>
      </c>
    </row>
    <row r="451" ht="15.75" customHeight="1">
      <c r="A451" s="119" t="n">
        <v>443</v>
      </c>
      <c r="B451" s="119" t="inlineStr">
        <is>
          <t>2026/08/09 11:27</t>
        </is>
      </c>
      <c r="C451" s="119" t="inlineStr">
        <is>
          <t>PHAN HỮU HƯNG</t>
        </is>
      </c>
      <c r="D451" s="119" t="inlineStr">
        <is>
          <t>19/02/1983</t>
        </is>
      </c>
      <c r="E451" s="119" t="inlineStr">
        <is>
          <t>Giường Nội khoa loại 2 - Khoa Chấn thương chỉnh hình</t>
        </is>
      </c>
      <c r="F451" s="249" t="n">
        <v>1</v>
      </c>
      <c r="G451" s="249" t="n">
        <v>222300</v>
      </c>
    </row>
    <row r="452" ht="15.75" customHeight="1">
      <c r="A452" s="119" t="n">
        <v>444</v>
      </c>
      <c r="B452" s="119" t="inlineStr">
        <is>
          <t>2026/08/09 15:19</t>
        </is>
      </c>
      <c r="C452" s="119" t="inlineStr">
        <is>
          <t>ĐẶNG ĐÌNH BẰNG</t>
        </is>
      </c>
      <c r="D452" s="119" t="inlineStr">
        <is>
          <t>25/08/1985</t>
        </is>
      </c>
      <c r="E452" s="119" t="inlineStr">
        <is>
          <t>Giường Nội khoa loại 2 - Khoa Chấn thương chỉnh hình</t>
        </is>
      </c>
      <c r="F452" s="249" t="n">
        <v>1</v>
      </c>
      <c r="G452" s="249" t="n">
        <v>222300</v>
      </c>
    </row>
    <row r="453" ht="15.75" customHeight="1">
      <c r="A453" s="119" t="n">
        <v>445</v>
      </c>
      <c r="B453" s="119" t="inlineStr">
        <is>
          <t>2026/08/09 16:15</t>
        </is>
      </c>
      <c r="C453" s="119" t="inlineStr">
        <is>
          <t>LÊ THỊ DIỆU HIỀN</t>
        </is>
      </c>
      <c r="D453" s="119" t="inlineStr">
        <is>
          <t>13/05/1961</t>
        </is>
      </c>
      <c r="E453" s="119" t="inlineStr">
        <is>
          <t>Giường Nội khoa loại 2 - Khoa Chấn thương chỉnh hình</t>
        </is>
      </c>
      <c r="F453" s="249" t="n">
        <v>1</v>
      </c>
      <c r="G453" s="249" t="n">
        <v>222300</v>
      </c>
    </row>
    <row r="454" ht="15.75" customHeight="1">
      <c r="A454" s="119" t="n">
        <v>446</v>
      </c>
      <c r="B454" s="119" t="inlineStr">
        <is>
          <t>2026/08/09 19:35</t>
        </is>
      </c>
      <c r="C454" s="119" t="inlineStr">
        <is>
          <t>VÕ THÀNH DƯƠNG</t>
        </is>
      </c>
      <c r="D454" s="119" t="inlineStr">
        <is>
          <t>27/01/1999</t>
        </is>
      </c>
      <c r="E454" s="119" t="inlineStr">
        <is>
          <t>Giường Ngoại khoa loại 3 - Khoa Chấn thương chỉnh hình</t>
        </is>
      </c>
      <c r="F454" s="249" t="n">
        <v>1</v>
      </c>
      <c r="G454" s="249" t="n">
        <v>269200</v>
      </c>
    </row>
    <row r="455" ht="15.75" customHeight="1">
      <c r="A455" s="119" t="n">
        <v>447</v>
      </c>
      <c r="B455" s="119" t="inlineStr">
        <is>
          <t>2026/08/09 22:48</t>
        </is>
      </c>
      <c r="C455" s="119" t="inlineStr">
        <is>
          <t>NGUYỄN VĂN KHẢI</t>
        </is>
      </c>
      <c r="D455" s="119" t="inlineStr">
        <is>
          <t>04/11/1951</t>
        </is>
      </c>
      <c r="E455" s="119" t="inlineStr">
        <is>
          <t>Giường Ngoại khoa loại 1 - Khoa Chấn thương chỉnh hình</t>
        </is>
      </c>
      <c r="F455" s="249" t="n">
        <v>1</v>
      </c>
      <c r="G455" s="249" t="n">
        <v>341800</v>
      </c>
    </row>
    <row r="456" ht="15.75" customHeight="1">
      <c r="A456" s="119" t="n">
        <v>448</v>
      </c>
      <c r="B456" s="119" t="inlineStr">
        <is>
          <t>2026/08/10 00:00</t>
        </is>
      </c>
      <c r="C456" s="119" t="inlineStr">
        <is>
          <t>BÙI VĂN TRƯỜNG</t>
        </is>
      </c>
      <c r="D456" s="119" t="inlineStr">
        <is>
          <t>01/01/1972</t>
        </is>
      </c>
      <c r="E456" s="119" t="inlineStr">
        <is>
          <t>Giường Ngoại khoa loại 1 - Khoa Chấn thương chỉnh hình</t>
        </is>
      </c>
      <c r="F456" s="249" t="n">
        <v>1</v>
      </c>
      <c r="G456" s="249" t="n">
        <v>341800</v>
      </c>
    </row>
    <row r="457" ht="15.75" customHeight="1">
      <c r="A457" s="119" t="n">
        <v>449</v>
      </c>
      <c r="B457" s="119" t="inlineStr">
        <is>
          <t>2026/08/10 00:00</t>
        </is>
      </c>
      <c r="C457" s="119" t="inlineStr">
        <is>
          <t>HUỲNH GIA TIẾN</t>
        </is>
      </c>
      <c r="D457" s="119" t="inlineStr">
        <is>
          <t>09/07/1988</t>
        </is>
      </c>
      <c r="E457" s="119" t="inlineStr">
        <is>
          <t>Giường Nội khoa loại 2 - Khoa Chấn thương chỉnh hình</t>
        </is>
      </c>
      <c r="F457" s="249" t="n">
        <v>1</v>
      </c>
      <c r="G457" s="249" t="n">
        <v>222300</v>
      </c>
    </row>
    <row r="458" ht="15.75" customHeight="1">
      <c r="A458" s="119" t="n">
        <v>450</v>
      </c>
      <c r="B458" s="119" t="inlineStr">
        <is>
          <t>2026/08/10 00:00</t>
        </is>
      </c>
      <c r="C458" s="119" t="inlineStr">
        <is>
          <t>LA BÍCH LỆ</t>
        </is>
      </c>
      <c r="D458" s="119" t="inlineStr">
        <is>
          <t>01/01/1949</t>
        </is>
      </c>
      <c r="E458" s="119" t="inlineStr">
        <is>
          <t>Giường Ngoại khoa loại 4 - Khoa Chấn thương chỉnh hình</t>
        </is>
      </c>
      <c r="F458" s="249" t="n">
        <v>1</v>
      </c>
      <c r="G458" s="249" t="n">
        <v>229200</v>
      </c>
    </row>
    <row r="459" ht="15.75" customHeight="1">
      <c r="A459" s="119" t="n">
        <v>451</v>
      </c>
      <c r="B459" s="119" t="inlineStr">
        <is>
          <t>2026/08/10 00:00</t>
        </is>
      </c>
      <c r="C459" s="119" t="inlineStr">
        <is>
          <t>LÂM THỊ THÚY</t>
        </is>
      </c>
      <c r="D459" s="119" t="inlineStr">
        <is>
          <t>01/01/1972</t>
        </is>
      </c>
      <c r="E459" s="119" t="inlineStr">
        <is>
          <t>Giường Nội khoa loại 2 - Khoa Chấn thương chỉnh hình</t>
        </is>
      </c>
      <c r="F459" s="249" t="n">
        <v>1</v>
      </c>
      <c r="G459" s="249" t="n">
        <v>222300</v>
      </c>
    </row>
    <row r="460" ht="15.75" customHeight="1">
      <c r="A460" s="119" t="n">
        <v>452</v>
      </c>
      <c r="B460" s="119" t="inlineStr">
        <is>
          <t>2026/08/10 00:00</t>
        </is>
      </c>
      <c r="C460" s="119" t="inlineStr">
        <is>
          <t>LÊ THỊ ỬNG</t>
        </is>
      </c>
      <c r="D460" s="119" t="inlineStr">
        <is>
          <t>02/09/1953</t>
        </is>
      </c>
      <c r="E460" s="119" t="inlineStr">
        <is>
          <t>Giường Ngoại khoa loại 3 - Khoa Chấn thương chỉnh hình</t>
        </is>
      </c>
      <c r="F460" s="249" t="n">
        <v>1</v>
      </c>
      <c r="G460" s="249" t="n">
        <v>269200</v>
      </c>
    </row>
    <row r="461" ht="15.75" customHeight="1">
      <c r="A461" s="119" t="n">
        <v>453</v>
      </c>
      <c r="B461" s="119" t="inlineStr">
        <is>
          <t>2026/08/10 00:00</t>
        </is>
      </c>
      <c r="C461" s="119" t="inlineStr">
        <is>
          <t>NGUYỄN HỮU HIỆP</t>
        </is>
      </c>
      <c r="D461" s="119" t="inlineStr">
        <is>
          <t>01/01/1973</t>
        </is>
      </c>
      <c r="E461" s="119" t="inlineStr">
        <is>
          <t>Giường Nội khoa loại 2 - Khoa Chấn thương chỉnh hình</t>
        </is>
      </c>
      <c r="F461" s="249" t="n">
        <v>1</v>
      </c>
      <c r="G461" s="249" t="n">
        <v>222300</v>
      </c>
    </row>
    <row r="462" ht="15.75" customHeight="1">
      <c r="A462" s="119" t="n">
        <v>454</v>
      </c>
      <c r="B462" s="119" t="inlineStr">
        <is>
          <t>2026/08/10 00:00</t>
        </is>
      </c>
      <c r="C462" s="119" t="inlineStr">
        <is>
          <t>NGUYỄN THỊ HƯƠNG</t>
        </is>
      </c>
      <c r="D462" s="119" t="inlineStr">
        <is>
          <t>02/07/1965</t>
        </is>
      </c>
      <c r="E462" s="119" t="inlineStr">
        <is>
          <t>Giường Ngoại khoa loại 4 - Khoa Chấn thương chỉnh hình</t>
        </is>
      </c>
      <c r="F462" s="249" t="n">
        <v>1</v>
      </c>
      <c r="G462" s="249" t="n">
        <v>229200</v>
      </c>
    </row>
    <row r="463" ht="15.75" customHeight="1">
      <c r="A463" s="119" t="n">
        <v>455</v>
      </c>
      <c r="B463" s="119" t="inlineStr">
        <is>
          <t>2026/08/10 00:00</t>
        </is>
      </c>
      <c r="C463" s="119" t="inlineStr">
        <is>
          <t>NGUYỄN THỊ THÚY HẰNG</t>
        </is>
      </c>
      <c r="D463" s="119" t="inlineStr">
        <is>
          <t>02/07/1980</t>
        </is>
      </c>
      <c r="E463" s="119" t="inlineStr">
        <is>
          <t>Giường Nội khoa loại 2 - Khoa Chấn thương chỉnh hình</t>
        </is>
      </c>
      <c r="F463" s="249" t="n">
        <v>1</v>
      </c>
      <c r="G463" s="249" t="n">
        <v>222300</v>
      </c>
    </row>
    <row r="464" ht="15.75" customHeight="1">
      <c r="A464" s="119" t="n">
        <v>456</v>
      </c>
      <c r="B464" s="119" t="inlineStr">
        <is>
          <t>2026/08/10 00:00</t>
        </is>
      </c>
      <c r="C464" s="119" t="inlineStr">
        <is>
          <t>NGUYỄN THỊ XUÂN LAN</t>
        </is>
      </c>
      <c r="D464" s="119" t="inlineStr">
        <is>
          <t>30/12/1956</t>
        </is>
      </c>
      <c r="E464" s="119" t="inlineStr">
        <is>
          <t>Giường Nội khoa loại 2 - Khoa Chấn thương chỉnh hình</t>
        </is>
      </c>
      <c r="F464" s="249" t="n">
        <v>1</v>
      </c>
      <c r="G464" s="249" t="n">
        <v>222300</v>
      </c>
    </row>
    <row r="465" ht="15.75" customHeight="1">
      <c r="A465" s="119" t="n">
        <v>457</v>
      </c>
      <c r="B465" s="119" t="inlineStr">
        <is>
          <t>2026/08/10 00:00</t>
        </is>
      </c>
      <c r="C465" s="119" t="inlineStr">
        <is>
          <t>PHAN THƯỢNG HẢI</t>
        </is>
      </c>
      <c r="D465" s="119" t="inlineStr">
        <is>
          <t>15/07/1972</t>
        </is>
      </c>
      <c r="E465" s="119" t="inlineStr">
        <is>
          <t>Giường Ngoại khoa loại 1 - Khoa Chấn thương chỉnh hình</t>
        </is>
      </c>
      <c r="F465" s="249" t="n">
        <v>1</v>
      </c>
      <c r="G465" s="249" t="n">
        <v>341800</v>
      </c>
    </row>
    <row r="466" ht="15.75" customHeight="1">
      <c r="A466" s="119" t="n">
        <v>458</v>
      </c>
      <c r="B466" s="119" t="inlineStr">
        <is>
          <t>2026/08/10 00:00</t>
        </is>
      </c>
      <c r="C466" s="119" t="inlineStr">
        <is>
          <t>TRƯƠNG TRUNG TRỰC</t>
        </is>
      </c>
      <c r="D466" s="119" t="inlineStr">
        <is>
          <t>01/09/1942</t>
        </is>
      </c>
      <c r="E466" s="119" t="inlineStr">
        <is>
          <t>Giường Nội khoa loại 2 - Khoa Chấn thương chỉnh hình</t>
        </is>
      </c>
      <c r="F466" s="249" t="n">
        <v>1</v>
      </c>
      <c r="G466" s="249" t="n">
        <v>222300</v>
      </c>
    </row>
    <row r="467" ht="15.75" customHeight="1">
      <c r="A467" s="119" t="n">
        <v>459</v>
      </c>
      <c r="B467" s="119" t="inlineStr">
        <is>
          <t>2026/08/10 00:00</t>
        </is>
      </c>
      <c r="C467" s="119" t="inlineStr">
        <is>
          <t>ĐOÀN THỊ NGUYÊN</t>
        </is>
      </c>
      <c r="D467" s="119" t="inlineStr">
        <is>
          <t>01/01/1936</t>
        </is>
      </c>
      <c r="E467" s="119" t="inlineStr">
        <is>
          <t>Giường Nội khoa loại 2 - Khoa Chấn thương chỉnh hình</t>
        </is>
      </c>
      <c r="F467" s="249" t="n">
        <v>1</v>
      </c>
      <c r="G467" s="249" t="n">
        <v>222300</v>
      </c>
    </row>
    <row r="468" ht="15.75" customHeight="1">
      <c r="A468" s="119" t="n">
        <v>460</v>
      </c>
      <c r="B468" s="119" t="inlineStr">
        <is>
          <t>2026/08/10 00:00</t>
        </is>
      </c>
      <c r="C468" s="119" t="inlineStr">
        <is>
          <t>ĐẶNG ĐÌNH BẰNG</t>
        </is>
      </c>
      <c r="D468" s="119" t="inlineStr">
        <is>
          <t>25/08/1985</t>
        </is>
      </c>
      <c r="E468" s="119" t="inlineStr">
        <is>
          <t>Giường Nội khoa loại 2 - Khoa Chấn thương chỉnh hình</t>
        </is>
      </c>
      <c r="F468" s="249" t="n">
        <v>1</v>
      </c>
      <c r="G468" s="249" t="n">
        <v>222300</v>
      </c>
    </row>
    <row r="469" ht="15.75" customHeight="1">
      <c r="A469" s="119" t="n">
        <v>461</v>
      </c>
      <c r="B469" s="119" t="inlineStr">
        <is>
          <t>2026/08/10 00:00</t>
        </is>
      </c>
      <c r="C469" s="119" t="inlineStr">
        <is>
          <t>TRẦN THỊ KÍNH</t>
        </is>
      </c>
      <c r="D469" s="119" t="inlineStr">
        <is>
          <t>01/01/1951</t>
        </is>
      </c>
      <c r="E469" s="119" t="inlineStr">
        <is>
          <t>Giường Ngoại khoa loại 3 - Khoa Chấn thương chỉnh hình</t>
        </is>
      </c>
      <c r="F469" s="249" t="n">
        <v>1</v>
      </c>
      <c r="G469" s="249" t="n">
        <v>269200</v>
      </c>
    </row>
    <row r="470" ht="15.75" customHeight="1">
      <c r="A470" s="119" t="n">
        <v>462</v>
      </c>
      <c r="B470" s="119" t="inlineStr">
        <is>
          <t>2026/08/10 00:00</t>
        </is>
      </c>
      <c r="C470" s="119" t="inlineStr">
        <is>
          <t>TĂNG THỊ MIỀN</t>
        </is>
      </c>
      <c r="D470" s="119" t="inlineStr">
        <is>
          <t>01/01/1951</t>
        </is>
      </c>
      <c r="E470" s="119" t="inlineStr">
        <is>
          <t>Giường Ngoại khoa loại 3 - Khoa Chấn thương chỉnh hình</t>
        </is>
      </c>
      <c r="F470" s="249" t="n">
        <v>1</v>
      </c>
      <c r="G470" s="249" t="n">
        <v>269200</v>
      </c>
    </row>
    <row r="471" ht="15.75" customHeight="1">
      <c r="A471" s="119" t="n">
        <v>463</v>
      </c>
      <c r="B471" s="119" t="inlineStr">
        <is>
          <t>2026/08/10 00:00</t>
        </is>
      </c>
      <c r="C471" s="119" t="inlineStr">
        <is>
          <t>ĐẶNG THANH PHONG</t>
        </is>
      </c>
      <c r="D471" s="119" t="inlineStr">
        <is>
          <t>01/01/1976</t>
        </is>
      </c>
      <c r="E471" s="119" t="inlineStr">
        <is>
          <t>Giường Ngoại khoa loại 1 - Khoa Chấn thương chỉnh hình</t>
        </is>
      </c>
      <c r="F471" s="249" t="n">
        <v>1</v>
      </c>
      <c r="G471" s="249" t="n">
        <v>341800</v>
      </c>
    </row>
    <row r="472" ht="15.75" customHeight="1">
      <c r="A472" s="119" t="n">
        <v>464</v>
      </c>
      <c r="B472" s="119" t="inlineStr">
        <is>
          <t>2026/08/10 08:45</t>
        </is>
      </c>
      <c r="C472" s="119" t="inlineStr">
        <is>
          <t>NGUYỄN THỊ HÀ</t>
        </is>
      </c>
      <c r="D472" s="119" t="inlineStr">
        <is>
          <t>01/01/1954</t>
        </is>
      </c>
      <c r="E472" s="119" t="inlineStr">
        <is>
          <t>Giường Nội khoa loại 2 - Khoa Chấn thương chỉnh hình</t>
        </is>
      </c>
      <c r="F472" s="249" t="n">
        <v>1</v>
      </c>
      <c r="G472" s="249" t="n">
        <v>222300</v>
      </c>
    </row>
    <row r="473" ht="15.75" customHeight="1">
      <c r="A473" s="119" t="n">
        <v>465</v>
      </c>
      <c r="B473" s="119" t="inlineStr">
        <is>
          <t>2026/08/10 08:50</t>
        </is>
      </c>
      <c r="C473" s="119" t="inlineStr">
        <is>
          <t>VÕ THÀNH LONG</t>
        </is>
      </c>
      <c r="D473" s="119" t="inlineStr">
        <is>
          <t>06/06/1966</t>
        </is>
      </c>
      <c r="E473" s="119" t="inlineStr">
        <is>
          <t>Giường Nội khoa loại 2 - Khoa Chấn thương chỉnh hình</t>
        </is>
      </c>
      <c r="F473" s="249" t="n">
        <v>1</v>
      </c>
      <c r="G473" s="249" t="n">
        <v>222300</v>
      </c>
    </row>
    <row r="474" ht="15.75" customHeight="1">
      <c r="A474" s="119" t="n">
        <v>466</v>
      </c>
      <c r="B474" s="119" t="inlineStr">
        <is>
          <t>2026/08/10 09:41</t>
        </is>
      </c>
      <c r="C474" s="119" t="inlineStr">
        <is>
          <t>LÊ THỊ ÚT NHỎ</t>
        </is>
      </c>
      <c r="D474" s="119" t="inlineStr">
        <is>
          <t>15/10/1978</t>
        </is>
      </c>
      <c r="E474" s="119" t="inlineStr">
        <is>
          <t>Giường Nội khoa loại 2 - Khoa Chấn thương chỉnh hình</t>
        </is>
      </c>
      <c r="F474" s="249" t="n">
        <v>1</v>
      </c>
      <c r="G474" s="249" t="n">
        <v>222300</v>
      </c>
    </row>
    <row r="475" ht="15.75" customHeight="1">
      <c r="A475" s="119" t="n">
        <v>467</v>
      </c>
      <c r="B475" s="119" t="inlineStr">
        <is>
          <t>2026/08/10 10:00</t>
        </is>
      </c>
      <c r="C475" s="119" t="inlineStr">
        <is>
          <t>NGUYỄN THỊ HƯỞNG</t>
        </is>
      </c>
      <c r="D475" s="119" t="inlineStr">
        <is>
          <t>12/04/1971</t>
        </is>
      </c>
      <c r="E475" s="119" t="inlineStr">
        <is>
          <t>Giường Nội khoa loại 2 - Khoa Chấn thương chỉnh hình</t>
        </is>
      </c>
      <c r="F475" s="249" t="n">
        <v>1</v>
      </c>
      <c r="G475" s="249" t="n">
        <v>222300</v>
      </c>
    </row>
    <row r="476" ht="15.75" customHeight="1">
      <c r="A476" s="119" t="n">
        <v>468</v>
      </c>
      <c r="B476" s="119" t="inlineStr">
        <is>
          <t>2026/08/10 10:00</t>
        </is>
      </c>
      <c r="C476" s="119" t="inlineStr">
        <is>
          <t>VĂNG VĂN ĐỒ</t>
        </is>
      </c>
      <c r="D476" s="119" t="inlineStr">
        <is>
          <t>25/05/1972</t>
        </is>
      </c>
      <c r="E476" s="119" t="inlineStr">
        <is>
          <t>Giường Nội khoa loại 2 - Khoa Chấn thương chỉnh hình</t>
        </is>
      </c>
      <c r="F476" s="249" t="n">
        <v>1</v>
      </c>
      <c r="G476" s="249" t="n">
        <v>222300</v>
      </c>
    </row>
    <row r="477" ht="15.75" customHeight="1">
      <c r="A477" s="119" t="n">
        <v>469</v>
      </c>
      <c r="B477" s="119" t="inlineStr">
        <is>
          <t>2026/08/10 10:09</t>
        </is>
      </c>
      <c r="C477" s="119" t="inlineStr">
        <is>
          <t>LÊ HOÀNG VIỆT</t>
        </is>
      </c>
      <c r="D477" s="119" t="inlineStr">
        <is>
          <t>22/08/1999</t>
        </is>
      </c>
      <c r="E477" s="119" t="inlineStr">
        <is>
          <t>Giường Nội khoa loại 2 - Khoa Chấn thương chỉnh hình</t>
        </is>
      </c>
      <c r="F477" s="249" t="n">
        <v>1</v>
      </c>
      <c r="G477" s="249" t="n">
        <v>222300</v>
      </c>
    </row>
    <row r="478" ht="15.75" customHeight="1">
      <c r="A478" s="119" t="n">
        <v>470</v>
      </c>
      <c r="B478" s="119" t="inlineStr">
        <is>
          <t>2026/08/10 10:16</t>
        </is>
      </c>
      <c r="C478" s="119" t="inlineStr">
        <is>
          <t>HUỲNH VIỆT DŨNG</t>
        </is>
      </c>
      <c r="D478" s="119" t="inlineStr">
        <is>
          <t>11/04/2004</t>
        </is>
      </c>
      <c r="E478" s="119" t="inlineStr">
        <is>
          <t>Giường Nội khoa loại 2 - Khoa Chấn thương chỉnh hình</t>
        </is>
      </c>
      <c r="F478" s="249" t="n">
        <v>1</v>
      </c>
      <c r="G478" s="249" t="n">
        <v>222300</v>
      </c>
    </row>
    <row r="479" ht="15.75" customHeight="1">
      <c r="A479" s="119" t="n">
        <v>471</v>
      </c>
      <c r="B479" s="119" t="inlineStr">
        <is>
          <t>2026/08/10 10:30</t>
        </is>
      </c>
      <c r="C479" s="119" t="inlineStr">
        <is>
          <t>NGUYỄN THANH BÌNH</t>
        </is>
      </c>
      <c r="D479" s="119" t="inlineStr">
        <is>
          <t>20/09/1983</t>
        </is>
      </c>
      <c r="E479" s="119" t="inlineStr">
        <is>
          <t>Giường Ngoại khoa loại 4 - Khoa Chấn thương chỉnh hình</t>
        </is>
      </c>
      <c r="F479" s="249" t="n">
        <v>1</v>
      </c>
      <c r="G479" s="249" t="n">
        <v>250000</v>
      </c>
    </row>
    <row r="480" ht="15.75" customHeight="1">
      <c r="A480" s="119" t="n">
        <v>472</v>
      </c>
      <c r="B480" s="119" t="inlineStr">
        <is>
          <t>2026/08/10 10:41</t>
        </is>
      </c>
      <c r="C480" s="119" t="inlineStr">
        <is>
          <t>LÊ THANH TUẤN</t>
        </is>
      </c>
      <c r="D480" s="119" t="inlineStr">
        <is>
          <t>24/12/1980</t>
        </is>
      </c>
      <c r="E480" s="119" t="inlineStr">
        <is>
          <t>Giường Nội khoa loại 2 - Khoa Chấn thương chỉnh hình</t>
        </is>
      </c>
      <c r="F480" s="249" t="n">
        <v>1</v>
      </c>
      <c r="G480" s="249" t="n">
        <v>222300</v>
      </c>
    </row>
    <row r="481" ht="15.75" customHeight="1">
      <c r="A481" s="119" t="n">
        <v>473</v>
      </c>
      <c r="B481" s="119" t="inlineStr">
        <is>
          <t>2026/08/10 10:50</t>
        </is>
      </c>
      <c r="C481" s="119" t="inlineStr">
        <is>
          <t>NGUYỄN THỊ MAI CHI</t>
        </is>
      </c>
      <c r="D481" s="119" t="inlineStr">
        <is>
          <t>28/08/1990</t>
        </is>
      </c>
      <c r="E481" s="119" t="inlineStr">
        <is>
          <t>Giường Nội khoa loại 2 - Khoa Chấn thương chỉnh hình</t>
        </is>
      </c>
      <c r="F481" s="249" t="n">
        <v>1</v>
      </c>
      <c r="G481" s="249" t="n">
        <v>222300</v>
      </c>
    </row>
    <row r="482" ht="15.75" customHeight="1">
      <c r="A482" s="119" t="n">
        <v>474</v>
      </c>
      <c r="B482" s="119" t="inlineStr">
        <is>
          <t>2026/08/10 10:57</t>
        </is>
      </c>
      <c r="C482" s="119" t="inlineStr">
        <is>
          <t>NGUYỄN THỊ ÁNH</t>
        </is>
      </c>
      <c r="D482" s="119" t="inlineStr">
        <is>
          <t>01/01/1958</t>
        </is>
      </c>
      <c r="E482" s="119" t="inlineStr">
        <is>
          <t>Giường Nội khoa loại 2 - Khoa Chấn thương chỉnh hình</t>
        </is>
      </c>
      <c r="F482" s="249" t="n">
        <v>1</v>
      </c>
      <c r="G482" s="249" t="n">
        <v>222300</v>
      </c>
    </row>
    <row r="483" ht="15.75" customHeight="1">
      <c r="A483" s="119" t="n">
        <v>475</v>
      </c>
      <c r="B483" s="119" t="inlineStr">
        <is>
          <t>2026/08/10 11:07</t>
        </is>
      </c>
      <c r="C483" s="119" t="inlineStr">
        <is>
          <t>LÊ THỊ CÚC</t>
        </is>
      </c>
      <c r="D483" s="119" t="inlineStr">
        <is>
          <t>01/01/1962</t>
        </is>
      </c>
      <c r="E483" s="119" t="inlineStr">
        <is>
          <t>Giường Nội khoa loại 2 - Khoa Chấn thương chỉnh hình</t>
        </is>
      </c>
      <c r="F483" s="249" t="n">
        <v>1</v>
      </c>
      <c r="G483" s="249" t="n">
        <v>222300</v>
      </c>
    </row>
    <row r="484" ht="15.75" customHeight="1">
      <c r="A484" s="119" t="n">
        <v>476</v>
      </c>
      <c r="B484" s="119" t="inlineStr">
        <is>
          <t>2026/08/10 11:26</t>
        </is>
      </c>
      <c r="C484" s="119" t="inlineStr">
        <is>
          <t>PHAN HỮU HƯNG</t>
        </is>
      </c>
      <c r="D484" s="119" t="inlineStr">
        <is>
          <t>19/02/1983</t>
        </is>
      </c>
      <c r="E484" s="119" t="inlineStr">
        <is>
          <t>Giường Nội khoa loại 2 - Khoa Chấn thương chỉnh hình</t>
        </is>
      </c>
      <c r="F484" s="249" t="n">
        <v>1</v>
      </c>
      <c r="G484" s="249" t="n">
        <v>600000</v>
      </c>
    </row>
    <row r="485" ht="15.75" customHeight="1">
      <c r="A485" s="119" t="n">
        <v>477</v>
      </c>
      <c r="B485" s="119" t="inlineStr">
        <is>
          <t>2026/08/10 11:27</t>
        </is>
      </c>
      <c r="C485" s="119" t="inlineStr">
        <is>
          <t>PHAN HỮU HƯNG</t>
        </is>
      </c>
      <c r="D485" s="119" t="inlineStr">
        <is>
          <t>19/02/1983</t>
        </is>
      </c>
      <c r="E485" s="119" t="inlineStr">
        <is>
          <t>Giường Nội khoa loại 2 - Khoa Chấn thương chỉnh hình</t>
        </is>
      </c>
      <c r="F485" s="249" t="n">
        <v>1</v>
      </c>
      <c r="G485" s="249" t="n">
        <v>222300</v>
      </c>
    </row>
    <row r="486" ht="15.75" customHeight="1">
      <c r="A486" s="119" t="n">
        <v>478</v>
      </c>
      <c r="B486" s="119" t="inlineStr">
        <is>
          <t>2026/08/10 12:00</t>
        </is>
      </c>
      <c r="C486" s="119" t="inlineStr">
        <is>
          <t>BÙI VĂN BẢY</t>
        </is>
      </c>
      <c r="D486" s="119" t="inlineStr">
        <is>
          <t>01/01/1963</t>
        </is>
      </c>
      <c r="E486" s="119" t="inlineStr">
        <is>
          <t>Giường Nội khoa loại 2 - Khoa Chấn thương chỉnh hình</t>
        </is>
      </c>
      <c r="F486" s="249" t="n">
        <v>1</v>
      </c>
      <c r="G486" s="249" t="n">
        <v>222300</v>
      </c>
    </row>
    <row r="487" ht="15.75" customHeight="1">
      <c r="A487" s="119" t="n">
        <v>479</v>
      </c>
      <c r="B487" s="119" t="inlineStr">
        <is>
          <t>2026/08/10 13:27</t>
        </is>
      </c>
      <c r="C487" s="119" t="inlineStr">
        <is>
          <t>NGUYỄN THỊ PHƯỢNG</t>
        </is>
      </c>
      <c r="D487" s="119" t="inlineStr">
        <is>
          <t>01/01/1977</t>
        </is>
      </c>
      <c r="E487" s="119" t="inlineStr">
        <is>
          <t>Giường Nội khoa loại 2 - Khoa Chấn thương chỉnh hình</t>
        </is>
      </c>
      <c r="F487" s="249" t="n">
        <v>1</v>
      </c>
      <c r="G487" s="249" t="n">
        <v>222300</v>
      </c>
    </row>
    <row r="488" ht="15.75" customHeight="1">
      <c r="A488" s="119" t="n">
        <v>480</v>
      </c>
      <c r="B488" s="119" t="inlineStr">
        <is>
          <t>2026/08/10 13:45</t>
        </is>
      </c>
      <c r="C488" s="119" t="inlineStr">
        <is>
          <t>TRƯƠNG VĂN ÚT</t>
        </is>
      </c>
      <c r="D488" s="119" t="inlineStr">
        <is>
          <t>01/01/1948</t>
        </is>
      </c>
      <c r="E488" s="119" t="inlineStr">
        <is>
          <t>Giường Ngoại khoa loại 3 - Khoa Chấn thương chỉnh hình</t>
        </is>
      </c>
      <c r="F488" s="249" t="n">
        <v>1</v>
      </c>
      <c r="G488" s="249" t="n">
        <v>269200</v>
      </c>
    </row>
    <row r="489" ht="15.75" customHeight="1">
      <c r="A489" s="119" t="n">
        <v>481</v>
      </c>
      <c r="B489" s="119" t="inlineStr">
        <is>
          <t>2026/08/10 13:50</t>
        </is>
      </c>
      <c r="C489" s="119" t="inlineStr">
        <is>
          <t>NGUYỄN ĐỨC TÍN</t>
        </is>
      </c>
      <c r="D489" s="119" t="inlineStr">
        <is>
          <t>04/01/1986</t>
        </is>
      </c>
      <c r="E489" s="119" t="inlineStr">
        <is>
          <t>Giường Nội khoa loại 2 - Khoa Chấn thương chỉnh hình</t>
        </is>
      </c>
      <c r="F489" s="249" t="n">
        <v>1</v>
      </c>
      <c r="G489" s="249" t="n">
        <v>222300</v>
      </c>
    </row>
    <row r="490" ht="15.75" customHeight="1">
      <c r="A490" s="119" t="n">
        <v>482</v>
      </c>
      <c r="B490" s="119" t="inlineStr">
        <is>
          <t>2026/08/10 14:00</t>
        </is>
      </c>
      <c r="C490" s="119" t="inlineStr">
        <is>
          <t>HUỲNH THU HỒNG</t>
        </is>
      </c>
      <c r="D490" s="119" t="inlineStr">
        <is>
          <t>10/12/1957</t>
        </is>
      </c>
      <c r="E490" s="119" t="inlineStr">
        <is>
          <t>Giường Ngoại khoa loại 1 - Khoa Chấn thương chỉnh hình</t>
        </is>
      </c>
      <c r="F490" s="249" t="n">
        <v>1</v>
      </c>
      <c r="G490" s="249" t="n">
        <v>341800</v>
      </c>
    </row>
    <row r="491" ht="15.75" customHeight="1">
      <c r="A491" s="119" t="n">
        <v>483</v>
      </c>
      <c r="B491" s="119" t="inlineStr">
        <is>
          <t>2026/08/10 14:16</t>
        </is>
      </c>
      <c r="C491" s="119" t="inlineStr">
        <is>
          <t>VĂN ĐẮC SƠN TÂY</t>
        </is>
      </c>
      <c r="D491" s="119" t="inlineStr">
        <is>
          <t>15/11/1991</t>
        </is>
      </c>
      <c r="E491" s="119" t="inlineStr">
        <is>
          <t>Giường Nội khoa loại 2 - Khoa Chấn thương chỉnh hình</t>
        </is>
      </c>
      <c r="F491" s="249" t="n">
        <v>1</v>
      </c>
      <c r="G491" s="249" t="n">
        <v>222300</v>
      </c>
    </row>
    <row r="492" ht="15.75" customHeight="1">
      <c r="A492" s="119" t="n">
        <v>484</v>
      </c>
      <c r="B492" s="119" t="inlineStr">
        <is>
          <t>2026/08/10 15:07</t>
        </is>
      </c>
      <c r="C492" s="119" t="inlineStr">
        <is>
          <t>HỒ THỊ NGỰ</t>
        </is>
      </c>
      <c r="D492" s="119" t="inlineStr">
        <is>
          <t>01/01/1969</t>
        </is>
      </c>
      <c r="E492" s="119" t="inlineStr">
        <is>
          <t>Giường Nội khoa loại 2 - Khoa Chấn thương chỉnh hình</t>
        </is>
      </c>
      <c r="F492" s="249" t="n">
        <v>1</v>
      </c>
      <c r="G492" s="249" t="n">
        <v>222300</v>
      </c>
    </row>
    <row r="493" ht="15.75" customHeight="1">
      <c r="A493" s="119" t="n">
        <v>485</v>
      </c>
      <c r="B493" s="119" t="inlineStr">
        <is>
          <t>2026/08/10 15:15</t>
        </is>
      </c>
      <c r="C493" s="119" t="inlineStr">
        <is>
          <t>NGÔ HỒNG QUẢNG</t>
        </is>
      </c>
      <c r="D493" s="119" t="inlineStr">
        <is>
          <t>13/03/1962</t>
        </is>
      </c>
      <c r="E493" s="119" t="inlineStr">
        <is>
          <t>Giường Nội khoa loại 2 - Khoa Chấn thương chỉnh hình</t>
        </is>
      </c>
      <c r="F493" s="249" t="n">
        <v>1</v>
      </c>
      <c r="G493" s="249" t="n">
        <v>222300</v>
      </c>
    </row>
    <row r="494" ht="15.75" customHeight="1">
      <c r="A494" s="119" t="n">
        <v>486</v>
      </c>
      <c r="B494" s="119" t="inlineStr">
        <is>
          <t>2026/08/10 15:45</t>
        </is>
      </c>
      <c r="C494" s="119" t="inlineStr">
        <is>
          <t>TRẦN THỊ MỸ TRỌNG</t>
        </is>
      </c>
      <c r="D494" s="119" t="inlineStr">
        <is>
          <t>26/04/1992</t>
        </is>
      </c>
      <c r="E494" s="119" t="inlineStr">
        <is>
          <t>Giường Ngoại khoa loại 3 - Khoa Chấn thương chỉnh hình</t>
        </is>
      </c>
      <c r="F494" s="249" t="n">
        <v>1</v>
      </c>
      <c r="G494" s="249" t="n">
        <v>269200</v>
      </c>
    </row>
    <row r="495" ht="15.75" customHeight="1">
      <c r="A495" s="119" t="n">
        <v>487</v>
      </c>
      <c r="B495" s="119" t="inlineStr">
        <is>
          <t>2026/08/10 15:53</t>
        </is>
      </c>
      <c r="C495" s="119" t="inlineStr">
        <is>
          <t>NGUYỄN THỊ TÁM</t>
        </is>
      </c>
      <c r="D495" s="119" t="inlineStr">
        <is>
          <t>01/01/1957</t>
        </is>
      </c>
      <c r="E495" s="119" t="inlineStr">
        <is>
          <t>Giường Nội khoa loại 2 - Khoa Chấn thương chỉnh hình</t>
        </is>
      </c>
      <c r="F495" s="249" t="n">
        <v>1</v>
      </c>
      <c r="G495" s="249" t="n">
        <v>222300</v>
      </c>
    </row>
    <row r="496" ht="15.75" customHeight="1">
      <c r="A496" s="119" t="n">
        <v>488</v>
      </c>
      <c r="B496" s="119" t="inlineStr">
        <is>
          <t>2026/08/10 16:15</t>
        </is>
      </c>
      <c r="C496" s="119" t="inlineStr">
        <is>
          <t>LÊ THỊ DIỆU HIỀN</t>
        </is>
      </c>
      <c r="D496" s="119" t="inlineStr">
        <is>
          <t>13/05/1961</t>
        </is>
      </c>
      <c r="E496" s="119" t="inlineStr">
        <is>
          <t>Giường Nội khoa loại 2 - Khoa Chấn thương chỉnh hình</t>
        </is>
      </c>
      <c r="F496" s="249" t="n">
        <v>1</v>
      </c>
      <c r="G496" s="249" t="n">
        <v>222300</v>
      </c>
    </row>
    <row r="497" ht="15.75" customHeight="1">
      <c r="A497" s="119" t="n">
        <v>489</v>
      </c>
      <c r="B497" s="119" t="inlineStr">
        <is>
          <t>2026/08/10 16:32</t>
        </is>
      </c>
      <c r="C497" s="119" t="inlineStr">
        <is>
          <t>VÕ VĂN ÚT</t>
        </is>
      </c>
      <c r="D497" s="119" t="inlineStr">
        <is>
          <t>01/01/1952</t>
        </is>
      </c>
      <c r="E497" s="119" t="inlineStr">
        <is>
          <t>Giường Nội khoa loại 2 - Khoa Chấn thương chỉnh hình</t>
        </is>
      </c>
      <c r="F497" s="249" t="n">
        <v>1</v>
      </c>
      <c r="G497" s="249" t="n">
        <v>111150</v>
      </c>
    </row>
    <row r="498" ht="15.75" customHeight="1">
      <c r="A498" s="119" t="n">
        <v>490</v>
      </c>
      <c r="B498" s="119" t="inlineStr">
        <is>
          <t>2026/08/10 16:42</t>
        </is>
      </c>
      <c r="C498" s="119" t="inlineStr">
        <is>
          <t>NGUYỄN THỊ LOAN</t>
        </is>
      </c>
      <c r="D498" s="119" t="inlineStr">
        <is>
          <t>01/01/1975</t>
        </is>
      </c>
      <c r="E498" s="119" t="inlineStr">
        <is>
          <t>Giường Nội khoa loại 2 - Khoa Chấn thương chỉnh hình</t>
        </is>
      </c>
      <c r="F498" s="249" t="n">
        <v>1</v>
      </c>
      <c r="G498" s="249" t="n">
        <v>222300</v>
      </c>
    </row>
    <row r="499" ht="15.75" customHeight="1">
      <c r="A499" s="119" t="n">
        <v>491</v>
      </c>
      <c r="B499" s="119" t="inlineStr">
        <is>
          <t>2026/08/10 22:48</t>
        </is>
      </c>
      <c r="C499" s="119" t="inlineStr">
        <is>
          <t>NGUYỄN VĂN KHẢI</t>
        </is>
      </c>
      <c r="D499" s="119" t="inlineStr">
        <is>
          <t>04/11/1951</t>
        </is>
      </c>
      <c r="E499" s="119" t="inlineStr">
        <is>
          <t>Giường Ngoại khoa loại 1 - Khoa Chấn thương chỉnh hình</t>
        </is>
      </c>
      <c r="F499" s="249" t="n">
        <v>1</v>
      </c>
      <c r="G499" s="249" t="n">
        <v>341800</v>
      </c>
    </row>
    <row r="500" ht="15.75" customHeight="1">
      <c r="A500" s="119" t="n">
        <v>492</v>
      </c>
      <c r="B500" s="119" t="inlineStr">
        <is>
          <t>2026/08/11 00:00</t>
        </is>
      </c>
      <c r="C500" s="119" t="inlineStr">
        <is>
          <t>BÙI VĂN BẢY</t>
        </is>
      </c>
      <c r="D500" s="119" t="inlineStr">
        <is>
          <t>01/01/1963</t>
        </is>
      </c>
      <c r="E500" s="119" t="inlineStr">
        <is>
          <t>Giường Nội khoa loại 2 - Khoa Chấn thương chỉnh hình</t>
        </is>
      </c>
      <c r="F500" s="249" t="n">
        <v>1</v>
      </c>
      <c r="G500" s="249" t="n">
        <v>222300</v>
      </c>
    </row>
    <row r="501" ht="15.75" customHeight="1">
      <c r="A501" s="119" t="n">
        <v>493</v>
      </c>
      <c r="B501" s="119" t="inlineStr">
        <is>
          <t>2026/08/11 00:00</t>
        </is>
      </c>
      <c r="C501" s="119" t="inlineStr">
        <is>
          <t>HUỲNH GIA TIẾN</t>
        </is>
      </c>
      <c r="D501" s="119" t="inlineStr">
        <is>
          <t>09/07/1988</t>
        </is>
      </c>
      <c r="E501" s="119" t="inlineStr">
        <is>
          <t>Giường Nội khoa loại 2 - Khoa Chấn thương chỉnh hình</t>
        </is>
      </c>
      <c r="F501" s="249" t="n">
        <v>1</v>
      </c>
      <c r="G501" s="249" t="n">
        <v>222300</v>
      </c>
    </row>
    <row r="502" ht="15.75" customHeight="1">
      <c r="A502" s="119" t="n">
        <v>494</v>
      </c>
      <c r="B502" s="119" t="inlineStr">
        <is>
          <t>2026/08/11 00:00</t>
        </is>
      </c>
      <c r="C502" s="119" t="inlineStr">
        <is>
          <t>HUỲNH THU HỒNG</t>
        </is>
      </c>
      <c r="D502" s="119" t="inlineStr">
        <is>
          <t>10/12/1957</t>
        </is>
      </c>
      <c r="E502" s="119" t="inlineStr">
        <is>
          <t>Giường Ngoại khoa loại 1 - Khoa Chấn thương chỉnh hình</t>
        </is>
      </c>
      <c r="F502" s="249" t="n">
        <v>1</v>
      </c>
      <c r="G502" s="249" t="n">
        <v>341800</v>
      </c>
    </row>
    <row r="503" ht="15.75" customHeight="1">
      <c r="A503" s="119" t="n">
        <v>495</v>
      </c>
      <c r="B503" s="119" t="inlineStr">
        <is>
          <t>2026/08/11 00:00</t>
        </is>
      </c>
      <c r="C503" s="119" t="inlineStr">
        <is>
          <t>HUỲNH VIỆT DŨNG</t>
        </is>
      </c>
      <c r="D503" s="119" t="inlineStr">
        <is>
          <t>11/04/2004</t>
        </is>
      </c>
      <c r="E503" s="119" t="inlineStr">
        <is>
          <t>Giường Ngoại khoa loại 1 - Khoa Chấn thương chỉnh hình</t>
        </is>
      </c>
      <c r="F503" s="249" t="n">
        <v>1</v>
      </c>
      <c r="G503" s="249" t="n">
        <v>341800</v>
      </c>
    </row>
    <row r="504" ht="15.75" customHeight="1">
      <c r="A504" s="119" t="n">
        <v>496</v>
      </c>
      <c r="B504" s="119" t="inlineStr">
        <is>
          <t>2026/08/11 00:00</t>
        </is>
      </c>
      <c r="C504" s="119" t="inlineStr">
        <is>
          <t>LA BÍCH LỆ</t>
        </is>
      </c>
      <c r="D504" s="119" t="inlineStr">
        <is>
          <t>01/01/1949</t>
        </is>
      </c>
      <c r="E504" s="119" t="inlineStr">
        <is>
          <t>Giường Ngoại khoa loại 4 - Khoa Chấn thương chỉnh hình</t>
        </is>
      </c>
      <c r="F504" s="249" t="n">
        <v>1</v>
      </c>
      <c r="G504" s="249" t="n">
        <v>229200</v>
      </c>
    </row>
    <row r="505" ht="15.75" customHeight="1">
      <c r="A505" s="119" t="n">
        <v>497</v>
      </c>
      <c r="B505" s="119" t="inlineStr">
        <is>
          <t>2026/08/11 00:00</t>
        </is>
      </c>
      <c r="C505" s="119" t="inlineStr">
        <is>
          <t>LÊ THANH TUẤN</t>
        </is>
      </c>
      <c r="D505" s="119" t="inlineStr">
        <is>
          <t>24/12/1980</t>
        </is>
      </c>
      <c r="E505" s="119" t="inlineStr">
        <is>
          <t>Giường Nội khoa loại 2 - Khoa Chấn thương chỉnh hình</t>
        </is>
      </c>
      <c r="F505" s="249" t="n">
        <v>1</v>
      </c>
      <c r="G505" s="249" t="n">
        <v>222300</v>
      </c>
    </row>
    <row r="506" ht="15.75" customHeight="1">
      <c r="A506" s="119" t="n">
        <v>498</v>
      </c>
      <c r="B506" s="119" t="inlineStr">
        <is>
          <t>2026/08/11 00:00</t>
        </is>
      </c>
      <c r="C506" s="119" t="inlineStr">
        <is>
          <t>LÊ THỊ CÚC</t>
        </is>
      </c>
      <c r="D506" s="119" t="inlineStr">
        <is>
          <t>01/01/1962</t>
        </is>
      </c>
      <c r="E506" s="119" t="inlineStr">
        <is>
          <t>Giường Nội khoa loại 2 - Khoa Chấn thương chỉnh hình</t>
        </is>
      </c>
      <c r="F506" s="249" t="n">
        <v>1</v>
      </c>
      <c r="G506" s="249" t="n">
        <v>222300</v>
      </c>
    </row>
    <row r="507" ht="15.75" customHeight="1">
      <c r="A507" s="119" t="n">
        <v>499</v>
      </c>
      <c r="B507" s="119" t="inlineStr">
        <is>
          <t>2026/08/11 00:00</t>
        </is>
      </c>
      <c r="C507" s="119" t="inlineStr">
        <is>
          <t>LÊ THỊ ÚT NHỎ</t>
        </is>
      </c>
      <c r="D507" s="119" t="inlineStr">
        <is>
          <t>15/10/1978</t>
        </is>
      </c>
      <c r="E507" s="119" t="inlineStr">
        <is>
          <t>Giường Nội khoa loại 2 - Khoa Chấn thương chỉnh hình</t>
        </is>
      </c>
      <c r="F507" s="249" t="n">
        <v>1</v>
      </c>
      <c r="G507" s="249" t="n">
        <v>222300</v>
      </c>
    </row>
    <row r="508" ht="15.75" customHeight="1">
      <c r="A508" s="119" t="n">
        <v>500</v>
      </c>
      <c r="B508" s="119" t="inlineStr">
        <is>
          <t>2026/08/11 00:00</t>
        </is>
      </c>
      <c r="C508" s="119" t="inlineStr">
        <is>
          <t>NGUYỄN HỮU HIỆP</t>
        </is>
      </c>
      <c r="D508" s="119" t="inlineStr">
        <is>
          <t>01/01/1973</t>
        </is>
      </c>
      <c r="E508" s="119" t="inlineStr">
        <is>
          <t>Giường Nội khoa loại 2 - Khoa Chấn thương chỉnh hình</t>
        </is>
      </c>
      <c r="F508" s="249" t="n">
        <v>1</v>
      </c>
      <c r="G508" s="249" t="n">
        <v>222300</v>
      </c>
    </row>
    <row r="509" ht="15.75" customHeight="1">
      <c r="A509" s="119" t="n">
        <v>501</v>
      </c>
      <c r="B509" s="119" t="inlineStr">
        <is>
          <t>2026/08/11 00:00</t>
        </is>
      </c>
      <c r="C509" s="119" t="inlineStr">
        <is>
          <t>NGUYỄN THỊ HƯƠNG</t>
        </is>
      </c>
      <c r="D509" s="119" t="inlineStr">
        <is>
          <t>02/07/1965</t>
        </is>
      </c>
      <c r="E509" s="119" t="inlineStr">
        <is>
          <t>Giường Ngoại khoa loại 4 - Khoa Chấn thương chỉnh hình</t>
        </is>
      </c>
      <c r="F509" s="249" t="n">
        <v>1</v>
      </c>
      <c r="G509" s="249" t="n">
        <v>229200</v>
      </c>
    </row>
    <row r="510" ht="15.75" customHeight="1">
      <c r="A510" s="119" t="n">
        <v>502</v>
      </c>
      <c r="B510" s="119" t="inlineStr">
        <is>
          <t>2026/08/11 00:00</t>
        </is>
      </c>
      <c r="C510" s="119" t="inlineStr">
        <is>
          <t>NGUYỄN THỊ HƯỞNG</t>
        </is>
      </c>
      <c r="D510" s="119" t="inlineStr">
        <is>
          <t>12/04/1971</t>
        </is>
      </c>
      <c r="E510" s="119" t="inlineStr">
        <is>
          <t>Giường Nội khoa loại 2 - Khoa Chấn thương chỉnh hình</t>
        </is>
      </c>
      <c r="F510" s="249" t="n">
        <v>1</v>
      </c>
      <c r="G510" s="249" t="n">
        <v>222300</v>
      </c>
    </row>
    <row r="511" ht="15.75" customHeight="1">
      <c r="A511" s="119" t="n">
        <v>503</v>
      </c>
      <c r="B511" s="119" t="inlineStr">
        <is>
          <t>2026/08/11 00:00</t>
        </is>
      </c>
      <c r="C511" s="119" t="inlineStr">
        <is>
          <t>NGUYỄN THỊ LOAN</t>
        </is>
      </c>
      <c r="D511" s="119" t="inlineStr">
        <is>
          <t>01/01/1975</t>
        </is>
      </c>
      <c r="E511" s="119" t="inlineStr">
        <is>
          <t>Giường Ngoại khoa loại 3 - Khoa Chấn thương chỉnh hình</t>
        </is>
      </c>
      <c r="F511" s="249" t="n">
        <v>1</v>
      </c>
      <c r="G511" s="249" t="n">
        <v>269200</v>
      </c>
    </row>
    <row r="512" ht="15.75" customHeight="1">
      <c r="A512" s="119" t="n">
        <v>504</v>
      </c>
      <c r="B512" s="119" t="inlineStr">
        <is>
          <t>2026/08/11 00:00</t>
        </is>
      </c>
      <c r="C512" s="119" t="inlineStr">
        <is>
          <t>NGUYỄN THỊ MAI CHI</t>
        </is>
      </c>
      <c r="D512" s="119" t="inlineStr">
        <is>
          <t>28/08/1990</t>
        </is>
      </c>
      <c r="E512" s="119" t="inlineStr">
        <is>
          <t>Giường Ngoại khoa loại 2 - Khoa Chấn thương chỉnh hình</t>
        </is>
      </c>
      <c r="F512" s="249" t="n">
        <v>1</v>
      </c>
      <c r="G512" s="249" t="n">
        <v>301600</v>
      </c>
    </row>
    <row r="513" ht="15.75" customHeight="1">
      <c r="A513" s="119" t="n">
        <v>505</v>
      </c>
      <c r="B513" s="119" t="inlineStr">
        <is>
          <t>2026/08/11 00:00</t>
        </is>
      </c>
      <c r="C513" s="119" t="inlineStr">
        <is>
          <t>NGUYỄN THỊ THÚY HẰNG</t>
        </is>
      </c>
      <c r="D513" s="119" t="inlineStr">
        <is>
          <t>02/07/1980</t>
        </is>
      </c>
      <c r="E513" s="119" t="inlineStr">
        <is>
          <t>Giường Nội khoa loại 2 - Khoa Chấn thương chỉnh hình</t>
        </is>
      </c>
      <c r="F513" s="249" t="n">
        <v>1</v>
      </c>
      <c r="G513" s="249" t="n">
        <v>222300</v>
      </c>
    </row>
    <row r="514" ht="15.75" customHeight="1">
      <c r="A514" s="119" t="n">
        <v>506</v>
      </c>
      <c r="B514" s="119" t="inlineStr">
        <is>
          <t>2026/08/11 00:00</t>
        </is>
      </c>
      <c r="C514" s="119" t="inlineStr">
        <is>
          <t>NGUYỄN THỊ XUÂN LAN</t>
        </is>
      </c>
      <c r="D514" s="119" t="inlineStr">
        <is>
          <t>30/12/1956</t>
        </is>
      </c>
      <c r="E514" s="119" t="inlineStr">
        <is>
          <t>Giường Nội khoa loại 2 - Khoa Chấn thương chỉnh hình</t>
        </is>
      </c>
      <c r="F514" s="249" t="n">
        <v>1</v>
      </c>
      <c r="G514" s="249" t="n">
        <v>222300</v>
      </c>
    </row>
    <row r="515" ht="15.75" customHeight="1">
      <c r="A515" s="119" t="n">
        <v>507</v>
      </c>
      <c r="B515" s="119" t="inlineStr">
        <is>
          <t>2026/08/11 00:00</t>
        </is>
      </c>
      <c r="C515" s="119" t="inlineStr">
        <is>
          <t>NGUYỄN THỊ ÁNH</t>
        </is>
      </c>
      <c r="D515" s="119" t="inlineStr">
        <is>
          <t>01/01/1958</t>
        </is>
      </c>
      <c r="E515" s="119" t="inlineStr">
        <is>
          <t>Giường Nội khoa loại 2 - Khoa Chấn thương chỉnh hình</t>
        </is>
      </c>
      <c r="F515" s="249" t="n">
        <v>1</v>
      </c>
      <c r="G515" s="249" t="n">
        <v>222300</v>
      </c>
    </row>
    <row r="516" ht="15.75" customHeight="1">
      <c r="A516" s="119" t="n">
        <v>508</v>
      </c>
      <c r="B516" s="119" t="inlineStr">
        <is>
          <t>2026/08/11 00:00</t>
        </is>
      </c>
      <c r="C516" s="119" t="inlineStr">
        <is>
          <t>PHAN THƯỢNG HẢI</t>
        </is>
      </c>
      <c r="D516" s="119" t="inlineStr">
        <is>
          <t>15/07/1972</t>
        </is>
      </c>
      <c r="E516" s="119" t="inlineStr">
        <is>
          <t>Giường Ngoại khoa loại 1 - Khoa Chấn thương chỉnh hình</t>
        </is>
      </c>
      <c r="F516" s="249" t="n">
        <v>1</v>
      </c>
      <c r="G516" s="249" t="n">
        <v>341800</v>
      </c>
    </row>
    <row r="517" ht="15.75" customHeight="1">
      <c r="A517" s="119" t="n">
        <v>509</v>
      </c>
      <c r="B517" s="119" t="inlineStr">
        <is>
          <t>2026/08/11 00:00</t>
        </is>
      </c>
      <c r="C517" s="119" t="inlineStr">
        <is>
          <t>VÕ THÀNH LONG</t>
        </is>
      </c>
      <c r="D517" s="119" t="inlineStr">
        <is>
          <t>06/06/1966</t>
        </is>
      </c>
      <c r="E517" s="119" t="inlineStr">
        <is>
          <t>Giường Nội khoa loại 2 - Khoa Chấn thương chỉnh hình</t>
        </is>
      </c>
      <c r="F517" s="249" t="n">
        <v>1</v>
      </c>
      <c r="G517" s="249" t="n">
        <v>222300</v>
      </c>
    </row>
    <row r="518" ht="15.75" customHeight="1">
      <c r="A518" s="119" t="n">
        <v>510</v>
      </c>
      <c r="B518" s="119" t="inlineStr">
        <is>
          <t>2026/08/11 00:00</t>
        </is>
      </c>
      <c r="C518" s="119" t="inlineStr">
        <is>
          <t>VĂNG VĂN ĐỒ</t>
        </is>
      </c>
      <c r="D518" s="119" t="inlineStr">
        <is>
          <t>25/05/1972</t>
        </is>
      </c>
      <c r="E518" s="119" t="inlineStr">
        <is>
          <t>Giường Nội khoa loại 2 - Khoa Chấn thương chỉnh hình</t>
        </is>
      </c>
      <c r="F518" s="249" t="n">
        <v>1</v>
      </c>
      <c r="G518" s="249" t="n">
        <v>222300</v>
      </c>
    </row>
    <row r="519" ht="15.75" customHeight="1">
      <c r="A519" s="119" t="n">
        <v>511</v>
      </c>
      <c r="B519" s="119" t="inlineStr">
        <is>
          <t>2026/08/11 00:00</t>
        </is>
      </c>
      <c r="C519" s="119" t="inlineStr">
        <is>
          <t>ĐOÀN THỊ NGUYÊN</t>
        </is>
      </c>
      <c r="D519" s="119" t="inlineStr">
        <is>
          <t>01/01/1936</t>
        </is>
      </c>
      <c r="E519" s="119" t="inlineStr">
        <is>
          <t>Giường Nội khoa loại 2 - Khoa Chấn thương chỉnh hình</t>
        </is>
      </c>
      <c r="F519" s="249" t="n">
        <v>1</v>
      </c>
      <c r="G519" s="249" t="n">
        <v>222300</v>
      </c>
    </row>
    <row r="520" ht="15.75" customHeight="1">
      <c r="A520" s="119" t="n">
        <v>512</v>
      </c>
      <c r="B520" s="119" t="inlineStr">
        <is>
          <t>2026/08/11 00:00</t>
        </is>
      </c>
      <c r="C520" s="119" t="inlineStr">
        <is>
          <t>LÊ THỊ ỬNG</t>
        </is>
      </c>
      <c r="D520" s="119" t="inlineStr">
        <is>
          <t>02/09/1953</t>
        </is>
      </c>
      <c r="E520" s="119" t="inlineStr">
        <is>
          <t>Giường Ngoại khoa loại 3 - Khoa Chấn thương chỉnh hình</t>
        </is>
      </c>
      <c r="F520" s="249" t="n">
        <v>1</v>
      </c>
      <c r="G520" s="249" t="n">
        <v>269200</v>
      </c>
    </row>
    <row r="521" ht="15.75" customHeight="1">
      <c r="A521" s="119" t="n">
        <v>513</v>
      </c>
      <c r="B521" s="119" t="inlineStr">
        <is>
          <t>2026/08/11 00:00</t>
        </is>
      </c>
      <c r="C521" s="119" t="inlineStr">
        <is>
          <t>NGUYỄN THỊ HÀ</t>
        </is>
      </c>
      <c r="D521" s="119" t="inlineStr">
        <is>
          <t>01/01/1954</t>
        </is>
      </c>
      <c r="E521" s="119" t="inlineStr">
        <is>
          <t>Giường Nội khoa loại 2 - Khoa Chấn thương chỉnh hình</t>
        </is>
      </c>
      <c r="F521" s="249" t="n">
        <v>1</v>
      </c>
      <c r="G521" s="249" t="n">
        <v>222300</v>
      </c>
    </row>
    <row r="522" ht="15.75" customHeight="1">
      <c r="A522" s="119" t="n">
        <v>514</v>
      </c>
      <c r="B522" s="119" t="inlineStr">
        <is>
          <t>2026/08/11 00:00</t>
        </is>
      </c>
      <c r="C522" s="119" t="inlineStr">
        <is>
          <t>TRƯƠNG VĂN ÚT</t>
        </is>
      </c>
      <c r="D522" s="119" t="inlineStr">
        <is>
          <t>01/01/1948</t>
        </is>
      </c>
      <c r="E522" s="119" t="inlineStr">
        <is>
          <t>Giường Ngoại khoa loại 3 - Khoa Chấn thương chỉnh hình</t>
        </is>
      </c>
      <c r="F522" s="249" t="n">
        <v>1</v>
      </c>
      <c r="G522" s="249" t="n">
        <v>269200</v>
      </c>
    </row>
    <row r="523" ht="15.75" customHeight="1">
      <c r="A523" s="119" t="n">
        <v>515</v>
      </c>
      <c r="B523" s="119" t="inlineStr">
        <is>
          <t>2026/08/11 00:00</t>
        </is>
      </c>
      <c r="C523" s="119" t="inlineStr">
        <is>
          <t>TRẦN THỊ KÍNH</t>
        </is>
      </c>
      <c r="D523" s="119" t="inlineStr">
        <is>
          <t>01/01/1951</t>
        </is>
      </c>
      <c r="E523" s="119" t="inlineStr">
        <is>
          <t>Giường Ngoại khoa loại 3 - Khoa Chấn thương chỉnh hình</t>
        </is>
      </c>
      <c r="F523" s="249" t="n">
        <v>1</v>
      </c>
      <c r="G523" s="249" t="n">
        <v>269200</v>
      </c>
    </row>
    <row r="524" ht="15.75" customHeight="1">
      <c r="A524" s="119" t="n">
        <v>516</v>
      </c>
      <c r="B524" s="119" t="inlineStr">
        <is>
          <t>2026/08/11 00:00</t>
        </is>
      </c>
      <c r="C524" s="119" t="inlineStr">
        <is>
          <t>TĂNG THỊ MIỀN</t>
        </is>
      </c>
      <c r="D524" s="119" t="inlineStr">
        <is>
          <t>01/01/1951</t>
        </is>
      </c>
      <c r="E524" s="119" t="inlineStr">
        <is>
          <t>Giường Ngoại khoa loại 3 - Khoa Chấn thương chỉnh hình</t>
        </is>
      </c>
      <c r="F524" s="249" t="n">
        <v>1</v>
      </c>
      <c r="G524" s="249" t="n">
        <v>269200</v>
      </c>
    </row>
    <row r="525" ht="15.75" customHeight="1">
      <c r="A525" s="119" t="n">
        <v>517</v>
      </c>
      <c r="B525" s="119" t="inlineStr">
        <is>
          <t>2026/08/11 00:00</t>
        </is>
      </c>
      <c r="C525" s="119" t="inlineStr">
        <is>
          <t>VÕ VĂN ÚT</t>
        </is>
      </c>
      <c r="D525" s="119" t="inlineStr">
        <is>
          <t>01/01/1952</t>
        </is>
      </c>
      <c r="E525" s="119" t="inlineStr">
        <is>
          <t>Giường Ngoại khoa loại 2 - Khoa Chấn thương chỉnh hình</t>
        </is>
      </c>
      <c r="F525" s="249" t="n">
        <v>1</v>
      </c>
      <c r="G525" s="249" t="n">
        <v>301600</v>
      </c>
    </row>
    <row r="526" ht="15.75" customHeight="1">
      <c r="A526" s="119" t="n">
        <v>518</v>
      </c>
      <c r="B526" s="119" t="inlineStr">
        <is>
          <t>2026/08/11 00:00</t>
        </is>
      </c>
      <c r="C526" s="119" t="inlineStr">
        <is>
          <t>ĐẶNG THANH PHONG</t>
        </is>
      </c>
      <c r="D526" s="119" t="inlineStr">
        <is>
          <t>01/01/1976</t>
        </is>
      </c>
      <c r="E526" s="119" t="inlineStr">
        <is>
          <t>Giường Ngoại khoa loại 1 - Khoa Chấn thương chỉnh hình</t>
        </is>
      </c>
      <c r="F526" s="249" t="n">
        <v>1</v>
      </c>
      <c r="G526" s="249" t="n">
        <v>341800</v>
      </c>
    </row>
    <row r="527" ht="15.75" customHeight="1">
      <c r="A527" s="119" t="n">
        <v>519</v>
      </c>
      <c r="B527" s="119" t="inlineStr">
        <is>
          <t>2026/08/11 07:48</t>
        </is>
      </c>
      <c r="C527" s="119" t="inlineStr">
        <is>
          <t>PHẠM VĂN LONG</t>
        </is>
      </c>
      <c r="D527" s="119" t="inlineStr">
        <is>
          <t>01/01/1986</t>
        </is>
      </c>
      <c r="E527" s="119" t="inlineStr">
        <is>
          <t>Giường Nội khoa loại 2 - Khoa Chấn thương chỉnh hình</t>
        </is>
      </c>
      <c r="F527" s="249" t="n">
        <v>1</v>
      </c>
      <c r="G527" s="249" t="n">
        <v>222300</v>
      </c>
    </row>
    <row r="528" ht="15.75" customHeight="1">
      <c r="A528" s="119" t="n">
        <v>520</v>
      </c>
      <c r="B528" s="119" t="inlineStr">
        <is>
          <t>2026/08/11 08:36</t>
        </is>
      </c>
      <c r="C528" s="119" t="inlineStr">
        <is>
          <t>NGUYỄN THỊ ÚT EM</t>
        </is>
      </c>
      <c r="D528" s="119" t="inlineStr">
        <is>
          <t>01/01/1962</t>
        </is>
      </c>
      <c r="E528" s="119" t="inlineStr">
        <is>
          <t>Giường Nội khoa loại 2 - Khoa Chấn thương chỉnh hình</t>
        </is>
      </c>
      <c r="F528" s="249" t="n">
        <v>1</v>
      </c>
      <c r="G528" s="249" t="n">
        <v>222300</v>
      </c>
    </row>
    <row r="529" ht="15.75" customHeight="1">
      <c r="A529" s="119" t="n">
        <v>521</v>
      </c>
      <c r="B529" s="119" t="inlineStr">
        <is>
          <t>2026/08/11 08:44</t>
        </is>
      </c>
      <c r="C529" s="119" t="inlineStr">
        <is>
          <t>TẠ HOÀNG VÂN</t>
        </is>
      </c>
      <c r="D529" s="119" t="inlineStr">
        <is>
          <t>01/01/1961</t>
        </is>
      </c>
      <c r="E529" s="119" t="inlineStr">
        <is>
          <t>Giường Nội khoa loại 2 - Khoa Chấn thương chỉnh hình</t>
        </is>
      </c>
      <c r="F529" s="249" t="n">
        <v>1</v>
      </c>
      <c r="G529" s="249" t="n">
        <v>222300</v>
      </c>
    </row>
    <row r="530" ht="15.75" customHeight="1">
      <c r="A530" s="119" t="n">
        <v>522</v>
      </c>
      <c r="B530" s="119" t="inlineStr">
        <is>
          <t>2026/08/11 09:00</t>
        </is>
      </c>
      <c r="C530" s="119" t="inlineStr">
        <is>
          <t>NGUYỄN THỊ HẰNG</t>
        </is>
      </c>
      <c r="D530" s="119" t="inlineStr">
        <is>
          <t>15/02/1963</t>
        </is>
      </c>
      <c r="E530" s="119" t="inlineStr">
        <is>
          <t>Giường Nội khoa loại 2 - Khoa Chấn thương chỉnh hình</t>
        </is>
      </c>
      <c r="F530" s="249" t="n">
        <v>1</v>
      </c>
      <c r="G530" s="249" t="n">
        <v>222300</v>
      </c>
    </row>
    <row r="531" ht="15.75" customHeight="1">
      <c r="A531" s="119" t="n">
        <v>523</v>
      </c>
      <c r="B531" s="119" t="inlineStr">
        <is>
          <t>2026/08/11 09:00</t>
        </is>
      </c>
      <c r="C531" s="119" t="inlineStr">
        <is>
          <t>TRẦN LỆ XUÂN</t>
        </is>
      </c>
      <c r="D531" s="119" t="inlineStr">
        <is>
          <t>01/01/1964</t>
        </is>
      </c>
      <c r="E531" s="119" t="inlineStr">
        <is>
          <t>Giường Nội khoa loại 2 - Khoa Chấn thương chỉnh hình</t>
        </is>
      </c>
      <c r="F531" s="249" t="n">
        <v>1</v>
      </c>
      <c r="G531" s="249" t="n">
        <v>222300</v>
      </c>
    </row>
    <row r="532" ht="15.75" customHeight="1">
      <c r="A532" s="119" t="n">
        <v>524</v>
      </c>
      <c r="B532" s="119" t="inlineStr">
        <is>
          <t>2026/08/11 10:00</t>
        </is>
      </c>
      <c r="C532" s="119" t="inlineStr">
        <is>
          <t>NGUYỄN THỊ PHƯỢNG</t>
        </is>
      </c>
      <c r="D532" s="119" t="inlineStr">
        <is>
          <t>01/01/1977</t>
        </is>
      </c>
      <c r="E532" s="119" t="inlineStr">
        <is>
          <t>Giường Ngoại khoa loại 2 - Khoa Chấn thương chỉnh hình</t>
        </is>
      </c>
      <c r="F532" s="249" t="n">
        <v>1</v>
      </c>
      <c r="G532" s="249" t="n">
        <v>301600</v>
      </c>
    </row>
    <row r="533" ht="15.75" customHeight="1">
      <c r="A533" s="119" t="n">
        <v>525</v>
      </c>
      <c r="B533" s="119" t="inlineStr">
        <is>
          <t>2026/08/11 10:25</t>
        </is>
      </c>
      <c r="C533" s="119" t="inlineStr">
        <is>
          <t>TRẦN THỊ HIẾU</t>
        </is>
      </c>
      <c r="D533" s="119" t="inlineStr">
        <is>
          <t>28/06/2010</t>
        </is>
      </c>
      <c r="E533" s="119" t="inlineStr">
        <is>
          <t>Giường Nội khoa loại 2 - Khoa Chấn thương chỉnh hình</t>
        </is>
      </c>
      <c r="F533" s="249" t="n">
        <v>1</v>
      </c>
      <c r="G533" s="249" t="n">
        <v>222300</v>
      </c>
    </row>
    <row r="534" ht="15.75" customHeight="1">
      <c r="A534" s="119" t="n">
        <v>526</v>
      </c>
      <c r="B534" s="119" t="inlineStr">
        <is>
          <t>2026/08/11 12:15</t>
        </is>
      </c>
      <c r="C534" s="119" t="inlineStr">
        <is>
          <t>HỒ THỊ NGỰ</t>
        </is>
      </c>
      <c r="D534" s="119" t="inlineStr">
        <is>
          <t>01/01/1969</t>
        </is>
      </c>
      <c r="E534" s="119" t="inlineStr">
        <is>
          <t>Giường Ngoại khoa loại 3 - Khoa Chấn thương chỉnh hình</t>
        </is>
      </c>
      <c r="F534" s="249" t="n">
        <v>1</v>
      </c>
      <c r="G534" s="249" t="n">
        <v>269200</v>
      </c>
    </row>
    <row r="535" ht="15.75" customHeight="1">
      <c r="A535" s="119" t="n">
        <v>527</v>
      </c>
      <c r="B535" s="119" t="inlineStr">
        <is>
          <t>2026/08/11 14:02</t>
        </is>
      </c>
      <c r="C535" s="119" t="inlineStr">
        <is>
          <t>LÊ HOÀNG VIỆT</t>
        </is>
      </c>
      <c r="D535" s="119" t="inlineStr">
        <is>
          <t>22/08/1999</t>
        </is>
      </c>
      <c r="E535" s="119" t="inlineStr">
        <is>
          <t>Giường Ngoại khoa loại 3 - Khoa Chấn thương chỉnh hình</t>
        </is>
      </c>
      <c r="F535" s="249" t="n">
        <v>1</v>
      </c>
      <c r="G535" s="249" t="n">
        <v>269200</v>
      </c>
    </row>
    <row r="536" ht="15.75" customHeight="1">
      <c r="A536" s="119" t="n">
        <v>528</v>
      </c>
      <c r="B536" s="119" t="inlineStr">
        <is>
          <t>2026/08/11 14:14</t>
        </is>
      </c>
      <c r="C536" s="119" t="inlineStr">
        <is>
          <t>ĐẶNG ĐÌNH BẰNG</t>
        </is>
      </c>
      <c r="D536" s="119" t="inlineStr">
        <is>
          <t>25/08/1985</t>
        </is>
      </c>
      <c r="E536" s="119" t="inlineStr">
        <is>
          <t>Giường Ngoại khoa loại 1 - Khoa Chấn thương chỉnh hình</t>
        </is>
      </c>
      <c r="F536" s="249" t="n">
        <v>1</v>
      </c>
      <c r="G536" s="249" t="n">
        <v>341800</v>
      </c>
    </row>
    <row r="537" ht="15.75" customHeight="1">
      <c r="A537" s="119" t="n">
        <v>529</v>
      </c>
      <c r="B537" s="119" t="inlineStr">
        <is>
          <t>2026/08/11 15:42</t>
        </is>
      </c>
      <c r="C537" s="119" t="inlineStr">
        <is>
          <t>VÕ VĂN ĐOÀN</t>
        </is>
      </c>
      <c r="D537" s="119" t="inlineStr">
        <is>
          <t>15/08/1978</t>
        </is>
      </c>
      <c r="E537" s="119" t="inlineStr">
        <is>
          <t>Giường Nội khoa loại 2 - Khoa Chấn thương chỉnh hình</t>
        </is>
      </c>
      <c r="F537" s="249" t="n">
        <v>1</v>
      </c>
      <c r="G537" s="249" t="n">
        <v>222300</v>
      </c>
    </row>
    <row r="538" ht="15.75" customHeight="1">
      <c r="A538" s="119" t="n">
        <v>530</v>
      </c>
      <c r="B538" s="119" t="inlineStr">
        <is>
          <t>2026/08/11 16:00</t>
        </is>
      </c>
      <c r="C538" s="119" t="inlineStr">
        <is>
          <t>TRẦN HIỀN</t>
        </is>
      </c>
      <c r="D538" s="119" t="inlineStr">
        <is>
          <t>01/01/1971</t>
        </is>
      </c>
      <c r="E538" s="119" t="inlineStr">
        <is>
          <t>Giường Nội khoa loại 2 - Khoa Chấn thương chỉnh hình</t>
        </is>
      </c>
      <c r="F538" s="249" t="n">
        <v>1</v>
      </c>
      <c r="G538" s="249" t="n">
        <v>222300</v>
      </c>
    </row>
    <row r="539" ht="15.75" customHeight="1">
      <c r="A539" s="119" t="n">
        <v>531</v>
      </c>
      <c r="B539" s="119" t="inlineStr">
        <is>
          <t>2026/08/11 16:15</t>
        </is>
      </c>
      <c r="C539" s="119" t="inlineStr">
        <is>
          <t>NGUYỄN THỊ TÁM</t>
        </is>
      </c>
      <c r="D539" s="119" t="inlineStr">
        <is>
          <t>01/01/1957</t>
        </is>
      </c>
      <c r="E539" s="119" t="inlineStr">
        <is>
          <t>Giường Nội khoa loại 2 - Khoa Chấn thương chỉnh hình</t>
        </is>
      </c>
      <c r="F539" s="249" t="n">
        <v>1</v>
      </c>
      <c r="G539" s="249" t="n">
        <v>222300</v>
      </c>
    </row>
    <row r="540" ht="15.75" customHeight="1">
      <c r="A540" s="119" t="n">
        <v>532</v>
      </c>
      <c r="B540" s="119" t="inlineStr">
        <is>
          <t>2026/08/11 16:16</t>
        </is>
      </c>
      <c r="C540" s="119" t="inlineStr">
        <is>
          <t>BÙI THỊ TRÀ</t>
        </is>
      </c>
      <c r="D540" s="119" t="inlineStr">
        <is>
          <t>22/09/1958</t>
        </is>
      </c>
      <c r="E540" s="119" t="inlineStr">
        <is>
          <t>Giường Nội khoa loại 2 - Khoa Chấn thương chỉnh hình</t>
        </is>
      </c>
      <c r="F540" s="249" t="n">
        <v>1</v>
      </c>
      <c r="G540" s="249" t="n">
        <v>222300</v>
      </c>
    </row>
    <row r="541" ht="15.75" customHeight="1">
      <c r="A541" s="119" t="n">
        <v>533</v>
      </c>
      <c r="B541" s="119" t="inlineStr">
        <is>
          <t>2026/08/11 18:00</t>
        </is>
      </c>
      <c r="C541" s="119" t="inlineStr">
        <is>
          <t>NGUYỄN ĐỨC TÍN</t>
        </is>
      </c>
      <c r="D541" s="119" t="inlineStr">
        <is>
          <t>04/01/1986</t>
        </is>
      </c>
      <c r="E541" s="119" t="inlineStr">
        <is>
          <t>Giường Ngoại khoa loại 3 - Khoa Chấn thương chỉnh hình</t>
        </is>
      </c>
      <c r="F541" s="249" t="n">
        <v>1</v>
      </c>
      <c r="G541" s="249" t="n">
        <v>269200</v>
      </c>
    </row>
    <row r="542" ht="15.75" customHeight="1">
      <c r="A542" s="119" t="n">
        <v>534</v>
      </c>
      <c r="B542" s="119" t="inlineStr">
        <is>
          <t>2026/08/11 18:00</t>
        </is>
      </c>
      <c r="C542" s="119" t="inlineStr">
        <is>
          <t>VĂN ĐẮC SƠN TÂY</t>
        </is>
      </c>
      <c r="D542" s="119" t="inlineStr">
        <is>
          <t>15/11/1991</t>
        </is>
      </c>
      <c r="E542" s="119" t="inlineStr">
        <is>
          <t>Giường Ngoại khoa loại 3 - Khoa Chấn thương chỉnh hình</t>
        </is>
      </c>
      <c r="F542" s="249" t="n">
        <v>1</v>
      </c>
      <c r="G542" s="249" t="n">
        <v>269200</v>
      </c>
    </row>
    <row r="543" ht="15.75" customHeight="1">
      <c r="A543" s="119" t="n">
        <v>535</v>
      </c>
      <c r="B543" s="119" t="inlineStr">
        <is>
          <t>2026/08/11 18:11</t>
        </is>
      </c>
      <c r="C543" s="119" t="inlineStr">
        <is>
          <t>NGÔ HỒNG QUẢNG</t>
        </is>
      </c>
      <c r="D543" s="119" t="inlineStr">
        <is>
          <t>13/03/1962</t>
        </is>
      </c>
      <c r="E543" s="119" t="inlineStr">
        <is>
          <t>Giường Ngoại khoa loại 3 - Khoa Chấn thương chỉnh hình</t>
        </is>
      </c>
      <c r="F543" s="249" t="n">
        <v>1</v>
      </c>
      <c r="G543" s="249" t="n">
        <v>269200</v>
      </c>
    </row>
    <row r="544" ht="15.75" customHeight="1">
      <c r="A544" s="119" t="n">
        <v>536</v>
      </c>
      <c r="B544" s="119" t="inlineStr">
        <is>
          <t>2026/08/11 18:16</t>
        </is>
      </c>
      <c r="C544" s="119" t="inlineStr">
        <is>
          <t>TRƯƠNG TRUNG TRỰC</t>
        </is>
      </c>
      <c r="D544" s="119" t="inlineStr">
        <is>
          <t>01/09/1942</t>
        </is>
      </c>
      <c r="E544" s="119" t="inlineStr">
        <is>
          <t>Giường Ngoại khoa loại 1 - Khoa Chấn thương chỉnh hình</t>
        </is>
      </c>
      <c r="F544" s="249" t="n">
        <v>1</v>
      </c>
      <c r="G544" s="249" t="n">
        <v>341800</v>
      </c>
    </row>
    <row r="545" ht="15.75" customHeight="1">
      <c r="A545" s="119" t="n">
        <v>537</v>
      </c>
      <c r="B545" s="119" t="inlineStr">
        <is>
          <t>2026/08/11 21:05</t>
        </is>
      </c>
      <c r="C545" s="119" t="inlineStr">
        <is>
          <t>NGUYỄN THỊ TUYỀN</t>
        </is>
      </c>
      <c r="D545" s="119" t="inlineStr">
        <is>
          <t>20/09/1969</t>
        </is>
      </c>
      <c r="E545" s="119" t="inlineStr">
        <is>
          <t>Giường Nội khoa loại 2 - Khoa Chấn thương chỉnh hình</t>
        </is>
      </c>
      <c r="F545" s="249" t="n">
        <v>1</v>
      </c>
      <c r="G545" s="249" t="n">
        <v>222300</v>
      </c>
    </row>
    <row r="546" ht="15.75" customHeight="1">
      <c r="A546" s="119" t="n">
        <v>538</v>
      </c>
      <c r="B546" s="119" t="inlineStr">
        <is>
          <t>2026/08/12 00:00</t>
        </is>
      </c>
      <c r="C546" s="119" t="inlineStr">
        <is>
          <t>BÙI THỊ TRÀ</t>
        </is>
      </c>
      <c r="D546" s="119" t="inlineStr">
        <is>
          <t>22/09/1958</t>
        </is>
      </c>
      <c r="E546" s="119" t="inlineStr">
        <is>
          <t>Giường Nội khoa loại 2 - Khoa Chấn thương chỉnh hình</t>
        </is>
      </c>
      <c r="F546" s="249" t="n">
        <v>1</v>
      </c>
      <c r="G546" s="249" t="n">
        <v>222300</v>
      </c>
    </row>
    <row r="547" ht="15.75" customHeight="1">
      <c r="A547" s="119" t="n">
        <v>539</v>
      </c>
      <c r="B547" s="119" t="inlineStr">
        <is>
          <t>2026/08/12 00:00</t>
        </is>
      </c>
      <c r="C547" s="119" t="inlineStr">
        <is>
          <t>BÙI VĂN BẢY</t>
        </is>
      </c>
      <c r="D547" s="119" t="inlineStr">
        <is>
          <t>01/01/1963</t>
        </is>
      </c>
      <c r="E547" s="119" t="inlineStr">
        <is>
          <t>Giường Nội khoa loại 2 - Khoa Chấn thương chỉnh hình</t>
        </is>
      </c>
      <c r="F547" s="249" t="n">
        <v>1</v>
      </c>
      <c r="G547" s="249" t="n">
        <v>222300</v>
      </c>
    </row>
    <row r="548" ht="15.75" customHeight="1">
      <c r="A548" s="119" t="n">
        <v>540</v>
      </c>
      <c r="B548" s="119" t="inlineStr">
        <is>
          <t>2026/08/12 00:00</t>
        </is>
      </c>
      <c r="C548" s="119" t="inlineStr">
        <is>
          <t>HUỲNH GIA TIẾN</t>
        </is>
      </c>
      <c r="D548" s="119" t="inlineStr">
        <is>
          <t>09/07/1988</t>
        </is>
      </c>
      <c r="E548" s="119" t="inlineStr">
        <is>
          <t>Giường Nội khoa loại 2 - Khoa Chấn thương chỉnh hình</t>
        </is>
      </c>
      <c r="F548" s="249" t="n">
        <v>1</v>
      </c>
      <c r="G548" s="249" t="n">
        <v>222300</v>
      </c>
    </row>
    <row r="549" ht="15.75" customHeight="1">
      <c r="A549" s="119" t="n">
        <v>541</v>
      </c>
      <c r="B549" s="119" t="inlineStr">
        <is>
          <t>2026/08/12 00:00</t>
        </is>
      </c>
      <c r="C549" s="119" t="inlineStr">
        <is>
          <t>HUỲNH VIỆT DŨNG</t>
        </is>
      </c>
      <c r="D549" s="119" t="inlineStr">
        <is>
          <t>11/04/2004</t>
        </is>
      </c>
      <c r="E549" s="119" t="inlineStr">
        <is>
          <t>Giường Ngoại khoa loại 1 - Khoa Chấn thương chỉnh hình</t>
        </is>
      </c>
      <c r="F549" s="249" t="n">
        <v>1</v>
      </c>
      <c r="G549" s="249" t="n">
        <v>341800</v>
      </c>
    </row>
    <row r="550" ht="15.75" customHeight="1">
      <c r="A550" s="119" t="n">
        <v>542</v>
      </c>
      <c r="B550" s="119" t="inlineStr">
        <is>
          <t>2026/08/12 00:00</t>
        </is>
      </c>
      <c r="C550" s="119" t="inlineStr">
        <is>
          <t>LÊ THỊ CÚC</t>
        </is>
      </c>
      <c r="D550" s="119" t="inlineStr">
        <is>
          <t>01/01/1962</t>
        </is>
      </c>
      <c r="E550" s="119" t="inlineStr">
        <is>
          <t>Giường Nội khoa loại 2 - Khoa Chấn thương chỉnh hình</t>
        </is>
      </c>
      <c r="F550" s="249" t="n">
        <v>1</v>
      </c>
      <c r="G550" s="249" t="n">
        <v>222300</v>
      </c>
    </row>
    <row r="551" ht="15.75" customHeight="1">
      <c r="A551" s="119" t="n">
        <v>543</v>
      </c>
      <c r="B551" s="119" t="inlineStr">
        <is>
          <t>2026/08/12 00:00</t>
        </is>
      </c>
      <c r="C551" s="119" t="inlineStr">
        <is>
          <t>NGUYỄN THỊ HƯƠNG</t>
        </is>
      </c>
      <c r="D551" s="119" t="inlineStr">
        <is>
          <t>02/07/1965</t>
        </is>
      </c>
      <c r="E551" s="119" t="inlineStr">
        <is>
          <t>Giường Ngoại khoa loại 4 - Khoa Chấn thương chỉnh hình</t>
        </is>
      </c>
      <c r="F551" s="249" t="n">
        <v>1</v>
      </c>
      <c r="G551" s="249" t="n">
        <v>229200</v>
      </c>
    </row>
    <row r="552" ht="15.75" customHeight="1">
      <c r="A552" s="119" t="n">
        <v>544</v>
      </c>
      <c r="B552" s="119" t="inlineStr">
        <is>
          <t>2026/08/12 00:00</t>
        </is>
      </c>
      <c r="C552" s="119" t="inlineStr">
        <is>
          <t>NGUYỄN THỊ HƯỞNG</t>
        </is>
      </c>
      <c r="D552" s="119" t="inlineStr">
        <is>
          <t>12/04/1971</t>
        </is>
      </c>
      <c r="E552" s="119" t="inlineStr">
        <is>
          <t>Giường Nội khoa loại 2 - Khoa Chấn thương chỉnh hình</t>
        </is>
      </c>
      <c r="F552" s="249" t="n">
        <v>1</v>
      </c>
      <c r="G552" s="249" t="n">
        <v>222300</v>
      </c>
    </row>
    <row r="553" ht="15.75" customHeight="1">
      <c r="A553" s="119" t="n">
        <v>545</v>
      </c>
      <c r="B553" s="119" t="inlineStr">
        <is>
          <t>2026/08/12 00:00</t>
        </is>
      </c>
      <c r="C553" s="119" t="inlineStr">
        <is>
          <t>NGUYỄN THỊ HẰNG</t>
        </is>
      </c>
      <c r="D553" s="119" t="inlineStr">
        <is>
          <t>15/02/1963</t>
        </is>
      </c>
      <c r="E553" s="119" t="inlineStr">
        <is>
          <t>Giường Nội khoa loại 2 - Khoa Chấn thương chỉnh hình</t>
        </is>
      </c>
      <c r="F553" s="249" t="n">
        <v>1</v>
      </c>
      <c r="G553" s="249" t="n">
        <v>222300</v>
      </c>
    </row>
    <row r="554" ht="15.75" customHeight="1">
      <c r="A554" s="119" t="n">
        <v>546</v>
      </c>
      <c r="B554" s="119" t="inlineStr">
        <is>
          <t>2026/08/12 00:00</t>
        </is>
      </c>
      <c r="C554" s="119" t="inlineStr">
        <is>
          <t>NGUYỄN THỊ THÚY HẰNG</t>
        </is>
      </c>
      <c r="D554" s="119" t="inlineStr">
        <is>
          <t>02/07/1980</t>
        </is>
      </c>
      <c r="E554" s="119" t="inlineStr">
        <is>
          <t>Giường Nội khoa loại 2 - Khoa Chấn thương chỉnh hình</t>
        </is>
      </c>
      <c r="F554" s="249" t="n">
        <v>1</v>
      </c>
      <c r="G554" s="249" t="n">
        <v>222300</v>
      </c>
    </row>
    <row r="555" ht="15.75" customHeight="1">
      <c r="A555" s="119" t="n">
        <v>547</v>
      </c>
      <c r="B555" s="119" t="inlineStr">
        <is>
          <t>2026/08/12 00:00</t>
        </is>
      </c>
      <c r="C555" s="119" t="inlineStr">
        <is>
          <t>NGUYỄN THỊ XUÂN LAN</t>
        </is>
      </c>
      <c r="D555" s="119" t="inlineStr">
        <is>
          <t>30/12/1956</t>
        </is>
      </c>
      <c r="E555" s="119" t="inlineStr">
        <is>
          <t>Giường Nội khoa loại 2 - Khoa Chấn thương chỉnh hình</t>
        </is>
      </c>
      <c r="F555" s="249" t="n">
        <v>1</v>
      </c>
      <c r="G555" s="249" t="n">
        <v>222300</v>
      </c>
    </row>
    <row r="556" ht="15.75" customHeight="1">
      <c r="A556" s="119" t="n">
        <v>548</v>
      </c>
      <c r="B556" s="119" t="inlineStr">
        <is>
          <t>2026/08/12 00:00</t>
        </is>
      </c>
      <c r="C556" s="119" t="inlineStr">
        <is>
          <t>NGUYỄN ĐỨC TÍN</t>
        </is>
      </c>
      <c r="D556" s="119" t="inlineStr">
        <is>
          <t>04/01/1986</t>
        </is>
      </c>
      <c r="E556" s="119" t="inlineStr">
        <is>
          <t>Giường Ngoại khoa loại 3 - Khoa Chấn thương chỉnh hình</t>
        </is>
      </c>
      <c r="F556" s="249" t="n">
        <v>1</v>
      </c>
      <c r="G556" s="249" t="n">
        <v>269200</v>
      </c>
    </row>
    <row r="557" ht="15.75" customHeight="1">
      <c r="A557" s="119" t="n">
        <v>549</v>
      </c>
      <c r="B557" s="119" t="inlineStr">
        <is>
          <t>2026/08/12 00:00</t>
        </is>
      </c>
      <c r="C557" s="119" t="inlineStr">
        <is>
          <t>PHẠM VĂN LONG</t>
        </is>
      </c>
      <c r="D557" s="119" t="inlineStr">
        <is>
          <t>01/01/1986</t>
        </is>
      </c>
      <c r="E557" s="119" t="inlineStr">
        <is>
          <t>Giường Nội khoa loại 2 - Khoa Chấn thương chỉnh hình</t>
        </is>
      </c>
      <c r="F557" s="249" t="n">
        <v>1</v>
      </c>
      <c r="G557" s="249" t="n">
        <v>222300</v>
      </c>
    </row>
    <row r="558" ht="15.75" customHeight="1">
      <c r="A558" s="119" t="n">
        <v>550</v>
      </c>
      <c r="B558" s="119" t="inlineStr">
        <is>
          <t>2026/08/12 00:00</t>
        </is>
      </c>
      <c r="C558" s="119" t="inlineStr">
        <is>
          <t>TRƯƠNG TRUNG TRỰC</t>
        </is>
      </c>
      <c r="D558" s="119" t="inlineStr">
        <is>
          <t>01/09/1942</t>
        </is>
      </c>
      <c r="E558" s="119" t="inlineStr">
        <is>
          <t>Giường Ngoại khoa loại 1 - Khoa Chấn thương chỉnh hình</t>
        </is>
      </c>
      <c r="F558" s="249" t="n">
        <v>1</v>
      </c>
      <c r="G558" s="249" t="n">
        <v>341800</v>
      </c>
    </row>
    <row r="559" ht="15.75" customHeight="1">
      <c r="A559" s="119" t="n">
        <v>551</v>
      </c>
      <c r="B559" s="119" t="inlineStr">
        <is>
          <t>2026/08/12 00:00</t>
        </is>
      </c>
      <c r="C559" s="119" t="inlineStr">
        <is>
          <t>TRẦN HIỀN</t>
        </is>
      </c>
      <c r="D559" s="119" t="inlineStr">
        <is>
          <t>01/01/1971</t>
        </is>
      </c>
      <c r="E559" s="119" t="inlineStr">
        <is>
          <t>Giường Nội khoa loại 2 - Khoa Chấn thương chỉnh hình</t>
        </is>
      </c>
      <c r="F559" s="249" t="n">
        <v>1</v>
      </c>
      <c r="G559" s="249" t="n">
        <v>222300</v>
      </c>
    </row>
    <row r="560" ht="15.75" customHeight="1">
      <c r="A560" s="119" t="n">
        <v>552</v>
      </c>
      <c r="B560" s="119" t="inlineStr">
        <is>
          <t>2026/08/12 00:00</t>
        </is>
      </c>
      <c r="C560" s="119" t="inlineStr">
        <is>
          <t>TRẦN THỊ HIẾU</t>
        </is>
      </c>
      <c r="D560" s="119" t="inlineStr">
        <is>
          <t>28/06/2010</t>
        </is>
      </c>
      <c r="E560" s="119" t="inlineStr">
        <is>
          <t>Giường Nội khoa loại 2 - Khoa Chấn thương chỉnh hình</t>
        </is>
      </c>
      <c r="F560" s="249" t="n">
        <v>1</v>
      </c>
      <c r="G560" s="249" t="n">
        <v>222300</v>
      </c>
    </row>
    <row r="561" ht="15.75" customHeight="1">
      <c r="A561" s="119" t="n">
        <v>553</v>
      </c>
      <c r="B561" s="119" t="inlineStr">
        <is>
          <t>2026/08/12 00:00</t>
        </is>
      </c>
      <c r="C561" s="119" t="inlineStr">
        <is>
          <t>TẠ HOÀNG VÂN</t>
        </is>
      </c>
      <c r="D561" s="119" t="inlineStr">
        <is>
          <t>01/01/1961</t>
        </is>
      </c>
      <c r="E561" s="119" t="inlineStr">
        <is>
          <t>Giường Nội khoa loại 2 - Khoa Chấn thương chỉnh hình</t>
        </is>
      </c>
      <c r="F561" s="249" t="n">
        <v>1</v>
      </c>
      <c r="G561" s="249" t="n">
        <v>222300</v>
      </c>
    </row>
    <row r="562" ht="15.75" customHeight="1">
      <c r="A562" s="119" t="n">
        <v>554</v>
      </c>
      <c r="B562" s="119" t="inlineStr">
        <is>
          <t>2026/08/12 00:00</t>
        </is>
      </c>
      <c r="C562" s="119" t="inlineStr">
        <is>
          <t>VÕ VĂN ĐOÀN</t>
        </is>
      </c>
      <c r="D562" s="119" t="inlineStr">
        <is>
          <t>15/08/1978</t>
        </is>
      </c>
      <c r="E562" s="119" t="inlineStr">
        <is>
          <t>Giường Nội khoa loại 2 - Khoa Chấn thương chỉnh hình</t>
        </is>
      </c>
      <c r="F562" s="249" t="n">
        <v>1</v>
      </c>
      <c r="G562" s="249" t="n">
        <v>222300</v>
      </c>
    </row>
    <row r="563" ht="15.75" customHeight="1">
      <c r="A563" s="119" t="n">
        <v>555</v>
      </c>
      <c r="B563" s="119" t="inlineStr">
        <is>
          <t>2026/08/12 00:00</t>
        </is>
      </c>
      <c r="C563" s="119" t="inlineStr">
        <is>
          <t>VĂN ĐẮC SƠN TÂY</t>
        </is>
      </c>
      <c r="D563" s="119" t="inlineStr">
        <is>
          <t>15/11/1991</t>
        </is>
      </c>
      <c r="E563" s="119" t="inlineStr">
        <is>
          <t>Giường Ngoại khoa loại 3 - Khoa Chấn thương chỉnh hình</t>
        </is>
      </c>
      <c r="F563" s="249" t="n">
        <v>1</v>
      </c>
      <c r="G563" s="249" t="n">
        <v>269200</v>
      </c>
    </row>
    <row r="564" ht="15.75" customHeight="1">
      <c r="A564" s="119" t="n">
        <v>556</v>
      </c>
      <c r="B564" s="119" t="inlineStr">
        <is>
          <t>2026/08/12 00:00</t>
        </is>
      </c>
      <c r="C564" s="119" t="inlineStr">
        <is>
          <t>VĂNG VĂN ĐỒ</t>
        </is>
      </c>
      <c r="D564" s="119" t="inlineStr">
        <is>
          <t>25/05/1972</t>
        </is>
      </c>
      <c r="E564" s="119" t="inlineStr">
        <is>
          <t>Giường Nội khoa loại 2 - Khoa Chấn thương chỉnh hình</t>
        </is>
      </c>
      <c r="F564" s="249" t="n">
        <v>1</v>
      </c>
      <c r="G564" s="249" t="n">
        <v>222300</v>
      </c>
    </row>
    <row r="565" ht="15.75" customHeight="1">
      <c r="A565" s="119" t="n">
        <v>557</v>
      </c>
      <c r="B565" s="119" t="inlineStr">
        <is>
          <t>2026/08/12 00:00</t>
        </is>
      </c>
      <c r="C565" s="119" t="inlineStr">
        <is>
          <t>ĐOÀN THỊ NGUYÊN</t>
        </is>
      </c>
      <c r="D565" s="119" t="inlineStr">
        <is>
          <t>01/01/1936</t>
        </is>
      </c>
      <c r="E565" s="119" t="inlineStr">
        <is>
          <t>Giường Nội khoa loại 2 - Khoa Chấn thương chỉnh hình</t>
        </is>
      </c>
      <c r="F565" s="249" t="n">
        <v>1</v>
      </c>
      <c r="G565" s="249" t="n">
        <v>222300</v>
      </c>
    </row>
    <row r="566" ht="15.75" customHeight="1">
      <c r="A566" s="119" t="n">
        <v>558</v>
      </c>
      <c r="B566" s="119" t="inlineStr">
        <is>
          <t>2026/08/12 00:00</t>
        </is>
      </c>
      <c r="C566" s="119" t="inlineStr">
        <is>
          <t>ĐẶNG ĐÌNH BẰNG</t>
        </is>
      </c>
      <c r="D566" s="119" t="inlineStr">
        <is>
          <t>25/08/1985</t>
        </is>
      </c>
      <c r="E566" s="119" t="inlineStr">
        <is>
          <t>Giường Ngoại khoa loại 1 - Khoa Chấn thương chỉnh hình</t>
        </is>
      </c>
      <c r="F566" s="249" t="n">
        <v>1</v>
      </c>
      <c r="G566" s="249" t="n">
        <v>341800</v>
      </c>
    </row>
    <row r="567" ht="15.75" customHeight="1">
      <c r="A567" s="119" t="n">
        <v>559</v>
      </c>
      <c r="B567" s="119" t="inlineStr">
        <is>
          <t>2026/08/12 00:00</t>
        </is>
      </c>
      <c r="C567" s="119" t="inlineStr">
        <is>
          <t>LÊ THỊ ỬNG</t>
        </is>
      </c>
      <c r="D567" s="119" t="inlineStr">
        <is>
          <t>02/09/1953</t>
        </is>
      </c>
      <c r="E567" s="119" t="inlineStr">
        <is>
          <t>Giường Ngoại khoa loại 3 - Khoa Chấn thương chỉnh hình</t>
        </is>
      </c>
      <c r="F567" s="249" t="n">
        <v>1</v>
      </c>
      <c r="G567" s="249" t="n">
        <v>269200</v>
      </c>
    </row>
    <row r="568" ht="15.75" customHeight="1">
      <c r="A568" s="119" t="n">
        <v>560</v>
      </c>
      <c r="B568" s="119" t="inlineStr">
        <is>
          <t>2026/08/12 00:00</t>
        </is>
      </c>
      <c r="C568" s="119" t="inlineStr">
        <is>
          <t>NGUYỄN THỊ HÀ</t>
        </is>
      </c>
      <c r="D568" s="119" t="inlineStr">
        <is>
          <t>01/01/1954</t>
        </is>
      </c>
      <c r="E568" s="119" t="inlineStr">
        <is>
          <t>Giường Nội khoa loại 2 - Khoa Chấn thương chỉnh hình</t>
        </is>
      </c>
      <c r="F568" s="249" t="n">
        <v>1</v>
      </c>
      <c r="G568" s="249" t="n">
        <v>222300</v>
      </c>
    </row>
    <row r="569" ht="15.75" customHeight="1">
      <c r="A569" s="119" t="n">
        <v>561</v>
      </c>
      <c r="B569" s="119" t="inlineStr">
        <is>
          <t>2026/08/12 00:00</t>
        </is>
      </c>
      <c r="C569" s="119" t="inlineStr">
        <is>
          <t>NGUYỄN THỊ TÁM</t>
        </is>
      </c>
      <c r="D569" s="119" t="inlineStr">
        <is>
          <t>01/01/1957</t>
        </is>
      </c>
      <c r="E569" s="119" t="inlineStr">
        <is>
          <t>Giường Ngoại khoa loại 3 - Khoa Chấn thương chỉnh hình</t>
        </is>
      </c>
      <c r="F569" s="249" t="n">
        <v>1</v>
      </c>
      <c r="G569" s="249" t="n">
        <v>269200</v>
      </c>
    </row>
    <row r="570" ht="15.75" customHeight="1">
      <c r="A570" s="119" t="n">
        <v>562</v>
      </c>
      <c r="B570" s="119" t="inlineStr">
        <is>
          <t>2026/08/12 00:00</t>
        </is>
      </c>
      <c r="C570" s="119" t="inlineStr">
        <is>
          <t>TRƯƠNG VĂN ÚT</t>
        </is>
      </c>
      <c r="D570" s="119" t="inlineStr">
        <is>
          <t>01/01/1948</t>
        </is>
      </c>
      <c r="E570" s="119" t="inlineStr">
        <is>
          <t>Giường Ngoại khoa loại 3 - Khoa Chấn thương chỉnh hình</t>
        </is>
      </c>
      <c r="F570" s="249" t="n">
        <v>1</v>
      </c>
      <c r="G570" s="249" t="n">
        <v>269200</v>
      </c>
    </row>
    <row r="571" ht="15.75" customHeight="1">
      <c r="A571" s="119" t="n">
        <v>563</v>
      </c>
      <c r="B571" s="119" t="inlineStr">
        <is>
          <t>2026/08/12 00:00</t>
        </is>
      </c>
      <c r="C571" s="119" t="inlineStr">
        <is>
          <t>TRẦN THỊ KÍNH</t>
        </is>
      </c>
      <c r="D571" s="119" t="inlineStr">
        <is>
          <t>01/01/1951</t>
        </is>
      </c>
      <c r="E571" s="119" t="inlineStr">
        <is>
          <t>Giường Ngoại khoa loại 3 - Khoa Chấn thương chỉnh hình</t>
        </is>
      </c>
      <c r="F571" s="249" t="n">
        <v>1</v>
      </c>
      <c r="G571" s="249" t="n">
        <v>269200</v>
      </c>
    </row>
    <row r="572" ht="15.75" customHeight="1">
      <c r="A572" s="119" t="n">
        <v>564</v>
      </c>
      <c r="B572" s="119" t="inlineStr">
        <is>
          <t>2026/08/12 00:00</t>
        </is>
      </c>
      <c r="C572" s="119" t="inlineStr">
        <is>
          <t>TĂNG THỊ MIỀN</t>
        </is>
      </c>
      <c r="D572" s="119" t="inlineStr">
        <is>
          <t>01/01/1951</t>
        </is>
      </c>
      <c r="E572" s="119" t="inlineStr">
        <is>
          <t>Giường Ngoại khoa loại 3 - Khoa Chấn thương chỉnh hình</t>
        </is>
      </c>
      <c r="F572" s="249" t="n">
        <v>1</v>
      </c>
      <c r="G572" s="249" t="n">
        <v>269200</v>
      </c>
    </row>
    <row r="573" ht="15.75" customHeight="1">
      <c r="A573" s="119" t="n">
        <v>565</v>
      </c>
      <c r="B573" s="119" t="inlineStr">
        <is>
          <t>2026/08/12 09:27</t>
        </is>
      </c>
      <c r="C573" s="119" t="inlineStr">
        <is>
          <t>LÊ NGỌC ĐIỆP</t>
        </is>
      </c>
      <c r="D573" s="119" t="inlineStr">
        <is>
          <t>29/08/1962</t>
        </is>
      </c>
      <c r="E573" s="119" t="inlineStr">
        <is>
          <t>Giường Nội khoa loại 2 - Khoa Chấn thương chỉnh hình</t>
        </is>
      </c>
      <c r="F573" s="249" t="n">
        <v>1</v>
      </c>
      <c r="G573" s="249" t="n">
        <v>222300</v>
      </c>
    </row>
    <row r="574" ht="15.75" customHeight="1">
      <c r="A574" s="119" t="n">
        <v>566</v>
      </c>
      <c r="B574" s="119" t="inlineStr">
        <is>
          <t>2026/08/12 11:20</t>
        </is>
      </c>
      <c r="C574" s="119" t="inlineStr">
        <is>
          <t>NGUYỄN QUỐC HỌC</t>
        </is>
      </c>
      <c r="D574" s="119" t="inlineStr">
        <is>
          <t>01/09/2009</t>
        </is>
      </c>
      <c r="E574" s="119" t="inlineStr">
        <is>
          <t>Giường Nội khoa loại 2 - Khoa Chấn thương chỉnh hình</t>
        </is>
      </c>
      <c r="F574" s="249" t="n">
        <v>1</v>
      </c>
      <c r="G574" s="249" t="n">
        <v>222300</v>
      </c>
    </row>
    <row r="575" ht="15.75" customHeight="1">
      <c r="A575" s="119" t="n">
        <v>567</v>
      </c>
      <c r="B575" s="119" t="inlineStr">
        <is>
          <t>2026/08/12 13:30</t>
        </is>
      </c>
      <c r="C575" s="119" t="inlineStr">
        <is>
          <t>LÊ THANH TUẤN</t>
        </is>
      </c>
      <c r="D575" s="119" t="inlineStr">
        <is>
          <t>24/12/1980</t>
        </is>
      </c>
      <c r="E575" s="119" t="inlineStr">
        <is>
          <t>Giường Ngoại khoa loại 1 - Khoa Chấn thương chỉnh hình</t>
        </is>
      </c>
      <c r="F575" s="249" t="n">
        <v>1</v>
      </c>
      <c r="G575" s="249" t="n">
        <v>341800</v>
      </c>
    </row>
    <row r="576" ht="15.75" customHeight="1">
      <c r="A576" s="119" t="n">
        <v>568</v>
      </c>
      <c r="B576" s="119" t="inlineStr">
        <is>
          <t>2026/08/12 13:49</t>
        </is>
      </c>
      <c r="C576" s="119" t="inlineStr">
        <is>
          <t>HÀ MINH HUY</t>
        </is>
      </c>
      <c r="D576" s="119" t="inlineStr">
        <is>
          <t>28/01/1964</t>
        </is>
      </c>
      <c r="E576" s="119" t="inlineStr">
        <is>
          <t>Giường Nội khoa loại 2 - Khoa Chấn thương chỉnh hình</t>
        </is>
      </c>
      <c r="F576" s="249" t="n">
        <v>1</v>
      </c>
      <c r="G576" s="249" t="n">
        <v>222300</v>
      </c>
    </row>
    <row r="577" ht="15.75" customHeight="1">
      <c r="A577" s="119" t="n">
        <v>569</v>
      </c>
      <c r="B577" s="119" t="inlineStr">
        <is>
          <t>2026/08/12 14:00</t>
        </is>
      </c>
      <c r="C577" s="119" t="inlineStr">
        <is>
          <t>ĐẶNG THỊ GẤM</t>
        </is>
      </c>
      <c r="D577" s="119" t="inlineStr">
        <is>
          <t>01/01/1965</t>
        </is>
      </c>
      <c r="E577" s="119" t="inlineStr">
        <is>
          <t>Giường Nội khoa loại 2 - Khoa Chấn thương chỉnh hình</t>
        </is>
      </c>
      <c r="F577" s="249" t="n">
        <v>1</v>
      </c>
      <c r="G577" s="249" t="n">
        <v>222300</v>
      </c>
    </row>
    <row r="578" ht="15.75" customHeight="1">
      <c r="A578" s="119" t="n">
        <v>570</v>
      </c>
      <c r="B578" s="119" t="inlineStr">
        <is>
          <t>2026/08/12 15:30</t>
        </is>
      </c>
      <c r="C578" s="119" t="inlineStr">
        <is>
          <t>TRẦN LỆ XUÂN</t>
        </is>
      </c>
      <c r="D578" s="119" t="inlineStr">
        <is>
          <t>01/01/1964</t>
        </is>
      </c>
      <c r="E578" s="119" t="inlineStr">
        <is>
          <t>Giường Ngoại khoa loại 4 - Khoa Chấn thương chỉnh hình</t>
        </is>
      </c>
      <c r="F578" s="249" t="n">
        <v>1</v>
      </c>
      <c r="G578" s="249" t="n">
        <v>229200</v>
      </c>
    </row>
    <row r="579" ht="15.75" customHeight="1">
      <c r="A579" s="119" t="n">
        <v>571</v>
      </c>
      <c r="B579" s="119" t="inlineStr">
        <is>
          <t>2026/08/12 16:47</t>
        </is>
      </c>
      <c r="C579" s="119" t="inlineStr">
        <is>
          <t>NGUYỄN THỊ DUNG</t>
        </is>
      </c>
      <c r="D579" s="119" t="inlineStr">
        <is>
          <t>01/01/1944</t>
        </is>
      </c>
      <c r="E579" s="119" t="inlineStr">
        <is>
          <t>Giường Nội khoa loại 2 - Khoa Chấn thương chỉnh hình</t>
        </is>
      </c>
      <c r="F579" s="249" t="n">
        <v>1</v>
      </c>
      <c r="G579" s="249" t="n">
        <v>222300</v>
      </c>
    </row>
    <row r="580" ht="15.75" customHeight="1">
      <c r="A580" s="119" t="n">
        <v>572</v>
      </c>
      <c r="B580" s="119" t="inlineStr">
        <is>
          <t>2026/08/12 16:58</t>
        </is>
      </c>
      <c r="C580" s="119" t="inlineStr">
        <is>
          <t>NGUYỄN CHÁNH HUY</t>
        </is>
      </c>
      <c r="D580" s="119" t="inlineStr">
        <is>
          <t>18/01/2003</t>
        </is>
      </c>
      <c r="E580" s="119" t="inlineStr">
        <is>
          <t>Giường Nội khoa loại 2 - Khoa Chấn thương chỉnh hình</t>
        </is>
      </c>
      <c r="F580" s="249" t="n">
        <v>1</v>
      </c>
      <c r="G580" s="249" t="n">
        <v>250000</v>
      </c>
    </row>
    <row r="581" ht="15.75" customHeight="1">
      <c r="A581" s="119" t="n">
        <v>573</v>
      </c>
      <c r="B581" s="119" t="inlineStr">
        <is>
          <t>2026/08/12 18:57</t>
        </is>
      </c>
      <c r="C581" s="119" t="inlineStr">
        <is>
          <t>NGUYỄN THỊ ÚT EM</t>
        </is>
      </c>
      <c r="D581" s="119" t="inlineStr">
        <is>
          <t>01/01/1962</t>
        </is>
      </c>
      <c r="E581" s="119" t="inlineStr">
        <is>
          <t>Giường Ngoại khoa loại 1 - Khoa Chấn thương chỉnh hình</t>
        </is>
      </c>
      <c r="F581" s="249" t="n">
        <v>1</v>
      </c>
      <c r="G581" s="249" t="n">
        <v>341800</v>
      </c>
    </row>
    <row r="582" ht="15.75" customHeight="1">
      <c r="A582" s="119" t="n">
        <v>574</v>
      </c>
      <c r="B582" s="119" t="inlineStr">
        <is>
          <t>2026/08/12 18:57</t>
        </is>
      </c>
      <c r="C582" s="119" t="inlineStr">
        <is>
          <t>LÊ THỊ ÚT NHỎ</t>
        </is>
      </c>
      <c r="D582" s="119" t="inlineStr">
        <is>
          <t>15/10/1978</t>
        </is>
      </c>
      <c r="E582" s="119" t="inlineStr">
        <is>
          <t>Giường Ngoại khoa loại 1 - Khoa Chấn thương chỉnh hình</t>
        </is>
      </c>
      <c r="F582" s="249" t="n">
        <v>1</v>
      </c>
      <c r="G582" s="249" t="n">
        <v>341800</v>
      </c>
    </row>
    <row r="583" ht="15.75" customHeight="1">
      <c r="A583" s="119" t="n">
        <v>575</v>
      </c>
      <c r="B583" s="119" t="inlineStr">
        <is>
          <t>2026/08/13 00:00</t>
        </is>
      </c>
      <c r="C583" s="119" t="inlineStr">
        <is>
          <t>BÙI THỊ TRÀ</t>
        </is>
      </c>
      <c r="D583" s="119" t="inlineStr">
        <is>
          <t>22/09/1958</t>
        </is>
      </c>
      <c r="E583" s="119" t="inlineStr">
        <is>
          <t>Giường Nội khoa loại 2 - Khoa Chấn thương chỉnh hình</t>
        </is>
      </c>
      <c r="F583" s="249" t="n">
        <v>1</v>
      </c>
      <c r="G583" s="249" t="n">
        <v>222300</v>
      </c>
    </row>
    <row r="584" ht="15.75" customHeight="1">
      <c r="A584" s="119" t="n">
        <v>576</v>
      </c>
      <c r="B584" s="119" t="inlineStr">
        <is>
          <t>2026/08/13 00:00</t>
        </is>
      </c>
      <c r="C584" s="119" t="inlineStr">
        <is>
          <t>BÙI VĂN BẢY</t>
        </is>
      </c>
      <c r="D584" s="119" t="inlineStr">
        <is>
          <t>01/01/1963</t>
        </is>
      </c>
      <c r="E584" s="119" t="inlineStr">
        <is>
          <t>Giường Nội khoa loại 2 - Khoa Chấn thương chỉnh hình</t>
        </is>
      </c>
      <c r="F584" s="249" t="n">
        <v>1</v>
      </c>
      <c r="G584" s="249" t="n">
        <v>222300</v>
      </c>
    </row>
    <row r="585" ht="15.75" customHeight="1">
      <c r="A585" s="119" t="n">
        <v>577</v>
      </c>
      <c r="B585" s="119" t="inlineStr">
        <is>
          <t>2026/08/13 00:00</t>
        </is>
      </c>
      <c r="C585" s="119" t="inlineStr">
        <is>
          <t>HUỲNH VIỆT DŨNG</t>
        </is>
      </c>
      <c r="D585" s="119" t="inlineStr">
        <is>
          <t>11/04/2004</t>
        </is>
      </c>
      <c r="E585" s="119" t="inlineStr">
        <is>
          <t>Giường Ngoại khoa loại 1 - Khoa Chấn thương chỉnh hình</t>
        </is>
      </c>
      <c r="F585" s="249" t="n">
        <v>1</v>
      </c>
      <c r="G585" s="249" t="n">
        <v>341800</v>
      </c>
    </row>
    <row r="586" ht="15.75" customHeight="1">
      <c r="A586" s="119" t="n">
        <v>578</v>
      </c>
      <c r="B586" s="119" t="inlineStr">
        <is>
          <t>2026/08/13 00:00</t>
        </is>
      </c>
      <c r="C586" s="119" t="inlineStr">
        <is>
          <t>LÊ THANH TUẤN</t>
        </is>
      </c>
      <c r="D586" s="119" t="inlineStr">
        <is>
          <t>24/12/1980</t>
        </is>
      </c>
      <c r="E586" s="119" t="inlineStr">
        <is>
          <t>Giường Ngoại khoa loại 1 - Khoa Chấn thương chỉnh hình</t>
        </is>
      </c>
      <c r="F586" s="249" t="n">
        <v>1</v>
      </c>
      <c r="G586" s="249" t="n">
        <v>341800</v>
      </c>
    </row>
    <row r="587" ht="15.75" customHeight="1">
      <c r="A587" s="119" t="n">
        <v>579</v>
      </c>
      <c r="B587" s="119" t="inlineStr">
        <is>
          <t>2026/08/13 00:00</t>
        </is>
      </c>
      <c r="C587" s="119" t="inlineStr">
        <is>
          <t>LÊ THỊ CÚC</t>
        </is>
      </c>
      <c r="D587" s="119" t="inlineStr">
        <is>
          <t>01/01/1962</t>
        </is>
      </c>
      <c r="E587" s="119" t="inlineStr">
        <is>
          <t>Giường Nội khoa loại 2 - Khoa Chấn thương chỉnh hình</t>
        </is>
      </c>
      <c r="F587" s="249" t="n">
        <v>1</v>
      </c>
      <c r="G587" s="249" t="n">
        <v>222300</v>
      </c>
    </row>
    <row r="588" ht="15.75" customHeight="1">
      <c r="A588" s="119" t="n">
        <v>580</v>
      </c>
      <c r="B588" s="119" t="inlineStr">
        <is>
          <t>2026/08/13 00:00</t>
        </is>
      </c>
      <c r="C588" s="119" t="inlineStr">
        <is>
          <t>LÝ MỸ LIÊN</t>
        </is>
      </c>
      <c r="D588" s="119" t="inlineStr">
        <is>
          <t>01/01/1940</t>
        </is>
      </c>
      <c r="E588" s="119" t="inlineStr">
        <is>
          <t>Giường Nội khoa loại 2 - Khoa Chấn thương chỉnh hình</t>
        </is>
      </c>
      <c r="F588" s="249" t="n">
        <v>1</v>
      </c>
      <c r="G588" s="249" t="n">
        <v>222300</v>
      </c>
    </row>
    <row r="589" ht="15.75" customHeight="1">
      <c r="A589" s="119" t="n">
        <v>581</v>
      </c>
      <c r="B589" s="119" t="inlineStr">
        <is>
          <t>2026/08/13 00:00</t>
        </is>
      </c>
      <c r="C589" s="119" t="inlineStr">
        <is>
          <t>NGUYỄN CHÁNH HUY</t>
        </is>
      </c>
      <c r="D589" s="119" t="inlineStr">
        <is>
          <t>18/01/2003</t>
        </is>
      </c>
      <c r="E589" s="119" t="inlineStr">
        <is>
          <t>Giường Nội khoa loại 2 - Khoa Chấn thương chỉnh hình</t>
        </is>
      </c>
      <c r="F589" s="249" t="n">
        <v>1</v>
      </c>
      <c r="G589" s="249" t="n">
        <v>250000</v>
      </c>
    </row>
    <row r="590" ht="15.75" customHeight="1">
      <c r="A590" s="119" t="n">
        <v>582</v>
      </c>
      <c r="B590" s="119" t="inlineStr">
        <is>
          <t>2026/08/13 00:00</t>
        </is>
      </c>
      <c r="C590" s="119" t="inlineStr">
        <is>
          <t>NGUYỄN THỊ DUNG</t>
        </is>
      </c>
      <c r="D590" s="119" t="inlineStr">
        <is>
          <t>01/01/1944</t>
        </is>
      </c>
      <c r="E590" s="119" t="inlineStr">
        <is>
          <t>Giường Nội khoa loại 2 - Khoa Chấn thương chỉnh hình</t>
        </is>
      </c>
      <c r="F590" s="249" t="n">
        <v>1</v>
      </c>
      <c r="G590" s="249" t="n">
        <v>222300</v>
      </c>
    </row>
    <row r="591" ht="15.75" customHeight="1">
      <c r="A591" s="119" t="n">
        <v>583</v>
      </c>
      <c r="B591" s="119" t="inlineStr">
        <is>
          <t>2026/08/13 00:00</t>
        </is>
      </c>
      <c r="C591" s="119" t="inlineStr">
        <is>
          <t>NGUYỄN THỊ HƯƠNG</t>
        </is>
      </c>
      <c r="D591" s="119" t="inlineStr">
        <is>
          <t>02/07/1965</t>
        </is>
      </c>
      <c r="E591" s="119" t="inlineStr">
        <is>
          <t>Giường Nội khoa loại 2 - Khoa Chấn thương chỉnh hình</t>
        </is>
      </c>
      <c r="F591" s="249" t="n">
        <v>1</v>
      </c>
      <c r="G591" s="249" t="n">
        <v>222300</v>
      </c>
    </row>
    <row r="592" ht="15.75" customHeight="1">
      <c r="A592" s="119" t="n">
        <v>584</v>
      </c>
      <c r="B592" s="119" t="inlineStr">
        <is>
          <t>2026/08/13 00:00</t>
        </is>
      </c>
      <c r="C592" s="119" t="inlineStr">
        <is>
          <t>NGUYỄN THỊ HƯỞNG</t>
        </is>
      </c>
      <c r="D592" s="119" t="inlineStr">
        <is>
          <t>12/04/1971</t>
        </is>
      </c>
      <c r="E592" s="119" t="inlineStr">
        <is>
          <t>Giường Nội khoa loại 2 - Khoa Chấn thương chỉnh hình</t>
        </is>
      </c>
      <c r="F592" s="249" t="n">
        <v>1</v>
      </c>
      <c r="G592" s="249" t="n">
        <v>222300</v>
      </c>
    </row>
    <row r="593" ht="15.75" customHeight="1">
      <c r="A593" s="119" t="n">
        <v>585</v>
      </c>
      <c r="B593" s="119" t="inlineStr">
        <is>
          <t>2026/08/13 00:00</t>
        </is>
      </c>
      <c r="C593" s="119" t="inlineStr">
        <is>
          <t>NGUYỄN THỊ HẰNG</t>
        </is>
      </c>
      <c r="D593" s="119" t="inlineStr">
        <is>
          <t>15/02/1963</t>
        </is>
      </c>
      <c r="E593" s="119" t="inlineStr">
        <is>
          <t>Giường Nội khoa loại 2 - Khoa Chấn thương chỉnh hình</t>
        </is>
      </c>
      <c r="F593" s="249" t="n">
        <v>1</v>
      </c>
      <c r="G593" s="249" t="n">
        <v>222300</v>
      </c>
    </row>
    <row r="594" ht="15.75" customHeight="1">
      <c r="A594" s="119" t="n">
        <v>586</v>
      </c>
      <c r="B594" s="119" t="inlineStr">
        <is>
          <t>2026/08/13 00:00</t>
        </is>
      </c>
      <c r="C594" s="119" t="inlineStr">
        <is>
          <t>NGUYỄN THỊ THÚY HẰNG</t>
        </is>
      </c>
      <c r="D594" s="119" t="inlineStr">
        <is>
          <t>02/07/1980</t>
        </is>
      </c>
      <c r="E594" s="119" t="inlineStr">
        <is>
          <t>Giường Nội khoa loại 2 - Khoa Chấn thương chỉnh hình</t>
        </is>
      </c>
      <c r="F594" s="249" t="n">
        <v>1</v>
      </c>
      <c r="G594" s="249" t="n">
        <v>222300</v>
      </c>
    </row>
    <row r="595" ht="15.75" customHeight="1">
      <c r="A595" s="119" t="n">
        <v>587</v>
      </c>
      <c r="B595" s="119" t="inlineStr">
        <is>
          <t>2026/08/13 00:00</t>
        </is>
      </c>
      <c r="C595" s="119" t="inlineStr">
        <is>
          <t>NGUYỄN THỊ TUYỀN</t>
        </is>
      </c>
      <c r="D595" s="119" t="inlineStr">
        <is>
          <t>20/09/1969</t>
        </is>
      </c>
      <c r="E595" s="119" t="inlineStr">
        <is>
          <t>Giường Nội khoa loại 2 - Khoa Chấn thương chỉnh hình</t>
        </is>
      </c>
      <c r="F595" s="249" t="n">
        <v>1</v>
      </c>
      <c r="G595" s="249" t="n">
        <v>222300</v>
      </c>
    </row>
    <row r="596" ht="15.75" customHeight="1">
      <c r="A596" s="119" t="n">
        <v>588</v>
      </c>
      <c r="B596" s="119" t="inlineStr">
        <is>
          <t>2026/08/13 00:00</t>
        </is>
      </c>
      <c r="C596" s="119" t="inlineStr">
        <is>
          <t>NGUYỄN THỊ ÚT EM</t>
        </is>
      </c>
      <c r="D596" s="119" t="inlineStr">
        <is>
          <t>01/01/1962</t>
        </is>
      </c>
      <c r="E596" s="119" t="inlineStr">
        <is>
          <t>Giường Ngoại khoa loại 1 - Khoa Chấn thương chỉnh hình</t>
        </is>
      </c>
      <c r="F596" s="249" t="n">
        <v>1</v>
      </c>
      <c r="G596" s="249" t="n">
        <v>341800</v>
      </c>
    </row>
    <row r="597" ht="15.75" customHeight="1">
      <c r="A597" s="119" t="n">
        <v>589</v>
      </c>
      <c r="B597" s="119" t="inlineStr">
        <is>
          <t>2026/08/13 00:00</t>
        </is>
      </c>
      <c r="C597" s="119" t="inlineStr">
        <is>
          <t>TRƯƠNG TRUNG TRỰC</t>
        </is>
      </c>
      <c r="D597" s="119" t="inlineStr">
        <is>
          <t>01/09/1942</t>
        </is>
      </c>
      <c r="E597" s="119" t="inlineStr">
        <is>
          <t>Giường Ngoại khoa loại 1 - Khoa Chấn thương chỉnh hình</t>
        </is>
      </c>
      <c r="F597" s="249" t="n">
        <v>1</v>
      </c>
      <c r="G597" s="249" t="n">
        <v>341800</v>
      </c>
    </row>
    <row r="598" ht="15.75" customHeight="1">
      <c r="A598" s="119" t="n">
        <v>590</v>
      </c>
      <c r="B598" s="119" t="inlineStr">
        <is>
          <t>2026/08/13 00:00</t>
        </is>
      </c>
      <c r="C598" s="119" t="inlineStr">
        <is>
          <t>TRẦN HIỀN</t>
        </is>
      </c>
      <c r="D598" s="119" t="inlineStr">
        <is>
          <t>01/01/1971</t>
        </is>
      </c>
      <c r="E598" s="119" t="inlineStr">
        <is>
          <t>Giường Nội khoa loại 2 - Khoa Chấn thương chỉnh hình</t>
        </is>
      </c>
      <c r="F598" s="249" t="n">
        <v>1</v>
      </c>
      <c r="G598" s="249" t="n">
        <v>222300</v>
      </c>
    </row>
    <row r="599" ht="15.75" customHeight="1">
      <c r="A599" s="119" t="n">
        <v>591</v>
      </c>
      <c r="B599" s="119" t="inlineStr">
        <is>
          <t>2026/08/13 00:00</t>
        </is>
      </c>
      <c r="C599" s="119" t="inlineStr">
        <is>
          <t>TRẦN LỆ XUÂN</t>
        </is>
      </c>
      <c r="D599" s="119" t="inlineStr">
        <is>
          <t>01/01/1964</t>
        </is>
      </c>
      <c r="E599" s="119" t="inlineStr">
        <is>
          <t>Giường Ngoại khoa loại 4 - Khoa Chấn thương chỉnh hình</t>
        </is>
      </c>
      <c r="F599" s="249" t="n">
        <v>1</v>
      </c>
      <c r="G599" s="249" t="n">
        <v>229200</v>
      </c>
    </row>
    <row r="600" ht="15.75" customHeight="1">
      <c r="A600" s="119" t="n">
        <v>592</v>
      </c>
      <c r="B600" s="119" t="inlineStr">
        <is>
          <t>2026/08/13 00:00</t>
        </is>
      </c>
      <c r="C600" s="119" t="inlineStr">
        <is>
          <t>TẠ HOÀNG VÂN</t>
        </is>
      </c>
      <c r="D600" s="119" t="inlineStr">
        <is>
          <t>01/01/1961</t>
        </is>
      </c>
      <c r="E600" s="119" t="inlineStr">
        <is>
          <t>Giường Nội khoa loại 2 - Khoa Chấn thương chỉnh hình</t>
        </is>
      </c>
      <c r="F600" s="249" t="n">
        <v>1</v>
      </c>
      <c r="G600" s="249" t="n">
        <v>222300</v>
      </c>
    </row>
    <row r="601" ht="15.75" customHeight="1">
      <c r="A601" s="119" t="n">
        <v>593</v>
      </c>
      <c r="B601" s="119" t="inlineStr">
        <is>
          <t>2026/08/13 00:00</t>
        </is>
      </c>
      <c r="C601" s="119" t="inlineStr">
        <is>
          <t>VÕ THÀNH LONG</t>
        </is>
      </c>
      <c r="D601" s="119" t="inlineStr">
        <is>
          <t>06/06/1966</t>
        </is>
      </c>
      <c r="E601" s="119" t="inlineStr">
        <is>
          <t>Giường Ngoại khoa loại 3 - Khoa Chấn thương chỉnh hình</t>
        </is>
      </c>
      <c r="F601" s="249" t="n">
        <v>1</v>
      </c>
      <c r="G601" s="249" t="n">
        <v>269200</v>
      </c>
    </row>
    <row r="602" ht="15.75" customHeight="1">
      <c r="A602" s="119" t="n">
        <v>594</v>
      </c>
      <c r="B602" s="119" t="inlineStr">
        <is>
          <t>2026/08/13 00:00</t>
        </is>
      </c>
      <c r="C602" s="119" t="inlineStr">
        <is>
          <t>VĂNG VĂN ĐỒ</t>
        </is>
      </c>
      <c r="D602" s="119" t="inlineStr">
        <is>
          <t>25/05/1972</t>
        </is>
      </c>
      <c r="E602" s="119" t="inlineStr">
        <is>
          <t>Giường Ngoại khoa loại 1 - Khoa Chấn thương chỉnh hình</t>
        </is>
      </c>
      <c r="F602" s="249" t="n">
        <v>1</v>
      </c>
      <c r="G602" s="249" t="n">
        <v>341800</v>
      </c>
    </row>
    <row r="603" ht="15.75" customHeight="1">
      <c r="A603" s="119" t="n">
        <v>595</v>
      </c>
      <c r="B603" s="119" t="inlineStr">
        <is>
          <t>2026/08/13 00:00</t>
        </is>
      </c>
      <c r="C603" s="119" t="inlineStr">
        <is>
          <t>ĐOÀN THỊ NGUYÊN</t>
        </is>
      </c>
      <c r="D603" s="119" t="inlineStr">
        <is>
          <t>01/01/1936</t>
        </is>
      </c>
      <c r="E603" s="119" t="inlineStr">
        <is>
          <t>Giường Nội khoa loại 2 - Khoa Chấn thương chỉnh hình</t>
        </is>
      </c>
      <c r="F603" s="249" t="n">
        <v>1</v>
      </c>
      <c r="G603" s="249" t="n">
        <v>222300</v>
      </c>
    </row>
    <row r="604" ht="15.75" customHeight="1">
      <c r="A604" s="119" t="n">
        <v>596</v>
      </c>
      <c r="B604" s="119" t="inlineStr">
        <is>
          <t>2026/08/13 00:00</t>
        </is>
      </c>
      <c r="C604" s="119" t="inlineStr">
        <is>
          <t>ĐẶNG THỊ GẤM</t>
        </is>
      </c>
      <c r="D604" s="119" t="inlineStr">
        <is>
          <t>01/01/1965</t>
        </is>
      </c>
      <c r="E604" s="119" t="inlineStr">
        <is>
          <t>Giường Nội khoa loại 2 - Khoa Chấn thương chỉnh hình</t>
        </is>
      </c>
      <c r="F604" s="249" t="n">
        <v>1</v>
      </c>
      <c r="G604" s="249" t="n">
        <v>222300</v>
      </c>
    </row>
    <row r="605" ht="15.75" customHeight="1">
      <c r="A605" s="119" t="n">
        <v>597</v>
      </c>
      <c r="B605" s="119" t="inlineStr">
        <is>
          <t>2026/08/13 00:00</t>
        </is>
      </c>
      <c r="C605" s="119" t="inlineStr">
        <is>
          <t>ĐẶNG ĐÌNH BẰNG</t>
        </is>
      </c>
      <c r="D605" s="119" t="inlineStr">
        <is>
          <t>25/08/1985</t>
        </is>
      </c>
      <c r="E605" s="119" t="inlineStr">
        <is>
          <t>Giường Ngoại khoa loại 1 - Khoa Chấn thương chỉnh hình</t>
        </is>
      </c>
      <c r="F605" s="249" t="n">
        <v>1</v>
      </c>
      <c r="G605" s="249" t="n">
        <v>341800</v>
      </c>
    </row>
    <row r="606" ht="15.75" customHeight="1">
      <c r="A606" s="119" t="n">
        <v>598</v>
      </c>
      <c r="B606" s="119" t="inlineStr">
        <is>
          <t>2026/08/13 00:00</t>
        </is>
      </c>
      <c r="C606" s="119" t="inlineStr">
        <is>
          <t>LÊ THỊ ÚT NHỎ</t>
        </is>
      </c>
      <c r="D606" s="119" t="inlineStr">
        <is>
          <t>15/10/1978</t>
        </is>
      </c>
      <c r="E606" s="119" t="inlineStr">
        <is>
          <t>Giường Ngoại khoa loại 1 - Khoa Chấn thương chỉnh hình</t>
        </is>
      </c>
      <c r="F606" s="249" t="n">
        <v>1</v>
      </c>
      <c r="G606" s="249" t="n">
        <v>341800</v>
      </c>
    </row>
    <row r="607" ht="15.75" customHeight="1">
      <c r="A607" s="119" t="n">
        <v>599</v>
      </c>
      <c r="B607" s="119" t="inlineStr">
        <is>
          <t>2026/08/13 00:00</t>
        </is>
      </c>
      <c r="C607" s="119" t="inlineStr">
        <is>
          <t>LÊ THỊ ỬNG</t>
        </is>
      </c>
      <c r="D607" s="119" t="inlineStr">
        <is>
          <t>02/09/1953</t>
        </is>
      </c>
      <c r="E607" s="119" t="inlineStr">
        <is>
          <t>Giường Ngoại khoa loại 3 - Khoa Chấn thương chỉnh hình</t>
        </is>
      </c>
      <c r="F607" s="249" t="n">
        <v>1</v>
      </c>
      <c r="G607" s="249" t="n">
        <v>269200</v>
      </c>
    </row>
    <row r="608" ht="15.75" customHeight="1">
      <c r="A608" s="119" t="n">
        <v>600</v>
      </c>
      <c r="B608" s="119" t="inlineStr">
        <is>
          <t>2026/08/13 00:00</t>
        </is>
      </c>
      <c r="C608" s="119" t="inlineStr">
        <is>
          <t>NGUYỄN THỊ HÀ</t>
        </is>
      </c>
      <c r="D608" s="119" t="inlineStr">
        <is>
          <t>01/01/1954</t>
        </is>
      </c>
      <c r="E608" s="119" t="inlineStr">
        <is>
          <t>Giường Nội khoa loại 2 - Khoa Chấn thương chỉnh hình</t>
        </is>
      </c>
      <c r="F608" s="249" t="n">
        <v>1</v>
      </c>
      <c r="G608" s="249" t="n">
        <v>222300</v>
      </c>
    </row>
    <row r="609" ht="15.75" customHeight="1">
      <c r="A609" s="119" t="n">
        <v>601</v>
      </c>
      <c r="B609" s="119" t="inlineStr">
        <is>
          <t>2026/08/13 00:00</t>
        </is>
      </c>
      <c r="C609" s="119" t="inlineStr">
        <is>
          <t>NGUYỄN THỊ TÁM</t>
        </is>
      </c>
      <c r="D609" s="119" t="inlineStr">
        <is>
          <t>01/01/1957</t>
        </is>
      </c>
      <c r="E609" s="119" t="inlineStr">
        <is>
          <t>Giường Ngoại khoa loại 3 - Khoa Chấn thương chỉnh hình</t>
        </is>
      </c>
      <c r="F609" s="249" t="n">
        <v>1</v>
      </c>
      <c r="G609" s="249" t="n">
        <v>269200</v>
      </c>
    </row>
    <row r="610" ht="15.75" customHeight="1">
      <c r="A610" s="119" t="n">
        <v>602</v>
      </c>
      <c r="B610" s="119" t="inlineStr">
        <is>
          <t>2026/08/13 00:00</t>
        </is>
      </c>
      <c r="C610" s="119" t="inlineStr">
        <is>
          <t>PHẠM VĂN LONG</t>
        </is>
      </c>
      <c r="D610" s="119" t="inlineStr">
        <is>
          <t>01/01/1986</t>
        </is>
      </c>
      <c r="E610" s="119" t="inlineStr">
        <is>
          <t>Giường Ngoại khoa loại 1 - Khoa Chấn thương chỉnh hình</t>
        </is>
      </c>
      <c r="F610" s="249" t="n">
        <v>1</v>
      </c>
      <c r="G610" s="249" t="n">
        <v>341800</v>
      </c>
    </row>
    <row r="611" ht="15.75" customHeight="1">
      <c r="A611" s="119" t="n">
        <v>603</v>
      </c>
      <c r="B611" s="119" t="inlineStr">
        <is>
          <t>2026/08/13 00:00</t>
        </is>
      </c>
      <c r="C611" s="119" t="inlineStr">
        <is>
          <t>TRƯƠNG VĂN ÚT</t>
        </is>
      </c>
      <c r="D611" s="119" t="inlineStr">
        <is>
          <t>01/01/1948</t>
        </is>
      </c>
      <c r="E611" s="119" t="inlineStr">
        <is>
          <t>Giường Ngoại khoa loại 3 - Khoa Chấn thương chỉnh hình</t>
        </is>
      </c>
      <c r="F611" s="249" t="n">
        <v>1</v>
      </c>
      <c r="G611" s="249" t="n">
        <v>269200</v>
      </c>
    </row>
    <row r="612" ht="15.75" customHeight="1">
      <c r="A612" s="119" t="n">
        <v>604</v>
      </c>
      <c r="B612" s="119" t="inlineStr">
        <is>
          <t>2026/08/13 00:00</t>
        </is>
      </c>
      <c r="C612" s="119" t="inlineStr">
        <is>
          <t>TĂNG THỊ MIỀN</t>
        </is>
      </c>
      <c r="D612" s="119" t="inlineStr">
        <is>
          <t>01/01/1951</t>
        </is>
      </c>
      <c r="E612" s="119" t="inlineStr">
        <is>
          <t>Giường Ngoại khoa loại 3 - Khoa Chấn thương chỉnh hình</t>
        </is>
      </c>
      <c r="F612" s="249" t="n">
        <v>1</v>
      </c>
      <c r="G612" s="249" t="n">
        <v>269200</v>
      </c>
    </row>
    <row r="613" ht="15.75" customHeight="1">
      <c r="A613" s="119" t="n">
        <v>605</v>
      </c>
      <c r="B613" s="119" t="inlineStr">
        <is>
          <t>2026/08/13 07:29</t>
        </is>
      </c>
      <c r="C613" s="119" t="inlineStr">
        <is>
          <t>HỒ NGUYỄN TỐ NHƯ</t>
        </is>
      </c>
      <c r="D613" s="119" t="inlineStr">
        <is>
          <t>19/03/2003</t>
        </is>
      </c>
      <c r="E613" s="119" t="inlineStr">
        <is>
          <t>Giường Nội khoa loại 2 - Khoa Chấn thương chỉnh hình</t>
        </is>
      </c>
      <c r="F613" s="249" t="n">
        <v>1</v>
      </c>
      <c r="G613" s="249" t="n">
        <v>222300</v>
      </c>
    </row>
    <row r="614" ht="15.75" customHeight="1">
      <c r="A614" s="119" t="n">
        <v>606</v>
      </c>
      <c r="B614" s="119" t="inlineStr">
        <is>
          <t>2026/08/13 09:35</t>
        </is>
      </c>
      <c r="C614" s="119" t="inlineStr">
        <is>
          <t>NGUYỄN THỊ HẢI</t>
        </is>
      </c>
      <c r="D614" s="119" t="inlineStr">
        <is>
          <t>01/01/1951</t>
        </is>
      </c>
      <c r="E614" s="119" t="inlineStr">
        <is>
          <t>Giường Nội khoa loại 2 - Khoa Chấn thương chỉnh hình</t>
        </is>
      </c>
      <c r="F614" s="249" t="n">
        <v>1</v>
      </c>
      <c r="G614" s="249" t="n">
        <v>222300</v>
      </c>
    </row>
    <row r="615" ht="15.75" customHeight="1">
      <c r="A615" s="119" t="n">
        <v>607</v>
      </c>
      <c r="B615" s="119" t="inlineStr">
        <is>
          <t>2026/08/13 10:00</t>
        </is>
      </c>
      <c r="C615" s="119" t="inlineStr">
        <is>
          <t>HUỲNH NGỌC SƠN</t>
        </is>
      </c>
      <c r="D615" s="119" t="inlineStr">
        <is>
          <t>21/10/2002</t>
        </is>
      </c>
      <c r="E615" s="119" t="inlineStr">
        <is>
          <t>Giường Nội khoa loại 2 - Khoa Chấn thương chỉnh hình</t>
        </is>
      </c>
      <c r="F615" s="249" t="n">
        <v>1</v>
      </c>
      <c r="G615" s="249" t="n">
        <v>222300</v>
      </c>
    </row>
    <row r="616" ht="15.75" customHeight="1">
      <c r="A616" s="119" t="n">
        <v>608</v>
      </c>
      <c r="B616" s="119" t="inlineStr">
        <is>
          <t>2026/08/13 10:42</t>
        </is>
      </c>
      <c r="C616" s="119" t="inlineStr">
        <is>
          <t>NGUYỄN QUỐC HỌC</t>
        </is>
      </c>
      <c r="D616" s="119" t="inlineStr">
        <is>
          <t>01/09/2009</t>
        </is>
      </c>
      <c r="E616" s="119" t="inlineStr">
        <is>
          <t>Giường Ngoại khoa loại 3 - Khoa Chấn thương chỉnh hình</t>
        </is>
      </c>
      <c r="F616" s="249" t="n">
        <v>1</v>
      </c>
      <c r="G616" s="249" t="n">
        <v>269200</v>
      </c>
    </row>
    <row r="617" ht="15.75" customHeight="1">
      <c r="A617" s="119" t="n">
        <v>609</v>
      </c>
      <c r="B617" s="119" t="inlineStr">
        <is>
          <t>2026/08/13 13:57</t>
        </is>
      </c>
      <c r="C617" s="119" t="inlineStr">
        <is>
          <t>NGUYỄN THỊ LAN</t>
        </is>
      </c>
      <c r="D617" s="119" t="inlineStr">
        <is>
          <t>10/10/1958</t>
        </is>
      </c>
      <c r="E617" s="119" t="inlineStr">
        <is>
          <t>Giường Nội khoa loại 2 - Khoa Chấn thương chỉnh hình</t>
        </is>
      </c>
      <c r="F617" s="249" t="n">
        <v>1</v>
      </c>
      <c r="G617" s="249" t="n">
        <v>222300</v>
      </c>
    </row>
    <row r="618" ht="15.75" customHeight="1">
      <c r="A618" s="119" t="n">
        <v>610</v>
      </c>
      <c r="B618" s="119" t="inlineStr">
        <is>
          <t>2026/08/13 14:43</t>
        </is>
      </c>
      <c r="C618" s="119" t="inlineStr">
        <is>
          <t>NGUYỄN THỊ XUÂN LAN</t>
        </is>
      </c>
      <c r="D618" s="119" t="inlineStr">
        <is>
          <t>30/12/1956</t>
        </is>
      </c>
      <c r="E618" s="119" t="inlineStr">
        <is>
          <t>Giường Nội khoa loại 2 - Khoa Chấn thương chỉnh hình</t>
        </is>
      </c>
      <c r="F618" s="249" t="n">
        <v>1</v>
      </c>
      <c r="G618" s="249" t="n">
        <v>222300</v>
      </c>
    </row>
    <row r="619" ht="15.75" customHeight="1">
      <c r="A619" s="119" t="n">
        <v>611</v>
      </c>
      <c r="B619" s="119" t="inlineStr">
        <is>
          <t>2026/08/13 15:04</t>
        </is>
      </c>
      <c r="C619" s="119" t="inlineStr">
        <is>
          <t>LÊ THỊ BUỐN</t>
        </is>
      </c>
      <c r="D619" s="119" t="inlineStr">
        <is>
          <t>24/10/1948</t>
        </is>
      </c>
      <c r="E619" s="119" t="inlineStr">
        <is>
          <t>Giường Nội khoa loại 2 - Khoa Chấn thương chỉnh hình</t>
        </is>
      </c>
      <c r="F619" s="249" t="n">
        <v>1</v>
      </c>
      <c r="G619" s="249" t="n">
        <v>222300</v>
      </c>
    </row>
    <row r="620" ht="15.75" customHeight="1">
      <c r="A620" s="119" t="n">
        <v>612</v>
      </c>
      <c r="B620" s="119" t="inlineStr">
        <is>
          <t>2026/08/13 15:11</t>
        </is>
      </c>
      <c r="C620" s="119" t="inlineStr">
        <is>
          <t>VÕ VĂN LUÔN</t>
        </is>
      </c>
      <c r="D620" s="119" t="inlineStr">
        <is>
          <t>01/01/1964</t>
        </is>
      </c>
      <c r="E620" s="119" t="inlineStr">
        <is>
          <t>Giường Nội khoa loại 2 - Khoa Chấn thương chỉnh hình</t>
        </is>
      </c>
      <c r="F620" s="249" t="n">
        <v>1</v>
      </c>
      <c r="G620" s="249" t="n">
        <v>222300</v>
      </c>
    </row>
    <row r="621" ht="15.75" customHeight="1">
      <c r="A621" s="119" t="n">
        <v>613</v>
      </c>
      <c r="B621" s="119" t="inlineStr">
        <is>
          <t>2026/08/13 15:15</t>
        </is>
      </c>
      <c r="C621" s="119" t="inlineStr">
        <is>
          <t>BÙI THỊ NGỜI</t>
        </is>
      </c>
      <c r="D621" s="119" t="inlineStr">
        <is>
          <t>01/01/1952</t>
        </is>
      </c>
      <c r="E621" s="119" t="inlineStr">
        <is>
          <t>Giường Nội khoa loại 2 - Khoa Chấn thương chỉnh hình</t>
        </is>
      </c>
      <c r="F621" s="249" t="n">
        <v>1</v>
      </c>
      <c r="G621" s="249" t="n">
        <v>222300</v>
      </c>
    </row>
    <row r="622" ht="15.75" customHeight="1">
      <c r="A622" s="119" t="n">
        <v>614</v>
      </c>
      <c r="B622" s="119" t="inlineStr">
        <is>
          <t>2026/08/13 16:05</t>
        </is>
      </c>
      <c r="C622" s="119" t="inlineStr">
        <is>
          <t>TRẦN THỊ HIẾU</t>
        </is>
      </c>
      <c r="D622" s="119" t="inlineStr">
        <is>
          <t>28/06/2010</t>
        </is>
      </c>
      <c r="E622" s="119" t="inlineStr">
        <is>
          <t>Giường Ngoại khoa loại 3 - Khoa Chấn thương chỉnh hình</t>
        </is>
      </c>
      <c r="F622" s="249" t="n">
        <v>1</v>
      </c>
      <c r="G622" s="249" t="n">
        <v>269200</v>
      </c>
    </row>
    <row r="623" ht="15.75" customHeight="1">
      <c r="A623" s="119" t="n">
        <v>615</v>
      </c>
      <c r="B623" s="119" t="inlineStr">
        <is>
          <t>2026/08/13 16:38</t>
        </is>
      </c>
      <c r="C623" s="119" t="inlineStr">
        <is>
          <t>VÕ VĂN ĐOÀN</t>
        </is>
      </c>
      <c r="D623" s="119" t="inlineStr">
        <is>
          <t>15/08/1978</t>
        </is>
      </c>
      <c r="E623" s="119" t="inlineStr">
        <is>
          <t>Giường Ngoại khoa loại 1 - Khoa Chấn thương chỉnh hình</t>
        </is>
      </c>
      <c r="F623" s="249" t="n">
        <v>1</v>
      </c>
      <c r="G623" s="249" t="n">
        <v>341800</v>
      </c>
    </row>
    <row r="624" ht="15.75" customHeight="1">
      <c r="A624" s="119" t="n">
        <v>616</v>
      </c>
      <c r="B624" s="119" t="inlineStr">
        <is>
          <t>2026/08/13 19:01</t>
        </is>
      </c>
      <c r="C624" s="119" t="inlineStr">
        <is>
          <t>LÊ NGỌC ĐIỆP</t>
        </is>
      </c>
      <c r="D624" s="119" t="inlineStr">
        <is>
          <t>29/08/1962</t>
        </is>
      </c>
      <c r="E624" s="119" t="inlineStr">
        <is>
          <t>Giường Ngoại khoa loại 4 - Khoa Chấn thương chỉnh hình</t>
        </is>
      </c>
      <c r="F624" s="249" t="n">
        <v>1</v>
      </c>
      <c r="G624" s="249" t="n">
        <v>229200</v>
      </c>
    </row>
    <row r="625" ht="15.75" customHeight="1">
      <c r="A625" s="119" t="n">
        <v>617</v>
      </c>
      <c r="B625" s="119" t="inlineStr">
        <is>
          <t>2026/08/13 23:34</t>
        </is>
      </c>
      <c r="C625" s="119" t="inlineStr">
        <is>
          <t>MAI VĂN ANH</t>
        </is>
      </c>
      <c r="D625" s="119" t="inlineStr">
        <is>
          <t>01/01/1980</t>
        </is>
      </c>
      <c r="E625" s="119" t="inlineStr">
        <is>
          <t>Giường Nội khoa loại 2 - Khoa Chấn thương chỉnh hình</t>
        </is>
      </c>
      <c r="F625" s="249" t="n">
        <v>1</v>
      </c>
      <c r="G625" s="249" t="n">
        <v>222300</v>
      </c>
    </row>
    <row r="626" ht="15.75" customHeight="1">
      <c r="A626" s="119" t="n">
        <v>618</v>
      </c>
      <c r="B626" s="119" t="inlineStr">
        <is>
          <t>2026/08/14 00:00</t>
        </is>
      </c>
      <c r="C626" s="119" t="inlineStr">
        <is>
          <t>BÙI THỊ NGỜI</t>
        </is>
      </c>
      <c r="D626" s="119" t="inlineStr">
        <is>
          <t>01/01/1952</t>
        </is>
      </c>
      <c r="E626" s="119" t="inlineStr">
        <is>
          <t>Giường Nội khoa loại 2 - Khoa Chấn thương chỉnh hình</t>
        </is>
      </c>
      <c r="F626" s="249" t="n">
        <v>1</v>
      </c>
      <c r="G626" s="249" t="n">
        <v>222300</v>
      </c>
    </row>
    <row r="627" ht="15.75" customHeight="1">
      <c r="A627" s="119" t="n">
        <v>619</v>
      </c>
      <c r="B627" s="119" t="inlineStr">
        <is>
          <t>2026/08/14 00:00</t>
        </is>
      </c>
      <c r="C627" s="119" t="inlineStr">
        <is>
          <t>BÙI THỊ TRÀ</t>
        </is>
      </c>
      <c r="D627" s="119" t="inlineStr">
        <is>
          <t>22/09/1958</t>
        </is>
      </c>
      <c r="E627" s="119" t="inlineStr">
        <is>
          <t>Giường Nội khoa loại 2 - Khoa Chấn thương chỉnh hình</t>
        </is>
      </c>
      <c r="F627" s="249" t="n">
        <v>1</v>
      </c>
      <c r="G627" s="249" t="n">
        <v>222300</v>
      </c>
    </row>
    <row r="628" ht="15.75" customHeight="1">
      <c r="A628" s="119" t="n">
        <v>620</v>
      </c>
      <c r="B628" s="119" t="inlineStr">
        <is>
          <t>2026/08/14 00:00</t>
        </is>
      </c>
      <c r="C628" s="119" t="inlineStr">
        <is>
          <t>BÙI VĂN BẢY</t>
        </is>
      </c>
      <c r="D628" s="119" t="inlineStr">
        <is>
          <t>01/01/1963</t>
        </is>
      </c>
      <c r="E628" s="119" t="inlineStr">
        <is>
          <t>Giường Nội khoa loại 2 - Khoa Chấn thương chỉnh hình</t>
        </is>
      </c>
      <c r="F628" s="249" t="n">
        <v>1</v>
      </c>
      <c r="G628" s="249" t="n">
        <v>222300</v>
      </c>
    </row>
    <row r="629" ht="15.75" customHeight="1">
      <c r="A629" s="119" t="n">
        <v>621</v>
      </c>
      <c r="B629" s="119" t="inlineStr">
        <is>
          <t>2026/08/14 00:00</t>
        </is>
      </c>
      <c r="C629" s="119" t="inlineStr">
        <is>
          <t>HÀ MINH HUY</t>
        </is>
      </c>
      <c r="D629" s="119" t="inlineStr">
        <is>
          <t>28/01/1964</t>
        </is>
      </c>
      <c r="E629" s="119" t="inlineStr">
        <is>
          <t>Giường Ngoại khoa loại 1 - Khoa Chấn thương chỉnh hình</t>
        </is>
      </c>
      <c r="F629" s="249" t="n">
        <v>1</v>
      </c>
      <c r="G629" s="249" t="n">
        <v>341800</v>
      </c>
    </row>
    <row r="630" ht="15.75" customHeight="1">
      <c r="A630" s="119" t="n">
        <v>622</v>
      </c>
      <c r="B630" s="119" t="inlineStr">
        <is>
          <t>2026/08/14 00:00</t>
        </is>
      </c>
      <c r="C630" s="119" t="inlineStr">
        <is>
          <t>LÊ NGỌC ĐIỆP</t>
        </is>
      </c>
      <c r="D630" s="119" t="inlineStr">
        <is>
          <t>29/08/1962</t>
        </is>
      </c>
      <c r="E630" s="119" t="inlineStr">
        <is>
          <t>Giường Ngoại khoa loại 4 - Khoa Chấn thương chỉnh hình</t>
        </is>
      </c>
      <c r="F630" s="249" t="n">
        <v>1</v>
      </c>
      <c r="G630" s="249" t="n">
        <v>229200</v>
      </c>
    </row>
    <row r="631" ht="15.75" customHeight="1">
      <c r="A631" s="119" t="n">
        <v>623</v>
      </c>
      <c r="B631" s="119" t="inlineStr">
        <is>
          <t>2026/08/14 00:00</t>
        </is>
      </c>
      <c r="C631" s="119" t="inlineStr">
        <is>
          <t>LÊ THANH TUẤN</t>
        </is>
      </c>
      <c r="D631" s="119" t="inlineStr">
        <is>
          <t>24/12/1980</t>
        </is>
      </c>
      <c r="E631" s="119" t="inlineStr">
        <is>
          <t>Giường Ngoại khoa loại 1 - Khoa Chấn thương chỉnh hình</t>
        </is>
      </c>
      <c r="F631" s="249" t="n">
        <v>1</v>
      </c>
      <c r="G631" s="249" t="n">
        <v>341800</v>
      </c>
    </row>
    <row r="632" ht="15.75" customHeight="1">
      <c r="A632" s="119" t="n">
        <v>624</v>
      </c>
      <c r="B632" s="119" t="inlineStr">
        <is>
          <t>2026/08/14 00:00</t>
        </is>
      </c>
      <c r="C632" s="119" t="inlineStr">
        <is>
          <t>NGUYỄN CHÁNH HUY</t>
        </is>
      </c>
      <c r="D632" s="119" t="inlineStr">
        <is>
          <t>18/01/2003</t>
        </is>
      </c>
      <c r="E632" s="119" t="inlineStr">
        <is>
          <t>Giường Nội khoa loại 2 - Khoa Chấn thương chỉnh hình</t>
        </is>
      </c>
      <c r="F632" s="249" t="n">
        <v>1</v>
      </c>
      <c r="G632" s="249" t="n">
        <v>250000</v>
      </c>
    </row>
    <row r="633" ht="15.75" customHeight="1">
      <c r="A633" s="119" t="n">
        <v>625</v>
      </c>
      <c r="B633" s="119" t="inlineStr">
        <is>
          <t>2026/08/14 00:00</t>
        </is>
      </c>
      <c r="C633" s="119" t="inlineStr">
        <is>
          <t>NGUYỄN QUỐC HỌC</t>
        </is>
      </c>
      <c r="D633" s="119" t="inlineStr">
        <is>
          <t>01/09/2009</t>
        </is>
      </c>
      <c r="E633" s="119" t="inlineStr">
        <is>
          <t>Giường Ngoại khoa loại 3 - Khoa Chấn thương chỉnh hình</t>
        </is>
      </c>
      <c r="F633" s="249" t="n">
        <v>1</v>
      </c>
      <c r="G633" s="249" t="n">
        <v>269200</v>
      </c>
    </row>
    <row r="634" ht="15.75" customHeight="1">
      <c r="A634" s="119" t="n">
        <v>626</v>
      </c>
      <c r="B634" s="119" t="inlineStr">
        <is>
          <t>2026/08/14 00:00</t>
        </is>
      </c>
      <c r="C634" s="119" t="inlineStr">
        <is>
          <t>NGUYỄN THỊ HƯƠNG</t>
        </is>
      </c>
      <c r="D634" s="119" t="inlineStr">
        <is>
          <t>02/07/1965</t>
        </is>
      </c>
      <c r="E634" s="119" t="inlineStr">
        <is>
          <t>Giường Nội khoa loại 2 - Khoa Chấn thương chỉnh hình</t>
        </is>
      </c>
      <c r="F634" s="249" t="n">
        <v>1</v>
      </c>
      <c r="G634" s="249" t="n">
        <v>222300</v>
      </c>
    </row>
    <row r="635" ht="15.75" customHeight="1">
      <c r="A635" s="119" t="n">
        <v>627</v>
      </c>
      <c r="B635" s="119" t="inlineStr">
        <is>
          <t>2026/08/14 00:00</t>
        </is>
      </c>
      <c r="C635" s="119" t="inlineStr">
        <is>
          <t>NGUYỄN THỊ HẢI</t>
        </is>
      </c>
      <c r="D635" s="119" t="inlineStr">
        <is>
          <t>01/01/1951</t>
        </is>
      </c>
      <c r="E635" s="119" t="inlineStr">
        <is>
          <t>Giường Nội khoa loại 2 - Khoa Chấn thương chỉnh hình</t>
        </is>
      </c>
      <c r="F635" s="249" t="n">
        <v>1</v>
      </c>
      <c r="G635" s="249" t="n">
        <v>222300</v>
      </c>
    </row>
    <row r="636" ht="15.75" customHeight="1">
      <c r="A636" s="119" t="n">
        <v>628</v>
      </c>
      <c r="B636" s="119" t="inlineStr">
        <is>
          <t>2026/08/14 00:00</t>
        </is>
      </c>
      <c r="C636" s="119" t="inlineStr">
        <is>
          <t>NGUYỄN THỊ HẰNG</t>
        </is>
      </c>
      <c r="D636" s="119" t="inlineStr">
        <is>
          <t>15/02/1963</t>
        </is>
      </c>
      <c r="E636" s="119" t="inlineStr">
        <is>
          <t>Giường Nội khoa loại 2 - Khoa Chấn thương chỉnh hình</t>
        </is>
      </c>
      <c r="F636" s="249" t="n">
        <v>1</v>
      </c>
      <c r="G636" s="249" t="n">
        <v>222300</v>
      </c>
    </row>
    <row r="637" ht="15.75" customHeight="1">
      <c r="A637" s="119" t="n">
        <v>629</v>
      </c>
      <c r="B637" s="119" t="inlineStr">
        <is>
          <t>2026/08/14 00:00</t>
        </is>
      </c>
      <c r="C637" s="119" t="inlineStr">
        <is>
          <t>NGUYỄN THỊ LAN</t>
        </is>
      </c>
      <c r="D637" s="119" t="inlineStr">
        <is>
          <t>10/10/1958</t>
        </is>
      </c>
      <c r="E637" s="119" t="inlineStr">
        <is>
          <t>Giường Nội khoa loại 2 - Khoa Chấn thương chỉnh hình</t>
        </is>
      </c>
      <c r="F637" s="249" t="n">
        <v>1</v>
      </c>
      <c r="G637" s="249" t="n">
        <v>222300</v>
      </c>
    </row>
    <row r="638" ht="15.75" customHeight="1">
      <c r="A638" s="119" t="n">
        <v>630</v>
      </c>
      <c r="B638" s="119" t="inlineStr">
        <is>
          <t>2026/08/14 00:00</t>
        </is>
      </c>
      <c r="C638" s="119" t="inlineStr">
        <is>
          <t>NGUYỄN THỊ THÚY HẰNG</t>
        </is>
      </c>
      <c r="D638" s="119" t="inlineStr">
        <is>
          <t>02/07/1980</t>
        </is>
      </c>
      <c r="E638" s="119" t="inlineStr">
        <is>
          <t>Giường Nội khoa loại 2 - Khoa Chấn thương chỉnh hình</t>
        </is>
      </c>
      <c r="F638" s="249" t="n">
        <v>1</v>
      </c>
      <c r="G638" s="249" t="n">
        <v>222300</v>
      </c>
    </row>
    <row r="639" ht="15.75" customHeight="1">
      <c r="A639" s="119" t="n">
        <v>631</v>
      </c>
      <c r="B639" s="119" t="inlineStr">
        <is>
          <t>2026/08/14 00:00</t>
        </is>
      </c>
      <c r="C639" s="119" t="inlineStr">
        <is>
          <t>NGUYỄN THỊ TUYỀN</t>
        </is>
      </c>
      <c r="D639" s="119" t="inlineStr">
        <is>
          <t>20/09/1969</t>
        </is>
      </c>
      <c r="E639" s="119" t="inlineStr">
        <is>
          <t>Giường Nội khoa loại 2 - Khoa Chấn thương chỉnh hình</t>
        </is>
      </c>
      <c r="F639" s="249" t="n">
        <v>1</v>
      </c>
      <c r="G639" s="249" t="n">
        <v>222300</v>
      </c>
    </row>
    <row r="640" ht="15.75" customHeight="1">
      <c r="A640" s="119" t="n">
        <v>632</v>
      </c>
      <c r="B640" s="119" t="inlineStr">
        <is>
          <t>2026/08/14 00:00</t>
        </is>
      </c>
      <c r="C640" s="119" t="inlineStr">
        <is>
          <t>NGUYỄN THỊ XUÂN LAN</t>
        </is>
      </c>
      <c r="D640" s="119" t="inlineStr">
        <is>
          <t>30/12/1956</t>
        </is>
      </c>
      <c r="E640" s="119" t="inlineStr">
        <is>
          <t>Giường Nội khoa loại 2 - Khoa Chấn thương chỉnh hình</t>
        </is>
      </c>
      <c r="F640" s="249" t="n">
        <v>1</v>
      </c>
      <c r="G640" s="249" t="n">
        <v>222300</v>
      </c>
    </row>
    <row r="641" ht="15.75" customHeight="1">
      <c r="A641" s="119" t="n">
        <v>633</v>
      </c>
      <c r="B641" s="119" t="inlineStr">
        <is>
          <t>2026/08/14 00:00</t>
        </is>
      </c>
      <c r="C641" s="119" t="inlineStr">
        <is>
          <t>NGUYỄN THỊ ÚT EM</t>
        </is>
      </c>
      <c r="D641" s="119" t="inlineStr">
        <is>
          <t>01/01/1962</t>
        </is>
      </c>
      <c r="E641" s="119" t="inlineStr">
        <is>
          <t>Giường Ngoại khoa loại 1 - Khoa Chấn thương chỉnh hình</t>
        </is>
      </c>
      <c r="F641" s="249" t="n">
        <v>1</v>
      </c>
      <c r="G641" s="249" t="n">
        <v>341800</v>
      </c>
    </row>
    <row r="642" ht="15.75" customHeight="1">
      <c r="A642" s="119" t="n">
        <v>634</v>
      </c>
      <c r="B642" s="119" t="inlineStr">
        <is>
          <t>2026/08/14 00:00</t>
        </is>
      </c>
      <c r="C642" s="119" t="inlineStr">
        <is>
          <t>TRƯƠNG TRUNG TRỰC</t>
        </is>
      </c>
      <c r="D642" s="119" t="inlineStr">
        <is>
          <t>01/09/1942</t>
        </is>
      </c>
      <c r="E642" s="119" t="inlineStr">
        <is>
          <t>Giường Ngoại khoa loại 1 - Khoa Chấn thương chỉnh hình</t>
        </is>
      </c>
      <c r="F642" s="249" t="n">
        <v>1</v>
      </c>
      <c r="G642" s="249" t="n">
        <v>341800</v>
      </c>
    </row>
    <row r="643" ht="15.75" customHeight="1">
      <c r="A643" s="119" t="n">
        <v>635</v>
      </c>
      <c r="B643" s="119" t="inlineStr">
        <is>
          <t>2026/08/14 00:00</t>
        </is>
      </c>
      <c r="C643" s="119" t="inlineStr">
        <is>
          <t>TRẦN HIỀN</t>
        </is>
      </c>
      <c r="D643" s="119" t="inlineStr">
        <is>
          <t>01/01/1971</t>
        </is>
      </c>
      <c r="E643" s="119" t="inlineStr">
        <is>
          <t>Giường Nội khoa loại 2 - Khoa Chấn thương chỉnh hình</t>
        </is>
      </c>
      <c r="F643" s="249" t="n">
        <v>1</v>
      </c>
      <c r="G643" s="249" t="n">
        <v>222300</v>
      </c>
    </row>
    <row r="644" ht="15.75" customHeight="1">
      <c r="A644" s="119" t="n">
        <v>636</v>
      </c>
      <c r="B644" s="119" t="inlineStr">
        <is>
          <t>2026/08/14 00:00</t>
        </is>
      </c>
      <c r="C644" s="119" t="inlineStr">
        <is>
          <t>VÕ THÀNH LONG</t>
        </is>
      </c>
      <c r="D644" s="119" t="inlineStr">
        <is>
          <t>06/06/1966</t>
        </is>
      </c>
      <c r="E644" s="119" t="inlineStr">
        <is>
          <t>Giường Ngoại khoa loại 3 - Khoa Chấn thương chỉnh hình</t>
        </is>
      </c>
      <c r="F644" s="249" t="n">
        <v>1</v>
      </c>
      <c r="G644" s="249" t="n">
        <v>269200</v>
      </c>
    </row>
    <row r="645" ht="15.75" customHeight="1">
      <c r="A645" s="119" t="n">
        <v>637</v>
      </c>
      <c r="B645" s="119" t="inlineStr">
        <is>
          <t>2026/08/14 00:00</t>
        </is>
      </c>
      <c r="C645" s="119" t="inlineStr">
        <is>
          <t>VÕ VĂN LUÔN</t>
        </is>
      </c>
      <c r="D645" s="119" t="inlineStr">
        <is>
          <t>01/01/1964</t>
        </is>
      </c>
      <c r="E645" s="119" t="inlineStr">
        <is>
          <t>Giường Nội khoa loại 2 - Khoa Chấn thương chỉnh hình</t>
        </is>
      </c>
      <c r="F645" s="249" t="n">
        <v>1</v>
      </c>
      <c r="G645" s="249" t="n">
        <v>222300</v>
      </c>
    </row>
    <row r="646" ht="15.75" customHeight="1">
      <c r="A646" s="119" t="n">
        <v>638</v>
      </c>
      <c r="B646" s="119" t="inlineStr">
        <is>
          <t>2026/08/14 00:00</t>
        </is>
      </c>
      <c r="C646" s="119" t="inlineStr">
        <is>
          <t>VÕ VĂN ĐOÀN</t>
        </is>
      </c>
      <c r="D646" s="119" t="inlineStr">
        <is>
          <t>15/08/1978</t>
        </is>
      </c>
      <c r="E646" s="119" t="inlineStr">
        <is>
          <t>Giường Ngoại khoa loại 1 - Khoa Chấn thương chỉnh hình</t>
        </is>
      </c>
      <c r="F646" s="249" t="n">
        <v>1</v>
      </c>
      <c r="G646" s="249" t="n">
        <v>341800</v>
      </c>
    </row>
    <row r="647" ht="15.75" customHeight="1">
      <c r="A647" s="119" t="n">
        <v>639</v>
      </c>
      <c r="B647" s="119" t="inlineStr">
        <is>
          <t>2026/08/14 00:00</t>
        </is>
      </c>
      <c r="C647" s="119" t="inlineStr">
        <is>
          <t>VĂNG VĂN ĐỒ</t>
        </is>
      </c>
      <c r="D647" s="119" t="inlineStr">
        <is>
          <t>25/05/1972</t>
        </is>
      </c>
      <c r="E647" s="119" t="inlineStr">
        <is>
          <t>Giường Ngoại khoa loại 1 - Khoa Chấn thương chỉnh hình</t>
        </is>
      </c>
      <c r="F647" s="249" t="n">
        <v>1</v>
      </c>
      <c r="G647" s="249" t="n">
        <v>341800</v>
      </c>
    </row>
    <row r="648" ht="15.75" customHeight="1">
      <c r="A648" s="119" t="n">
        <v>640</v>
      </c>
      <c r="B648" s="119" t="inlineStr">
        <is>
          <t>2026/08/14 00:00</t>
        </is>
      </c>
      <c r="C648" s="119" t="inlineStr">
        <is>
          <t>ĐẶNG THỊ GẤM</t>
        </is>
      </c>
      <c r="D648" s="119" t="inlineStr">
        <is>
          <t>01/01/1965</t>
        </is>
      </c>
      <c r="E648" s="119" t="inlineStr">
        <is>
          <t>Giường Nội khoa loại 2 - Khoa Chấn thương chỉnh hình</t>
        </is>
      </c>
      <c r="F648" s="249" t="n">
        <v>1</v>
      </c>
      <c r="G648" s="249" t="n">
        <v>222300</v>
      </c>
    </row>
    <row r="649" ht="15.75" customHeight="1">
      <c r="A649" s="119" t="n">
        <v>641</v>
      </c>
      <c r="B649" s="119" t="inlineStr">
        <is>
          <t>2026/08/14 00:00</t>
        </is>
      </c>
      <c r="C649" s="119" t="inlineStr">
        <is>
          <t>ĐẶNG ĐÌNH BẰNG</t>
        </is>
      </c>
      <c r="D649" s="119" t="inlineStr">
        <is>
          <t>25/08/1985</t>
        </is>
      </c>
      <c r="E649" s="119" t="inlineStr">
        <is>
          <t>Giường Ngoại khoa loại 1 - Khoa Chấn thương chỉnh hình</t>
        </is>
      </c>
      <c r="F649" s="249" t="n">
        <v>1</v>
      </c>
      <c r="G649" s="249" t="n">
        <v>341800</v>
      </c>
    </row>
    <row r="650" ht="15.75" customHeight="1">
      <c r="A650" s="119" t="n">
        <v>642</v>
      </c>
      <c r="B650" s="119" t="inlineStr">
        <is>
          <t>2026/08/14 00:00</t>
        </is>
      </c>
      <c r="C650" s="119" t="inlineStr">
        <is>
          <t>LÊ THỊ ÚT NHỎ</t>
        </is>
      </c>
      <c r="D650" s="119" t="inlineStr">
        <is>
          <t>15/10/1978</t>
        </is>
      </c>
      <c r="E650" s="119" t="inlineStr">
        <is>
          <t>Giường Ngoại khoa loại 1 - Khoa Chấn thương chỉnh hình</t>
        </is>
      </c>
      <c r="F650" s="249" t="n">
        <v>1</v>
      </c>
      <c r="G650" s="249" t="n">
        <v>341800</v>
      </c>
    </row>
    <row r="651" ht="15.75" customHeight="1">
      <c r="A651" s="119" t="n">
        <v>643</v>
      </c>
      <c r="B651" s="119" t="inlineStr">
        <is>
          <t>2026/08/14 00:00</t>
        </is>
      </c>
      <c r="C651" s="119" t="inlineStr">
        <is>
          <t>NGUYỄN THỊ HÀ</t>
        </is>
      </c>
      <c r="D651" s="119" t="inlineStr">
        <is>
          <t>01/01/1954</t>
        </is>
      </c>
      <c r="E651" s="119" t="inlineStr">
        <is>
          <t>Giường Nội khoa loại 2 - Khoa Chấn thương chỉnh hình</t>
        </is>
      </c>
      <c r="F651" s="249" t="n">
        <v>1</v>
      </c>
      <c r="G651" s="249" t="n">
        <v>222300</v>
      </c>
    </row>
    <row r="652" ht="15.75" customHeight="1">
      <c r="A652" s="119" t="n">
        <v>644</v>
      </c>
      <c r="B652" s="119" t="inlineStr">
        <is>
          <t>2026/08/14 00:00</t>
        </is>
      </c>
      <c r="C652" s="119" t="inlineStr">
        <is>
          <t>NGUYỄN THỊ TÁM</t>
        </is>
      </c>
      <c r="D652" s="119" t="inlineStr">
        <is>
          <t>01/01/1957</t>
        </is>
      </c>
      <c r="E652" s="119" t="inlineStr">
        <is>
          <t>Giường Ngoại khoa loại 3 - Khoa Chấn thương chỉnh hình</t>
        </is>
      </c>
      <c r="F652" s="249" t="n">
        <v>1</v>
      </c>
      <c r="G652" s="249" t="n">
        <v>269200</v>
      </c>
    </row>
    <row r="653" ht="15.75" customHeight="1">
      <c r="A653" s="119" t="n">
        <v>645</v>
      </c>
      <c r="B653" s="119" t="inlineStr">
        <is>
          <t>2026/08/14 00:00</t>
        </is>
      </c>
      <c r="C653" s="119" t="inlineStr">
        <is>
          <t>PHẠM VĂN LONG</t>
        </is>
      </c>
      <c r="D653" s="119" t="inlineStr">
        <is>
          <t>01/01/1986</t>
        </is>
      </c>
      <c r="E653" s="119" t="inlineStr">
        <is>
          <t>Giường Ngoại khoa loại 1 - Khoa Chấn thương chỉnh hình</t>
        </is>
      </c>
      <c r="F653" s="249" t="n">
        <v>1</v>
      </c>
      <c r="G653" s="249" t="n">
        <v>341800</v>
      </c>
    </row>
    <row r="654" ht="15.75" customHeight="1">
      <c r="A654" s="119" t="n">
        <v>646</v>
      </c>
      <c r="B654" s="119" t="inlineStr">
        <is>
          <t>2026/08/14 00:00</t>
        </is>
      </c>
      <c r="C654" s="119" t="inlineStr">
        <is>
          <t>TĂNG THỊ MIỀN</t>
        </is>
      </c>
      <c r="D654" s="119" t="inlineStr">
        <is>
          <t>01/01/1951</t>
        </is>
      </c>
      <c r="E654" s="119" t="inlineStr">
        <is>
          <t>Giường Ngoại khoa loại 3 - Khoa Chấn thương chỉnh hình</t>
        </is>
      </c>
      <c r="F654" s="249" t="n">
        <v>1</v>
      </c>
      <c r="G654" s="249" t="n">
        <v>269200</v>
      </c>
    </row>
    <row r="655" ht="15.75" customHeight="1">
      <c r="A655" s="119" t="n">
        <v>647</v>
      </c>
      <c r="B655" s="119" t="inlineStr">
        <is>
          <t>2026/08/14 10:00</t>
        </is>
      </c>
      <c r="C655" s="119" t="inlineStr">
        <is>
          <t>MAI THỊ HAI</t>
        </is>
      </c>
      <c r="D655" s="119" t="inlineStr">
        <is>
          <t>19/07/1951</t>
        </is>
      </c>
      <c r="E655" s="119" t="inlineStr">
        <is>
          <t>Giường Nội khoa loại 2 - Khoa Chấn thương chỉnh hình</t>
        </is>
      </c>
      <c r="F655" s="249" t="n">
        <v>1</v>
      </c>
      <c r="G655" s="249" t="n">
        <v>222300</v>
      </c>
    </row>
    <row r="656" ht="15.75" customHeight="1">
      <c r="A656" s="119" t="n">
        <v>648</v>
      </c>
      <c r="B656" s="119" t="inlineStr">
        <is>
          <t>2026/08/14 13:35</t>
        </is>
      </c>
      <c r="C656" s="119" t="inlineStr">
        <is>
          <t>NGUYỄN THỊ DUNG</t>
        </is>
      </c>
      <c r="D656" s="119" t="inlineStr">
        <is>
          <t>01/01/1944</t>
        </is>
      </c>
      <c r="E656" s="119" t="inlineStr">
        <is>
          <t>Giường Ngoại khoa loại 2 - Khoa Chấn thương chỉnh hình</t>
        </is>
      </c>
      <c r="F656" s="249" t="n">
        <v>1</v>
      </c>
      <c r="G656" s="249" t="n">
        <v>301600</v>
      </c>
    </row>
    <row r="657" ht="15.75" customHeight="1">
      <c r="A657" s="119" t="n">
        <v>649</v>
      </c>
      <c r="B657" s="119" t="inlineStr">
        <is>
          <t>2026/08/14 15:27</t>
        </is>
      </c>
      <c r="C657" s="119" t="inlineStr">
        <is>
          <t>HỒ NGUYỄN TỐ NHƯ</t>
        </is>
      </c>
      <c r="D657" s="119" t="inlineStr">
        <is>
          <t>19/03/2003</t>
        </is>
      </c>
      <c r="E657" s="119" t="inlineStr">
        <is>
          <t>Giường Ngoại khoa loại 3 - Khoa Chấn thương chỉnh hình</t>
        </is>
      </c>
      <c r="F657" s="249" t="n">
        <v>1</v>
      </c>
      <c r="G657" s="249" t="n">
        <v>269200</v>
      </c>
    </row>
    <row r="658" ht="15.75" customHeight="1">
      <c r="A658" s="119" t="n">
        <v>650</v>
      </c>
      <c r="B658" s="119" t="inlineStr">
        <is>
          <t>2026/08/14 16:56</t>
        </is>
      </c>
      <c r="C658" s="119" t="inlineStr">
        <is>
          <t>TRẦN VĂN LẸ</t>
        </is>
      </c>
      <c r="D658" s="119" t="inlineStr">
        <is>
          <t>01/01/1975</t>
        </is>
      </c>
      <c r="E658" s="119" t="inlineStr">
        <is>
          <t>Giường Nội khoa loại 2 - Khoa Chấn thương chỉnh hình</t>
        </is>
      </c>
      <c r="F658" s="249" t="n">
        <v>1</v>
      </c>
      <c r="G658" s="249" t="n">
        <v>222300</v>
      </c>
    </row>
    <row r="659" ht="15.75" customHeight="1">
      <c r="A659" s="119" t="n">
        <v>651</v>
      </c>
      <c r="B659" s="119" t="inlineStr">
        <is>
          <t>2026/08/14 17:00</t>
        </is>
      </c>
      <c r="C659" s="119" t="inlineStr">
        <is>
          <t>NGUYỄN THỊ HƯỞNG</t>
        </is>
      </c>
      <c r="D659" s="119" t="inlineStr">
        <is>
          <t>12/04/1971</t>
        </is>
      </c>
      <c r="E659" s="119" t="inlineStr">
        <is>
          <t>Giường Nội khoa loại 2 - Khoa Chấn thương chỉnh hình</t>
        </is>
      </c>
      <c r="F659" s="249" t="n">
        <v>1</v>
      </c>
      <c r="G659" s="249" t="n">
        <v>222300</v>
      </c>
    </row>
    <row r="660" ht="15.75" customHeight="1">
      <c r="A660" s="119" t="n">
        <v>652</v>
      </c>
      <c r="B660" s="119" t="inlineStr">
        <is>
          <t>2026/08/14 18:50</t>
        </is>
      </c>
      <c r="C660" s="119" t="inlineStr">
        <is>
          <t>LÊ THỊ BUỐN</t>
        </is>
      </c>
      <c r="D660" s="119" t="inlineStr">
        <is>
          <t>24/10/1948</t>
        </is>
      </c>
      <c r="E660" s="119" t="inlineStr">
        <is>
          <t>Giường Ngoại khoa loại 2 - Khoa Chấn thương chỉnh hình</t>
        </is>
      </c>
      <c r="F660" s="249" t="n">
        <v>1</v>
      </c>
      <c r="G660" s="249" t="n">
        <v>301600</v>
      </c>
    </row>
    <row r="661" ht="15.75" customHeight="1">
      <c r="A661" s="119" t="n">
        <v>653</v>
      </c>
      <c r="B661" s="119" t="inlineStr">
        <is>
          <t>2026/08/14 20:49</t>
        </is>
      </c>
      <c r="C661" s="119" t="inlineStr">
        <is>
          <t>TRƯƠNG VĂN ÚT</t>
        </is>
      </c>
      <c r="D661" s="119" t="inlineStr">
        <is>
          <t>01/01/1948</t>
        </is>
      </c>
      <c r="E661" s="119" t="inlineStr">
        <is>
          <t>Giường Ngoại khoa loại 3 - Khoa Chấn thương chỉnh hình</t>
        </is>
      </c>
      <c r="F661" s="249" t="n">
        <v>1</v>
      </c>
      <c r="G661" s="249" t="n">
        <v>269200</v>
      </c>
    </row>
    <row r="662" ht="15.75" customHeight="1">
      <c r="A662" s="119" t="n">
        <v>654</v>
      </c>
      <c r="B662" s="119" t="inlineStr">
        <is>
          <t>2026/08/14 23:59</t>
        </is>
      </c>
      <c r="C662" s="119" t="inlineStr">
        <is>
          <t>TRẦN LỆ XUÂN</t>
        </is>
      </c>
      <c r="D662" s="119" t="inlineStr">
        <is>
          <t>01/01/1964</t>
        </is>
      </c>
      <c r="E662" s="119" t="inlineStr">
        <is>
          <t>Giường Ngoại khoa loại 4 - Khoa Chấn thương chỉnh hình</t>
        </is>
      </c>
      <c r="F662" s="249" t="n">
        <v>1</v>
      </c>
      <c r="G662" s="249" t="n">
        <v>229200</v>
      </c>
    </row>
    <row r="663" ht="15.75" customHeight="1">
      <c r="A663" s="119" t="n">
        <v>655</v>
      </c>
      <c r="B663" s="119" t="inlineStr">
        <is>
          <t>2026/08/15 00:00</t>
        </is>
      </c>
      <c r="C663" s="119" t="inlineStr">
        <is>
          <t>BÙI THỊ NGỜI</t>
        </is>
      </c>
      <c r="D663" s="119" t="inlineStr">
        <is>
          <t>01/01/1952</t>
        </is>
      </c>
      <c r="E663" s="119" t="inlineStr">
        <is>
          <t>Giường Nội khoa loại 2 - Khoa Chấn thương chỉnh hình</t>
        </is>
      </c>
      <c r="F663" s="249" t="n">
        <v>1</v>
      </c>
      <c r="G663" s="249" t="n">
        <v>222300</v>
      </c>
    </row>
    <row r="664" ht="15.75" customHeight="1">
      <c r="A664" s="119" t="n">
        <v>656</v>
      </c>
      <c r="B664" s="119" t="inlineStr">
        <is>
          <t>2026/08/15 00:00</t>
        </is>
      </c>
      <c r="C664" s="119" t="inlineStr">
        <is>
          <t>BÙI THỊ TRÀ</t>
        </is>
      </c>
      <c r="D664" s="119" t="inlineStr">
        <is>
          <t>22/09/1958</t>
        </is>
      </c>
      <c r="E664" s="119" t="inlineStr">
        <is>
          <t>Giường Nội khoa loại 2 - Khoa Chấn thương chỉnh hình</t>
        </is>
      </c>
      <c r="F664" s="249" t="n">
        <v>1</v>
      </c>
      <c r="G664" s="249" t="n">
        <v>222300</v>
      </c>
    </row>
    <row r="665" ht="15.75" customHeight="1">
      <c r="A665" s="119" t="n">
        <v>657</v>
      </c>
      <c r="B665" s="119" t="inlineStr">
        <is>
          <t>2026/08/15 00:00</t>
        </is>
      </c>
      <c r="C665" s="119" t="inlineStr">
        <is>
          <t>BÙI VĂN BẢY</t>
        </is>
      </c>
      <c r="D665" s="119" t="inlineStr">
        <is>
          <t>01/01/1963</t>
        </is>
      </c>
      <c r="E665" s="119" t="inlineStr">
        <is>
          <t>Giường Nội khoa loại 2 - Khoa Chấn thương chỉnh hình</t>
        </is>
      </c>
      <c r="F665" s="249" t="n">
        <v>1</v>
      </c>
      <c r="G665" s="249" t="n">
        <v>222300</v>
      </c>
    </row>
    <row r="666" ht="15.75" customHeight="1">
      <c r="A666" s="119" t="n">
        <v>658</v>
      </c>
      <c r="B666" s="119" t="inlineStr">
        <is>
          <t>2026/08/15 00:00</t>
        </is>
      </c>
      <c r="C666" s="119" t="inlineStr">
        <is>
          <t>HUỲNH NGỌC SƠN</t>
        </is>
      </c>
      <c r="D666" s="119" t="inlineStr">
        <is>
          <t>21/10/2002</t>
        </is>
      </c>
      <c r="E666" s="119" t="inlineStr">
        <is>
          <t>Giường Ngoại khoa loại 3 - Khoa Chấn thương chỉnh hình</t>
        </is>
      </c>
      <c r="F666" s="249" t="n">
        <v>1</v>
      </c>
      <c r="G666" s="249" t="n">
        <v>269200</v>
      </c>
    </row>
    <row r="667" ht="15.75" customHeight="1">
      <c r="A667" s="119" t="n">
        <v>659</v>
      </c>
      <c r="B667" s="119" t="inlineStr">
        <is>
          <t>2026/08/15 00:00</t>
        </is>
      </c>
      <c r="C667" s="119" t="inlineStr">
        <is>
          <t>HÀ MINH HUY</t>
        </is>
      </c>
      <c r="D667" s="119" t="inlineStr">
        <is>
          <t>28/01/1964</t>
        </is>
      </c>
      <c r="E667" s="119" t="inlineStr">
        <is>
          <t>Giường Ngoại khoa loại 1 - Khoa Chấn thương chỉnh hình</t>
        </is>
      </c>
      <c r="F667" s="249" t="n">
        <v>1</v>
      </c>
      <c r="G667" s="249" t="n">
        <v>341800</v>
      </c>
    </row>
    <row r="668" ht="15.75" customHeight="1">
      <c r="A668" s="119" t="n">
        <v>660</v>
      </c>
      <c r="B668" s="119" t="inlineStr">
        <is>
          <t>2026/08/15 00:00</t>
        </is>
      </c>
      <c r="C668" s="119" t="inlineStr">
        <is>
          <t>LÊ NGỌC ĐIỆP</t>
        </is>
      </c>
      <c r="D668" s="119" t="inlineStr">
        <is>
          <t>29/08/1962</t>
        </is>
      </c>
      <c r="E668" s="119" t="inlineStr">
        <is>
          <t>Giường Ngoại khoa loại 4 - Khoa Chấn thương chỉnh hình</t>
        </is>
      </c>
      <c r="F668" s="249" t="n">
        <v>1</v>
      </c>
      <c r="G668" s="249" t="n">
        <v>229200</v>
      </c>
    </row>
    <row r="669" ht="15.75" customHeight="1">
      <c r="A669" s="119" t="n">
        <v>661</v>
      </c>
      <c r="B669" s="119" t="inlineStr">
        <is>
          <t>2026/08/15 00:00</t>
        </is>
      </c>
      <c r="C669" s="119" t="inlineStr">
        <is>
          <t>LÊ THANH HIỀN</t>
        </is>
      </c>
      <c r="D669" s="119" t="inlineStr">
        <is>
          <t>04/10/1989</t>
        </is>
      </c>
      <c r="E669" s="119" t="inlineStr">
        <is>
          <t>Giường Ngoại khoa loại 3 - Khoa Chấn thương chỉnh hình</t>
        </is>
      </c>
      <c r="F669" s="249" t="n">
        <v>1</v>
      </c>
      <c r="G669" s="249" t="n">
        <v>269200</v>
      </c>
    </row>
    <row r="670" ht="15.75" customHeight="1">
      <c r="A670" s="119" t="n">
        <v>662</v>
      </c>
      <c r="B670" s="119" t="inlineStr">
        <is>
          <t>2026/08/15 00:00</t>
        </is>
      </c>
      <c r="C670" s="119" t="inlineStr">
        <is>
          <t>LÊ THANH TUẤN</t>
        </is>
      </c>
      <c r="D670" s="119" t="inlineStr">
        <is>
          <t>24/12/1980</t>
        </is>
      </c>
      <c r="E670" s="119" t="inlineStr">
        <is>
          <t>Giường Ngoại khoa loại 1 - Khoa Chấn thương chỉnh hình</t>
        </is>
      </c>
      <c r="F670" s="249" t="n">
        <v>1</v>
      </c>
      <c r="G670" s="249" t="n">
        <v>341800</v>
      </c>
    </row>
    <row r="671" ht="15.75" customHeight="1">
      <c r="A671" s="119" t="n">
        <v>663</v>
      </c>
      <c r="B671" s="119" t="inlineStr">
        <is>
          <t>2026/08/15 00:00</t>
        </is>
      </c>
      <c r="C671" s="119" t="inlineStr">
        <is>
          <t>MAI THỊ HAI</t>
        </is>
      </c>
      <c r="D671" s="119" t="inlineStr">
        <is>
          <t>19/07/1951</t>
        </is>
      </c>
      <c r="E671" s="119" t="inlineStr">
        <is>
          <t>Giường Nội khoa loại 2 - Khoa Chấn thương chỉnh hình</t>
        </is>
      </c>
      <c r="F671" s="249" t="n">
        <v>1</v>
      </c>
      <c r="G671" s="249" t="n">
        <v>222300</v>
      </c>
    </row>
    <row r="672" ht="15.75" customHeight="1">
      <c r="A672" s="119" t="n">
        <v>664</v>
      </c>
      <c r="B672" s="119" t="inlineStr">
        <is>
          <t>2026/08/15 00:00</t>
        </is>
      </c>
      <c r="C672" s="119" t="inlineStr">
        <is>
          <t>MAI VĂN ANH</t>
        </is>
      </c>
      <c r="D672" s="119" t="inlineStr">
        <is>
          <t>01/01/1980</t>
        </is>
      </c>
      <c r="E672" s="119" t="inlineStr">
        <is>
          <t>Giường Nội khoa loại 2 - Khoa Chấn thương chỉnh hình</t>
        </is>
      </c>
      <c r="F672" s="249" t="n">
        <v>1</v>
      </c>
      <c r="G672" s="249" t="n">
        <v>222300</v>
      </c>
    </row>
    <row r="673" ht="15.75" customHeight="1">
      <c r="A673" s="119" t="n">
        <v>665</v>
      </c>
      <c r="B673" s="119" t="inlineStr">
        <is>
          <t>2026/08/15 00:00</t>
        </is>
      </c>
      <c r="C673" s="119" t="inlineStr">
        <is>
          <t>NGUYỄN CHÁNH HUY</t>
        </is>
      </c>
      <c r="D673" s="119" t="inlineStr">
        <is>
          <t>18/01/2003</t>
        </is>
      </c>
      <c r="E673" s="119" t="inlineStr">
        <is>
          <t>Giường Nội khoa loại 2 - Khoa Chấn thương chỉnh hình</t>
        </is>
      </c>
      <c r="F673" s="249" t="n">
        <v>1</v>
      </c>
      <c r="G673" s="249" t="n">
        <v>250000</v>
      </c>
    </row>
    <row r="674" ht="15.75" customHeight="1">
      <c r="A674" s="119" t="n">
        <v>666</v>
      </c>
      <c r="B674" s="119" t="inlineStr">
        <is>
          <t>2026/08/15 00:00</t>
        </is>
      </c>
      <c r="C674" s="119" t="inlineStr">
        <is>
          <t>NGUYỄN QUỐC HỌC</t>
        </is>
      </c>
      <c r="D674" s="119" t="inlineStr">
        <is>
          <t>01/09/2009</t>
        </is>
      </c>
      <c r="E674" s="119" t="inlineStr">
        <is>
          <t>Giường Ngoại khoa loại 3 - Khoa Chấn thương chỉnh hình</t>
        </is>
      </c>
      <c r="F674" s="249" t="n">
        <v>1</v>
      </c>
      <c r="G674" s="249" t="n">
        <v>269200</v>
      </c>
    </row>
    <row r="675" ht="15.75" customHeight="1">
      <c r="A675" s="119" t="n">
        <v>667</v>
      </c>
      <c r="B675" s="119" t="inlineStr">
        <is>
          <t>2026/08/15 00:00</t>
        </is>
      </c>
      <c r="C675" s="119" t="inlineStr">
        <is>
          <t>NGUYỄN THỊ HƯƠNG</t>
        </is>
      </c>
      <c r="D675" s="119" t="inlineStr">
        <is>
          <t>02/07/1965</t>
        </is>
      </c>
      <c r="E675" s="119" t="inlineStr">
        <is>
          <t>Giường Nội khoa loại 2 - Khoa Chấn thương chỉnh hình</t>
        </is>
      </c>
      <c r="F675" s="249" t="n">
        <v>1</v>
      </c>
      <c r="G675" s="249" t="n">
        <v>222300</v>
      </c>
    </row>
    <row r="676" ht="15.75" customHeight="1">
      <c r="A676" s="119" t="n">
        <v>668</v>
      </c>
      <c r="B676" s="119" t="inlineStr">
        <is>
          <t>2026/08/15 00:00</t>
        </is>
      </c>
      <c r="C676" s="119" t="inlineStr">
        <is>
          <t>NGUYỄN THỊ HƯỞNG</t>
        </is>
      </c>
      <c r="D676" s="119" t="inlineStr">
        <is>
          <t>12/04/1971</t>
        </is>
      </c>
      <c r="E676" s="119" t="inlineStr">
        <is>
          <t>Giường Nội khoa loại 2 - Khoa Chấn thương chỉnh hình</t>
        </is>
      </c>
      <c r="F676" s="249" t="n">
        <v>1</v>
      </c>
      <c r="G676" s="249" t="n">
        <v>222300</v>
      </c>
    </row>
    <row r="677" ht="15.75" customHeight="1">
      <c r="A677" s="119" t="n">
        <v>669</v>
      </c>
      <c r="B677" s="119" t="inlineStr">
        <is>
          <t>2026/08/15 00:00</t>
        </is>
      </c>
      <c r="C677" s="119" t="inlineStr">
        <is>
          <t>NGUYỄN THỊ HẢI</t>
        </is>
      </c>
      <c r="D677" s="119" t="inlineStr">
        <is>
          <t>01/01/1951</t>
        </is>
      </c>
      <c r="E677" s="119" t="inlineStr">
        <is>
          <t>Giường Nội khoa loại 2 - Khoa Chấn thương chỉnh hình</t>
        </is>
      </c>
      <c r="F677" s="249" t="n">
        <v>1</v>
      </c>
      <c r="G677" s="249" t="n">
        <v>222300</v>
      </c>
    </row>
    <row r="678" ht="15.75" customHeight="1">
      <c r="A678" s="119" t="n">
        <v>670</v>
      </c>
      <c r="B678" s="119" t="inlineStr">
        <is>
          <t>2026/08/15 00:00</t>
        </is>
      </c>
      <c r="C678" s="119" t="inlineStr">
        <is>
          <t>NGUYỄN THỊ LAN</t>
        </is>
      </c>
      <c r="D678" s="119" t="inlineStr">
        <is>
          <t>10/10/1958</t>
        </is>
      </c>
      <c r="E678" s="119" t="inlineStr">
        <is>
          <t>Giường Nội khoa loại 2 - Khoa Chấn thương chỉnh hình</t>
        </is>
      </c>
      <c r="F678" s="249" t="n">
        <v>1</v>
      </c>
      <c r="G678" s="249" t="n">
        <v>222300</v>
      </c>
    </row>
    <row r="679" ht="15.75" customHeight="1">
      <c r="A679" s="119" t="n">
        <v>671</v>
      </c>
      <c r="B679" s="119" t="inlineStr">
        <is>
          <t>2026/08/15 00:00</t>
        </is>
      </c>
      <c r="C679" s="119" t="inlineStr">
        <is>
          <t>NGUYỄN THỊ THÚY HẰNG</t>
        </is>
      </c>
      <c r="D679" s="119" t="inlineStr">
        <is>
          <t>02/07/1980</t>
        </is>
      </c>
      <c r="E679" s="119" t="inlineStr">
        <is>
          <t>Giường Nội khoa loại 2 - Khoa Chấn thương chỉnh hình</t>
        </is>
      </c>
      <c r="F679" s="249" t="n">
        <v>1</v>
      </c>
      <c r="G679" s="249" t="n">
        <v>222300</v>
      </c>
    </row>
    <row r="680" ht="15.75" customHeight="1">
      <c r="A680" s="119" t="n">
        <v>672</v>
      </c>
      <c r="B680" s="119" t="inlineStr">
        <is>
          <t>2026/08/15 00:00</t>
        </is>
      </c>
      <c r="C680" s="119" t="inlineStr">
        <is>
          <t>NGUYỄN THỊ TUYỀN</t>
        </is>
      </c>
      <c r="D680" s="119" t="inlineStr">
        <is>
          <t>20/09/1969</t>
        </is>
      </c>
      <c r="E680" s="119" t="inlineStr">
        <is>
          <t>Giường Nội khoa loại 2 - Khoa Chấn thương chỉnh hình</t>
        </is>
      </c>
      <c r="F680" s="249" t="n">
        <v>1</v>
      </c>
      <c r="G680" s="249" t="n">
        <v>222300</v>
      </c>
    </row>
    <row r="681" ht="15.75" customHeight="1">
      <c r="A681" s="119" t="n">
        <v>673</v>
      </c>
      <c r="B681" s="119" t="inlineStr">
        <is>
          <t>2026/08/15 00:00</t>
        </is>
      </c>
      <c r="C681" s="119" t="inlineStr">
        <is>
          <t>NGUYỄN THỊ XUÂN LAN</t>
        </is>
      </c>
      <c r="D681" s="119" t="inlineStr">
        <is>
          <t>30/12/1956</t>
        </is>
      </c>
      <c r="E681" s="119" t="inlineStr">
        <is>
          <t>Giường Nội khoa loại 2 - Khoa Chấn thương chỉnh hình</t>
        </is>
      </c>
      <c r="F681" s="249" t="n">
        <v>1</v>
      </c>
      <c r="G681" s="249" t="n">
        <v>222300</v>
      </c>
    </row>
    <row r="682" ht="15.75" customHeight="1">
      <c r="A682" s="119" t="n">
        <v>674</v>
      </c>
      <c r="B682" s="119" t="inlineStr">
        <is>
          <t>2026/08/15 00:00</t>
        </is>
      </c>
      <c r="C682" s="119" t="inlineStr">
        <is>
          <t>NGUYỄN THỊ ÚT EM</t>
        </is>
      </c>
      <c r="D682" s="119" t="inlineStr">
        <is>
          <t>01/01/1962</t>
        </is>
      </c>
      <c r="E682" s="119" t="inlineStr">
        <is>
          <t>Giường Ngoại khoa loại 1 - Khoa Chấn thương chỉnh hình</t>
        </is>
      </c>
      <c r="F682" s="249" t="n">
        <v>1</v>
      </c>
      <c r="G682" s="249" t="n">
        <v>341800</v>
      </c>
    </row>
    <row r="683" ht="15.75" customHeight="1">
      <c r="A683" s="119" t="n">
        <v>675</v>
      </c>
      <c r="B683" s="119" t="inlineStr">
        <is>
          <t>2026/08/15 00:00</t>
        </is>
      </c>
      <c r="C683" s="119" t="inlineStr">
        <is>
          <t>TRƯƠNG TRUNG TRỰC</t>
        </is>
      </c>
      <c r="D683" s="119" t="inlineStr">
        <is>
          <t>01/09/1942</t>
        </is>
      </c>
      <c r="E683" s="119" t="inlineStr">
        <is>
          <t>Giường Ngoại khoa loại 1 - Khoa Chấn thương chỉnh hình</t>
        </is>
      </c>
      <c r="F683" s="249" t="n">
        <v>1</v>
      </c>
      <c r="G683" s="249" t="n">
        <v>341800</v>
      </c>
    </row>
    <row r="684" ht="15.75" customHeight="1">
      <c r="A684" s="119" t="n">
        <v>676</v>
      </c>
      <c r="B684" s="119" t="inlineStr">
        <is>
          <t>2026/08/15 00:00</t>
        </is>
      </c>
      <c r="C684" s="119" t="inlineStr">
        <is>
          <t>TRẦN LỆ XUÂN</t>
        </is>
      </c>
      <c r="D684" s="119" t="inlineStr">
        <is>
          <t>01/01/1964</t>
        </is>
      </c>
      <c r="E684" s="119" t="inlineStr">
        <is>
          <t>Giường Ngoại khoa loại 4 - Khoa Chấn thương chỉnh hình</t>
        </is>
      </c>
      <c r="F684" s="249" t="n">
        <v>1</v>
      </c>
      <c r="G684" s="249" t="n">
        <v>229200</v>
      </c>
    </row>
    <row r="685" ht="15.75" customHeight="1">
      <c r="A685" s="119" t="n">
        <v>677</v>
      </c>
      <c r="B685" s="119" t="inlineStr">
        <is>
          <t>2026/08/15 00:00</t>
        </is>
      </c>
      <c r="C685" s="119" t="inlineStr">
        <is>
          <t>VÕ HỒNG CƠ</t>
        </is>
      </c>
      <c r="D685" s="119" t="inlineStr">
        <is>
          <t>25/12/1937</t>
        </is>
      </c>
      <c r="E685" s="119" t="inlineStr">
        <is>
          <t>Giường Nội khoa loại 2 - Khoa Chấn thương chỉnh hình</t>
        </is>
      </c>
      <c r="F685" s="249" t="n">
        <v>1</v>
      </c>
      <c r="G685" s="249" t="n">
        <v>222300</v>
      </c>
    </row>
    <row r="686" ht="15.75" customHeight="1">
      <c r="A686" s="119" t="n">
        <v>678</v>
      </c>
      <c r="B686" s="119" t="inlineStr">
        <is>
          <t>2026/08/15 00:00</t>
        </is>
      </c>
      <c r="C686" s="119" t="inlineStr">
        <is>
          <t>VÕ THÀNH LONG</t>
        </is>
      </c>
      <c r="D686" s="119" t="inlineStr">
        <is>
          <t>06/06/1966</t>
        </is>
      </c>
      <c r="E686" s="119" t="inlineStr">
        <is>
          <t>Giường Ngoại khoa loại 3 - Khoa Chấn thương chỉnh hình</t>
        </is>
      </c>
      <c r="F686" s="249" t="n">
        <v>1</v>
      </c>
      <c r="G686" s="249" t="n">
        <v>269200</v>
      </c>
    </row>
    <row r="687" ht="15.75" customHeight="1">
      <c r="A687" s="119" t="n">
        <v>679</v>
      </c>
      <c r="B687" s="119" t="inlineStr">
        <is>
          <t>2026/08/15 00:00</t>
        </is>
      </c>
      <c r="C687" s="119" t="inlineStr">
        <is>
          <t>VÕ VĂN LUÔN</t>
        </is>
      </c>
      <c r="D687" s="119" t="inlineStr">
        <is>
          <t>01/01/1964</t>
        </is>
      </c>
      <c r="E687" s="119" t="inlineStr">
        <is>
          <t>Giường Nội khoa loại 2 - Khoa Chấn thương chỉnh hình</t>
        </is>
      </c>
      <c r="F687" s="249" t="n">
        <v>1</v>
      </c>
      <c r="G687" s="249" t="n">
        <v>222300</v>
      </c>
    </row>
    <row r="688" ht="15.75" customHeight="1">
      <c r="A688" s="119" t="n">
        <v>680</v>
      </c>
      <c r="B688" s="119" t="inlineStr">
        <is>
          <t>2026/08/15 00:00</t>
        </is>
      </c>
      <c r="C688" s="119" t="inlineStr">
        <is>
          <t>VÕ VĂN ĐOÀN</t>
        </is>
      </c>
      <c r="D688" s="119" t="inlineStr">
        <is>
          <t>15/08/1978</t>
        </is>
      </c>
      <c r="E688" s="119" t="inlineStr">
        <is>
          <t>Giường Ngoại khoa loại 1 - Khoa Chấn thương chỉnh hình</t>
        </is>
      </c>
      <c r="F688" s="249" t="n">
        <v>1</v>
      </c>
      <c r="G688" s="249" t="n">
        <v>341800</v>
      </c>
    </row>
    <row r="689" ht="15.75" customHeight="1">
      <c r="A689" s="119" t="n">
        <v>681</v>
      </c>
      <c r="B689" s="119" t="inlineStr">
        <is>
          <t>2026/08/15 00:00</t>
        </is>
      </c>
      <c r="C689" s="119" t="inlineStr">
        <is>
          <t>VĂNG VĂN ĐỒ</t>
        </is>
      </c>
      <c r="D689" s="119" t="inlineStr">
        <is>
          <t>25/05/1972</t>
        </is>
      </c>
      <c r="E689" s="119" t="inlineStr">
        <is>
          <t>Giường Ngoại khoa loại 1 - Khoa Chấn thương chỉnh hình</t>
        </is>
      </c>
      <c r="F689" s="249" t="n">
        <v>1</v>
      </c>
      <c r="G689" s="249" t="n">
        <v>341800</v>
      </c>
    </row>
    <row r="690" ht="15.75" customHeight="1">
      <c r="A690" s="119" t="n">
        <v>682</v>
      </c>
      <c r="B690" s="119" t="inlineStr">
        <is>
          <t>2026/08/15 00:00</t>
        </is>
      </c>
      <c r="C690" s="119" t="inlineStr">
        <is>
          <t>ĐẶNG THỊ GẤM</t>
        </is>
      </c>
      <c r="D690" s="119" t="inlineStr">
        <is>
          <t>01/01/1965</t>
        </is>
      </c>
      <c r="E690" s="119" t="inlineStr">
        <is>
          <t>Giường Nội khoa loại 2 - Khoa Chấn thương chỉnh hình</t>
        </is>
      </c>
      <c r="F690" s="249" t="n">
        <v>1</v>
      </c>
      <c r="G690" s="249" t="n">
        <v>222300</v>
      </c>
    </row>
    <row r="691" ht="15.75" customHeight="1">
      <c r="A691" s="119" t="n">
        <v>683</v>
      </c>
      <c r="B691" s="119" t="inlineStr">
        <is>
          <t>2026/08/15 00:00</t>
        </is>
      </c>
      <c r="C691" s="119" t="inlineStr">
        <is>
          <t>ĐẶNG ĐÌNH BẰNG</t>
        </is>
      </c>
      <c r="D691" s="119" t="inlineStr">
        <is>
          <t>25/08/1985</t>
        </is>
      </c>
      <c r="E691" s="119" t="inlineStr">
        <is>
          <t>Giường Ngoại khoa loại 1 - Khoa Chấn thương chỉnh hình</t>
        </is>
      </c>
      <c r="F691" s="249" t="n">
        <v>1</v>
      </c>
      <c r="G691" s="249" t="n">
        <v>341800</v>
      </c>
    </row>
    <row r="692" ht="15.75" customHeight="1">
      <c r="A692" s="119" t="n">
        <v>684</v>
      </c>
      <c r="B692" s="119" t="inlineStr">
        <is>
          <t>2026/08/15 00:00</t>
        </is>
      </c>
      <c r="C692" s="119" t="inlineStr">
        <is>
          <t>LÊ THỊ BUỐN</t>
        </is>
      </c>
      <c r="D692" s="119" t="inlineStr">
        <is>
          <t>24/10/1948</t>
        </is>
      </c>
      <c r="E692" s="119" t="inlineStr">
        <is>
          <t>Giường Ngoại khoa loại 2 - Khoa Chấn thương chỉnh hình</t>
        </is>
      </c>
      <c r="F692" s="249" t="n">
        <v>1</v>
      </c>
      <c r="G692" s="249" t="n">
        <v>301600</v>
      </c>
    </row>
    <row r="693" ht="15.75" customHeight="1">
      <c r="A693" s="119" t="n">
        <v>685</v>
      </c>
      <c r="B693" s="119" t="inlineStr">
        <is>
          <t>2026/08/15 00:00</t>
        </is>
      </c>
      <c r="C693" s="119" t="inlineStr">
        <is>
          <t>LÊ THỊ ÚT NHỎ</t>
        </is>
      </c>
      <c r="D693" s="119" t="inlineStr">
        <is>
          <t>15/10/1978</t>
        </is>
      </c>
      <c r="E693" s="119" t="inlineStr">
        <is>
          <t>Giường Ngoại khoa loại 1 - Khoa Chấn thương chỉnh hình</t>
        </is>
      </c>
      <c r="F693" s="249" t="n">
        <v>1</v>
      </c>
      <c r="G693" s="249" t="n">
        <v>341800</v>
      </c>
    </row>
    <row r="694" ht="15.75" customHeight="1">
      <c r="A694" s="119" t="n">
        <v>686</v>
      </c>
      <c r="B694" s="119" t="inlineStr">
        <is>
          <t>2026/08/15 00:00</t>
        </is>
      </c>
      <c r="C694" s="119" t="inlineStr">
        <is>
          <t>NGUYỄN THỊ DUNG</t>
        </is>
      </c>
      <c r="D694" s="119" t="inlineStr">
        <is>
          <t>01/01/1944</t>
        </is>
      </c>
      <c r="E694" s="119" t="inlineStr">
        <is>
          <t>Giường Ngoại khoa loại 2 - Khoa Chấn thương chỉnh hình</t>
        </is>
      </c>
      <c r="F694" s="249" t="n">
        <v>1</v>
      </c>
      <c r="G694" s="249" t="n">
        <v>301600</v>
      </c>
    </row>
    <row r="695" ht="15.75" customHeight="1">
      <c r="A695" s="119" t="n">
        <v>687</v>
      </c>
      <c r="B695" s="119" t="inlineStr">
        <is>
          <t>2026/08/15 00:00</t>
        </is>
      </c>
      <c r="C695" s="119" t="inlineStr">
        <is>
          <t>NGUYỄN THỊ HÀ</t>
        </is>
      </c>
      <c r="D695" s="119" t="inlineStr">
        <is>
          <t>01/01/1954</t>
        </is>
      </c>
      <c r="E695" s="119" t="inlineStr">
        <is>
          <t>Giường Nội khoa loại 2 - Khoa Chấn thương chỉnh hình</t>
        </is>
      </c>
      <c r="F695" s="249" t="n">
        <v>1</v>
      </c>
      <c r="G695" s="249" t="n">
        <v>222300</v>
      </c>
    </row>
    <row r="696" hidden="1" ht="17.25" customHeight="1">
      <c r="A696" s="119" t="n">
        <v>688</v>
      </c>
      <c r="B696" s="119" t="inlineStr">
        <is>
          <t>2026/08/15 00:00</t>
        </is>
      </c>
      <c r="C696" s="119" t="inlineStr">
        <is>
          <t>NGUYỄN THỊ TÁM</t>
        </is>
      </c>
      <c r="D696" s="119" t="inlineStr">
        <is>
          <t>01/01/1957</t>
        </is>
      </c>
      <c r="E696" s="119" t="inlineStr">
        <is>
          <t>Giường Ngoại khoa loại 3 - Khoa Chấn thương chỉnh hình</t>
        </is>
      </c>
      <c r="F696" s="249" t="n">
        <v>1</v>
      </c>
      <c r="G696" s="249" t="n">
        <v>269200</v>
      </c>
    </row>
    <row r="697" hidden="1" ht="17.25" customHeight="1">
      <c r="A697" s="119" t="n">
        <v>689</v>
      </c>
      <c r="B697" s="119" t="inlineStr">
        <is>
          <t>2026/08/15 00:00</t>
        </is>
      </c>
      <c r="C697" s="119" t="inlineStr">
        <is>
          <t>PHẠM VĂN LONG</t>
        </is>
      </c>
      <c r="D697" s="119" t="inlineStr">
        <is>
          <t>01/01/1986</t>
        </is>
      </c>
      <c r="E697" s="119" t="inlineStr">
        <is>
          <t>Giường Ngoại khoa loại 1 - Khoa Chấn thương chỉnh hình</t>
        </is>
      </c>
      <c r="F697" s="249" t="n">
        <v>1</v>
      </c>
      <c r="G697" s="249" t="n">
        <v>341800</v>
      </c>
    </row>
    <row r="698" hidden="1" ht="17.25" customHeight="1">
      <c r="A698" s="119" t="n">
        <v>690</v>
      </c>
      <c r="B698" s="119" t="inlineStr">
        <is>
          <t>2026/08/15 00:00</t>
        </is>
      </c>
      <c r="C698" s="119" t="inlineStr">
        <is>
          <t>TRƯƠNG VĂN ÚT</t>
        </is>
      </c>
      <c r="D698" s="119" t="inlineStr">
        <is>
          <t>01/01/1948</t>
        </is>
      </c>
      <c r="E698" s="119" t="inlineStr">
        <is>
          <t>Giường Ngoại khoa loại 3 - Khoa Chấn thương chỉnh hình</t>
        </is>
      </c>
      <c r="F698" s="249" t="n">
        <v>1</v>
      </c>
      <c r="G698" s="249" t="n">
        <v>269200</v>
      </c>
    </row>
    <row r="699" hidden="1" ht="17.25" customHeight="1">
      <c r="A699" s="119" t="n">
        <v>691</v>
      </c>
      <c r="B699" s="119" t="inlineStr">
        <is>
          <t>2026/08/15 00:00</t>
        </is>
      </c>
      <c r="C699" s="119" t="inlineStr">
        <is>
          <t>TĂNG THỊ MIỀN</t>
        </is>
      </c>
      <c r="D699" s="119" t="inlineStr">
        <is>
          <t>01/01/1951</t>
        </is>
      </c>
      <c r="E699" s="119" t="inlineStr">
        <is>
          <t>Giường Ngoại khoa loại 3 - Khoa Chấn thương chỉnh hình</t>
        </is>
      </c>
      <c r="F699" s="249" t="n">
        <v>1</v>
      </c>
      <c r="G699" s="249" t="n">
        <v>269200</v>
      </c>
    </row>
    <row r="700" ht="17.25" customHeight="1">
      <c r="A700" s="119" t="n">
        <v>692</v>
      </c>
      <c r="B700" s="119" t="inlineStr">
        <is>
          <t>2026/08/15 16:00</t>
        </is>
      </c>
      <c r="C700" s="119" t="inlineStr">
        <is>
          <t>TRẦN HIỀN</t>
        </is>
      </c>
      <c r="D700" s="119" t="inlineStr">
        <is>
          <t>01/01/1971</t>
        </is>
      </c>
      <c r="E700" s="119" t="inlineStr">
        <is>
          <t>Giường Nội khoa loại 2 - Khoa Chấn thương chỉnh hình</t>
        </is>
      </c>
      <c r="F700" s="249" t="n">
        <v>1</v>
      </c>
      <c r="G700" s="249" t="n">
        <v>222300</v>
      </c>
    </row>
    <row r="701" ht="17.25" customHeight="1">
      <c r="A701" s="119" t="n">
        <v>693</v>
      </c>
      <c r="B701" s="119" t="inlineStr">
        <is>
          <t>2026/08/15 16:12</t>
        </is>
      </c>
      <c r="C701" s="119" t="inlineStr">
        <is>
          <t>NGUYỄN THỊ HẰNG</t>
        </is>
      </c>
      <c r="D701" s="119" t="inlineStr">
        <is>
          <t>15/02/1963</t>
        </is>
      </c>
      <c r="E701" s="119" t="inlineStr">
        <is>
          <t>Giường Nội khoa loại 2 - Khoa Chấn thương chỉnh hình</t>
        </is>
      </c>
      <c r="F701" s="249" t="n">
        <v>1</v>
      </c>
      <c r="G701" s="249" t="n">
        <v>222300</v>
      </c>
    </row>
    <row r="702" ht="17.25" customHeight="1">
      <c r="A702" s="119" t="n">
        <v>694</v>
      </c>
      <c r="B702" s="119" t="inlineStr">
        <is>
          <t>2026/08/16 00:00</t>
        </is>
      </c>
      <c r="C702" s="119" t="inlineStr">
        <is>
          <t>BÙI HỮU THỌ</t>
        </is>
      </c>
      <c r="D702" s="119" t="inlineStr">
        <is>
          <t>01/02/1981</t>
        </is>
      </c>
      <c r="E702" s="119" t="inlineStr">
        <is>
          <t>Giường Ngoại khoa loại 3 - Khoa Chấn thương chỉnh hình</t>
        </is>
      </c>
      <c r="F702" s="249" t="n">
        <v>1</v>
      </c>
      <c r="G702" s="249" t="n">
        <v>269200</v>
      </c>
    </row>
    <row r="703" ht="17.25" customHeight="1">
      <c r="A703" s="119" t="n">
        <v>695</v>
      </c>
      <c r="B703" s="119" t="inlineStr">
        <is>
          <t>2026/08/16 00:00</t>
        </is>
      </c>
      <c r="C703" s="119" t="inlineStr">
        <is>
          <t>BÙI THỊ NGỜI</t>
        </is>
      </c>
      <c r="D703" s="119" t="inlineStr">
        <is>
          <t>01/01/1952</t>
        </is>
      </c>
      <c r="E703" s="119" t="inlineStr">
        <is>
          <t>Giường Nội khoa loại 2 - Khoa Chấn thương chỉnh hình</t>
        </is>
      </c>
      <c r="F703" s="249" t="n">
        <v>1</v>
      </c>
      <c r="G703" s="249" t="n">
        <v>222300</v>
      </c>
    </row>
    <row r="704" ht="17.25" customHeight="1">
      <c r="A704" s="119" t="n">
        <v>696</v>
      </c>
      <c r="B704" s="119" t="inlineStr">
        <is>
          <t>2026/08/16 00:00</t>
        </is>
      </c>
      <c r="C704" s="119" t="inlineStr">
        <is>
          <t>BÙI THỊ TRÀ</t>
        </is>
      </c>
      <c r="D704" s="119" t="inlineStr">
        <is>
          <t>22/09/1958</t>
        </is>
      </c>
      <c r="E704" s="119" t="inlineStr">
        <is>
          <t>Giường Nội khoa loại 2 - Khoa Chấn thương chỉnh hình</t>
        </is>
      </c>
      <c r="F704" s="249" t="n">
        <v>1</v>
      </c>
      <c r="G704" s="249" t="n">
        <v>222300</v>
      </c>
    </row>
    <row r="705" ht="17.25" customHeight="1">
      <c r="A705" s="119" t="n">
        <v>697</v>
      </c>
      <c r="B705" s="119" t="inlineStr">
        <is>
          <t>2026/08/16 00:00</t>
        </is>
      </c>
      <c r="C705" s="119" t="inlineStr">
        <is>
          <t>LÊ NGỌC ĐIỆP</t>
        </is>
      </c>
      <c r="D705" s="119" t="inlineStr">
        <is>
          <t>29/08/1962</t>
        </is>
      </c>
      <c r="E705" s="119" t="inlineStr">
        <is>
          <t>Giường Ngoại khoa loại 4 - Khoa Chấn thương chỉnh hình</t>
        </is>
      </c>
      <c r="F705" s="249" t="n">
        <v>1</v>
      </c>
      <c r="G705" s="249" t="n">
        <v>229200</v>
      </c>
    </row>
    <row r="706" ht="17.25" customHeight="1">
      <c r="A706" s="119" t="n">
        <v>698</v>
      </c>
      <c r="B706" s="119" t="inlineStr">
        <is>
          <t>2026/08/16 00:00</t>
        </is>
      </c>
      <c r="C706" s="119" t="inlineStr">
        <is>
          <t>LÊ THANH HIỀN</t>
        </is>
      </c>
      <c r="D706" s="119" t="inlineStr">
        <is>
          <t>04/10/1989</t>
        </is>
      </c>
      <c r="E706" s="119" t="inlineStr">
        <is>
          <t>Giường Ngoại khoa loại 3 - Khoa Chấn thương chỉnh hình</t>
        </is>
      </c>
      <c r="F706" s="249" t="n">
        <v>1</v>
      </c>
      <c r="G706" s="249" t="n">
        <v>269200</v>
      </c>
    </row>
    <row r="707" ht="17.25" customHeight="1">
      <c r="A707" s="119" t="n">
        <v>699</v>
      </c>
      <c r="B707" s="119" t="inlineStr">
        <is>
          <t>2026/08/16 00:00</t>
        </is>
      </c>
      <c r="C707" s="119" t="inlineStr">
        <is>
          <t>LÊ THANH TUẤN</t>
        </is>
      </c>
      <c r="D707" s="119" t="inlineStr">
        <is>
          <t>24/12/1980</t>
        </is>
      </c>
      <c r="E707" s="119" t="inlineStr">
        <is>
          <t>Giường Ngoại khoa loại 1 - Khoa Chấn thương chỉnh hình</t>
        </is>
      </c>
      <c r="F707" s="249" t="n">
        <v>1</v>
      </c>
      <c r="G707" s="249" t="n">
        <v>341800</v>
      </c>
    </row>
    <row r="708" ht="17.25" customHeight="1">
      <c r="A708" s="119" t="n">
        <v>700</v>
      </c>
      <c r="B708" s="119" t="inlineStr">
        <is>
          <t>2026/08/16 00:00</t>
        </is>
      </c>
      <c r="C708" s="119" t="inlineStr">
        <is>
          <t>MAI THỊ HAI</t>
        </is>
      </c>
      <c r="D708" s="119" t="inlineStr">
        <is>
          <t>19/07/1951</t>
        </is>
      </c>
      <c r="E708" s="119" t="inlineStr">
        <is>
          <t>Giường Nội khoa loại 2 - Khoa Chấn thương chỉnh hình</t>
        </is>
      </c>
      <c r="F708" s="249" t="n">
        <v>1</v>
      </c>
      <c r="G708" s="249" t="n">
        <v>222300</v>
      </c>
    </row>
    <row r="709" ht="17.25" customHeight="1">
      <c r="A709" s="119" t="n">
        <v>701</v>
      </c>
      <c r="B709" s="119" t="inlineStr">
        <is>
          <t>2026/08/16 00:00</t>
        </is>
      </c>
      <c r="C709" s="119" t="inlineStr">
        <is>
          <t>MAI VĂN ANH</t>
        </is>
      </c>
      <c r="D709" s="119" t="inlineStr">
        <is>
          <t>01/01/1980</t>
        </is>
      </c>
      <c r="E709" s="119" t="inlineStr">
        <is>
          <t>Giường Nội khoa loại 2 - Khoa Chấn thương chỉnh hình</t>
        </is>
      </c>
      <c r="F709" s="249" t="n">
        <v>1</v>
      </c>
      <c r="G709" s="249" t="n">
        <v>222300</v>
      </c>
    </row>
    <row r="710" ht="17.25" customHeight="1">
      <c r="A710" s="119" t="n">
        <v>702</v>
      </c>
      <c r="B710" s="119" t="inlineStr">
        <is>
          <t>2026/08/16 00:00</t>
        </is>
      </c>
      <c r="C710" s="119" t="inlineStr">
        <is>
          <t>NGUYỄN CHÁNH HUY</t>
        </is>
      </c>
      <c r="D710" s="119" t="inlineStr">
        <is>
          <t>18/01/2003</t>
        </is>
      </c>
      <c r="E710" s="119" t="inlineStr">
        <is>
          <t>Giường Nội khoa loại 2 - Khoa Chấn thương chỉnh hình</t>
        </is>
      </c>
      <c r="F710" s="249" t="n">
        <v>1</v>
      </c>
      <c r="G710" s="249" t="n">
        <v>250000</v>
      </c>
    </row>
    <row r="711" ht="17.25" customHeight="1">
      <c r="A711" s="119" t="n">
        <v>703</v>
      </c>
      <c r="B711" s="119" t="inlineStr">
        <is>
          <t>2026/08/16 00:00</t>
        </is>
      </c>
      <c r="C711" s="119" t="inlineStr">
        <is>
          <t>NGUYỄN QUỐC HỌC</t>
        </is>
      </c>
      <c r="D711" s="119" t="inlineStr">
        <is>
          <t>01/09/2009</t>
        </is>
      </c>
      <c r="E711" s="119" t="inlineStr">
        <is>
          <t>Giường Ngoại khoa loại 3 - Khoa Chấn thương chỉnh hình</t>
        </is>
      </c>
      <c r="F711" s="249" t="n">
        <v>1</v>
      </c>
      <c r="G711" s="249" t="n">
        <v>269200</v>
      </c>
    </row>
    <row r="712" ht="17.25" customHeight="1">
      <c r="A712" s="119" t="n">
        <v>704</v>
      </c>
      <c r="B712" s="119" t="inlineStr">
        <is>
          <t>2026/08/16 00:00</t>
        </is>
      </c>
      <c r="C712" s="119" t="inlineStr">
        <is>
          <t>NGUYỄN THỊ HƯƠNG</t>
        </is>
      </c>
      <c r="D712" s="119" t="inlineStr">
        <is>
          <t>02/07/1965</t>
        </is>
      </c>
      <c r="E712" s="119" t="inlineStr">
        <is>
          <t>Giường Nội khoa loại 2 - Khoa Chấn thương chỉnh hình</t>
        </is>
      </c>
      <c r="F712" s="249" t="n">
        <v>1</v>
      </c>
      <c r="G712" s="249" t="n">
        <v>222300</v>
      </c>
    </row>
    <row r="713" ht="17.25" customHeight="1">
      <c r="A713" s="119" t="n">
        <v>705</v>
      </c>
      <c r="B713" s="119" t="inlineStr">
        <is>
          <t>2026/08/16 00:00</t>
        </is>
      </c>
      <c r="C713" s="119" t="inlineStr">
        <is>
          <t>NGUYỄN THỊ HƯỞNG</t>
        </is>
      </c>
      <c r="D713" s="119" t="inlineStr">
        <is>
          <t>12/04/1971</t>
        </is>
      </c>
      <c r="E713" s="119" t="inlineStr">
        <is>
          <t>Giường Nội khoa loại 2 - Khoa Chấn thương chỉnh hình</t>
        </is>
      </c>
      <c r="F713" s="249" t="n">
        <v>1</v>
      </c>
      <c r="G713" s="249" t="n">
        <v>222300</v>
      </c>
    </row>
    <row r="714" ht="17.25" customHeight="1">
      <c r="A714" s="119" t="n">
        <v>706</v>
      </c>
      <c r="B714" s="119" t="inlineStr">
        <is>
          <t>2026/08/16 00:00</t>
        </is>
      </c>
      <c r="C714" s="119" t="inlineStr">
        <is>
          <t>NGUYỄN THỊ HẢI</t>
        </is>
      </c>
      <c r="D714" s="119" t="inlineStr">
        <is>
          <t>01/01/1951</t>
        </is>
      </c>
      <c r="E714" s="119" t="inlineStr">
        <is>
          <t>Giường Nội khoa loại 2 - Khoa Chấn thương chỉnh hình</t>
        </is>
      </c>
      <c r="F714" s="249" t="n">
        <v>1</v>
      </c>
      <c r="G714" s="249" t="n">
        <v>222300</v>
      </c>
    </row>
    <row r="715" ht="17.25" customHeight="1">
      <c r="A715" s="119" t="n">
        <v>707</v>
      </c>
      <c r="B715" s="119" t="inlineStr">
        <is>
          <t>2026/08/16 00:00</t>
        </is>
      </c>
      <c r="C715" s="119" t="inlineStr">
        <is>
          <t>NGUYỄN THỊ HẰNG</t>
        </is>
      </c>
      <c r="D715" s="119" t="inlineStr">
        <is>
          <t>15/02/1963</t>
        </is>
      </c>
      <c r="E715" s="119" t="inlineStr">
        <is>
          <t>Giường Nội khoa loại 2 - Khoa Chấn thương chỉnh hình</t>
        </is>
      </c>
      <c r="F715" s="249" t="n">
        <v>1</v>
      </c>
      <c r="G715" s="249" t="n">
        <v>222300</v>
      </c>
    </row>
    <row r="716" ht="17.25" customHeight="1">
      <c r="A716" s="119" t="n">
        <v>708</v>
      </c>
      <c r="B716" s="119" t="inlineStr">
        <is>
          <t>2026/08/16 00:00</t>
        </is>
      </c>
      <c r="C716" s="119" t="inlineStr">
        <is>
          <t>NGUYỄN THỊ LAN</t>
        </is>
      </c>
      <c r="D716" s="119" t="inlineStr">
        <is>
          <t>10/10/1958</t>
        </is>
      </c>
      <c r="E716" s="119" t="inlineStr">
        <is>
          <t>Giường Nội khoa loại 2 - Khoa Chấn thương chỉnh hình</t>
        </is>
      </c>
      <c r="F716" s="249" t="n">
        <v>1</v>
      </c>
      <c r="G716" s="249" t="n">
        <v>222300</v>
      </c>
    </row>
    <row r="717" ht="17.25" customHeight="1">
      <c r="A717" s="119" t="n">
        <v>709</v>
      </c>
      <c r="B717" s="119" t="inlineStr">
        <is>
          <t>2026/08/16 00:00</t>
        </is>
      </c>
      <c r="C717" s="119" t="inlineStr">
        <is>
          <t>NGUYỄN THỊ THÚY HẰNG</t>
        </is>
      </c>
      <c r="D717" s="119" t="inlineStr">
        <is>
          <t>02/07/1980</t>
        </is>
      </c>
      <c r="E717" s="119" t="inlineStr">
        <is>
          <t>Giường Nội khoa loại 2 - Khoa Chấn thương chỉnh hình</t>
        </is>
      </c>
      <c r="F717" s="249" t="n">
        <v>1</v>
      </c>
      <c r="G717" s="249" t="n">
        <v>222300</v>
      </c>
    </row>
    <row r="718" ht="17.25" customHeight="1">
      <c r="A718" s="119" t="n">
        <v>710</v>
      </c>
      <c r="B718" s="119" t="inlineStr">
        <is>
          <t>2026/08/16 00:00</t>
        </is>
      </c>
      <c r="C718" s="119" t="inlineStr">
        <is>
          <t>NGUYỄN THỊ TUYỀN</t>
        </is>
      </c>
      <c r="D718" s="119" t="inlineStr">
        <is>
          <t>20/09/1969</t>
        </is>
      </c>
      <c r="E718" s="119" t="inlineStr">
        <is>
          <t>Giường Nội khoa loại 2 - Khoa Chấn thương chỉnh hình</t>
        </is>
      </c>
      <c r="F718" s="249" t="n">
        <v>1</v>
      </c>
      <c r="G718" s="249" t="n">
        <v>222300</v>
      </c>
    </row>
    <row r="719" ht="17.25" customHeight="1">
      <c r="A719" s="119" t="n">
        <v>711</v>
      </c>
      <c r="B719" s="119" t="inlineStr">
        <is>
          <t>2026/08/16 00:00</t>
        </is>
      </c>
      <c r="C719" s="119" t="inlineStr">
        <is>
          <t>NGUYỄN THỊ XUÂN LAN</t>
        </is>
      </c>
      <c r="D719" s="119" t="inlineStr">
        <is>
          <t>30/12/1956</t>
        </is>
      </c>
      <c r="E719" s="119" t="inlineStr">
        <is>
          <t>Giường Nội khoa loại 2 - Khoa Chấn thương chỉnh hình</t>
        </is>
      </c>
      <c r="F719" s="249" t="n">
        <v>1</v>
      </c>
      <c r="G719" s="249" t="n">
        <v>222300</v>
      </c>
    </row>
    <row r="720" ht="17.25" customHeight="1">
      <c r="A720" s="119" t="n">
        <v>712</v>
      </c>
      <c r="B720" s="119" t="inlineStr">
        <is>
          <t>2026/08/16 00:00</t>
        </is>
      </c>
      <c r="C720" s="119" t="inlineStr">
        <is>
          <t>NGUYỄN THỊ ÚT EM</t>
        </is>
      </c>
      <c r="D720" s="119" t="inlineStr">
        <is>
          <t>01/01/1962</t>
        </is>
      </c>
      <c r="E720" s="119" t="inlineStr">
        <is>
          <t>Giường Ngoại khoa loại 1 - Khoa Chấn thương chỉnh hình</t>
        </is>
      </c>
      <c r="F720" s="249" t="n">
        <v>1</v>
      </c>
      <c r="G720" s="249" t="n">
        <v>341800</v>
      </c>
    </row>
    <row r="721" ht="17.25" customHeight="1">
      <c r="A721" s="119" t="n">
        <v>713</v>
      </c>
      <c r="B721" s="119" t="inlineStr">
        <is>
          <t>2026/08/16 00:00</t>
        </is>
      </c>
      <c r="C721" s="119" t="inlineStr">
        <is>
          <t>TRƯƠNG TRUNG TRỰC</t>
        </is>
      </c>
      <c r="D721" s="119" t="inlineStr">
        <is>
          <t>01/09/1942</t>
        </is>
      </c>
      <c r="E721" s="119" t="inlineStr">
        <is>
          <t>Giường Ngoại khoa loại 1 - Khoa Chấn thương chỉnh hình</t>
        </is>
      </c>
      <c r="F721" s="249" t="n">
        <v>1</v>
      </c>
      <c r="G721" s="249" t="n">
        <v>341800</v>
      </c>
    </row>
    <row r="722" ht="17.25" customHeight="1">
      <c r="A722" s="119" t="n">
        <v>714</v>
      </c>
      <c r="B722" s="119" t="inlineStr">
        <is>
          <t>2026/08/16 00:00</t>
        </is>
      </c>
      <c r="C722" s="119" t="inlineStr">
        <is>
          <t>TRẦN HIỀN</t>
        </is>
      </c>
      <c r="D722" s="119" t="inlineStr">
        <is>
          <t>01/01/1971</t>
        </is>
      </c>
      <c r="E722" s="119" t="inlineStr">
        <is>
          <t>Giường Nội khoa loại 2 - Khoa Chấn thương chỉnh hình</t>
        </is>
      </c>
      <c r="F722" s="249" t="n">
        <v>1</v>
      </c>
      <c r="G722" s="249" t="n">
        <v>222300</v>
      </c>
    </row>
    <row r="723" ht="17.25" customHeight="1">
      <c r="A723" s="119" t="n">
        <v>715</v>
      </c>
      <c r="B723" s="119" t="inlineStr">
        <is>
          <t>2026/08/16 00:00</t>
        </is>
      </c>
      <c r="C723" s="119" t="inlineStr">
        <is>
          <t>TRẦN LỆ XUÂN</t>
        </is>
      </c>
      <c r="D723" s="119" t="inlineStr">
        <is>
          <t>01/01/1964</t>
        </is>
      </c>
      <c r="E723" s="119" t="inlineStr">
        <is>
          <t>Giường Ngoại khoa loại 4 - Khoa Chấn thương chỉnh hình</t>
        </is>
      </c>
      <c r="F723" s="249" t="n">
        <v>1</v>
      </c>
      <c r="G723" s="249" t="n">
        <v>229200</v>
      </c>
    </row>
    <row r="724" ht="17.25" customHeight="1">
      <c r="A724" s="119" t="n">
        <v>716</v>
      </c>
      <c r="B724" s="119" t="inlineStr">
        <is>
          <t>2026/08/16 00:00</t>
        </is>
      </c>
      <c r="C724" s="119" t="inlineStr">
        <is>
          <t>VÕ HỒNG CƠ</t>
        </is>
      </c>
      <c r="D724" s="119" t="inlineStr">
        <is>
          <t>25/12/1937</t>
        </is>
      </c>
      <c r="E724" s="119" t="inlineStr">
        <is>
          <t>Giường Nội khoa loại 2 - Khoa Chấn thương chỉnh hình</t>
        </is>
      </c>
      <c r="F724" s="249" t="n">
        <v>1</v>
      </c>
      <c r="G724" s="249" t="n">
        <v>222300</v>
      </c>
    </row>
    <row r="725" ht="17.25" customHeight="1">
      <c r="A725" s="119" t="n">
        <v>717</v>
      </c>
      <c r="B725" s="119" t="inlineStr">
        <is>
          <t>2026/08/16 00:00</t>
        </is>
      </c>
      <c r="C725" s="119" t="inlineStr">
        <is>
          <t>VÕ THÀNH LONG</t>
        </is>
      </c>
      <c r="D725" s="119" t="inlineStr">
        <is>
          <t>06/06/1966</t>
        </is>
      </c>
      <c r="E725" s="119" t="inlineStr">
        <is>
          <t>Giường Ngoại khoa loại 3 - Khoa Chấn thương chỉnh hình</t>
        </is>
      </c>
      <c r="F725" s="249" t="n">
        <v>1</v>
      </c>
      <c r="G725" s="249" t="n">
        <v>269200</v>
      </c>
    </row>
    <row r="726" ht="17.25" customHeight="1">
      <c r="A726" s="119" t="n">
        <v>718</v>
      </c>
      <c r="B726" s="119" t="inlineStr">
        <is>
          <t>2026/08/16 00:00</t>
        </is>
      </c>
      <c r="C726" s="119" t="inlineStr">
        <is>
          <t>VÕ VĂN LUÔN</t>
        </is>
      </c>
      <c r="D726" s="119" t="inlineStr">
        <is>
          <t>01/01/1964</t>
        </is>
      </c>
      <c r="E726" s="119" t="inlineStr">
        <is>
          <t>Giường Nội khoa loại 2 - Khoa Chấn thương chỉnh hình</t>
        </is>
      </c>
      <c r="F726" s="249" t="n">
        <v>1</v>
      </c>
      <c r="G726" s="249" t="n">
        <v>222300</v>
      </c>
    </row>
    <row r="727" ht="17.25" customHeight="1">
      <c r="A727" s="119" t="n">
        <v>719</v>
      </c>
      <c r="B727" s="119" t="inlineStr">
        <is>
          <t>2026/08/16 00:00</t>
        </is>
      </c>
      <c r="C727" s="119" t="inlineStr">
        <is>
          <t>VÕ VĂN ĐOÀN</t>
        </is>
      </c>
      <c r="D727" s="119" t="inlineStr">
        <is>
          <t>15/08/1978</t>
        </is>
      </c>
      <c r="E727" s="119" t="inlineStr">
        <is>
          <t>Giường Ngoại khoa loại 1 - Khoa Chấn thương chỉnh hình</t>
        </is>
      </c>
      <c r="F727" s="249" t="n">
        <v>1</v>
      </c>
      <c r="G727" s="249" t="n">
        <v>341800</v>
      </c>
    </row>
    <row r="728" ht="17.25" customHeight="1">
      <c r="A728" s="119" t="n">
        <v>720</v>
      </c>
      <c r="B728" s="119" t="inlineStr">
        <is>
          <t>2026/08/16 00:00</t>
        </is>
      </c>
      <c r="C728" s="119" t="inlineStr">
        <is>
          <t>VĂNG VĂN ĐỒ</t>
        </is>
      </c>
      <c r="D728" s="119" t="inlineStr">
        <is>
          <t>25/05/1972</t>
        </is>
      </c>
      <c r="E728" s="119" t="inlineStr">
        <is>
          <t>Giường Ngoại khoa loại 1 - Khoa Chấn thương chỉnh hình</t>
        </is>
      </c>
      <c r="F728" s="249" t="n">
        <v>1</v>
      </c>
      <c r="G728" s="249" t="n">
        <v>341800</v>
      </c>
    </row>
    <row r="729" ht="17.25" customHeight="1">
      <c r="A729" s="119" t="n">
        <v>721</v>
      </c>
      <c r="B729" s="119" t="inlineStr">
        <is>
          <t>2026/08/16 00:00</t>
        </is>
      </c>
      <c r="C729" s="119" t="inlineStr">
        <is>
          <t>ĐẶNG ĐÌNH BẰNG</t>
        </is>
      </c>
      <c r="D729" s="119" t="inlineStr">
        <is>
          <t>25/08/1985</t>
        </is>
      </c>
      <c r="E729" s="119" t="inlineStr">
        <is>
          <t>Giường Ngoại khoa loại 1 - Khoa Chấn thương chỉnh hình</t>
        </is>
      </c>
      <c r="F729" s="249" t="n">
        <v>1</v>
      </c>
      <c r="G729" s="249" t="n">
        <v>341800</v>
      </c>
    </row>
    <row r="730" ht="17.25" customHeight="1">
      <c r="A730" s="119" t="n">
        <v>722</v>
      </c>
      <c r="B730" s="119" t="inlineStr">
        <is>
          <t>2026/08/16 00:00</t>
        </is>
      </c>
      <c r="C730" s="119" t="inlineStr">
        <is>
          <t>LÊ THỊ BUỐN</t>
        </is>
      </c>
      <c r="D730" s="119" t="inlineStr">
        <is>
          <t>24/10/1948</t>
        </is>
      </c>
      <c r="E730" s="119" t="inlineStr">
        <is>
          <t>Giường Ngoại khoa loại 2 - Khoa Chấn thương chỉnh hình</t>
        </is>
      </c>
      <c r="F730" s="249" t="n">
        <v>1</v>
      </c>
      <c r="G730" s="249" t="n">
        <v>301600</v>
      </c>
    </row>
    <row r="731" ht="17.25" customHeight="1">
      <c r="A731" s="119" t="n">
        <v>723</v>
      </c>
      <c r="B731" s="119" t="inlineStr">
        <is>
          <t>2026/08/16 00:00</t>
        </is>
      </c>
      <c r="C731" s="119" t="inlineStr">
        <is>
          <t>LÊ THỊ ÚT NHỎ</t>
        </is>
      </c>
      <c r="D731" s="119" t="inlineStr">
        <is>
          <t>15/10/1978</t>
        </is>
      </c>
      <c r="E731" s="119" t="inlineStr">
        <is>
          <t>Giường Ngoại khoa loại 1 - Khoa Chấn thương chỉnh hình</t>
        </is>
      </c>
      <c r="F731" s="249" t="n">
        <v>1</v>
      </c>
      <c r="G731" s="249" t="n">
        <v>341800</v>
      </c>
    </row>
    <row r="732" ht="17.25" customHeight="1">
      <c r="A732" s="119" t="n">
        <v>724</v>
      </c>
      <c r="B732" s="119" t="inlineStr">
        <is>
          <t>2026/08/16 00:00</t>
        </is>
      </c>
      <c r="C732" s="119" t="inlineStr">
        <is>
          <t>NGUYỄN THỊ DUNG</t>
        </is>
      </c>
      <c r="D732" s="119" t="inlineStr">
        <is>
          <t>01/01/1944</t>
        </is>
      </c>
      <c r="E732" s="119" t="inlineStr">
        <is>
          <t>Giường Ngoại khoa loại 2 - Khoa Chấn thương chỉnh hình</t>
        </is>
      </c>
      <c r="F732" s="249" t="n">
        <v>1</v>
      </c>
      <c r="G732" s="249" t="n">
        <v>301600</v>
      </c>
    </row>
    <row r="733" ht="17.25" customHeight="1">
      <c r="A733" s="119" t="n">
        <v>725</v>
      </c>
      <c r="B733" s="119" t="inlineStr">
        <is>
          <t>2026/08/16 00:00</t>
        </is>
      </c>
      <c r="C733" s="119" t="inlineStr">
        <is>
          <t>NGUYỄN THỊ HÀ</t>
        </is>
      </c>
      <c r="D733" s="119" t="inlineStr">
        <is>
          <t>01/01/1954</t>
        </is>
      </c>
      <c r="E733" s="119" t="inlineStr">
        <is>
          <t>Giường Nội khoa loại 2 - Khoa Chấn thương chỉnh hình</t>
        </is>
      </c>
      <c r="F733" s="249" t="n">
        <v>1</v>
      </c>
      <c r="G733" s="249" t="n">
        <v>222300</v>
      </c>
    </row>
    <row r="734" ht="17.25" customHeight="1">
      <c r="A734" s="119" t="n">
        <v>726</v>
      </c>
      <c r="B734" s="119" t="inlineStr">
        <is>
          <t>2026/08/16 00:00</t>
        </is>
      </c>
      <c r="C734" s="119" t="inlineStr">
        <is>
          <t>NGUYỄN THỊ TÁM</t>
        </is>
      </c>
      <c r="D734" s="119" t="inlineStr">
        <is>
          <t>01/01/1957</t>
        </is>
      </c>
      <c r="E734" s="119" t="inlineStr">
        <is>
          <t>Giường Ngoại khoa loại 3 - Khoa Chấn thương chỉnh hình</t>
        </is>
      </c>
      <c r="F734" s="249" t="n">
        <v>1</v>
      </c>
      <c r="G734" s="249" t="n">
        <v>269200</v>
      </c>
    </row>
    <row r="735" ht="17.25" customHeight="1">
      <c r="A735" s="119" t="n">
        <v>727</v>
      </c>
      <c r="B735" s="119" t="inlineStr">
        <is>
          <t>2026/08/16 00:00</t>
        </is>
      </c>
      <c r="C735" s="119" t="inlineStr">
        <is>
          <t>PHẠM VĂN LONG</t>
        </is>
      </c>
      <c r="D735" s="119" t="inlineStr">
        <is>
          <t>01/01/1986</t>
        </is>
      </c>
      <c r="E735" s="119" t="inlineStr">
        <is>
          <t>Giường Ngoại khoa loại 1 - Khoa Chấn thương chỉnh hình</t>
        </is>
      </c>
      <c r="F735" s="249" t="n">
        <v>1</v>
      </c>
      <c r="G735" s="249" t="n">
        <v>341800</v>
      </c>
    </row>
    <row r="736" ht="17.25" customHeight="1">
      <c r="A736" s="119" t="n">
        <v>728</v>
      </c>
      <c r="B736" s="119" t="inlineStr">
        <is>
          <t>2026/08/16 00:00</t>
        </is>
      </c>
      <c r="C736" s="119" t="inlineStr">
        <is>
          <t>TRƯƠNG VĂN ÚT</t>
        </is>
      </c>
      <c r="D736" s="119" t="inlineStr">
        <is>
          <t>01/01/1948</t>
        </is>
      </c>
      <c r="E736" s="119" t="inlineStr">
        <is>
          <t>Giường Ngoại khoa loại 3 - Khoa Chấn thương chỉnh hình</t>
        </is>
      </c>
      <c r="F736" s="249" t="n">
        <v>1</v>
      </c>
      <c r="G736" s="249" t="n">
        <v>269200</v>
      </c>
    </row>
    <row r="737" ht="17.25" customHeight="1">
      <c r="A737" s="119" t="n">
        <v>729</v>
      </c>
      <c r="B737" s="119" t="inlineStr">
        <is>
          <t>2026/08/16 00:00</t>
        </is>
      </c>
      <c r="C737" s="119" t="inlineStr">
        <is>
          <t>TRẦN VĂN LẸ</t>
        </is>
      </c>
      <c r="D737" s="119" t="inlineStr">
        <is>
          <t>01/01/1975</t>
        </is>
      </c>
      <c r="E737" s="119" t="inlineStr">
        <is>
          <t>Giường Ngoại khoa loại 1 - Khoa Chấn thương chỉnh hình</t>
        </is>
      </c>
      <c r="F737" s="249" t="n">
        <v>1</v>
      </c>
      <c r="G737" s="249" t="n">
        <v>341800</v>
      </c>
    </row>
    <row r="738" ht="17.25" customHeight="1">
      <c r="A738" s="119" t="n">
        <v>730</v>
      </c>
      <c r="B738" s="119" t="inlineStr">
        <is>
          <t>2026/08/16 00:00</t>
        </is>
      </c>
      <c r="C738" s="119" t="inlineStr">
        <is>
          <t>TĂNG THỊ MIỀN</t>
        </is>
      </c>
      <c r="D738" s="119" t="inlineStr">
        <is>
          <t>01/01/1951</t>
        </is>
      </c>
      <c r="E738" s="119" t="inlineStr">
        <is>
          <t>Giường Ngoại khoa loại 3 - Khoa Chấn thương chỉnh hình</t>
        </is>
      </c>
      <c r="F738" s="249" t="n">
        <v>1</v>
      </c>
      <c r="G738" s="249" t="n">
        <v>269200</v>
      </c>
    </row>
    <row r="739" ht="17.25" customHeight="1">
      <c r="A739" s="119" t="n">
        <v>731</v>
      </c>
      <c r="B739" s="119" t="inlineStr">
        <is>
          <t>2026/08/16 11:00</t>
        </is>
      </c>
      <c r="C739" s="119" t="inlineStr">
        <is>
          <t>BÙI VĂN BẢY</t>
        </is>
      </c>
      <c r="D739" s="119" t="inlineStr">
        <is>
          <t>01/01/1963</t>
        </is>
      </c>
      <c r="E739" s="119" t="inlineStr">
        <is>
          <t>Giường Ngoại khoa loại 3 - Khoa Chấn thương chỉnh hình</t>
        </is>
      </c>
      <c r="F739" s="249" t="n">
        <v>1</v>
      </c>
      <c r="G739" s="249" t="n">
        <v>269200</v>
      </c>
    </row>
    <row r="740" ht="17.25" customHeight="1">
      <c r="A740" s="119" t="n">
        <v>732</v>
      </c>
      <c r="B740" s="119" t="inlineStr">
        <is>
          <t>2026/08/17 00:00</t>
        </is>
      </c>
      <c r="C740" s="119" t="inlineStr">
        <is>
          <t>BÙI HỮU THỌ</t>
        </is>
      </c>
      <c r="D740" s="119" t="inlineStr">
        <is>
          <t>01/02/1981</t>
        </is>
      </c>
      <c r="E740" s="119" t="inlineStr">
        <is>
          <t>Giường Ngoại khoa loại 3 - Khoa Chấn thương chỉnh hình</t>
        </is>
      </c>
      <c r="F740" s="249" t="n">
        <v>1</v>
      </c>
      <c r="G740" s="249" t="n">
        <v>269200</v>
      </c>
    </row>
    <row r="741" ht="17.25" customHeight="1">
      <c r="A741" s="119" t="n">
        <v>733</v>
      </c>
      <c r="B741" s="119" t="inlineStr">
        <is>
          <t>2026/08/17 00:00</t>
        </is>
      </c>
      <c r="C741" s="119" t="inlineStr">
        <is>
          <t>BÙI THỊ NGỜI</t>
        </is>
      </c>
      <c r="D741" s="119" t="inlineStr">
        <is>
          <t>01/01/1952</t>
        </is>
      </c>
      <c r="E741" s="119" t="inlineStr">
        <is>
          <t>Giường Nội khoa loại 2 - Khoa Chấn thương chỉnh hình</t>
        </is>
      </c>
      <c r="F741" s="249" t="n">
        <v>1</v>
      </c>
      <c r="G741" s="249" t="n">
        <v>222300</v>
      </c>
    </row>
    <row r="742" ht="17.25" customHeight="1">
      <c r="A742" s="119" t="n">
        <v>734</v>
      </c>
      <c r="B742" s="119" t="inlineStr">
        <is>
          <t>2026/08/17 00:00</t>
        </is>
      </c>
      <c r="C742" s="119" t="inlineStr">
        <is>
          <t>BÙI THỊ TRÀ</t>
        </is>
      </c>
      <c r="D742" s="119" t="inlineStr">
        <is>
          <t>22/09/1958</t>
        </is>
      </c>
      <c r="E742" s="119" t="inlineStr">
        <is>
          <t>Giường Nội khoa loại 2 - Khoa Chấn thương chỉnh hình</t>
        </is>
      </c>
      <c r="F742" s="249" t="n">
        <v>1</v>
      </c>
      <c r="G742" s="249" t="n">
        <v>222300</v>
      </c>
    </row>
    <row r="743" ht="17.25" customHeight="1">
      <c r="A743" s="119" t="n">
        <v>735</v>
      </c>
      <c r="B743" s="119" t="inlineStr">
        <is>
          <t>2026/08/17 00:00</t>
        </is>
      </c>
      <c r="C743" s="119" t="inlineStr">
        <is>
          <t>BÙI VĂN BẢY</t>
        </is>
      </c>
      <c r="D743" s="119" t="inlineStr">
        <is>
          <t>01/01/1963</t>
        </is>
      </c>
      <c r="E743" s="119" t="inlineStr">
        <is>
          <t>Giường Ngoại khoa loại 3 - Khoa Chấn thương chỉnh hình</t>
        </is>
      </c>
      <c r="F743" s="249" t="n">
        <v>1</v>
      </c>
      <c r="G743" s="249" t="n">
        <v>269200</v>
      </c>
    </row>
    <row r="744" ht="17.25" customHeight="1">
      <c r="A744" s="119" t="n">
        <v>736</v>
      </c>
      <c r="B744" s="119" t="inlineStr">
        <is>
          <t>2026/08/17 00:00</t>
        </is>
      </c>
      <c r="C744" s="119" t="inlineStr">
        <is>
          <t>LÊ NGỌC ĐIỆP</t>
        </is>
      </c>
      <c r="D744" s="119" t="inlineStr">
        <is>
          <t>29/08/1962</t>
        </is>
      </c>
      <c r="E744" s="119" t="inlineStr">
        <is>
          <t>Giường Ngoại khoa loại 4 - Khoa Chấn thương chỉnh hình</t>
        </is>
      </c>
      <c r="F744" s="249" t="n">
        <v>1</v>
      </c>
      <c r="G744" s="249" t="n">
        <v>229200</v>
      </c>
    </row>
    <row r="745" ht="17.25" customHeight="1">
      <c r="A745" s="119" t="n">
        <v>737</v>
      </c>
      <c r="B745" s="119" t="inlineStr">
        <is>
          <t>2026/08/17 00:00</t>
        </is>
      </c>
      <c r="C745" s="119" t="inlineStr">
        <is>
          <t>LÊ THANH HIỀN</t>
        </is>
      </c>
      <c r="D745" s="119" t="inlineStr">
        <is>
          <t>04/10/1989</t>
        </is>
      </c>
      <c r="E745" s="119" t="inlineStr">
        <is>
          <t>Giường Ngoại khoa loại 3 - Khoa Chấn thương chỉnh hình</t>
        </is>
      </c>
      <c r="F745" s="249" t="n">
        <v>1</v>
      </c>
      <c r="G745" s="249" t="n">
        <v>269200</v>
      </c>
    </row>
    <row r="746" ht="17.25" customHeight="1">
      <c r="A746" s="119" t="n">
        <v>738</v>
      </c>
      <c r="B746" s="119" t="inlineStr">
        <is>
          <t>2026/08/17 00:00</t>
        </is>
      </c>
      <c r="C746" s="119" t="inlineStr">
        <is>
          <t>MAI THỊ HAI</t>
        </is>
      </c>
      <c r="D746" s="119" t="inlineStr">
        <is>
          <t>19/07/1951</t>
        </is>
      </c>
      <c r="E746" s="119" t="inlineStr">
        <is>
          <t>Giường Nội khoa loại 2 - Khoa Chấn thương chỉnh hình</t>
        </is>
      </c>
      <c r="F746" s="249" t="n">
        <v>1</v>
      </c>
      <c r="G746" s="249" t="n">
        <v>222300</v>
      </c>
    </row>
    <row r="747" ht="17.25" customHeight="1">
      <c r="A747" s="119" t="n">
        <v>739</v>
      </c>
      <c r="B747" s="119" t="inlineStr">
        <is>
          <t>2026/08/17 00:00</t>
        </is>
      </c>
      <c r="C747" s="119" t="inlineStr">
        <is>
          <t>MAI VĂN ANH</t>
        </is>
      </c>
      <c r="D747" s="119" t="inlineStr">
        <is>
          <t>01/01/1980</t>
        </is>
      </c>
      <c r="E747" s="119" t="inlineStr">
        <is>
          <t>Giường Nội khoa loại 2 - Khoa Chấn thương chỉnh hình</t>
        </is>
      </c>
      <c r="F747" s="249" t="n">
        <v>1</v>
      </c>
      <c r="G747" s="249" t="n">
        <v>222300</v>
      </c>
    </row>
    <row r="748" ht="17.25" customHeight="1">
      <c r="A748" s="119" t="n">
        <v>740</v>
      </c>
      <c r="B748" s="119" t="inlineStr">
        <is>
          <t>2026/08/17 00:00</t>
        </is>
      </c>
      <c r="C748" s="119" t="inlineStr">
        <is>
          <t>NGUYỄN CHÁNH HUY</t>
        </is>
      </c>
      <c r="D748" s="119" t="inlineStr">
        <is>
          <t>18/01/2003</t>
        </is>
      </c>
      <c r="E748" s="119" t="inlineStr">
        <is>
          <t>Giường Nội khoa loại 2 - Khoa Chấn thương chỉnh hình</t>
        </is>
      </c>
      <c r="F748" s="249" t="n">
        <v>1</v>
      </c>
      <c r="G748" s="249" t="n">
        <v>250000</v>
      </c>
    </row>
    <row r="749" ht="17.25" customHeight="1">
      <c r="A749" s="119" t="n">
        <v>741</v>
      </c>
      <c r="B749" s="119" t="inlineStr">
        <is>
          <t>2026/08/17 00:00</t>
        </is>
      </c>
      <c r="C749" s="119" t="inlineStr">
        <is>
          <t>NGUYỄN THỊ HƯỞNG</t>
        </is>
      </c>
      <c r="D749" s="119" t="inlineStr">
        <is>
          <t>12/04/1971</t>
        </is>
      </c>
      <c r="E749" s="119" t="inlineStr">
        <is>
          <t>Giường Nội khoa loại 2 - Khoa Chấn thương chỉnh hình</t>
        </is>
      </c>
      <c r="F749" s="249" t="n">
        <v>1</v>
      </c>
      <c r="G749" s="249" t="n">
        <v>222300</v>
      </c>
    </row>
    <row r="750" ht="17.25" customHeight="1">
      <c r="A750" s="119" t="n">
        <v>742</v>
      </c>
      <c r="B750" s="119" t="inlineStr">
        <is>
          <t>2026/08/17 00:00</t>
        </is>
      </c>
      <c r="C750" s="119" t="inlineStr">
        <is>
          <t>NGUYỄN THỊ HẰNG</t>
        </is>
      </c>
      <c r="D750" s="119" t="inlineStr">
        <is>
          <t>15/02/1963</t>
        </is>
      </c>
      <c r="E750" s="119" t="inlineStr">
        <is>
          <t>Giường Nội khoa loại 2 - Khoa Chấn thương chỉnh hình</t>
        </is>
      </c>
      <c r="F750" s="249" t="n">
        <v>1</v>
      </c>
      <c r="G750" s="249" t="n">
        <v>222300</v>
      </c>
    </row>
    <row r="751" ht="17.25" customHeight="1">
      <c r="A751" s="119" t="n">
        <v>743</v>
      </c>
      <c r="B751" s="119" t="inlineStr">
        <is>
          <t>2026/08/17 00:00</t>
        </is>
      </c>
      <c r="C751" s="119" t="inlineStr">
        <is>
          <t>NGUYỄN THỊ THÚY HẰNG</t>
        </is>
      </c>
      <c r="D751" s="119" t="inlineStr">
        <is>
          <t>02/07/1980</t>
        </is>
      </c>
      <c r="E751" s="119" t="inlineStr">
        <is>
          <t>Giường Nội khoa loại 2 - Khoa Chấn thương chỉnh hình</t>
        </is>
      </c>
      <c r="F751" s="249" t="n">
        <v>1</v>
      </c>
      <c r="G751" s="249" t="n">
        <v>222300</v>
      </c>
    </row>
    <row r="752" ht="17.25" customHeight="1">
      <c r="A752" s="119" t="n">
        <v>744</v>
      </c>
      <c r="B752" s="119" t="inlineStr">
        <is>
          <t>2026/08/17 00:00</t>
        </is>
      </c>
      <c r="C752" s="119" t="inlineStr">
        <is>
          <t>NGUYỄN THỊ TUYỀN</t>
        </is>
      </c>
      <c r="D752" s="119" t="inlineStr">
        <is>
          <t>20/09/1969</t>
        </is>
      </c>
      <c r="E752" s="119" t="inlineStr">
        <is>
          <t>Giường Nội khoa loại 2 - Khoa Chấn thương chỉnh hình</t>
        </is>
      </c>
      <c r="F752" s="249" t="n">
        <v>1</v>
      </c>
      <c r="G752" s="249" t="n">
        <v>222300</v>
      </c>
    </row>
    <row r="753" ht="17.25" customHeight="1">
      <c r="A753" s="119" t="n">
        <v>745</v>
      </c>
      <c r="B753" s="119" t="inlineStr">
        <is>
          <t>2026/08/17 00:00</t>
        </is>
      </c>
      <c r="C753" s="119" t="inlineStr">
        <is>
          <t>NGUYỄN THỊ XUÂN LAN</t>
        </is>
      </c>
      <c r="D753" s="119" t="inlineStr">
        <is>
          <t>30/12/1956</t>
        </is>
      </c>
      <c r="E753" s="119" t="inlineStr">
        <is>
          <t>Giường Nội khoa loại 2 - Khoa Chấn thương chỉnh hình</t>
        </is>
      </c>
      <c r="F753" s="249" t="n">
        <v>1</v>
      </c>
      <c r="G753" s="249" t="n">
        <v>222300</v>
      </c>
    </row>
    <row r="754" ht="17.25" customHeight="1">
      <c r="A754" s="119" t="n">
        <v>746</v>
      </c>
      <c r="B754" s="119" t="inlineStr">
        <is>
          <t>2026/08/17 00:00</t>
        </is>
      </c>
      <c r="C754" s="119" t="inlineStr">
        <is>
          <t>TRẦN HIỀN</t>
        </is>
      </c>
      <c r="D754" s="119" t="inlineStr">
        <is>
          <t>01/01/1971</t>
        </is>
      </c>
      <c r="E754" s="119" t="inlineStr">
        <is>
          <t>Giường Nội khoa loại 2 - Khoa Chấn thương chỉnh hình</t>
        </is>
      </c>
      <c r="F754" s="249" t="n">
        <v>1</v>
      </c>
      <c r="G754" s="249" t="n">
        <v>222300</v>
      </c>
    </row>
    <row r="755" ht="17.25" customHeight="1">
      <c r="A755" s="119" t="n">
        <v>747</v>
      </c>
      <c r="B755" s="119" t="inlineStr">
        <is>
          <t>2026/08/17 00:00</t>
        </is>
      </c>
      <c r="C755" s="119" t="inlineStr">
        <is>
          <t>TRẦN LỆ XUÂN</t>
        </is>
      </c>
      <c r="D755" s="119" t="inlineStr">
        <is>
          <t>01/01/1964</t>
        </is>
      </c>
      <c r="E755" s="119" t="inlineStr">
        <is>
          <t>Giường Ngoại khoa loại 4 - Khoa Chấn thương chỉnh hình</t>
        </is>
      </c>
      <c r="F755" s="249" t="n">
        <v>1</v>
      </c>
      <c r="G755" s="249" t="n">
        <v>229200</v>
      </c>
    </row>
    <row r="756" ht="17.25" customHeight="1">
      <c r="A756" s="119" t="n">
        <v>748</v>
      </c>
      <c r="B756" s="119" t="inlineStr">
        <is>
          <t>2026/08/17 00:00</t>
        </is>
      </c>
      <c r="C756" s="119" t="inlineStr">
        <is>
          <t>TĂNG THỊ MIỀN</t>
        </is>
      </c>
      <c r="D756" s="119" t="inlineStr">
        <is>
          <t>01/01/1951</t>
        </is>
      </c>
      <c r="E756" s="119" t="inlineStr">
        <is>
          <t>Giường Nội khoa loại 2 - Khoa Chấn thương chỉnh hình</t>
        </is>
      </c>
      <c r="F756" s="249" t="n">
        <v>1</v>
      </c>
      <c r="G756" s="249" t="n">
        <v>222300</v>
      </c>
    </row>
    <row r="757" ht="17.25" customHeight="1">
      <c r="A757" s="119" t="n">
        <v>749</v>
      </c>
      <c r="B757" s="119" t="inlineStr">
        <is>
          <t>2026/08/17 00:00</t>
        </is>
      </c>
      <c r="C757" s="119" t="inlineStr">
        <is>
          <t>VÕ THÀNH LONG</t>
        </is>
      </c>
      <c r="D757" s="119" t="inlineStr">
        <is>
          <t>06/06/1966</t>
        </is>
      </c>
      <c r="E757" s="119" t="inlineStr">
        <is>
          <t>Giường Ngoại khoa loại 3 - Khoa Chấn thương chỉnh hình</t>
        </is>
      </c>
      <c r="F757" s="249" t="n">
        <v>1</v>
      </c>
      <c r="G757" s="249" t="n">
        <v>269200</v>
      </c>
    </row>
    <row r="758" ht="17.25" customHeight="1">
      <c r="A758" s="119" t="n">
        <v>750</v>
      </c>
      <c r="B758" s="119" t="inlineStr">
        <is>
          <t>2026/08/17 00:00</t>
        </is>
      </c>
      <c r="C758" s="119" t="inlineStr">
        <is>
          <t>VĂNG VĂN ĐỒ</t>
        </is>
      </c>
      <c r="D758" s="119" t="inlineStr">
        <is>
          <t>25/05/1972</t>
        </is>
      </c>
      <c r="E758" s="119" t="inlineStr">
        <is>
          <t>Giường Ngoại khoa loại 1 - Khoa Chấn thương chỉnh hình</t>
        </is>
      </c>
      <c r="F758" s="249" t="n">
        <v>1</v>
      </c>
      <c r="G758" s="249" t="n">
        <v>341800</v>
      </c>
    </row>
    <row r="759" ht="17.25" customHeight="1">
      <c r="A759" s="119" t="n">
        <v>751</v>
      </c>
      <c r="B759" s="119" t="inlineStr">
        <is>
          <t>2026/08/17 00:00</t>
        </is>
      </c>
      <c r="C759" s="119" t="inlineStr">
        <is>
          <t>ĐẶNG THỊ GẤM</t>
        </is>
      </c>
      <c r="D759" s="119" t="inlineStr">
        <is>
          <t>01/01/1965</t>
        </is>
      </c>
      <c r="E759" s="119" t="inlineStr">
        <is>
          <t>Giường Nội khoa loại 2 - Khoa Chấn thương chỉnh hình</t>
        </is>
      </c>
      <c r="F759" s="249" t="n">
        <v>1</v>
      </c>
      <c r="G759" s="249" t="n">
        <v>222300</v>
      </c>
    </row>
    <row r="760" ht="17.25" customHeight="1">
      <c r="A760" s="119" t="n">
        <v>752</v>
      </c>
      <c r="B760" s="119" t="inlineStr">
        <is>
          <t>2026/08/17 00:00</t>
        </is>
      </c>
      <c r="C760" s="119" t="inlineStr">
        <is>
          <t>ĐẶNG THỊ GẤM</t>
        </is>
      </c>
      <c r="D760" s="119" t="inlineStr">
        <is>
          <t>01/01/1965</t>
        </is>
      </c>
      <c r="E760" s="119" t="inlineStr">
        <is>
          <t>Giường Nội khoa loại 2 - Khoa Chấn thương chỉnh hình</t>
        </is>
      </c>
      <c r="F760" s="249" t="n">
        <v>1</v>
      </c>
      <c r="G760" s="249" t="n">
        <v>222300</v>
      </c>
    </row>
    <row r="761" ht="17.25" customHeight="1">
      <c r="A761" s="119" t="n">
        <v>753</v>
      </c>
      <c r="B761" s="119" t="inlineStr">
        <is>
          <t>2026/08/17 00:00</t>
        </is>
      </c>
      <c r="C761" s="119" t="inlineStr">
        <is>
          <t>LÊ THỊ BUỐN</t>
        </is>
      </c>
      <c r="D761" s="119" t="inlineStr">
        <is>
          <t>24/10/1948</t>
        </is>
      </c>
      <c r="E761" s="119" t="inlineStr">
        <is>
          <t>Giường Ngoại khoa loại 2 - Khoa Chấn thương chỉnh hình</t>
        </is>
      </c>
      <c r="F761" s="249" t="n">
        <v>1</v>
      </c>
      <c r="G761" s="249" t="n">
        <v>301600</v>
      </c>
    </row>
    <row r="762" ht="17.25" customHeight="1">
      <c r="A762" s="119" t="n">
        <v>754</v>
      </c>
      <c r="B762" s="119" t="inlineStr">
        <is>
          <t>2026/08/17 00:00</t>
        </is>
      </c>
      <c r="C762" s="119" t="inlineStr">
        <is>
          <t>NGUYỄN THỊ DUNG</t>
        </is>
      </c>
      <c r="D762" s="119" t="inlineStr">
        <is>
          <t>01/01/1944</t>
        </is>
      </c>
      <c r="E762" s="119" t="inlineStr">
        <is>
          <t>Giường Ngoại khoa loại 2 - Khoa Chấn thương chỉnh hình</t>
        </is>
      </c>
      <c r="F762" s="249" t="n">
        <v>1</v>
      </c>
      <c r="G762" s="249" t="n">
        <v>301600</v>
      </c>
    </row>
    <row r="763" ht="17.25" customHeight="1">
      <c r="A763" s="119" t="n">
        <v>755</v>
      </c>
      <c r="B763" s="119" t="inlineStr">
        <is>
          <t>2026/08/17 00:00</t>
        </is>
      </c>
      <c r="C763" s="119" t="inlineStr">
        <is>
          <t>NGUYỄN THỊ TÁM</t>
        </is>
      </c>
      <c r="D763" s="119" t="inlineStr">
        <is>
          <t>01/01/1957</t>
        </is>
      </c>
      <c r="E763" s="119" t="inlineStr">
        <is>
          <t>Giường Ngoại khoa loại 3 - Khoa Chấn thương chỉnh hình</t>
        </is>
      </c>
      <c r="F763" s="249" t="n">
        <v>1</v>
      </c>
      <c r="G763" s="249" t="n">
        <v>269200</v>
      </c>
    </row>
    <row r="764" ht="17.25" customHeight="1">
      <c r="A764" s="119" t="n">
        <v>756</v>
      </c>
      <c r="B764" s="119" t="inlineStr">
        <is>
          <t>2026/08/17 00:00</t>
        </is>
      </c>
      <c r="C764" s="119" t="inlineStr">
        <is>
          <t>TRƯƠNG VĂN ÚT</t>
        </is>
      </c>
      <c r="D764" s="119" t="inlineStr">
        <is>
          <t>01/01/1948</t>
        </is>
      </c>
      <c r="E764" s="119" t="inlineStr">
        <is>
          <t>Giường Ngoại khoa loại 3 - Khoa Chấn thương chỉnh hình</t>
        </is>
      </c>
      <c r="F764" s="249" t="n">
        <v>1</v>
      </c>
      <c r="G764" s="249" t="n">
        <v>269200</v>
      </c>
    </row>
    <row r="765" ht="17.25" customHeight="1">
      <c r="A765" s="119" t="n">
        <v>757</v>
      </c>
      <c r="B765" s="119" t="inlineStr">
        <is>
          <t>2026/08/17 00:00</t>
        </is>
      </c>
      <c r="C765" s="119" t="inlineStr">
        <is>
          <t>TRẦN VĂN LẸ</t>
        </is>
      </c>
      <c r="D765" s="119" t="inlineStr">
        <is>
          <t>01/01/1975</t>
        </is>
      </c>
      <c r="E765" s="119" t="inlineStr">
        <is>
          <t>Giường Ngoại khoa loại 1 - Khoa Chấn thương chỉnh hình</t>
        </is>
      </c>
      <c r="F765" s="249" t="n">
        <v>1</v>
      </c>
      <c r="G765" s="249" t="n">
        <v>341800</v>
      </c>
    </row>
    <row r="766" ht="17.25" customHeight="1">
      <c r="A766" s="119" t="n">
        <v>758</v>
      </c>
      <c r="B766" s="119" t="inlineStr">
        <is>
          <t>2026/08/17 08:11</t>
        </is>
      </c>
      <c r="C766" s="119" t="inlineStr">
        <is>
          <t>PHẠM NGỌC SƠN</t>
        </is>
      </c>
      <c r="D766" s="119" t="inlineStr">
        <is>
          <t>06/07/1989</t>
        </is>
      </c>
      <c r="E766" s="119" t="inlineStr">
        <is>
          <t>Giường Nội khoa loại 2 - Khoa Chấn thương chỉnh hình</t>
        </is>
      </c>
      <c r="F766" s="249" t="n">
        <v>1</v>
      </c>
      <c r="G766" s="249" t="n">
        <v>222300</v>
      </c>
    </row>
    <row r="767" ht="17.25" customHeight="1">
      <c r="A767" s="119" t="n">
        <v>759</v>
      </c>
      <c r="B767" s="119" t="inlineStr">
        <is>
          <t>2026/08/17 09:01</t>
        </is>
      </c>
      <c r="C767" s="119" t="inlineStr">
        <is>
          <t>NGUYỄN VĂN Y</t>
        </is>
      </c>
      <c r="D767" s="119" t="inlineStr">
        <is>
          <t>10/07/1993</t>
        </is>
      </c>
      <c r="E767" s="119" t="inlineStr">
        <is>
          <t>Giường Nội khoa loại 2 - Khoa Chấn thương chỉnh hình</t>
        </is>
      </c>
      <c r="F767" s="249" t="n">
        <v>1</v>
      </c>
      <c r="G767" s="249" t="n">
        <v>222300</v>
      </c>
    </row>
    <row r="768" ht="17.25" customHeight="1">
      <c r="A768" s="119" t="n">
        <v>760</v>
      </c>
      <c r="B768" s="119" t="inlineStr">
        <is>
          <t>2026/08/17 10:58</t>
        </is>
      </c>
      <c r="C768" s="119" t="inlineStr">
        <is>
          <t>NGÔ TUẤN AN</t>
        </is>
      </c>
      <c r="D768" s="119" t="inlineStr">
        <is>
          <t>01/01/1988</t>
        </is>
      </c>
      <c r="E768" s="119" t="inlineStr">
        <is>
          <t>Giường Nội khoa loại 2 - Khoa Chấn thương chỉnh hình</t>
        </is>
      </c>
      <c r="F768" s="249" t="n">
        <v>1</v>
      </c>
      <c r="G768" s="249" t="n">
        <v>222300</v>
      </c>
    </row>
    <row r="769" ht="17.25" customHeight="1">
      <c r="A769" s="119" t="n">
        <v>761</v>
      </c>
      <c r="B769" s="119" t="inlineStr">
        <is>
          <t>2026/08/17 13:46</t>
        </is>
      </c>
      <c r="C769" s="119" t="inlineStr">
        <is>
          <t>VÕ HỒNG CƠ</t>
        </is>
      </c>
      <c r="D769" s="119" t="inlineStr">
        <is>
          <t>25/12/1937</t>
        </is>
      </c>
      <c r="E769" s="119" t="inlineStr">
        <is>
          <t>Giường Ngoại khoa loại 2 - Khoa Chấn thương chỉnh hình</t>
        </is>
      </c>
      <c r="F769" s="249" t="n">
        <v>1</v>
      </c>
      <c r="G769" s="249" t="n">
        <v>301600</v>
      </c>
    </row>
    <row r="770" ht="17.25" customHeight="1">
      <c r="A770" s="119" t="n">
        <v>762</v>
      </c>
      <c r="B770" s="119" t="inlineStr">
        <is>
          <t>2026/08/17 13:58</t>
        </is>
      </c>
      <c r="C770" s="119" t="inlineStr">
        <is>
          <t>TRẦN THỊ DIỄM TRANG</t>
        </is>
      </c>
      <c r="D770" s="119" t="inlineStr">
        <is>
          <t>15/04/1984</t>
        </is>
      </c>
      <c r="E770" s="119" t="inlineStr">
        <is>
          <t>Giường Nội khoa loại 2 - Khoa Chấn thương chỉnh hình</t>
        </is>
      </c>
      <c r="F770" s="249" t="n">
        <v>1</v>
      </c>
      <c r="G770" s="249" t="n">
        <v>222300</v>
      </c>
    </row>
    <row r="771" ht="17.25" customHeight="1">
      <c r="A771" s="119" t="n">
        <v>763</v>
      </c>
      <c r="B771" s="119" t="inlineStr">
        <is>
          <t>2026/08/17 15:01</t>
        </is>
      </c>
      <c r="C771" s="119" t="inlineStr">
        <is>
          <t>LÊ THỊ KIM ĐIỂU</t>
        </is>
      </c>
      <c r="D771" s="119" t="inlineStr">
        <is>
          <t>12/12/1958</t>
        </is>
      </c>
      <c r="E771" s="119" t="inlineStr">
        <is>
          <t>Giường Nội khoa loại 2 - Khoa Chấn thương chỉnh hình</t>
        </is>
      </c>
      <c r="F771" s="249" t="n">
        <v>1</v>
      </c>
      <c r="G771" s="249" t="n">
        <v>222300</v>
      </c>
    </row>
    <row r="772" ht="17.25" customHeight="1">
      <c r="A772" s="119" t="n">
        <v>764</v>
      </c>
      <c r="B772" s="119" t="inlineStr">
        <is>
          <t>2026/08/17 15:02</t>
        </is>
      </c>
      <c r="C772" s="119" t="inlineStr">
        <is>
          <t>NGUYỄN THỊ HÈ</t>
        </is>
      </c>
      <c r="D772" s="119" t="inlineStr">
        <is>
          <t>01/01/1968</t>
        </is>
      </c>
      <c r="E772" s="119" t="inlineStr">
        <is>
          <t>Giường Nội khoa loại 2 - Khoa Chấn thương chỉnh hình</t>
        </is>
      </c>
      <c r="F772" s="249" t="n">
        <v>1</v>
      </c>
      <c r="G772" s="249" t="n">
        <v>222300</v>
      </c>
    </row>
    <row r="773" ht="17.25" customHeight="1">
      <c r="A773" s="119" t="n">
        <v>765</v>
      </c>
      <c r="B773" s="119" t="inlineStr">
        <is>
          <t>2026/08/17 16:01</t>
        </is>
      </c>
      <c r="C773" s="119" t="inlineStr">
        <is>
          <t>NGUYỄN THỊ LAN</t>
        </is>
      </c>
      <c r="D773" s="119" t="inlineStr">
        <is>
          <t>10/10/1958</t>
        </is>
      </c>
      <c r="E773" s="119" t="inlineStr">
        <is>
          <t>Giường Ngoại khoa loại 1 - Khoa Chấn thương chỉnh hình</t>
        </is>
      </c>
      <c r="F773" s="249" t="n">
        <v>1</v>
      </c>
      <c r="G773" s="249" t="n">
        <v>341800</v>
      </c>
    </row>
    <row r="774" ht="17.25" customHeight="1">
      <c r="A774" s="119" t="n">
        <v>766</v>
      </c>
      <c r="B774" s="119" t="inlineStr">
        <is>
          <t>2026/08/18 00:00</t>
        </is>
      </c>
      <c r="C774" s="119" t="inlineStr">
        <is>
          <t>LÊ NGỌC ĐIỆP</t>
        </is>
      </c>
      <c r="D774" s="119" t="inlineStr">
        <is>
          <t>29/08/1962</t>
        </is>
      </c>
      <c r="E774" s="119" t="inlineStr">
        <is>
          <t>Giường Ngoại khoa loại 4 - Khoa Chấn thương chỉnh hình</t>
        </is>
      </c>
      <c r="F774" s="249" t="n">
        <v>1</v>
      </c>
      <c r="G774" s="249" t="n">
        <v>229200</v>
      </c>
    </row>
    <row r="775" ht="17.25" customHeight="1">
      <c r="A775" s="119" t="n">
        <v>767</v>
      </c>
      <c r="B775" s="119" t="inlineStr">
        <is>
          <t>2026/08/18 00:00</t>
        </is>
      </c>
      <c r="C775" s="119" t="inlineStr">
        <is>
          <t>LÊ THANH HIỀN</t>
        </is>
      </c>
      <c r="D775" s="119" t="inlineStr">
        <is>
          <t>04/10/1989</t>
        </is>
      </c>
      <c r="E775" s="119" t="inlineStr">
        <is>
          <t>Giường Ngoại khoa loại 3 - Khoa Chấn thương chỉnh hình</t>
        </is>
      </c>
      <c r="F775" s="249" t="n">
        <v>1</v>
      </c>
      <c r="G775" s="249" t="n">
        <v>269200</v>
      </c>
    </row>
    <row r="776" ht="17.25" customHeight="1">
      <c r="A776" s="119" t="n">
        <v>768</v>
      </c>
      <c r="B776" s="119" t="inlineStr">
        <is>
          <t>2026/08/18 00:00</t>
        </is>
      </c>
      <c r="C776" s="119" t="inlineStr">
        <is>
          <t>LÊ THỊ KIM ĐIỂU</t>
        </is>
      </c>
      <c r="D776" s="119" t="inlineStr">
        <is>
          <t>12/12/1958</t>
        </is>
      </c>
      <c r="E776" s="119" t="inlineStr">
        <is>
          <t>Giường Nội khoa loại 2 - Khoa Chấn thương chỉnh hình</t>
        </is>
      </c>
      <c r="F776" s="249" t="n">
        <v>1</v>
      </c>
      <c r="G776" s="249" t="n">
        <v>222300</v>
      </c>
    </row>
    <row r="777" ht="17.25" customHeight="1">
      <c r="A777" s="119" t="n">
        <v>769</v>
      </c>
      <c r="B777" s="119" t="inlineStr">
        <is>
          <t>2026/08/18 00:00</t>
        </is>
      </c>
      <c r="C777" s="119" t="inlineStr">
        <is>
          <t>MAI VĂN ANH</t>
        </is>
      </c>
      <c r="D777" s="119" t="inlineStr">
        <is>
          <t>01/01/1980</t>
        </is>
      </c>
      <c r="E777" s="119" t="inlineStr">
        <is>
          <t>Giường Nội khoa loại 2 - Khoa Chấn thương chỉnh hình</t>
        </is>
      </c>
      <c r="F777" s="249" t="n">
        <v>1</v>
      </c>
      <c r="G777" s="249" t="n">
        <v>222300</v>
      </c>
    </row>
    <row r="778" ht="17.25" customHeight="1">
      <c r="A778" s="119" t="n">
        <v>770</v>
      </c>
      <c r="B778" s="119" t="inlineStr">
        <is>
          <t>2026/08/18 00:00</t>
        </is>
      </c>
      <c r="C778" s="119" t="inlineStr">
        <is>
          <t>NGUYỄN CHÁNH HUY</t>
        </is>
      </c>
      <c r="D778" s="119" t="inlineStr">
        <is>
          <t>18/01/2003</t>
        </is>
      </c>
      <c r="E778" s="119" t="inlineStr">
        <is>
          <t>Giường Nội khoa loại 2 - Khoa Chấn thương chỉnh hình</t>
        </is>
      </c>
      <c r="F778" s="249" t="n">
        <v>1</v>
      </c>
      <c r="G778" s="249" t="n">
        <v>250000</v>
      </c>
    </row>
    <row r="779" ht="17.25" customHeight="1">
      <c r="A779" s="119" t="n">
        <v>771</v>
      </c>
      <c r="B779" s="119" t="inlineStr">
        <is>
          <t>2026/08/18 00:00</t>
        </is>
      </c>
      <c r="C779" s="119" t="inlineStr">
        <is>
          <t>NGUYỄN THỊ HÈ</t>
        </is>
      </c>
      <c r="D779" s="119" t="inlineStr">
        <is>
          <t>01/01/1968</t>
        </is>
      </c>
      <c r="E779" s="119" t="inlineStr">
        <is>
          <t>Giường Nội khoa loại 2 - Khoa Chấn thương chỉnh hình</t>
        </is>
      </c>
      <c r="F779" s="249" t="n">
        <v>1</v>
      </c>
      <c r="G779" s="249" t="n">
        <v>222300</v>
      </c>
    </row>
    <row r="780" ht="17.25" customHeight="1">
      <c r="A780" s="119" t="n">
        <v>772</v>
      </c>
      <c r="B780" s="119" t="inlineStr">
        <is>
          <t>2026/08/18 00:00</t>
        </is>
      </c>
      <c r="C780" s="119" t="inlineStr">
        <is>
          <t>NGUYỄN THỊ LAN</t>
        </is>
      </c>
      <c r="D780" s="119" t="inlineStr">
        <is>
          <t>10/10/1958</t>
        </is>
      </c>
      <c r="E780" s="119" t="inlineStr">
        <is>
          <t>Giường Ngoại khoa loại 1 - Khoa Chấn thương chỉnh hình</t>
        </is>
      </c>
      <c r="F780" s="249" t="n">
        <v>1</v>
      </c>
      <c r="G780" s="249" t="n">
        <v>341800</v>
      </c>
    </row>
    <row r="781" ht="17.25" customHeight="1">
      <c r="A781" s="119" t="n">
        <v>773</v>
      </c>
      <c r="B781" s="119" t="inlineStr">
        <is>
          <t>2026/08/18 00:00</t>
        </is>
      </c>
      <c r="C781" s="119" t="inlineStr">
        <is>
          <t>NGUYỄN THỊ THÚY HẰNG</t>
        </is>
      </c>
      <c r="D781" s="119" t="inlineStr">
        <is>
          <t>02/07/1980</t>
        </is>
      </c>
      <c r="E781" s="119" t="inlineStr">
        <is>
          <t>Giường Nội khoa loại 2 - Khoa Chấn thương chỉnh hình</t>
        </is>
      </c>
      <c r="F781" s="249" t="n">
        <v>1</v>
      </c>
      <c r="G781" s="249" t="n">
        <v>222300</v>
      </c>
    </row>
    <row r="782" ht="17.25" customHeight="1">
      <c r="A782" s="119" t="n">
        <v>774</v>
      </c>
      <c r="B782" s="119" t="inlineStr">
        <is>
          <t>2026/08/18 00:00</t>
        </is>
      </c>
      <c r="C782" s="119" t="inlineStr">
        <is>
          <t>NGUYỄN THỊ TUYỀN</t>
        </is>
      </c>
      <c r="D782" s="119" t="inlineStr">
        <is>
          <t>20/09/1969</t>
        </is>
      </c>
      <c r="E782" s="119" t="inlineStr">
        <is>
          <t>Giường Nội khoa loại 2 - Khoa Chấn thương chỉnh hình</t>
        </is>
      </c>
      <c r="F782" s="249" t="n">
        <v>1</v>
      </c>
      <c r="G782" s="249" t="n">
        <v>222300</v>
      </c>
    </row>
    <row r="783" ht="17.25" customHeight="1">
      <c r="A783" s="119" t="n">
        <v>775</v>
      </c>
      <c r="B783" s="119" t="inlineStr">
        <is>
          <t>2026/08/18 00:00</t>
        </is>
      </c>
      <c r="C783" s="119" t="inlineStr">
        <is>
          <t>NGUYỄN THỊ XUÂN LAN</t>
        </is>
      </c>
      <c r="D783" s="119" t="inlineStr">
        <is>
          <t>30/12/1956</t>
        </is>
      </c>
      <c r="E783" s="119" t="inlineStr">
        <is>
          <t>Giường Nội khoa loại 2 - Khoa Chấn thương chỉnh hình</t>
        </is>
      </c>
      <c r="F783" s="249" t="n">
        <v>1</v>
      </c>
      <c r="G783" s="249" t="n">
        <v>222300</v>
      </c>
    </row>
    <row r="784" ht="17.25" customHeight="1">
      <c r="A784" s="119" t="n">
        <v>776</v>
      </c>
      <c r="B784" s="119" t="inlineStr">
        <is>
          <t>2026/08/18 00:00</t>
        </is>
      </c>
      <c r="C784" s="119" t="inlineStr">
        <is>
          <t>NGUYỄN VĂN Y</t>
        </is>
      </c>
      <c r="D784" s="119" t="inlineStr">
        <is>
          <t>10/07/1993</t>
        </is>
      </c>
      <c r="E784" s="119" t="inlineStr">
        <is>
          <t>Giường Nội khoa loại 2 - Khoa Chấn thương chỉnh hình</t>
        </is>
      </c>
      <c r="F784" s="249" t="n">
        <v>1</v>
      </c>
      <c r="G784" s="249" t="n">
        <v>222300</v>
      </c>
    </row>
    <row r="785" ht="17.25" customHeight="1">
      <c r="A785" s="119" t="n">
        <v>777</v>
      </c>
      <c r="B785" s="119" t="inlineStr">
        <is>
          <t>2026/08/18 00:00</t>
        </is>
      </c>
      <c r="C785" s="119" t="inlineStr">
        <is>
          <t>NGÔ TUẤN AN</t>
        </is>
      </c>
      <c r="D785" s="119" t="inlineStr">
        <is>
          <t>01/01/1988</t>
        </is>
      </c>
      <c r="E785" s="119" t="inlineStr">
        <is>
          <t>Giường Nội khoa loại 2 - Khoa Chấn thương chỉnh hình</t>
        </is>
      </c>
      <c r="F785" s="249" t="n">
        <v>1</v>
      </c>
      <c r="G785" s="249" t="n">
        <v>222300</v>
      </c>
    </row>
    <row r="786" ht="17.25" customHeight="1">
      <c r="A786" s="119" t="n">
        <v>778</v>
      </c>
      <c r="B786" s="119" t="inlineStr">
        <is>
          <t>2026/08/18 00:00</t>
        </is>
      </c>
      <c r="C786" s="119" t="inlineStr">
        <is>
          <t>TRẦN THỊ NGỌC MỸ</t>
        </is>
      </c>
      <c r="D786" s="119" t="inlineStr">
        <is>
          <t>01/01/1994</t>
        </is>
      </c>
      <c r="E786" s="119" t="inlineStr">
        <is>
          <t>Giường Ngoại khoa loại 2 - Khoa Chấn thương chỉnh hình</t>
        </is>
      </c>
      <c r="F786" s="249" t="n">
        <v>1</v>
      </c>
      <c r="G786" s="249" t="n">
        <v>301600</v>
      </c>
    </row>
    <row r="787" ht="17.25" customHeight="1">
      <c r="A787" s="119" t="n">
        <v>779</v>
      </c>
      <c r="B787" s="119" t="inlineStr">
        <is>
          <t>2026/08/18 00:00</t>
        </is>
      </c>
      <c r="C787" s="119" t="inlineStr">
        <is>
          <t>TĂNG THỊ MIỀN</t>
        </is>
      </c>
      <c r="D787" s="119" t="inlineStr">
        <is>
          <t>01/01/1951</t>
        </is>
      </c>
      <c r="E787" s="119" t="inlineStr">
        <is>
          <t>Giường Nội khoa loại 2 - Khoa Chấn thương chỉnh hình</t>
        </is>
      </c>
      <c r="F787" s="249" t="n">
        <v>1</v>
      </c>
      <c r="G787" s="249" t="n">
        <v>222300</v>
      </c>
    </row>
    <row r="788" ht="17.25" customHeight="1">
      <c r="A788" s="119" t="n">
        <v>780</v>
      </c>
      <c r="B788" s="119" t="inlineStr">
        <is>
          <t>2026/08/18 00:00</t>
        </is>
      </c>
      <c r="C788" s="119" t="inlineStr">
        <is>
          <t>VÕ HỒNG CƠ</t>
        </is>
      </c>
      <c r="D788" s="119" t="inlineStr">
        <is>
          <t>25/12/1937</t>
        </is>
      </c>
      <c r="E788" s="119" t="inlineStr">
        <is>
          <t>Giường Ngoại khoa loại 2 - Khoa Chấn thương chỉnh hình</t>
        </is>
      </c>
      <c r="F788" s="249" t="n">
        <v>1</v>
      </c>
      <c r="G788" s="249" t="n">
        <v>301600</v>
      </c>
    </row>
    <row r="789" ht="17.25" customHeight="1">
      <c r="A789" s="119" t="n">
        <v>781</v>
      </c>
      <c r="B789" s="119" t="inlineStr">
        <is>
          <t>2026/08/18 00:00</t>
        </is>
      </c>
      <c r="C789" s="119" t="inlineStr">
        <is>
          <t>NGUYỄN THỊ DUNG</t>
        </is>
      </c>
      <c r="D789" s="119" t="inlineStr">
        <is>
          <t>01/01/1944</t>
        </is>
      </c>
      <c r="E789" s="119" t="inlineStr">
        <is>
          <t>Giường Ngoại khoa loại 2 - Khoa Chấn thương chỉnh hình</t>
        </is>
      </c>
      <c r="F789" s="249" t="n">
        <v>1</v>
      </c>
      <c r="G789" s="249" t="n">
        <v>301600</v>
      </c>
    </row>
    <row r="790" ht="17.25" customHeight="1">
      <c r="A790" s="119" t="n">
        <v>782</v>
      </c>
      <c r="B790" s="119" t="inlineStr">
        <is>
          <t>2026/08/18 00:00</t>
        </is>
      </c>
      <c r="C790" s="119" t="inlineStr">
        <is>
          <t>ONG THỊ THÊU</t>
        </is>
      </c>
      <c r="D790" s="119" t="inlineStr">
        <is>
          <t>02/09/1972</t>
        </is>
      </c>
      <c r="E790" s="119" t="inlineStr">
        <is>
          <t>Giường Ngoại khoa loại 2 - Khoa Chấn thương chỉnh hình</t>
        </is>
      </c>
      <c r="F790" s="249" t="n">
        <v>1</v>
      </c>
      <c r="G790" s="249" t="n">
        <v>301600</v>
      </c>
    </row>
    <row r="791" ht="17.25" customHeight="1">
      <c r="A791" s="119" t="n">
        <v>783</v>
      </c>
      <c r="B791" s="119" t="inlineStr">
        <is>
          <t>2026/08/18 00:00</t>
        </is>
      </c>
      <c r="C791" s="119" t="inlineStr">
        <is>
          <t>TRƯƠNG VĂN ÚT</t>
        </is>
      </c>
      <c r="D791" s="119" t="inlineStr">
        <is>
          <t>01/01/1948</t>
        </is>
      </c>
      <c r="E791" s="119" t="inlineStr">
        <is>
          <t>Giường Ngoại khoa loại 3 - Khoa Chấn thương chỉnh hình</t>
        </is>
      </c>
      <c r="F791" s="249" t="n">
        <v>1</v>
      </c>
      <c r="G791" s="249" t="n">
        <v>269200</v>
      </c>
    </row>
    <row r="792" ht="17.25" customHeight="1">
      <c r="A792" s="119" t="n">
        <v>784</v>
      </c>
      <c r="B792" s="119" t="inlineStr">
        <is>
          <t>2026/08/18 00:00</t>
        </is>
      </c>
      <c r="C792" s="119" t="inlineStr">
        <is>
          <t>TRẦN VĂN LẸ</t>
        </is>
      </c>
      <c r="D792" s="119" t="inlineStr">
        <is>
          <t>01/01/1975</t>
        </is>
      </c>
      <c r="E792" s="119" t="inlineStr">
        <is>
          <t>Giường Ngoại khoa loại 1 - Khoa Chấn thương chỉnh hình</t>
        </is>
      </c>
      <c r="F792" s="249" t="n">
        <v>1</v>
      </c>
      <c r="G792" s="249" t="n">
        <v>341800</v>
      </c>
    </row>
    <row r="793" ht="17.25" customHeight="1">
      <c r="A793" s="119" t="n">
        <v>785</v>
      </c>
      <c r="B793" s="119" t="inlineStr">
        <is>
          <t>2026/08/18 01:42</t>
        </is>
      </c>
      <c r="C793" s="119" t="inlineStr">
        <is>
          <t>LÊ THỊ MỸ HẠNH</t>
        </is>
      </c>
      <c r="D793" s="119" t="inlineStr">
        <is>
          <t>24/01/1994</t>
        </is>
      </c>
      <c r="E793" s="119" t="inlineStr">
        <is>
          <t>Giường Nội khoa loại 2 - Khoa Chấn thương chỉnh hình</t>
        </is>
      </c>
      <c r="F793" s="249" t="n">
        <v>1</v>
      </c>
      <c r="G793" s="249" t="n">
        <v>222300</v>
      </c>
    </row>
    <row r="794" ht="17.25" customHeight="1">
      <c r="A794" s="119" t="n">
        <v>786</v>
      </c>
      <c r="B794" s="119" t="inlineStr">
        <is>
          <t>2026/08/18 07:45</t>
        </is>
      </c>
      <c r="C794" s="119" t="inlineStr">
        <is>
          <t>TRẦN THANH QUI</t>
        </is>
      </c>
      <c r="D794" s="119" t="inlineStr">
        <is>
          <t>31/05/2005</t>
        </is>
      </c>
      <c r="E794" s="119" t="inlineStr">
        <is>
          <t>Giường Ngoại khoa loại 1 - Khoa Chấn thương chỉnh hình</t>
        </is>
      </c>
      <c r="F794" s="249" t="n">
        <v>1</v>
      </c>
      <c r="G794" s="249" t="n">
        <v>341800</v>
      </c>
    </row>
    <row r="795" ht="17.25" customHeight="1">
      <c r="A795" s="119" t="n">
        <v>787</v>
      </c>
      <c r="B795" s="119" t="inlineStr">
        <is>
          <t>2026/08/18 08:01</t>
        </is>
      </c>
      <c r="C795" s="119" t="inlineStr">
        <is>
          <t>LÊ THỊ NẮM CHỊ</t>
        </is>
      </c>
      <c r="D795" s="119" t="inlineStr">
        <is>
          <t>01/01/1967</t>
        </is>
      </c>
      <c r="E795" s="119" t="inlineStr">
        <is>
          <t>Giường Nội khoa loại 2 - Khoa Chấn thương chỉnh hình</t>
        </is>
      </c>
      <c r="F795" s="249" t="n">
        <v>1</v>
      </c>
      <c r="G795" s="249" t="n">
        <v>222300</v>
      </c>
    </row>
    <row r="796" ht="17.25" customHeight="1">
      <c r="A796" s="119" t="n">
        <v>788</v>
      </c>
      <c r="B796" s="119" t="inlineStr">
        <is>
          <t>2026/08/18 10:06</t>
        </is>
      </c>
      <c r="C796" s="119" t="inlineStr">
        <is>
          <t>VÕ TẤN ĐỨC</t>
        </is>
      </c>
      <c r="D796" s="119" t="inlineStr">
        <is>
          <t>01/01/1963</t>
        </is>
      </c>
      <c r="E796" s="119" t="inlineStr">
        <is>
          <t>Giường Nội khoa loại 2 - Khoa Chấn thương chỉnh hình</t>
        </is>
      </c>
      <c r="F796" s="249" t="n">
        <v>1</v>
      </c>
      <c r="G796" s="249" t="n">
        <v>222300</v>
      </c>
    </row>
    <row r="797" ht="17.25" customHeight="1">
      <c r="A797" s="119" t="n">
        <v>789</v>
      </c>
      <c r="B797" s="119" t="inlineStr">
        <is>
          <t>2026/08/18 10:19</t>
        </is>
      </c>
      <c r="C797" s="119" t="inlineStr">
        <is>
          <t>TRẦN THỊ MỸ HẰNG</t>
        </is>
      </c>
      <c r="D797" s="119" t="inlineStr">
        <is>
          <t>01/01/1969</t>
        </is>
      </c>
      <c r="E797" s="119" t="inlineStr">
        <is>
          <t>Giường Nội khoa loại 2 - Khoa Chấn thương chỉnh hình</t>
        </is>
      </c>
      <c r="F797" s="249" t="n">
        <v>1</v>
      </c>
      <c r="G797" s="249" t="n">
        <v>222300</v>
      </c>
    </row>
    <row r="798" ht="17.25" customHeight="1">
      <c r="A798" s="119" t="n">
        <v>790</v>
      </c>
      <c r="B798" s="119" t="inlineStr">
        <is>
          <t>2026/08/18 10:28</t>
        </is>
      </c>
      <c r="C798" s="119" t="inlineStr">
        <is>
          <t>NGUYỄN THỊ THẮM</t>
        </is>
      </c>
      <c r="D798" s="119" t="inlineStr">
        <is>
          <t>01/01/1962</t>
        </is>
      </c>
      <c r="E798" s="119" t="inlineStr">
        <is>
          <t>Giường Nội khoa loại 2 - Khoa Chấn thương chỉnh hình</t>
        </is>
      </c>
      <c r="F798" s="249" t="n">
        <v>1</v>
      </c>
      <c r="G798" s="249" t="n">
        <v>222300</v>
      </c>
    </row>
    <row r="799" ht="17.25" customHeight="1">
      <c r="A799" s="119" t="n">
        <v>791</v>
      </c>
      <c r="B799" s="119" t="inlineStr">
        <is>
          <t>2026/08/18 13:33</t>
        </is>
      </c>
      <c r="C799" s="119" t="inlineStr">
        <is>
          <t>TRẦN THỊ DIỄM TRANG</t>
        </is>
      </c>
      <c r="D799" s="119" t="inlineStr">
        <is>
          <t>15/04/1984</t>
        </is>
      </c>
      <c r="E799" s="119" t="inlineStr">
        <is>
          <t>Giường Ngoại khoa loại 2 - Khoa Chấn thương chỉnh hình</t>
        </is>
      </c>
      <c r="F799" s="249" t="n">
        <v>1</v>
      </c>
      <c r="G799" s="249" t="n">
        <v>301600</v>
      </c>
    </row>
    <row r="800" ht="17.25" customHeight="1">
      <c r="A800" s="119" t="n">
        <v>792</v>
      </c>
      <c r="B800" s="119" t="inlineStr">
        <is>
          <t>2026/08/18 13:42</t>
        </is>
      </c>
      <c r="C800" s="119" t="inlineStr">
        <is>
          <t>BÙI THỊ NGỜI</t>
        </is>
      </c>
      <c r="D800" s="119" t="inlineStr">
        <is>
          <t>01/01/1952</t>
        </is>
      </c>
      <c r="E800" s="119" t="inlineStr">
        <is>
          <t>Giường Ngoại khoa loại 2 - Khoa Chấn thương chỉnh hình</t>
        </is>
      </c>
      <c r="F800" s="249" t="n">
        <v>1</v>
      </c>
      <c r="G800" s="249" t="n">
        <v>301600</v>
      </c>
    </row>
    <row r="801" ht="17.25" customHeight="1">
      <c r="A801" s="119" t="n">
        <v>793</v>
      </c>
      <c r="B801" s="119" t="inlineStr">
        <is>
          <t>2026/08/18 19:23</t>
        </is>
      </c>
      <c r="C801" s="119" t="inlineStr">
        <is>
          <t>BÙI HỮU THỌ</t>
        </is>
      </c>
      <c r="D801" s="119" t="inlineStr">
        <is>
          <t>01/02/1981</t>
        </is>
      </c>
      <c r="E801" s="119" t="inlineStr">
        <is>
          <t>Giường Ngoại khoa loại 3 - Khoa Chấn thương chỉnh hình</t>
        </is>
      </c>
      <c r="F801" s="249" t="n">
        <v>1</v>
      </c>
      <c r="G801" s="249" t="n">
        <v>269200</v>
      </c>
    </row>
    <row r="802" ht="17.25" customHeight="1">
      <c r="A802" s="119" t="n">
        <v>794</v>
      </c>
      <c r="B802" s="119" t="inlineStr">
        <is>
          <t>2026/08/18 23:59</t>
        </is>
      </c>
      <c r="C802" s="119" t="inlineStr">
        <is>
          <t>LÊ THỊ MỸ HẠNH</t>
        </is>
      </c>
      <c r="D802" s="119" t="inlineStr">
        <is>
          <t>24/01/1994</t>
        </is>
      </c>
      <c r="E802" s="119" t="inlineStr">
        <is>
          <t>Giường Nội khoa loại 2 - Khoa Chấn thương chỉnh hình</t>
        </is>
      </c>
      <c r="F802" s="249" t="n">
        <v>1</v>
      </c>
      <c r="G802" s="249" t="n">
        <v>222300</v>
      </c>
    </row>
    <row r="803" ht="17.25" customHeight="1">
      <c r="A803" s="119" t="n">
        <v>795</v>
      </c>
      <c r="B803" s="119" t="inlineStr">
        <is>
          <t>2026/08/19 00:00</t>
        </is>
      </c>
      <c r="C803" s="119" t="inlineStr">
        <is>
          <t>BÙI HỮU THỌ</t>
        </is>
      </c>
      <c r="D803" s="119" t="inlineStr">
        <is>
          <t>01/02/1981</t>
        </is>
      </c>
      <c r="E803" s="119" t="inlineStr">
        <is>
          <t>Giường Ngoại khoa loại 3 - Khoa Chấn thương chỉnh hình</t>
        </is>
      </c>
      <c r="F803" s="249" t="n">
        <v>1</v>
      </c>
      <c r="G803" s="249" t="n">
        <v>269200</v>
      </c>
    </row>
    <row r="804" ht="17.25" customHeight="1">
      <c r="A804" s="119" t="n">
        <v>796</v>
      </c>
      <c r="B804" s="119" t="inlineStr">
        <is>
          <t>2026/08/19 00:00</t>
        </is>
      </c>
      <c r="C804" s="119" t="inlineStr">
        <is>
          <t>LÊ NGỌC ĐIỆP</t>
        </is>
      </c>
      <c r="D804" s="119" t="inlineStr">
        <is>
          <t>29/08/1962</t>
        </is>
      </c>
      <c r="E804" s="119" t="inlineStr">
        <is>
          <t>Giường Ngoại khoa loại 4 - Khoa Chấn thương chỉnh hình</t>
        </is>
      </c>
      <c r="F804" s="249" t="n">
        <v>1</v>
      </c>
      <c r="G804" s="249" t="n">
        <v>229200</v>
      </c>
    </row>
    <row r="805" ht="17.25" customHeight="1">
      <c r="A805" s="119" t="n">
        <v>797</v>
      </c>
      <c r="B805" s="119" t="inlineStr">
        <is>
          <t>2026/08/19 00:00</t>
        </is>
      </c>
      <c r="C805" s="119" t="inlineStr">
        <is>
          <t>LÊ THỊ KIM ĐIỂU</t>
        </is>
      </c>
      <c r="D805" s="119" t="inlineStr">
        <is>
          <t>12/12/1958</t>
        </is>
      </c>
      <c r="E805" s="119" t="inlineStr">
        <is>
          <t>Giường Nội khoa loại 2 - Khoa Chấn thương chỉnh hình</t>
        </is>
      </c>
      <c r="F805" s="249" t="n">
        <v>1</v>
      </c>
      <c r="G805" s="249" t="n">
        <v>222300</v>
      </c>
    </row>
    <row r="806" ht="17.25" customHeight="1">
      <c r="A806" s="119" t="n">
        <v>798</v>
      </c>
      <c r="B806" s="119" t="inlineStr">
        <is>
          <t>2026/08/19 00:00</t>
        </is>
      </c>
      <c r="C806" s="119" t="inlineStr">
        <is>
          <t>MAI VĂN ANH</t>
        </is>
      </c>
      <c r="D806" s="119" t="inlineStr">
        <is>
          <t>01/01/1980</t>
        </is>
      </c>
      <c r="E806" s="119" t="inlineStr">
        <is>
          <t>Giường Nội khoa loại 2 - Khoa Chấn thương chỉnh hình</t>
        </is>
      </c>
      <c r="F806" s="249" t="n">
        <v>1</v>
      </c>
      <c r="G806" s="249" t="n">
        <v>222300</v>
      </c>
    </row>
    <row r="807" ht="17.25" customHeight="1">
      <c r="A807" s="119" t="n">
        <v>799</v>
      </c>
      <c r="B807" s="119" t="inlineStr">
        <is>
          <t>2026/08/19 00:00</t>
        </is>
      </c>
      <c r="C807" s="119" t="inlineStr">
        <is>
          <t>NGUYỄN CHÁNH HUY</t>
        </is>
      </c>
      <c r="D807" s="119" t="inlineStr">
        <is>
          <t>18/01/2003</t>
        </is>
      </c>
      <c r="E807" s="119" t="inlineStr">
        <is>
          <t>Giường Nội khoa loại 2 - Khoa Chấn thương chỉnh hình</t>
        </is>
      </c>
      <c r="F807" s="249" t="n">
        <v>1</v>
      </c>
      <c r="G807" s="249" t="n">
        <v>250000</v>
      </c>
    </row>
    <row r="808" ht="17.25" customHeight="1">
      <c r="A808" s="119" t="n">
        <v>800</v>
      </c>
      <c r="B808" s="119" t="inlineStr">
        <is>
          <t>2026/08/19 00:00</t>
        </is>
      </c>
      <c r="C808" s="119" t="inlineStr">
        <is>
          <t>NGUYỄN THÀNH LONG</t>
        </is>
      </c>
      <c r="D808" s="119" t="inlineStr">
        <is>
          <t>03/01/1971</t>
        </is>
      </c>
      <c r="E808" s="119" t="inlineStr">
        <is>
          <t>Giường Ngoại khoa loại 2 - Khoa Chấn thương chỉnh hình</t>
        </is>
      </c>
      <c r="F808" s="249" t="n">
        <v>1</v>
      </c>
      <c r="G808" s="249" t="n">
        <v>150800</v>
      </c>
    </row>
    <row r="809" ht="17.25" customHeight="1">
      <c r="A809" s="119" t="n">
        <v>801</v>
      </c>
      <c r="B809" s="119" t="inlineStr">
        <is>
          <t>2026/08/19 00:00</t>
        </is>
      </c>
      <c r="C809" s="119" t="inlineStr">
        <is>
          <t>NGUYỄN THỊ LAN</t>
        </is>
      </c>
      <c r="D809" s="119" t="inlineStr">
        <is>
          <t>10/10/1958</t>
        </is>
      </c>
      <c r="E809" s="119" t="inlineStr">
        <is>
          <t>Giường Ngoại khoa loại 1 - Khoa Chấn thương chỉnh hình</t>
        </is>
      </c>
      <c r="F809" s="249" t="n">
        <v>1</v>
      </c>
      <c r="G809" s="249" t="n">
        <v>341800</v>
      </c>
    </row>
    <row r="810" ht="17.25" customHeight="1">
      <c r="A810" s="119" t="n">
        <v>802</v>
      </c>
      <c r="B810" s="119" t="inlineStr">
        <is>
          <t>2026/08/19 00:00</t>
        </is>
      </c>
      <c r="C810" s="119" t="inlineStr">
        <is>
          <t>NGUYỄN THỊ THẮM</t>
        </is>
      </c>
      <c r="D810" s="119" t="inlineStr">
        <is>
          <t>01/01/1962</t>
        </is>
      </c>
      <c r="E810" s="119" t="inlineStr">
        <is>
          <t>Giường Nội khoa loại 2 - Khoa Chấn thương chỉnh hình</t>
        </is>
      </c>
      <c r="F810" s="249" t="n">
        <v>1</v>
      </c>
      <c r="G810" s="249" t="n">
        <v>222300</v>
      </c>
    </row>
    <row r="811" ht="17.25" customHeight="1">
      <c r="A811" s="119" t="n">
        <v>803</v>
      </c>
      <c r="B811" s="119" t="inlineStr">
        <is>
          <t>2026/08/19 00:00</t>
        </is>
      </c>
      <c r="C811" s="119" t="inlineStr">
        <is>
          <t>NGUYỄN THỊ TUYỀN</t>
        </is>
      </c>
      <c r="D811" s="119" t="inlineStr">
        <is>
          <t>20/09/1969</t>
        </is>
      </c>
      <c r="E811" s="119" t="inlineStr">
        <is>
          <t>Giường Nội khoa loại 2 - Khoa Chấn thương chỉnh hình</t>
        </is>
      </c>
      <c r="F811" s="249" t="n">
        <v>1</v>
      </c>
      <c r="G811" s="249" t="n">
        <v>222300</v>
      </c>
    </row>
    <row r="812" ht="17.25" customHeight="1">
      <c r="A812" s="119" t="n">
        <v>804</v>
      </c>
      <c r="B812" s="119" t="inlineStr">
        <is>
          <t>2026/08/19 00:00</t>
        </is>
      </c>
      <c r="C812" s="119" t="inlineStr">
        <is>
          <t>NGUYỄN THỊ XUÂN LAN</t>
        </is>
      </c>
      <c r="D812" s="119" t="inlineStr">
        <is>
          <t>30/12/1956</t>
        </is>
      </c>
      <c r="E812" s="119" t="inlineStr">
        <is>
          <t>Giường Nội khoa loại 2 - Khoa Chấn thương chỉnh hình</t>
        </is>
      </c>
      <c r="F812" s="249" t="n">
        <v>1</v>
      </c>
      <c r="G812" s="249" t="n">
        <v>222300</v>
      </c>
    </row>
    <row r="813" ht="17.25" customHeight="1">
      <c r="A813" s="119" t="n">
        <v>805</v>
      </c>
      <c r="B813" s="119" t="inlineStr">
        <is>
          <t>2026/08/19 00:00</t>
        </is>
      </c>
      <c r="C813" s="119" t="inlineStr">
        <is>
          <t>NGÔ TUẤN AN</t>
        </is>
      </c>
      <c r="D813" s="119" t="inlineStr">
        <is>
          <t>01/01/1988</t>
        </is>
      </c>
      <c r="E813" s="119" t="inlineStr">
        <is>
          <t>Giường Nội khoa loại 2 - Khoa Chấn thương chỉnh hình</t>
        </is>
      </c>
      <c r="F813" s="249" t="n">
        <v>1</v>
      </c>
      <c r="G813" s="249" t="n">
        <v>222300</v>
      </c>
    </row>
    <row r="814" ht="17.25" customHeight="1">
      <c r="A814" s="119" t="n">
        <v>806</v>
      </c>
      <c r="B814" s="119" t="inlineStr">
        <is>
          <t>2026/08/19 00:00</t>
        </is>
      </c>
      <c r="C814" s="119" t="inlineStr">
        <is>
          <t>PHẠM NGỌC SƠN</t>
        </is>
      </c>
      <c r="D814" s="119" t="inlineStr">
        <is>
          <t>06/07/1989</t>
        </is>
      </c>
      <c r="E814" s="119" t="inlineStr">
        <is>
          <t>Giường Ngoại khoa loại 1 - Khoa Chấn thương chỉnh hình</t>
        </is>
      </c>
      <c r="F814" s="249" t="n">
        <v>1</v>
      </c>
      <c r="G814" s="249" t="n">
        <v>341800</v>
      </c>
    </row>
    <row r="815" ht="17.25" customHeight="1">
      <c r="A815" s="119" t="n">
        <v>807</v>
      </c>
      <c r="B815" s="119" t="inlineStr">
        <is>
          <t>2026/08/19 00:00</t>
        </is>
      </c>
      <c r="C815" s="119" t="inlineStr">
        <is>
          <t>TRẦN THANH QUI</t>
        </is>
      </c>
      <c r="D815" s="119" t="inlineStr">
        <is>
          <t>31/05/2005</t>
        </is>
      </c>
      <c r="E815" s="119" t="inlineStr">
        <is>
          <t>Giường Ngoại khoa loại 1 - Khoa Chấn thương chỉnh hình</t>
        </is>
      </c>
      <c r="F815" s="249" t="n">
        <v>1</v>
      </c>
      <c r="G815" s="249" t="n">
        <v>341800</v>
      </c>
    </row>
    <row r="816" ht="17.25" customHeight="1">
      <c r="A816" s="119" t="n">
        <v>808</v>
      </c>
      <c r="B816" s="119" t="inlineStr">
        <is>
          <t>2026/08/19 00:00</t>
        </is>
      </c>
      <c r="C816" s="119" t="inlineStr">
        <is>
          <t>TRẦN THỊ DIỄM TRANG</t>
        </is>
      </c>
      <c r="D816" s="119" t="inlineStr">
        <is>
          <t>15/04/1984</t>
        </is>
      </c>
      <c r="E816" s="119" t="inlineStr">
        <is>
          <t>Giường Ngoại khoa loại 2 - Khoa Chấn thương chỉnh hình</t>
        </is>
      </c>
      <c r="F816" s="249" t="n">
        <v>1</v>
      </c>
      <c r="G816" s="249" t="n">
        <v>301600</v>
      </c>
    </row>
    <row r="817" ht="17.25" customHeight="1">
      <c r="A817" s="119" t="n">
        <v>809</v>
      </c>
      <c r="B817" s="119" t="inlineStr">
        <is>
          <t>2026/08/19 00:00</t>
        </is>
      </c>
      <c r="C817" s="119" t="inlineStr">
        <is>
          <t>TĂNG THỊ MIỀN</t>
        </is>
      </c>
      <c r="D817" s="119" t="inlineStr">
        <is>
          <t>01/01/1951</t>
        </is>
      </c>
      <c r="E817" s="119" t="inlineStr">
        <is>
          <t>Giường Nội khoa loại 2 - Khoa Chấn thương chỉnh hình</t>
        </is>
      </c>
      <c r="F817" s="249" t="n">
        <v>1</v>
      </c>
      <c r="G817" s="249" t="n">
        <v>222300</v>
      </c>
    </row>
    <row r="818" ht="17.25" customHeight="1">
      <c r="A818" s="119" t="n">
        <v>810</v>
      </c>
      <c r="B818" s="119" t="inlineStr">
        <is>
          <t>2026/08/19 00:00</t>
        </is>
      </c>
      <c r="C818" s="119" t="inlineStr">
        <is>
          <t>VÕ HỒNG CƠ</t>
        </is>
      </c>
      <c r="D818" s="119" t="inlineStr">
        <is>
          <t>25/12/1937</t>
        </is>
      </c>
      <c r="E818" s="119" t="inlineStr">
        <is>
          <t>Giường Ngoại khoa loại 2 - Khoa Chấn thương chỉnh hình</t>
        </is>
      </c>
      <c r="F818" s="249" t="n">
        <v>1</v>
      </c>
      <c r="G818" s="249" t="n">
        <v>301600</v>
      </c>
    </row>
    <row r="819" ht="17.25" customHeight="1">
      <c r="A819" s="119" t="n">
        <v>811</v>
      </c>
      <c r="B819" s="119" t="inlineStr">
        <is>
          <t>2026/08/19 00:00</t>
        </is>
      </c>
      <c r="C819" s="119" t="inlineStr">
        <is>
          <t>VÕ TẤN ĐỨC</t>
        </is>
      </c>
      <c r="D819" s="119" t="inlineStr">
        <is>
          <t>01/01/1963</t>
        </is>
      </c>
      <c r="E819" s="119" t="inlineStr">
        <is>
          <t>Giường Nội khoa loại 2 - Khoa Chấn thương chỉnh hình</t>
        </is>
      </c>
      <c r="F819" s="249" t="n">
        <v>1</v>
      </c>
      <c r="G819" s="249" t="n">
        <v>222300</v>
      </c>
    </row>
    <row r="820" ht="17.25" customHeight="1">
      <c r="A820" s="119" t="n">
        <v>812</v>
      </c>
      <c r="B820" s="119" t="inlineStr">
        <is>
          <t>2026/08/19 00:00</t>
        </is>
      </c>
      <c r="C820" s="119" t="inlineStr">
        <is>
          <t>BÙI THỊ NGỜI</t>
        </is>
      </c>
      <c r="D820" s="119" t="inlineStr">
        <is>
          <t>01/01/1952</t>
        </is>
      </c>
      <c r="E820" s="119" t="inlineStr">
        <is>
          <t>Giường Ngoại khoa loại 2 - Khoa Chấn thương chỉnh hình</t>
        </is>
      </c>
      <c r="F820" s="249" t="n">
        <v>1</v>
      </c>
      <c r="G820" s="249" t="n">
        <v>301600</v>
      </c>
    </row>
    <row r="821" ht="17.25" customHeight="1">
      <c r="A821" s="119" t="n">
        <v>813</v>
      </c>
      <c r="B821" s="119" t="inlineStr">
        <is>
          <t>2026/08/19 00:00</t>
        </is>
      </c>
      <c r="C821" s="119" t="inlineStr">
        <is>
          <t>TRƯƠNG VĂN ÚT</t>
        </is>
      </c>
      <c r="D821" s="119" t="inlineStr">
        <is>
          <t>01/01/1948</t>
        </is>
      </c>
      <c r="E821" s="119" t="inlineStr">
        <is>
          <t>Giường Ngoại khoa loại 3 - Khoa Chấn thương chỉnh hình</t>
        </is>
      </c>
      <c r="F821" s="249" t="n">
        <v>1</v>
      </c>
      <c r="G821" s="249" t="n">
        <v>269200</v>
      </c>
    </row>
    <row r="822" ht="17.25" customHeight="1">
      <c r="A822" s="119" t="n">
        <v>814</v>
      </c>
      <c r="B822" s="119" t="inlineStr">
        <is>
          <t>2026/08/19 00:00</t>
        </is>
      </c>
      <c r="C822" s="119" t="inlineStr">
        <is>
          <t>TRẦN VĂN LẸ</t>
        </is>
      </c>
      <c r="D822" s="119" t="inlineStr">
        <is>
          <t>01/01/1975</t>
        </is>
      </c>
      <c r="E822" s="119" t="inlineStr">
        <is>
          <t>Giường Ngoại khoa loại 1 - Khoa Chấn thương chỉnh hình</t>
        </is>
      </c>
      <c r="F822" s="249" t="n">
        <v>1</v>
      </c>
      <c r="G822" s="249" t="n">
        <v>341800</v>
      </c>
    </row>
    <row r="823" ht="17.25" customHeight="1">
      <c r="A823" s="119" t="n">
        <v>815</v>
      </c>
      <c r="B823" s="119" t="inlineStr">
        <is>
          <t>2026/08/19 08:05</t>
        </is>
      </c>
      <c r="C823" s="119" t="inlineStr">
        <is>
          <t>NGUYỄN TRỌNG NAM</t>
        </is>
      </c>
      <c r="D823" s="119" t="inlineStr">
        <is>
          <t>16/02/1992</t>
        </is>
      </c>
      <c r="E823" s="119" t="inlineStr">
        <is>
          <t>Giường Nội khoa loại 2 - Khoa Chấn thương chỉnh hình</t>
        </is>
      </c>
      <c r="F823" s="249" t="n">
        <v>1</v>
      </c>
      <c r="G823" s="249" t="n">
        <v>222300</v>
      </c>
    </row>
    <row r="824" ht="17.25" customHeight="1">
      <c r="A824" s="119" t="n">
        <v>816</v>
      </c>
      <c r="B824" s="119" t="inlineStr">
        <is>
          <t>2026/08/19 09:10</t>
        </is>
      </c>
      <c r="C824" s="119" t="inlineStr">
        <is>
          <t>PHẠM THỊ DIỄM</t>
        </is>
      </c>
      <c r="D824" s="119" t="inlineStr">
        <is>
          <t>15/04/1982</t>
        </is>
      </c>
      <c r="E824" s="119" t="inlineStr">
        <is>
          <t>Giường Nội khoa loại 2 - Khoa Chấn thương chỉnh hình</t>
        </is>
      </c>
      <c r="F824" s="249" t="n">
        <v>1</v>
      </c>
      <c r="G824" s="249" t="n">
        <v>222300</v>
      </c>
    </row>
    <row r="825" ht="17.25" customHeight="1">
      <c r="A825" s="119" t="n">
        <v>817</v>
      </c>
      <c r="B825" s="119" t="inlineStr">
        <is>
          <t>2026/08/19 10:11</t>
        </is>
      </c>
      <c r="C825" s="119" t="inlineStr">
        <is>
          <t>HUỲNH THU HỒNG</t>
        </is>
      </c>
      <c r="D825" s="119" t="inlineStr">
        <is>
          <t>10/12/1957</t>
        </is>
      </c>
      <c r="E825" s="119" t="inlineStr">
        <is>
          <t>Giường Nội khoa loại 2 - Khoa Chấn thương chỉnh hình</t>
        </is>
      </c>
      <c r="F825" s="249" t="n">
        <v>1</v>
      </c>
      <c r="G825" s="249" t="n">
        <v>222300</v>
      </c>
    </row>
    <row r="826" ht="17.25" customHeight="1">
      <c r="A826" s="119" t="n">
        <v>818</v>
      </c>
      <c r="B826" s="119" t="inlineStr">
        <is>
          <t>2026/08/19 11:00</t>
        </is>
      </c>
      <c r="C826" s="119" t="inlineStr">
        <is>
          <t>NGUYỄN VĂN Y</t>
        </is>
      </c>
      <c r="D826" s="119" t="inlineStr">
        <is>
          <t>10/07/1993</t>
        </is>
      </c>
      <c r="E826" s="119" t="inlineStr">
        <is>
          <t>Giường Nội khoa loại 2 - Khoa Chấn thương chỉnh hình</t>
        </is>
      </c>
      <c r="F826" s="249" t="n">
        <v>1</v>
      </c>
      <c r="G826" s="249" t="n">
        <v>222300</v>
      </c>
    </row>
    <row r="827" ht="17.25" customHeight="1">
      <c r="A827" s="119" t="n">
        <v>819</v>
      </c>
      <c r="B827" s="119" t="inlineStr">
        <is>
          <t>2026/08/19 11:26</t>
        </is>
      </c>
      <c r="C827" s="119" t="inlineStr">
        <is>
          <t>TRẦN THỊ NGỌC DIỄM</t>
        </is>
      </c>
      <c r="D827" s="119" t="inlineStr">
        <is>
          <t>22/03/1996</t>
        </is>
      </c>
      <c r="E827" s="119" t="inlineStr">
        <is>
          <t>Giường Nội khoa loại 2 - Khoa Chấn thương chỉnh hình</t>
        </is>
      </c>
      <c r="F827" s="249" t="n">
        <v>1</v>
      </c>
      <c r="G827" s="249" t="n">
        <v>222300</v>
      </c>
    </row>
    <row r="828" ht="17.25" customHeight="1">
      <c r="A828" s="119" t="n">
        <v>820</v>
      </c>
      <c r="B828" s="119" t="inlineStr">
        <is>
          <t>2026/08/19 16:27</t>
        </is>
      </c>
      <c r="C828" s="119" t="inlineStr">
        <is>
          <t>NGUYỄN THỊ THẮM</t>
        </is>
      </c>
      <c r="D828" s="119" t="inlineStr">
        <is>
          <t>01/01/1962</t>
        </is>
      </c>
      <c r="E828" s="119" t="inlineStr">
        <is>
          <t>Giường Ngoại khoa loại 1 - Khoa Chấn thương chỉnh hình</t>
        </is>
      </c>
      <c r="F828" s="249" t="n">
        <v>1</v>
      </c>
      <c r="G828" s="249" t="n">
        <v>341800</v>
      </c>
    </row>
    <row r="829" ht="17.25" customHeight="1">
      <c r="A829" s="119" t="n">
        <v>821</v>
      </c>
      <c r="B829" s="119" t="inlineStr">
        <is>
          <t>2026/08/19 16:28</t>
        </is>
      </c>
      <c r="C829" s="119" t="inlineStr">
        <is>
          <t>PHẠM NGỌC ANH THƠ</t>
        </is>
      </c>
      <c r="D829" s="119" t="inlineStr">
        <is>
          <t>13/08/2007</t>
        </is>
      </c>
      <c r="E829" s="119" t="inlineStr">
        <is>
          <t>Giường Nội khoa loại 2 - Khoa Chấn thương chỉnh hình</t>
        </is>
      </c>
      <c r="F829" s="249" t="n">
        <v>1</v>
      </c>
      <c r="G829" s="249" t="n">
        <v>222300</v>
      </c>
    </row>
    <row r="830" ht="17.25" customHeight="1">
      <c r="A830" s="119" t="n">
        <v>822</v>
      </c>
      <c r="B830" s="119" t="inlineStr">
        <is>
          <t>2026/08/20 00:00</t>
        </is>
      </c>
      <c r="C830" s="119" t="inlineStr">
        <is>
          <t>BÙI HỮU THỌ</t>
        </is>
      </c>
      <c r="D830" s="119" t="inlineStr">
        <is>
          <t>01/02/1981</t>
        </is>
      </c>
      <c r="E830" s="119" t="inlineStr">
        <is>
          <t>Giường Ngoại khoa loại 3 - Khoa Chấn thương chỉnh hình</t>
        </is>
      </c>
      <c r="F830" s="249" t="n">
        <v>1</v>
      </c>
      <c r="G830" s="249" t="n">
        <v>269200</v>
      </c>
    </row>
    <row r="831" ht="17.25" customHeight="1">
      <c r="A831" s="119" t="n">
        <v>823</v>
      </c>
      <c r="B831" s="119" t="inlineStr">
        <is>
          <t>2026/08/20 00:00</t>
        </is>
      </c>
      <c r="C831" s="119" t="inlineStr">
        <is>
          <t>MAI VĂN ANH</t>
        </is>
      </c>
      <c r="D831" s="119" t="inlineStr">
        <is>
          <t>01/01/1980</t>
        </is>
      </c>
      <c r="E831" s="119" t="inlineStr">
        <is>
          <t>Giường Nội khoa loại 2 - Khoa Chấn thương chỉnh hình</t>
        </is>
      </c>
      <c r="F831" s="249" t="n">
        <v>1</v>
      </c>
      <c r="G831" s="249" t="n">
        <v>222300</v>
      </c>
    </row>
    <row r="832" ht="17.25" customHeight="1">
      <c r="A832" s="119" t="n">
        <v>824</v>
      </c>
      <c r="B832" s="119" t="inlineStr">
        <is>
          <t>2026/08/20 00:00</t>
        </is>
      </c>
      <c r="C832" s="119" t="inlineStr">
        <is>
          <t>NGUYỄN THÀNH LONG</t>
        </is>
      </c>
      <c r="D832" s="119" t="inlineStr">
        <is>
          <t>03/01/1971</t>
        </is>
      </c>
      <c r="E832" s="119" t="inlineStr">
        <is>
          <t>Giường Ngoại khoa loại 2 - Khoa Chấn thương chỉnh hình</t>
        </is>
      </c>
      <c r="F832" s="249" t="n">
        <v>1</v>
      </c>
      <c r="G832" s="249" t="n">
        <v>150800</v>
      </c>
    </row>
    <row r="833" ht="17.25" customHeight="1">
      <c r="A833" s="119" t="n">
        <v>825</v>
      </c>
      <c r="B833" s="119" t="inlineStr">
        <is>
          <t>2026/08/20 00:00</t>
        </is>
      </c>
      <c r="C833" s="119" t="inlineStr">
        <is>
          <t>NGUYỄN THỊ HÈ</t>
        </is>
      </c>
      <c r="D833" s="119" t="inlineStr">
        <is>
          <t>01/01/1968</t>
        </is>
      </c>
      <c r="E833" s="119" t="inlineStr">
        <is>
          <t>Giường Ngoại khoa loại 1 - Khoa Chấn thương chỉnh hình</t>
        </is>
      </c>
      <c r="F833" s="249" t="n">
        <v>1</v>
      </c>
      <c r="G833" s="249" t="n">
        <v>341800</v>
      </c>
    </row>
    <row r="834" ht="17.25" customHeight="1">
      <c r="A834" s="119" t="n">
        <v>826</v>
      </c>
      <c r="B834" s="119" t="inlineStr">
        <is>
          <t>2026/08/20 00:00</t>
        </is>
      </c>
      <c r="C834" s="119" t="inlineStr">
        <is>
          <t>NGUYỄN THỊ LAN</t>
        </is>
      </c>
      <c r="D834" s="119" t="inlineStr">
        <is>
          <t>10/10/1958</t>
        </is>
      </c>
      <c r="E834" s="119" t="inlineStr">
        <is>
          <t>Giường Ngoại khoa loại 1 - Khoa Chấn thương chỉnh hình</t>
        </is>
      </c>
      <c r="F834" s="249" t="n">
        <v>1</v>
      </c>
      <c r="G834" s="249" t="n">
        <v>341800</v>
      </c>
    </row>
    <row r="835" ht="17.25" customHeight="1">
      <c r="A835" s="119" t="n">
        <v>827</v>
      </c>
      <c r="B835" s="119" t="inlineStr">
        <is>
          <t>2026/08/20 00:00</t>
        </is>
      </c>
      <c r="C835" s="119" t="inlineStr">
        <is>
          <t>NGUYỄN THỊ TUYỀN</t>
        </is>
      </c>
      <c r="D835" s="119" t="inlineStr">
        <is>
          <t>20/09/1969</t>
        </is>
      </c>
      <c r="E835" s="119" t="inlineStr">
        <is>
          <t>Giường Nội khoa loại 2 - Khoa Chấn thương chỉnh hình</t>
        </is>
      </c>
      <c r="F835" s="249" t="n">
        <v>1</v>
      </c>
      <c r="G835" s="249" t="n">
        <v>222300</v>
      </c>
    </row>
    <row r="836" ht="17.25" customHeight="1">
      <c r="A836" s="119" t="n">
        <v>828</v>
      </c>
      <c r="B836" s="119" t="inlineStr">
        <is>
          <t>2026/08/20 00:00</t>
        </is>
      </c>
      <c r="C836" s="119" t="inlineStr">
        <is>
          <t>NGUYỄN THỊ XUÂN LAN</t>
        </is>
      </c>
      <c r="D836" s="119" t="inlineStr">
        <is>
          <t>30/12/1956</t>
        </is>
      </c>
      <c r="E836" s="119" t="inlineStr">
        <is>
          <t>Giường Nội khoa loại 2 - Khoa Chấn thương chỉnh hình</t>
        </is>
      </c>
      <c r="F836" s="249" t="n">
        <v>1</v>
      </c>
      <c r="G836" s="249" t="n">
        <v>222300</v>
      </c>
    </row>
    <row r="837" ht="17.25" customHeight="1">
      <c r="A837" s="119" t="n">
        <v>829</v>
      </c>
      <c r="B837" s="119" t="inlineStr">
        <is>
          <t>2026/08/20 00:00</t>
        </is>
      </c>
      <c r="C837" s="119" t="inlineStr">
        <is>
          <t>NGUYỄN TRỌNG NAM</t>
        </is>
      </c>
      <c r="D837" s="119" t="inlineStr">
        <is>
          <t>16/02/1992</t>
        </is>
      </c>
      <c r="E837" s="119" t="inlineStr">
        <is>
          <t>Giường Nội khoa loại 2 - Khoa Chấn thương chỉnh hình</t>
        </is>
      </c>
      <c r="F837" s="249" t="n">
        <v>1</v>
      </c>
      <c r="G837" s="249" t="n">
        <v>222300</v>
      </c>
    </row>
    <row r="838" ht="17.25" customHeight="1">
      <c r="A838" s="119" t="n">
        <v>830</v>
      </c>
      <c r="B838" s="119" t="inlineStr">
        <is>
          <t>2026/08/20 00:00</t>
        </is>
      </c>
      <c r="C838" s="119" t="inlineStr">
        <is>
          <t>NGUYỄN VĂN Y</t>
        </is>
      </c>
      <c r="D838" s="119" t="inlineStr">
        <is>
          <t>10/07/1993</t>
        </is>
      </c>
      <c r="E838" s="119" t="inlineStr">
        <is>
          <t>Giường Ngoại khoa loại 1 - Khoa Chấn thương chỉnh hình</t>
        </is>
      </c>
      <c r="F838" s="249" t="n">
        <v>1</v>
      </c>
      <c r="G838" s="249" t="n">
        <v>341800</v>
      </c>
    </row>
    <row r="839" ht="17.25" customHeight="1">
      <c r="A839" s="119" t="n">
        <v>831</v>
      </c>
      <c r="B839" s="119" t="inlineStr">
        <is>
          <t>2026/08/20 00:00</t>
        </is>
      </c>
      <c r="C839" s="119" t="inlineStr">
        <is>
          <t>PHẠM NGỌC SƠN</t>
        </is>
      </c>
      <c r="D839" s="119" t="inlineStr">
        <is>
          <t>06/07/1989</t>
        </is>
      </c>
      <c r="E839" s="119" t="inlineStr">
        <is>
          <t>Giường Ngoại khoa loại 1 - Khoa Chấn thương chỉnh hình</t>
        </is>
      </c>
      <c r="F839" s="249" t="n">
        <v>1</v>
      </c>
      <c r="G839" s="249" t="n">
        <v>341800</v>
      </c>
    </row>
    <row r="840" ht="17.25" customHeight="1">
      <c r="A840" s="119" t="n">
        <v>832</v>
      </c>
      <c r="B840" s="119" t="inlineStr">
        <is>
          <t>2026/08/20 00:00</t>
        </is>
      </c>
      <c r="C840" s="119" t="inlineStr">
        <is>
          <t>TRẦN NGỌC ÁNH</t>
        </is>
      </c>
      <c r="D840" s="119" t="inlineStr">
        <is>
          <t>07/01/1974</t>
        </is>
      </c>
      <c r="E840" s="119" t="inlineStr">
        <is>
          <t>Giường Ngoại khoa loại 1 - Khoa Chấn thương chỉnh hình</t>
        </is>
      </c>
      <c r="F840" s="249" t="n">
        <v>1</v>
      </c>
      <c r="G840" s="249" t="n">
        <v>341800</v>
      </c>
    </row>
    <row r="841" ht="17.25" customHeight="1">
      <c r="A841" s="119" t="n">
        <v>833</v>
      </c>
      <c r="B841" s="119" t="inlineStr">
        <is>
          <t>2026/08/20 00:00</t>
        </is>
      </c>
      <c r="C841" s="119" t="inlineStr">
        <is>
          <t>TRẦN THANH QUI</t>
        </is>
      </c>
      <c r="D841" s="119" t="inlineStr">
        <is>
          <t>31/05/2005</t>
        </is>
      </c>
      <c r="E841" s="119" t="inlineStr">
        <is>
          <t>Giường Ngoại khoa loại 1 - Khoa Chấn thương chỉnh hình</t>
        </is>
      </c>
      <c r="F841" s="249" t="n">
        <v>1</v>
      </c>
      <c r="G841" s="249" t="n">
        <v>341800</v>
      </c>
    </row>
    <row r="842" ht="17.25" customHeight="1">
      <c r="A842" s="119" t="n">
        <v>834</v>
      </c>
      <c r="B842" s="119" t="inlineStr">
        <is>
          <t>2026/08/20 00:00</t>
        </is>
      </c>
      <c r="C842" s="119" t="inlineStr">
        <is>
          <t>TRẦN THỊ DIỄM TRANG</t>
        </is>
      </c>
      <c r="D842" s="119" t="inlineStr">
        <is>
          <t>15/04/1984</t>
        </is>
      </c>
      <c r="E842" s="119" t="inlineStr">
        <is>
          <t>Giường Ngoại khoa loại 2 - Khoa Chấn thương chỉnh hình</t>
        </is>
      </c>
      <c r="F842" s="249" t="n">
        <v>1</v>
      </c>
      <c r="G842" s="249" t="n">
        <v>301600</v>
      </c>
    </row>
    <row r="843" ht="17.25" customHeight="1">
      <c r="A843" s="119" t="n">
        <v>835</v>
      </c>
      <c r="B843" s="119" t="inlineStr">
        <is>
          <t>2026/08/20 00:00</t>
        </is>
      </c>
      <c r="C843" s="119" t="inlineStr">
        <is>
          <t>TRẦN THỊ MỸ HẰNG</t>
        </is>
      </c>
      <c r="D843" s="119" t="inlineStr">
        <is>
          <t>01/01/1969</t>
        </is>
      </c>
      <c r="E843" s="119" t="inlineStr">
        <is>
          <t>Giường Nội khoa loại 2 - Khoa Chấn thương chỉnh hình</t>
        </is>
      </c>
      <c r="F843" s="249" t="n">
        <v>1</v>
      </c>
      <c r="G843" s="249" t="n">
        <v>222300</v>
      </c>
    </row>
    <row r="844" ht="17.25" customHeight="1">
      <c r="A844" s="119" t="n">
        <v>836</v>
      </c>
      <c r="B844" s="119" t="inlineStr">
        <is>
          <t>2026/08/20 00:00</t>
        </is>
      </c>
      <c r="C844" s="119" t="inlineStr">
        <is>
          <t>TRẦN THỊ NGỌC DIỄM</t>
        </is>
      </c>
      <c r="D844" s="119" t="inlineStr">
        <is>
          <t>22/03/1996</t>
        </is>
      </c>
      <c r="E844" s="119" t="inlineStr">
        <is>
          <t>Giường Nội khoa loại 2 - Khoa Chấn thương chỉnh hình</t>
        </is>
      </c>
      <c r="F844" s="249" t="n">
        <v>1</v>
      </c>
      <c r="G844" s="249" t="n">
        <v>222300</v>
      </c>
    </row>
    <row r="845" ht="17.25" customHeight="1">
      <c r="A845" s="119" t="n">
        <v>837</v>
      </c>
      <c r="B845" s="119" t="inlineStr">
        <is>
          <t>2026/08/20 00:00</t>
        </is>
      </c>
      <c r="C845" s="119" t="inlineStr">
        <is>
          <t>TĂNG THỊ MIỀN</t>
        </is>
      </c>
      <c r="D845" s="119" t="inlineStr">
        <is>
          <t>01/01/1951</t>
        </is>
      </c>
      <c r="E845" s="119" t="inlineStr">
        <is>
          <t>Giường Nội khoa loại 2 - Khoa Chấn thương chỉnh hình</t>
        </is>
      </c>
      <c r="F845" s="249" t="n">
        <v>1</v>
      </c>
      <c r="G845" s="249" t="n">
        <v>222300</v>
      </c>
    </row>
    <row r="846" ht="17.25" customHeight="1">
      <c r="A846" s="119" t="n">
        <v>838</v>
      </c>
      <c r="B846" s="119" t="inlineStr">
        <is>
          <t>2026/08/20 00:00</t>
        </is>
      </c>
      <c r="C846" s="119" t="inlineStr">
        <is>
          <t>VÕ HỒNG CƠ</t>
        </is>
      </c>
      <c r="D846" s="119" t="inlineStr">
        <is>
          <t>25/12/1937</t>
        </is>
      </c>
      <c r="E846" s="119" t="inlineStr">
        <is>
          <t>Giường Ngoại khoa loại 2 - Khoa Chấn thương chỉnh hình</t>
        </is>
      </c>
      <c r="F846" s="249" t="n">
        <v>1</v>
      </c>
      <c r="G846" s="249" t="n">
        <v>301600</v>
      </c>
    </row>
    <row r="847" ht="17.25" customHeight="1">
      <c r="A847" s="119" t="n">
        <v>839</v>
      </c>
      <c r="B847" s="119" t="inlineStr">
        <is>
          <t>2026/08/20 00:00</t>
        </is>
      </c>
      <c r="C847" s="119" t="inlineStr">
        <is>
          <t>VÕ TẤN ĐỨC</t>
        </is>
      </c>
      <c r="D847" s="119" t="inlineStr">
        <is>
          <t>01/01/1963</t>
        </is>
      </c>
      <c r="E847" s="119" t="inlineStr">
        <is>
          <t>Giường Nội khoa loại 2 - Khoa Chấn thương chỉnh hình</t>
        </is>
      </c>
      <c r="F847" s="249" t="n">
        <v>1</v>
      </c>
      <c r="G847" s="249" t="n">
        <v>222300</v>
      </c>
    </row>
    <row r="848" ht="17.25" customHeight="1">
      <c r="A848" s="119" t="n">
        <v>840</v>
      </c>
      <c r="B848" s="119" t="inlineStr">
        <is>
          <t>2026/08/20 00:00</t>
        </is>
      </c>
      <c r="C848" s="119" t="inlineStr">
        <is>
          <t>ĐỖ THỊ THANH PHƯƠNG</t>
        </is>
      </c>
      <c r="D848" s="119" t="inlineStr">
        <is>
          <t>01/01/1966</t>
        </is>
      </c>
      <c r="E848" s="119" t="inlineStr">
        <is>
          <t>Giường Nội khoa loại 2 - Khoa Chấn thương chỉnh hình</t>
        </is>
      </c>
      <c r="F848" s="249" t="n">
        <v>1</v>
      </c>
      <c r="G848" s="249" t="n">
        <v>222300</v>
      </c>
    </row>
    <row r="849" ht="17.25" customHeight="1">
      <c r="A849" s="119" t="n">
        <v>841</v>
      </c>
      <c r="B849" s="119" t="inlineStr">
        <is>
          <t>2026/08/20 00:00</t>
        </is>
      </c>
      <c r="C849" s="119" t="inlineStr">
        <is>
          <t>BÙI THỊ NGỜI</t>
        </is>
      </c>
      <c r="D849" s="119" t="inlineStr">
        <is>
          <t>01/01/1952</t>
        </is>
      </c>
      <c r="E849" s="119" t="inlineStr">
        <is>
          <t>Giường Ngoại khoa loại 2 - Khoa Chấn thương chỉnh hình</t>
        </is>
      </c>
      <c r="F849" s="249" t="n">
        <v>1</v>
      </c>
      <c r="G849" s="249" t="n">
        <v>301600</v>
      </c>
    </row>
    <row r="850" ht="17.25" customHeight="1">
      <c r="A850" s="119" t="n">
        <v>842</v>
      </c>
      <c r="B850" s="119" t="inlineStr">
        <is>
          <t>2026/08/20 00:00</t>
        </is>
      </c>
      <c r="C850" s="119" t="inlineStr">
        <is>
          <t>TRƯƠNG VĂN ÚT</t>
        </is>
      </c>
      <c r="D850" s="119" t="inlineStr">
        <is>
          <t>01/01/1948</t>
        </is>
      </c>
      <c r="E850" s="119" t="inlineStr">
        <is>
          <t>Giường Ngoại khoa loại 3 - Khoa Chấn thương chỉnh hình</t>
        </is>
      </c>
      <c r="F850" s="249" t="n">
        <v>1</v>
      </c>
      <c r="G850" s="249" t="n">
        <v>269200</v>
      </c>
    </row>
    <row r="851" ht="17.25" customHeight="1">
      <c r="A851" s="119" t="n">
        <v>843</v>
      </c>
      <c r="B851" s="119" t="inlineStr">
        <is>
          <t>2026/08/20 00:00</t>
        </is>
      </c>
      <c r="C851" s="119" t="inlineStr">
        <is>
          <t>TRẦN VĂN LẸ</t>
        </is>
      </c>
      <c r="D851" s="119" t="inlineStr">
        <is>
          <t>01/01/1975</t>
        </is>
      </c>
      <c r="E851" s="119" t="inlineStr">
        <is>
          <t>Giường Ngoại khoa loại 1 - Khoa Chấn thương chỉnh hình</t>
        </is>
      </c>
      <c r="F851" s="249" t="n">
        <v>1</v>
      </c>
      <c r="G851" s="249" t="n">
        <v>341800</v>
      </c>
    </row>
    <row r="852" ht="17.25" customHeight="1">
      <c r="A852" s="119" t="n">
        <v>844</v>
      </c>
      <c r="B852" s="119" t="inlineStr">
        <is>
          <t>2026/08/20 09:00</t>
        </is>
      </c>
      <c r="C852" s="119" t="inlineStr">
        <is>
          <t>LÊ THỊ TUYẾT</t>
        </is>
      </c>
      <c r="D852" s="119" t="inlineStr">
        <is>
          <t>01/01/1959</t>
        </is>
      </c>
      <c r="E852" s="119" t="inlineStr">
        <is>
          <t>Giường Nội khoa loại 2 - Khoa Chấn thương chỉnh hình</t>
        </is>
      </c>
      <c r="F852" s="249" t="n">
        <v>1</v>
      </c>
      <c r="G852" s="249" t="n">
        <v>222300</v>
      </c>
    </row>
    <row r="853" ht="17.25" customHeight="1">
      <c r="A853" s="119" t="n">
        <v>845</v>
      </c>
      <c r="B853" s="119" t="inlineStr">
        <is>
          <t>2026/08/20 12:28</t>
        </is>
      </c>
      <c r="C853" s="119" t="inlineStr">
        <is>
          <t>LƯU THANH THẢO</t>
        </is>
      </c>
      <c r="D853" s="119" t="inlineStr">
        <is>
          <t>19/10/1992</t>
        </is>
      </c>
      <c r="E853" s="119" t="inlineStr">
        <is>
          <t>Giường Nội khoa loại 2 - Khoa Chấn thương chỉnh hình</t>
        </is>
      </c>
      <c r="F853" s="249" t="n">
        <v>1</v>
      </c>
      <c r="G853" s="249" t="n">
        <v>222300</v>
      </c>
    </row>
    <row r="854" ht="17.25" customHeight="1">
      <c r="A854" s="119" t="n">
        <v>846</v>
      </c>
      <c r="B854" s="119" t="inlineStr">
        <is>
          <t>2026/08/20 14:00</t>
        </is>
      </c>
      <c r="C854" s="119" t="inlineStr">
        <is>
          <t>LÊ THỊ KIM ĐIỂU</t>
        </is>
      </c>
      <c r="D854" s="119" t="inlineStr">
        <is>
          <t>12/12/1958</t>
        </is>
      </c>
      <c r="E854" s="119" t="inlineStr">
        <is>
          <t>Giường Nội khoa loại 2 - Khoa Chấn thương chỉnh hình</t>
        </is>
      </c>
      <c r="F854" s="249" t="n">
        <v>1</v>
      </c>
      <c r="G854" s="249" t="n">
        <v>222300</v>
      </c>
    </row>
    <row r="855" ht="17.25" customHeight="1">
      <c r="A855" s="119" t="n">
        <v>847</v>
      </c>
      <c r="B855" s="119" t="inlineStr">
        <is>
          <t>2026/08/20 14:00</t>
        </is>
      </c>
      <c r="C855" s="119" t="inlineStr">
        <is>
          <t>NGÔ TUẤN AN</t>
        </is>
      </c>
      <c r="D855" s="119" t="inlineStr">
        <is>
          <t>01/01/1988</t>
        </is>
      </c>
      <c r="E855" s="119" t="inlineStr">
        <is>
          <t>Giường Ngoại khoa loại 1 - Khoa Chấn thương chỉnh hình</t>
        </is>
      </c>
      <c r="F855" s="249" t="n">
        <v>1</v>
      </c>
      <c r="G855" s="249" t="n">
        <v>341800</v>
      </c>
    </row>
    <row r="856" ht="17.25" customHeight="1">
      <c r="A856" s="119" t="n">
        <v>848</v>
      </c>
      <c r="B856" s="119" t="inlineStr">
        <is>
          <t>2026/08/20 15:10</t>
        </is>
      </c>
      <c r="C856" s="119" t="inlineStr">
        <is>
          <t>HUỲNH THU HỒNG</t>
        </is>
      </c>
      <c r="D856" s="119" t="inlineStr">
        <is>
          <t>10/12/1957</t>
        </is>
      </c>
      <c r="E856" s="119" t="inlineStr">
        <is>
          <t>Giường Ngoại khoa loại 2 - Khoa Chấn thương chỉnh hình</t>
        </is>
      </c>
      <c r="F856" s="249" t="n">
        <v>1</v>
      </c>
      <c r="G856" s="249" t="n">
        <v>301600</v>
      </c>
    </row>
    <row r="857" ht="17.25" customHeight="1">
      <c r="A857" s="119" t="n">
        <v>849</v>
      </c>
      <c r="B857" s="119" t="inlineStr">
        <is>
          <t>2026/08/20 16:00</t>
        </is>
      </c>
      <c r="C857" s="119" t="inlineStr">
        <is>
          <t>PHẠM THỊ DIỄM</t>
        </is>
      </c>
      <c r="D857" s="119" t="inlineStr">
        <is>
          <t>15/04/1982</t>
        </is>
      </c>
      <c r="E857" s="119" t="inlineStr">
        <is>
          <t>Giường Ngoại khoa loại 2 - Khoa Chấn thương chỉnh hình</t>
        </is>
      </c>
      <c r="F857" s="249" t="n">
        <v>1</v>
      </c>
      <c r="G857" s="249" t="n">
        <v>301600</v>
      </c>
    </row>
    <row r="858" ht="17.25" customHeight="1">
      <c r="A858" s="119" t="n">
        <v>850</v>
      </c>
      <c r="B858" s="119" t="inlineStr">
        <is>
          <t>2026/08/20 20:28</t>
        </is>
      </c>
      <c r="C858" s="119" t="inlineStr">
        <is>
          <t>PHẠM NGỌC ANH THƠ</t>
        </is>
      </c>
      <c r="D858" s="119" t="inlineStr">
        <is>
          <t>13/08/2007</t>
        </is>
      </c>
      <c r="E858" s="119" t="inlineStr">
        <is>
          <t>Giường Ngoại khoa loại 3 - Khoa Chấn thương chỉnh hình</t>
        </is>
      </c>
      <c r="F858" s="249" t="n">
        <v>1</v>
      </c>
      <c r="G858" s="249" t="n">
        <v>269200</v>
      </c>
    </row>
    <row r="859" ht="17.25" customHeight="1">
      <c r="A859" s="119" t="n">
        <v>851</v>
      </c>
      <c r="B859" s="119" t="inlineStr">
        <is>
          <t>2026/08/21 00:00</t>
        </is>
      </c>
      <c r="C859" s="119" t="inlineStr">
        <is>
          <t>BÙI HỮU THỌ</t>
        </is>
      </c>
      <c r="D859" s="119" t="inlineStr">
        <is>
          <t>01/02/1981</t>
        </is>
      </c>
      <c r="E859" s="119" t="inlineStr">
        <is>
          <t>Giường Ngoại khoa loại 3 - Khoa Chấn thương chỉnh hình</t>
        </is>
      </c>
      <c r="F859" s="249" t="n">
        <v>1</v>
      </c>
      <c r="G859" s="249" t="n">
        <v>269200</v>
      </c>
    </row>
    <row r="860" ht="17.25" customHeight="1">
      <c r="A860" s="119" t="n">
        <v>852</v>
      </c>
      <c r="B860" s="119" t="inlineStr">
        <is>
          <t>2026/08/21 00:00</t>
        </is>
      </c>
      <c r="C860" s="119" t="inlineStr">
        <is>
          <t>HUỲNH THU HỒNG</t>
        </is>
      </c>
      <c r="D860" s="119" t="inlineStr">
        <is>
          <t>10/12/1957</t>
        </is>
      </c>
      <c r="E860" s="119" t="inlineStr">
        <is>
          <t>Giường Ngoại khoa loại 2 - Khoa Chấn thương chỉnh hình</t>
        </is>
      </c>
      <c r="F860" s="249" t="n">
        <v>1</v>
      </c>
      <c r="G860" s="249" t="n">
        <v>301600</v>
      </c>
    </row>
    <row r="861" ht="17.25" customHeight="1">
      <c r="A861" s="119" t="n">
        <v>853</v>
      </c>
      <c r="B861" s="119" t="inlineStr">
        <is>
          <t>2026/08/21 00:00</t>
        </is>
      </c>
      <c r="C861" s="119" t="inlineStr">
        <is>
          <t>LÊ THỊ KIM ĐIỂU</t>
        </is>
      </c>
      <c r="D861" s="119" t="inlineStr">
        <is>
          <t>12/12/1958</t>
        </is>
      </c>
      <c r="E861" s="119" t="inlineStr">
        <is>
          <t>Giường Ngoại khoa loại 1 - Khoa Chấn thương chỉnh hình</t>
        </is>
      </c>
      <c r="F861" s="249" t="n">
        <v>1</v>
      </c>
      <c r="G861" s="249" t="n">
        <v>341800</v>
      </c>
    </row>
    <row r="862" ht="17.25" customHeight="1">
      <c r="A862" s="119" t="n">
        <v>854</v>
      </c>
      <c r="B862" s="119" t="inlineStr">
        <is>
          <t>2026/08/21 00:00</t>
        </is>
      </c>
      <c r="C862" s="119" t="inlineStr">
        <is>
          <t>LÊ THỊ TUYẾT</t>
        </is>
      </c>
      <c r="D862" s="119" t="inlineStr">
        <is>
          <t>01/01/1959</t>
        </is>
      </c>
      <c r="E862" s="119" t="inlineStr">
        <is>
          <t>Giường Nội khoa loại 2 - Khoa Chấn thương chỉnh hình</t>
        </is>
      </c>
      <c r="F862" s="249" t="n">
        <v>1</v>
      </c>
      <c r="G862" s="249" t="n">
        <v>222300</v>
      </c>
    </row>
    <row r="863" ht="17.25" customHeight="1">
      <c r="A863" s="119" t="n">
        <v>855</v>
      </c>
      <c r="B863" s="119" t="inlineStr">
        <is>
          <t>2026/08/21 00:00</t>
        </is>
      </c>
      <c r="C863" s="119" t="inlineStr">
        <is>
          <t>LƯU THANH THẢO</t>
        </is>
      </c>
      <c r="D863" s="119" t="inlineStr">
        <is>
          <t>19/10/1992</t>
        </is>
      </c>
      <c r="E863" s="119" t="inlineStr">
        <is>
          <t>Giường Nội khoa loại 2 - Khoa Chấn thương chỉnh hình</t>
        </is>
      </c>
      <c r="F863" s="249" t="n">
        <v>1</v>
      </c>
      <c r="G863" s="249" t="n">
        <v>222300</v>
      </c>
    </row>
    <row r="864" ht="17.25" customHeight="1">
      <c r="A864" s="119" t="n">
        <v>856</v>
      </c>
      <c r="B864" s="119" t="inlineStr">
        <is>
          <t>2026/08/21 00:00</t>
        </is>
      </c>
      <c r="C864" s="119" t="inlineStr">
        <is>
          <t>MAI VĂN ANH</t>
        </is>
      </c>
      <c r="D864" s="119" t="inlineStr">
        <is>
          <t>01/01/1980</t>
        </is>
      </c>
      <c r="E864" s="119" t="inlineStr">
        <is>
          <t>Giường Nội khoa loại 2 - Khoa Chấn thương chỉnh hình</t>
        </is>
      </c>
      <c r="F864" s="249" t="n">
        <v>1</v>
      </c>
      <c r="G864" s="249" t="n">
        <v>222300</v>
      </c>
    </row>
    <row r="865" ht="17.25" customHeight="1">
      <c r="A865" s="119" t="n">
        <v>857</v>
      </c>
      <c r="B865" s="119" t="inlineStr">
        <is>
          <t>2026/08/21 00:00</t>
        </is>
      </c>
      <c r="C865" s="119" t="inlineStr">
        <is>
          <t>NGUYỄN THÀNH LONG</t>
        </is>
      </c>
      <c r="D865" s="119" t="inlineStr">
        <is>
          <t>03/01/1971</t>
        </is>
      </c>
      <c r="E865" s="119" t="inlineStr">
        <is>
          <t>Giường Ngoại khoa loại 2 - Khoa Chấn thương chỉnh hình</t>
        </is>
      </c>
      <c r="F865" s="249" t="n">
        <v>1</v>
      </c>
      <c r="G865" s="249" t="n">
        <v>150800</v>
      </c>
    </row>
    <row r="866" ht="17.25" customHeight="1">
      <c r="A866" s="119" t="n">
        <v>858</v>
      </c>
      <c r="B866" s="119" t="inlineStr">
        <is>
          <t>2026/08/21 00:00</t>
        </is>
      </c>
      <c r="C866" s="119" t="inlineStr">
        <is>
          <t>NGUYỄN THỊ HÈ</t>
        </is>
      </c>
      <c r="D866" s="119" t="inlineStr">
        <is>
          <t>01/01/1968</t>
        </is>
      </c>
      <c r="E866" s="119" t="inlineStr">
        <is>
          <t>Giường Ngoại khoa loại 1 - Khoa Chấn thương chỉnh hình</t>
        </is>
      </c>
      <c r="F866" s="249" t="n">
        <v>1</v>
      </c>
      <c r="G866" s="249" t="n">
        <v>341800</v>
      </c>
    </row>
    <row r="867" ht="17.25" customHeight="1">
      <c r="A867" s="119" t="n">
        <v>859</v>
      </c>
      <c r="B867" s="119" t="inlineStr">
        <is>
          <t>2026/08/21 00:00</t>
        </is>
      </c>
      <c r="C867" s="119" t="inlineStr">
        <is>
          <t>NGUYỄN THỊ LAN</t>
        </is>
      </c>
      <c r="D867" s="119" t="inlineStr">
        <is>
          <t>10/10/1958</t>
        </is>
      </c>
      <c r="E867" s="119" t="inlineStr">
        <is>
          <t>Giường Ngoại khoa loại 1 - Khoa Chấn thương chỉnh hình</t>
        </is>
      </c>
      <c r="F867" s="249" t="n">
        <v>1</v>
      </c>
      <c r="G867" s="249" t="n">
        <v>341800</v>
      </c>
    </row>
    <row r="868" ht="17.25" customHeight="1">
      <c r="A868" s="119" t="n">
        <v>860</v>
      </c>
      <c r="B868" s="119" t="inlineStr">
        <is>
          <t>2026/08/21 00:00</t>
        </is>
      </c>
      <c r="C868" s="119" t="inlineStr">
        <is>
          <t>NGUYỄN THỊ TUYỀN</t>
        </is>
      </c>
      <c r="D868" s="119" t="inlineStr">
        <is>
          <t>20/09/1969</t>
        </is>
      </c>
      <c r="E868" s="119" t="inlineStr">
        <is>
          <t>Giường Nội khoa loại 2 - Khoa Chấn thương chỉnh hình</t>
        </is>
      </c>
      <c r="F868" s="249" t="n">
        <v>1</v>
      </c>
      <c r="G868" s="249" t="n">
        <v>222300</v>
      </c>
    </row>
    <row r="869" ht="17.25" customHeight="1">
      <c r="A869" s="119" t="n">
        <v>861</v>
      </c>
      <c r="B869" s="119" t="inlineStr">
        <is>
          <t>2026/08/21 00:00</t>
        </is>
      </c>
      <c r="C869" s="119" t="inlineStr">
        <is>
          <t>NGUYỄN VĂN Y</t>
        </is>
      </c>
      <c r="D869" s="119" t="inlineStr">
        <is>
          <t>10/07/1993</t>
        </is>
      </c>
      <c r="E869" s="119" t="inlineStr">
        <is>
          <t>Giường Ngoại khoa loại 1 - Khoa Chấn thương chỉnh hình</t>
        </is>
      </c>
      <c r="F869" s="249" t="n">
        <v>1</v>
      </c>
      <c r="G869" s="249" t="n">
        <v>341800</v>
      </c>
    </row>
    <row r="870" ht="17.25" customHeight="1">
      <c r="A870" s="119" t="n">
        <v>862</v>
      </c>
      <c r="B870" s="119" t="inlineStr">
        <is>
          <t>2026/08/21 00:00</t>
        </is>
      </c>
      <c r="C870" s="119" t="inlineStr">
        <is>
          <t>NGÔ TUẤN AN</t>
        </is>
      </c>
      <c r="D870" s="119" t="inlineStr">
        <is>
          <t>01/01/1988</t>
        </is>
      </c>
      <c r="E870" s="119" t="inlineStr">
        <is>
          <t>Giường Ngoại khoa loại 1 - Khoa Chấn thương chỉnh hình</t>
        </is>
      </c>
      <c r="F870" s="249" t="n">
        <v>1</v>
      </c>
      <c r="G870" s="249" t="n">
        <v>341800</v>
      </c>
    </row>
    <row r="871" ht="17.25" customHeight="1">
      <c r="A871" s="119" t="n">
        <v>863</v>
      </c>
      <c r="B871" s="119" t="inlineStr">
        <is>
          <t>2026/08/21 00:00</t>
        </is>
      </c>
      <c r="C871" s="119" t="inlineStr">
        <is>
          <t>PHẠM NGỌC SƠN</t>
        </is>
      </c>
      <c r="D871" s="119" t="inlineStr">
        <is>
          <t>06/07/1989</t>
        </is>
      </c>
      <c r="E871" s="119" t="inlineStr">
        <is>
          <t>Giường Ngoại khoa loại 1 - Khoa Chấn thương chỉnh hình</t>
        </is>
      </c>
      <c r="F871" s="249" t="n">
        <v>1</v>
      </c>
      <c r="G871" s="249" t="n">
        <v>341800</v>
      </c>
    </row>
    <row r="872" ht="17.25" customHeight="1">
      <c r="A872" s="119" t="n">
        <v>864</v>
      </c>
      <c r="B872" s="119" t="inlineStr">
        <is>
          <t>2026/08/21 00:00</t>
        </is>
      </c>
      <c r="C872" s="119" t="inlineStr">
        <is>
          <t>TRẦN NGỌC ÁNH</t>
        </is>
      </c>
      <c r="D872" s="119" t="inlineStr">
        <is>
          <t>07/01/1974</t>
        </is>
      </c>
      <c r="E872" s="119" t="inlineStr">
        <is>
          <t>Giường Ngoại khoa loại 1 - Khoa Chấn thương chỉnh hình</t>
        </is>
      </c>
      <c r="F872" s="249" t="n">
        <v>1</v>
      </c>
      <c r="G872" s="249" t="n">
        <v>341800</v>
      </c>
    </row>
    <row r="873" ht="17.25" customHeight="1">
      <c r="A873" s="119" t="n">
        <v>865</v>
      </c>
      <c r="B873" s="119" t="inlineStr">
        <is>
          <t>2026/08/21 00:00</t>
        </is>
      </c>
      <c r="C873" s="119" t="inlineStr">
        <is>
          <t>TRẦN THANH QUI</t>
        </is>
      </c>
      <c r="D873" s="119" t="inlineStr">
        <is>
          <t>31/05/2005</t>
        </is>
      </c>
      <c r="E873" s="119" t="inlineStr">
        <is>
          <t>Giường Ngoại khoa loại 1 - Khoa Chấn thương chỉnh hình</t>
        </is>
      </c>
      <c r="F873" s="249" t="n">
        <v>1</v>
      </c>
      <c r="G873" s="249" t="n">
        <v>341800</v>
      </c>
    </row>
    <row r="874" ht="17.25" customHeight="1">
      <c r="A874" s="119" t="n">
        <v>866</v>
      </c>
      <c r="B874" s="119" t="inlineStr">
        <is>
          <t>2026/08/21 00:00</t>
        </is>
      </c>
      <c r="C874" s="119" t="inlineStr">
        <is>
          <t>TRẦN THỊ DIỄM TRANG</t>
        </is>
      </c>
      <c r="D874" s="119" t="inlineStr">
        <is>
          <t>15/04/1984</t>
        </is>
      </c>
      <c r="E874" s="119" t="inlineStr">
        <is>
          <t>Giường Ngoại khoa loại 2 - Khoa Chấn thương chỉnh hình</t>
        </is>
      </c>
      <c r="F874" s="249" t="n">
        <v>1</v>
      </c>
      <c r="G874" s="249" t="n">
        <v>301600</v>
      </c>
    </row>
    <row r="875" ht="17.25" customHeight="1">
      <c r="A875" s="119" t="n">
        <v>867</v>
      </c>
      <c r="B875" s="119" t="inlineStr">
        <is>
          <t>2026/08/21 00:00</t>
        </is>
      </c>
      <c r="C875" s="119" t="inlineStr">
        <is>
          <t>TRẦN THỊ MỸ HẰNG</t>
        </is>
      </c>
      <c r="D875" s="119" t="inlineStr">
        <is>
          <t>01/01/1969</t>
        </is>
      </c>
      <c r="E875" s="119" t="inlineStr">
        <is>
          <t>Giường Nội khoa loại 2 - Khoa Chấn thương chỉnh hình</t>
        </is>
      </c>
      <c r="F875" s="249" t="n">
        <v>1</v>
      </c>
      <c r="G875" s="249" t="n">
        <v>222300</v>
      </c>
    </row>
    <row r="876" ht="17.25" customHeight="1">
      <c r="A876" s="119" t="n">
        <v>868</v>
      </c>
      <c r="B876" s="119" t="inlineStr">
        <is>
          <t>2026/08/21 00:00</t>
        </is>
      </c>
      <c r="C876" s="119" t="inlineStr">
        <is>
          <t>TRẦN THỊ NGỌC DIỄM</t>
        </is>
      </c>
      <c r="D876" s="119" t="inlineStr">
        <is>
          <t>22/03/1996</t>
        </is>
      </c>
      <c r="E876" s="119" t="inlineStr">
        <is>
          <t>Giường Nội khoa loại 2 - Khoa Chấn thương chỉnh hình</t>
        </is>
      </c>
      <c r="F876" s="249" t="n">
        <v>1</v>
      </c>
      <c r="G876" s="249" t="n">
        <v>222300</v>
      </c>
    </row>
    <row r="877" ht="17.25" customHeight="1">
      <c r="A877" s="119" t="n">
        <v>869</v>
      </c>
      <c r="B877" s="119" t="inlineStr">
        <is>
          <t>2026/08/21 00:00</t>
        </is>
      </c>
      <c r="C877" s="119" t="inlineStr">
        <is>
          <t>TĂNG THỊ MIỀN</t>
        </is>
      </c>
      <c r="D877" s="119" t="inlineStr">
        <is>
          <t>01/01/1951</t>
        </is>
      </c>
      <c r="E877" s="119" t="inlineStr">
        <is>
          <t>Giường Nội khoa loại 2 - Khoa Chấn thương chỉnh hình</t>
        </is>
      </c>
      <c r="F877" s="249" t="n">
        <v>1</v>
      </c>
      <c r="G877" s="249" t="n">
        <v>222300</v>
      </c>
    </row>
    <row r="878" ht="17.25" customHeight="1">
      <c r="A878" s="119" t="n">
        <v>870</v>
      </c>
      <c r="B878" s="119" t="inlineStr">
        <is>
          <t>2026/08/21 00:00</t>
        </is>
      </c>
      <c r="C878" s="119" t="inlineStr">
        <is>
          <t>VÕ HỒNG CƠ</t>
        </is>
      </c>
      <c r="D878" s="119" t="inlineStr">
        <is>
          <t>25/12/1937</t>
        </is>
      </c>
      <c r="E878" s="119" t="inlineStr">
        <is>
          <t>Giường Ngoại khoa loại 2 - Khoa Chấn thương chỉnh hình</t>
        </is>
      </c>
      <c r="F878" s="249" t="n">
        <v>1</v>
      </c>
      <c r="G878" s="249" t="n">
        <v>301600</v>
      </c>
    </row>
    <row r="879" ht="17.25" customHeight="1">
      <c r="A879" s="119" t="n">
        <v>871</v>
      </c>
      <c r="B879" s="119" t="inlineStr">
        <is>
          <t>2026/08/21 00:00</t>
        </is>
      </c>
      <c r="C879" s="119" t="inlineStr">
        <is>
          <t>VÕ TẤN ĐỨC</t>
        </is>
      </c>
      <c r="D879" s="119" t="inlineStr">
        <is>
          <t>01/01/1963</t>
        </is>
      </c>
      <c r="E879" s="119" t="inlineStr">
        <is>
          <t>Giường Nội khoa loại 2 - Khoa Chấn thương chỉnh hình</t>
        </is>
      </c>
      <c r="F879" s="249" t="n">
        <v>1</v>
      </c>
      <c r="G879" s="249" t="n">
        <v>222300</v>
      </c>
    </row>
    <row r="880" ht="17.25" customHeight="1">
      <c r="A880" s="119" t="n">
        <v>872</v>
      </c>
      <c r="B880" s="119" t="inlineStr">
        <is>
          <t>2026/08/21 00:00</t>
        </is>
      </c>
      <c r="C880" s="119" t="inlineStr">
        <is>
          <t>ĐỖ THỊ THANH PHƯƠNG</t>
        </is>
      </c>
      <c r="D880" s="119" t="inlineStr">
        <is>
          <t>01/01/1966</t>
        </is>
      </c>
      <c r="E880" s="119" t="inlineStr">
        <is>
          <t>Giường Nội khoa loại 2 - Khoa Chấn thương chỉnh hình</t>
        </is>
      </c>
      <c r="F880" s="249" t="n">
        <v>1</v>
      </c>
      <c r="G880" s="249" t="n">
        <v>222300</v>
      </c>
    </row>
    <row r="881" ht="17.25" customHeight="1">
      <c r="A881" s="119" t="n">
        <v>873</v>
      </c>
      <c r="B881" s="119" t="inlineStr">
        <is>
          <t>2026/08/21 00:00</t>
        </is>
      </c>
      <c r="C881" s="119" t="inlineStr">
        <is>
          <t>BÙI THỊ NGỜI</t>
        </is>
      </c>
      <c r="D881" s="119" t="inlineStr">
        <is>
          <t>01/01/1952</t>
        </is>
      </c>
      <c r="E881" s="119" t="inlineStr">
        <is>
          <t>Giường Ngoại khoa loại 2 - Khoa Chấn thương chỉnh hình</t>
        </is>
      </c>
      <c r="F881" s="249" t="n">
        <v>1</v>
      </c>
      <c r="G881" s="249" t="n">
        <v>301600</v>
      </c>
    </row>
    <row r="882" ht="17.25" customHeight="1">
      <c r="A882" s="119" t="n">
        <v>874</v>
      </c>
      <c r="B882" s="119" t="inlineStr">
        <is>
          <t>2026/08/21 00:00</t>
        </is>
      </c>
      <c r="C882" s="119" t="inlineStr">
        <is>
          <t>TRƯƠNG VĂN ÚT</t>
        </is>
      </c>
      <c r="D882" s="119" t="inlineStr">
        <is>
          <t>01/01/1948</t>
        </is>
      </c>
      <c r="E882" s="119" t="inlineStr">
        <is>
          <t>Giường Ngoại khoa loại 3 - Khoa Chấn thương chỉnh hình</t>
        </is>
      </c>
      <c r="F882" s="249" t="n">
        <v>1</v>
      </c>
      <c r="G882" s="249" t="n">
        <v>269200</v>
      </c>
    </row>
    <row r="883" ht="17.25" customHeight="1">
      <c r="A883" s="119" t="n">
        <v>875</v>
      </c>
      <c r="B883" s="119" t="inlineStr">
        <is>
          <t>2026/08/21 00:00</t>
        </is>
      </c>
      <c r="C883" s="119" t="inlineStr">
        <is>
          <t>TRẦN VĂN LẸ</t>
        </is>
      </c>
      <c r="D883" s="119" t="inlineStr">
        <is>
          <t>01/01/1975</t>
        </is>
      </c>
      <c r="E883" s="119" t="inlineStr">
        <is>
          <t>Giường Ngoại khoa loại 1 - Khoa Chấn thương chỉnh hình</t>
        </is>
      </c>
      <c r="F883" s="249" t="n">
        <v>1</v>
      </c>
      <c r="G883" s="249" t="n">
        <v>341800</v>
      </c>
    </row>
    <row r="884" ht="17.25" customHeight="1">
      <c r="A884" s="119" t="n">
        <v>876</v>
      </c>
      <c r="B884" s="119" t="inlineStr">
        <is>
          <t>2026/08/21 01:23</t>
        </is>
      </c>
      <c r="C884" s="119" t="inlineStr">
        <is>
          <t>LÂM ĐẠI NHƠN</t>
        </is>
      </c>
      <c r="D884" s="119" t="inlineStr">
        <is>
          <t>02/03/1938</t>
        </is>
      </c>
      <c r="E884" s="119" t="inlineStr">
        <is>
          <t>Giường Nội khoa loại 2 - Khoa Chấn thương chỉnh hình</t>
        </is>
      </c>
      <c r="F884" s="249" t="n">
        <v>1</v>
      </c>
      <c r="G884" s="249" t="n">
        <v>222300</v>
      </c>
    </row>
    <row r="885" ht="17.25" customHeight="1">
      <c r="A885" s="119" t="n">
        <v>877</v>
      </c>
      <c r="B885" s="119" t="inlineStr">
        <is>
          <t>2026/08/21 05:00</t>
        </is>
      </c>
      <c r="C885" s="119" t="inlineStr">
        <is>
          <t>NGUYỄN THỊ THẮM</t>
        </is>
      </c>
      <c r="D885" s="119" t="inlineStr">
        <is>
          <t>01/01/1962</t>
        </is>
      </c>
      <c r="E885" s="119" t="inlineStr">
        <is>
          <t>Giường Ngoại khoa loại 1 - Khoa Chấn thương chỉnh hình</t>
        </is>
      </c>
      <c r="F885" s="249" t="n">
        <v>1</v>
      </c>
      <c r="G885" s="249" t="n">
        <v>341800</v>
      </c>
    </row>
    <row r="886" ht="17.25" customHeight="1">
      <c r="A886" s="119" t="n">
        <v>878</v>
      </c>
      <c r="B886" s="119" t="inlineStr">
        <is>
          <t>2026/08/21 08:49</t>
        </is>
      </c>
      <c r="C886" s="119" t="inlineStr">
        <is>
          <t>CHIÊM HUỲNH ANH THƯ</t>
        </is>
      </c>
      <c r="D886" s="119" t="inlineStr">
        <is>
          <t>01/04/2000</t>
        </is>
      </c>
      <c r="E886" s="119" t="inlineStr">
        <is>
          <t>Giường Nội khoa loại 2 - Khoa Chấn thương chỉnh hình</t>
        </is>
      </c>
      <c r="F886" s="249" t="n">
        <v>1</v>
      </c>
      <c r="G886" s="249" t="n">
        <v>222300</v>
      </c>
    </row>
    <row r="887" ht="17.25" customHeight="1">
      <c r="A887" s="119" t="n">
        <v>879</v>
      </c>
      <c r="B887" s="119" t="inlineStr">
        <is>
          <t>2026/08/21 14:23</t>
        </is>
      </c>
      <c r="C887" s="119" t="inlineStr">
        <is>
          <t>NGUYỄN TRỌNG NAM</t>
        </is>
      </c>
      <c r="D887" s="119" t="inlineStr">
        <is>
          <t>16/02/1992</t>
        </is>
      </c>
      <c r="E887" s="119" t="inlineStr">
        <is>
          <t>Giường Ngoại khoa loại 1 - Khoa Chấn thương chỉnh hình</t>
        </is>
      </c>
      <c r="F887" s="249" t="n">
        <v>1</v>
      </c>
      <c r="G887" s="249" t="n">
        <v>341800</v>
      </c>
    </row>
    <row r="888" ht="17.25" customHeight="1">
      <c r="A888" s="119" t="n">
        <v>880</v>
      </c>
      <c r="B888" s="119" t="inlineStr">
        <is>
          <t>2026/08/21 14:47</t>
        </is>
      </c>
      <c r="C888" s="119" t="inlineStr">
        <is>
          <t>HỒ BÉ TƯ</t>
        </is>
      </c>
      <c r="D888" s="119" t="inlineStr">
        <is>
          <t>01/01/1957</t>
        </is>
      </c>
      <c r="E888" s="119" t="inlineStr">
        <is>
          <t>Giường Nội khoa loại 2 - Khoa Chấn thương chỉnh hình</t>
        </is>
      </c>
      <c r="F888" s="249" t="n">
        <v>1</v>
      </c>
      <c r="G888" s="249" t="n">
        <v>222300</v>
      </c>
    </row>
    <row r="889" ht="17.25" customHeight="1">
      <c r="A889" s="119" t="n">
        <v>881</v>
      </c>
      <c r="B889" s="119" t="inlineStr">
        <is>
          <t>2026/08/21 15:53</t>
        </is>
      </c>
      <c r="C889" s="119" t="inlineStr">
        <is>
          <t>NGUYỄN VĂN ĐOÀN</t>
        </is>
      </c>
      <c r="D889" s="119" t="inlineStr">
        <is>
          <t>01/01/1969</t>
        </is>
      </c>
      <c r="E889" s="119" t="inlineStr">
        <is>
          <t>Giường Nội khoa loại 2 - Khoa Chấn thương chỉnh hình</t>
        </is>
      </c>
      <c r="F889" s="249" t="n">
        <v>1</v>
      </c>
      <c r="G889" s="249" t="n">
        <v>222300</v>
      </c>
    </row>
    <row r="890" ht="17.25" customHeight="1">
      <c r="A890" s="119" t="n">
        <v>882</v>
      </c>
      <c r="B890" s="119" t="inlineStr">
        <is>
          <t>2026/08/21 17:55</t>
        </is>
      </c>
      <c r="C890" s="119" t="inlineStr">
        <is>
          <t>HỒ VĂN TÀI</t>
        </is>
      </c>
      <c r="D890" s="119" t="inlineStr">
        <is>
          <t>01/01/1984</t>
        </is>
      </c>
      <c r="E890" s="119" t="inlineStr">
        <is>
          <t>Giường Ngoại khoa loại 1 - Khoa Chấn thương chỉnh hình</t>
        </is>
      </c>
      <c r="F890" s="249" t="n">
        <v>1</v>
      </c>
      <c r="G890" s="249" t="n">
        <v>341800</v>
      </c>
    </row>
    <row r="891" ht="17.25" customHeight="1">
      <c r="A891" s="119" t="n">
        <v>883</v>
      </c>
      <c r="B891" s="119" t="inlineStr">
        <is>
          <t>2026/08/21 19:00</t>
        </is>
      </c>
      <c r="C891" s="119" t="inlineStr">
        <is>
          <t>HỒ THỊ THANH HÀ</t>
        </is>
      </c>
      <c r="D891" s="119" t="inlineStr">
        <is>
          <t>18/11/1967</t>
        </is>
      </c>
      <c r="E891" s="119" t="inlineStr">
        <is>
          <t>Giường Nội khoa loại 2 - Khoa Chấn thương chỉnh hình</t>
        </is>
      </c>
      <c r="F891" s="249" t="n">
        <v>1</v>
      </c>
      <c r="G891" s="249" t="n">
        <v>222300</v>
      </c>
    </row>
    <row r="892" ht="17.25" customHeight="1">
      <c r="A892" s="119" t="n">
        <v>884</v>
      </c>
      <c r="B892" s="119" t="inlineStr">
        <is>
          <t>2026/08/22 00:00</t>
        </is>
      </c>
      <c r="C892" s="119" t="inlineStr">
        <is>
          <t>BÙI HỮU THỌ</t>
        </is>
      </c>
      <c r="D892" s="119" t="inlineStr">
        <is>
          <t>01/02/1981</t>
        </is>
      </c>
      <c r="E892" s="119" t="inlineStr">
        <is>
          <t>Giường Ngoại khoa loại 3 - Khoa Chấn thương chỉnh hình</t>
        </is>
      </c>
      <c r="F892" s="249" t="n">
        <v>1</v>
      </c>
      <c r="G892" s="249" t="n">
        <v>269200</v>
      </c>
    </row>
    <row r="893" ht="17.25" customHeight="1">
      <c r="A893" s="119" t="n">
        <v>885</v>
      </c>
      <c r="B893" s="119" t="inlineStr">
        <is>
          <t>2026/08/22 00:00</t>
        </is>
      </c>
      <c r="C893" s="119" t="inlineStr">
        <is>
          <t>HỒ BÉ TƯ</t>
        </is>
      </c>
      <c r="D893" s="119" t="inlineStr">
        <is>
          <t>01/01/1957</t>
        </is>
      </c>
      <c r="E893" s="119" t="inlineStr">
        <is>
          <t>Giường Nội khoa loại 2 - Khoa Chấn thương chỉnh hình</t>
        </is>
      </c>
      <c r="F893" s="249" t="n">
        <v>1</v>
      </c>
      <c r="G893" s="249" t="n">
        <v>222300</v>
      </c>
    </row>
    <row r="894" ht="17.25" customHeight="1">
      <c r="A894" s="119" t="n">
        <v>886</v>
      </c>
      <c r="B894" s="119" t="inlineStr">
        <is>
          <t>2026/08/22 00:00</t>
        </is>
      </c>
      <c r="C894" s="119" t="inlineStr">
        <is>
          <t>HỒ THỊ THANH HÀ</t>
        </is>
      </c>
      <c r="D894" s="119" t="inlineStr">
        <is>
          <t>18/11/1967</t>
        </is>
      </c>
      <c r="E894" s="119" t="inlineStr">
        <is>
          <t>Giường Nội khoa loại 2 - Khoa Chấn thương chỉnh hình</t>
        </is>
      </c>
      <c r="F894" s="249" t="n">
        <v>1</v>
      </c>
      <c r="G894" s="249" t="n">
        <v>222300</v>
      </c>
    </row>
    <row r="895" ht="17.25" customHeight="1">
      <c r="A895" s="119" t="n">
        <v>887</v>
      </c>
      <c r="B895" s="119" t="inlineStr">
        <is>
          <t>2026/08/22 00:00</t>
        </is>
      </c>
      <c r="C895" s="119" t="inlineStr">
        <is>
          <t>HỒ VĂN TÀI</t>
        </is>
      </c>
      <c r="D895" s="119" t="inlineStr">
        <is>
          <t>01/01/1984</t>
        </is>
      </c>
      <c r="E895" s="119" t="inlineStr">
        <is>
          <t>Giường Ngoại khoa loại 1 - Khoa Chấn thương chỉnh hình</t>
        </is>
      </c>
      <c r="F895" s="249" t="n">
        <v>1</v>
      </c>
      <c r="G895" s="249" t="n">
        <v>341800</v>
      </c>
    </row>
    <row r="896" ht="17.25" customHeight="1">
      <c r="A896" s="119" t="n">
        <v>888</v>
      </c>
      <c r="B896" s="119" t="inlineStr">
        <is>
          <t>2026/08/22 00:00</t>
        </is>
      </c>
      <c r="C896" s="119" t="inlineStr">
        <is>
          <t>LÂM ĐẠI NHƠN</t>
        </is>
      </c>
      <c r="D896" s="119" t="inlineStr">
        <is>
          <t>02/03/1938</t>
        </is>
      </c>
      <c r="E896" s="119" t="inlineStr">
        <is>
          <t>Giường Nội khoa loại 2 - Khoa Chấn thương chỉnh hình</t>
        </is>
      </c>
      <c r="F896" s="249" t="n">
        <v>1</v>
      </c>
      <c r="G896" s="249" t="n">
        <v>222300</v>
      </c>
    </row>
    <row r="897" ht="17.25" customHeight="1">
      <c r="A897" s="119" t="n">
        <v>889</v>
      </c>
      <c r="B897" s="119" t="inlineStr">
        <is>
          <t>2026/08/22 00:00</t>
        </is>
      </c>
      <c r="C897" s="119" t="inlineStr">
        <is>
          <t>LÊ THỊ KIM ĐIỂU</t>
        </is>
      </c>
      <c r="D897" s="119" t="inlineStr">
        <is>
          <t>12/12/1958</t>
        </is>
      </c>
      <c r="E897" s="119" t="inlineStr">
        <is>
          <t>Giường Ngoại khoa loại 1 - Khoa Chấn thương chỉnh hình</t>
        </is>
      </c>
      <c r="F897" s="249" t="n">
        <v>1</v>
      </c>
      <c r="G897" s="249" t="n">
        <v>341800</v>
      </c>
    </row>
    <row r="898" ht="17.25" customHeight="1">
      <c r="A898" s="119" t="n">
        <v>890</v>
      </c>
      <c r="B898" s="119" t="inlineStr">
        <is>
          <t>2026/08/22 00:00</t>
        </is>
      </c>
      <c r="C898" s="119" t="inlineStr">
        <is>
          <t>LÊ THỊ TUYẾT</t>
        </is>
      </c>
      <c r="D898" s="119" t="inlineStr">
        <is>
          <t>01/01/1959</t>
        </is>
      </c>
      <c r="E898" s="119" t="inlineStr">
        <is>
          <t>Giường Nội khoa loại 2 - Khoa Chấn thương chỉnh hình</t>
        </is>
      </c>
      <c r="F898" s="249" t="n">
        <v>1</v>
      </c>
      <c r="G898" s="249" t="n">
        <v>222300</v>
      </c>
    </row>
    <row r="899" ht="17.25" customHeight="1">
      <c r="A899" s="119" t="n">
        <v>891</v>
      </c>
      <c r="B899" s="119" t="inlineStr">
        <is>
          <t>2026/08/22 00:00</t>
        </is>
      </c>
      <c r="C899" s="119" t="inlineStr">
        <is>
          <t>LƯU THANH THẢO</t>
        </is>
      </c>
      <c r="D899" s="119" t="inlineStr">
        <is>
          <t>19/10/1992</t>
        </is>
      </c>
      <c r="E899" s="119" t="inlineStr">
        <is>
          <t>Giường Nội khoa loại 2 - Khoa Chấn thương chỉnh hình</t>
        </is>
      </c>
      <c r="F899" s="249" t="n">
        <v>1</v>
      </c>
      <c r="G899" s="249" t="n">
        <v>222300</v>
      </c>
    </row>
    <row r="900" ht="17.25" customHeight="1">
      <c r="A900" s="119" t="n">
        <v>892</v>
      </c>
      <c r="B900" s="119" t="inlineStr">
        <is>
          <t>2026/08/22 00:00</t>
        </is>
      </c>
      <c r="C900" s="119" t="inlineStr">
        <is>
          <t>NGUYỄN TRỌNG NAM</t>
        </is>
      </c>
      <c r="D900" s="119" t="inlineStr">
        <is>
          <t>16/02/1992</t>
        </is>
      </c>
      <c r="E900" s="119" t="inlineStr">
        <is>
          <t>Giường Ngoại khoa loại 1 - Khoa Chấn thương chỉnh hình</t>
        </is>
      </c>
      <c r="F900" s="249" t="n">
        <v>1</v>
      </c>
      <c r="G900" s="249" t="n">
        <v>341800</v>
      </c>
    </row>
    <row r="901" ht="17.25" customHeight="1">
      <c r="A901" s="119" t="n">
        <v>893</v>
      </c>
      <c r="B901" s="119" t="inlineStr">
        <is>
          <t>2026/08/22 00:00</t>
        </is>
      </c>
      <c r="C901" s="119" t="inlineStr">
        <is>
          <t>NGUYỄN VĂN Y</t>
        </is>
      </c>
      <c r="D901" s="119" t="inlineStr">
        <is>
          <t>10/07/1993</t>
        </is>
      </c>
      <c r="E901" s="119" t="inlineStr">
        <is>
          <t>Giường Ngoại khoa loại 1 - Khoa Chấn thương chỉnh hình</t>
        </is>
      </c>
      <c r="F901" s="249" t="n">
        <v>1</v>
      </c>
      <c r="G901" s="249" t="n">
        <v>341800</v>
      </c>
    </row>
    <row r="902" ht="17.25" customHeight="1">
      <c r="A902" s="119" t="n">
        <v>894</v>
      </c>
      <c r="B902" s="119" t="inlineStr">
        <is>
          <t>2026/08/22 00:00</t>
        </is>
      </c>
      <c r="C902" s="119" t="inlineStr">
        <is>
          <t>NGUYỄN VĂN ĐOÀN</t>
        </is>
      </c>
      <c r="D902" s="119" t="inlineStr">
        <is>
          <t>01/01/1969</t>
        </is>
      </c>
      <c r="E902" s="119" t="inlineStr">
        <is>
          <t>Giường Nội khoa loại 2 - Khoa Chấn thương chỉnh hình</t>
        </is>
      </c>
      <c r="F902" s="249" t="n">
        <v>1</v>
      </c>
      <c r="G902" s="249" t="n">
        <v>222300</v>
      </c>
    </row>
    <row r="903" ht="17.25" customHeight="1">
      <c r="A903" s="119" t="n">
        <v>895</v>
      </c>
      <c r="B903" s="119" t="inlineStr">
        <is>
          <t>2026/08/22 00:00</t>
        </is>
      </c>
      <c r="C903" s="119" t="inlineStr">
        <is>
          <t>NGÔ TUẤN AN</t>
        </is>
      </c>
      <c r="D903" s="119" t="inlineStr">
        <is>
          <t>01/01/1988</t>
        </is>
      </c>
      <c r="E903" s="119" t="inlineStr">
        <is>
          <t>Giường Ngoại khoa loại 1 - Khoa Chấn thương chỉnh hình</t>
        </is>
      </c>
      <c r="F903" s="249" t="n">
        <v>1</v>
      </c>
      <c r="G903" s="249" t="n">
        <v>341800</v>
      </c>
    </row>
    <row r="904" ht="17.25" customHeight="1">
      <c r="A904" s="119" t="n">
        <v>896</v>
      </c>
      <c r="B904" s="119" t="inlineStr">
        <is>
          <t>2026/08/22 00:00</t>
        </is>
      </c>
      <c r="C904" s="119" t="inlineStr">
        <is>
          <t>PHẠM NGỌC SƠN</t>
        </is>
      </c>
      <c r="D904" s="119" t="inlineStr">
        <is>
          <t>06/07/1989</t>
        </is>
      </c>
      <c r="E904" s="119" t="inlineStr">
        <is>
          <t>Giường Ngoại khoa loại 1 - Khoa Chấn thương chỉnh hình</t>
        </is>
      </c>
      <c r="F904" s="249" t="n">
        <v>1</v>
      </c>
      <c r="G904" s="249" t="n">
        <v>341800</v>
      </c>
    </row>
    <row r="905" ht="17.25" customHeight="1">
      <c r="A905" s="119" t="n">
        <v>897</v>
      </c>
      <c r="B905" s="119" t="inlineStr">
        <is>
          <t>2026/08/22 00:00</t>
        </is>
      </c>
      <c r="C905" s="119" t="inlineStr">
        <is>
          <t>TRẦN NGỌC ÁNH</t>
        </is>
      </c>
      <c r="D905" s="119" t="inlineStr">
        <is>
          <t>07/01/1974</t>
        </is>
      </c>
      <c r="E905" s="119" t="inlineStr">
        <is>
          <t>Giường Ngoại khoa loại 1 - Khoa Chấn thương chỉnh hình</t>
        </is>
      </c>
      <c r="F905" s="249" t="n">
        <v>1</v>
      </c>
      <c r="G905" s="249" t="n">
        <v>341800</v>
      </c>
    </row>
    <row r="906" ht="17.25" customHeight="1">
      <c r="A906" s="119" t="n">
        <v>898</v>
      </c>
      <c r="B906" s="119" t="inlineStr">
        <is>
          <t>2026/08/22 00:00</t>
        </is>
      </c>
      <c r="C906" s="119" t="inlineStr">
        <is>
          <t>TRẦN THỊ NGỌC DIỄM</t>
        </is>
      </c>
      <c r="D906" s="119" t="inlineStr">
        <is>
          <t>22/03/1996</t>
        </is>
      </c>
      <c r="E906" s="119" t="inlineStr">
        <is>
          <t>Giường Ngoại khoa loại 3 - Khoa Chấn thương chỉnh hình</t>
        </is>
      </c>
      <c r="F906" s="249" t="n">
        <v>1</v>
      </c>
      <c r="G906" s="249" t="n">
        <v>269200</v>
      </c>
    </row>
    <row r="907" ht="17.25" customHeight="1">
      <c r="A907" s="119" t="n">
        <v>899</v>
      </c>
      <c r="B907" s="119" t="inlineStr">
        <is>
          <t>2026/08/22 00:00</t>
        </is>
      </c>
      <c r="C907" s="119" t="inlineStr">
        <is>
          <t>TĂNG THỊ MIỀN</t>
        </is>
      </c>
      <c r="D907" s="119" t="inlineStr">
        <is>
          <t>01/01/1951</t>
        </is>
      </c>
      <c r="E907" s="119" t="inlineStr">
        <is>
          <t>Giường Nội khoa loại 2 - Khoa Chấn thương chỉnh hình</t>
        </is>
      </c>
      <c r="F907" s="249" t="n">
        <v>1</v>
      </c>
      <c r="G907" s="249" t="n">
        <v>222300</v>
      </c>
    </row>
    <row r="908" ht="17.25" customHeight="1">
      <c r="A908" s="119" t="n">
        <v>900</v>
      </c>
      <c r="B908" s="119" t="inlineStr">
        <is>
          <t>2026/08/22 00:00</t>
        </is>
      </c>
      <c r="C908" s="119" t="inlineStr">
        <is>
          <t>BÙI THỊ NGỜI</t>
        </is>
      </c>
      <c r="D908" s="119" t="inlineStr">
        <is>
          <t>01/01/1952</t>
        </is>
      </c>
      <c r="E908" s="119" t="inlineStr">
        <is>
          <t>Giường Ngoại khoa loại 2 - Khoa Chấn thương chỉnh hình</t>
        </is>
      </c>
      <c r="F908" s="249" t="n">
        <v>1</v>
      </c>
      <c r="G908" s="249" t="n">
        <v>301600</v>
      </c>
    </row>
    <row r="909" ht="17.25" customHeight="1">
      <c r="A909" s="119" t="n">
        <v>901</v>
      </c>
      <c r="B909" s="119" t="inlineStr">
        <is>
          <t>2026/08/22 00:00</t>
        </is>
      </c>
      <c r="C909" s="119" t="inlineStr">
        <is>
          <t>TRƯƠNG VĂN ÚT</t>
        </is>
      </c>
      <c r="D909" s="119" t="inlineStr">
        <is>
          <t>01/01/1948</t>
        </is>
      </c>
      <c r="E909" s="119" t="inlineStr">
        <is>
          <t>Giường Ngoại khoa loại 3 - Khoa Chấn thương chỉnh hình</t>
        </is>
      </c>
      <c r="F909" s="249" t="n">
        <v>1</v>
      </c>
      <c r="G909" s="249" t="n">
        <v>269200</v>
      </c>
    </row>
    <row r="910" ht="17.25" customHeight="1">
      <c r="A910" s="119" t="n">
        <v>902</v>
      </c>
      <c r="B910" s="119" t="inlineStr">
        <is>
          <t>2026/08/22 00:00</t>
        </is>
      </c>
      <c r="C910" s="119" t="inlineStr">
        <is>
          <t>TRẦN VĂN LẸ</t>
        </is>
      </c>
      <c r="D910" s="119" t="inlineStr">
        <is>
          <t>01/01/1975</t>
        </is>
      </c>
      <c r="E910" s="119" t="inlineStr">
        <is>
          <t>Giường Ngoại khoa loại 1 - Khoa Chấn thương chỉnh hình</t>
        </is>
      </c>
      <c r="F910" s="249" t="n">
        <v>1</v>
      </c>
      <c r="G910" s="249" t="n">
        <v>341800</v>
      </c>
    </row>
    <row r="911" ht="17.25" customHeight="1">
      <c r="A911" s="119" t="n">
        <v>903</v>
      </c>
      <c r="B911" s="119" t="inlineStr">
        <is>
          <t>2026/08/22 05:00</t>
        </is>
      </c>
      <c r="C911" s="119" t="inlineStr">
        <is>
          <t>NGUYỄN THỊ THẮM</t>
        </is>
      </c>
      <c r="D911" s="119" t="inlineStr">
        <is>
          <t>01/01/1962</t>
        </is>
      </c>
      <c r="E911" s="119" t="inlineStr">
        <is>
          <t>Giường Ngoại khoa loại 1 - Khoa Chấn thương chỉnh hình</t>
        </is>
      </c>
      <c r="F911" s="249" t="n">
        <v>1</v>
      </c>
      <c r="G911" s="249" t="n">
        <v>341800</v>
      </c>
    </row>
    <row r="912" ht="17.25" customHeight="1">
      <c r="A912" s="119" t="n">
        <v>904</v>
      </c>
      <c r="B912" s="119" t="inlineStr">
        <is>
          <t>2026/08/22 09:00</t>
        </is>
      </c>
      <c r="C912" s="119" t="inlineStr">
        <is>
          <t>LÊ VĂN NÔ</t>
        </is>
      </c>
      <c r="D912" s="119" t="inlineStr">
        <is>
          <t>01/01/1954</t>
        </is>
      </c>
      <c r="E912" s="119" t="inlineStr">
        <is>
          <t>Giường Nội khoa loại 2 - Khoa Chấn thương chỉnh hình</t>
        </is>
      </c>
      <c r="F912" s="249" t="n">
        <v>1</v>
      </c>
      <c r="G912" s="249" t="n">
        <v>222300</v>
      </c>
    </row>
    <row r="913" ht="17.25" customHeight="1">
      <c r="A913" s="119" t="n">
        <v>905</v>
      </c>
      <c r="B913" s="119" t="inlineStr">
        <is>
          <t>2026/08/22 13:34</t>
        </is>
      </c>
      <c r="C913" s="119" t="inlineStr">
        <is>
          <t>CHIÊM HUỲNH ANH THƯ</t>
        </is>
      </c>
      <c r="D913" s="119" t="inlineStr">
        <is>
          <t>01/04/2000</t>
        </is>
      </c>
      <c r="E913" s="119" t="inlineStr">
        <is>
          <t>Giường Ngoại khoa loại 3 - Khoa Chấn thương chỉnh hình</t>
        </is>
      </c>
      <c r="F913" s="249" t="n">
        <v>1</v>
      </c>
      <c r="G913" s="249" t="n">
        <v>269200</v>
      </c>
    </row>
    <row r="914" ht="17.25" customHeight="1">
      <c r="A914" s="119" t="n">
        <v>906</v>
      </c>
      <c r="B914" s="119" t="inlineStr">
        <is>
          <t>2026/08/22 18:27</t>
        </is>
      </c>
      <c r="C914" s="119" t="inlineStr">
        <is>
          <t>KIỀU THỊ LỘC</t>
        </is>
      </c>
      <c r="D914" s="119" t="inlineStr">
        <is>
          <t>25/03/1954</t>
        </is>
      </c>
      <c r="E914" s="119" t="inlineStr">
        <is>
          <t>Giường Nội khoa loại 2 - Khoa Chấn thương chỉnh hình</t>
        </is>
      </c>
      <c r="F914" s="249" t="n">
        <v>1</v>
      </c>
      <c r="G914" s="249" t="n">
        <v>222300</v>
      </c>
    </row>
    <row r="915" ht="17.25" customHeight="1">
      <c r="A915" s="119" t="n">
        <v>907</v>
      </c>
      <c r="B915" s="119" t="inlineStr">
        <is>
          <t>2026/08/22 21:00</t>
        </is>
      </c>
      <c r="C915" s="119" t="inlineStr">
        <is>
          <t>VÕ TẤN ĐỨC</t>
        </is>
      </c>
      <c r="D915" s="119" t="inlineStr">
        <is>
          <t>01/01/1963</t>
        </is>
      </c>
      <c r="E915" s="119" t="inlineStr">
        <is>
          <t>Giường Nội khoa loại 2 - Khoa Chấn thương chỉnh hình</t>
        </is>
      </c>
      <c r="F915" s="249" t="n">
        <v>1</v>
      </c>
      <c r="G915" s="249" t="n">
        <v>222300</v>
      </c>
    </row>
    <row r="916" ht="17.25" customHeight="1">
      <c r="A916" s="119" t="n">
        <v>908</v>
      </c>
      <c r="B916" s="119" t="inlineStr">
        <is>
          <t>2026/08/23 00:00</t>
        </is>
      </c>
      <c r="C916" s="119" t="inlineStr">
        <is>
          <t>BÙI HỮU THỌ</t>
        </is>
      </c>
      <c r="D916" s="119" t="inlineStr">
        <is>
          <t>01/02/1981</t>
        </is>
      </c>
      <c r="E916" s="119" t="inlineStr">
        <is>
          <t>Giường Ngoại khoa loại 3 - Khoa Chấn thương chỉnh hình</t>
        </is>
      </c>
      <c r="F916" s="249" t="n">
        <v>1</v>
      </c>
      <c r="G916" s="249" t="n">
        <v>269200</v>
      </c>
    </row>
    <row r="917" ht="17.25" customHeight="1">
      <c r="A917" s="119" t="n">
        <v>909</v>
      </c>
      <c r="B917" s="119" t="inlineStr">
        <is>
          <t>2026/08/23 00:00</t>
        </is>
      </c>
      <c r="C917" s="119" t="inlineStr">
        <is>
          <t>CHIÊM HUỲNH ANH THƯ</t>
        </is>
      </c>
      <c r="D917" s="119" t="inlineStr">
        <is>
          <t>01/04/2000</t>
        </is>
      </c>
      <c r="E917" s="119" t="inlineStr">
        <is>
          <t>Giường Ngoại khoa loại 3 - Khoa Chấn thương chỉnh hình</t>
        </is>
      </c>
      <c r="F917" s="249" t="n">
        <v>1</v>
      </c>
      <c r="G917" s="249" t="n">
        <v>269200</v>
      </c>
    </row>
    <row r="918" ht="17.25" customHeight="1">
      <c r="A918" s="119" t="n">
        <v>910</v>
      </c>
      <c r="B918" s="119" t="inlineStr">
        <is>
          <t>2026/08/23 00:00</t>
        </is>
      </c>
      <c r="C918" s="119" t="inlineStr">
        <is>
          <t>HỒ BÉ TƯ</t>
        </is>
      </c>
      <c r="D918" s="119" t="inlineStr">
        <is>
          <t>01/01/1957</t>
        </is>
      </c>
      <c r="E918" s="119" t="inlineStr">
        <is>
          <t>Giường Nội khoa loại 2 - Khoa Chấn thương chỉnh hình</t>
        </is>
      </c>
      <c r="F918" s="249" t="n">
        <v>1</v>
      </c>
      <c r="G918" s="249" t="n">
        <v>222300</v>
      </c>
    </row>
    <row r="919" ht="17.25" customHeight="1">
      <c r="A919" s="119" t="n">
        <v>911</v>
      </c>
      <c r="B919" s="119" t="inlineStr">
        <is>
          <t>2026/08/23 00:00</t>
        </is>
      </c>
      <c r="C919" s="119" t="inlineStr">
        <is>
          <t>HỒ VĂN TÀI</t>
        </is>
      </c>
      <c r="D919" s="119" t="inlineStr">
        <is>
          <t>01/01/1984</t>
        </is>
      </c>
      <c r="E919" s="119" t="inlineStr">
        <is>
          <t>Giường Ngoại khoa loại 1 - Khoa Chấn thương chỉnh hình</t>
        </is>
      </c>
      <c r="F919" s="249" t="n">
        <v>1</v>
      </c>
      <c r="G919" s="249" t="n">
        <v>341800</v>
      </c>
    </row>
    <row r="920" ht="17.25" customHeight="1">
      <c r="A920" s="119" t="n">
        <v>912</v>
      </c>
      <c r="B920" s="119" t="inlineStr">
        <is>
          <t>2026/08/23 00:00</t>
        </is>
      </c>
      <c r="C920" s="119" t="inlineStr">
        <is>
          <t>KIỀU THỊ LỘC</t>
        </is>
      </c>
      <c r="D920" s="119" t="inlineStr">
        <is>
          <t>25/03/1954</t>
        </is>
      </c>
      <c r="E920" s="119" t="inlineStr">
        <is>
          <t>Giường Nội khoa loại 2 - Khoa Chấn thương chỉnh hình</t>
        </is>
      </c>
      <c r="F920" s="249" t="n">
        <v>1</v>
      </c>
      <c r="G920" s="249" t="n">
        <v>222300</v>
      </c>
    </row>
    <row r="921" ht="17.25" customHeight="1">
      <c r="A921" s="119" t="n">
        <v>913</v>
      </c>
      <c r="B921" s="119" t="inlineStr">
        <is>
          <t>2026/08/23 00:00</t>
        </is>
      </c>
      <c r="C921" s="119" t="inlineStr">
        <is>
          <t>LÂM ĐẠI NHƠN</t>
        </is>
      </c>
      <c r="D921" s="119" t="inlineStr">
        <is>
          <t>02/03/1938</t>
        </is>
      </c>
      <c r="E921" s="119" t="inlineStr">
        <is>
          <t>Giường Ngoại khoa loại 2 - Khoa Chấn thương chỉnh hình</t>
        </is>
      </c>
      <c r="F921" s="249" t="n">
        <v>1</v>
      </c>
      <c r="G921" s="249" t="n">
        <v>301600</v>
      </c>
    </row>
    <row r="922" ht="17.25" customHeight="1">
      <c r="A922" s="119" t="n">
        <v>914</v>
      </c>
      <c r="B922" s="119" t="inlineStr">
        <is>
          <t>2026/08/23 00:00</t>
        </is>
      </c>
      <c r="C922" s="119" t="inlineStr">
        <is>
          <t>LÊ THỊ KIM ĐIỂU</t>
        </is>
      </c>
      <c r="D922" s="119" t="inlineStr">
        <is>
          <t>12/12/1958</t>
        </is>
      </c>
      <c r="E922" s="119" t="inlineStr">
        <is>
          <t>Giường Ngoại khoa loại 1 - Khoa Chấn thương chỉnh hình</t>
        </is>
      </c>
      <c r="F922" s="249" t="n">
        <v>1</v>
      </c>
      <c r="G922" s="249" t="n">
        <v>341800</v>
      </c>
    </row>
    <row r="923" ht="17.25" customHeight="1">
      <c r="A923" s="119" t="n">
        <v>915</v>
      </c>
      <c r="B923" s="119" t="inlineStr">
        <is>
          <t>2026/08/23 00:00</t>
        </is>
      </c>
      <c r="C923" s="119" t="inlineStr">
        <is>
          <t>LÊ THỊ TUYẾT</t>
        </is>
      </c>
      <c r="D923" s="119" t="inlineStr">
        <is>
          <t>01/01/1959</t>
        </is>
      </c>
      <c r="E923" s="119" t="inlineStr">
        <is>
          <t>Giường Ngoại khoa loại 4 - Khoa Chấn thương chỉnh hình</t>
        </is>
      </c>
      <c r="F923" s="249" t="n">
        <v>1</v>
      </c>
      <c r="G923" s="249" t="n">
        <v>229200</v>
      </c>
    </row>
    <row r="924" ht="17.25" customHeight="1">
      <c r="A924" s="119" t="n">
        <v>916</v>
      </c>
      <c r="B924" s="119" t="inlineStr">
        <is>
          <t>2026/08/23 00:00</t>
        </is>
      </c>
      <c r="C924" s="119" t="inlineStr">
        <is>
          <t>LÊ VĂN NÔ</t>
        </is>
      </c>
      <c r="D924" s="119" t="inlineStr">
        <is>
          <t>01/01/1954</t>
        </is>
      </c>
      <c r="E924" s="119" t="inlineStr">
        <is>
          <t>Giường Nội khoa loại 2 - Khoa Chấn thương chỉnh hình</t>
        </is>
      </c>
      <c r="F924" s="249" t="n">
        <v>1</v>
      </c>
      <c r="G924" s="249" t="n">
        <v>222300</v>
      </c>
    </row>
    <row r="925" ht="17.25" customHeight="1">
      <c r="A925" s="119" t="n">
        <v>917</v>
      </c>
      <c r="B925" s="119" t="inlineStr">
        <is>
          <t>2026/08/23 00:00</t>
        </is>
      </c>
      <c r="C925" s="119" t="inlineStr">
        <is>
          <t>LƯU THANH THẢO</t>
        </is>
      </c>
      <c r="D925" s="119" t="inlineStr">
        <is>
          <t>19/10/1992</t>
        </is>
      </c>
      <c r="E925" s="119" t="inlineStr">
        <is>
          <t>Giường Nội khoa loại 2 - Khoa Chấn thương chỉnh hình</t>
        </is>
      </c>
      <c r="F925" s="249" t="n">
        <v>1</v>
      </c>
      <c r="G925" s="249" t="n">
        <v>222300</v>
      </c>
    </row>
    <row r="926" ht="17.25" customHeight="1">
      <c r="A926" s="119" t="n">
        <v>918</v>
      </c>
      <c r="B926" s="119" t="inlineStr">
        <is>
          <t>2026/08/23 00:00</t>
        </is>
      </c>
      <c r="C926" s="119" t="inlineStr">
        <is>
          <t>NGUYỄN TRỌNG NAM</t>
        </is>
      </c>
      <c r="D926" s="119" t="inlineStr">
        <is>
          <t>16/02/1992</t>
        </is>
      </c>
      <c r="E926" s="119" t="inlineStr">
        <is>
          <t>Giường Ngoại khoa loại 1 - Khoa Chấn thương chỉnh hình</t>
        </is>
      </c>
      <c r="F926" s="249" t="n">
        <v>1</v>
      </c>
      <c r="G926" s="249" t="n">
        <v>341800</v>
      </c>
    </row>
    <row r="927" ht="17.25" customHeight="1">
      <c r="A927" s="119" t="n">
        <v>919</v>
      </c>
      <c r="B927" s="119" t="inlineStr">
        <is>
          <t>2026/08/23 00:00</t>
        </is>
      </c>
      <c r="C927" s="119" t="inlineStr">
        <is>
          <t>NGUYỄN VĂN Y</t>
        </is>
      </c>
      <c r="D927" s="119" t="inlineStr">
        <is>
          <t>10/07/1993</t>
        </is>
      </c>
      <c r="E927" s="119" t="inlineStr">
        <is>
          <t>Giường Ngoại khoa loại 1 - Khoa Chấn thương chỉnh hình</t>
        </is>
      </c>
      <c r="F927" s="249" t="n">
        <v>1</v>
      </c>
      <c r="G927" s="249" t="n">
        <v>341800</v>
      </c>
    </row>
    <row r="928" ht="17.25" customHeight="1">
      <c r="A928" s="119" t="n">
        <v>920</v>
      </c>
      <c r="B928" s="119" t="inlineStr">
        <is>
          <t>2026/08/23 00:00</t>
        </is>
      </c>
      <c r="C928" s="119" t="inlineStr">
        <is>
          <t>NGUYỄN VĂN ĐOÀN</t>
        </is>
      </c>
      <c r="D928" s="119" t="inlineStr">
        <is>
          <t>01/01/1969</t>
        </is>
      </c>
      <c r="E928" s="119" t="inlineStr">
        <is>
          <t>Giường Nội khoa loại 2 - Khoa Chấn thương chỉnh hình</t>
        </is>
      </c>
      <c r="F928" s="249" t="n">
        <v>1</v>
      </c>
      <c r="G928" s="249" t="n">
        <v>222300</v>
      </c>
    </row>
    <row r="929" ht="17.25" customHeight="1">
      <c r="A929" s="119" t="n">
        <v>921</v>
      </c>
      <c r="B929" s="119" t="inlineStr">
        <is>
          <t>2026/08/23 00:00</t>
        </is>
      </c>
      <c r="C929" s="119" t="inlineStr">
        <is>
          <t>NGÔ TUẤN AN</t>
        </is>
      </c>
      <c r="D929" s="119" t="inlineStr">
        <is>
          <t>01/01/1988</t>
        </is>
      </c>
      <c r="E929" s="119" t="inlineStr">
        <is>
          <t>Giường Ngoại khoa loại 1 - Khoa Chấn thương chỉnh hình</t>
        </is>
      </c>
      <c r="F929" s="249" t="n">
        <v>1</v>
      </c>
      <c r="G929" s="249" t="n">
        <v>341800</v>
      </c>
    </row>
    <row r="930" ht="17.25" customHeight="1">
      <c r="A930" s="119" t="n">
        <v>922</v>
      </c>
      <c r="B930" s="119" t="inlineStr">
        <is>
          <t>2026/08/23 00:00</t>
        </is>
      </c>
      <c r="C930" s="119" t="inlineStr">
        <is>
          <t>PHẠM NGỌC SƠN</t>
        </is>
      </c>
      <c r="D930" s="119" t="inlineStr">
        <is>
          <t>06/07/1989</t>
        </is>
      </c>
      <c r="E930" s="119" t="inlineStr">
        <is>
          <t>Giường Ngoại khoa loại 1 - Khoa Chấn thương chỉnh hình</t>
        </is>
      </c>
      <c r="F930" s="249" t="n">
        <v>1</v>
      </c>
      <c r="G930" s="249" t="n">
        <v>341800</v>
      </c>
    </row>
    <row r="931" ht="17.25" customHeight="1">
      <c r="A931" s="119" t="n">
        <v>923</v>
      </c>
      <c r="B931" s="119" t="inlineStr">
        <is>
          <t>2026/08/23 00:00</t>
        </is>
      </c>
      <c r="C931" s="119" t="inlineStr">
        <is>
          <t>TRẦN NGỌC ÁNH</t>
        </is>
      </c>
      <c r="D931" s="119" t="inlineStr">
        <is>
          <t>07/01/1974</t>
        </is>
      </c>
      <c r="E931" s="119" t="inlineStr">
        <is>
          <t>Giường Ngoại khoa loại 1 - Khoa Chấn thương chỉnh hình</t>
        </is>
      </c>
      <c r="F931" s="249" t="n">
        <v>1</v>
      </c>
      <c r="G931" s="249" t="n">
        <v>341800</v>
      </c>
    </row>
    <row r="932" ht="17.25" customHeight="1">
      <c r="A932" s="119" t="n">
        <v>924</v>
      </c>
      <c r="B932" s="119" t="inlineStr">
        <is>
          <t>2026/08/23 00:00</t>
        </is>
      </c>
      <c r="C932" s="119" t="inlineStr">
        <is>
          <t>TRẦN THỊ NGỌC DIỄM</t>
        </is>
      </c>
      <c r="D932" s="119" t="inlineStr">
        <is>
          <t>22/03/1996</t>
        </is>
      </c>
      <c r="E932" s="119" t="inlineStr">
        <is>
          <t>Giường Ngoại khoa loại 3 - Khoa Chấn thương chỉnh hình</t>
        </is>
      </c>
      <c r="F932" s="249" t="n">
        <v>1</v>
      </c>
      <c r="G932" s="249" t="n">
        <v>269200</v>
      </c>
    </row>
    <row r="933" ht="17.25" customHeight="1">
      <c r="A933" s="119" t="n">
        <v>925</v>
      </c>
      <c r="B933" s="119" t="inlineStr">
        <is>
          <t>2026/08/23 00:00</t>
        </is>
      </c>
      <c r="C933" s="119" t="inlineStr">
        <is>
          <t>TĂNG THỊ MIỀN</t>
        </is>
      </c>
      <c r="D933" s="119" t="inlineStr">
        <is>
          <t>01/01/1951</t>
        </is>
      </c>
      <c r="E933" s="119" t="inlineStr">
        <is>
          <t>Giường Nội khoa loại 2 - Khoa Chấn thương chỉnh hình</t>
        </is>
      </c>
      <c r="F933" s="249" t="n">
        <v>1</v>
      </c>
      <c r="G933" s="249" t="n">
        <v>222300</v>
      </c>
    </row>
    <row r="934" ht="17.25" customHeight="1">
      <c r="A934" s="119" t="n">
        <v>926</v>
      </c>
      <c r="B934" s="119" t="inlineStr">
        <is>
          <t>2026/08/23 00:00</t>
        </is>
      </c>
      <c r="C934" s="119" t="inlineStr">
        <is>
          <t>BÙI THỊ NGỜI</t>
        </is>
      </c>
      <c r="D934" s="119" t="inlineStr">
        <is>
          <t>01/01/1952</t>
        </is>
      </c>
      <c r="E934" s="119" t="inlineStr">
        <is>
          <t>Giường Ngoại khoa loại 2 - Khoa Chấn thương chỉnh hình</t>
        </is>
      </c>
      <c r="F934" s="249" t="n">
        <v>1</v>
      </c>
      <c r="G934" s="249" t="n">
        <v>301600</v>
      </c>
    </row>
    <row r="935" ht="17.25" customHeight="1">
      <c r="A935" s="119" t="n">
        <v>927</v>
      </c>
      <c r="B935" s="119" t="inlineStr">
        <is>
          <t>2026/08/23 00:00</t>
        </is>
      </c>
      <c r="C935" s="119" t="inlineStr">
        <is>
          <t>TRƯƠNG VĂN ÚT</t>
        </is>
      </c>
      <c r="D935" s="119" t="inlineStr">
        <is>
          <t>01/01/1948</t>
        </is>
      </c>
      <c r="E935" s="119" t="inlineStr">
        <is>
          <t>Giường Ngoại khoa loại 3 - Khoa Chấn thương chỉnh hình</t>
        </is>
      </c>
      <c r="F935" s="249" t="n">
        <v>1</v>
      </c>
      <c r="G935" s="249" t="n">
        <v>269200</v>
      </c>
    </row>
    <row r="936" ht="17.25" customHeight="1">
      <c r="A936" s="119" t="n">
        <v>928</v>
      </c>
      <c r="B936" s="119" t="inlineStr">
        <is>
          <t>2026/08/23 00:00</t>
        </is>
      </c>
      <c r="C936" s="119" t="inlineStr">
        <is>
          <t>TRẦN VĂN LẸ</t>
        </is>
      </c>
      <c r="D936" s="119" t="inlineStr">
        <is>
          <t>01/01/1975</t>
        </is>
      </c>
      <c r="E936" s="119" t="inlineStr">
        <is>
          <t>Giường Ngoại khoa loại 1 - Khoa Chấn thương chỉnh hình</t>
        </is>
      </c>
      <c r="F936" s="249" t="n">
        <v>1</v>
      </c>
      <c r="G936" s="249" t="n">
        <v>341800</v>
      </c>
    </row>
    <row r="937" ht="17.25" customHeight="1">
      <c r="A937" s="119" t="n">
        <v>929</v>
      </c>
      <c r="B937" s="119" t="inlineStr">
        <is>
          <t>2026/08/23 05:00</t>
        </is>
      </c>
      <c r="C937" s="119" t="inlineStr">
        <is>
          <t>NGUYỄN THỊ THẮM</t>
        </is>
      </c>
      <c r="D937" s="119" t="inlineStr">
        <is>
          <t>01/01/1962</t>
        </is>
      </c>
      <c r="E937" s="119" t="inlineStr">
        <is>
          <t>Giường Ngoại khoa loại 1 - Khoa Chấn thương chỉnh hình</t>
        </is>
      </c>
      <c r="F937" s="249" t="n">
        <v>1</v>
      </c>
      <c r="G937" s="249" t="n">
        <v>341800</v>
      </c>
    </row>
    <row r="938" ht="17.25" customHeight="1">
      <c r="A938" s="119" t="n">
        <v>930</v>
      </c>
      <c r="B938" s="119" t="inlineStr">
        <is>
          <t>2026/08/23 16:30</t>
        </is>
      </c>
      <c r="C938" s="119" t="inlineStr">
        <is>
          <t>HỒ THỊ THANH HÀ</t>
        </is>
      </c>
      <c r="D938" s="119" t="inlineStr">
        <is>
          <t>18/11/1967</t>
        </is>
      </c>
      <c r="E938" s="119" t="inlineStr">
        <is>
          <t>Giường Nội khoa loại 2 - Khoa Chấn thương chỉnh hình</t>
        </is>
      </c>
      <c r="F938" s="249" t="n">
        <v>1</v>
      </c>
      <c r="G938" s="249" t="n">
        <v>222300</v>
      </c>
    </row>
    <row r="939" ht="17.25" customHeight="1">
      <c r="A939" s="119" t="n">
        <v>931</v>
      </c>
      <c r="B939" s="119" t="inlineStr">
        <is>
          <t>2026/08/23 18:00</t>
        </is>
      </c>
      <c r="C939" s="119" t="inlineStr">
        <is>
          <t>LÂM VĂN TẤN</t>
        </is>
      </c>
      <c r="D939" s="119" t="inlineStr">
        <is>
          <t>01/01/1969</t>
        </is>
      </c>
      <c r="E939" s="119" t="inlineStr">
        <is>
          <t>Giường Nội khoa loại 2 - Khoa Chấn thương chỉnh hình</t>
        </is>
      </c>
      <c r="F939" s="249" t="n">
        <v>1</v>
      </c>
      <c r="G939" s="249" t="n">
        <v>222300</v>
      </c>
    </row>
    <row r="940" ht="17.25" customHeight="1">
      <c r="A940" s="119" t="n">
        <v>932</v>
      </c>
      <c r="B940" s="119" t="inlineStr">
        <is>
          <t>2026/08/24 00:00</t>
        </is>
      </c>
      <c r="C940" s="119" t="inlineStr">
        <is>
          <t>BÙI HỮU THỌ</t>
        </is>
      </c>
      <c r="D940" s="119" t="inlineStr">
        <is>
          <t>01/02/1981</t>
        </is>
      </c>
      <c r="E940" s="119" t="inlineStr">
        <is>
          <t>Giường Ngoại khoa loại 3 - Khoa Chấn thương chỉnh hình</t>
        </is>
      </c>
      <c r="F940" s="249" t="n">
        <v>1</v>
      </c>
      <c r="G940" s="249" t="n">
        <v>269200</v>
      </c>
    </row>
    <row r="941" ht="17.25" customHeight="1">
      <c r="A941" s="119" t="n">
        <v>933</v>
      </c>
      <c r="B941" s="119" t="inlineStr">
        <is>
          <t>2026/08/24 00:00</t>
        </is>
      </c>
      <c r="C941" s="119" t="inlineStr">
        <is>
          <t>HỒ BÉ TƯ</t>
        </is>
      </c>
      <c r="D941" s="119" t="inlineStr">
        <is>
          <t>01/01/1957</t>
        </is>
      </c>
      <c r="E941" s="119" t="inlineStr">
        <is>
          <t>Giường Nội khoa loại 2 - Khoa Chấn thương chỉnh hình</t>
        </is>
      </c>
      <c r="F941" s="249" t="n">
        <v>1</v>
      </c>
      <c r="G941" s="249" t="n">
        <v>222300</v>
      </c>
    </row>
    <row r="942" ht="17.25" customHeight="1">
      <c r="A942" s="119" t="n">
        <v>934</v>
      </c>
      <c r="B942" s="119" t="inlineStr">
        <is>
          <t>2026/08/24 00:00</t>
        </is>
      </c>
      <c r="C942" s="119" t="inlineStr">
        <is>
          <t>HỒ THỊ THANH HÀ</t>
        </is>
      </c>
      <c r="D942" s="119" t="inlineStr">
        <is>
          <t>18/11/1967</t>
        </is>
      </c>
      <c r="E942" s="119" t="inlineStr">
        <is>
          <t>Giường Ngoại khoa loại 1 - Khoa Chấn thương chỉnh hình</t>
        </is>
      </c>
      <c r="F942" s="249" t="n">
        <v>1</v>
      </c>
      <c r="G942" s="249" t="n">
        <v>341800</v>
      </c>
    </row>
    <row r="943" ht="17.25" customHeight="1">
      <c r="A943" s="119" t="n">
        <v>935</v>
      </c>
      <c r="B943" s="119" t="inlineStr">
        <is>
          <t>2026/08/24 00:00</t>
        </is>
      </c>
      <c r="C943" s="119" t="inlineStr">
        <is>
          <t>HỒ VĂN TÀI</t>
        </is>
      </c>
      <c r="D943" s="119" t="inlineStr">
        <is>
          <t>01/01/1984</t>
        </is>
      </c>
      <c r="E943" s="119" t="inlineStr">
        <is>
          <t>Giường Ngoại khoa loại 1 - Khoa Chấn thương chỉnh hình</t>
        </is>
      </c>
      <c r="F943" s="249" t="n">
        <v>1</v>
      </c>
      <c r="G943" s="249" t="n">
        <v>341800</v>
      </c>
    </row>
    <row r="944" ht="17.25" customHeight="1">
      <c r="A944" s="119" t="n">
        <v>936</v>
      </c>
      <c r="B944" s="119" t="inlineStr">
        <is>
          <t>2026/08/24 00:00</t>
        </is>
      </c>
      <c r="C944" s="119" t="inlineStr">
        <is>
          <t>KIỀU THỊ LỘC</t>
        </is>
      </c>
      <c r="D944" s="119" t="inlineStr">
        <is>
          <t>25/03/1954</t>
        </is>
      </c>
      <c r="E944" s="119" t="inlineStr">
        <is>
          <t>Giường Nội khoa loại 2 - Khoa Chấn thương chỉnh hình</t>
        </is>
      </c>
      <c r="F944" s="249" t="n">
        <v>1</v>
      </c>
      <c r="G944" s="249" t="n">
        <v>222300</v>
      </c>
    </row>
    <row r="945" ht="17.25" customHeight="1">
      <c r="A945" s="119" t="n">
        <v>937</v>
      </c>
      <c r="B945" s="119" t="inlineStr">
        <is>
          <t>2026/08/24 00:00</t>
        </is>
      </c>
      <c r="C945" s="119" t="inlineStr">
        <is>
          <t>LÂM VĂN TẤN</t>
        </is>
      </c>
      <c r="D945" s="119" t="inlineStr">
        <is>
          <t>01/01/1969</t>
        </is>
      </c>
      <c r="E945" s="119" t="inlineStr">
        <is>
          <t>Giường Nội khoa loại 2 - Khoa Chấn thương chỉnh hình</t>
        </is>
      </c>
      <c r="F945" s="249" t="n">
        <v>1</v>
      </c>
      <c r="G945" s="249" t="n">
        <v>222300</v>
      </c>
    </row>
    <row r="946" ht="17.25" customHeight="1">
      <c r="A946" s="119" t="n">
        <v>938</v>
      </c>
      <c r="B946" s="119" t="inlineStr">
        <is>
          <t>2026/08/24 00:00</t>
        </is>
      </c>
      <c r="C946" s="119" t="inlineStr">
        <is>
          <t>LÂM ĐẠI NHƠN</t>
        </is>
      </c>
      <c r="D946" s="119" t="inlineStr">
        <is>
          <t>02/03/1938</t>
        </is>
      </c>
      <c r="E946" s="119" t="inlineStr">
        <is>
          <t>Giường Ngoại khoa loại 2 - Khoa Chấn thương chỉnh hình</t>
        </is>
      </c>
      <c r="F946" s="249" t="n">
        <v>1</v>
      </c>
      <c r="G946" s="249" t="n">
        <v>301600</v>
      </c>
    </row>
    <row r="947" ht="17.25" customHeight="1">
      <c r="A947" s="119" t="n">
        <v>939</v>
      </c>
      <c r="B947" s="119" t="inlineStr">
        <is>
          <t>2026/08/24 00:00</t>
        </is>
      </c>
      <c r="C947" s="119" t="inlineStr">
        <is>
          <t>LÊ THỊ TUYẾT</t>
        </is>
      </c>
      <c r="D947" s="119" t="inlineStr">
        <is>
          <t>01/01/1959</t>
        </is>
      </c>
      <c r="E947" s="119" t="inlineStr">
        <is>
          <t>Giường Ngoại khoa loại 4 - Khoa Chấn thương chỉnh hình</t>
        </is>
      </c>
      <c r="F947" s="249" t="n">
        <v>1</v>
      </c>
      <c r="G947" s="249" t="n">
        <v>229200</v>
      </c>
    </row>
    <row r="948" ht="17.25" customHeight="1">
      <c r="A948" s="119" t="n">
        <v>940</v>
      </c>
      <c r="B948" s="119" t="inlineStr">
        <is>
          <t>2026/08/24 00:00</t>
        </is>
      </c>
      <c r="C948" s="119" t="inlineStr">
        <is>
          <t>LÊ VĂN NÔ</t>
        </is>
      </c>
      <c r="D948" s="119" t="inlineStr">
        <is>
          <t>01/01/1954</t>
        </is>
      </c>
      <c r="E948" s="119" t="inlineStr">
        <is>
          <t>Giường Ngoại khoa loại 4 - Khoa Chấn thương chỉnh hình</t>
        </is>
      </c>
      <c r="F948" s="249" t="n">
        <v>1</v>
      </c>
      <c r="G948" s="249" t="n">
        <v>229200</v>
      </c>
    </row>
    <row r="949" ht="17.25" customHeight="1">
      <c r="A949" s="119" t="n">
        <v>941</v>
      </c>
      <c r="B949" s="119" t="inlineStr">
        <is>
          <t>2026/08/24 00:00</t>
        </is>
      </c>
      <c r="C949" s="119" t="inlineStr">
        <is>
          <t>NGUYỄN TRỌNG NAM</t>
        </is>
      </c>
      <c r="D949" s="119" t="inlineStr">
        <is>
          <t>16/02/1992</t>
        </is>
      </c>
      <c r="E949" s="119" t="inlineStr">
        <is>
          <t>Giường Ngoại khoa loại 1 - Khoa Chấn thương chỉnh hình</t>
        </is>
      </c>
      <c r="F949" s="249" t="n">
        <v>1</v>
      </c>
      <c r="G949" s="249" t="n">
        <v>341800</v>
      </c>
    </row>
    <row r="950" ht="17.25" customHeight="1">
      <c r="A950" s="119" t="n">
        <v>942</v>
      </c>
      <c r="B950" s="119" t="inlineStr">
        <is>
          <t>2026/08/24 00:00</t>
        </is>
      </c>
      <c r="C950" s="119" t="inlineStr">
        <is>
          <t>PHẠM NGỌC SƠN</t>
        </is>
      </c>
      <c r="D950" s="119" t="inlineStr">
        <is>
          <t>06/07/1989</t>
        </is>
      </c>
      <c r="E950" s="119" t="inlineStr">
        <is>
          <t>Giường Ngoại khoa loại 1 - Khoa Chấn thương chỉnh hình</t>
        </is>
      </c>
      <c r="F950" s="249" t="n">
        <v>1</v>
      </c>
      <c r="G950" s="249" t="n">
        <v>341800</v>
      </c>
    </row>
    <row r="951" ht="17.25" customHeight="1">
      <c r="A951" s="119" t="n">
        <v>943</v>
      </c>
      <c r="B951" s="119" t="inlineStr">
        <is>
          <t>2026/08/24 00:00</t>
        </is>
      </c>
      <c r="C951" s="119" t="inlineStr">
        <is>
          <t>TRƯƠNG THỊ NHƯ QUỲNH</t>
        </is>
      </c>
      <c r="D951" s="119" t="inlineStr">
        <is>
          <t>10/06/2005</t>
        </is>
      </c>
      <c r="E951" s="119" t="inlineStr">
        <is>
          <t>Giường Nội khoa loại 2 - Khoa Chấn thương chỉnh hình</t>
        </is>
      </c>
      <c r="F951" s="249" t="n">
        <v>1</v>
      </c>
      <c r="G951" s="249" t="n">
        <v>222300</v>
      </c>
    </row>
    <row r="952" ht="17.25" customHeight="1">
      <c r="A952" s="119" t="n">
        <v>944</v>
      </c>
      <c r="B952" s="119" t="inlineStr">
        <is>
          <t>2026/08/24 00:00</t>
        </is>
      </c>
      <c r="C952" s="119" t="inlineStr">
        <is>
          <t>TRẦN NGỌC ÁNH</t>
        </is>
      </c>
      <c r="D952" s="119" t="inlineStr">
        <is>
          <t>07/01/1974</t>
        </is>
      </c>
      <c r="E952" s="119" t="inlineStr">
        <is>
          <t>Giường Ngoại khoa loại 1 - Khoa Chấn thương chỉnh hình</t>
        </is>
      </c>
      <c r="F952" s="249" t="n">
        <v>1</v>
      </c>
      <c r="G952" s="249" t="n">
        <v>341800</v>
      </c>
    </row>
    <row r="953" ht="17.25" customHeight="1">
      <c r="A953" s="119" t="n">
        <v>945</v>
      </c>
      <c r="B953" s="119" t="inlineStr">
        <is>
          <t>2026/08/24 00:00</t>
        </is>
      </c>
      <c r="C953" s="119" t="inlineStr">
        <is>
          <t>TRẦN THỊ NGỌC DIỄM</t>
        </is>
      </c>
      <c r="D953" s="119" t="inlineStr">
        <is>
          <t>22/03/1996</t>
        </is>
      </c>
      <c r="E953" s="119" t="inlineStr">
        <is>
          <t>Giường Ngoại khoa loại 3 - Khoa Chấn thương chỉnh hình</t>
        </is>
      </c>
      <c r="F953" s="249" t="n">
        <v>1</v>
      </c>
      <c r="G953" s="249" t="n">
        <v>269200</v>
      </c>
    </row>
    <row r="954" ht="17.25" customHeight="1">
      <c r="A954" s="119" t="n">
        <v>946</v>
      </c>
      <c r="B954" s="119" t="inlineStr">
        <is>
          <t>2026/08/24 00:00</t>
        </is>
      </c>
      <c r="C954" s="119" t="inlineStr">
        <is>
          <t>VÕ TẤN ĐỨC</t>
        </is>
      </c>
      <c r="D954" s="119" t="inlineStr">
        <is>
          <t>01/01/1963</t>
        </is>
      </c>
      <c r="E954" s="119" t="inlineStr">
        <is>
          <t>Giường Nội khoa loại 2 - Khoa Chấn thương chỉnh hình</t>
        </is>
      </c>
      <c r="F954" s="249" t="n">
        <v>1</v>
      </c>
      <c r="G954" s="249" t="n">
        <v>222300</v>
      </c>
    </row>
    <row r="955" ht="17.25" customHeight="1">
      <c r="A955" s="119" t="n">
        <v>947</v>
      </c>
      <c r="B955" s="119" t="inlineStr">
        <is>
          <t>2026/08/24 00:00</t>
        </is>
      </c>
      <c r="C955" s="119" t="inlineStr">
        <is>
          <t>NGUYỄN VĂN ĐOÀN</t>
        </is>
      </c>
      <c r="D955" s="119" t="inlineStr">
        <is>
          <t>01/01/1969</t>
        </is>
      </c>
      <c r="E955" s="119" t="inlineStr">
        <is>
          <t>Giường Ngoại khoa loại 3 - Khoa Chấn thương chỉnh hình</t>
        </is>
      </c>
      <c r="F955" s="249" t="n">
        <v>1</v>
      </c>
      <c r="G955" s="249" t="n">
        <v>269200</v>
      </c>
    </row>
    <row r="956" ht="17.25" customHeight="1">
      <c r="A956" s="119" t="n">
        <v>948</v>
      </c>
      <c r="B956" s="119" t="inlineStr">
        <is>
          <t>2026/08/24 00:00</t>
        </is>
      </c>
      <c r="C956" s="119" t="inlineStr">
        <is>
          <t>TRẦN VĂN LẸ</t>
        </is>
      </c>
      <c r="D956" s="119" t="inlineStr">
        <is>
          <t>01/01/1975</t>
        </is>
      </c>
      <c r="E956" s="119" t="inlineStr">
        <is>
          <t>Giường Ngoại khoa loại 1 - Khoa Chấn thương chỉnh hình</t>
        </is>
      </c>
      <c r="F956" s="249" t="n">
        <v>1</v>
      </c>
      <c r="G956" s="249" t="n">
        <v>341800</v>
      </c>
    </row>
    <row r="957" ht="17.25" customHeight="1">
      <c r="A957" s="119" t="n">
        <v>949</v>
      </c>
      <c r="B957" s="119" t="inlineStr">
        <is>
          <t>2026/08/24 05:00</t>
        </is>
      </c>
      <c r="C957" s="119" t="inlineStr">
        <is>
          <t>NGUYỄN THỊ THẮM</t>
        </is>
      </c>
      <c r="D957" s="119" t="inlineStr">
        <is>
          <t>01/01/1962</t>
        </is>
      </c>
      <c r="E957" s="119" t="inlineStr">
        <is>
          <t>Giường Ngoại khoa loại 1 - Khoa Chấn thương chỉnh hình</t>
        </is>
      </c>
      <c r="F957" s="249" t="n">
        <v>1</v>
      </c>
      <c r="G957" s="249" t="n">
        <v>341800</v>
      </c>
    </row>
    <row r="958" ht="17.25" customHeight="1">
      <c r="A958" s="119" t="n">
        <v>950</v>
      </c>
      <c r="B958" s="119" t="inlineStr">
        <is>
          <t>2026/08/24 08:00</t>
        </is>
      </c>
      <c r="C958" s="119" t="inlineStr">
        <is>
          <t>HỒNG THỊ BÉ</t>
        </is>
      </c>
      <c r="D958" s="119" t="inlineStr">
        <is>
          <t>06/02/1950</t>
        </is>
      </c>
      <c r="E958" s="119" t="inlineStr">
        <is>
          <t>Giường Nội khoa loại 2 - Khoa Chấn thương chỉnh hình</t>
        </is>
      </c>
      <c r="F958" s="249" t="n">
        <v>1</v>
      </c>
      <c r="G958" s="249" t="n">
        <v>222300</v>
      </c>
    </row>
    <row r="959" ht="17.25" customHeight="1">
      <c r="A959" s="119" t="n">
        <v>951</v>
      </c>
      <c r="B959" s="119" t="inlineStr">
        <is>
          <t>2026/08/24 10:00</t>
        </is>
      </c>
      <c r="C959" s="119" t="inlineStr">
        <is>
          <t>NGUYỄN VĂN QUẢNG</t>
        </is>
      </c>
      <c r="D959" s="119" t="inlineStr">
        <is>
          <t>27/06/1976</t>
        </is>
      </c>
      <c r="E959" s="119" t="inlineStr">
        <is>
          <t>Giường Nội khoa loại 2 - Khoa Chấn thương chỉnh hình</t>
        </is>
      </c>
      <c r="F959" s="249" t="n">
        <v>1</v>
      </c>
      <c r="G959" s="249" t="n">
        <v>222300</v>
      </c>
    </row>
    <row r="960" ht="17.25" customHeight="1">
      <c r="A960" s="119" t="n">
        <v>952</v>
      </c>
      <c r="B960" s="119" t="inlineStr">
        <is>
          <t>2026/08/24 12:00</t>
        </is>
      </c>
      <c r="C960" s="119" t="inlineStr">
        <is>
          <t>NGUYỄN ĐÌNH NGỌC GIÀU</t>
        </is>
      </c>
      <c r="D960" s="119" t="inlineStr">
        <is>
          <t>11/08/1993</t>
        </is>
      </c>
      <c r="E960" s="119" t="inlineStr">
        <is>
          <t>Giường Nội khoa loại 2 - Khoa Chấn thương chỉnh hình</t>
        </is>
      </c>
      <c r="F960" s="249" t="n">
        <v>1</v>
      </c>
      <c r="G960" s="249" t="n">
        <v>222300</v>
      </c>
    </row>
    <row r="961" ht="17.25" customHeight="1">
      <c r="A961" s="119" t="n">
        <v>953</v>
      </c>
      <c r="B961" s="119" t="inlineStr">
        <is>
          <t>2026/08/25 00:00</t>
        </is>
      </c>
      <c r="C961" s="119" t="inlineStr">
        <is>
          <t>HỒ THỊ THANH HÀ</t>
        </is>
      </c>
      <c r="D961" s="119" t="inlineStr">
        <is>
          <t>18/11/1967</t>
        </is>
      </c>
      <c r="E961" s="119" t="inlineStr">
        <is>
          <t>Giường Ngoại khoa loại 1 - Khoa Chấn thương chỉnh hình</t>
        </is>
      </c>
      <c r="F961" s="249" t="n">
        <v>1</v>
      </c>
      <c r="G961" s="249" t="n">
        <v>341800</v>
      </c>
    </row>
    <row r="962" ht="17.25" customHeight="1">
      <c r="A962" s="119" t="n">
        <v>954</v>
      </c>
      <c r="B962" s="119" t="inlineStr">
        <is>
          <t>2026/08/25 00:00</t>
        </is>
      </c>
      <c r="C962" s="119" t="inlineStr">
        <is>
          <t>HỒNG THỊ BÉ</t>
        </is>
      </c>
      <c r="D962" s="119" t="inlineStr">
        <is>
          <t>06/02/1950</t>
        </is>
      </c>
      <c r="E962" s="119" t="inlineStr">
        <is>
          <t>Giường Nội khoa loại 2 - Khoa Chấn thương chỉnh hình</t>
        </is>
      </c>
      <c r="F962" s="249" t="n">
        <v>1</v>
      </c>
      <c r="G962" s="249" t="n">
        <v>222300</v>
      </c>
    </row>
    <row r="963" ht="17.25" customHeight="1">
      <c r="A963" s="119" t="n">
        <v>955</v>
      </c>
      <c r="B963" s="119" t="inlineStr">
        <is>
          <t>2026/08/25 00:00</t>
        </is>
      </c>
      <c r="C963" s="119" t="inlineStr">
        <is>
          <t>KIỀU THỊ LỘC</t>
        </is>
      </c>
      <c r="D963" s="119" t="inlineStr">
        <is>
          <t>25/03/1954</t>
        </is>
      </c>
      <c r="E963" s="119" t="inlineStr">
        <is>
          <t>Giường Nội khoa loại 2 - Khoa Chấn thương chỉnh hình</t>
        </is>
      </c>
      <c r="F963" s="249" t="n">
        <v>1</v>
      </c>
      <c r="G963" s="249" t="n">
        <v>222300</v>
      </c>
    </row>
    <row r="964" ht="17.25" customHeight="1">
      <c r="A964" s="119" t="n">
        <v>956</v>
      </c>
      <c r="B964" s="119" t="inlineStr">
        <is>
          <t>2026/08/25 00:00</t>
        </is>
      </c>
      <c r="C964" s="119" t="inlineStr">
        <is>
          <t>LÂM VĂN TẤN</t>
        </is>
      </c>
      <c r="D964" s="119" t="inlineStr">
        <is>
          <t>01/01/1969</t>
        </is>
      </c>
      <c r="E964" s="119" t="inlineStr">
        <is>
          <t>Giường Nội khoa loại 2 - Khoa Chấn thương chỉnh hình</t>
        </is>
      </c>
      <c r="F964" s="249" t="n">
        <v>1</v>
      </c>
      <c r="G964" s="249" t="n">
        <v>222300</v>
      </c>
    </row>
    <row r="965" ht="17.25" customHeight="1">
      <c r="A965" s="119" t="n">
        <v>957</v>
      </c>
      <c r="B965" s="119" t="inlineStr">
        <is>
          <t>2026/08/25 00:00</t>
        </is>
      </c>
      <c r="C965" s="119" t="inlineStr">
        <is>
          <t>LÂM ĐẠI NHƠN</t>
        </is>
      </c>
      <c r="D965" s="119" t="inlineStr">
        <is>
          <t>02/03/1938</t>
        </is>
      </c>
      <c r="E965" s="119" t="inlineStr">
        <is>
          <t>Giường Ngoại khoa loại 2 - Khoa Chấn thương chỉnh hình</t>
        </is>
      </c>
      <c r="F965" s="249" t="n">
        <v>1</v>
      </c>
      <c r="G965" s="249" t="n">
        <v>301600</v>
      </c>
    </row>
    <row r="966" ht="17.25" customHeight="1">
      <c r="A966" s="119" t="n">
        <v>958</v>
      </c>
      <c r="B966" s="119" t="inlineStr">
        <is>
          <t>2026/08/25 00:00</t>
        </is>
      </c>
      <c r="C966" s="119" t="inlineStr">
        <is>
          <t>LÊ THỊ TUYẾT</t>
        </is>
      </c>
      <c r="D966" s="119" t="inlineStr">
        <is>
          <t>01/01/1959</t>
        </is>
      </c>
      <c r="E966" s="119" t="inlineStr">
        <is>
          <t>Giường Ngoại khoa loại 4 - Khoa Chấn thương chỉnh hình</t>
        </is>
      </c>
      <c r="F966" s="249" t="n">
        <v>1</v>
      </c>
      <c r="G966" s="249" t="n">
        <v>229200</v>
      </c>
    </row>
    <row r="967" ht="17.25" customHeight="1">
      <c r="A967" s="119" t="n">
        <v>959</v>
      </c>
      <c r="B967" s="119" t="inlineStr">
        <is>
          <t>2026/08/25 00:00</t>
        </is>
      </c>
      <c r="C967" s="119" t="inlineStr">
        <is>
          <t>LÊ VĂN NÔ</t>
        </is>
      </c>
      <c r="D967" s="119" t="inlineStr">
        <is>
          <t>01/01/1954</t>
        </is>
      </c>
      <c r="E967" s="119" t="inlineStr">
        <is>
          <t>Giường Ngoại khoa loại 4 - Khoa Chấn thương chỉnh hình</t>
        </is>
      </c>
      <c r="F967" s="249" t="n">
        <v>1</v>
      </c>
      <c r="G967" s="249" t="n">
        <v>229200</v>
      </c>
    </row>
    <row r="968" ht="17.25" customHeight="1">
      <c r="A968" s="119" t="n">
        <v>960</v>
      </c>
      <c r="B968" s="119" t="inlineStr">
        <is>
          <t>2026/08/25 00:00</t>
        </is>
      </c>
      <c r="C968" s="119" t="inlineStr">
        <is>
          <t>NGUYỄN VĂN QUẢNG</t>
        </is>
      </c>
      <c r="D968" s="119" t="inlineStr">
        <is>
          <t>27/06/1976</t>
        </is>
      </c>
      <c r="E968" s="119" t="inlineStr">
        <is>
          <t>Giường Nội khoa loại 2 - Khoa Chấn thương chỉnh hình</t>
        </is>
      </c>
      <c r="F968" s="249" t="n">
        <v>1</v>
      </c>
      <c r="G968" s="249" t="n">
        <v>222300</v>
      </c>
    </row>
    <row r="969" ht="17.25" customHeight="1">
      <c r="A969" s="119" t="n">
        <v>961</v>
      </c>
      <c r="B969" s="119" t="inlineStr">
        <is>
          <t>2026/08/25 00:00</t>
        </is>
      </c>
      <c r="C969" s="119" t="inlineStr">
        <is>
          <t>PHẠM NGỌC SƠN</t>
        </is>
      </c>
      <c r="D969" s="119" t="inlineStr">
        <is>
          <t>06/07/1989</t>
        </is>
      </c>
      <c r="E969" s="119" t="inlineStr">
        <is>
          <t>Giường Ngoại khoa loại 1 - Khoa Chấn thương chỉnh hình</t>
        </is>
      </c>
      <c r="F969" s="249" t="n">
        <v>1</v>
      </c>
      <c r="G969" s="249" t="n">
        <v>341800</v>
      </c>
    </row>
    <row r="970" ht="17.25" customHeight="1">
      <c r="A970" s="119" t="n">
        <v>962</v>
      </c>
      <c r="B970" s="119" t="inlineStr">
        <is>
          <t>2026/08/25 00:00</t>
        </is>
      </c>
      <c r="C970" s="119" t="inlineStr">
        <is>
          <t>TRƯƠNG THỊ NHƯ QUỲNH</t>
        </is>
      </c>
      <c r="D970" s="119" t="inlineStr">
        <is>
          <t>10/06/2005</t>
        </is>
      </c>
      <c r="E970" s="119" t="inlineStr">
        <is>
          <t>Giường Nội khoa loại 2 - Khoa Chấn thương chỉnh hình</t>
        </is>
      </c>
      <c r="F970" s="249" t="n">
        <v>1</v>
      </c>
      <c r="G970" s="249" t="n">
        <v>222300</v>
      </c>
    </row>
    <row r="971" ht="17.25" customHeight="1">
      <c r="A971" s="119" t="n">
        <v>963</v>
      </c>
      <c r="B971" s="119" t="inlineStr">
        <is>
          <t>2026/08/25 00:00</t>
        </is>
      </c>
      <c r="C971" s="119" t="inlineStr">
        <is>
          <t>TRẦN THỊ NGỌC DIỄM</t>
        </is>
      </c>
      <c r="D971" s="119" t="inlineStr">
        <is>
          <t>22/03/1996</t>
        </is>
      </c>
      <c r="E971" s="119" t="inlineStr">
        <is>
          <t>Giường Ngoại khoa loại 3 - Khoa Chấn thương chỉnh hình</t>
        </is>
      </c>
      <c r="F971" s="249" t="n">
        <v>1</v>
      </c>
      <c r="G971" s="249" t="n">
        <v>269200</v>
      </c>
    </row>
    <row r="972" ht="17.25" customHeight="1">
      <c r="A972" s="119" t="n">
        <v>964</v>
      </c>
      <c r="B972" s="119" t="inlineStr">
        <is>
          <t>2026/08/25 00:00</t>
        </is>
      </c>
      <c r="C972" s="119" t="inlineStr">
        <is>
          <t>VÕ TẤN ĐỨC</t>
        </is>
      </c>
      <c r="D972" s="119" t="inlineStr">
        <is>
          <t>01/01/1963</t>
        </is>
      </c>
      <c r="E972" s="119" t="inlineStr">
        <is>
          <t>Giường Nội khoa loại 2 - Khoa Chấn thương chỉnh hình</t>
        </is>
      </c>
      <c r="F972" s="249" t="n">
        <v>1</v>
      </c>
      <c r="G972" s="249" t="n">
        <v>222300</v>
      </c>
    </row>
    <row r="973" ht="17.25" customHeight="1">
      <c r="A973" s="119" t="n">
        <v>965</v>
      </c>
      <c r="B973" s="119" t="inlineStr">
        <is>
          <t>2026/08/25 00:00</t>
        </is>
      </c>
      <c r="C973" s="119" t="inlineStr">
        <is>
          <t>NGUYỄN VĂN ĐOÀN</t>
        </is>
      </c>
      <c r="D973" s="119" t="inlineStr">
        <is>
          <t>01/01/1969</t>
        </is>
      </c>
      <c r="E973" s="119" t="inlineStr">
        <is>
          <t>Giường Ngoại khoa loại 3 - Khoa Chấn thương chỉnh hình</t>
        </is>
      </c>
      <c r="F973" s="249" t="n">
        <v>1</v>
      </c>
      <c r="G973" s="249" t="n">
        <v>269200</v>
      </c>
    </row>
    <row r="974" ht="17.25" customHeight="1">
      <c r="A974" s="119" t="n">
        <v>966</v>
      </c>
      <c r="B974" s="119" t="inlineStr">
        <is>
          <t>2026/08/25 00:00</t>
        </is>
      </c>
      <c r="C974" s="119" t="inlineStr">
        <is>
          <t>TRẦN VĂN LẸ</t>
        </is>
      </c>
      <c r="D974" s="119" t="inlineStr">
        <is>
          <t>01/01/1975</t>
        </is>
      </c>
      <c r="E974" s="119" t="inlineStr">
        <is>
          <t>Giường Ngoại khoa loại 1 - Khoa Chấn thương chỉnh hình</t>
        </is>
      </c>
      <c r="F974" s="249" t="n">
        <v>1</v>
      </c>
      <c r="G974" s="249" t="n">
        <v>341800</v>
      </c>
    </row>
    <row r="975" ht="17.25" customHeight="1">
      <c r="A975" s="119" t="n">
        <v>967</v>
      </c>
      <c r="B975" s="119" t="inlineStr">
        <is>
          <t>2026/08/25 05:00</t>
        </is>
      </c>
      <c r="C975" s="119" t="inlineStr">
        <is>
          <t>NGUYỄN THỊ THẮM</t>
        </is>
      </c>
      <c r="D975" s="119" t="inlineStr">
        <is>
          <t>01/01/1962</t>
        </is>
      </c>
      <c r="E975" s="119" t="inlineStr">
        <is>
          <t>Giường Ngoại khoa loại 1 - Khoa Chấn thương chỉnh hình</t>
        </is>
      </c>
      <c r="F975" s="249" t="n">
        <v>1</v>
      </c>
      <c r="G975" s="249" t="n">
        <v>341800</v>
      </c>
    </row>
    <row r="976" ht="17.25" customHeight="1">
      <c r="A976" s="119" t="n">
        <v>968</v>
      </c>
      <c r="B976" s="119" t="inlineStr">
        <is>
          <t>2026/08/25 07:47</t>
        </is>
      </c>
      <c r="C976" s="119" t="inlineStr">
        <is>
          <t>ĐẶNG THỊ XUYẾN</t>
        </is>
      </c>
      <c r="D976" s="119" t="inlineStr">
        <is>
          <t>25/09/1970</t>
        </is>
      </c>
      <c r="E976" s="119" t="inlineStr">
        <is>
          <t>Giường Nội khoa loại 2 - Khoa Chấn thương chỉnh hình</t>
        </is>
      </c>
      <c r="F976" s="249" t="n">
        <v>1</v>
      </c>
      <c r="G976" s="249" t="n">
        <v>222300</v>
      </c>
    </row>
    <row r="977" ht="17.25" customHeight="1">
      <c r="A977" s="119" t="n">
        <v>969</v>
      </c>
      <c r="B977" s="119" t="inlineStr">
        <is>
          <t>2026/08/25 08:27</t>
        </is>
      </c>
      <c r="C977" s="119" t="inlineStr">
        <is>
          <t>PHẠM VĂN HIẾU</t>
        </is>
      </c>
      <c r="D977" s="119" t="inlineStr">
        <is>
          <t>06/01/1980</t>
        </is>
      </c>
      <c r="E977" s="119" t="inlineStr">
        <is>
          <t>Giường Nội khoa loại 2 - Khoa Chấn thương chỉnh hình</t>
        </is>
      </c>
      <c r="F977" s="249" t="n">
        <v>1</v>
      </c>
      <c r="G977" s="249" t="n">
        <v>222300</v>
      </c>
    </row>
    <row r="978" ht="17.25" customHeight="1">
      <c r="A978" s="119" t="n">
        <v>970</v>
      </c>
      <c r="B978" s="119" t="inlineStr">
        <is>
          <t>2026/08/25 08:29</t>
        </is>
      </c>
      <c r="C978" s="119" t="inlineStr">
        <is>
          <t>VÕ THỊ NGUYÊN</t>
        </is>
      </c>
      <c r="D978" s="119" t="inlineStr">
        <is>
          <t>17/03/1985</t>
        </is>
      </c>
      <c r="E978" s="119" t="inlineStr">
        <is>
          <t>Giường Nội khoa loại 2 - Khoa Chấn thương chỉnh hình</t>
        </is>
      </c>
      <c r="F978" s="249" t="n">
        <v>1</v>
      </c>
      <c r="G978" s="249" t="n">
        <v>222300</v>
      </c>
    </row>
    <row r="979" ht="17.25" customHeight="1">
      <c r="A979" s="119" t="n">
        <v>971</v>
      </c>
      <c r="B979" s="119" t="inlineStr">
        <is>
          <t>2026/08/25 09:25</t>
        </is>
      </c>
      <c r="C979" s="119" t="inlineStr">
        <is>
          <t>TẠ THỊ DẦN</t>
        </is>
      </c>
      <c r="D979" s="119" t="inlineStr">
        <is>
          <t>12/12/1952</t>
        </is>
      </c>
      <c r="E979" s="119" t="inlineStr">
        <is>
          <t>Giường Nội khoa loại 2 - Khoa Chấn thương chỉnh hình</t>
        </is>
      </c>
      <c r="F979" s="249" t="n">
        <v>1</v>
      </c>
      <c r="G979" s="249" t="n">
        <v>222300</v>
      </c>
    </row>
    <row r="980" ht="17.25" customHeight="1">
      <c r="A980" s="119" t="n">
        <v>972</v>
      </c>
      <c r="B980" s="119" t="inlineStr">
        <is>
          <t>2026/08/25 13:00</t>
        </is>
      </c>
      <c r="C980" s="119" t="inlineStr">
        <is>
          <t>NGUYỄN ĐÌNH NGỌC GIÀU</t>
        </is>
      </c>
      <c r="D980" s="119" t="inlineStr">
        <is>
          <t>11/08/1993</t>
        </is>
      </c>
      <c r="E980" s="119" t="inlineStr">
        <is>
          <t>Giường Ngoại khoa loại 1 - Khoa Chấn thương chỉnh hình</t>
        </is>
      </c>
      <c r="F980" s="249" t="n">
        <v>1</v>
      </c>
      <c r="G980" s="249" t="n">
        <v>341800</v>
      </c>
    </row>
    <row r="981" ht="17.25" customHeight="1">
      <c r="A981" s="119" t="n">
        <v>973</v>
      </c>
      <c r="B981" s="119" t="inlineStr">
        <is>
          <t>2026/08/25 13:27</t>
        </is>
      </c>
      <c r="C981" s="119" t="inlineStr">
        <is>
          <t>HỒ BÉ TƯ</t>
        </is>
      </c>
      <c r="D981" s="119" t="inlineStr">
        <is>
          <t>01/01/1957</t>
        </is>
      </c>
      <c r="E981" s="119" t="inlineStr">
        <is>
          <t>Giường Ngoại khoa loại 1 - Khoa Chấn thương chỉnh hình</t>
        </is>
      </c>
      <c r="F981" s="249" t="n">
        <v>1</v>
      </c>
      <c r="G981" s="249" t="n">
        <v>341800</v>
      </c>
    </row>
    <row r="982" ht="17.25" customHeight="1">
      <c r="A982" s="119" t="n">
        <v>974</v>
      </c>
      <c r="B982" s="119" t="inlineStr">
        <is>
          <t>2026/08/26 00:00</t>
        </is>
      </c>
      <c r="C982" s="119" t="inlineStr">
        <is>
          <t>HỒ BÉ TƯ</t>
        </is>
      </c>
      <c r="D982" s="119" t="inlineStr">
        <is>
          <t>01/01/1957</t>
        </is>
      </c>
      <c r="E982" s="119" t="inlineStr">
        <is>
          <t>Giường Ngoại khoa loại 1 - Khoa Chấn thương chỉnh hình</t>
        </is>
      </c>
      <c r="F982" s="249" t="n">
        <v>1</v>
      </c>
      <c r="G982" s="249" t="n">
        <v>341800</v>
      </c>
    </row>
    <row r="983" ht="17.25" customHeight="1">
      <c r="A983" s="119" t="n">
        <v>975</v>
      </c>
      <c r="B983" s="119" t="inlineStr">
        <is>
          <t>2026/08/26 00:00</t>
        </is>
      </c>
      <c r="C983" s="119" t="inlineStr">
        <is>
          <t>HỒ THỊ THANH HÀ</t>
        </is>
      </c>
      <c r="D983" s="119" t="inlineStr">
        <is>
          <t>18/11/1967</t>
        </is>
      </c>
      <c r="E983" s="119" t="inlineStr">
        <is>
          <t>Giường Ngoại khoa loại 1 - Khoa Chấn thương chỉnh hình</t>
        </is>
      </c>
      <c r="F983" s="249" t="n">
        <v>1</v>
      </c>
      <c r="G983" s="249" t="n">
        <v>341800</v>
      </c>
    </row>
    <row r="984" ht="17.25" customHeight="1">
      <c r="A984" s="119" t="n">
        <v>976</v>
      </c>
      <c r="B984" s="119" t="inlineStr">
        <is>
          <t>2026/08/26 00:00</t>
        </is>
      </c>
      <c r="C984" s="119" t="inlineStr">
        <is>
          <t>HỒNG THỊ BÉ</t>
        </is>
      </c>
      <c r="D984" s="119" t="inlineStr">
        <is>
          <t>06/02/1950</t>
        </is>
      </c>
      <c r="E984" s="119" t="inlineStr">
        <is>
          <t>Giường Ngoại khoa loại 4 - Khoa Chấn thương chỉnh hình</t>
        </is>
      </c>
      <c r="F984" s="249" t="n">
        <v>1</v>
      </c>
      <c r="G984" s="249" t="n">
        <v>229200</v>
      </c>
    </row>
    <row r="985" ht="17.25" customHeight="1">
      <c r="A985" s="119" t="n">
        <v>977</v>
      </c>
      <c r="B985" s="119" t="inlineStr">
        <is>
          <t>2026/08/26 00:00</t>
        </is>
      </c>
      <c r="C985" s="119" t="inlineStr">
        <is>
          <t>KIỀU THỊ LỘC</t>
        </is>
      </c>
      <c r="D985" s="119" t="inlineStr">
        <is>
          <t>25/03/1954</t>
        </is>
      </c>
      <c r="E985" s="119" t="inlineStr">
        <is>
          <t>Giường Nội khoa loại 2 - Khoa Chấn thương chỉnh hình</t>
        </is>
      </c>
      <c r="F985" s="249" t="n">
        <v>1</v>
      </c>
      <c r="G985" s="249" t="n">
        <v>222300</v>
      </c>
    </row>
    <row r="986" ht="17.25" customHeight="1">
      <c r="A986" s="119" t="n">
        <v>978</v>
      </c>
      <c r="B986" s="119" t="inlineStr">
        <is>
          <t>2026/08/26 00:00</t>
        </is>
      </c>
      <c r="C986" s="119" t="inlineStr">
        <is>
          <t>LÂM VĂN TẤN</t>
        </is>
      </c>
      <c r="D986" s="119" t="inlineStr">
        <is>
          <t>01/01/1969</t>
        </is>
      </c>
      <c r="E986" s="119" t="inlineStr">
        <is>
          <t>Giường Ngoại khoa loại 1 - Khoa Chấn thương chỉnh hình</t>
        </is>
      </c>
      <c r="F986" s="249" t="n">
        <v>1</v>
      </c>
      <c r="G986" s="249" t="n">
        <v>341800</v>
      </c>
    </row>
    <row r="987" ht="17.25" customHeight="1">
      <c r="A987" s="119" t="n">
        <v>979</v>
      </c>
      <c r="B987" s="119" t="inlineStr">
        <is>
          <t>2026/08/26 00:00</t>
        </is>
      </c>
      <c r="C987" s="119" t="inlineStr">
        <is>
          <t>LÂM ĐẠI NHƠN</t>
        </is>
      </c>
      <c r="D987" s="119" t="inlineStr">
        <is>
          <t>02/03/1938</t>
        </is>
      </c>
      <c r="E987" s="119" t="inlineStr">
        <is>
          <t>Giường Ngoại khoa loại 2 - Khoa Chấn thương chỉnh hình</t>
        </is>
      </c>
      <c r="F987" s="249" t="n">
        <v>1</v>
      </c>
      <c r="G987" s="249" t="n">
        <v>301600</v>
      </c>
    </row>
    <row r="988" ht="17.25" customHeight="1">
      <c r="A988" s="119" t="n">
        <v>980</v>
      </c>
      <c r="B988" s="119" t="inlineStr">
        <is>
          <t>2026/08/26 00:00</t>
        </is>
      </c>
      <c r="C988" s="119" t="inlineStr">
        <is>
          <t>LÊ THỊ TUYẾT</t>
        </is>
      </c>
      <c r="D988" s="119" t="inlineStr">
        <is>
          <t>01/01/1959</t>
        </is>
      </c>
      <c r="E988" s="119" t="inlineStr">
        <is>
          <t>Giường Ngoại khoa loại 4 - Khoa Chấn thương chỉnh hình</t>
        </is>
      </c>
      <c r="F988" s="249" t="n">
        <v>1</v>
      </c>
      <c r="G988" s="249" t="n">
        <v>229200</v>
      </c>
    </row>
    <row r="989" ht="17.25" customHeight="1">
      <c r="A989" s="119" t="n">
        <v>981</v>
      </c>
      <c r="B989" s="119" t="inlineStr">
        <is>
          <t>2026/08/26 00:00</t>
        </is>
      </c>
      <c r="C989" s="119" t="inlineStr">
        <is>
          <t>LÊ VĂN NÔ</t>
        </is>
      </c>
      <c r="D989" s="119" t="inlineStr">
        <is>
          <t>01/01/1954</t>
        </is>
      </c>
      <c r="E989" s="119" t="inlineStr">
        <is>
          <t>Giường Ngoại khoa loại 4 - Khoa Chấn thương chỉnh hình</t>
        </is>
      </c>
      <c r="F989" s="249" t="n">
        <v>1</v>
      </c>
      <c r="G989" s="249" t="n">
        <v>229200</v>
      </c>
    </row>
    <row r="990" ht="17.25" customHeight="1">
      <c r="A990" s="119" t="n">
        <v>982</v>
      </c>
      <c r="B990" s="119" t="inlineStr">
        <is>
          <t>2026/08/26 00:00</t>
        </is>
      </c>
      <c r="C990" s="119" t="inlineStr">
        <is>
          <t>NGUYỄN VĂN QUẢNG</t>
        </is>
      </c>
      <c r="D990" s="119" t="inlineStr">
        <is>
          <t>27/06/1976</t>
        </is>
      </c>
      <c r="E990" s="119" t="inlineStr">
        <is>
          <t>Giường Ngoại khoa loại 2 - Khoa Chấn thương chỉnh hình</t>
        </is>
      </c>
      <c r="F990" s="249" t="n">
        <v>1</v>
      </c>
      <c r="G990" s="249" t="n">
        <v>301600</v>
      </c>
    </row>
    <row r="991" ht="17.25" customHeight="1">
      <c r="A991" s="119" t="n">
        <v>983</v>
      </c>
      <c r="B991" s="119" t="inlineStr">
        <is>
          <t>2026/08/26 00:00</t>
        </is>
      </c>
      <c r="C991" s="119" t="inlineStr">
        <is>
          <t>NGUYỄN ĐÌNH NGỌC GIÀU</t>
        </is>
      </c>
      <c r="D991" s="119" t="inlineStr">
        <is>
          <t>11/08/1993</t>
        </is>
      </c>
      <c r="E991" s="119" t="inlineStr">
        <is>
          <t>Giường Ngoại khoa loại 1 - Khoa Chấn thương chỉnh hình</t>
        </is>
      </c>
      <c r="F991" s="249" t="n">
        <v>1</v>
      </c>
      <c r="G991" s="249" t="n">
        <v>341800</v>
      </c>
    </row>
    <row r="992" ht="17.25" customHeight="1">
      <c r="A992" s="119" t="n">
        <v>984</v>
      </c>
      <c r="B992" s="119" t="inlineStr">
        <is>
          <t>2026/08/26 00:00</t>
        </is>
      </c>
      <c r="C992" s="119" t="inlineStr">
        <is>
          <t>TRƯƠNG THỊ NHƯ QUỲNH</t>
        </is>
      </c>
      <c r="D992" s="119" t="inlineStr">
        <is>
          <t>10/06/2005</t>
        </is>
      </c>
      <c r="E992" s="119" t="inlineStr">
        <is>
          <t>Giường Nội khoa loại 2 - Khoa Chấn thương chỉnh hình</t>
        </is>
      </c>
      <c r="F992" s="249" t="n">
        <v>1</v>
      </c>
      <c r="G992" s="249" t="n">
        <v>222300</v>
      </c>
    </row>
    <row r="993" ht="17.25" customHeight="1">
      <c r="A993" s="119" t="n">
        <v>985</v>
      </c>
      <c r="B993" s="119" t="inlineStr">
        <is>
          <t>2026/08/26 00:00</t>
        </is>
      </c>
      <c r="C993" s="119" t="inlineStr">
        <is>
          <t>TRƯƠNG THỊ ĐỨC</t>
        </is>
      </c>
      <c r="D993" s="119" t="inlineStr">
        <is>
          <t>17/03/1958</t>
        </is>
      </c>
      <c r="E993" s="119" t="inlineStr">
        <is>
          <t>Giường Nội khoa loại 2 - Khoa Chấn thương chỉnh hình</t>
        </is>
      </c>
      <c r="F993" s="249" t="n">
        <v>1</v>
      </c>
      <c r="G993" s="249" t="n">
        <v>222300</v>
      </c>
    </row>
    <row r="994" ht="17.25" customHeight="1">
      <c r="A994" s="119" t="n">
        <v>986</v>
      </c>
      <c r="B994" s="119" t="inlineStr">
        <is>
          <t>2026/08/26 00:00</t>
        </is>
      </c>
      <c r="C994" s="119" t="inlineStr">
        <is>
          <t>TRẦN THỊ NGỌC DIỄM</t>
        </is>
      </c>
      <c r="D994" s="119" t="inlineStr">
        <is>
          <t>22/03/1996</t>
        </is>
      </c>
      <c r="E994" s="119" t="inlineStr">
        <is>
          <t>Giường Ngoại khoa loại 3 - Khoa Chấn thương chỉnh hình</t>
        </is>
      </c>
      <c r="F994" s="249" t="n">
        <v>1</v>
      </c>
      <c r="G994" s="249" t="n">
        <v>269200</v>
      </c>
    </row>
    <row r="995" ht="17.25" customHeight="1">
      <c r="A995" s="119" t="n">
        <v>987</v>
      </c>
      <c r="B995" s="119" t="inlineStr">
        <is>
          <t>2026/08/26 00:00</t>
        </is>
      </c>
      <c r="C995" s="119" t="inlineStr">
        <is>
          <t>TẠ THỊ DẦN</t>
        </is>
      </c>
      <c r="D995" s="119" t="inlineStr">
        <is>
          <t>12/12/1952</t>
        </is>
      </c>
      <c r="E995" s="119" t="inlineStr">
        <is>
          <t>Giường Nội khoa loại 2 - Khoa Chấn thương chỉnh hình</t>
        </is>
      </c>
      <c r="F995" s="249" t="n">
        <v>1</v>
      </c>
      <c r="G995" s="249" t="n">
        <v>222300</v>
      </c>
    </row>
    <row r="996" ht="17.25" customHeight="1">
      <c r="A996" s="119" t="n">
        <v>988</v>
      </c>
      <c r="B996" s="119" t="inlineStr">
        <is>
          <t>2026/08/26 00:00</t>
        </is>
      </c>
      <c r="C996" s="119" t="inlineStr">
        <is>
          <t>VÕ TẤN ĐỨC</t>
        </is>
      </c>
      <c r="D996" s="119" t="inlineStr">
        <is>
          <t>01/01/1963</t>
        </is>
      </c>
      <c r="E996" s="119" t="inlineStr">
        <is>
          <t>Giường Nội khoa loại 2 - Khoa Chấn thương chỉnh hình</t>
        </is>
      </c>
      <c r="F996" s="249" t="n">
        <v>1</v>
      </c>
      <c r="G996" s="249" t="n">
        <v>222300</v>
      </c>
    </row>
    <row r="997" ht="17.25" customHeight="1">
      <c r="A997" s="119" t="n">
        <v>989</v>
      </c>
      <c r="B997" s="119" t="inlineStr">
        <is>
          <t>2026/08/26 00:00</t>
        </is>
      </c>
      <c r="C997" s="119" t="inlineStr">
        <is>
          <t>NGUYỄN VĂN ĐOÀN</t>
        </is>
      </c>
      <c r="D997" s="119" t="inlineStr">
        <is>
          <t>01/01/1969</t>
        </is>
      </c>
      <c r="E997" s="119" t="inlineStr">
        <is>
          <t>Giường Ngoại khoa loại 3 - Khoa Chấn thương chỉnh hình</t>
        </is>
      </c>
      <c r="F997" s="249" t="n">
        <v>1</v>
      </c>
      <c r="G997" s="249" t="n">
        <v>269200</v>
      </c>
    </row>
    <row r="998" ht="17.25" customHeight="1">
      <c r="A998" s="119" t="n">
        <v>990</v>
      </c>
      <c r="B998" s="119" t="inlineStr">
        <is>
          <t>2026/08/26 08:00</t>
        </is>
      </c>
      <c r="C998" s="119" t="inlineStr">
        <is>
          <t>THẠCH THỊ MƯỢNG</t>
        </is>
      </c>
      <c r="D998" s="119" t="inlineStr">
        <is>
          <t>01/01/1943</t>
        </is>
      </c>
      <c r="E998" s="119" t="inlineStr">
        <is>
          <t>Giường Nội khoa loại 2 - Khoa Chấn thương chỉnh hình</t>
        </is>
      </c>
      <c r="F998" s="249" t="n">
        <v>1</v>
      </c>
      <c r="G998" s="249" t="n">
        <v>222300</v>
      </c>
    </row>
    <row r="999" ht="17.25" customHeight="1">
      <c r="A999" s="119" t="n">
        <v>991</v>
      </c>
      <c r="B999" s="119" t="inlineStr">
        <is>
          <t>2026/08/26 08:57</t>
        </is>
      </c>
      <c r="C999" s="119" t="inlineStr">
        <is>
          <t>LA THU NGA</t>
        </is>
      </c>
      <c r="D999" s="119" t="inlineStr">
        <is>
          <t>09/11/1977</t>
        </is>
      </c>
      <c r="E999" s="119" t="inlineStr">
        <is>
          <t>Giường Ngoại khoa loại 1 - Khoa Chấn thương chỉnh hình</t>
        </is>
      </c>
      <c r="F999" s="249" t="n">
        <v>1</v>
      </c>
      <c r="G999" s="249" t="n">
        <v>341800</v>
      </c>
    </row>
    <row r="1000" ht="17.25" customHeight="1">
      <c r="A1000" s="119" t="n">
        <v>992</v>
      </c>
      <c r="B1000" s="119" t="inlineStr">
        <is>
          <t>2026/08/26 09:54</t>
        </is>
      </c>
      <c r="C1000" s="119" t="inlineStr">
        <is>
          <t>VÕ THỊ NGUYÊN</t>
        </is>
      </c>
      <c r="D1000" s="119" t="inlineStr">
        <is>
          <t>17/03/1985</t>
        </is>
      </c>
      <c r="E1000" s="119" t="inlineStr">
        <is>
          <t>Giường Ngoại khoa loại 3 - Khoa Chấn thương chỉnh hình</t>
        </is>
      </c>
      <c r="F1000" s="249" t="n">
        <v>1</v>
      </c>
      <c r="G1000" s="249" t="n">
        <v>269200</v>
      </c>
    </row>
    <row r="1001" ht="17.25" customHeight="1">
      <c r="A1001" s="119" t="n">
        <v>993</v>
      </c>
      <c r="B1001" s="119" t="inlineStr">
        <is>
          <t>2026/08/26 19:35</t>
        </is>
      </c>
      <c r="C1001" s="119" t="inlineStr">
        <is>
          <t>PHẠM VĂN HIẾU</t>
        </is>
      </c>
      <c r="D1001" s="119" t="inlineStr">
        <is>
          <t>06/01/1980</t>
        </is>
      </c>
      <c r="E1001" s="119" t="inlineStr">
        <is>
          <t>Giường Ngoại khoa loại 3 - Khoa Chấn thương chỉnh hình</t>
        </is>
      </c>
      <c r="F1001" s="249" t="n">
        <v>1</v>
      </c>
      <c r="G1001" s="249" t="n">
        <v>269200</v>
      </c>
    </row>
    <row r="1002" ht="17.25" customHeight="1">
      <c r="A1002" s="119" t="n">
        <v>994</v>
      </c>
      <c r="B1002" s="119" t="inlineStr">
        <is>
          <t>2026/08/27 00:00</t>
        </is>
      </c>
      <c r="C1002" s="119" t="inlineStr">
        <is>
          <t>HỒ BÉ TƯ</t>
        </is>
      </c>
      <c r="D1002" s="119" t="inlineStr">
        <is>
          <t>01/01/1957</t>
        </is>
      </c>
      <c r="E1002" s="119" t="inlineStr">
        <is>
          <t>Giường Ngoại khoa loại 1 - Khoa Chấn thương chỉnh hình</t>
        </is>
      </c>
      <c r="F1002" s="249" t="n">
        <v>1</v>
      </c>
      <c r="G1002" s="249" t="n">
        <v>341800</v>
      </c>
    </row>
    <row r="1003" ht="17.25" customHeight="1">
      <c r="A1003" s="119" t="n">
        <v>995</v>
      </c>
      <c r="B1003" s="119" t="inlineStr">
        <is>
          <t>2026/08/27 00:00</t>
        </is>
      </c>
      <c r="C1003" s="119" t="inlineStr">
        <is>
          <t>HỒ THỊ THANH HÀ</t>
        </is>
      </c>
      <c r="D1003" s="119" t="inlineStr">
        <is>
          <t>18/11/1967</t>
        </is>
      </c>
      <c r="E1003" s="119" t="inlineStr">
        <is>
          <t>Giường Ngoại khoa loại 1 - Khoa Chấn thương chỉnh hình</t>
        </is>
      </c>
      <c r="F1003" s="249" t="n">
        <v>1</v>
      </c>
      <c r="G1003" s="249" t="n">
        <v>341800</v>
      </c>
    </row>
    <row r="1004" ht="17.25" customHeight="1">
      <c r="A1004" s="119" t="n">
        <v>996</v>
      </c>
      <c r="B1004" s="119" t="inlineStr">
        <is>
          <t>2026/08/27 00:00</t>
        </is>
      </c>
      <c r="C1004" s="119" t="inlineStr">
        <is>
          <t>HỒNG THỊ BÉ</t>
        </is>
      </c>
      <c r="D1004" s="119" t="inlineStr">
        <is>
          <t>06/02/1950</t>
        </is>
      </c>
      <c r="E1004" s="119" t="inlineStr">
        <is>
          <t>Giường Ngoại khoa loại 4 - Khoa Chấn thương chỉnh hình</t>
        </is>
      </c>
      <c r="F1004" s="249" t="n">
        <v>1</v>
      </c>
      <c r="G1004" s="249" t="n">
        <v>229200</v>
      </c>
    </row>
    <row r="1005" ht="17.25" customHeight="1">
      <c r="A1005" s="119" t="n">
        <v>997</v>
      </c>
      <c r="B1005" s="119" t="inlineStr">
        <is>
          <t>2026/08/27 00:00</t>
        </is>
      </c>
      <c r="C1005" s="119" t="inlineStr">
        <is>
          <t>KIỀU THỊ LỘC</t>
        </is>
      </c>
      <c r="D1005" s="119" t="inlineStr">
        <is>
          <t>25/03/1954</t>
        </is>
      </c>
      <c r="E1005" s="119" t="inlineStr">
        <is>
          <t>Giường Nội khoa loại 2 - Khoa Chấn thương chỉnh hình</t>
        </is>
      </c>
      <c r="F1005" s="249" t="n">
        <v>1</v>
      </c>
      <c r="G1005" s="249" t="n">
        <v>222300</v>
      </c>
    </row>
    <row r="1006" ht="17.25" customHeight="1">
      <c r="A1006" s="119" t="n">
        <v>998</v>
      </c>
      <c r="B1006" s="119" t="inlineStr">
        <is>
          <t>2026/08/27 00:00</t>
        </is>
      </c>
      <c r="C1006" s="119" t="inlineStr">
        <is>
          <t>LA THU NGA</t>
        </is>
      </c>
      <c r="D1006" s="119" t="inlineStr">
        <is>
          <t>09/11/1977</t>
        </is>
      </c>
      <c r="E1006" s="119" t="inlineStr">
        <is>
          <t>Giường Ngoại khoa loại 1 - Khoa Chấn thương chỉnh hình</t>
        </is>
      </c>
      <c r="F1006" s="249" t="n">
        <v>1</v>
      </c>
      <c r="G1006" s="249" t="n">
        <v>341800</v>
      </c>
    </row>
    <row r="1007" ht="17.25" customHeight="1">
      <c r="A1007" s="119" t="n">
        <v>999</v>
      </c>
      <c r="B1007" s="119" t="inlineStr">
        <is>
          <t>2026/08/27 00:00</t>
        </is>
      </c>
      <c r="C1007" s="119" t="inlineStr">
        <is>
          <t>LÂM VĂN TẤN</t>
        </is>
      </c>
      <c r="D1007" s="119" t="inlineStr">
        <is>
          <t>01/01/1969</t>
        </is>
      </c>
      <c r="E1007" s="119" t="inlineStr">
        <is>
          <t>Giường Ngoại khoa loại 1 - Khoa Chấn thương chỉnh hình</t>
        </is>
      </c>
      <c r="F1007" s="249" t="n">
        <v>1</v>
      </c>
      <c r="G1007" s="249" t="n">
        <v>341800</v>
      </c>
    </row>
    <row r="1008" ht="17.25" customHeight="1">
      <c r="A1008" s="119" t="n">
        <v>1000</v>
      </c>
      <c r="B1008" s="119" t="inlineStr">
        <is>
          <t>2026/08/27 00:00</t>
        </is>
      </c>
      <c r="C1008" s="119" t="inlineStr">
        <is>
          <t>LÂM ĐẠI NHƠN</t>
        </is>
      </c>
      <c r="D1008" s="119" t="inlineStr">
        <is>
          <t>02/03/1938</t>
        </is>
      </c>
      <c r="E1008" s="119" t="inlineStr">
        <is>
          <t>Giường Ngoại khoa loại 2 - Khoa Chấn thương chỉnh hình</t>
        </is>
      </c>
      <c r="F1008" s="249" t="n">
        <v>1</v>
      </c>
      <c r="G1008" s="249" t="n">
        <v>301600</v>
      </c>
    </row>
    <row r="1009" ht="17.25" customHeight="1">
      <c r="A1009" s="119" t="n">
        <v>1001</v>
      </c>
      <c r="B1009" s="119" t="inlineStr">
        <is>
          <t>2026/08/27 00:00</t>
        </is>
      </c>
      <c r="C1009" s="119" t="inlineStr">
        <is>
          <t>LÊ THỊ TUYẾT</t>
        </is>
      </c>
      <c r="D1009" s="119" t="inlineStr">
        <is>
          <t>01/01/1959</t>
        </is>
      </c>
      <c r="E1009" s="119" t="inlineStr">
        <is>
          <t>Giường Ngoại khoa loại 4 - Khoa Chấn thương chỉnh hình</t>
        </is>
      </c>
      <c r="F1009" s="249" t="n">
        <v>1</v>
      </c>
      <c r="G1009" s="249" t="n">
        <v>229200</v>
      </c>
    </row>
    <row r="1010" ht="17.25" customHeight="1">
      <c r="A1010" s="119" t="n">
        <v>1002</v>
      </c>
      <c r="B1010" s="119" t="inlineStr">
        <is>
          <t>2026/08/27 00:00</t>
        </is>
      </c>
      <c r="C1010" s="119" t="inlineStr">
        <is>
          <t>LÊ VĂN NÔ</t>
        </is>
      </c>
      <c r="D1010" s="119" t="inlineStr">
        <is>
          <t>01/01/1954</t>
        </is>
      </c>
      <c r="E1010" s="119" t="inlineStr">
        <is>
          <t>Giường Ngoại khoa loại 4 - Khoa Chấn thương chỉnh hình</t>
        </is>
      </c>
      <c r="F1010" s="249" t="n">
        <v>1</v>
      </c>
      <c r="G1010" s="249" t="n">
        <v>229200</v>
      </c>
    </row>
    <row r="1011" ht="17.25" customHeight="1">
      <c r="A1011" s="119" t="n">
        <v>1003</v>
      </c>
      <c r="B1011" s="119" t="inlineStr">
        <is>
          <t>2026/08/27 00:00</t>
        </is>
      </c>
      <c r="C1011" s="119" t="inlineStr">
        <is>
          <t>NGUYỄN VĂN QUẢNG</t>
        </is>
      </c>
      <c r="D1011" s="119" t="inlineStr">
        <is>
          <t>27/06/1976</t>
        </is>
      </c>
      <c r="E1011" s="119" t="inlineStr">
        <is>
          <t>Giường Ngoại khoa loại 2 - Khoa Chấn thương chỉnh hình</t>
        </is>
      </c>
      <c r="F1011" s="249" t="n">
        <v>1</v>
      </c>
      <c r="G1011" s="249" t="n">
        <v>301600</v>
      </c>
    </row>
    <row r="1012" ht="17.25" customHeight="1">
      <c r="A1012" s="119" t="n">
        <v>1004</v>
      </c>
      <c r="B1012" s="119" t="inlineStr">
        <is>
          <t>2026/08/27 00:00</t>
        </is>
      </c>
      <c r="C1012" s="119" t="inlineStr">
        <is>
          <t>NGUYỄN ĐÌNH NGỌC GIÀU</t>
        </is>
      </c>
      <c r="D1012" s="119" t="inlineStr">
        <is>
          <t>11/08/1993</t>
        </is>
      </c>
      <c r="E1012" s="119" t="inlineStr">
        <is>
          <t>Giường Ngoại khoa loại 1 - Khoa Chấn thương chỉnh hình</t>
        </is>
      </c>
      <c r="F1012" s="249" t="n">
        <v>1</v>
      </c>
      <c r="G1012" s="249" t="n">
        <v>341800</v>
      </c>
    </row>
    <row r="1013" ht="17.25" customHeight="1">
      <c r="A1013" s="119" t="n">
        <v>1005</v>
      </c>
      <c r="B1013" s="119" t="inlineStr">
        <is>
          <t>2026/08/27 00:00</t>
        </is>
      </c>
      <c r="C1013" s="119" t="inlineStr">
        <is>
          <t>PHAN MỸ LỆ</t>
        </is>
      </c>
      <c r="D1013" s="119" t="inlineStr">
        <is>
          <t>01/01/1962</t>
        </is>
      </c>
      <c r="E1013" s="119" t="inlineStr">
        <is>
          <t>Giường Ngoại khoa loại 2 - Khoa Chấn thương chỉnh hình</t>
        </is>
      </c>
      <c r="F1013" s="249" t="n">
        <v>1</v>
      </c>
      <c r="G1013" s="249" t="n">
        <v>301600</v>
      </c>
    </row>
    <row r="1014" ht="17.25" customHeight="1">
      <c r="A1014" s="119" t="n">
        <v>1006</v>
      </c>
      <c r="B1014" s="119" t="inlineStr">
        <is>
          <t>2026/08/27 00:00</t>
        </is>
      </c>
      <c r="C1014" s="119" t="inlineStr">
        <is>
          <t>THẠCH THỊ MƯỢNG</t>
        </is>
      </c>
      <c r="D1014" s="119" t="inlineStr">
        <is>
          <t>01/01/1943</t>
        </is>
      </c>
      <c r="E1014" s="119" t="inlineStr">
        <is>
          <t>Giường Nội khoa loại 2 - Khoa Chấn thương chỉnh hình</t>
        </is>
      </c>
      <c r="F1014" s="249" t="n">
        <v>1</v>
      </c>
      <c r="G1014" s="249" t="n">
        <v>222300</v>
      </c>
    </row>
    <row r="1015" ht="17.25" customHeight="1">
      <c r="A1015" s="119" t="n">
        <v>1007</v>
      </c>
      <c r="B1015" s="119" t="inlineStr">
        <is>
          <t>2026/08/27 00:00</t>
        </is>
      </c>
      <c r="C1015" s="119" t="inlineStr">
        <is>
          <t>TRƯƠNG THỊ NHƯ QUỲNH</t>
        </is>
      </c>
      <c r="D1015" s="119" t="inlineStr">
        <is>
          <t>10/06/2005</t>
        </is>
      </c>
      <c r="E1015" s="119" t="inlineStr">
        <is>
          <t>Giường Nội khoa loại 2 - Khoa Chấn thương chỉnh hình</t>
        </is>
      </c>
      <c r="F1015" s="249" t="n">
        <v>1</v>
      </c>
      <c r="G1015" s="249" t="n">
        <v>222300</v>
      </c>
    </row>
    <row r="1016" ht="17.25" customHeight="1">
      <c r="A1016" s="119" t="n">
        <v>1008</v>
      </c>
      <c r="B1016" s="119" t="inlineStr">
        <is>
          <t>2026/08/27 00:00</t>
        </is>
      </c>
      <c r="C1016" s="119" t="inlineStr">
        <is>
          <t>TRƯƠNG THỊ ĐỨC</t>
        </is>
      </c>
      <c r="D1016" s="119" t="inlineStr">
        <is>
          <t>17/03/1958</t>
        </is>
      </c>
      <c r="E1016" s="119" t="inlineStr">
        <is>
          <t>Giường Nội khoa loại 2 - Khoa Chấn thương chỉnh hình</t>
        </is>
      </c>
      <c r="F1016" s="249" t="n">
        <v>1</v>
      </c>
      <c r="G1016" s="249" t="n">
        <v>222300</v>
      </c>
    </row>
    <row r="1017" ht="17.25" customHeight="1">
      <c r="A1017" s="119" t="n">
        <v>1009</v>
      </c>
      <c r="B1017" s="119" t="inlineStr">
        <is>
          <t>2026/08/27 00:00</t>
        </is>
      </c>
      <c r="C1017" s="119" t="inlineStr">
        <is>
          <t>TRẦN THỊ NGỌC DIỄM</t>
        </is>
      </c>
      <c r="D1017" s="119" t="inlineStr">
        <is>
          <t>22/03/1996</t>
        </is>
      </c>
      <c r="E1017" s="119" t="inlineStr">
        <is>
          <t>Giường Ngoại khoa loại 3 - Khoa Chấn thương chỉnh hình</t>
        </is>
      </c>
      <c r="F1017" s="249" t="n">
        <v>1</v>
      </c>
      <c r="G1017" s="249" t="n">
        <v>269200</v>
      </c>
    </row>
    <row r="1018" ht="17.25" customHeight="1">
      <c r="A1018" s="119" t="n">
        <v>1010</v>
      </c>
      <c r="B1018" s="119" t="inlineStr">
        <is>
          <t>2026/08/28 00:00</t>
        </is>
      </c>
      <c r="C1018" s="119" t="inlineStr">
        <is>
          <t>HỒ BÉ TƯ</t>
        </is>
      </c>
      <c r="D1018" s="119" t="inlineStr">
        <is>
          <t>01/01/1957</t>
        </is>
      </c>
      <c r="E1018" s="119" t="inlineStr">
        <is>
          <t>Giường Ngoại khoa loại 1 - Khoa Chấn thương chỉnh hình</t>
        </is>
      </c>
      <c r="F1018" s="249" t="n">
        <v>1</v>
      </c>
      <c r="G1018" s="249" t="n">
        <v>341800</v>
      </c>
    </row>
    <row r="1019" ht="17.25" customHeight="1">
      <c r="A1019" s="119" t="n">
        <v>1011</v>
      </c>
      <c r="B1019" s="119" t="inlineStr">
        <is>
          <t>2026/08/28 00:00</t>
        </is>
      </c>
      <c r="C1019" s="119" t="inlineStr">
        <is>
          <t>LA THU NGA</t>
        </is>
      </c>
      <c r="D1019" s="119" t="inlineStr">
        <is>
          <t>09/11/1977</t>
        </is>
      </c>
      <c r="E1019" s="119" t="inlineStr">
        <is>
          <t>Giường Ngoại khoa loại 1 - Khoa Chấn thương chỉnh hình</t>
        </is>
      </c>
      <c r="F1019" s="249" t="n">
        <v>1</v>
      </c>
      <c r="G1019" s="249" t="n">
        <v>341800</v>
      </c>
    </row>
    <row r="1020" ht="17.25" customHeight="1">
      <c r="A1020" s="119" t="n">
        <v>1012</v>
      </c>
      <c r="B1020" s="119" t="inlineStr">
        <is>
          <t>2026/08/29 00:00</t>
        </is>
      </c>
      <c r="C1020" s="119" t="inlineStr">
        <is>
          <t>HỒ BÉ TƯ</t>
        </is>
      </c>
      <c r="D1020" s="119" t="inlineStr">
        <is>
          <t>01/01/1957</t>
        </is>
      </c>
      <c r="E1020" s="119" t="inlineStr">
        <is>
          <t>Giường Ngoại khoa loại 1 - Khoa Chấn thương chỉnh hình</t>
        </is>
      </c>
      <c r="F1020" s="249" t="n">
        <v>1</v>
      </c>
      <c r="G1020" s="249" t="n">
        <v>341800</v>
      </c>
    </row>
    <row r="1021" ht="17.25" customHeight="1">
      <c r="A1021" s="119" t="n">
        <v>1013</v>
      </c>
      <c r="B1021" s="119" t="inlineStr">
        <is>
          <t>2026/08/29 00:00</t>
        </is>
      </c>
      <c r="C1021" s="119" t="inlineStr">
        <is>
          <t>LA THU NGA</t>
        </is>
      </c>
      <c r="D1021" s="119" t="inlineStr">
        <is>
          <t>09/11/1977</t>
        </is>
      </c>
      <c r="E1021" s="119" t="inlineStr">
        <is>
          <t>Giường Ngoại khoa loại 1 - Khoa Chấn thương chỉnh hình</t>
        </is>
      </c>
      <c r="F1021" s="249" t="n">
        <v>1</v>
      </c>
      <c r="G1021" s="249" t="n">
        <v>341800</v>
      </c>
    </row>
    <row r="1022" ht="17.25" customHeight="1">
      <c r="A1022" s="119" t="n">
        <v>1014</v>
      </c>
      <c r="B1022" s="119" t="inlineStr">
        <is>
          <t>2026/08/30 00:00</t>
        </is>
      </c>
      <c r="C1022" s="119" t="inlineStr">
        <is>
          <t>HỒ BÉ TƯ</t>
        </is>
      </c>
      <c r="D1022" s="119" t="inlineStr">
        <is>
          <t>01/01/1957</t>
        </is>
      </c>
      <c r="E1022" s="119" t="inlineStr">
        <is>
          <t>Giường Ngoại khoa loại 1 - Khoa Chấn thương chỉnh hình</t>
        </is>
      </c>
      <c r="F1022" s="249" t="n">
        <v>1</v>
      </c>
      <c r="G1022" s="249" t="n">
        <v>341800</v>
      </c>
    </row>
    <row r="1023" ht="17.25" customHeight="1">
      <c r="A1023" s="119" t="n">
        <v>1015</v>
      </c>
      <c r="B1023" s="119" t="inlineStr">
        <is>
          <t>2026/08/30 00:00</t>
        </is>
      </c>
      <c r="C1023" s="119" t="inlineStr">
        <is>
          <t>LA THU NGA</t>
        </is>
      </c>
      <c r="D1023" s="119" t="inlineStr">
        <is>
          <t>09/11/1977</t>
        </is>
      </c>
      <c r="E1023" s="119" t="inlineStr">
        <is>
          <t>Giường Ngoại khoa loại 1 - Khoa Chấn thương chỉnh hình</t>
        </is>
      </c>
      <c r="F1023" s="249" t="n">
        <v>1</v>
      </c>
      <c r="G1023" s="249" t="n">
        <v>341800</v>
      </c>
    </row>
    <row r="1024" ht="17.25" customHeight="1">
      <c r="A1024" s="119" t="n">
        <v>1016</v>
      </c>
      <c r="B1024" s="119" t="inlineStr">
        <is>
          <t>2026/08/31 00:00</t>
        </is>
      </c>
      <c r="C1024" s="119" t="inlineStr">
        <is>
          <t>LA THU NGA</t>
        </is>
      </c>
      <c r="D1024" s="119" t="inlineStr">
        <is>
          <t>09/11/1977</t>
        </is>
      </c>
      <c r="E1024" s="119" t="inlineStr">
        <is>
          <t>Giường Ngoại khoa loại 1 - Khoa Chấn thương chỉnh hình</t>
        </is>
      </c>
      <c r="F1024" s="249" t="n">
        <v>1</v>
      </c>
      <c r="G1024" s="249" t="n">
        <v>341800</v>
      </c>
    </row>
    <row r="1025" hidden="1" ht="17.25" customHeight="1">
      <c r="A1025" s="119" t="n"/>
      <c r="B1025" s="119" t="n"/>
      <c r="C1025" s="119" t="n"/>
      <c r="D1025" s="119" t="n"/>
      <c r="E1025" s="119" t="n"/>
      <c r="F1025" s="249" t="n"/>
      <c r="G1025" s="249" t="n"/>
    </row>
    <row r="1026" hidden="1" ht="17.25" customHeight="1">
      <c r="A1026" s="119" t="n"/>
      <c r="B1026" s="119" t="n"/>
      <c r="C1026" s="119" t="n"/>
      <c r="D1026" s="119" t="n"/>
      <c r="E1026" s="119" t="n"/>
      <c r="F1026" s="249" t="n"/>
      <c r="G1026" s="249" t="n"/>
    </row>
    <row r="1027" hidden="1" ht="17.25" customHeight="1">
      <c r="A1027" s="119" t="n"/>
      <c r="B1027" s="119" t="n"/>
      <c r="C1027" s="119" t="n"/>
      <c r="D1027" s="119" t="n"/>
      <c r="E1027" s="119" t="n"/>
      <c r="F1027" s="249" t="n"/>
      <c r="G1027" s="249" t="n"/>
    </row>
    <row r="1028" hidden="1" ht="17.25" customHeight="1">
      <c r="A1028" s="119" t="n"/>
      <c r="B1028" s="119" t="n"/>
      <c r="C1028" s="119" t="n"/>
      <c r="D1028" s="119" t="n"/>
      <c r="E1028" s="119" t="n"/>
      <c r="F1028" s="249" t="n"/>
      <c r="G1028" s="249" t="n"/>
    </row>
    <row r="1029" hidden="1" ht="17.25" customHeight="1">
      <c r="A1029" s="119" t="n"/>
      <c r="B1029" s="119" t="n"/>
      <c r="C1029" s="119" t="n"/>
      <c r="D1029" s="119" t="n"/>
      <c r="E1029" s="119" t="n"/>
      <c r="F1029" s="249" t="n"/>
      <c r="G1029" s="249" t="n"/>
    </row>
    <row r="1030" hidden="1" ht="17.25" customHeight="1">
      <c r="A1030" s="119" t="n"/>
      <c r="B1030" s="119" t="n"/>
      <c r="C1030" s="119" t="n"/>
      <c r="D1030" s="119" t="n"/>
      <c r="E1030" s="119" t="n"/>
      <c r="F1030" s="249" t="n"/>
      <c r="G1030" s="249" t="n"/>
    </row>
    <row r="1031" hidden="1" ht="17.25" customHeight="1">
      <c r="A1031" s="119" t="n"/>
      <c r="B1031" s="119" t="n"/>
      <c r="C1031" s="119" t="n"/>
      <c r="D1031" s="119" t="n"/>
      <c r="E1031" s="119" t="n"/>
      <c r="F1031" s="249" t="n"/>
      <c r="G1031" s="249" t="n"/>
    </row>
    <row r="1032" hidden="1" ht="17.25" customHeight="1">
      <c r="A1032" s="119" t="n"/>
      <c r="B1032" s="119" t="n"/>
      <c r="C1032" s="119" t="n"/>
      <c r="D1032" s="119" t="n"/>
      <c r="E1032" s="119" t="n"/>
      <c r="F1032" s="249" t="n"/>
      <c r="G1032" s="249" t="n"/>
    </row>
    <row r="1033" hidden="1" ht="17.25" customHeight="1">
      <c r="A1033" s="119" t="n"/>
      <c r="B1033" s="119" t="n"/>
      <c r="C1033" s="119" t="n"/>
      <c r="D1033" s="119" t="n"/>
      <c r="E1033" s="119" t="n"/>
      <c r="F1033" s="249" t="n"/>
      <c r="G1033" s="249" t="n"/>
    </row>
    <row r="1034" hidden="1" ht="17.25" customHeight="1">
      <c r="A1034" s="119" t="n"/>
      <c r="B1034" s="119" t="n"/>
      <c r="C1034" s="119" t="n"/>
      <c r="D1034" s="119" t="n"/>
      <c r="E1034" s="119" t="n"/>
      <c r="F1034" s="249" t="n"/>
      <c r="G1034" s="249" t="n"/>
    </row>
    <row r="1035" hidden="1" ht="17.25" customHeight="1">
      <c r="A1035" s="119" t="n"/>
      <c r="B1035" s="119" t="n"/>
      <c r="C1035" s="119" t="n"/>
      <c r="D1035" s="119" t="n"/>
      <c r="E1035" s="119" t="n"/>
      <c r="F1035" s="249" t="n"/>
      <c r="G1035" s="249" t="n"/>
    </row>
    <row r="1036" hidden="1" ht="17.25" customHeight="1">
      <c r="A1036" s="119" t="n"/>
      <c r="B1036" s="119" t="n"/>
      <c r="C1036" s="119" t="n"/>
      <c r="D1036" s="119" t="n"/>
      <c r="E1036" s="119" t="n"/>
      <c r="F1036" s="249" t="n"/>
      <c r="G1036" s="249" t="n"/>
    </row>
    <row r="1037" hidden="1" ht="17.25" customHeight="1">
      <c r="A1037" s="119" t="n"/>
      <c r="B1037" s="119" t="n"/>
      <c r="C1037" s="119" t="n"/>
      <c r="D1037" s="119" t="n"/>
      <c r="E1037" s="119" t="n"/>
      <c r="F1037" s="249" t="n"/>
      <c r="G1037" s="249" t="n"/>
    </row>
    <row r="1038" hidden="1" ht="17.25" customHeight="1">
      <c r="A1038" s="119" t="n"/>
      <c r="B1038" s="119" t="n"/>
      <c r="C1038" s="119" t="n"/>
      <c r="D1038" s="119" t="n"/>
      <c r="E1038" s="119" t="n"/>
      <c r="F1038" s="249" t="n"/>
      <c r="G1038" s="249" t="n"/>
    </row>
    <row r="1039" hidden="1" ht="17.25" customHeight="1">
      <c r="A1039" s="119" t="n"/>
      <c r="B1039" s="119" t="n"/>
      <c r="C1039" s="119" t="n"/>
      <c r="D1039" s="119" t="n"/>
      <c r="E1039" s="119" t="n"/>
      <c r="F1039" s="249" t="n"/>
      <c r="G1039" s="249" t="n"/>
    </row>
    <row r="1040" hidden="1" ht="17.25" customHeight="1">
      <c r="A1040" s="119" t="n"/>
      <c r="B1040" s="119" t="n"/>
      <c r="C1040" s="119" t="n"/>
      <c r="D1040" s="119" t="n"/>
      <c r="E1040" s="119" t="n"/>
      <c r="F1040" s="249" t="n"/>
      <c r="G1040" s="249" t="n"/>
    </row>
    <row r="1041" hidden="1" ht="17.25" customHeight="1">
      <c r="A1041" s="119" t="n"/>
      <c r="B1041" s="119" t="n"/>
      <c r="C1041" s="119" t="n"/>
      <c r="D1041" s="119" t="n"/>
      <c r="E1041" s="119" t="n"/>
      <c r="F1041" s="249" t="n"/>
      <c r="G1041" s="249" t="n"/>
    </row>
    <row r="1042" hidden="1" ht="17.25" customHeight="1">
      <c r="A1042" s="119" t="n"/>
      <c r="B1042" s="119" t="n"/>
      <c r="C1042" s="119" t="n"/>
      <c r="D1042" s="119" t="n"/>
      <c r="E1042" s="119" t="n"/>
      <c r="F1042" s="249" t="n"/>
      <c r="G1042" s="249" t="n"/>
    </row>
    <row r="1043" hidden="1" ht="17.25" customHeight="1">
      <c r="A1043" s="119" t="n"/>
      <c r="B1043" s="119" t="n"/>
      <c r="C1043" s="119" t="n"/>
      <c r="D1043" s="119" t="n"/>
      <c r="E1043" s="119" t="n"/>
      <c r="F1043" s="249" t="n"/>
      <c r="G1043" s="249" t="n"/>
    </row>
    <row r="1044" hidden="1" ht="17.25" customHeight="1">
      <c r="A1044" s="119" t="n"/>
      <c r="B1044" s="119" t="n"/>
      <c r="C1044" s="119" t="n"/>
      <c r="D1044" s="119" t="n"/>
      <c r="E1044" s="119" t="n"/>
      <c r="F1044" s="249" t="n"/>
      <c r="G1044" s="249" t="n"/>
    </row>
    <row r="1045" hidden="1" ht="17.25" customHeight="1">
      <c r="A1045" s="119" t="n"/>
      <c r="B1045" s="119" t="n"/>
      <c r="C1045" s="119" t="n"/>
      <c r="D1045" s="119" t="n"/>
      <c r="E1045" s="119" t="n"/>
      <c r="F1045" s="249" t="n"/>
      <c r="G1045" s="249" t="n"/>
    </row>
    <row r="1046" hidden="1" ht="17.25" customHeight="1">
      <c r="A1046" s="119" t="n"/>
      <c r="B1046" s="119" t="n"/>
      <c r="C1046" s="119" t="n"/>
      <c r="D1046" s="119" t="n"/>
      <c r="E1046" s="119" t="n"/>
      <c r="F1046" s="249" t="n"/>
      <c r="G1046" s="249" t="n"/>
    </row>
    <row r="1047" hidden="1" ht="17.25" customHeight="1">
      <c r="A1047" s="119" t="n"/>
      <c r="B1047" s="119" t="n"/>
      <c r="C1047" s="119" t="n"/>
      <c r="D1047" s="119" t="n"/>
      <c r="E1047" s="119" t="n"/>
      <c r="F1047" s="249" t="n"/>
      <c r="G1047" s="249" t="n"/>
    </row>
    <row r="1048" hidden="1" ht="17.25" customHeight="1">
      <c r="A1048" s="119" t="n"/>
      <c r="B1048" s="119" t="n"/>
      <c r="C1048" s="119" t="n"/>
      <c r="D1048" s="119" t="n"/>
      <c r="E1048" s="119" t="n"/>
      <c r="F1048" s="249" t="n"/>
      <c r="G1048" s="249" t="n"/>
    </row>
    <row r="1049" hidden="1" ht="17.25" customHeight="1">
      <c r="A1049" s="119" t="n"/>
      <c r="B1049" s="119" t="n"/>
      <c r="C1049" s="119" t="n"/>
      <c r="D1049" s="119" t="n"/>
      <c r="E1049" s="119" t="n"/>
      <c r="F1049" s="249" t="n"/>
      <c r="G1049" s="249" t="n"/>
    </row>
    <row r="1050" hidden="1" ht="17.25" customHeight="1">
      <c r="A1050" s="119" t="n"/>
      <c r="B1050" s="119" t="n"/>
      <c r="C1050" s="119" t="n"/>
      <c r="D1050" s="119" t="n"/>
      <c r="E1050" s="119" t="n"/>
      <c r="F1050" s="249" t="n"/>
      <c r="G1050" s="249" t="n"/>
    </row>
    <row r="1051" hidden="1" ht="17.25" customHeight="1">
      <c r="A1051" s="119" t="n"/>
      <c r="B1051" s="119" t="n"/>
      <c r="C1051" s="119" t="n"/>
      <c r="D1051" s="119" t="n"/>
      <c r="E1051" s="119" t="n"/>
      <c r="F1051" s="249" t="n"/>
      <c r="G1051" s="249" t="n"/>
    </row>
    <row r="1052" hidden="1" ht="17.25" customHeight="1">
      <c r="A1052" s="119" t="n"/>
      <c r="B1052" s="119" t="n"/>
      <c r="C1052" s="119" t="n"/>
      <c r="D1052" s="119" t="n"/>
      <c r="E1052" s="119" t="n"/>
      <c r="F1052" s="249" t="n"/>
      <c r="G1052" s="249" t="n"/>
    </row>
    <row r="1053" hidden="1" ht="17.25" customHeight="1">
      <c r="A1053" s="119" t="n"/>
      <c r="B1053" s="119" t="n"/>
      <c r="C1053" s="119" t="n"/>
      <c r="D1053" s="119" t="n"/>
      <c r="E1053" s="119" t="n"/>
      <c r="F1053" s="249" t="n"/>
      <c r="G1053" s="249" t="n"/>
    </row>
    <row r="1054" hidden="1" ht="17.25" customHeight="1">
      <c r="A1054" s="119" t="n"/>
      <c r="B1054" s="119" t="n"/>
      <c r="C1054" s="119" t="n"/>
      <c r="D1054" s="119" t="n"/>
      <c r="E1054" s="119" t="n"/>
      <c r="F1054" s="249" t="n"/>
      <c r="G1054" s="249" t="n"/>
    </row>
    <row r="1055" hidden="1" ht="17.25" customHeight="1">
      <c r="A1055" s="119" t="n"/>
      <c r="B1055" s="119" t="n"/>
      <c r="C1055" s="119" t="n"/>
      <c r="D1055" s="119" t="n"/>
      <c r="E1055" s="119" t="n"/>
      <c r="F1055" s="249" t="n"/>
      <c r="G1055" s="249" t="n"/>
    </row>
    <row r="1056" hidden="1" ht="17.25" customHeight="1">
      <c r="A1056" s="119" t="n"/>
      <c r="B1056" s="119" t="n"/>
      <c r="C1056" s="119" t="n"/>
      <c r="D1056" s="119" t="n"/>
      <c r="E1056" s="119" t="n"/>
      <c r="F1056" s="249" t="n"/>
      <c r="G1056" s="249" t="n"/>
    </row>
    <row r="1057" hidden="1" ht="17.25" customHeight="1">
      <c r="A1057" s="119" t="n"/>
      <c r="B1057" s="119" t="n"/>
      <c r="C1057" s="119" t="n"/>
      <c r="D1057" s="119" t="n"/>
      <c r="E1057" s="119" t="n"/>
      <c r="F1057" s="249" t="n"/>
      <c r="G1057" s="249" t="n"/>
    </row>
    <row r="1058" hidden="1" ht="17.25" customHeight="1">
      <c r="A1058" s="119" t="n"/>
      <c r="B1058" s="119" t="n"/>
      <c r="C1058" s="119" t="n"/>
      <c r="D1058" s="119" t="n"/>
      <c r="E1058" s="119" t="n"/>
      <c r="F1058" s="249" t="n"/>
      <c r="G1058" s="249" t="n"/>
    </row>
    <row r="1059" hidden="1" ht="17.25" customHeight="1">
      <c r="A1059" s="119" t="n"/>
      <c r="B1059" s="119" t="n"/>
      <c r="C1059" s="119" t="n"/>
      <c r="D1059" s="119" t="n"/>
      <c r="E1059" s="119" t="n"/>
      <c r="F1059" s="249" t="n"/>
      <c r="G1059" s="249" t="n"/>
    </row>
    <row r="1060" hidden="1" ht="17.25" customHeight="1">
      <c r="A1060" s="119" t="n"/>
      <c r="B1060" s="119" t="n"/>
      <c r="C1060" s="119" t="n"/>
      <c r="D1060" s="119" t="n"/>
      <c r="E1060" s="119" t="n"/>
      <c r="F1060" s="249" t="n"/>
      <c r="G1060" s="249" t="n"/>
    </row>
    <row r="1061" hidden="1" ht="17.25" customHeight="1">
      <c r="A1061" s="119" t="n"/>
      <c r="B1061" s="119" t="n"/>
      <c r="C1061" s="119" t="n"/>
      <c r="D1061" s="119" t="n"/>
      <c r="E1061" s="119" t="n"/>
      <c r="F1061" s="249" t="n"/>
      <c r="G1061" s="249" t="n"/>
    </row>
    <row r="1062" hidden="1" ht="17.25" customHeight="1">
      <c r="A1062" s="119" t="n"/>
      <c r="B1062" s="119" t="n"/>
      <c r="C1062" s="119" t="n"/>
      <c r="D1062" s="119" t="n"/>
      <c r="E1062" s="119" t="n"/>
      <c r="F1062" s="249" t="n"/>
      <c r="G1062" s="249" t="n"/>
    </row>
    <row r="1063" hidden="1" ht="17.25" customHeight="1">
      <c r="A1063" s="119" t="n"/>
      <c r="B1063" s="119" t="n"/>
      <c r="C1063" s="119" t="n"/>
      <c r="D1063" s="119" t="n"/>
      <c r="E1063" s="119" t="n"/>
      <c r="F1063" s="249" t="n"/>
      <c r="G1063" s="249" t="n"/>
    </row>
    <row r="1064" hidden="1" ht="17.25" customHeight="1">
      <c r="A1064" s="119" t="n"/>
      <c r="B1064" s="119" t="n"/>
      <c r="C1064" s="119" t="n"/>
      <c r="D1064" s="119" t="n"/>
      <c r="E1064" s="119" t="n"/>
      <c r="F1064" s="249" t="n"/>
      <c r="G1064" s="249" t="n"/>
    </row>
    <row r="1065" hidden="1" ht="17.25" customHeight="1">
      <c r="A1065" s="119" t="n"/>
      <c r="B1065" s="119" t="n"/>
      <c r="C1065" s="119" t="n"/>
      <c r="D1065" s="119" t="n"/>
      <c r="E1065" s="119" t="n"/>
      <c r="F1065" s="249" t="n"/>
      <c r="G1065" s="249" t="n"/>
    </row>
    <row r="1066" hidden="1" ht="17.25" customHeight="1">
      <c r="A1066" s="119" t="n"/>
      <c r="B1066" s="119" t="n"/>
      <c r="C1066" s="119" t="n"/>
      <c r="D1066" s="119" t="n"/>
      <c r="E1066" s="119" t="n"/>
      <c r="F1066" s="249" t="n"/>
      <c r="G1066" s="249" t="n"/>
    </row>
    <row r="1067" hidden="1" ht="17.25" customHeight="1">
      <c r="A1067" s="119" t="n"/>
      <c r="B1067" s="119" t="n"/>
      <c r="C1067" s="119" t="n"/>
      <c r="D1067" s="119" t="n"/>
      <c r="E1067" s="119" t="n"/>
      <c r="F1067" s="249" t="n"/>
      <c r="G1067" s="249" t="n"/>
    </row>
    <row r="1068" hidden="1" ht="17.25" customHeight="1">
      <c r="A1068" s="119" t="n"/>
      <c r="B1068" s="119" t="n"/>
      <c r="C1068" s="119" t="n"/>
      <c r="D1068" s="119" t="n"/>
      <c r="E1068" s="119" t="n"/>
      <c r="F1068" s="249" t="n"/>
      <c r="G1068" s="249" t="n"/>
    </row>
    <row r="1069" hidden="1" ht="17.25" customHeight="1">
      <c r="A1069" s="119" t="n"/>
      <c r="B1069" s="119" t="n"/>
      <c r="C1069" s="119" t="n"/>
      <c r="D1069" s="119" t="n"/>
      <c r="E1069" s="119" t="n"/>
      <c r="F1069" s="249" t="n"/>
      <c r="G1069" s="249" t="n"/>
    </row>
    <row r="1070" hidden="1" ht="17.25" customHeight="1">
      <c r="A1070" s="119" t="n"/>
      <c r="B1070" s="119" t="n"/>
      <c r="C1070" s="119" t="n"/>
      <c r="D1070" s="119" t="n"/>
      <c r="E1070" s="119" t="n"/>
      <c r="F1070" s="249" t="n"/>
      <c r="G1070" s="249" t="n"/>
    </row>
    <row r="1071" hidden="1" ht="17.25" customHeight="1">
      <c r="A1071" s="119" t="n"/>
      <c r="B1071" s="119" t="n"/>
      <c r="C1071" s="119" t="n"/>
      <c r="D1071" s="119" t="n"/>
      <c r="E1071" s="119" t="n"/>
      <c r="F1071" s="249" t="n"/>
      <c r="G1071" s="249" t="n"/>
    </row>
    <row r="1072" hidden="1" ht="17.25" customHeight="1">
      <c r="A1072" s="119" t="n"/>
      <c r="B1072" s="119" t="n"/>
      <c r="C1072" s="119" t="n"/>
      <c r="D1072" s="119" t="n"/>
      <c r="E1072" s="119" t="n"/>
      <c r="F1072" s="249" t="n"/>
      <c r="G1072" s="249" t="n"/>
    </row>
    <row r="1073" hidden="1" ht="17.25" customHeight="1">
      <c r="A1073" s="119" t="n"/>
      <c r="B1073" s="119" t="n"/>
      <c r="C1073" s="119" t="n"/>
      <c r="D1073" s="119" t="n"/>
      <c r="E1073" s="119" t="n"/>
      <c r="F1073" s="249" t="n"/>
      <c r="G1073" s="249" t="n"/>
    </row>
    <row r="1074" hidden="1" ht="17.25" customHeight="1">
      <c r="A1074" s="119" t="n"/>
      <c r="B1074" s="119" t="n"/>
      <c r="C1074" s="119" t="n"/>
      <c r="D1074" s="119" t="n"/>
      <c r="E1074" s="119" t="n"/>
      <c r="F1074" s="249" t="n"/>
      <c r="G1074" s="249" t="n"/>
    </row>
    <row r="1075" hidden="1" ht="17.25" customHeight="1">
      <c r="A1075" s="119" t="n"/>
      <c r="B1075" s="119" t="n"/>
      <c r="C1075" s="119" t="n"/>
      <c r="D1075" s="119" t="n"/>
      <c r="E1075" s="119" t="n"/>
      <c r="F1075" s="249" t="n"/>
      <c r="G1075" s="249" t="n"/>
    </row>
    <row r="1076" hidden="1" ht="17.25" customHeight="1">
      <c r="A1076" s="119" t="n"/>
      <c r="B1076" s="119" t="n"/>
      <c r="C1076" s="119" t="n"/>
      <c r="D1076" s="119" t="n"/>
      <c r="E1076" s="119" t="n"/>
      <c r="F1076" s="249" t="n"/>
      <c r="G1076" s="249" t="n"/>
    </row>
    <row r="1077" hidden="1" ht="17.25" customHeight="1">
      <c r="A1077" s="119" t="n"/>
      <c r="B1077" s="119" t="n"/>
      <c r="C1077" s="119" t="n"/>
      <c r="D1077" s="119" t="n"/>
      <c r="E1077" s="119" t="n"/>
      <c r="F1077" s="249" t="n"/>
      <c r="G1077" s="249" t="n"/>
    </row>
    <row r="1078" hidden="1" ht="17.25" customHeight="1">
      <c r="A1078" s="119" t="n"/>
      <c r="B1078" s="119" t="n"/>
      <c r="C1078" s="119" t="n"/>
      <c r="D1078" s="119" t="n"/>
      <c r="E1078" s="119" t="n"/>
      <c r="F1078" s="249" t="n"/>
      <c r="G1078" s="249" t="n"/>
    </row>
    <row r="1079" hidden="1" ht="17.25" customHeight="1">
      <c r="A1079" s="119" t="n"/>
      <c r="B1079" s="119" t="n"/>
      <c r="C1079" s="119" t="n"/>
      <c r="D1079" s="119" t="n"/>
      <c r="E1079" s="119" t="n"/>
      <c r="F1079" s="249" t="n"/>
      <c r="G1079" s="249" t="n"/>
    </row>
    <row r="1080" hidden="1" ht="17.25" customHeight="1">
      <c r="A1080" s="119" t="n"/>
      <c r="B1080" s="119" t="n"/>
      <c r="C1080" s="119" t="n"/>
      <c r="D1080" s="119" t="n"/>
      <c r="E1080" s="119" t="n"/>
      <c r="F1080" s="249" t="n"/>
      <c r="G1080" s="249" t="n"/>
    </row>
    <row r="1081" hidden="1" ht="17.25" customHeight="1">
      <c r="A1081" s="119" t="n"/>
      <c r="B1081" s="119" t="n"/>
      <c r="C1081" s="119" t="n"/>
      <c r="D1081" s="119" t="n"/>
      <c r="E1081" s="119" t="n"/>
      <c r="F1081" s="249" t="n"/>
      <c r="G1081" s="249" t="n"/>
    </row>
    <row r="1082" hidden="1" ht="17.25" customHeight="1">
      <c r="A1082" s="119" t="n"/>
      <c r="B1082" s="119" t="n"/>
      <c r="C1082" s="119" t="n"/>
      <c r="D1082" s="119" t="n"/>
      <c r="E1082" s="119" t="n"/>
      <c r="F1082" s="249" t="n"/>
      <c r="G1082" s="249" t="n"/>
    </row>
    <row r="1083" hidden="1" ht="17.25" customHeight="1">
      <c r="A1083" s="119" t="n"/>
      <c r="B1083" s="119" t="n"/>
      <c r="C1083" s="119" t="n"/>
      <c r="D1083" s="119" t="n"/>
      <c r="E1083" s="119" t="n"/>
      <c r="F1083" s="249" t="n"/>
      <c r="G1083" s="249" t="n"/>
    </row>
    <row r="1084" hidden="1" ht="17.25" customHeight="1">
      <c r="A1084" s="119" t="n"/>
      <c r="B1084" s="119" t="n"/>
      <c r="C1084" s="119" t="n"/>
      <c r="D1084" s="119" t="n"/>
      <c r="E1084" s="119" t="n"/>
      <c r="F1084" s="249" t="n"/>
      <c r="G1084" s="249" t="n"/>
    </row>
    <row r="1085" hidden="1" ht="17.25" customHeight="1">
      <c r="A1085" s="119" t="n"/>
      <c r="B1085" s="119" t="n"/>
      <c r="C1085" s="119" t="n"/>
      <c r="D1085" s="119" t="n"/>
      <c r="E1085" s="119" t="n"/>
      <c r="F1085" s="249" t="n"/>
      <c r="G1085" s="249" t="n"/>
    </row>
    <row r="1086" hidden="1" ht="17.25" customHeight="1">
      <c r="A1086" s="119" t="n"/>
      <c r="B1086" s="119" t="n"/>
      <c r="C1086" s="119" t="n"/>
      <c r="D1086" s="119" t="n"/>
      <c r="E1086" s="119" t="n"/>
      <c r="F1086" s="249" t="n"/>
      <c r="G1086" s="249" t="n"/>
    </row>
    <row r="1087" hidden="1" ht="17.25" customHeight="1">
      <c r="A1087" s="119" t="n"/>
      <c r="B1087" s="119" t="n"/>
      <c r="C1087" s="119" t="n"/>
      <c r="D1087" s="119" t="n"/>
      <c r="E1087" s="119" t="n"/>
      <c r="F1087" s="249" t="n"/>
      <c r="G1087" s="249" t="n"/>
    </row>
    <row r="1088" hidden="1" ht="17.25" customHeight="1">
      <c r="A1088" s="119" t="n"/>
      <c r="B1088" s="119" t="n"/>
      <c r="C1088" s="119" t="n"/>
      <c r="D1088" s="119" t="n"/>
      <c r="E1088" s="119" t="n"/>
      <c r="F1088" s="249" t="n"/>
      <c r="G1088" s="249" t="n"/>
    </row>
    <row r="1089" hidden="1" ht="17.25" customHeight="1">
      <c r="A1089" s="119" t="n"/>
      <c r="B1089" s="119" t="n"/>
      <c r="C1089" s="119" t="n"/>
      <c r="D1089" s="119" t="n"/>
      <c r="E1089" s="119" t="n"/>
      <c r="F1089" s="249" t="n"/>
      <c r="G1089" s="249" t="n"/>
    </row>
    <row r="1090" hidden="1" ht="17.25" customHeight="1">
      <c r="A1090" s="119" t="n"/>
      <c r="B1090" s="119" t="n"/>
      <c r="C1090" s="119" t="n"/>
      <c r="D1090" s="119" t="n"/>
      <c r="E1090" s="119" t="n"/>
      <c r="F1090" s="249" t="n"/>
      <c r="G1090" s="249" t="n"/>
    </row>
    <row r="1091" hidden="1" ht="17.25" customHeight="1">
      <c r="A1091" s="119" t="n"/>
      <c r="B1091" s="119" t="n"/>
      <c r="C1091" s="119" t="n"/>
      <c r="D1091" s="119" t="n"/>
      <c r="E1091" s="119" t="n"/>
      <c r="F1091" s="249" t="n"/>
      <c r="G1091" s="249" t="n"/>
    </row>
    <row r="1092" hidden="1" ht="17.25" customHeight="1">
      <c r="A1092" s="119" t="n"/>
      <c r="B1092" s="119" t="n"/>
      <c r="C1092" s="119" t="n"/>
      <c r="D1092" s="119" t="n"/>
      <c r="E1092" s="119" t="n"/>
      <c r="F1092" s="249" t="n"/>
      <c r="G1092" s="249" t="n"/>
    </row>
    <row r="1093" hidden="1" ht="17.25" customHeight="1">
      <c r="A1093" s="119" t="n"/>
      <c r="B1093" s="119" t="n"/>
      <c r="C1093" s="119" t="n"/>
      <c r="D1093" s="119" t="n"/>
      <c r="E1093" s="119" t="n"/>
      <c r="F1093" s="249" t="n"/>
      <c r="G1093" s="249" t="n"/>
    </row>
    <row r="1094" hidden="1" ht="17.25" customHeight="1">
      <c r="A1094" s="119" t="n"/>
      <c r="B1094" s="119" t="n"/>
      <c r="C1094" s="119" t="n"/>
      <c r="D1094" s="119" t="n"/>
      <c r="E1094" s="119" t="n"/>
      <c r="F1094" s="249" t="n"/>
      <c r="G1094" s="249" t="n"/>
    </row>
    <row r="1095" hidden="1" ht="17.25" customHeight="1">
      <c r="A1095" s="119" t="n"/>
      <c r="B1095" s="119" t="n"/>
      <c r="C1095" s="119" t="n"/>
      <c r="D1095" s="119" t="n"/>
      <c r="E1095" s="119" t="n"/>
      <c r="F1095" s="249" t="n"/>
      <c r="G1095" s="249" t="n"/>
    </row>
    <row r="1096" hidden="1" ht="17.25" customHeight="1">
      <c r="A1096" s="119" t="n"/>
      <c r="B1096" s="119" t="n"/>
      <c r="C1096" s="119" t="n"/>
      <c r="D1096" s="119" t="n"/>
      <c r="E1096" s="119" t="n"/>
      <c r="F1096" s="249" t="n"/>
      <c r="G1096" s="249" t="n"/>
    </row>
    <row r="1097" hidden="1" ht="17.25" customHeight="1">
      <c r="A1097" s="119" t="n"/>
      <c r="B1097" s="119" t="n"/>
      <c r="C1097" s="119" t="n"/>
      <c r="D1097" s="119" t="n"/>
      <c r="E1097" s="119" t="n"/>
      <c r="F1097" s="249" t="n"/>
      <c r="G1097" s="249" t="n"/>
    </row>
    <row r="1098" hidden="1" ht="17.25" customHeight="1">
      <c r="A1098" s="119" t="n"/>
      <c r="B1098" s="119" t="n"/>
      <c r="C1098" s="119" t="n"/>
      <c r="D1098" s="119" t="n"/>
      <c r="E1098" s="119" t="n"/>
      <c r="F1098" s="249" t="n"/>
      <c r="G1098" s="249" t="n"/>
    </row>
    <row r="1099" hidden="1" ht="17.25" customHeight="1">
      <c r="A1099" s="119" t="n"/>
      <c r="B1099" s="119" t="n"/>
      <c r="C1099" s="119" t="n"/>
      <c r="D1099" s="119" t="n"/>
      <c r="E1099" s="119" t="n"/>
      <c r="F1099" s="249" t="n"/>
      <c r="G1099" s="249" t="n"/>
    </row>
    <row r="1100" hidden="1" ht="17.25" customHeight="1">
      <c r="A1100" s="119" t="n"/>
      <c r="B1100" s="119" t="n"/>
      <c r="C1100" s="119" t="n"/>
      <c r="D1100" s="119" t="n"/>
      <c r="E1100" s="119" t="n"/>
      <c r="F1100" s="249" t="n"/>
      <c r="G1100" s="249" t="n"/>
    </row>
    <row r="1101" hidden="1" ht="17.25" customHeight="1">
      <c r="A1101" s="119" t="n"/>
      <c r="B1101" s="119" t="n"/>
      <c r="C1101" s="119" t="n"/>
      <c r="D1101" s="119" t="n"/>
      <c r="E1101" s="119" t="n"/>
      <c r="F1101" s="249" t="n"/>
      <c r="G1101" s="249" t="n"/>
    </row>
    <row r="1102" hidden="1" ht="17.25" customHeight="1">
      <c r="A1102" s="119" t="n"/>
      <c r="B1102" s="119" t="n"/>
      <c r="C1102" s="119" t="n"/>
      <c r="D1102" s="119" t="n"/>
      <c r="E1102" s="119" t="n"/>
      <c r="F1102" s="249" t="n"/>
      <c r="G1102" s="249" t="n"/>
    </row>
    <row r="1103" hidden="1" ht="17.25" customHeight="1">
      <c r="A1103" s="119" t="n"/>
      <c r="B1103" s="119" t="n"/>
      <c r="C1103" s="119" t="n"/>
      <c r="D1103" s="119" t="n"/>
      <c r="E1103" s="119" t="n"/>
      <c r="F1103" s="249" t="n"/>
      <c r="G1103" s="249" t="n"/>
    </row>
    <row r="1104" hidden="1" ht="17.25" customHeight="1">
      <c r="A1104" s="119" t="n"/>
      <c r="B1104" s="119" t="n"/>
      <c r="C1104" s="119" t="n"/>
      <c r="D1104" s="119" t="n"/>
      <c r="E1104" s="119" t="n"/>
      <c r="F1104" s="249" t="n"/>
      <c r="G1104" s="249" t="n"/>
    </row>
    <row r="1105" hidden="1" ht="17.25" customHeight="1">
      <c r="A1105" s="119" t="n"/>
      <c r="B1105" s="119" t="n"/>
      <c r="C1105" s="119" t="n"/>
      <c r="D1105" s="119" t="n"/>
      <c r="E1105" s="119" t="n"/>
      <c r="F1105" s="249" t="n"/>
      <c r="G1105" s="249" t="n"/>
    </row>
    <row r="1106" hidden="1" ht="17.25" customHeight="1">
      <c r="A1106" s="119" t="n"/>
      <c r="B1106" s="119" t="n"/>
      <c r="C1106" s="119" t="n"/>
      <c r="D1106" s="119" t="n"/>
      <c r="E1106" s="119" t="n"/>
      <c r="F1106" s="249" t="n"/>
      <c r="G1106" s="249" t="n"/>
    </row>
    <row r="1107" hidden="1" ht="17.25" customHeight="1">
      <c r="A1107" s="119" t="n"/>
      <c r="B1107" s="119" t="n"/>
      <c r="C1107" s="119" t="n"/>
      <c r="D1107" s="119" t="n"/>
      <c r="E1107" s="119" t="n"/>
      <c r="F1107" s="249" t="n"/>
      <c r="G1107" s="249" t="n"/>
    </row>
    <row r="1108" hidden="1" ht="17.25" customHeight="1">
      <c r="A1108" s="119" t="n"/>
      <c r="B1108" s="119" t="n"/>
      <c r="C1108" s="119" t="n"/>
      <c r="D1108" s="119" t="n"/>
      <c r="E1108" s="119" t="n"/>
      <c r="F1108" s="249" t="n"/>
      <c r="G1108" s="249" t="n"/>
    </row>
    <row r="1109" hidden="1" ht="17.25" customHeight="1">
      <c r="A1109" s="119" t="n"/>
      <c r="B1109" s="119" t="n"/>
      <c r="C1109" s="119" t="n"/>
      <c r="D1109" s="119" t="n"/>
      <c r="E1109" s="119" t="n"/>
      <c r="F1109" s="249" t="n"/>
      <c r="G1109" s="249" t="n"/>
    </row>
    <row r="1110" hidden="1" ht="17.25" customHeight="1">
      <c r="A1110" s="119" t="n"/>
      <c r="B1110" s="119" t="n"/>
      <c r="C1110" s="119" t="n"/>
      <c r="D1110" s="119" t="n"/>
      <c r="E1110" s="119" t="n"/>
      <c r="F1110" s="249" t="n"/>
      <c r="G1110" s="249" t="n"/>
    </row>
    <row r="1111" hidden="1" ht="17.25" customHeight="1">
      <c r="A1111" s="119" t="n"/>
      <c r="B1111" s="119" t="n"/>
      <c r="C1111" s="119" t="n"/>
      <c r="D1111" s="119" t="n"/>
      <c r="E1111" s="119" t="n"/>
      <c r="F1111" s="249" t="n"/>
      <c r="G1111" s="249" t="n"/>
    </row>
    <row r="1112" hidden="1" ht="17.25" customHeight="1">
      <c r="A1112" s="119" t="n"/>
      <c r="B1112" s="119" t="n"/>
      <c r="C1112" s="119" t="n"/>
      <c r="D1112" s="119" t="n"/>
      <c r="E1112" s="119" t="n"/>
      <c r="F1112" s="249" t="n"/>
      <c r="G1112" s="249" t="n"/>
    </row>
    <row r="1113" hidden="1" ht="17.25" customHeight="1">
      <c r="A1113" s="119" t="n"/>
      <c r="B1113" s="119" t="n"/>
      <c r="C1113" s="119" t="n"/>
      <c r="D1113" s="119" t="n"/>
      <c r="E1113" s="119" t="n"/>
      <c r="F1113" s="249" t="n"/>
      <c r="G1113" s="249" t="n"/>
    </row>
    <row r="1114" hidden="1" ht="17.25" customHeight="1">
      <c r="A1114" s="119" t="n"/>
      <c r="B1114" s="119" t="n"/>
      <c r="C1114" s="119" t="n"/>
      <c r="D1114" s="119" t="n"/>
      <c r="E1114" s="119" t="n"/>
      <c r="F1114" s="249" t="n"/>
      <c r="G1114" s="249" t="n"/>
    </row>
    <row r="1115" hidden="1" ht="17.25" customHeight="1">
      <c r="A1115" s="119" t="n"/>
      <c r="B1115" s="119" t="n"/>
      <c r="C1115" s="119" t="n"/>
      <c r="D1115" s="119" t="n"/>
      <c r="E1115" s="119" t="n"/>
      <c r="F1115" s="249" t="n"/>
      <c r="G1115" s="249" t="n"/>
    </row>
    <row r="1116" hidden="1" ht="17.25" customHeight="1">
      <c r="A1116" s="119" t="n"/>
      <c r="B1116" s="119" t="n"/>
      <c r="C1116" s="119" t="n"/>
      <c r="D1116" s="119" t="n"/>
      <c r="E1116" s="119" t="n"/>
      <c r="F1116" s="249" t="n"/>
      <c r="G1116" s="249" t="n"/>
    </row>
    <row r="1117" hidden="1" ht="17.25" customHeight="1">
      <c r="A1117" s="119" t="n"/>
      <c r="B1117" s="119" t="n"/>
      <c r="C1117" s="119" t="n"/>
      <c r="D1117" s="119" t="n"/>
      <c r="E1117" s="119" t="n"/>
      <c r="F1117" s="249" t="n"/>
      <c r="G1117" s="249" t="n"/>
    </row>
    <row r="1118" hidden="1" ht="17.25" customHeight="1">
      <c r="A1118" s="119" t="n"/>
      <c r="B1118" s="119" t="n"/>
      <c r="C1118" s="119" t="n"/>
      <c r="D1118" s="119" t="n"/>
      <c r="E1118" s="119" t="n"/>
      <c r="F1118" s="249" t="n"/>
      <c r="G1118" s="249" t="n"/>
    </row>
    <row r="1119" hidden="1" ht="17.25" customHeight="1">
      <c r="A1119" s="119" t="n"/>
      <c r="B1119" s="119" t="n"/>
      <c r="C1119" s="119" t="n"/>
      <c r="D1119" s="119" t="n"/>
      <c r="E1119" s="119" t="n"/>
      <c r="F1119" s="249" t="n"/>
      <c r="G1119" s="249" t="n"/>
    </row>
    <row r="1120" hidden="1" ht="17.25" customHeight="1">
      <c r="A1120" s="119" t="n"/>
      <c r="B1120" s="119" t="n"/>
      <c r="C1120" s="119" t="n"/>
      <c r="D1120" s="119" t="n"/>
      <c r="E1120" s="119" t="n"/>
      <c r="F1120" s="249" t="n"/>
      <c r="G1120" s="249" t="n"/>
    </row>
    <row r="1121" hidden="1" ht="17.25" customHeight="1">
      <c r="A1121" s="119" t="n"/>
      <c r="B1121" s="119" t="n"/>
      <c r="C1121" s="119" t="n"/>
      <c r="D1121" s="119" t="n"/>
      <c r="E1121" s="119" t="n"/>
      <c r="F1121" s="249" t="n"/>
      <c r="G1121" s="249" t="n"/>
    </row>
    <row r="1122" hidden="1" ht="17.25" customHeight="1">
      <c r="A1122" s="119" t="n"/>
      <c r="B1122" s="119" t="n"/>
      <c r="C1122" s="119" t="n"/>
      <c r="D1122" s="119" t="n"/>
      <c r="E1122" s="119" t="n"/>
      <c r="F1122" s="249" t="n"/>
      <c r="G1122" s="249" t="n"/>
    </row>
    <row r="1123" hidden="1" ht="17.25" customHeight="1">
      <c r="A1123" s="119" t="n"/>
      <c r="B1123" s="119" t="n"/>
      <c r="C1123" s="119" t="n"/>
      <c r="D1123" s="119" t="n"/>
      <c r="E1123" s="119" t="n"/>
      <c r="F1123" s="249" t="n"/>
      <c r="G1123" s="249" t="n"/>
    </row>
    <row r="1124" hidden="1" ht="17.25" customHeight="1">
      <c r="A1124" s="119" t="n"/>
      <c r="B1124" s="119" t="n"/>
      <c r="C1124" s="119" t="n"/>
      <c r="D1124" s="119" t="n"/>
      <c r="E1124" s="119" t="n"/>
      <c r="F1124" s="249" t="n"/>
      <c r="G1124" s="249" t="n"/>
    </row>
    <row r="1125" hidden="1" ht="17.25" customHeight="1">
      <c r="A1125" s="119" t="n"/>
      <c r="B1125" s="119" t="n"/>
      <c r="C1125" s="119" t="n"/>
      <c r="D1125" s="119" t="n"/>
      <c r="E1125" s="119" t="n"/>
      <c r="F1125" s="249" t="n"/>
      <c r="G1125" s="249" t="n"/>
    </row>
    <row r="1126" hidden="1" ht="17.25" customHeight="1">
      <c r="A1126" s="119" t="n"/>
      <c r="B1126" s="119" t="n"/>
      <c r="C1126" s="119" t="n"/>
      <c r="D1126" s="119" t="n"/>
      <c r="E1126" s="119" t="n"/>
      <c r="F1126" s="249" t="n"/>
      <c r="G1126" s="249" t="n"/>
    </row>
    <row r="1127" hidden="1" ht="17.25" customHeight="1">
      <c r="A1127" s="119" t="n"/>
      <c r="B1127" s="119" t="n"/>
      <c r="C1127" s="119" t="n"/>
      <c r="D1127" s="119" t="n"/>
      <c r="E1127" s="119" t="n"/>
      <c r="F1127" s="249" t="n"/>
      <c r="G1127" s="249" t="n"/>
    </row>
    <row r="1128" hidden="1" ht="17.25" customHeight="1">
      <c r="A1128" s="119" t="n"/>
      <c r="B1128" s="119" t="n"/>
      <c r="C1128" s="119" t="n"/>
      <c r="D1128" s="119" t="n"/>
      <c r="E1128" s="119" t="n"/>
      <c r="F1128" s="249" t="n"/>
      <c r="G1128" s="249" t="n"/>
    </row>
    <row r="1129" hidden="1" ht="17.25" customHeight="1">
      <c r="A1129" s="119" t="n"/>
      <c r="B1129" s="119" t="n"/>
      <c r="C1129" s="119" t="n"/>
      <c r="D1129" s="119" t="n"/>
      <c r="E1129" s="119" t="n"/>
      <c r="F1129" s="249" t="n"/>
      <c r="G1129" s="249" t="n"/>
    </row>
    <row r="1130" hidden="1" ht="17.25" customHeight="1">
      <c r="A1130" s="119" t="n"/>
      <c r="B1130" s="119" t="n"/>
      <c r="C1130" s="119" t="n"/>
      <c r="D1130" s="119" t="n"/>
      <c r="E1130" s="119" t="n"/>
      <c r="F1130" s="249" t="n"/>
      <c r="G1130" s="249" t="n"/>
    </row>
    <row r="1131" hidden="1" ht="17.25" customHeight="1">
      <c r="A1131" s="119" t="n"/>
      <c r="B1131" s="119" t="n"/>
      <c r="C1131" s="119" t="n"/>
      <c r="D1131" s="119" t="n"/>
      <c r="E1131" s="119" t="n"/>
      <c r="F1131" s="249" t="n"/>
      <c r="G1131" s="249" t="n"/>
    </row>
    <row r="1132" hidden="1" ht="17.25" customHeight="1">
      <c r="A1132" s="119" t="n"/>
      <c r="B1132" s="119" t="n"/>
      <c r="C1132" s="119" t="n"/>
      <c r="D1132" s="119" t="n"/>
      <c r="E1132" s="119" t="n"/>
      <c r="F1132" s="249" t="n"/>
      <c r="G1132" s="249" t="n"/>
    </row>
    <row r="1133" hidden="1" ht="17.25" customHeight="1">
      <c r="A1133" s="119" t="n"/>
      <c r="B1133" s="119" t="n"/>
      <c r="C1133" s="119" t="n"/>
      <c r="D1133" s="119" t="n"/>
      <c r="E1133" s="119" t="n"/>
      <c r="F1133" s="249" t="n"/>
      <c r="G1133" s="249" t="n"/>
    </row>
    <row r="1134" hidden="1" ht="17.25" customHeight="1">
      <c r="A1134" s="119" t="n"/>
      <c r="B1134" s="119" t="n"/>
      <c r="C1134" s="119" t="n"/>
      <c r="D1134" s="119" t="n"/>
      <c r="E1134" s="119" t="n"/>
      <c r="F1134" s="249" t="n"/>
      <c r="G1134" s="249" t="n"/>
    </row>
    <row r="1135" hidden="1" ht="17.25" customHeight="1">
      <c r="A1135" s="119" t="n"/>
      <c r="B1135" s="119" t="n"/>
      <c r="C1135" s="119" t="n"/>
      <c r="D1135" s="119" t="n"/>
      <c r="E1135" s="119" t="n"/>
      <c r="F1135" s="249" t="n"/>
      <c r="G1135" s="249" t="n"/>
    </row>
    <row r="1136" hidden="1" ht="17.25" customHeight="1">
      <c r="A1136" s="119" t="n"/>
      <c r="B1136" s="119" t="n"/>
      <c r="C1136" s="119" t="n"/>
      <c r="D1136" s="119" t="n"/>
      <c r="E1136" s="119" t="n"/>
      <c r="F1136" s="249" t="n"/>
      <c r="G1136" s="249" t="n"/>
    </row>
    <row r="1137" hidden="1" ht="17.25" customHeight="1">
      <c r="A1137" s="119" t="n"/>
      <c r="B1137" s="119" t="n"/>
      <c r="C1137" s="119" t="n"/>
      <c r="D1137" s="119" t="n"/>
      <c r="E1137" s="119" t="n"/>
      <c r="F1137" s="249" t="n"/>
      <c r="G1137" s="249" t="n"/>
    </row>
    <row r="1138" hidden="1" ht="17.25" customHeight="1">
      <c r="A1138" s="119" t="n"/>
      <c r="B1138" s="119" t="n"/>
      <c r="C1138" s="119" t="n"/>
      <c r="D1138" s="119" t="n"/>
      <c r="E1138" s="119" t="n"/>
      <c r="F1138" s="249" t="n"/>
      <c r="G1138" s="249" t="n"/>
    </row>
    <row r="1139" hidden="1" ht="17.25" customHeight="1">
      <c r="A1139" s="119" t="n"/>
      <c r="B1139" s="119" t="n"/>
      <c r="C1139" s="119" t="n"/>
      <c r="D1139" s="119" t="n"/>
      <c r="E1139" s="119" t="n"/>
      <c r="F1139" s="249" t="n"/>
      <c r="G1139" s="249" t="n"/>
    </row>
    <row r="1140" hidden="1" ht="17.25" customHeight="1">
      <c r="A1140" s="119" t="n"/>
      <c r="B1140" s="119" t="n"/>
      <c r="C1140" s="119" t="n"/>
      <c r="D1140" s="119" t="n"/>
      <c r="E1140" s="119" t="n"/>
      <c r="F1140" s="249" t="n"/>
      <c r="G1140" s="249" t="n"/>
    </row>
    <row r="1141" hidden="1" ht="17.25" customHeight="1">
      <c r="A1141" s="119" t="n"/>
      <c r="B1141" s="119" t="n"/>
      <c r="C1141" s="119" t="n"/>
      <c r="D1141" s="119" t="n"/>
      <c r="E1141" s="119" t="n"/>
      <c r="F1141" s="249" t="n"/>
      <c r="G1141" s="249" t="n"/>
    </row>
    <row r="1142" hidden="1" ht="17.25" customHeight="1">
      <c r="A1142" s="119" t="n"/>
      <c r="B1142" s="119" t="n"/>
      <c r="C1142" s="119" t="n"/>
      <c r="D1142" s="119" t="n"/>
      <c r="E1142" s="119" t="n"/>
      <c r="F1142" s="249" t="n"/>
      <c r="G1142" s="249" t="n"/>
    </row>
    <row r="1143" hidden="1" ht="17.25" customHeight="1">
      <c r="A1143" s="119" t="n"/>
      <c r="B1143" s="119" t="n"/>
      <c r="C1143" s="119" t="n"/>
      <c r="D1143" s="119" t="n"/>
      <c r="E1143" s="119" t="n"/>
      <c r="F1143" s="249" t="n"/>
      <c r="G1143" s="249" t="n"/>
    </row>
    <row r="1144" hidden="1" ht="17.25" customHeight="1">
      <c r="A1144" s="119" t="n"/>
      <c r="B1144" s="119" t="n"/>
      <c r="C1144" s="119" t="n"/>
      <c r="D1144" s="119" t="n"/>
      <c r="E1144" s="119" t="n"/>
      <c r="F1144" s="249" t="n"/>
      <c r="G1144" s="249" t="n"/>
    </row>
    <row r="1145" hidden="1" ht="17.25" customHeight="1">
      <c r="A1145" s="119" t="n"/>
      <c r="B1145" s="119" t="n"/>
      <c r="C1145" s="119" t="n"/>
      <c r="D1145" s="119" t="n"/>
      <c r="E1145" s="119" t="n"/>
      <c r="F1145" s="249" t="n"/>
      <c r="G1145" s="249" t="n"/>
    </row>
    <row r="1146" hidden="1" ht="17.25" customHeight="1">
      <c r="A1146" s="119" t="n"/>
      <c r="B1146" s="119" t="n"/>
      <c r="C1146" s="119" t="n"/>
      <c r="D1146" s="119" t="n"/>
      <c r="E1146" s="119" t="n"/>
      <c r="F1146" s="249" t="n"/>
      <c r="G1146" s="249" t="n"/>
    </row>
    <row r="1147" hidden="1" ht="17.25" customHeight="1">
      <c r="A1147" s="119" t="n"/>
      <c r="B1147" s="119" t="n"/>
      <c r="C1147" s="119" t="n"/>
      <c r="D1147" s="119" t="n"/>
      <c r="E1147" s="119" t="n"/>
      <c r="F1147" s="249" t="n"/>
      <c r="G1147" s="249" t="n"/>
    </row>
    <row r="1148" hidden="1" ht="17.25" customHeight="1">
      <c r="A1148" s="119" t="n"/>
      <c r="B1148" s="119" t="n"/>
      <c r="C1148" s="119" t="n"/>
      <c r="D1148" s="119" t="n"/>
      <c r="E1148" s="119" t="n"/>
      <c r="F1148" s="249" t="n"/>
      <c r="G1148" s="249" t="n"/>
    </row>
    <row r="1149" hidden="1" ht="17.25" customHeight="1">
      <c r="A1149" s="119" t="n"/>
      <c r="B1149" s="119" t="n"/>
      <c r="C1149" s="119" t="n"/>
      <c r="D1149" s="119" t="n"/>
      <c r="E1149" s="119" t="n"/>
      <c r="F1149" s="249" t="n"/>
      <c r="G1149" s="249" t="n"/>
    </row>
    <row r="1150" hidden="1" ht="17.25" customHeight="1">
      <c r="A1150" s="119" t="n"/>
      <c r="B1150" s="119" t="n"/>
      <c r="C1150" s="119" t="n"/>
      <c r="D1150" s="119" t="n"/>
      <c r="E1150" s="119" t="n"/>
      <c r="F1150" s="249" t="n"/>
      <c r="G1150" s="249" t="n"/>
    </row>
    <row r="1151" hidden="1" ht="17.25" customHeight="1">
      <c r="A1151" s="119" t="n"/>
      <c r="B1151" s="119" t="n"/>
      <c r="C1151" s="119" t="n"/>
      <c r="D1151" s="119" t="n"/>
      <c r="E1151" s="119" t="n"/>
      <c r="F1151" s="249" t="n"/>
      <c r="G1151" s="249" t="n"/>
    </row>
    <row r="1152" hidden="1" ht="17.25" customHeight="1">
      <c r="A1152" s="119" t="n"/>
      <c r="B1152" s="119" t="n"/>
      <c r="C1152" s="119" t="n"/>
      <c r="D1152" s="119" t="n"/>
      <c r="E1152" s="119" t="n"/>
      <c r="F1152" s="249" t="n"/>
      <c r="G1152" s="249" t="n"/>
    </row>
    <row r="1153" hidden="1" ht="17.25" customHeight="1">
      <c r="A1153" s="119" t="n"/>
      <c r="B1153" s="119" t="n"/>
      <c r="C1153" s="119" t="n"/>
      <c r="D1153" s="119" t="n"/>
      <c r="E1153" s="119" t="n"/>
      <c r="F1153" s="249" t="n"/>
      <c r="G1153" s="249" t="n"/>
    </row>
    <row r="1154" hidden="1" ht="17.25" customHeight="1">
      <c r="A1154" s="119" t="n"/>
      <c r="B1154" s="119" t="n"/>
      <c r="C1154" s="119" t="n"/>
      <c r="D1154" s="119" t="n"/>
      <c r="E1154" s="119" t="n"/>
      <c r="F1154" s="249" t="n"/>
      <c r="G1154" s="249" t="n"/>
    </row>
    <row r="1155" hidden="1" ht="17.25" customHeight="1">
      <c r="A1155" s="119" t="n"/>
      <c r="B1155" s="119" t="n"/>
      <c r="C1155" s="119" t="n"/>
      <c r="D1155" s="119" t="n"/>
      <c r="E1155" s="119" t="n"/>
      <c r="F1155" s="249" t="n"/>
      <c r="G1155" s="249" t="n"/>
    </row>
    <row r="1156" hidden="1" ht="17.25" customHeight="1">
      <c r="A1156" s="119" t="n"/>
      <c r="B1156" s="119" t="n"/>
      <c r="C1156" s="119" t="n"/>
      <c r="D1156" s="119" t="n"/>
      <c r="E1156" s="119" t="n"/>
      <c r="F1156" s="249" t="n"/>
      <c r="G1156" s="249" t="n"/>
    </row>
    <row r="1157" hidden="1" ht="17.25" customHeight="1">
      <c r="A1157" s="119" t="n"/>
      <c r="B1157" s="119" t="n"/>
      <c r="C1157" s="119" t="n"/>
      <c r="D1157" s="119" t="n"/>
      <c r="E1157" s="119" t="n"/>
      <c r="F1157" s="249" t="n"/>
      <c r="G1157" s="249" t="n"/>
    </row>
    <row r="1158" hidden="1" ht="17.25" customHeight="1">
      <c r="A1158" s="119" t="n"/>
      <c r="B1158" s="119" t="n"/>
      <c r="C1158" s="119" t="n"/>
      <c r="D1158" s="119" t="n"/>
      <c r="E1158" s="119" t="n"/>
      <c r="F1158" s="249" t="n"/>
      <c r="G1158" s="249" t="n"/>
    </row>
    <row r="1159" hidden="1" ht="17.25" customHeight="1">
      <c r="A1159" s="119" t="n"/>
      <c r="B1159" s="119" t="n"/>
      <c r="C1159" s="119" t="n"/>
      <c r="D1159" s="119" t="n"/>
      <c r="E1159" s="119" t="n"/>
      <c r="F1159" s="249" t="n"/>
      <c r="G1159" s="249" t="n"/>
    </row>
    <row r="1160" hidden="1" ht="17.25" customHeight="1">
      <c r="A1160" s="119" t="n"/>
      <c r="B1160" s="119" t="n"/>
      <c r="C1160" s="119" t="n"/>
      <c r="D1160" s="119" t="n"/>
      <c r="E1160" s="119" t="n"/>
      <c r="F1160" s="249" t="n"/>
      <c r="G1160" s="249" t="n"/>
    </row>
    <row r="1161" hidden="1" ht="17.25" customHeight="1">
      <c r="A1161" s="119" t="n"/>
      <c r="B1161" s="119" t="n"/>
      <c r="C1161" s="119" t="n"/>
      <c r="D1161" s="119" t="n"/>
      <c r="E1161" s="119" t="n"/>
      <c r="F1161" s="249" t="n"/>
      <c r="G1161" s="249" t="n"/>
    </row>
    <row r="1162" hidden="1" ht="17.25" customHeight="1">
      <c r="A1162" s="119" t="n"/>
      <c r="B1162" s="119" t="n"/>
      <c r="C1162" s="119" t="n"/>
      <c r="D1162" s="119" t="n"/>
      <c r="E1162" s="119" t="n"/>
      <c r="F1162" s="249" t="n"/>
      <c r="G1162" s="249" t="n"/>
    </row>
    <row r="1163" hidden="1" ht="17.25" customHeight="1">
      <c r="A1163" s="119" t="n"/>
      <c r="B1163" s="119" t="n"/>
      <c r="C1163" s="119" t="n"/>
      <c r="D1163" s="119" t="n"/>
      <c r="E1163" s="119" t="n"/>
      <c r="F1163" s="249" t="n"/>
      <c r="G1163" s="249" t="n"/>
    </row>
    <row r="1164" hidden="1" ht="17.25" customHeight="1">
      <c r="A1164" s="119" t="n"/>
      <c r="B1164" s="119" t="n"/>
      <c r="C1164" s="119" t="n"/>
      <c r="D1164" s="119" t="n"/>
      <c r="E1164" s="119" t="n"/>
      <c r="F1164" s="249" t="n"/>
      <c r="G1164" s="249" t="n"/>
    </row>
    <row r="1165" hidden="1" ht="17.25" customHeight="1">
      <c r="A1165" s="119" t="n"/>
      <c r="B1165" s="119" t="n"/>
      <c r="C1165" s="119" t="n"/>
      <c r="D1165" s="119" t="n"/>
      <c r="E1165" s="119" t="n"/>
      <c r="F1165" s="249" t="n"/>
      <c r="G1165" s="249" t="n"/>
    </row>
    <row r="1166" hidden="1" ht="17.25" customHeight="1">
      <c r="A1166" s="119" t="n"/>
      <c r="B1166" s="119" t="n"/>
      <c r="C1166" s="119" t="n"/>
      <c r="D1166" s="119" t="n"/>
      <c r="E1166" s="119" t="n"/>
      <c r="F1166" s="249" t="n"/>
      <c r="G1166" s="249" t="n"/>
    </row>
    <row r="1167" hidden="1" ht="17.25" customHeight="1">
      <c r="A1167" s="119" t="n"/>
      <c r="B1167" s="119" t="n"/>
      <c r="C1167" s="119" t="n"/>
      <c r="D1167" s="119" t="n"/>
      <c r="E1167" s="119" t="n"/>
      <c r="F1167" s="249" t="n"/>
      <c r="G1167" s="249" t="n"/>
    </row>
    <row r="1168" hidden="1" ht="17.25" customHeight="1">
      <c r="A1168" s="119" t="n"/>
      <c r="B1168" s="119" t="n"/>
      <c r="C1168" s="119" t="n"/>
      <c r="D1168" s="119" t="n"/>
      <c r="E1168" s="119" t="n"/>
      <c r="F1168" s="249" t="n"/>
      <c r="G1168" s="249" t="n"/>
    </row>
    <row r="1169" hidden="1" ht="17.25" customHeight="1">
      <c r="A1169" s="119" t="n"/>
      <c r="B1169" s="119" t="n"/>
      <c r="C1169" s="119" t="n"/>
      <c r="D1169" s="119" t="n"/>
      <c r="E1169" s="119" t="n"/>
      <c r="F1169" s="249" t="n"/>
      <c r="G1169" s="249" t="n"/>
    </row>
    <row r="1170" hidden="1" ht="17.25" customHeight="1">
      <c r="A1170" s="119" t="n"/>
      <c r="B1170" s="119" t="n"/>
      <c r="C1170" s="119" t="n"/>
      <c r="D1170" s="119" t="n"/>
      <c r="E1170" s="119" t="n"/>
      <c r="F1170" s="249" t="n"/>
      <c r="G1170" s="249" t="n"/>
    </row>
    <row r="1171" hidden="1" ht="17.25" customHeight="1">
      <c r="A1171" s="119" t="n"/>
      <c r="B1171" s="119" t="n"/>
      <c r="C1171" s="119" t="n"/>
      <c r="D1171" s="119" t="n"/>
      <c r="E1171" s="119" t="n"/>
      <c r="F1171" s="249" t="n"/>
      <c r="G1171" s="249" t="n"/>
    </row>
    <row r="1172" hidden="1" ht="17.25" customHeight="1">
      <c r="A1172" s="119" t="n"/>
      <c r="B1172" s="119" t="n"/>
      <c r="C1172" s="119" t="n"/>
      <c r="D1172" s="119" t="n"/>
      <c r="E1172" s="119" t="n"/>
      <c r="F1172" s="249" t="n"/>
      <c r="G1172" s="249" t="n"/>
    </row>
    <row r="1173" hidden="1" ht="17.25" customHeight="1">
      <c r="A1173" s="119" t="n"/>
      <c r="B1173" s="119" t="n"/>
      <c r="C1173" s="119" t="n"/>
      <c r="D1173" s="119" t="n"/>
      <c r="E1173" s="119" t="n"/>
      <c r="F1173" s="249" t="n"/>
      <c r="G1173" s="249" t="n"/>
    </row>
    <row r="1174" hidden="1" ht="17.25" customHeight="1">
      <c r="A1174" s="119" t="n"/>
      <c r="B1174" s="119" t="n"/>
      <c r="C1174" s="119" t="n"/>
      <c r="D1174" s="119" t="n"/>
      <c r="E1174" s="119" t="n"/>
      <c r="F1174" s="249" t="n"/>
      <c r="G1174" s="249" t="n"/>
    </row>
    <row r="1175" hidden="1" ht="17.25" customHeight="1">
      <c r="A1175" s="119" t="n"/>
      <c r="B1175" s="119" t="n"/>
      <c r="C1175" s="119" t="n"/>
      <c r="D1175" s="119" t="n"/>
      <c r="E1175" s="119" t="n"/>
      <c r="F1175" s="249" t="n"/>
      <c r="G1175" s="249" t="n"/>
    </row>
    <row r="1176" hidden="1" ht="17.25" customHeight="1">
      <c r="A1176" s="119" t="n"/>
      <c r="B1176" s="119" t="n"/>
      <c r="C1176" s="119" t="n"/>
      <c r="D1176" s="119" t="n"/>
      <c r="E1176" s="119" t="n"/>
      <c r="F1176" s="249" t="n"/>
      <c r="G1176" s="249" t="n"/>
    </row>
    <row r="1177" hidden="1" ht="17.25" customHeight="1">
      <c r="A1177" s="119" t="n"/>
      <c r="B1177" s="119" t="n"/>
      <c r="C1177" s="119" t="n"/>
      <c r="D1177" s="119" t="n"/>
      <c r="E1177" s="119" t="n"/>
      <c r="F1177" s="249" t="n"/>
      <c r="G1177" s="249" t="n"/>
    </row>
    <row r="1178" hidden="1" ht="17.25" customHeight="1">
      <c r="A1178" s="119" t="n"/>
      <c r="B1178" s="119" t="n"/>
      <c r="C1178" s="119" t="n"/>
      <c r="D1178" s="119" t="n"/>
      <c r="E1178" s="119" t="n"/>
      <c r="F1178" s="249" t="n"/>
      <c r="G1178" s="249" t="n"/>
    </row>
    <row r="1179" hidden="1" ht="17.25" customHeight="1">
      <c r="A1179" s="119" t="n"/>
      <c r="B1179" s="119" t="n"/>
      <c r="C1179" s="119" t="n"/>
      <c r="D1179" s="119" t="n"/>
      <c r="E1179" s="119" t="n"/>
      <c r="F1179" s="249" t="n"/>
      <c r="G1179" s="249" t="n"/>
    </row>
    <row r="1180" hidden="1" ht="17.25" customHeight="1">
      <c r="A1180" s="119" t="n"/>
      <c r="B1180" s="119" t="n"/>
      <c r="C1180" s="119" t="n"/>
      <c r="D1180" s="119" t="n"/>
      <c r="E1180" s="119" t="n"/>
      <c r="F1180" s="249" t="n"/>
      <c r="G1180" s="249" t="n"/>
    </row>
    <row r="1181" hidden="1" ht="17.25" customHeight="1">
      <c r="A1181" s="119" t="n"/>
      <c r="B1181" s="119" t="n"/>
      <c r="C1181" s="119" t="n"/>
      <c r="D1181" s="119" t="n"/>
      <c r="E1181" s="119" t="n"/>
      <c r="F1181" s="249" t="n"/>
      <c r="G1181" s="249" t="n"/>
    </row>
    <row r="1182" hidden="1" ht="17.25" customHeight="1">
      <c r="A1182" s="119" t="n"/>
      <c r="B1182" s="119" t="n"/>
      <c r="C1182" s="119" t="n"/>
      <c r="D1182" s="119" t="n"/>
      <c r="E1182" s="119" t="n"/>
      <c r="F1182" s="249" t="n"/>
      <c r="G1182" s="249" t="n"/>
    </row>
    <row r="1183" hidden="1" ht="17.25" customHeight="1">
      <c r="A1183" s="119" t="n"/>
      <c r="B1183" s="119" t="n"/>
      <c r="C1183" s="119" t="n"/>
      <c r="D1183" s="119" t="n"/>
      <c r="E1183" s="119" t="n"/>
      <c r="F1183" s="249" t="n"/>
      <c r="G1183" s="249" t="n"/>
    </row>
    <row r="1184" hidden="1" ht="17.25" customHeight="1">
      <c r="A1184" s="119" t="n"/>
      <c r="B1184" s="119" t="n"/>
      <c r="C1184" s="119" t="n"/>
      <c r="D1184" s="119" t="n"/>
      <c r="E1184" s="119" t="n"/>
      <c r="F1184" s="249" t="n"/>
      <c r="G1184" s="249" t="n"/>
    </row>
    <row r="1185" hidden="1" ht="17.25" customHeight="1">
      <c r="A1185" s="119" t="n"/>
      <c r="B1185" s="119" t="n"/>
      <c r="C1185" s="119" t="n"/>
      <c r="D1185" s="119" t="n"/>
      <c r="E1185" s="119" t="n"/>
      <c r="F1185" s="249" t="n"/>
      <c r="G1185" s="249" t="n"/>
    </row>
    <row r="1186" hidden="1" ht="17.25" customHeight="1">
      <c r="A1186" s="119" t="n"/>
      <c r="B1186" s="119" t="n"/>
      <c r="C1186" s="119" t="n"/>
      <c r="D1186" s="119" t="n"/>
      <c r="E1186" s="119" t="n"/>
      <c r="F1186" s="249" t="n"/>
      <c r="G1186" s="249" t="n"/>
    </row>
    <row r="1187" hidden="1" ht="17.25" customHeight="1">
      <c r="A1187" s="119" t="n"/>
      <c r="B1187" s="119" t="n"/>
      <c r="C1187" s="119" t="n"/>
      <c r="D1187" s="119" t="n"/>
      <c r="E1187" s="119" t="n"/>
      <c r="F1187" s="249" t="n"/>
      <c r="G1187" s="249" t="n"/>
    </row>
    <row r="1188" hidden="1" ht="17.25" customHeight="1">
      <c r="A1188" s="119" t="n"/>
      <c r="B1188" s="119" t="n"/>
      <c r="C1188" s="119" t="n"/>
      <c r="D1188" s="119" t="n"/>
      <c r="E1188" s="119" t="n"/>
      <c r="F1188" s="249" t="n"/>
      <c r="G1188" s="249" t="n"/>
    </row>
    <row r="1189" hidden="1" ht="17.25" customHeight="1">
      <c r="A1189" s="119" t="n"/>
      <c r="B1189" s="119" t="n"/>
      <c r="C1189" s="119" t="n"/>
      <c r="D1189" s="119" t="n"/>
      <c r="E1189" s="119" t="n"/>
      <c r="F1189" s="249" t="n"/>
      <c r="G1189" s="249" t="n"/>
    </row>
    <row r="1190" hidden="1" ht="17.25" customHeight="1">
      <c r="A1190" s="119" t="n"/>
      <c r="B1190" s="119" t="n"/>
      <c r="C1190" s="119" t="n"/>
      <c r="D1190" s="119" t="n"/>
      <c r="E1190" s="119" t="n"/>
      <c r="F1190" s="249" t="n"/>
      <c r="G1190" s="249" t="n"/>
    </row>
    <row r="1191" hidden="1" ht="17.25" customHeight="1">
      <c r="A1191" s="119" t="n"/>
      <c r="B1191" s="119" t="n"/>
      <c r="C1191" s="119" t="n"/>
      <c r="D1191" s="119" t="n"/>
      <c r="E1191" s="119" t="n"/>
      <c r="F1191" s="249" t="n"/>
      <c r="G1191" s="249" t="n"/>
    </row>
    <row r="1192" hidden="1" ht="17.25" customHeight="1">
      <c r="A1192" s="119" t="n"/>
      <c r="B1192" s="119" t="n"/>
      <c r="C1192" s="119" t="n"/>
      <c r="D1192" s="119" t="n"/>
      <c r="E1192" s="119" t="n"/>
      <c r="F1192" s="249" t="n"/>
      <c r="G1192" s="249" t="n"/>
    </row>
    <row r="1193" hidden="1" ht="17.25" customHeight="1">
      <c r="A1193" s="119" t="n"/>
      <c r="B1193" s="119" t="n"/>
      <c r="C1193" s="119" t="n"/>
      <c r="D1193" s="119" t="n"/>
      <c r="E1193" s="119" t="n"/>
      <c r="F1193" s="249" t="n"/>
      <c r="G1193" s="249" t="n"/>
    </row>
    <row r="1194" hidden="1" ht="17.25" customHeight="1">
      <c r="A1194" s="119" t="n"/>
      <c r="B1194" s="119" t="n"/>
      <c r="C1194" s="119" t="n"/>
      <c r="D1194" s="119" t="n"/>
      <c r="E1194" s="119" t="n"/>
      <c r="F1194" s="249" t="n"/>
      <c r="G1194" s="249" t="n"/>
    </row>
    <row r="1195" hidden="1" ht="17.25" customHeight="1">
      <c r="A1195" s="119" t="n"/>
      <c r="B1195" s="119" t="n"/>
      <c r="C1195" s="119" t="n"/>
      <c r="D1195" s="119" t="n"/>
      <c r="E1195" s="119" t="n"/>
      <c r="F1195" s="249" t="n"/>
      <c r="G1195" s="249" t="n"/>
    </row>
    <row r="1196" hidden="1" ht="17.25" customHeight="1">
      <c r="A1196" s="119" t="n"/>
      <c r="B1196" s="119" t="n"/>
      <c r="C1196" s="119" t="n"/>
      <c r="D1196" s="119" t="n"/>
      <c r="E1196" s="119" t="n"/>
      <c r="F1196" s="249" t="n"/>
      <c r="G1196" s="249" t="n"/>
    </row>
    <row r="1197" hidden="1" ht="17.25" customHeight="1">
      <c r="A1197" s="119" t="n"/>
      <c r="B1197" s="119" t="n"/>
      <c r="C1197" s="119" t="n"/>
      <c r="D1197" s="119" t="n"/>
      <c r="E1197" s="119" t="n"/>
      <c r="F1197" s="249" t="n"/>
      <c r="G1197" s="249" t="n"/>
    </row>
    <row r="1198" hidden="1" ht="17.25" customHeight="1">
      <c r="A1198" s="119" t="n"/>
      <c r="B1198" s="119" t="n"/>
      <c r="C1198" s="119" t="n"/>
      <c r="D1198" s="119" t="n"/>
      <c r="E1198" s="119" t="n"/>
      <c r="F1198" s="249" t="n"/>
      <c r="G1198" s="249" t="n"/>
    </row>
    <row r="1199" hidden="1" ht="17.25" customHeight="1">
      <c r="A1199" s="119" t="n"/>
      <c r="B1199" s="119" t="n"/>
      <c r="C1199" s="119" t="n"/>
      <c r="D1199" s="119" t="n"/>
      <c r="E1199" s="119" t="n"/>
      <c r="F1199" s="249" t="n"/>
      <c r="G1199" s="249" t="n"/>
    </row>
    <row r="1200" hidden="1" ht="17.25" customHeight="1">
      <c r="A1200" s="119" t="n"/>
      <c r="B1200" s="119" t="n"/>
      <c r="C1200" s="119" t="n"/>
      <c r="D1200" s="119" t="n"/>
      <c r="E1200" s="119" t="n"/>
      <c r="F1200" s="249" t="n"/>
      <c r="G1200" s="249" t="n"/>
    </row>
    <row r="1201" hidden="1" ht="17.25" customHeight="1">
      <c r="A1201" s="119" t="n"/>
      <c r="B1201" s="119" t="n"/>
      <c r="C1201" s="119" t="n"/>
      <c r="D1201" s="119" t="n"/>
      <c r="E1201" s="119" t="n"/>
      <c r="F1201" s="249" t="n"/>
      <c r="G1201" s="249" t="n"/>
    </row>
    <row r="1202" hidden="1" ht="17.25" customHeight="1">
      <c r="A1202" s="119" t="n"/>
      <c r="B1202" s="119" t="n"/>
      <c r="C1202" s="119" t="n"/>
      <c r="D1202" s="119" t="n"/>
      <c r="E1202" s="119" t="n"/>
      <c r="F1202" s="249" t="n"/>
      <c r="G1202" s="249" t="n"/>
    </row>
    <row r="1203" ht="16.5" customFormat="1" customHeight="1" s="123">
      <c r="A1203" s="121" t="n"/>
      <c r="B1203" s="121" t="n"/>
      <c r="C1203" s="121" t="inlineStr">
        <is>
          <t>TỔNG CỘNG</t>
        </is>
      </c>
      <c r="D1203" s="121" t="n"/>
      <c r="E1203" s="121" t="n"/>
      <c r="F1203" s="250">
        <f>SUM(F9:F1202)</f>
        <v/>
      </c>
      <c r="G1203" s="250">
        <f>SUM(G9:G1202)</f>
        <v/>
      </c>
    </row>
    <row r="1205">
      <c r="A1205" s="124" t="n"/>
      <c r="B1205" s="113" t="inlineStr">
        <is>
          <t>Người lập</t>
        </is>
      </c>
      <c r="D1205" s="124" t="n"/>
      <c r="E1205" s="14" t="n"/>
      <c r="F1205" s="112" t="inlineStr">
        <is>
          <t>Trưởng Khoa</t>
        </is>
      </c>
      <c r="G1205" s="14" t="n"/>
      <c r="I1205" s="14" t="n"/>
      <c r="J1205" s="14" t="n"/>
      <c r="K1205" s="14" t="n"/>
      <c r="L1205" s="14" t="n"/>
      <c r="M1205" s="14" t="n"/>
      <c r="N1205" s="14" t="n"/>
      <c r="O1205" s="14" t="n"/>
      <c r="P1205" s="14" t="n"/>
      <c r="Q1205" s="14" t="n"/>
      <c r="R1205" s="14" t="n"/>
      <c r="S1205" s="14" t="n"/>
      <c r="T1205" s="14" t="n"/>
      <c r="U1205" s="14" t="n"/>
      <c r="V1205" s="14" t="n"/>
      <c r="W1205" s="14" t="n"/>
      <c r="X1205" s="14" t="n"/>
      <c r="Y1205" s="14" t="n"/>
      <c r="Z1205" s="14" t="n"/>
      <c r="AA1205" s="14" t="n"/>
      <c r="AB1205" s="14" t="n"/>
      <c r="AC1205" s="14" t="n"/>
      <c r="AD1205" s="14" t="n"/>
      <c r="AE1205" s="14" t="n"/>
      <c r="AF1205" s="14" t="n"/>
      <c r="AG1205" s="14" t="n"/>
      <c r="AH1205" s="14" t="n"/>
      <c r="AI1205" s="14" t="n"/>
      <c r="AJ1205" s="14" t="n"/>
      <c r="AK1205" s="14" t="n"/>
      <c r="AL1205" s="14" t="n"/>
      <c r="AM1205" s="14" t="n"/>
      <c r="AN1205" s="14" t="n"/>
      <c r="AO1205" s="14" t="n"/>
      <c r="AP1205" s="14" t="n"/>
      <c r="AQ1205" s="14" t="n"/>
      <c r="AR1205" s="14" t="n"/>
      <c r="AS1205" s="14" t="n"/>
      <c r="AT1205" s="14" t="n"/>
      <c r="AU1205" s="14" t="n"/>
      <c r="AV1205" s="14" t="n"/>
      <c r="AW1205" s="14" t="n"/>
      <c r="AX1205" s="14" t="n"/>
      <c r="AY1205" s="14" t="n"/>
      <c r="AZ1205" s="14" t="n"/>
      <c r="BA1205" s="14" t="n"/>
      <c r="BB1205" s="14" t="n"/>
      <c r="BC1205" s="14" t="n"/>
      <c r="BD1205" s="14" t="n"/>
      <c r="BE1205" s="14" t="n"/>
      <c r="BF1205" s="14" t="n"/>
      <c r="BG1205" s="14" t="n"/>
      <c r="BH1205" s="14" t="n"/>
      <c r="BI1205" s="14" t="n"/>
      <c r="BJ1205" s="14" t="n"/>
      <c r="BK1205" s="14" t="n"/>
      <c r="BL1205" s="14" t="n"/>
      <c r="BM1205" s="14" t="n"/>
      <c r="BN1205" s="14" t="n"/>
      <c r="BO1205" s="14" t="n"/>
      <c r="BP1205" s="14" t="n"/>
      <c r="BQ1205" s="14" t="n"/>
      <c r="BR1205" s="14" t="n"/>
      <c r="BS1205" s="14" t="n"/>
      <c r="BT1205" s="14" t="n"/>
      <c r="BU1205" s="14" t="n"/>
      <c r="BV1205" s="14" t="n"/>
      <c r="BW1205" s="14" t="n"/>
      <c r="BX1205" s="14" t="n"/>
      <c r="BY1205" s="14" t="n"/>
      <c r="BZ1205" s="14" t="n"/>
      <c r="CA1205" s="14" t="n"/>
      <c r="CB1205" s="14" t="n"/>
      <c r="CC1205" s="14" t="n"/>
      <c r="CD1205" s="14" t="n"/>
      <c r="CE1205" s="14" t="n"/>
      <c r="CF1205" s="14" t="n"/>
      <c r="CG1205" s="14" t="n"/>
      <c r="CH1205" s="14" t="n"/>
      <c r="CI1205" s="14" t="n"/>
      <c r="CJ1205" s="14" t="n"/>
      <c r="CK1205" s="14" t="n"/>
      <c r="CL1205" s="14" t="n"/>
      <c r="CM1205" s="14" t="n"/>
      <c r="CN1205" s="14" t="n"/>
      <c r="CO1205" s="14" t="n"/>
      <c r="CP1205" s="14" t="n"/>
      <c r="CQ1205" s="14" t="n"/>
      <c r="CR1205" s="14" t="n"/>
      <c r="CS1205" s="14" t="n"/>
      <c r="CT1205" s="14" t="n"/>
      <c r="CU1205" s="14" t="n"/>
      <c r="CV1205" s="14" t="n"/>
      <c r="CW1205" s="14" t="n"/>
      <c r="CX1205" s="14" t="n"/>
      <c r="CY1205" s="14" t="n"/>
      <c r="CZ1205" s="14" t="n"/>
      <c r="DA1205" s="14" t="n"/>
      <c r="DB1205" s="14" t="n"/>
      <c r="DC1205" s="14" t="n"/>
      <c r="DD1205" s="14" t="n"/>
      <c r="DE1205" s="14" t="n"/>
      <c r="DF1205" s="14" t="n"/>
      <c r="DG1205" s="14" t="n"/>
      <c r="DH1205" s="14" t="n"/>
      <c r="DI1205" s="14" t="n"/>
      <c r="DJ1205" s="14" t="n"/>
      <c r="DK1205" s="14" t="n"/>
      <c r="DL1205" s="14" t="n"/>
      <c r="DM1205" s="14" t="n"/>
      <c r="DN1205" s="14" t="n"/>
      <c r="DO1205" s="14" t="n"/>
      <c r="DP1205" s="14" t="n"/>
      <c r="DQ1205" s="14" t="n"/>
      <c r="DR1205" s="14" t="n"/>
      <c r="DS1205" s="14" t="n"/>
      <c r="DT1205" s="14" t="n"/>
      <c r="DU1205" s="14" t="n"/>
      <c r="DV1205" s="14" t="n"/>
      <c r="DW1205" s="14" t="n"/>
      <c r="DX1205" s="14" t="n"/>
      <c r="DY1205" s="14" t="n"/>
      <c r="DZ1205" s="14" t="n"/>
      <c r="EA1205" s="14" t="n"/>
      <c r="EB1205" s="14" t="n"/>
      <c r="EC1205" s="14" t="n"/>
      <c r="ED1205" s="14" t="n"/>
      <c r="EE1205" s="14" t="n"/>
      <c r="EF1205" s="14" t="n"/>
      <c r="EG1205" s="14" t="n"/>
      <c r="EH1205" s="14" t="n"/>
      <c r="EI1205" s="14" t="n"/>
      <c r="EJ1205" s="14" t="n"/>
      <c r="EK1205" s="14" t="n"/>
      <c r="EL1205" s="14" t="n"/>
      <c r="EM1205" s="14" t="n"/>
      <c r="EN1205" s="14" t="n"/>
      <c r="EO1205" s="14" t="n"/>
      <c r="EP1205" s="14" t="n"/>
      <c r="EQ1205" s="14" t="n"/>
      <c r="ER1205" s="14" t="n"/>
      <c r="ES1205" s="14" t="n"/>
      <c r="ET1205" s="14" t="n"/>
      <c r="EU1205" s="14" t="n"/>
      <c r="EV1205" s="14" t="n"/>
      <c r="EW1205" s="14" t="n"/>
      <c r="EX1205" s="14" t="n"/>
      <c r="EY1205" s="14" t="n"/>
      <c r="EZ1205" s="14" t="n"/>
      <c r="FA1205" s="14" t="n"/>
      <c r="FB1205" s="14" t="n"/>
      <c r="FC1205" s="14" t="n"/>
      <c r="FD1205" s="14" t="n"/>
      <c r="FE1205" s="14" t="n"/>
      <c r="FF1205" s="14" t="n"/>
      <c r="FG1205" s="14" t="n"/>
      <c r="FH1205" s="14" t="n"/>
      <c r="FI1205" s="14" t="n"/>
      <c r="FJ1205" s="14" t="n"/>
      <c r="FK1205" s="14" t="n"/>
      <c r="FL1205" s="14" t="n"/>
      <c r="FM1205" s="14" t="n"/>
      <c r="FN1205" s="14" t="n"/>
      <c r="FO1205" s="14" t="n"/>
      <c r="FP1205" s="14" t="n"/>
      <c r="FQ1205" s="14" t="n"/>
      <c r="FR1205" s="14" t="n"/>
      <c r="FS1205" s="14" t="n"/>
      <c r="FT1205" s="14" t="n"/>
      <c r="FU1205" s="14" t="n"/>
      <c r="FV1205" s="14" t="n"/>
      <c r="FW1205" s="14" t="n"/>
      <c r="FX1205" s="14" t="n"/>
      <c r="FY1205" s="14" t="n"/>
      <c r="FZ1205" s="14" t="n"/>
      <c r="GA1205" s="14" t="n"/>
      <c r="GB1205" s="14" t="n"/>
      <c r="GC1205" s="14" t="n"/>
      <c r="GD1205" s="14" t="n"/>
      <c r="GE1205" s="14" t="n"/>
      <c r="GF1205" s="14" t="n"/>
      <c r="GG1205" s="14" t="n"/>
      <c r="GH1205" s="14" t="n"/>
      <c r="GI1205" s="14" t="n"/>
      <c r="GJ1205" s="14" t="n"/>
      <c r="GK1205" s="14" t="n"/>
      <c r="GL1205" s="14" t="n"/>
      <c r="GM1205" s="14" t="n"/>
      <c r="GN1205" s="14" t="n"/>
      <c r="GO1205" s="14" t="n"/>
      <c r="GP1205" s="14" t="n"/>
      <c r="GQ1205" s="14" t="n"/>
      <c r="GR1205" s="14" t="n"/>
      <c r="GS1205" s="14" t="n"/>
      <c r="GT1205" s="14" t="n"/>
      <c r="GU1205" s="14" t="n"/>
      <c r="GV1205" s="14" t="n"/>
      <c r="GW1205" s="14" t="n"/>
      <c r="GX1205" s="14" t="n"/>
      <c r="GY1205" s="14" t="n"/>
      <c r="GZ1205" s="14" t="n"/>
      <c r="HA1205" s="14" t="n"/>
      <c r="HB1205" s="14" t="n"/>
      <c r="HC1205" s="14" t="n"/>
      <c r="HD1205" s="14" t="n"/>
      <c r="HE1205" s="14" t="n"/>
      <c r="HF1205" s="14" t="n"/>
      <c r="HG1205" s="14" t="n"/>
      <c r="HH1205" s="14" t="n"/>
      <c r="HI1205" s="14" t="n"/>
      <c r="HJ1205" s="14" t="n"/>
      <c r="HK1205" s="14" t="n"/>
      <c r="HL1205" s="14" t="n"/>
      <c r="HM1205" s="14" t="n"/>
      <c r="HN1205" s="14" t="n"/>
      <c r="HO1205" s="14" t="n"/>
      <c r="HP1205" s="14" t="n"/>
      <c r="HQ1205" s="14" t="n"/>
      <c r="HR1205" s="14" t="n"/>
      <c r="HS1205" s="14" t="n"/>
      <c r="HT1205" s="14" t="n"/>
      <c r="HU1205" s="14" t="n"/>
      <c r="HV1205" s="14" t="n"/>
      <c r="HW1205" s="14" t="n"/>
      <c r="HX1205" s="14" t="n"/>
      <c r="HY1205" s="14" t="n"/>
      <c r="HZ1205" s="14" t="n"/>
      <c r="IA1205" s="14" t="n"/>
      <c r="IB1205" s="14" t="n"/>
      <c r="IC1205" s="14" t="n"/>
      <c r="ID1205" s="14" t="n"/>
      <c r="IE1205" s="14" t="n"/>
    </row>
    <row r="1216">
      <c r="E1216" s="185" t="n"/>
    </row>
    <row r="1217" ht="15.75" customHeight="1">
      <c r="E1217" s="186" t="n"/>
    </row>
    <row r="1218" ht="15.75" customHeight="1">
      <c r="E1218" s="186" t="n"/>
    </row>
    <row r="1219" ht="15.75" customHeight="1">
      <c r="E1219" s="186" t="n"/>
    </row>
    <row r="1220" ht="15.75" customHeight="1">
      <c r="E1220" s="186" t="n"/>
    </row>
    <row r="1221" ht="15.75" customHeight="1">
      <c r="E1221" s="186" t="n"/>
    </row>
    <row r="1222" ht="15.75" customHeight="1">
      <c r="E1222" s="186" t="n"/>
    </row>
    <row r="1223" ht="15.75" customHeight="1">
      <c r="E1223" s="186" t="n"/>
    </row>
    <row r="1224" ht="15.75" customHeight="1">
      <c r="E1224" s="186" t="n"/>
    </row>
    <row r="1225" ht="15.75" customHeight="1">
      <c r="E1225" s="186" t="n"/>
    </row>
    <row r="1226" ht="15.75" customHeight="1">
      <c r="E1226" s="186" t="n"/>
    </row>
    <row r="1227" ht="15.75" customHeight="1">
      <c r="E1227" s="186" t="n"/>
    </row>
    <row r="1228" ht="15.75" customHeight="1">
      <c r="E1228" s="186" t="n"/>
    </row>
    <row r="1229" ht="15.75" customHeight="1">
      <c r="E1229" s="186" t="n"/>
    </row>
    <row r="1230" ht="15.75" customHeight="1">
      <c r="E1230" s="186" t="n"/>
    </row>
    <row r="1231" ht="15.75" customHeight="1">
      <c r="E1231" s="186" t="n"/>
    </row>
    <row r="1232" ht="15.75" customHeight="1">
      <c r="E1232" s="186" t="n"/>
    </row>
    <row r="1233" ht="15.75" customHeight="1">
      <c r="E1233" s="186" t="n"/>
    </row>
    <row r="1234" ht="15.75" customHeight="1">
      <c r="E1234" s="186" t="n"/>
    </row>
    <row r="1235" ht="15.75" customHeight="1">
      <c r="E1235" s="186" t="n"/>
    </row>
    <row r="1236" ht="15.75" customHeight="1">
      <c r="E1236" s="186" t="n"/>
    </row>
    <row r="1237" ht="15.75" customHeight="1">
      <c r="E1237" s="186" t="n"/>
    </row>
    <row r="1238" ht="15.75" customHeight="1">
      <c r="E1238" s="186" t="n"/>
    </row>
    <row r="1239" ht="15.75" customHeight="1">
      <c r="E1239" s="186" t="n"/>
    </row>
    <row r="1240" ht="15.75" customHeight="1">
      <c r="E1240" s="186" t="n"/>
    </row>
    <row r="1241" ht="15.75" customHeight="1">
      <c r="E1241" s="186" t="n"/>
    </row>
    <row r="1242" ht="15.75" customHeight="1">
      <c r="E1242" s="186" t="n"/>
    </row>
    <row r="1243" ht="15.75" customHeight="1">
      <c r="E1243" s="186" t="n"/>
    </row>
    <row r="1244" ht="15.75" customHeight="1">
      <c r="E1244" s="186" t="n"/>
    </row>
    <row r="1245" ht="15.75" customHeight="1">
      <c r="E1245" s="186" t="n"/>
    </row>
    <row r="1246" ht="15.75" customHeight="1">
      <c r="E1246" s="186" t="n"/>
    </row>
    <row r="1247" ht="15.75" customHeight="1">
      <c r="E1247" s="186" t="n"/>
    </row>
    <row r="1248" ht="15.75" customHeight="1">
      <c r="E1248" s="186" t="n"/>
    </row>
    <row r="1249" ht="15.75" customHeight="1">
      <c r="E1249" s="186" t="n"/>
    </row>
  </sheetData>
  <autoFilter ref="A8:IE8"/>
  <mergeCells count="2">
    <mergeCell ref="A3:G3"/>
    <mergeCell ref="A4:G4"/>
  </mergeCells>
  <pageMargins left="0.2362204724409449" right="0.2362204724409449" top="0.3149606299212598" bottom="0.35" header="0.3149606299212598" footer="0.3149606299212598"/>
  <pageSetup orientation="portrait" paperSize="9" verticalDpi="0"/>
</worksheet>
</file>

<file path=xl/worksheets/sheet5.xml><?xml version="1.0" encoding="utf-8"?>
<worksheet xmlns="http://schemas.openxmlformats.org/spreadsheetml/2006/main">
  <sheetPr>
    <tabColor rgb="FFFFFF00"/>
    <outlinePr summaryBelow="1" summaryRight="1"/>
    <pageSetUpPr/>
  </sheetPr>
  <dimension ref="A1:GF35"/>
  <sheetViews>
    <sheetView workbookViewId="0">
      <selection activeCell="G47" sqref="G47"/>
    </sheetView>
  </sheetViews>
  <sheetFormatPr baseColWidth="8" defaultRowHeight="12.75" outlineLevelCol="0"/>
  <cols>
    <col width="4" customWidth="1" min="1" max="1"/>
    <col width="10.7109375" customWidth="1" min="2" max="2"/>
    <col width="25.85546875" customWidth="1" min="3" max="3"/>
    <col width="7.7109375" customWidth="1" min="4" max="4"/>
    <col width="33" customWidth="1" min="5" max="5"/>
    <col width="17.28515625" customWidth="1" min="7" max="7"/>
  </cols>
  <sheetData>
    <row r="1" ht="20.25" customFormat="1" customHeight="1" s="8">
      <c r="A1" s="5" t="inlineStr">
        <is>
          <t>BV TRƯỜNG ĐHYD CẦN THƠ</t>
        </is>
      </c>
      <c r="B1" s="5" t="n"/>
      <c r="C1" s="5" t="n"/>
      <c r="D1" s="27" t="n"/>
      <c r="E1" s="26" t="n"/>
      <c r="F1" s="41" t="n"/>
      <c r="G1" s="7" t="n"/>
      <c r="H1" s="4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  <c r="CI1" s="1" t="n"/>
      <c r="CJ1" s="1" t="n"/>
      <c r="CK1" s="1" t="n"/>
      <c r="CL1" s="1" t="n"/>
      <c r="CM1" s="1" t="n"/>
      <c r="CN1" s="1" t="n"/>
      <c r="CO1" s="1" t="n"/>
      <c r="CP1" s="1" t="n"/>
      <c r="CQ1" s="1" t="n"/>
      <c r="CR1" s="1" t="n"/>
      <c r="CS1" s="1" t="n"/>
      <c r="CT1" s="1" t="n"/>
      <c r="CU1" s="1" t="n"/>
      <c r="CV1" s="1" t="n"/>
      <c r="CW1" s="1" t="n"/>
      <c r="CX1" s="1" t="n"/>
      <c r="CY1" s="1" t="n"/>
      <c r="CZ1" s="1" t="n"/>
      <c r="DA1" s="1" t="n"/>
      <c r="DB1" s="1" t="n"/>
      <c r="DC1" s="1" t="n"/>
      <c r="DD1" s="1" t="n"/>
      <c r="DE1" s="1" t="n"/>
      <c r="DF1" s="1" t="n"/>
      <c r="DG1" s="1" t="n"/>
      <c r="DH1" s="1" t="n"/>
      <c r="DI1" s="1" t="n"/>
      <c r="DJ1" s="1" t="n"/>
      <c r="DK1" s="1" t="n"/>
      <c r="DL1" s="1" t="n"/>
      <c r="DM1" s="1" t="n"/>
      <c r="DN1" s="1" t="n"/>
      <c r="DO1" s="1" t="n"/>
      <c r="DP1" s="1" t="n"/>
      <c r="DQ1" s="1" t="n"/>
      <c r="DR1" s="1" t="n"/>
      <c r="DS1" s="1" t="n"/>
      <c r="DT1" s="1" t="n"/>
      <c r="DU1" s="1" t="n"/>
      <c r="DV1" s="1" t="n"/>
      <c r="DW1" s="1" t="n"/>
      <c r="DX1" s="1" t="n"/>
      <c r="DY1" s="1" t="n"/>
      <c r="DZ1" s="1" t="n"/>
      <c r="EA1" s="1" t="n"/>
      <c r="EB1" s="1" t="n"/>
      <c r="EC1" s="1" t="n"/>
      <c r="ED1" s="1" t="n"/>
      <c r="EE1" s="1" t="n"/>
      <c r="EF1" s="1" t="n"/>
      <c r="EG1" s="1" t="n"/>
      <c r="EH1" s="1" t="n"/>
      <c r="EI1" s="1" t="n"/>
      <c r="EJ1" s="1" t="n"/>
      <c r="EK1" s="1" t="n"/>
      <c r="EL1" s="1" t="n"/>
      <c r="EM1" s="1" t="n"/>
      <c r="EN1" s="1" t="n"/>
      <c r="EO1" s="1" t="n"/>
      <c r="EP1" s="1" t="n"/>
      <c r="EQ1" s="1" t="n"/>
      <c r="ER1" s="1" t="n"/>
      <c r="ES1" s="1" t="n"/>
      <c r="ET1" s="1" t="n"/>
      <c r="EU1" s="1" t="n"/>
      <c r="EV1" s="1" t="n"/>
      <c r="EW1" s="1" t="n"/>
      <c r="EX1" s="1" t="n"/>
      <c r="EY1" s="1" t="n"/>
      <c r="EZ1" s="1" t="n"/>
      <c r="FA1" s="1" t="n"/>
      <c r="FB1" s="1" t="n"/>
      <c r="FC1" s="1" t="n"/>
      <c r="FD1" s="1" t="n"/>
      <c r="FE1" s="1" t="n"/>
      <c r="FF1" s="1" t="n"/>
      <c r="FG1" s="1" t="n"/>
      <c r="FH1" s="1" t="n"/>
      <c r="FI1" s="1" t="n"/>
      <c r="FJ1" s="1" t="n"/>
      <c r="FK1" s="1" t="n"/>
      <c r="FL1" s="1" t="n"/>
      <c r="FM1" s="1" t="n"/>
      <c r="FN1" s="1" t="n"/>
      <c r="FO1" s="1" t="n"/>
      <c r="FP1" s="1" t="n"/>
      <c r="FQ1" s="1" t="n"/>
      <c r="FR1" s="1" t="n"/>
      <c r="FS1" s="1" t="n"/>
      <c r="FT1" s="1" t="n"/>
      <c r="FU1" s="1" t="n"/>
      <c r="FV1" s="1" t="n"/>
      <c r="FW1" s="1" t="n"/>
      <c r="FX1" s="1" t="n"/>
      <c r="FY1" s="1" t="n"/>
      <c r="FZ1" s="1" t="n"/>
      <c r="GA1" s="1" t="n"/>
      <c r="GB1" s="1" t="n"/>
      <c r="GC1" s="1" t="n"/>
      <c r="GD1" s="1" t="n"/>
      <c r="GE1" s="1" t="n"/>
      <c r="GF1" s="1" t="n"/>
    </row>
    <row r="2" ht="20.25" customFormat="1" customHeight="1" s="8">
      <c r="A2" s="13" t="inlineStr">
        <is>
          <t>KHOA NGOẠI CTCH-TK</t>
        </is>
      </c>
      <c r="B2" s="13" t="n"/>
      <c r="C2" s="13" t="n"/>
      <c r="D2" s="28" t="n"/>
      <c r="E2" s="10" t="n"/>
      <c r="F2" s="41" t="n"/>
      <c r="G2" s="7" t="n"/>
      <c r="H2" s="4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n"/>
      <c r="BO2" s="1" t="n"/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n"/>
      <c r="CE2" s="1" t="n"/>
      <c r="CF2" s="1" t="n"/>
      <c r="CG2" s="1" t="n"/>
      <c r="CH2" s="1" t="n"/>
      <c r="CI2" s="1" t="n"/>
      <c r="CJ2" s="1" t="n"/>
      <c r="CK2" s="1" t="n"/>
      <c r="CL2" s="1" t="n"/>
      <c r="CM2" s="1" t="n"/>
      <c r="CN2" s="1" t="n"/>
      <c r="CO2" s="1" t="n"/>
      <c r="CP2" s="1" t="n"/>
      <c r="CQ2" s="1" t="n"/>
      <c r="CR2" s="1" t="n"/>
      <c r="CS2" s="1" t="n"/>
      <c r="CT2" s="1" t="n"/>
      <c r="CU2" s="1" t="n"/>
      <c r="CV2" s="1" t="n"/>
      <c r="CW2" s="1" t="n"/>
      <c r="CX2" s="1" t="n"/>
      <c r="CY2" s="1" t="n"/>
      <c r="CZ2" s="1" t="n"/>
      <c r="DA2" s="1" t="n"/>
      <c r="DB2" s="1" t="n"/>
      <c r="DC2" s="1" t="n"/>
      <c r="DD2" s="1" t="n"/>
      <c r="DE2" s="1" t="n"/>
      <c r="DF2" s="1" t="n"/>
      <c r="DG2" s="1" t="n"/>
      <c r="DH2" s="1" t="n"/>
      <c r="DI2" s="1" t="n"/>
      <c r="DJ2" s="1" t="n"/>
      <c r="DK2" s="1" t="n"/>
      <c r="DL2" s="1" t="n"/>
      <c r="DM2" s="1" t="n"/>
      <c r="DN2" s="1" t="n"/>
      <c r="DO2" s="1" t="n"/>
      <c r="DP2" s="1" t="n"/>
      <c r="DQ2" s="1" t="n"/>
      <c r="DR2" s="1" t="n"/>
      <c r="DS2" s="1" t="n"/>
      <c r="DT2" s="1" t="n"/>
      <c r="DU2" s="1" t="n"/>
      <c r="DV2" s="1" t="n"/>
      <c r="DW2" s="1" t="n"/>
      <c r="DX2" s="1" t="n"/>
      <c r="DY2" s="1" t="n"/>
      <c r="DZ2" s="1" t="n"/>
      <c r="EA2" s="1" t="n"/>
      <c r="EB2" s="1" t="n"/>
      <c r="EC2" s="1" t="n"/>
      <c r="ED2" s="1" t="n"/>
      <c r="EE2" s="1" t="n"/>
      <c r="EF2" s="1" t="n"/>
      <c r="EG2" s="1" t="n"/>
      <c r="EH2" s="1" t="n"/>
      <c r="EI2" s="1" t="n"/>
      <c r="EJ2" s="1" t="n"/>
      <c r="EK2" s="1" t="n"/>
      <c r="EL2" s="1" t="n"/>
      <c r="EM2" s="1" t="n"/>
      <c r="EN2" s="1" t="n"/>
      <c r="EO2" s="1" t="n"/>
      <c r="EP2" s="1" t="n"/>
      <c r="EQ2" s="1" t="n"/>
      <c r="ER2" s="1" t="n"/>
      <c r="ES2" s="1" t="n"/>
      <c r="ET2" s="1" t="n"/>
      <c r="EU2" s="1" t="n"/>
      <c r="EV2" s="1" t="n"/>
      <c r="EW2" s="1" t="n"/>
      <c r="EX2" s="1" t="n"/>
      <c r="EY2" s="1" t="n"/>
      <c r="EZ2" s="1" t="n"/>
      <c r="FA2" s="1" t="n"/>
      <c r="FB2" s="1" t="n"/>
      <c r="FC2" s="1" t="n"/>
      <c r="FD2" s="1" t="n"/>
      <c r="FE2" s="1" t="n"/>
      <c r="FF2" s="1" t="n"/>
      <c r="FG2" s="1" t="n"/>
      <c r="FH2" s="1" t="n"/>
      <c r="FI2" s="1" t="n"/>
      <c r="FJ2" s="1" t="n"/>
      <c r="FK2" s="1" t="n"/>
      <c r="FL2" s="1" t="n"/>
      <c r="FM2" s="1" t="n"/>
      <c r="FN2" s="1" t="n"/>
      <c r="FO2" s="1" t="n"/>
      <c r="FP2" s="1" t="n"/>
      <c r="FQ2" s="1" t="n"/>
      <c r="FR2" s="1" t="n"/>
      <c r="FS2" s="1" t="n"/>
      <c r="FT2" s="1" t="n"/>
      <c r="FU2" s="1" t="n"/>
      <c r="FV2" s="1" t="n"/>
      <c r="FW2" s="1" t="n"/>
      <c r="FX2" s="1" t="n"/>
      <c r="FY2" s="1" t="n"/>
      <c r="FZ2" s="1" t="n"/>
      <c r="GA2" s="1" t="n"/>
      <c r="GB2" s="1" t="n"/>
      <c r="GC2" s="1" t="n"/>
      <c r="GD2" s="1" t="n"/>
      <c r="GE2" s="1" t="n"/>
      <c r="GF2" s="1" t="n"/>
    </row>
    <row r="3" ht="20.25" customFormat="1" customHeight="1" s="8">
      <c r="A3" s="198" t="inlineStr">
        <is>
          <t>BẢNG KÊ YÊU CẦU BÁC SĨ PHẨU THUẬT</t>
        </is>
      </c>
      <c r="H3" s="198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  <c r="BC3" s="1" t="n"/>
      <c r="BD3" s="1" t="n"/>
      <c r="BE3" s="1" t="n"/>
      <c r="BF3" s="1" t="n"/>
      <c r="BG3" s="1" t="n"/>
      <c r="BH3" s="1" t="n"/>
      <c r="BI3" s="1" t="n"/>
      <c r="BJ3" s="1" t="n"/>
      <c r="BK3" s="1" t="n"/>
      <c r="BL3" s="1" t="n"/>
      <c r="BM3" s="1" t="n"/>
      <c r="BN3" s="1" t="n"/>
      <c r="BO3" s="1" t="n"/>
      <c r="BP3" s="1" t="n"/>
      <c r="BQ3" s="1" t="n"/>
      <c r="BR3" s="1" t="n"/>
      <c r="BS3" s="1" t="n"/>
      <c r="BT3" s="1" t="n"/>
      <c r="BU3" s="1" t="n"/>
      <c r="BV3" s="1" t="n"/>
      <c r="BW3" s="1" t="n"/>
      <c r="BX3" s="1" t="n"/>
      <c r="BY3" s="1" t="n"/>
      <c r="BZ3" s="1" t="n"/>
      <c r="CA3" s="1" t="n"/>
      <c r="CB3" s="1" t="n"/>
      <c r="CC3" s="1" t="n"/>
      <c r="CD3" s="1" t="n"/>
      <c r="CE3" s="1" t="n"/>
      <c r="CF3" s="1" t="n"/>
      <c r="CG3" s="1" t="n"/>
      <c r="CH3" s="1" t="n"/>
      <c r="CI3" s="1" t="n"/>
      <c r="CJ3" s="1" t="n"/>
      <c r="CK3" s="1" t="n"/>
      <c r="CL3" s="1" t="n"/>
      <c r="CM3" s="1" t="n"/>
      <c r="CN3" s="1" t="n"/>
      <c r="CO3" s="1" t="n"/>
      <c r="CP3" s="1" t="n"/>
      <c r="CQ3" s="1" t="n"/>
      <c r="CR3" s="1" t="n"/>
      <c r="CS3" s="1" t="n"/>
      <c r="CT3" s="1" t="n"/>
      <c r="CU3" s="1" t="n"/>
      <c r="CV3" s="1" t="n"/>
      <c r="CW3" s="1" t="n"/>
      <c r="CX3" s="1" t="n"/>
      <c r="CY3" s="1" t="n"/>
      <c r="CZ3" s="1" t="n"/>
      <c r="DA3" s="1" t="n"/>
      <c r="DB3" s="1" t="n"/>
      <c r="DC3" s="1" t="n"/>
      <c r="DD3" s="1" t="n"/>
      <c r="DE3" s="1" t="n"/>
      <c r="DF3" s="1" t="n"/>
      <c r="DG3" s="1" t="n"/>
      <c r="DH3" s="1" t="n"/>
      <c r="DI3" s="1" t="n"/>
      <c r="DJ3" s="1" t="n"/>
      <c r="DK3" s="1" t="n"/>
      <c r="DL3" s="1" t="n"/>
      <c r="DM3" s="1" t="n"/>
      <c r="DN3" s="1" t="n"/>
      <c r="DO3" s="1" t="n"/>
      <c r="DP3" s="1" t="n"/>
      <c r="DQ3" s="1" t="n"/>
      <c r="DR3" s="1" t="n"/>
      <c r="DS3" s="1" t="n"/>
      <c r="DT3" s="1" t="n"/>
      <c r="DU3" s="1" t="n"/>
      <c r="DV3" s="1" t="n"/>
      <c r="DW3" s="1" t="n"/>
      <c r="DX3" s="1" t="n"/>
      <c r="DY3" s="1" t="n"/>
      <c r="DZ3" s="1" t="n"/>
      <c r="EA3" s="1" t="n"/>
      <c r="EB3" s="1" t="n"/>
      <c r="EC3" s="1" t="n"/>
      <c r="ED3" s="1" t="n"/>
      <c r="EE3" s="1" t="n"/>
      <c r="EF3" s="1" t="n"/>
      <c r="EG3" s="1" t="n"/>
      <c r="EH3" s="1" t="n"/>
      <c r="EI3" s="1" t="n"/>
      <c r="EJ3" s="1" t="n"/>
      <c r="EK3" s="1" t="n"/>
      <c r="EL3" s="1" t="n"/>
      <c r="EM3" s="1" t="n"/>
      <c r="EN3" s="1" t="n"/>
      <c r="EO3" s="1" t="n"/>
      <c r="EP3" s="1" t="n"/>
      <c r="EQ3" s="1" t="n"/>
      <c r="ER3" s="1" t="n"/>
      <c r="ES3" s="1" t="n"/>
      <c r="ET3" s="1" t="n"/>
      <c r="EU3" s="1" t="n"/>
      <c r="EV3" s="1" t="n"/>
      <c r="EW3" s="1" t="n"/>
      <c r="EX3" s="1" t="n"/>
      <c r="EY3" s="1" t="n"/>
      <c r="EZ3" s="1" t="n"/>
      <c r="FA3" s="1" t="n"/>
      <c r="FB3" s="1" t="n"/>
      <c r="FC3" s="1" t="n"/>
      <c r="FD3" s="1" t="n"/>
      <c r="FE3" s="1" t="n"/>
      <c r="FF3" s="1" t="n"/>
      <c r="FG3" s="1" t="n"/>
      <c r="FH3" s="1" t="n"/>
      <c r="FI3" s="1" t="n"/>
      <c r="FJ3" s="1" t="n"/>
      <c r="FK3" s="1" t="n"/>
      <c r="FL3" s="1" t="n"/>
      <c r="FM3" s="1" t="n"/>
      <c r="FN3" s="1" t="n"/>
      <c r="FO3" s="1" t="n"/>
      <c r="FP3" s="1" t="n"/>
      <c r="FQ3" s="1" t="n"/>
      <c r="FR3" s="1" t="n"/>
      <c r="FS3" s="1" t="n"/>
      <c r="FT3" s="1" t="n"/>
      <c r="FU3" s="1" t="n"/>
      <c r="FV3" s="1" t="n"/>
      <c r="FW3" s="1" t="n"/>
      <c r="FX3" s="1" t="n"/>
      <c r="FY3" s="1" t="n"/>
      <c r="FZ3" s="1" t="n"/>
      <c r="GA3" s="1" t="n"/>
      <c r="GB3" s="1" t="n"/>
      <c r="GC3" s="1" t="n"/>
      <c r="GD3" s="1" t="n"/>
      <c r="GE3" s="1" t="n"/>
      <c r="GF3" s="1" t="n"/>
    </row>
    <row r="4" ht="20.25" customFormat="1" customHeight="1" s="8">
      <c r="A4" s="199">
        <f>GB!A4</f>
        <v/>
      </c>
      <c r="B4" s="235" t="n"/>
      <c r="C4" s="235" t="n"/>
      <c r="D4" s="235" t="n"/>
      <c r="E4" s="235" t="n"/>
      <c r="F4" s="235" t="n"/>
      <c r="G4" s="235" t="n"/>
      <c r="H4" s="126" t="n"/>
      <c r="I4" s="126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  <c r="BA4" s="1" t="n"/>
      <c r="BB4" s="1" t="n"/>
      <c r="BC4" s="1" t="n"/>
      <c r="BD4" s="1" t="n"/>
      <c r="BE4" s="1" t="n"/>
      <c r="BF4" s="1" t="n"/>
      <c r="BG4" s="1" t="n"/>
      <c r="BH4" s="1" t="n"/>
      <c r="BI4" s="1" t="n"/>
      <c r="BJ4" s="1" t="n"/>
      <c r="BK4" s="1" t="n"/>
      <c r="BL4" s="1" t="n"/>
      <c r="BM4" s="1" t="n"/>
      <c r="BN4" s="1" t="n"/>
      <c r="BO4" s="1" t="n"/>
      <c r="BP4" s="1" t="n"/>
      <c r="BQ4" s="1" t="n"/>
      <c r="BR4" s="1" t="n"/>
      <c r="BS4" s="1" t="n"/>
      <c r="BT4" s="1" t="n"/>
      <c r="BU4" s="1" t="n"/>
      <c r="BV4" s="1" t="n"/>
      <c r="BW4" s="1" t="n"/>
      <c r="BX4" s="1" t="n"/>
      <c r="BY4" s="1" t="n"/>
      <c r="BZ4" s="1" t="n"/>
      <c r="CA4" s="1" t="n"/>
      <c r="CB4" s="1" t="n"/>
      <c r="CC4" s="1" t="n"/>
      <c r="CD4" s="1" t="n"/>
      <c r="CE4" s="1" t="n"/>
      <c r="CF4" s="1" t="n"/>
      <c r="CG4" s="1" t="n"/>
      <c r="CH4" s="1" t="n"/>
      <c r="CI4" s="1" t="n"/>
      <c r="CJ4" s="1" t="n"/>
      <c r="CK4" s="1" t="n"/>
      <c r="CL4" s="1" t="n"/>
      <c r="CM4" s="1" t="n"/>
      <c r="CN4" s="1" t="n"/>
      <c r="CO4" s="1" t="n"/>
      <c r="CP4" s="1" t="n"/>
      <c r="CQ4" s="1" t="n"/>
      <c r="CR4" s="1" t="n"/>
      <c r="CS4" s="1" t="n"/>
      <c r="CT4" s="1" t="n"/>
      <c r="CU4" s="1" t="n"/>
      <c r="CV4" s="1" t="n"/>
      <c r="CW4" s="1" t="n"/>
      <c r="CX4" s="1" t="n"/>
      <c r="CY4" s="1" t="n"/>
      <c r="CZ4" s="1" t="n"/>
      <c r="DA4" s="1" t="n"/>
      <c r="DB4" s="1" t="n"/>
      <c r="DC4" s="1" t="n"/>
      <c r="DD4" s="1" t="n"/>
      <c r="DE4" s="1" t="n"/>
      <c r="DF4" s="1" t="n"/>
      <c r="DG4" s="1" t="n"/>
      <c r="DH4" s="1" t="n"/>
      <c r="DI4" s="1" t="n"/>
      <c r="DJ4" s="1" t="n"/>
      <c r="DK4" s="1" t="n"/>
      <c r="DL4" s="1" t="n"/>
      <c r="DM4" s="1" t="n"/>
      <c r="DN4" s="1" t="n"/>
      <c r="DO4" s="1" t="n"/>
      <c r="DP4" s="1" t="n"/>
      <c r="DQ4" s="1" t="n"/>
      <c r="DR4" s="1" t="n"/>
      <c r="DS4" s="1" t="n"/>
      <c r="DT4" s="1" t="n"/>
      <c r="DU4" s="1" t="n"/>
      <c r="DV4" s="1" t="n"/>
      <c r="DW4" s="1" t="n"/>
      <c r="DX4" s="1" t="n"/>
      <c r="DY4" s="1" t="n"/>
      <c r="DZ4" s="1" t="n"/>
      <c r="EA4" s="1" t="n"/>
      <c r="EB4" s="1" t="n"/>
      <c r="EC4" s="1" t="n"/>
      <c r="ED4" s="1" t="n"/>
      <c r="EE4" s="1" t="n"/>
      <c r="EF4" s="1" t="n"/>
      <c r="EG4" s="1" t="n"/>
      <c r="EH4" s="1" t="n"/>
      <c r="EI4" s="1" t="n"/>
      <c r="EJ4" s="1" t="n"/>
      <c r="EK4" s="1" t="n"/>
      <c r="EL4" s="1" t="n"/>
      <c r="EM4" s="1" t="n"/>
      <c r="EN4" s="1" t="n"/>
      <c r="EO4" s="1" t="n"/>
      <c r="EP4" s="1" t="n"/>
      <c r="EQ4" s="1" t="n"/>
      <c r="ER4" s="1" t="n"/>
      <c r="ES4" s="1" t="n"/>
      <c r="ET4" s="1" t="n"/>
      <c r="EU4" s="1" t="n"/>
      <c r="EV4" s="1" t="n"/>
      <c r="EW4" s="1" t="n"/>
      <c r="EX4" s="1" t="n"/>
      <c r="EY4" s="1" t="n"/>
      <c r="EZ4" s="1" t="n"/>
      <c r="FA4" s="1" t="n"/>
      <c r="FB4" s="1" t="n"/>
      <c r="FC4" s="1" t="n"/>
      <c r="FD4" s="1" t="n"/>
      <c r="FE4" s="1" t="n"/>
      <c r="FF4" s="1" t="n"/>
      <c r="FG4" s="1" t="n"/>
      <c r="FH4" s="1" t="n"/>
      <c r="FI4" s="1" t="n"/>
      <c r="FJ4" s="1" t="n"/>
      <c r="FK4" s="1" t="n"/>
      <c r="FL4" s="1" t="n"/>
      <c r="FM4" s="1" t="n"/>
      <c r="FN4" s="1" t="n"/>
      <c r="FO4" s="1" t="n"/>
      <c r="FP4" s="1" t="n"/>
      <c r="FQ4" s="1" t="n"/>
      <c r="FR4" s="1" t="n"/>
      <c r="FS4" s="1" t="n"/>
      <c r="FT4" s="1" t="n"/>
      <c r="FU4" s="1" t="n"/>
      <c r="FV4" s="1" t="n"/>
      <c r="FW4" s="1" t="n"/>
      <c r="FX4" s="1" t="n"/>
      <c r="FY4" s="1" t="n"/>
      <c r="FZ4" s="1" t="n"/>
      <c r="GA4" s="1" t="n"/>
      <c r="GB4" s="1" t="n"/>
      <c r="GC4" s="1" t="n"/>
      <c r="GD4" s="1" t="n"/>
      <c r="GE4" s="1" t="n"/>
      <c r="GF4" s="1" t="n"/>
    </row>
    <row r="5" ht="15.75" customFormat="1" customHeight="1" s="125">
      <c r="A5" s="117" t="inlineStr">
        <is>
          <t>STT</t>
        </is>
      </c>
      <c r="B5" s="117" t="inlineStr">
        <is>
          <t>Ngày</t>
        </is>
      </c>
      <c r="C5" s="117" t="inlineStr">
        <is>
          <t>Họ và tên</t>
        </is>
      </c>
      <c r="D5" s="117" t="inlineStr">
        <is>
          <t>Tuổi</t>
        </is>
      </c>
      <c r="E5" s="117" t="inlineStr">
        <is>
          <t>Tên CLS</t>
        </is>
      </c>
      <c r="F5" s="248" t="inlineStr">
        <is>
          <t>Số Lượng</t>
        </is>
      </c>
      <c r="G5" s="248" t="inlineStr">
        <is>
          <t>Thành tiền</t>
        </is>
      </c>
      <c r="H5" s="126" t="n"/>
      <c r="I5" s="126" t="n"/>
    </row>
    <row r="6" ht="15.75" customFormat="1" customHeight="1" s="126">
      <c r="A6" s="119" t="n">
        <v>1</v>
      </c>
      <c r="B6" s="119" t="inlineStr">
        <is>
          <t>2026/08/11 18:48</t>
        </is>
      </c>
      <c r="C6" s="119" t="inlineStr">
        <is>
          <t>LÊ THANH TUẤN</t>
        </is>
      </c>
      <c r="D6" s="119" t="inlineStr">
        <is>
          <t>24/12/1980</t>
        </is>
      </c>
      <c r="E6" s="119" t="inlineStr">
        <is>
          <t>Chọn bác sĩ phẫu thuật theo yêu cầu</t>
        </is>
      </c>
      <c r="F6" s="249" t="n">
        <v>1</v>
      </c>
      <c r="G6" s="249" t="n">
        <v>1000000</v>
      </c>
    </row>
    <row r="7" ht="15.75" customFormat="1" customHeight="1" s="126">
      <c r="A7" s="119" t="n">
        <v>2</v>
      </c>
      <c r="B7" s="119" t="inlineStr">
        <is>
          <t>2026/08/20 08:12</t>
        </is>
      </c>
      <c r="C7" s="119" t="inlineStr">
        <is>
          <t>LÊ THỊ TUYẾT</t>
        </is>
      </c>
      <c r="D7" s="119" t="inlineStr">
        <is>
          <t>01/01/1959</t>
        </is>
      </c>
      <c r="E7" s="119" t="inlineStr">
        <is>
          <t>Chọn bác sĩ phẫu thuật theo yêu cầu</t>
        </is>
      </c>
      <c r="F7" s="249" t="n">
        <v>1</v>
      </c>
      <c r="G7" s="249" t="n">
        <v>1000000</v>
      </c>
    </row>
    <row r="8" ht="15.75" customFormat="1" customHeight="1" s="126">
      <c r="A8" s="119" t="n">
        <v>3</v>
      </c>
      <c r="B8" s="119" t="inlineStr">
        <is>
          <t>2026/08/11 14:13</t>
        </is>
      </c>
      <c r="C8" s="119" t="inlineStr">
        <is>
          <t>NGUYỄN THỊ ÚT EM</t>
        </is>
      </c>
      <c r="D8" s="119" t="inlineStr">
        <is>
          <t>01/01/1962</t>
        </is>
      </c>
      <c r="E8" s="119" t="inlineStr">
        <is>
          <t>Chọn bác sĩ phẫu thuật theo yêu cầu</t>
        </is>
      </c>
      <c r="F8" s="249" t="n">
        <v>1</v>
      </c>
      <c r="G8" s="249" t="n">
        <v>1000000</v>
      </c>
    </row>
    <row r="9" ht="15.75" customFormat="1" customHeight="1" s="126">
      <c r="A9" s="119" t="n">
        <v>4</v>
      </c>
      <c r="B9" s="119" t="inlineStr">
        <is>
          <t>2026/08/05 07:00</t>
        </is>
      </c>
      <c r="C9" s="119" t="inlineStr">
        <is>
          <t>NGUYỄN VĂN HƯỞNG</t>
        </is>
      </c>
      <c r="D9" s="119" t="inlineStr">
        <is>
          <t>11/12/1992</t>
        </is>
      </c>
      <c r="E9" s="119" t="inlineStr">
        <is>
          <t>Chọn bác sĩ phẫu thuật theo yêu cầu</t>
        </is>
      </c>
      <c r="F9" s="249" t="n">
        <v>1</v>
      </c>
      <c r="G9" s="249" t="n">
        <v>1000000</v>
      </c>
    </row>
    <row r="10" hidden="1" ht="15.75" customFormat="1" customHeight="1" s="126">
      <c r="A10" s="119" t="n"/>
      <c r="B10" s="119" t="n"/>
      <c r="C10" s="119" t="n"/>
      <c r="D10" s="119" t="n"/>
      <c r="E10" s="119" t="n"/>
      <c r="F10" s="249" t="n"/>
      <c r="G10" s="249" t="n"/>
    </row>
    <row r="11" hidden="1" ht="15.75" customFormat="1" customHeight="1" s="126">
      <c r="A11" s="119" t="n"/>
      <c r="B11" s="119" t="n"/>
      <c r="C11" s="119" t="n"/>
      <c r="D11" s="119" t="n"/>
      <c r="E11" s="119" t="n"/>
      <c r="F11" s="249" t="n"/>
      <c r="G11" s="249" t="n"/>
    </row>
    <row r="12" hidden="1" ht="15.75" customFormat="1" customHeight="1" s="126">
      <c r="A12" s="119" t="n"/>
      <c r="B12" s="119" t="n"/>
      <c r="C12" s="119" t="n"/>
      <c r="D12" s="119" t="n"/>
      <c r="E12" s="119" t="n"/>
      <c r="F12" s="249" t="n"/>
      <c r="G12" s="249" t="n"/>
    </row>
    <row r="13" hidden="1" ht="15.75" customFormat="1" customHeight="1" s="126">
      <c r="A13" s="119" t="n"/>
      <c r="B13" s="119" t="n"/>
      <c r="C13" s="119" t="n"/>
      <c r="D13" s="119" t="n"/>
      <c r="E13" s="119" t="n"/>
      <c r="F13" s="249" t="n"/>
      <c r="G13" s="249" t="n"/>
    </row>
    <row r="14" hidden="1" ht="15.75" customFormat="1" customHeight="1" s="126">
      <c r="A14" s="119" t="n"/>
      <c r="B14" s="119" t="n"/>
      <c r="C14" s="119" t="n"/>
      <c r="D14" s="119" t="n"/>
      <c r="E14" s="119" t="n"/>
      <c r="F14" s="249" t="n"/>
      <c r="G14" s="249" t="n"/>
    </row>
    <row r="15" hidden="1" ht="15.75" customFormat="1" customHeight="1" s="126">
      <c r="A15" s="119" t="n"/>
      <c r="B15" s="119" t="n"/>
      <c r="C15" s="119" t="n"/>
      <c r="D15" s="119" t="n"/>
      <c r="E15" s="119" t="n"/>
      <c r="F15" s="249" t="n"/>
      <c r="G15" s="249" t="n"/>
    </row>
    <row r="16" hidden="1" ht="15.75" customFormat="1" customHeight="1" s="126">
      <c r="A16" s="119" t="n"/>
      <c r="B16" s="119" t="n"/>
      <c r="C16" s="119" t="n"/>
      <c r="D16" s="119" t="n"/>
      <c r="E16" s="119" t="n"/>
      <c r="F16" s="249" t="n"/>
      <c r="G16" s="249" t="n"/>
    </row>
    <row r="17" hidden="1" ht="15.75" customFormat="1" customHeight="1" s="126">
      <c r="A17" s="119" t="n"/>
      <c r="B17" s="119" t="n"/>
      <c r="C17" s="119" t="n"/>
      <c r="D17" s="119" t="n"/>
      <c r="E17" s="119" t="n"/>
      <c r="F17" s="249" t="n"/>
      <c r="G17" s="249" t="n"/>
    </row>
    <row r="18" hidden="1" ht="15.75" customFormat="1" customHeight="1" s="126">
      <c r="A18" s="119" t="n"/>
      <c r="B18" s="119" t="n"/>
      <c r="C18" s="119" t="n"/>
      <c r="D18" s="119" t="n"/>
      <c r="E18" s="119" t="n"/>
      <c r="F18" s="249" t="n"/>
      <c r="G18" s="249" t="n"/>
    </row>
    <row r="19" hidden="1" ht="15.75" customFormat="1" customHeight="1" s="126">
      <c r="A19" s="119" t="n"/>
      <c r="B19" s="119" t="n"/>
      <c r="C19" s="119" t="n"/>
      <c r="D19" s="119" t="n"/>
      <c r="E19" s="119" t="n"/>
      <c r="F19" s="249" t="n"/>
      <c r="G19" s="249" t="n"/>
    </row>
    <row r="20" hidden="1" ht="15.75" customFormat="1" customHeight="1" s="126">
      <c r="A20" s="119" t="n"/>
      <c r="B20" s="119" t="n"/>
      <c r="C20" s="119" t="n"/>
      <c r="D20" s="119" t="n"/>
      <c r="E20" s="119" t="n"/>
      <c r="F20" s="249" t="n"/>
      <c r="G20" s="249" t="n"/>
    </row>
    <row r="21" hidden="1" ht="15.75" customFormat="1" customHeight="1" s="126">
      <c r="A21" s="119" t="n"/>
      <c r="B21" s="119" t="n"/>
      <c r="C21" s="119" t="n"/>
      <c r="D21" s="119" t="n"/>
      <c r="E21" s="119" t="n"/>
      <c r="F21" s="249" t="n"/>
      <c r="G21" s="249" t="n"/>
    </row>
    <row r="22" hidden="1" ht="15.75" customFormat="1" customHeight="1" s="126">
      <c r="A22" s="119" t="n"/>
      <c r="B22" s="119" t="n"/>
      <c r="C22" s="119" t="n"/>
      <c r="D22" s="119" t="n"/>
      <c r="E22" s="119" t="n"/>
      <c r="F22" s="249" t="n"/>
      <c r="G22" s="249" t="n"/>
    </row>
    <row r="23" hidden="1" ht="15.75" customFormat="1" customHeight="1" s="126">
      <c r="A23" s="119" t="n"/>
      <c r="B23" s="119" t="n"/>
      <c r="C23" s="119" t="n"/>
      <c r="D23" s="119" t="n"/>
      <c r="E23" s="119" t="n"/>
      <c r="F23" s="249" t="n"/>
      <c r="G23" s="249" t="n"/>
    </row>
    <row r="24" hidden="1" ht="15.75" customFormat="1" customHeight="1" s="126">
      <c r="A24" s="119" t="n"/>
      <c r="B24" s="119" t="n"/>
      <c r="C24" s="119" t="n"/>
      <c r="D24" s="119" t="n"/>
      <c r="E24" s="119" t="n"/>
      <c r="F24" s="249" t="n"/>
      <c r="G24" s="249" t="n"/>
    </row>
    <row r="25" hidden="1" ht="15.75" customFormat="1" customHeight="1" s="126">
      <c r="A25" s="119" t="n"/>
      <c r="B25" s="119" t="n"/>
      <c r="C25" s="119" t="n"/>
      <c r="D25" s="119" t="n"/>
      <c r="E25" s="119" t="n"/>
      <c r="F25" s="249" t="n"/>
      <c r="G25" s="249" t="n"/>
    </row>
    <row r="26" ht="15.75" customFormat="1" customHeight="1" s="126">
      <c r="A26" s="119" t="n"/>
      <c r="B26" s="119" t="n"/>
      <c r="C26" s="119" t="n"/>
      <c r="D26" s="119" t="n"/>
      <c r="E26" s="119" t="n"/>
      <c r="F26" s="249" t="n"/>
      <c r="G26" s="249" t="n"/>
    </row>
    <row r="27" ht="14.25" customFormat="1" customHeight="1" s="21">
      <c r="A27" s="96" t="n"/>
      <c r="B27" s="96" t="n"/>
      <c r="C27" s="97" t="inlineStr">
        <is>
          <t>Tổng Cộng</t>
        </is>
      </c>
      <c r="D27" s="98" t="n"/>
      <c r="E27" s="97" t="n"/>
      <c r="F27" s="99">
        <f>SUM(F6:F26)</f>
        <v/>
      </c>
      <c r="G27" s="99">
        <f>SUM(G6:G26)</f>
        <v/>
      </c>
      <c r="H27" s="126" t="n"/>
      <c r="I27" s="126" t="n"/>
      <c r="J27" s="38" t="n"/>
    </row>
    <row r="28" ht="18.75" customFormat="1" customHeight="1" s="8">
      <c r="B28" s="58" t="n"/>
      <c r="C28" s="58" t="n"/>
      <c r="D28" s="59" t="n"/>
      <c r="E28" s="60" t="n"/>
      <c r="F28" s="209" t="inlineStr">
        <is>
          <t>Cần Thơ, ngày 31 tháng 8 năm 2026</t>
        </is>
      </c>
      <c r="G28" s="127" t="n"/>
      <c r="H28" s="126" t="n"/>
      <c r="I28" s="126" t="n"/>
      <c r="J28" s="24" t="n"/>
      <c r="K28" s="30" t="n"/>
    </row>
    <row r="29" ht="15.75" customFormat="1" customHeight="1" s="8">
      <c r="B29" s="200" t="inlineStr">
        <is>
          <t>Lập bảng</t>
        </is>
      </c>
      <c r="E29" s="62" t="n"/>
      <c r="F29" s="128" t="inlineStr">
        <is>
          <t>Trưởng Khoa</t>
        </is>
      </c>
      <c r="G29" s="128" t="n"/>
      <c r="H29" s="126" t="n"/>
      <c r="I29" s="126" t="n"/>
      <c r="J29" s="15" t="n"/>
    </row>
    <row r="30" ht="18.75" customFormat="1" customHeight="1" s="8">
      <c r="B30" s="200" t="n"/>
      <c r="C30" s="200" t="n"/>
      <c r="D30" s="200" t="n"/>
      <c r="E30" s="62" t="n"/>
      <c r="F30" s="63" t="n"/>
      <c r="G30" s="57" t="n"/>
      <c r="H30" s="126" t="n"/>
      <c r="I30" s="126" t="n"/>
      <c r="J30" s="240" t="n"/>
      <c r="K30" s="30" t="n"/>
    </row>
    <row r="31" ht="18.75" customFormat="1" customHeight="1" s="8">
      <c r="B31" s="200" t="n"/>
      <c r="C31" s="200" t="n"/>
      <c r="D31" s="200" t="n"/>
      <c r="E31" s="62" t="n"/>
      <c r="F31" s="63" t="n"/>
      <c r="G31" s="57" t="n"/>
      <c r="H31" s="64" t="n"/>
      <c r="I31" s="65" t="n"/>
      <c r="J31" s="240" t="n"/>
      <c r="K31" s="30" t="n"/>
    </row>
    <row r="32" ht="18.75" customFormat="1" customHeight="1" s="8">
      <c r="B32" s="58" t="n"/>
      <c r="C32" s="58" t="n"/>
      <c r="D32" s="66" t="n"/>
      <c r="E32" s="67" t="n"/>
      <c r="F32" s="68" t="n"/>
      <c r="G32" s="57" t="n"/>
      <c r="H32" s="64" t="n"/>
      <c r="I32" s="64" t="n"/>
      <c r="J32" s="240" t="n"/>
      <c r="K32" s="30" t="n"/>
    </row>
    <row r="33" ht="15.75" customFormat="1" customHeight="1" s="8">
      <c r="B33" s="197" t="inlineStr">
        <is>
          <t>ĐD. Phan Văn Hiếu</t>
        </is>
      </c>
      <c r="E33" s="67" t="n"/>
      <c r="F33" s="210" t="inlineStr">
        <is>
          <t>ThS. Bs. CKII. Nguyễn Lê Hoan</t>
        </is>
      </c>
      <c r="G33" s="129" t="n"/>
      <c r="H33" s="129" t="n"/>
      <c r="I33" s="129" t="n"/>
      <c r="J33" s="24" t="n"/>
      <c r="L33" s="21" t="n"/>
    </row>
    <row r="34" ht="15" customFormat="1" customHeight="1" s="8">
      <c r="B34" s="58" t="n"/>
      <c r="C34" s="58" t="n"/>
      <c r="D34" s="66" t="n"/>
      <c r="E34" s="67" t="n"/>
      <c r="F34" s="69" t="n"/>
      <c r="G34" s="200" t="n"/>
      <c r="H34" s="70" t="n"/>
      <c r="I34" s="66" t="n"/>
    </row>
    <row r="35" customFormat="1" s="8">
      <c r="B35" s="9" t="n"/>
      <c r="C35" s="9" t="n"/>
      <c r="E35" s="10" t="n"/>
      <c r="F35" s="25" t="n"/>
      <c r="G35" s="39" t="n"/>
      <c r="I35" s="30" t="n"/>
    </row>
  </sheetData>
  <mergeCells count="4">
    <mergeCell ref="B33:D33"/>
    <mergeCell ref="A3:G3"/>
    <mergeCell ref="B29:D29"/>
    <mergeCell ref="A4:G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Gostep.info</dc:creator>
  <dcterms:created xsi:type="dcterms:W3CDTF">2012-03-02T08:10:25Z</dcterms:created>
  <dcterms:modified xsi:type="dcterms:W3CDTF">2026-09-22T10:10:50Z</dcterms:modified>
  <cp:lastModifiedBy>Client</cp:lastModifiedBy>
  <cp:lastPrinted>2026-07-17T07:18:23Z</cp:lastPrinted>
</cp:coreProperties>
</file>