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07" firstSheet="0" activeTab="1" autoFilterDateGrouping="1"/>
  </bookViews>
  <sheets>
    <sheet name="phauthuat" sheetId="1" state="visible" r:id="rId1"/>
    <sheet name="thu thuat" sheetId="2" state="visible" r:id="rId2"/>
    <sheet name="tieuphau" sheetId="3" state="visible" r:id="rId3"/>
    <sheet name="GB" sheetId="4" state="visible" r:id="rId4"/>
    <sheet name="YCBS" sheetId="5" state="visible" r:id="rId5"/>
  </sheets>
  <definedNames>
    <definedName name="_Fill" hidden="1">#REF!</definedName>
    <definedName name="_xlnm._FilterDatabase" localSheetId="0" hidden="1">'phauthuat'!$A$6:$WWO$176</definedName>
    <definedName name="_Fill" localSheetId="1" hidden="1">#REF!</definedName>
    <definedName name="_xlnm._FilterDatabase" localSheetId="1" hidden="1">'thu thuat'!$A$5:$H$1399</definedName>
    <definedName name="_xlnm._FilterDatabase" localSheetId="2" hidden="1">'tieuphau'!$A$6:$XEX$56</definedName>
    <definedName name="_xlnm._FilterDatabase" localSheetId="3" hidden="1">'GB'!$A$8:$IE$8</definedName>
    <definedName name="_xlnm.Print_Area" localSheetId="3">'GB'!$A$1:$G$1205</definedName>
  </definedNames>
  <calcPr calcId="191029" fullCalcOnLoad="1"/>
</workbook>
</file>

<file path=xl/styles.xml><?xml version="1.0" encoding="utf-8"?>
<styleSheet xmlns="http://schemas.openxmlformats.org/spreadsheetml/2006/main">
  <numFmts count="11">
    <numFmt numFmtId="164" formatCode="_-* #,##0.00_-;\-* #,##0.00_-;_-* &quot;-&quot;??_-;_-@_-"/>
    <numFmt numFmtId="165" formatCode="_-* #,##0\ _€_-;\-* #,##0\ _€_-;_-* &quot;-&quot;??\ _€_-;_-@_-"/>
    <numFmt numFmtId="166" formatCode="_-* #,##0_-;\-* #,##0_-;_-* &quot;-&quot;??_-;_-@_-"/>
    <numFmt numFmtId="167" formatCode="0.0%"/>
    <numFmt numFmtId="168" formatCode="_(* #,##0_);_(* \(#,##0\);_(* &quot;-&quot;??_);_(@_)"/>
    <numFmt numFmtId="169" formatCode="\$#,##0\ ;\(\$#,##0\)"/>
    <numFmt numFmtId="170" formatCode="&quot;\&quot;#,##0;[Red]&quot;\&quot;&quot;\&quot;\-#,##0"/>
    <numFmt numFmtId="171" formatCode="&quot;\&quot;#,##0.00;[Red]&quot;\&quot;&quot;\&quot;&quot;\&quot;&quot;\&quot;&quot;\&quot;&quot;\&quot;\-#,##0.00"/>
    <numFmt numFmtId="172" formatCode="&quot;\&quot;#,##0.00;[Red]&quot;\&quot;\-#,##0.00"/>
    <numFmt numFmtId="173" formatCode="&quot;\&quot;#,##0;[Red]&quot;\&quot;\-#,##0"/>
    <numFmt numFmtId="174" formatCode="dd/mm/yyyy"/>
  </numFmts>
  <fonts count="52">
    <font>
      <name val="Arial"/>
      <sz val="10"/>
    </font>
    <font>
      <name val="Times New Roman"/>
      <family val="1"/>
      <sz val="13"/>
    </font>
    <font>
      <name val="Times New Roman"/>
      <family val="1"/>
      <b val="1"/>
      <sz val="13"/>
    </font>
    <font>
      <name val="Times New Roman"/>
      <family val="1"/>
      <b val="1"/>
      <sz val="16"/>
    </font>
    <font>
      <name val="Times New Roman"/>
      <family val="1"/>
      <b val="1"/>
      <sz val="8"/>
    </font>
    <font>
      <name val="Times New Roman"/>
      <family val="1"/>
      <sz val="8"/>
    </font>
    <font>
      <name val="Times New Roman"/>
      <family val="1"/>
      <sz val="12"/>
    </font>
    <font>
      <name val="뼻뮝"/>
      <charset val="129"/>
      <family val="3"/>
      <sz val="14"/>
    </font>
    <font>
      <name val="뼻뮝"/>
      <charset val="129"/>
      <family val="1"/>
      <sz val="12"/>
    </font>
    <font>
      <name val="바탕체"/>
      <charset val="129"/>
      <family val="1"/>
      <sz val="12"/>
    </font>
    <font>
      <name val="굴림체"/>
      <charset val="129"/>
      <family val="3"/>
      <sz val="10"/>
    </font>
    <font>
      <name val="Times New Roman"/>
      <family val="1"/>
      <sz val="10"/>
    </font>
    <font>
      <name val="Times New Roman"/>
      <family val="1"/>
      <color indexed="10"/>
      <sz val="10"/>
    </font>
    <font>
      <name val="Times New Roman"/>
      <family val="1"/>
      <sz val="14"/>
    </font>
    <font>
      <name val="Times New Roman"/>
      <family val="1"/>
      <b val="1"/>
      <sz val="10"/>
    </font>
    <font>
      <name val="Times New Roman"/>
      <family val="1"/>
      <color rgb="FFFF0000"/>
      <sz val="10"/>
    </font>
    <font>
      <name val="Times New Roman"/>
      <family val="1"/>
      <color rgb="FFFF0000"/>
      <sz val="13"/>
    </font>
    <font>
      <name val="Times New Roman"/>
      <family val="1"/>
      <b val="1"/>
      <color indexed="10"/>
      <sz val="10"/>
    </font>
    <font>
      <name val="Times New Roman"/>
      <family val="1"/>
      <color theme="1"/>
      <sz val="10"/>
    </font>
    <font>
      <name val="Times New Roman"/>
      <family val="1"/>
      <b val="1"/>
      <sz val="12"/>
    </font>
    <font>
      <name val="Times New Roman"/>
      <family val="1"/>
      <color indexed="10"/>
      <sz val="9"/>
    </font>
    <font>
      <name val="Times New Roman"/>
      <family val="1"/>
      <sz val="16"/>
    </font>
    <font>
      <name val="Times New Roman"/>
      <family val="1"/>
      <sz val="6"/>
    </font>
    <font>
      <name val="Times New Roman"/>
      <family val="1"/>
      <b val="1"/>
      <color rgb="FFFF0000"/>
      <sz val="10"/>
    </font>
    <font>
      <name val="Times New Roman"/>
      <family val="1"/>
      <color rgb="FFFF0000"/>
      <sz val="16"/>
    </font>
    <font>
      <name val="Times New Roman"/>
      <family val="1"/>
      <b val="1"/>
      <sz val="14"/>
    </font>
    <font>
      <name val="Times New Roman"/>
      <charset val="163"/>
      <family val="1"/>
      <sz val="10"/>
    </font>
    <font>
      <name val="Times New Roman"/>
      <charset val="163"/>
      <family val="1"/>
      <b val="1"/>
      <sz val="12"/>
    </font>
    <font>
      <name val="Times New Roman"/>
      <family val="1"/>
      <sz val="11"/>
    </font>
    <font>
      <name val="Times New Roman"/>
      <charset val="163"/>
      <family val="1"/>
      <sz val="12"/>
    </font>
    <font>
      <name val="Times New Roman"/>
      <family val="1"/>
      <b val="1"/>
      <sz val="11"/>
    </font>
    <font>
      <name val="Times New Roman"/>
      <family val="1"/>
      <color indexed="10"/>
      <sz val="14"/>
    </font>
    <font>
      <name val="Times New Roman"/>
      <family val="1"/>
      <color rgb="FFFF0000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color rgb="FFFF0000"/>
      <sz val="11"/>
    </font>
    <font>
      <name val="Times New Roman"/>
      <family val="1"/>
      <color rgb="FF000000"/>
      <sz val="11"/>
    </font>
    <font>
      <name val="Times New Roman"/>
      <family val="1"/>
      <color rgb="FF000000"/>
      <sz val="13"/>
    </font>
    <font>
      <name val="Arial"/>
      <family val="2"/>
      <sz val="10"/>
    </font>
    <font>
      <name val="Times New Roman"/>
      <family val="1"/>
      <b val="1"/>
      <color indexed="8"/>
      <sz val="13"/>
    </font>
    <font>
      <name val="SansSerif"/>
      <color indexed="8"/>
      <sz val="10"/>
    </font>
    <font>
      <name val="Times New Roman"/>
      <family val="1"/>
      <b val="1"/>
      <color indexed="8"/>
      <sz val="14"/>
    </font>
    <font>
      <name val="Times New Roman"/>
      <family val="1"/>
      <b val="1"/>
      <color indexed="8"/>
      <sz val="10"/>
    </font>
    <font>
      <name val="Times New Roman"/>
      <family val="1"/>
      <b val="1"/>
      <color rgb="FFFF0000"/>
      <sz val="12"/>
    </font>
    <font>
      <name val="Times New Roman"/>
      <family val="1"/>
      <color rgb="FFFF0000"/>
      <sz val="12"/>
    </font>
    <font>
      <name val="Arial"/>
      <family val="2"/>
      <b val="1"/>
      <sz val="10"/>
    </font>
    <font>
      <name val="Arial"/>
      <family val="2"/>
      <sz val="11"/>
      <scheme val="minor"/>
    </font>
    <font>
      <name val="Arial"/>
      <family val="2"/>
      <color rgb="FFFF0000"/>
      <sz val="11"/>
      <scheme val="minor"/>
    </font>
    <font>
      <name val="Times New Roman"/>
      <family val="1"/>
      <b val="1"/>
      <sz val="18"/>
    </font>
    <font>
      <name val="Times New Roman"/>
      <family val="1"/>
      <color rgb="FFEE0000"/>
      <sz val="9"/>
    </font>
    <font>
      <name val="Times New Roman"/>
      <family val="1"/>
      <color rgb="FFFF0000"/>
      <sz val="12"/>
    </font>
    <font>
      <name val="Times New Roman"/>
      <family val="1"/>
      <color indexed="10"/>
      <sz val="8"/>
    </font>
    <font>
      <name val="Times New Roman"/>
      <family val="1"/>
      <color theme="1"/>
      <sz val="12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2">
    <xf numFmtId="0" fontId="0" fillId="0" borderId="0"/>
    <xf numFmtId="43" fontId="37" fillId="0" borderId="0"/>
    <xf numFmtId="43" fontId="37" fillId="0" borderId="0"/>
    <xf numFmtId="3" fontId="37" fillId="0" borderId="0"/>
    <xf numFmtId="169" fontId="37" fillId="0" borderId="0"/>
    <xf numFmtId="0" fontId="37" fillId="0" borderId="0"/>
    <xf numFmtId="2" fontId="37" fillId="0" borderId="0"/>
    <xf numFmtId="0" fontId="37" fillId="0" borderId="0"/>
    <xf numFmtId="40" fontId="7" fillId="0" borderId="0"/>
    <xf numFmtId="38" fontId="7" fillId="0" borderId="0"/>
    <xf numFmtId="0" fontId="7" fillId="0" borderId="0"/>
    <xf numFmtId="0" fontId="7" fillId="0" borderId="0"/>
    <xf numFmtId="10" fontId="37" fillId="0" borderId="0"/>
    <xf numFmtId="0" fontId="8" fillId="0" borderId="0"/>
    <xf numFmtId="170" fontId="37" fillId="0" borderId="0"/>
    <xf numFmtId="171" fontId="37" fillId="0" borderId="0"/>
    <xf numFmtId="172" fontId="9" fillId="0" borderId="0"/>
    <xf numFmtId="173" fontId="9" fillId="0" borderId="0"/>
    <xf numFmtId="0" fontId="10" fillId="0" borderId="0"/>
    <xf numFmtId="0" fontId="37" fillId="0" borderId="0"/>
    <xf numFmtId="43" fontId="37" fillId="0" borderId="0"/>
    <xf numFmtId="43" fontId="37" fillId="0" borderId="0"/>
    <xf numFmtId="43" fontId="37" fillId="0" borderId="0"/>
    <xf numFmtId="3" fontId="37" fillId="0" borderId="0"/>
    <xf numFmtId="169" fontId="37" fillId="0" borderId="0"/>
    <xf numFmtId="0" fontId="37" fillId="0" borderId="0"/>
    <xf numFmtId="2" fontId="37" fillId="0" borderId="0"/>
    <xf numFmtId="0" fontId="37" fillId="0" borderId="0"/>
    <xf numFmtId="0" fontId="37" fillId="0" borderId="1"/>
    <xf numFmtId="0" fontId="37" fillId="0" borderId="0"/>
    <xf numFmtId="43" fontId="37" fillId="0" borderId="0"/>
    <xf numFmtId="9" fontId="37" fillId="0" borderId="0"/>
  </cellStyleXfs>
  <cellXfs count="274"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3" fontId="11" fillId="0" borderId="0" pivotButton="0" quotePrefix="0" xfId="20"/>
    <xf numFmtId="3" fontId="5" fillId="0" borderId="0" pivotButton="0" quotePrefix="0" xfId="20"/>
    <xf numFmtId="3" fontId="21" fillId="0" borderId="0" pivotButton="0" quotePrefix="0" xfId="19"/>
    <xf numFmtId="0" fontId="6" fillId="0" borderId="0" pivotButton="0" quotePrefix="0" xfId="19"/>
    <xf numFmtId="164" fontId="5" fillId="0" borderId="0" pivotButton="0" quotePrefix="0" xfId="20"/>
    <xf numFmtId="3" fontId="24" fillId="0" borderId="0" applyAlignment="1" pivotButton="0" quotePrefix="0" xfId="19">
      <alignment horizontal="right"/>
    </xf>
    <xf numFmtId="0" fontId="11" fillId="0" borderId="0" applyAlignment="1" pivotButton="0" quotePrefix="0" xfId="0">
      <alignment vertical="top"/>
    </xf>
    <xf numFmtId="0" fontId="15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 wrapText="1"/>
    </xf>
    <xf numFmtId="0" fontId="15" fillId="0" borderId="0" applyAlignment="1" pivotButton="0" quotePrefix="0" xfId="0">
      <alignment horizontal="right" vertical="top"/>
    </xf>
    <xf numFmtId="0" fontId="26" fillId="0" borderId="0" pivotButton="0" quotePrefix="0" xfId="0"/>
    <xf numFmtId="0" fontId="19" fillId="0" borderId="0" pivotButton="0" quotePrefix="0" xfId="19"/>
    <xf numFmtId="0" fontId="14" fillId="0" borderId="0" pivotButton="0" quotePrefix="0" xfId="0"/>
    <xf numFmtId="0" fontId="19" fillId="0" borderId="0" pivotButton="0" quotePrefix="0" xfId="0"/>
    <xf numFmtId="3" fontId="19" fillId="0" borderId="0" pivotButton="0" quotePrefix="0" xfId="20"/>
    <xf numFmtId="164" fontId="13" fillId="0" borderId="0" pivotButton="0" quotePrefix="0" xfId="1"/>
    <xf numFmtId="3" fontId="13" fillId="0" borderId="0" pivotButton="0" quotePrefix="0" xfId="20"/>
    <xf numFmtId="3" fontId="25" fillId="0" borderId="0" pivotButton="0" quotePrefix="0" xfId="20"/>
    <xf numFmtId="164" fontId="13" fillId="0" borderId="0" pivotButton="0" quotePrefix="0" xfId="20"/>
    <xf numFmtId="0" fontId="11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3" fontId="19" fillId="0" borderId="0" pivotButton="0" quotePrefix="0" xfId="1"/>
    <xf numFmtId="0" fontId="11" fillId="0" borderId="0" applyAlignment="1" pivotButton="0" quotePrefix="0" xfId="0">
      <alignment horizontal="center" vertical="center" wrapText="1"/>
    </xf>
    <xf numFmtId="3" fontId="21" fillId="0" borderId="0" applyAlignment="1" pivotButton="0" quotePrefix="0" xfId="19">
      <alignment wrapText="1"/>
    </xf>
    <xf numFmtId="0" fontId="11" fillId="0" borderId="0" applyAlignment="1" pivotButton="0" quotePrefix="0" xfId="19">
      <alignment horizontal="center"/>
    </xf>
    <xf numFmtId="0" fontId="14" fillId="0" borderId="0" applyAlignment="1" pivotButton="0" quotePrefix="0" xfId="19">
      <alignment horizontal="center"/>
    </xf>
    <xf numFmtId="0" fontId="11" fillId="0" borderId="0" applyAlignment="1" pivotButton="0" quotePrefix="0" xfId="0">
      <alignment horizontal="center" vertical="top"/>
    </xf>
    <xf numFmtId="3" fontId="11" fillId="0" borderId="0" applyAlignment="1" pivotButton="0" quotePrefix="0" xfId="0">
      <alignment vertical="top"/>
    </xf>
    <xf numFmtId="0" fontId="30" fillId="0" borderId="2" applyAlignment="1" pivotButton="0" quotePrefix="0" xfId="0">
      <alignment horizontal="center" vertical="center"/>
    </xf>
    <xf numFmtId="49" fontId="30" fillId="0" borderId="2" applyAlignment="1" pivotButton="0" quotePrefix="0" xfId="0">
      <alignment horizontal="center" vertical="center"/>
    </xf>
    <xf numFmtId="49" fontId="30" fillId="0" borderId="5" applyAlignment="1" pivotButton="0" quotePrefix="0" xfId="0">
      <alignment horizontal="center" vertical="center"/>
    </xf>
    <xf numFmtId="49" fontId="30" fillId="0" borderId="2" applyAlignment="1" pivotButton="0" quotePrefix="0" xfId="0">
      <alignment horizontal="center" vertical="center" wrapText="1"/>
    </xf>
    <xf numFmtId="49" fontId="30" fillId="0" borderId="2" applyAlignment="1" pivotButton="0" quotePrefix="0" xfId="20">
      <alignment horizontal="center" vertical="center"/>
    </xf>
    <xf numFmtId="0" fontId="6" fillId="0" borderId="0" applyAlignment="1" pivotButton="0" quotePrefix="0" xfId="0">
      <alignment vertical="center"/>
    </xf>
    <xf numFmtId="16" fontId="11" fillId="0" borderId="0" applyAlignment="1" pivotButton="0" quotePrefix="0" xfId="0">
      <alignment vertical="center"/>
    </xf>
    <xf numFmtId="3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vertical="center" wrapText="1"/>
    </xf>
    <xf numFmtId="3" fontId="11" fillId="0" borderId="0" applyAlignment="1" pivotButton="0" quotePrefix="0" xfId="19">
      <alignment horizontal="center" vertical="center"/>
    </xf>
    <xf numFmtId="2" fontId="26" fillId="0" borderId="0" applyAlignment="1" pivotButton="0" quotePrefix="0" xfId="0">
      <alignment vertical="center"/>
    </xf>
    <xf numFmtId="164" fontId="26" fillId="0" borderId="0" applyAlignment="1" pivotButton="0" quotePrefix="0" xfId="20">
      <alignment vertical="center"/>
    </xf>
    <xf numFmtId="0" fontId="28" fillId="0" borderId="5" applyAlignment="1" pivotButton="0" quotePrefix="0" xfId="0">
      <alignment horizontal="center" vertical="center" shrinkToFit="1"/>
    </xf>
    <xf numFmtId="37" fontId="28" fillId="0" borderId="2" applyAlignment="1" pivotButton="0" quotePrefix="0" xfId="20">
      <alignment horizontal="center" vertical="center" shrinkToFit="1"/>
    </xf>
    <xf numFmtId="0" fontId="28" fillId="0" borderId="2" applyAlignment="1" pivotButton="0" quotePrefix="0" xfId="0">
      <alignment horizontal="center" vertical="center"/>
    </xf>
    <xf numFmtId="49" fontId="33" fillId="0" borderId="2" applyAlignment="1" pivotButton="0" quotePrefix="0" xfId="0">
      <alignment horizontal="left" vertical="center" wrapText="1"/>
    </xf>
    <xf numFmtId="3" fontId="34" fillId="0" borderId="2" applyAlignment="1" pivotButton="0" quotePrefix="0" xfId="20">
      <alignment horizontal="center" vertical="center" shrinkToFit="1"/>
    </xf>
    <xf numFmtId="0" fontId="11" fillId="0" borderId="2" applyAlignment="1" pivotButton="0" quotePrefix="0" xfId="0">
      <alignment horizontal="left" vertical="center" wrapText="1"/>
    </xf>
    <xf numFmtId="3" fontId="13" fillId="0" borderId="0" applyAlignment="1" pivotButton="0" quotePrefix="0" xfId="20">
      <alignment vertical="center"/>
    </xf>
    <xf numFmtId="3" fontId="5" fillId="0" borderId="0" applyAlignment="1" pivotButton="0" quotePrefix="0" xfId="20">
      <alignment vertical="center"/>
    </xf>
    <xf numFmtId="3" fontId="25" fillId="0" borderId="0" applyAlignment="1" pivotButton="0" quotePrefix="0" xfId="20">
      <alignment vertical="center"/>
    </xf>
    <xf numFmtId="0" fontId="28" fillId="0" borderId="0" applyAlignment="1" pivotButton="0" quotePrefix="0" xfId="0">
      <alignment vertical="center"/>
    </xf>
    <xf numFmtId="165" fontId="28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32" fillId="0" borderId="0" applyAlignment="1" pivotButton="0" quotePrefix="0" xfId="0">
      <alignment vertical="top"/>
    </xf>
    <xf numFmtId="49" fontId="33" fillId="0" borderId="0" applyAlignment="1" pivotButton="0" quotePrefix="0" xfId="0">
      <alignment horizontal="left" vertical="center" wrapText="1"/>
    </xf>
    <xf numFmtId="0" fontId="28" fillId="0" borderId="0" applyAlignment="1" pivotButton="0" quotePrefix="0" xfId="0">
      <alignment horizontal="center" vertical="top"/>
    </xf>
    <xf numFmtId="0" fontId="30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vertical="top" wrapText="1"/>
    </xf>
    <xf numFmtId="3" fontId="28" fillId="0" borderId="0" applyAlignment="1" pivotButton="0" quotePrefix="0" xfId="1">
      <alignment wrapText="1"/>
    </xf>
    <xf numFmtId="3" fontId="28" fillId="0" borderId="0" pivotButton="0" quotePrefix="0" xfId="1"/>
    <xf numFmtId="3" fontId="28" fillId="0" borderId="0" applyAlignment="1" pivotButton="0" quotePrefix="0" xfId="0">
      <alignment vertical="top"/>
    </xf>
    <xf numFmtId="0" fontId="28" fillId="0" borderId="0" applyAlignment="1" pivotButton="0" quotePrefix="0" xfId="0">
      <alignment vertical="top"/>
    </xf>
    <xf numFmtId="0" fontId="28" fillId="0" borderId="0" applyAlignment="1" pivotButton="0" quotePrefix="0" xfId="0">
      <alignment vertical="top" wrapText="1"/>
    </xf>
    <xf numFmtId="3" fontId="28" fillId="0" borderId="0" applyAlignment="1" pivotButton="0" quotePrefix="0" xfId="1">
      <alignment horizontal="right" vertical="center" wrapText="1"/>
    </xf>
    <xf numFmtId="0" fontId="30" fillId="0" borderId="0" applyAlignment="1" pivotButton="0" quotePrefix="0" xfId="0">
      <alignment vertical="center" wrapText="1"/>
    </xf>
    <xf numFmtId="0" fontId="30" fillId="0" borderId="0" applyAlignment="1" pivotButton="0" quotePrefix="0" xfId="0">
      <alignment vertical="center"/>
    </xf>
    <xf numFmtId="3" fontId="23" fillId="0" borderId="2" applyAlignment="1" pivotButton="0" quotePrefix="0" xfId="20">
      <alignment horizontal="center" vertical="center" shrinkToFit="1"/>
    </xf>
    <xf numFmtId="49" fontId="14" fillId="0" borderId="2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 wrapText="1"/>
    </xf>
    <xf numFmtId="165" fontId="11" fillId="0" borderId="6" applyAlignment="1" pivotButton="0" quotePrefix="0" xfId="1">
      <alignment horizontal="center" vertical="top"/>
    </xf>
    <xf numFmtId="0" fontId="11" fillId="0" borderId="2" applyAlignment="1" pivotButton="0" quotePrefix="0" xfId="0">
      <alignment horizontal="center" vertical="center" wrapText="1"/>
    </xf>
    <xf numFmtId="165" fontId="11" fillId="0" borderId="2" applyAlignment="1" pivotButton="0" quotePrefix="0" xfId="1">
      <alignment horizontal="center" vertical="top"/>
    </xf>
    <xf numFmtId="0" fontId="28" fillId="0" borderId="2" applyAlignment="1" pivotButton="0" quotePrefix="0" xfId="0">
      <alignment horizontal="center" vertical="center" shrinkToFit="1"/>
    </xf>
    <xf numFmtId="2" fontId="30" fillId="0" borderId="5" applyAlignment="1" pivotButton="0" quotePrefix="0" xfId="0">
      <alignment horizontal="center" vertical="center" wrapText="1"/>
    </xf>
    <xf numFmtId="49" fontId="35" fillId="0" borderId="2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49" fontId="36" fillId="0" borderId="0" applyAlignment="1" pivotButton="0" quotePrefix="0" xfId="0">
      <alignment horizontal="left" vertical="center" wrapText="1"/>
    </xf>
    <xf numFmtId="2" fontId="36" fillId="0" borderId="0" applyAlignment="1" pivotButton="0" quotePrefix="0" xfId="0">
      <alignment horizontal="left" vertical="center" wrapText="1"/>
    </xf>
    <xf numFmtId="3" fontId="36" fillId="0" borderId="0" applyAlignment="1" pivotButton="0" quotePrefix="0" xfId="0">
      <alignment horizontal="center" vertical="center" wrapText="1"/>
    </xf>
    <xf numFmtId="2" fontId="1" fillId="0" borderId="0" applyAlignment="1" pivotButton="0" quotePrefix="0" xfId="0">
      <alignment vertical="center" wrapText="1"/>
    </xf>
    <xf numFmtId="3" fontId="1" fillId="0" borderId="0" applyAlignment="1" pivotButton="0" quotePrefix="0" xfId="0">
      <alignment vertical="center" wrapText="1"/>
    </xf>
    <xf numFmtId="3" fontId="16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1" fontId="1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vertical="center"/>
    </xf>
    <xf numFmtId="2" fontId="1" fillId="0" borderId="0" applyAlignment="1" pivotButton="0" quotePrefix="0" xfId="0">
      <alignment vertical="center"/>
    </xf>
    <xf numFmtId="37" fontId="1" fillId="0" borderId="0" applyAlignment="1" pivotButton="0" quotePrefix="0" xfId="0">
      <alignment vertical="center"/>
    </xf>
    <xf numFmtId="0" fontId="11" fillId="0" borderId="2" applyAlignment="1" pivotButton="0" quotePrefix="0" xfId="0">
      <alignment horizontal="center" vertical="center" wrapText="1" shrinkToFit="1"/>
    </xf>
    <xf numFmtId="3" fontId="11" fillId="0" borderId="2" applyAlignment="1" applyProtection="1" pivotButton="0" quotePrefix="0" xfId="20">
      <alignment horizontal="center" vertical="center" wrapText="1" shrinkToFit="1"/>
      <protection locked="0" hidden="0"/>
    </xf>
    <xf numFmtId="0" fontId="11" fillId="0" borderId="7" applyAlignment="1" pivotButton="0" quotePrefix="0" xfId="0">
      <alignment vertical="center" wrapText="1"/>
    </xf>
    <xf numFmtId="49" fontId="14" fillId="0" borderId="7" applyAlignment="1" pivotButton="0" quotePrefix="0" xfId="0">
      <alignment horizontal="left" vertical="center" wrapText="1"/>
    </xf>
    <xf numFmtId="0" fontId="11" fillId="0" borderId="2" applyAlignment="1" pivotButton="0" quotePrefix="0" xfId="0">
      <alignment vertical="center" wrapText="1"/>
    </xf>
    <xf numFmtId="3" fontId="14" fillId="0" borderId="2" applyAlignment="1" pivotButton="0" quotePrefix="0" xfId="0">
      <alignment horizontal="center" vertical="center" wrapText="1"/>
    </xf>
    <xf numFmtId="3" fontId="30" fillId="0" borderId="3" applyAlignment="1" pivotButton="0" quotePrefix="0" xfId="1">
      <alignment horizontal="center"/>
    </xf>
    <xf numFmtId="3" fontId="30" fillId="0" borderId="0" applyAlignment="1" pivotButton="0" quotePrefix="0" xfId="1">
      <alignment horizontal="center"/>
    </xf>
    <xf numFmtId="3" fontId="3" fillId="0" borderId="0" applyAlignment="1" pivotButton="0" quotePrefix="0" xfId="19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left" vertical="top"/>
    </xf>
    <xf numFmtId="0" fontId="11" fillId="0" borderId="2" applyAlignment="1" pivotButton="0" quotePrefix="0" xfId="0">
      <alignment horizontal="left" vertical="top" wrapText="1"/>
    </xf>
    <xf numFmtId="0" fontId="11" fillId="0" borderId="7" applyAlignment="1" pivotButton="0" quotePrefix="0" xfId="0">
      <alignment horizontal="left" vertical="top" wrapText="1"/>
    </xf>
    <xf numFmtId="165" fontId="11" fillId="0" borderId="2" applyAlignment="1" pivotButton="0" quotePrefix="0" xfId="1">
      <alignment horizontal="left" vertical="top" wrapText="1"/>
    </xf>
    <xf numFmtId="0" fontId="11" fillId="0" borderId="2" applyAlignment="1" pivotButton="0" quotePrefix="0" xfId="0">
      <alignment horizontal="center" vertical="top" wrapText="1"/>
    </xf>
    <xf numFmtId="0" fontId="38" fillId="3" borderId="0" applyAlignment="1" pivotButton="0" quotePrefix="0" xfId="0">
      <alignment vertical="center"/>
    </xf>
    <xf numFmtId="0" fontId="39" fillId="3" borderId="0" applyAlignment="1" pivotButton="0" quotePrefix="0" xfId="0">
      <alignment horizontal="left" vertical="top" wrapText="1"/>
    </xf>
    <xf numFmtId="0" fontId="40" fillId="3" borderId="0" applyAlignment="1" pivotButton="0" quotePrefix="0" xfId="0">
      <alignment vertical="center"/>
    </xf>
    <xf numFmtId="0" fontId="41" fillId="3" borderId="0" applyAlignment="1" pivotButton="0" quotePrefix="0" xfId="0">
      <alignment horizontal="right" vertical="top"/>
    </xf>
    <xf numFmtId="0" fontId="41" fillId="3" borderId="0" applyAlignment="1" pivotButton="0" quotePrefix="0" xfId="0">
      <alignment horizontal="left" vertical="top"/>
    </xf>
    <xf numFmtId="0" fontId="23" fillId="2" borderId="0" applyAlignment="1" pivotButton="0" quotePrefix="0" xfId="0">
      <alignment vertical="top"/>
    </xf>
    <xf numFmtId="1" fontId="23" fillId="2" borderId="0" applyAlignment="1" pivotButton="0" quotePrefix="0" xfId="0">
      <alignment horizontal="left" vertical="top"/>
    </xf>
    <xf numFmtId="166" fontId="23" fillId="2" borderId="0" applyAlignment="1" pivotButton="0" quotePrefix="0" xfId="0">
      <alignment vertical="top"/>
    </xf>
    <xf numFmtId="0" fontId="42" fillId="0" borderId="2" applyAlignment="1" pivotButton="0" quotePrefix="0" xfId="0">
      <alignment horizontal="center" vertical="center"/>
    </xf>
    <xf numFmtId="166" fontId="42" fillId="0" borderId="2" applyAlignment="1" pivotButton="0" quotePrefix="0" xfId="1">
      <alignment horizontal="center" vertical="center"/>
    </xf>
    <xf numFmtId="0" fontId="43" fillId="0" borderId="2" applyAlignment="1" pivotButton="0" quotePrefix="0" xfId="0">
      <alignment horizontal="left" vertical="top"/>
    </xf>
    <xf numFmtId="166" fontId="43" fillId="0" borderId="2" applyAlignment="1" pivotButton="0" quotePrefix="0" xfId="1">
      <alignment horizontal="left" vertical="top"/>
    </xf>
    <xf numFmtId="0" fontId="44" fillId="0" borderId="2" pivotButton="0" quotePrefix="0" xfId="0"/>
    <xf numFmtId="166" fontId="44" fillId="0" borderId="2" pivotButton="0" quotePrefix="0" xfId="0"/>
    <xf numFmtId="0" fontId="44" fillId="0" borderId="0" pivotButton="0" quotePrefix="0" xfId="0"/>
    <xf numFmtId="0" fontId="41" fillId="3" borderId="0" applyAlignment="1" pivotButton="0" quotePrefix="0" xfId="0">
      <alignment horizontal="left" vertical="top" wrapText="1"/>
    </xf>
    <xf numFmtId="0" fontId="45" fillId="0" borderId="0" pivotButton="0" quotePrefix="0" xfId="0"/>
    <xf numFmtId="0" fontId="46" fillId="0" borderId="0" pivotButton="0" quotePrefix="0" xfId="0"/>
    <xf numFmtId="3" fontId="30" fillId="0" borderId="3" pivotButton="0" quotePrefix="0" xfId="1"/>
    <xf numFmtId="0" fontId="30" fillId="0" borderId="0" pivotButton="0" quotePrefix="0" xfId="0"/>
    <xf numFmtId="3" fontId="30" fillId="0" borderId="0" pivotButton="0" quotePrefix="0" xfId="1"/>
    <xf numFmtId="0" fontId="34" fillId="0" borderId="2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 shrinkToFit="1"/>
    </xf>
    <xf numFmtId="0" fontId="30" fillId="0" borderId="2" applyAlignment="1" pivotButton="0" quotePrefix="0" xfId="0">
      <alignment horizontal="center" vertical="center" wrapText="1" shrinkToFit="1"/>
    </xf>
    <xf numFmtId="0" fontId="30" fillId="0" borderId="2" applyAlignment="1" pivotButton="0" quotePrefix="0" xfId="0">
      <alignment horizontal="center" vertical="center" wrapText="1"/>
    </xf>
    <xf numFmtId="3" fontId="20" fillId="0" borderId="0" applyAlignment="1" pivotButton="0" quotePrefix="0" xfId="20">
      <alignment horizontal="center" vertical="center"/>
    </xf>
    <xf numFmtId="164" fontId="31" fillId="0" borderId="0" applyAlignment="1" pivotButton="0" quotePrefix="0" xfId="20">
      <alignment horizontal="center" vertical="center"/>
    </xf>
    <xf numFmtId="164" fontId="12" fillId="0" borderId="0" applyAlignment="1" pivotButton="0" quotePrefix="0" xfId="20">
      <alignment horizontal="center" vertical="center"/>
    </xf>
    <xf numFmtId="164" fontId="17" fillId="0" borderId="2" applyAlignment="1" pivotButton="0" quotePrefix="0" xfId="20">
      <alignment horizontal="center" vertical="center"/>
    </xf>
    <xf numFmtId="3" fontId="14" fillId="0" borderId="2" applyAlignment="1" pivotButton="0" quotePrefix="0" xfId="20">
      <alignment horizontal="center" vertical="center"/>
    </xf>
    <xf numFmtId="164" fontId="14" fillId="0" borderId="2" applyAlignment="1" pivotButton="0" quotePrefix="0" xfId="20">
      <alignment horizontal="center" vertical="center"/>
    </xf>
    <xf numFmtId="3" fontId="28" fillId="0" borderId="0" applyAlignment="1" pivotButton="0" quotePrefix="0" xfId="0">
      <alignment horizontal="center" vertical="center"/>
    </xf>
    <xf numFmtId="0" fontId="49" fillId="0" borderId="2" applyAlignment="1" pivotButton="0" quotePrefix="0" xfId="0">
      <alignment horizontal="left" vertical="top"/>
    </xf>
    <xf numFmtId="166" fontId="49" fillId="0" borderId="2" applyAlignment="1" pivotButton="0" quotePrefix="0" xfId="1">
      <alignment horizontal="left" vertical="top"/>
    </xf>
    <xf numFmtId="3" fontId="11" fillId="0" borderId="0" applyAlignment="1" pivotButton="0" quotePrefix="0" xfId="0">
      <alignment horizontal="center" vertical="center"/>
    </xf>
    <xf numFmtId="0" fontId="18" fillId="0" borderId="2" applyAlignment="1" pivotButton="0" quotePrefix="0" xfId="29">
      <alignment horizontal="center" vertical="center"/>
    </xf>
    <xf numFmtId="0" fontId="28" fillId="0" borderId="2" applyAlignment="1" pivotButton="0" quotePrefix="0" xfId="29">
      <alignment horizontal="center" vertical="center"/>
    </xf>
    <xf numFmtId="3" fontId="18" fillId="0" borderId="2" applyAlignment="1" pivotButton="0" quotePrefix="0" xfId="29">
      <alignment horizontal="center" vertical="center" shrinkToFit="1"/>
    </xf>
    <xf numFmtId="0" fontId="11" fillId="0" borderId="0" applyAlignment="1" pivotButton="0" quotePrefix="0" xfId="29">
      <alignment vertical="center"/>
    </xf>
    <xf numFmtId="0" fontId="12" fillId="0" borderId="0" applyAlignment="1" pivotButton="0" quotePrefix="0" xfId="29">
      <alignment vertical="center"/>
    </xf>
    <xf numFmtId="0" fontId="12" fillId="0" borderId="0" applyAlignment="1" pivotButton="0" quotePrefix="0" xfId="29">
      <alignment horizontal="center" vertical="center"/>
    </xf>
    <xf numFmtId="0" fontId="11" fillId="0" borderId="0" pivotButton="0" quotePrefix="0" xfId="29"/>
    <xf numFmtId="0" fontId="11" fillId="0" borderId="0" applyAlignment="1" pivotButton="0" quotePrefix="0" xfId="29">
      <alignment horizontal="left" vertical="center"/>
    </xf>
    <xf numFmtId="0" fontId="11" fillId="0" borderId="0" pivotButton="0" quotePrefix="0" xfId="0"/>
    <xf numFmtId="0" fontId="11" fillId="0" borderId="0" applyAlignment="1" pivotButton="0" quotePrefix="0" xfId="29">
      <alignment horizontal="center" vertical="center"/>
    </xf>
    <xf numFmtId="3" fontId="11" fillId="0" borderId="0" pivotButton="0" quotePrefix="0" xfId="29"/>
    <xf numFmtId="0" fontId="48" fillId="0" borderId="10" applyAlignment="1" pivotButton="0" quotePrefix="0" xfId="0">
      <alignment vertical="center"/>
    </xf>
    <xf numFmtId="3" fontId="48" fillId="0" borderId="9" applyAlignment="1" pivotButton="0" quotePrefix="0" xfId="0">
      <alignment vertical="center"/>
    </xf>
    <xf numFmtId="0" fontId="3" fillId="0" borderId="0" applyAlignment="1" pivotButton="0" quotePrefix="0" xfId="29">
      <alignment horizontal="center"/>
    </xf>
    <xf numFmtId="0" fontId="3" fillId="0" borderId="0" applyAlignment="1" pivotButton="0" quotePrefix="0" xfId="29">
      <alignment horizontal="center" vertical="center"/>
    </xf>
    <xf numFmtId="0" fontId="3" fillId="0" borderId="0" pivotButton="0" quotePrefix="0" xfId="29"/>
    <xf numFmtId="0" fontId="3" fillId="0" borderId="0" applyAlignment="1" pivotButton="0" quotePrefix="0" xfId="29">
      <alignment horizontal="left"/>
    </xf>
    <xf numFmtId="3" fontId="3" fillId="0" borderId="0" applyAlignment="1" pivotButton="0" quotePrefix="0" xfId="29">
      <alignment horizontal="center"/>
    </xf>
    <xf numFmtId="0" fontId="14" fillId="0" borderId="2" applyAlignment="1" pivotButton="0" quotePrefix="0" xfId="29">
      <alignment horizontal="center" vertical="center"/>
    </xf>
    <xf numFmtId="0" fontId="11" fillId="0" borderId="0" applyAlignment="1" pivotButton="0" quotePrefix="0" xfId="29">
      <alignment horizontal="center"/>
    </xf>
    <xf numFmtId="0" fontId="11" fillId="0" borderId="0" applyAlignment="1" pivotButton="0" quotePrefix="0" xfId="0">
      <alignment horizontal="center"/>
    </xf>
    <xf numFmtId="49" fontId="48" fillId="0" borderId="9" applyAlignment="1" pivotButton="0" quotePrefix="0" xfId="0">
      <alignment horizontal="center" vertical="center"/>
    </xf>
    <xf numFmtId="0" fontId="48" fillId="0" borderId="9" applyAlignment="1" pivotButton="0" quotePrefix="0" xfId="0">
      <alignment horizontal="center" vertical="center"/>
    </xf>
    <xf numFmtId="0" fontId="48" fillId="0" borderId="11" applyAlignment="1" pivotButton="0" quotePrefix="0" xfId="0">
      <alignment horizontal="center" vertical="center"/>
    </xf>
    <xf numFmtId="0" fontId="48" fillId="0" borderId="9" applyAlignment="1" pivotButton="0" quotePrefix="0" xfId="0">
      <alignment vertical="center"/>
    </xf>
    <xf numFmtId="0" fontId="18" fillId="0" borderId="0" applyAlignment="1" pivotButton="0" quotePrefix="0" xfId="29">
      <alignment vertical="center"/>
    </xf>
    <xf numFmtId="0" fontId="18" fillId="0" borderId="0" applyAlignment="1" pivotButton="0" quotePrefix="0" xfId="0">
      <alignment vertical="center"/>
    </xf>
    <xf numFmtId="3" fontId="18" fillId="0" borderId="0" applyAlignment="1" pivotButton="0" quotePrefix="0" xfId="29">
      <alignment vertical="center"/>
    </xf>
    <xf numFmtId="4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3" fontId="23" fillId="0" borderId="2" applyAlignment="1" pivotButton="0" quotePrefix="0" xfId="0">
      <alignment horizontal="center" vertical="center"/>
    </xf>
    <xf numFmtId="3" fontId="23" fillId="0" borderId="2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vertical="center"/>
    </xf>
    <xf numFmtId="0" fontId="13" fillId="0" borderId="0" pivotButton="0" quotePrefix="0" xfId="0"/>
    <xf numFmtId="0" fontId="13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pivotButton="0" quotePrefix="0" xfId="0"/>
    <xf numFmtId="164" fontId="50" fillId="0" borderId="0" applyAlignment="1" pivotButton="0" quotePrefix="0" xfId="20">
      <alignment horizontal="center" vertical="center"/>
    </xf>
    <xf numFmtId="0" fontId="14" fillId="0" borderId="2" applyAlignment="1" pivotButton="0" quotePrefix="0" xfId="29">
      <alignment horizontal="center" vertical="center" wrapText="1"/>
    </xf>
    <xf numFmtId="0" fontId="51" fillId="0" borderId="2" applyAlignment="1" pivotButton="0" quotePrefix="0" xfId="0">
      <alignment vertical="center" wrapText="1"/>
    </xf>
    <xf numFmtId="167" fontId="23" fillId="2" borderId="0" applyAlignment="1" pivotButton="0" quotePrefix="0" xfId="31">
      <alignment horizontal="left" vertical="top"/>
    </xf>
    <xf numFmtId="166" fontId="0" fillId="0" borderId="0" pivotButton="0" quotePrefix="0" xfId="0"/>
    <xf numFmtId="0" fontId="48" fillId="0" borderId="0" applyAlignment="1" pivotButton="0" quotePrefix="0" xfId="0">
      <alignment vertical="center"/>
    </xf>
    <xf numFmtId="0" fontId="48" fillId="0" borderId="12" applyAlignment="1" pivotButton="0" quotePrefix="0" xfId="0">
      <alignment horizontal="center" vertical="center"/>
    </xf>
    <xf numFmtId="0" fontId="48" fillId="0" borderId="13" applyAlignment="1" pivotButton="0" quotePrefix="0" xfId="0">
      <alignment horizontal="center" vertical="center"/>
    </xf>
    <xf numFmtId="0" fontId="48" fillId="0" borderId="12" applyAlignment="1" pivotButton="0" quotePrefix="0" xfId="0">
      <alignment vertical="center"/>
    </xf>
    <xf numFmtId="3" fontId="48" fillId="0" borderId="12" applyAlignment="1" pivotButton="0" quotePrefix="0" xfId="0">
      <alignment vertical="center"/>
    </xf>
    <xf numFmtId="14" fontId="35" fillId="0" borderId="2" applyAlignment="1" pivotButton="0" quotePrefix="0" xfId="0">
      <alignment horizontal="left" vertical="center"/>
    </xf>
    <xf numFmtId="14" fontId="36" fillId="0" borderId="0" applyAlignment="1" pivotButton="0" quotePrefix="0" xfId="0">
      <alignment horizontal="left" vertical="center"/>
    </xf>
    <xf numFmtId="168" fontId="32" fillId="0" borderId="2" applyAlignment="1" pivotButton="0" quotePrefix="0" xfId="0">
      <alignment horizontal="right" vertical="center"/>
    </xf>
    <xf numFmtId="165" fontId="11" fillId="0" borderId="2" applyAlignment="1" pivotButton="0" quotePrefix="0" xfId="0">
      <alignment horizontal="left" vertical="top" wrapText="1"/>
    </xf>
    <xf numFmtId="37" fontId="28" fillId="0" borderId="2" applyAlignment="1" pivotButton="0" quotePrefix="0" xfId="0">
      <alignment horizontal="center" vertical="center" shrinkToFit="1"/>
    </xf>
    <xf numFmtId="14" fontId="48" fillId="0" borderId="9" applyAlignment="1" pivotButton="0" quotePrefix="0" xfId="0">
      <alignment horizontal="center" vertical="center"/>
    </xf>
    <xf numFmtId="14" fontId="48" fillId="0" borderId="12" applyAlignment="1" pivotButton="0" quotePrefix="0" xfId="0">
      <alignment horizontal="center" vertical="center"/>
    </xf>
    <xf numFmtId="3" fontId="47" fillId="0" borderId="0" applyAlignment="1" pivotButton="0" quotePrefix="0" xfId="29">
      <alignment horizontal="center"/>
    </xf>
    <xf numFmtId="0" fontId="22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64" fontId="12" fillId="0" borderId="0" applyAlignment="1" pivotButton="0" quotePrefix="0" xfId="20">
      <alignment horizontal="center" vertical="center"/>
    </xf>
    <xf numFmtId="0" fontId="5" fillId="0" borderId="0" pivotButton="0" quotePrefix="0" xfId="0"/>
    <xf numFmtId="3" fontId="5" fillId="0" borderId="0" pivotButton="0" quotePrefix="0" xfId="20"/>
    <xf numFmtId="0" fontId="5" fillId="0" borderId="0" applyAlignment="1" pivotButton="0" quotePrefix="0" xfId="0">
      <alignment horizontal="left" vertical="center"/>
    </xf>
    <xf numFmtId="3" fontId="5" fillId="0" borderId="0" applyAlignment="1" pivotButton="0" quotePrefix="0" xfId="20">
      <alignment vertical="center"/>
    </xf>
    <xf numFmtId="164" fontId="5" fillId="0" borderId="0" pivotButton="0" quotePrefix="0" xfId="20"/>
    <xf numFmtId="0" fontId="25" fillId="0" borderId="0" applyAlignment="1" pivotButton="0" quotePrefix="0" xfId="0">
      <alignment horizontal="center"/>
    </xf>
    <xf numFmtId="0" fontId="2" fillId="0" borderId="0" applyAlignment="1" pivotButton="0" quotePrefix="0" xfId="29">
      <alignment horizontal="center"/>
    </xf>
    <xf numFmtId="3" fontId="25" fillId="0" borderId="0" applyAlignment="1" pivotButton="0" quotePrefix="0" xfId="20">
      <alignment horizontal="center"/>
    </xf>
    <xf numFmtId="0" fontId="23" fillId="0" borderId="2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6" pivotButton="0" quotePrefix="0" xfId="0"/>
    <xf numFmtId="0" fontId="1" fillId="0" borderId="0" applyAlignment="1" pivotButton="0" quotePrefix="0" xfId="29">
      <alignment horizontal="center"/>
    </xf>
    <xf numFmtId="3" fontId="19" fillId="0" borderId="0" applyAlignment="1" pivotButton="0" quotePrefix="0" xfId="20">
      <alignment horizontal="center"/>
    </xf>
    <xf numFmtId="0" fontId="3" fillId="0" borderId="0" applyAlignment="1" pivotButton="0" quotePrefix="0" xfId="29">
      <alignment horizontal="center"/>
    </xf>
    <xf numFmtId="0" fontId="30" fillId="0" borderId="0" applyAlignment="1" pivotButton="0" quotePrefix="0" xfId="0">
      <alignment horizontal="center" vertical="top"/>
    </xf>
    <xf numFmtId="0" fontId="15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/>
    </xf>
    <xf numFmtId="3" fontId="19" fillId="0" borderId="4" applyAlignment="1" pivotButton="0" quotePrefix="0" xfId="19">
      <alignment horizontal="center" vertical="center"/>
    </xf>
    <xf numFmtId="0" fontId="0" fillId="0" borderId="4" pivotButton="0" quotePrefix="0" xfId="0"/>
    <xf numFmtId="3" fontId="3" fillId="0" borderId="0" applyAlignment="1" pivotButton="0" quotePrefix="0" xfId="19">
      <alignment horizontal="center" vertical="center"/>
    </xf>
    <xf numFmtId="0" fontId="11" fillId="0" borderId="0" applyAlignment="1" pivotButton="0" quotePrefix="0" xfId="0">
      <alignment horizontal="center" vertical="top"/>
    </xf>
    <xf numFmtId="0" fontId="11" fillId="0" borderId="0" applyAlignment="1" pivotButton="0" quotePrefix="0" xfId="0">
      <alignment vertical="top" wrapText="1"/>
    </xf>
    <xf numFmtId="0" fontId="11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right" vertical="top"/>
    </xf>
    <xf numFmtId="3" fontId="30" fillId="0" borderId="3" applyAlignment="1" pivotButton="0" quotePrefix="0" xfId="1">
      <alignment horizontal="center"/>
    </xf>
    <xf numFmtId="0" fontId="0" fillId="0" borderId="3" pivotButton="0" quotePrefix="0" xfId="0"/>
    <xf numFmtId="0" fontId="30" fillId="0" borderId="0" applyAlignment="1" pivotButton="0" quotePrefix="0" xfId="0">
      <alignment horizontal="center"/>
    </xf>
    <xf numFmtId="3" fontId="30" fillId="0" borderId="0" applyAlignment="1" pivotButton="0" quotePrefix="0" xfId="1">
      <alignment horizontal="center"/>
    </xf>
    <xf numFmtId="0" fontId="30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/>
    </xf>
    <xf numFmtId="0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 wrapText="1"/>
    </xf>
    <xf numFmtId="2" fontId="26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wrapText="1"/>
    </xf>
    <xf numFmtId="3" fontId="2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2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3" fontId="19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0" fillId="3" borderId="0" applyAlignment="1" pivotButton="0" quotePrefix="0" xfId="0">
      <alignment horizontal="center" vertical="center"/>
    </xf>
    <xf numFmtId="0" fontId="0" fillId="0" borderId="0" pivotButton="0" quotePrefix="0" xfId="0"/>
    <xf numFmtId="0" fontId="38" fillId="3" borderId="0" applyAlignment="1" pivotButton="0" quotePrefix="0" xfId="0">
      <alignment horizontal="center" vertical="center"/>
    </xf>
    <xf numFmtId="164" fontId="12" fillId="0" borderId="0" applyAlignment="1" pivotButton="0" quotePrefix="0" xfId="20">
      <alignment horizontal="center" vertical="center"/>
    </xf>
    <xf numFmtId="164" fontId="5" fillId="0" borderId="0" pivotButton="0" quotePrefix="0" xfId="20"/>
    <xf numFmtId="164" fontId="17" fillId="0" borderId="2" applyAlignment="1" pivotButton="0" quotePrefix="0" xfId="20">
      <alignment horizontal="center" vertical="center"/>
    </xf>
    <xf numFmtId="164" fontId="14" fillId="0" borderId="2" applyAlignment="1" pivotButton="0" quotePrefix="0" xfId="20">
      <alignment horizontal="center" vertical="center"/>
    </xf>
    <xf numFmtId="174" fontId="48" fillId="0" borderId="9" applyAlignment="1" pivotButton="0" quotePrefix="0" xfId="0">
      <alignment horizontal="center" vertical="center"/>
    </xf>
    <xf numFmtId="174" fontId="48" fillId="0" borderId="12" applyAlignment="1" pivotButton="0" quotePrefix="0" xfId="0">
      <alignment horizontal="center" vertical="center"/>
    </xf>
    <xf numFmtId="164" fontId="50" fillId="0" borderId="0" applyAlignment="1" pivotButton="0" quotePrefix="0" xfId="20">
      <alignment horizontal="center" vertical="center"/>
    </xf>
    <xf numFmtId="164" fontId="31" fillId="0" borderId="0" applyAlignment="1" pivotButton="0" quotePrefix="0" xfId="20">
      <alignment horizontal="center" vertical="center"/>
    </xf>
    <xf numFmtId="164" fontId="13" fillId="0" borderId="0" pivotButton="0" quotePrefix="0" xfId="20"/>
    <xf numFmtId="165" fontId="11" fillId="0" borderId="2" applyAlignment="1" pivotButton="0" quotePrefix="0" xfId="1">
      <alignment horizontal="left" vertical="top" wrapText="1"/>
    </xf>
    <xf numFmtId="166" fontId="49" fillId="0" borderId="2" applyAlignment="1" pivotButton="0" quotePrefix="0" xfId="1">
      <alignment horizontal="left" vertical="top"/>
    </xf>
    <xf numFmtId="168" fontId="32" fillId="0" borderId="2" applyAlignment="1" pivotButton="0" quotePrefix="0" xfId="0">
      <alignment horizontal="right" vertical="center"/>
    </xf>
    <xf numFmtId="164" fontId="13" fillId="0" borderId="0" pivotButton="0" quotePrefix="0" xfId="1"/>
    <xf numFmtId="164" fontId="26" fillId="0" borderId="0" applyAlignment="1" pivotButton="0" quotePrefix="0" xfId="20">
      <alignment vertical="center"/>
    </xf>
    <xf numFmtId="165" fontId="28" fillId="0" borderId="0" applyAlignment="1" pivotButton="0" quotePrefix="0" xfId="0">
      <alignment vertical="center"/>
    </xf>
    <xf numFmtId="165" fontId="11" fillId="0" borderId="6" applyAlignment="1" pivotButton="0" quotePrefix="0" xfId="1">
      <alignment horizontal="center" vertical="top"/>
    </xf>
    <xf numFmtId="165" fontId="11" fillId="0" borderId="2" applyAlignment="1" pivotButton="0" quotePrefix="0" xfId="1">
      <alignment horizontal="center" vertical="top"/>
    </xf>
    <xf numFmtId="165" fontId="11" fillId="0" borderId="2" applyAlignment="1" pivotButton="0" quotePrefix="0" xfId="0">
      <alignment horizontal="left" vertical="top" wrapText="1"/>
    </xf>
    <xf numFmtId="166" fontId="23" fillId="2" borderId="0" applyAlignment="1" pivotButton="0" quotePrefix="0" xfId="0">
      <alignment vertical="top"/>
    </xf>
    <xf numFmtId="167" fontId="23" fillId="2" borderId="0" applyAlignment="1" pivotButton="0" quotePrefix="0" xfId="31">
      <alignment horizontal="left" vertical="top"/>
    </xf>
    <xf numFmtId="166" fontId="0" fillId="0" borderId="0" pivotButton="0" quotePrefix="0" xfId="0"/>
    <xf numFmtId="166" fontId="42" fillId="0" borderId="2" applyAlignment="1" pivotButton="0" quotePrefix="0" xfId="1">
      <alignment horizontal="center" vertical="center"/>
    </xf>
    <xf numFmtId="166" fontId="43" fillId="0" borderId="2" applyAlignment="1" pivotButton="0" quotePrefix="0" xfId="1">
      <alignment horizontal="left" vertical="top"/>
    </xf>
    <xf numFmtId="166" fontId="44" fillId="0" borderId="2" pivotButton="0" quotePrefix="0" xfId="0"/>
  </cellXfs>
  <cellStyles count="32">
    <cellStyle name="Normal" xfId="0" builtinId="0"/>
    <cellStyle name="Comma" xfId="1" builtinId="3"/>
    <cellStyle name="Comma 2" xfId="2"/>
    <cellStyle name="Comma0" xfId="3"/>
    <cellStyle name="Currency0" xfId="4"/>
    <cellStyle name="Date" xfId="5"/>
    <cellStyle name="Fixed" xfId="6"/>
    <cellStyle name="Normal 2" xfId="7"/>
    <cellStyle name="똿뗦먛귟 [0.00]_PRODUCT DETAIL Q1" xfId="8"/>
    <cellStyle name="똿뗦먛귟_PRODUCT DETAIL Q1" xfId="9"/>
    <cellStyle name="믅됞 [0.00]_PRODUCT DETAIL Q1" xfId="10"/>
    <cellStyle name="믅됞_PRODUCT DETAIL Q1" xfId="11"/>
    <cellStyle name="백분율_HOBONG" xfId="12"/>
    <cellStyle name="뷭?_BOOKSHIP" xfId="13"/>
    <cellStyle name="콤마 [0]_1202" xfId="14"/>
    <cellStyle name="콤마_1202" xfId="15"/>
    <cellStyle name="통화 [0]_1202" xfId="16"/>
    <cellStyle name="통화_1202" xfId="17"/>
    <cellStyle name="표준_(정보부문)월별인원계획" xfId="18"/>
    <cellStyle name="Normal 3" xfId="19"/>
    <cellStyle name="Comma 3" xfId="20"/>
    <cellStyle name="Comma 4" xfId="21"/>
    <cellStyle name="Comma 2 2" xfId="22"/>
    <cellStyle name="Comma0 2" xfId="23"/>
    <cellStyle name="Currency0 2" xfId="24"/>
    <cellStyle name="Date 2" xfId="25"/>
    <cellStyle name="Fixed 2" xfId="26"/>
    <cellStyle name="Normal 2 2" xfId="27"/>
    <cellStyle name="Total 2" xfId="28"/>
    <cellStyle name="Normal 3 2" xfId="29"/>
    <cellStyle name="Comma 3 2" xfId="30"/>
    <cellStyle name="Percent" xfId="3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indexed="10"/>
    <outlinePr summaryBelow="1" summaryRight="1"/>
    <pageSetUpPr/>
  </sheetPr>
  <dimension ref="A1:V176"/>
  <sheetViews>
    <sheetView topLeftCell="A3" zoomScale="115" zoomScaleNormal="115" zoomScaleSheetLayoutView="100" workbookViewId="0">
      <pane xSplit="8" ySplit="4" topLeftCell="I163" activePane="bottomRight" state="frozen"/>
      <selection activeCell="A3" sqref="A3"/>
      <selection pane="topRight" activeCell="I3" sqref="I3"/>
      <selection pane="bottomLeft" activeCell="A7" sqref="A7"/>
      <selection pane="bottomRight" activeCell="Q60" sqref="Q60:Q167"/>
    </sheetView>
  </sheetViews>
  <sheetFormatPr baseColWidth="8" defaultColWidth="3.44140625" defaultRowHeight="13.2"/>
  <cols>
    <col width="4.5546875" customWidth="1" style="150" min="1" max="1"/>
    <col width="9.88671875" customWidth="1" style="200" min="2" max="2"/>
    <col width="19.88671875" customWidth="1" style="201" min="3" max="3"/>
    <col width="4.5546875" customWidth="1" style="202" min="4" max="4"/>
    <col width="4.33203125" customWidth="1" style="202" min="5" max="5"/>
    <col width="26.88671875" customWidth="1" style="201" min="6" max="6"/>
    <col width="6.6640625" customWidth="1" style="201" min="7" max="7"/>
    <col width="11.88671875" customWidth="1" style="250" min="8" max="8"/>
    <col width="9.44140625" customWidth="1" style="204" min="9" max="9"/>
    <col width="10.5546875" customWidth="1" style="205" min="10" max="10"/>
    <col width="9.6640625" customWidth="1" style="206" min="11" max="11"/>
    <col width="10.44140625" customWidth="1" style="205" min="12" max="12"/>
    <col width="9.6640625" customWidth="1" style="201" min="13" max="13"/>
    <col width="10.109375" customWidth="1" style="205" min="14" max="14"/>
    <col width="9.6640625" customWidth="1" style="207" min="15" max="15"/>
    <col width="10.33203125" customWidth="1" style="205" min="16" max="16"/>
    <col width="10.44140625" customWidth="1" style="205" min="17" max="17"/>
    <col width="12" bestFit="1" customWidth="1" style="251" min="18" max="18"/>
    <col width="9.109375" customWidth="1" style="150" min="19" max="22"/>
    <col width="3.44140625" customWidth="1" style="150" min="23" max="33"/>
    <col width="9.109375" customWidth="1" style="150" min="34" max="254"/>
    <col width="3.44140625" customWidth="1" style="150" min="255" max="255"/>
    <col width="9.109375" customWidth="1" style="150" min="256" max="256"/>
    <col width="26.88671875" customWidth="1" style="150" min="257" max="258"/>
    <col width="16.88671875" customWidth="1" style="150" min="259" max="259"/>
    <col width="4.5546875" customWidth="1" style="150" min="260" max="261"/>
    <col width="20.5546875" customWidth="1" style="150" min="262" max="262"/>
    <col width="6.109375" customWidth="1" style="150" min="263" max="263"/>
    <col width="14.6640625" customWidth="1" style="150" min="264" max="265"/>
    <col width="13.88671875" customWidth="1" style="150" min="266" max="266"/>
    <col width="7.109375" customWidth="1" style="150" min="267" max="267"/>
    <col width="11.88671875" customWidth="1" style="150" min="268" max="268"/>
    <col width="6.33203125" customWidth="1" style="150" min="269" max="269"/>
    <col width="11.109375" customWidth="1" style="150" min="270" max="270"/>
    <col width="7.5546875" customWidth="1" style="150" min="271" max="271"/>
    <col width="8.5546875" customWidth="1" style="150" min="272" max="272"/>
    <col width="13.6640625" customWidth="1" style="150" min="273" max="273"/>
    <col width="13.44140625" customWidth="1" style="150" min="274" max="274"/>
    <col width="9.109375" customWidth="1" style="150" min="275" max="278"/>
    <col width="3.44140625" customWidth="1" style="150" min="279" max="289"/>
    <col width="9.109375" customWidth="1" style="150" min="290" max="510"/>
    <col width="3.44140625" customWidth="1" style="150" min="511" max="511"/>
    <col width="9.109375" customWidth="1" style="150" min="512" max="512"/>
    <col width="26.88671875" customWidth="1" style="150" min="513" max="514"/>
    <col width="16.88671875" customWidth="1" style="150" min="515" max="515"/>
    <col width="4.5546875" customWidth="1" style="150" min="516" max="517"/>
    <col width="20.5546875" customWidth="1" style="150" min="518" max="518"/>
    <col width="6.109375" customWidth="1" style="150" min="519" max="519"/>
    <col width="14.6640625" customWidth="1" style="150" min="520" max="521"/>
    <col width="13.88671875" customWidth="1" style="150" min="522" max="522"/>
    <col width="7.109375" customWidth="1" style="150" min="523" max="523"/>
    <col width="11.88671875" customWidth="1" style="150" min="524" max="524"/>
    <col width="6.33203125" customWidth="1" style="150" min="525" max="525"/>
    <col width="11.109375" customWidth="1" style="150" min="526" max="526"/>
    <col width="7.5546875" customWidth="1" style="150" min="527" max="527"/>
    <col width="8.5546875" customWidth="1" style="150" min="528" max="528"/>
    <col width="13.6640625" customWidth="1" style="150" min="529" max="529"/>
    <col width="13.44140625" customWidth="1" style="150" min="530" max="530"/>
    <col width="9.109375" customWidth="1" style="150" min="531" max="534"/>
    <col width="3.44140625" customWidth="1" style="150" min="535" max="545"/>
    <col width="9.109375" customWidth="1" style="150" min="546" max="766"/>
    <col width="3.44140625" customWidth="1" style="150" min="767" max="767"/>
    <col width="9.109375" customWidth="1" style="150" min="768" max="768"/>
    <col width="26.88671875" customWidth="1" style="150" min="769" max="770"/>
    <col width="16.88671875" customWidth="1" style="150" min="771" max="771"/>
    <col width="4.5546875" customWidth="1" style="150" min="772" max="773"/>
    <col width="20.5546875" customWidth="1" style="150" min="774" max="774"/>
    <col width="6.109375" customWidth="1" style="150" min="775" max="775"/>
    <col width="14.6640625" customWidth="1" style="150" min="776" max="777"/>
    <col width="13.88671875" customWidth="1" style="150" min="778" max="778"/>
    <col width="7.109375" customWidth="1" style="150" min="779" max="779"/>
    <col width="11.88671875" customWidth="1" style="150" min="780" max="780"/>
    <col width="6.33203125" customWidth="1" style="150" min="781" max="781"/>
    <col width="11.109375" customWidth="1" style="150" min="782" max="782"/>
    <col width="7.5546875" customWidth="1" style="150" min="783" max="783"/>
    <col width="8.5546875" customWidth="1" style="150" min="784" max="784"/>
    <col width="13.6640625" customWidth="1" style="150" min="785" max="785"/>
    <col width="13.44140625" customWidth="1" style="150" min="786" max="786"/>
    <col width="9.109375" customWidth="1" style="150" min="787" max="790"/>
    <col width="3.44140625" customWidth="1" style="150" min="791" max="801"/>
    <col width="9.109375" customWidth="1" style="150" min="802" max="1022"/>
    <col width="3.44140625" customWidth="1" style="150" min="1023" max="1023"/>
    <col width="9.109375" customWidth="1" style="150" min="1024" max="1024"/>
    <col width="26.88671875" customWidth="1" style="150" min="1025" max="1026"/>
    <col width="16.88671875" customWidth="1" style="150" min="1027" max="1027"/>
    <col width="4.5546875" customWidth="1" style="150" min="1028" max="1029"/>
    <col width="20.5546875" customWidth="1" style="150" min="1030" max="1030"/>
    <col width="6.109375" customWidth="1" style="150" min="1031" max="1031"/>
    <col width="14.6640625" customWidth="1" style="150" min="1032" max="1033"/>
    <col width="13.88671875" customWidth="1" style="150" min="1034" max="1034"/>
    <col width="7.109375" customWidth="1" style="150" min="1035" max="1035"/>
    <col width="11.88671875" customWidth="1" style="150" min="1036" max="1036"/>
    <col width="6.33203125" customWidth="1" style="150" min="1037" max="1037"/>
    <col width="11.109375" customWidth="1" style="150" min="1038" max="1038"/>
    <col width="7.5546875" customWidth="1" style="150" min="1039" max="1039"/>
    <col width="8.5546875" customWidth="1" style="150" min="1040" max="1040"/>
    <col width="13.6640625" customWidth="1" style="150" min="1041" max="1041"/>
    <col width="13.44140625" customWidth="1" style="150" min="1042" max="1042"/>
    <col width="9.109375" customWidth="1" style="150" min="1043" max="1046"/>
    <col width="3.44140625" customWidth="1" style="150" min="1047" max="1057"/>
    <col width="9.109375" customWidth="1" style="150" min="1058" max="1278"/>
    <col width="3.44140625" customWidth="1" style="150" min="1279" max="1279"/>
    <col width="9.109375" customWidth="1" style="150" min="1280" max="1280"/>
    <col width="26.88671875" customWidth="1" style="150" min="1281" max="1282"/>
    <col width="16.88671875" customWidth="1" style="150" min="1283" max="1283"/>
    <col width="4.5546875" customWidth="1" style="150" min="1284" max="1285"/>
    <col width="20.5546875" customWidth="1" style="150" min="1286" max="1286"/>
    <col width="6.109375" customWidth="1" style="150" min="1287" max="1287"/>
    <col width="14.6640625" customWidth="1" style="150" min="1288" max="1289"/>
    <col width="13.88671875" customWidth="1" style="150" min="1290" max="1290"/>
    <col width="7.109375" customWidth="1" style="150" min="1291" max="1291"/>
    <col width="11.88671875" customWidth="1" style="150" min="1292" max="1292"/>
    <col width="6.33203125" customWidth="1" style="150" min="1293" max="1293"/>
    <col width="11.109375" customWidth="1" style="150" min="1294" max="1294"/>
    <col width="7.5546875" customWidth="1" style="150" min="1295" max="1295"/>
    <col width="8.5546875" customWidth="1" style="150" min="1296" max="1296"/>
    <col width="13.6640625" customWidth="1" style="150" min="1297" max="1297"/>
    <col width="13.44140625" customWidth="1" style="150" min="1298" max="1298"/>
    <col width="9.109375" customWidth="1" style="150" min="1299" max="1302"/>
    <col width="3.44140625" customWidth="1" style="150" min="1303" max="1313"/>
    <col width="9.109375" customWidth="1" style="150" min="1314" max="1534"/>
    <col width="3.44140625" customWidth="1" style="150" min="1535" max="1535"/>
    <col width="9.109375" customWidth="1" style="150" min="1536" max="1536"/>
    <col width="26.88671875" customWidth="1" style="150" min="1537" max="1538"/>
    <col width="16.88671875" customWidth="1" style="150" min="1539" max="1539"/>
    <col width="4.5546875" customWidth="1" style="150" min="1540" max="1541"/>
    <col width="20.5546875" customWidth="1" style="150" min="1542" max="1542"/>
    <col width="6.109375" customWidth="1" style="150" min="1543" max="1543"/>
    <col width="14.6640625" customWidth="1" style="150" min="1544" max="1545"/>
    <col width="13.88671875" customWidth="1" style="150" min="1546" max="1546"/>
    <col width="7.109375" customWidth="1" style="150" min="1547" max="1547"/>
    <col width="11.88671875" customWidth="1" style="150" min="1548" max="1548"/>
    <col width="6.33203125" customWidth="1" style="150" min="1549" max="1549"/>
    <col width="11.109375" customWidth="1" style="150" min="1550" max="1550"/>
    <col width="7.5546875" customWidth="1" style="150" min="1551" max="1551"/>
    <col width="8.5546875" customWidth="1" style="150" min="1552" max="1552"/>
    <col width="13.6640625" customWidth="1" style="150" min="1553" max="1553"/>
    <col width="13.44140625" customWidth="1" style="150" min="1554" max="1554"/>
    <col width="9.109375" customWidth="1" style="150" min="1555" max="1558"/>
    <col width="3.44140625" customWidth="1" style="150" min="1559" max="1569"/>
    <col width="9.109375" customWidth="1" style="150" min="1570" max="1790"/>
    <col width="3.44140625" customWidth="1" style="150" min="1791" max="1791"/>
    <col width="9.109375" customWidth="1" style="150" min="1792" max="1792"/>
    <col width="26.88671875" customWidth="1" style="150" min="1793" max="1794"/>
    <col width="16.88671875" customWidth="1" style="150" min="1795" max="1795"/>
    <col width="4.5546875" customWidth="1" style="150" min="1796" max="1797"/>
    <col width="20.5546875" customWidth="1" style="150" min="1798" max="1798"/>
    <col width="6.109375" customWidth="1" style="150" min="1799" max="1799"/>
    <col width="14.6640625" customWidth="1" style="150" min="1800" max="1801"/>
    <col width="13.88671875" customWidth="1" style="150" min="1802" max="1802"/>
    <col width="7.109375" customWidth="1" style="150" min="1803" max="1803"/>
    <col width="11.88671875" customWidth="1" style="150" min="1804" max="1804"/>
    <col width="6.33203125" customWidth="1" style="150" min="1805" max="1805"/>
    <col width="11.109375" customWidth="1" style="150" min="1806" max="1806"/>
    <col width="7.5546875" customWidth="1" style="150" min="1807" max="1807"/>
    <col width="8.5546875" customWidth="1" style="150" min="1808" max="1808"/>
    <col width="13.6640625" customWidth="1" style="150" min="1809" max="1809"/>
    <col width="13.44140625" customWidth="1" style="150" min="1810" max="1810"/>
    <col width="9.109375" customWidth="1" style="150" min="1811" max="1814"/>
    <col width="3.44140625" customWidth="1" style="150" min="1815" max="1825"/>
    <col width="9.109375" customWidth="1" style="150" min="1826" max="2046"/>
    <col width="3.44140625" customWidth="1" style="150" min="2047" max="2047"/>
    <col width="9.109375" customWidth="1" style="150" min="2048" max="2048"/>
    <col width="26.88671875" customWidth="1" style="150" min="2049" max="2050"/>
    <col width="16.88671875" customWidth="1" style="150" min="2051" max="2051"/>
    <col width="4.5546875" customWidth="1" style="150" min="2052" max="2053"/>
    <col width="20.5546875" customWidth="1" style="150" min="2054" max="2054"/>
    <col width="6.109375" customWidth="1" style="150" min="2055" max="2055"/>
    <col width="14.6640625" customWidth="1" style="150" min="2056" max="2057"/>
    <col width="13.88671875" customWidth="1" style="150" min="2058" max="2058"/>
    <col width="7.109375" customWidth="1" style="150" min="2059" max="2059"/>
    <col width="11.88671875" customWidth="1" style="150" min="2060" max="2060"/>
    <col width="6.33203125" customWidth="1" style="150" min="2061" max="2061"/>
    <col width="11.109375" customWidth="1" style="150" min="2062" max="2062"/>
    <col width="7.5546875" customWidth="1" style="150" min="2063" max="2063"/>
    <col width="8.5546875" customWidth="1" style="150" min="2064" max="2064"/>
    <col width="13.6640625" customWidth="1" style="150" min="2065" max="2065"/>
    <col width="13.44140625" customWidth="1" style="150" min="2066" max="2066"/>
    <col width="9.109375" customWidth="1" style="150" min="2067" max="2070"/>
    <col width="3.44140625" customWidth="1" style="150" min="2071" max="2081"/>
    <col width="9.109375" customWidth="1" style="150" min="2082" max="2302"/>
    <col width="3.44140625" customWidth="1" style="150" min="2303" max="2303"/>
    <col width="9.109375" customWidth="1" style="150" min="2304" max="2304"/>
    <col width="26.88671875" customWidth="1" style="150" min="2305" max="2306"/>
    <col width="16.88671875" customWidth="1" style="150" min="2307" max="2307"/>
    <col width="4.5546875" customWidth="1" style="150" min="2308" max="2309"/>
    <col width="20.5546875" customWidth="1" style="150" min="2310" max="2310"/>
    <col width="6.109375" customWidth="1" style="150" min="2311" max="2311"/>
    <col width="14.6640625" customWidth="1" style="150" min="2312" max="2313"/>
    <col width="13.88671875" customWidth="1" style="150" min="2314" max="2314"/>
    <col width="7.109375" customWidth="1" style="150" min="2315" max="2315"/>
    <col width="11.88671875" customWidth="1" style="150" min="2316" max="2316"/>
    <col width="6.33203125" customWidth="1" style="150" min="2317" max="2317"/>
    <col width="11.109375" customWidth="1" style="150" min="2318" max="2318"/>
    <col width="7.5546875" customWidth="1" style="150" min="2319" max="2319"/>
    <col width="8.5546875" customWidth="1" style="150" min="2320" max="2320"/>
    <col width="13.6640625" customWidth="1" style="150" min="2321" max="2321"/>
    <col width="13.44140625" customWidth="1" style="150" min="2322" max="2322"/>
    <col width="9.109375" customWidth="1" style="150" min="2323" max="2326"/>
    <col width="3.44140625" customWidth="1" style="150" min="2327" max="2337"/>
    <col width="9.109375" customWidth="1" style="150" min="2338" max="2558"/>
    <col width="3.44140625" customWidth="1" style="150" min="2559" max="2559"/>
    <col width="9.109375" customWidth="1" style="150" min="2560" max="2560"/>
    <col width="26.88671875" customWidth="1" style="150" min="2561" max="2562"/>
    <col width="16.88671875" customWidth="1" style="150" min="2563" max="2563"/>
    <col width="4.5546875" customWidth="1" style="150" min="2564" max="2565"/>
    <col width="20.5546875" customWidth="1" style="150" min="2566" max="2566"/>
    <col width="6.109375" customWidth="1" style="150" min="2567" max="2567"/>
    <col width="14.6640625" customWidth="1" style="150" min="2568" max="2569"/>
    <col width="13.88671875" customWidth="1" style="150" min="2570" max="2570"/>
    <col width="7.109375" customWidth="1" style="150" min="2571" max="2571"/>
    <col width="11.88671875" customWidth="1" style="150" min="2572" max="2572"/>
    <col width="6.33203125" customWidth="1" style="150" min="2573" max="2573"/>
    <col width="11.109375" customWidth="1" style="150" min="2574" max="2574"/>
    <col width="7.5546875" customWidth="1" style="150" min="2575" max="2575"/>
    <col width="8.5546875" customWidth="1" style="150" min="2576" max="2576"/>
    <col width="13.6640625" customWidth="1" style="150" min="2577" max="2577"/>
    <col width="13.44140625" customWidth="1" style="150" min="2578" max="2578"/>
    <col width="9.109375" customWidth="1" style="150" min="2579" max="2582"/>
    <col width="3.44140625" customWidth="1" style="150" min="2583" max="2593"/>
    <col width="9.109375" customWidth="1" style="150" min="2594" max="2814"/>
    <col width="3.44140625" customWidth="1" style="150" min="2815" max="2815"/>
    <col width="9.109375" customWidth="1" style="150" min="2816" max="2816"/>
    <col width="26.88671875" customWidth="1" style="150" min="2817" max="2818"/>
    <col width="16.88671875" customWidth="1" style="150" min="2819" max="2819"/>
    <col width="4.5546875" customWidth="1" style="150" min="2820" max="2821"/>
    <col width="20.5546875" customWidth="1" style="150" min="2822" max="2822"/>
    <col width="6.109375" customWidth="1" style="150" min="2823" max="2823"/>
    <col width="14.6640625" customWidth="1" style="150" min="2824" max="2825"/>
    <col width="13.88671875" customWidth="1" style="150" min="2826" max="2826"/>
    <col width="7.109375" customWidth="1" style="150" min="2827" max="2827"/>
    <col width="11.88671875" customWidth="1" style="150" min="2828" max="2828"/>
    <col width="6.33203125" customWidth="1" style="150" min="2829" max="2829"/>
    <col width="11.109375" customWidth="1" style="150" min="2830" max="2830"/>
    <col width="7.5546875" customWidth="1" style="150" min="2831" max="2831"/>
    <col width="8.5546875" customWidth="1" style="150" min="2832" max="2832"/>
    <col width="13.6640625" customWidth="1" style="150" min="2833" max="2833"/>
    <col width="13.44140625" customWidth="1" style="150" min="2834" max="2834"/>
    <col width="9.109375" customWidth="1" style="150" min="2835" max="2838"/>
    <col width="3.44140625" customWidth="1" style="150" min="2839" max="2849"/>
    <col width="9.109375" customWidth="1" style="150" min="2850" max="3070"/>
    <col width="3.44140625" customWidth="1" style="150" min="3071" max="3071"/>
    <col width="9.109375" customWidth="1" style="150" min="3072" max="3072"/>
    <col width="26.88671875" customWidth="1" style="150" min="3073" max="3074"/>
    <col width="16.88671875" customWidth="1" style="150" min="3075" max="3075"/>
    <col width="4.5546875" customWidth="1" style="150" min="3076" max="3077"/>
    <col width="20.5546875" customWidth="1" style="150" min="3078" max="3078"/>
    <col width="6.109375" customWidth="1" style="150" min="3079" max="3079"/>
    <col width="14.6640625" customWidth="1" style="150" min="3080" max="3081"/>
    <col width="13.88671875" customWidth="1" style="150" min="3082" max="3082"/>
    <col width="7.109375" customWidth="1" style="150" min="3083" max="3083"/>
    <col width="11.88671875" customWidth="1" style="150" min="3084" max="3084"/>
    <col width="6.33203125" customWidth="1" style="150" min="3085" max="3085"/>
    <col width="11.109375" customWidth="1" style="150" min="3086" max="3086"/>
    <col width="7.5546875" customWidth="1" style="150" min="3087" max="3087"/>
    <col width="8.5546875" customWidth="1" style="150" min="3088" max="3088"/>
    <col width="13.6640625" customWidth="1" style="150" min="3089" max="3089"/>
    <col width="13.44140625" customWidth="1" style="150" min="3090" max="3090"/>
    <col width="9.109375" customWidth="1" style="150" min="3091" max="3094"/>
    <col width="3.44140625" customWidth="1" style="150" min="3095" max="3105"/>
    <col width="9.109375" customWidth="1" style="150" min="3106" max="3326"/>
    <col width="3.44140625" customWidth="1" style="150" min="3327" max="3327"/>
    <col width="9.109375" customWidth="1" style="150" min="3328" max="3328"/>
    <col width="26.88671875" customWidth="1" style="150" min="3329" max="3330"/>
    <col width="16.88671875" customWidth="1" style="150" min="3331" max="3331"/>
    <col width="4.5546875" customWidth="1" style="150" min="3332" max="3333"/>
    <col width="20.5546875" customWidth="1" style="150" min="3334" max="3334"/>
    <col width="6.109375" customWidth="1" style="150" min="3335" max="3335"/>
    <col width="14.6640625" customWidth="1" style="150" min="3336" max="3337"/>
    <col width="13.88671875" customWidth="1" style="150" min="3338" max="3338"/>
    <col width="7.109375" customWidth="1" style="150" min="3339" max="3339"/>
    <col width="11.88671875" customWidth="1" style="150" min="3340" max="3340"/>
    <col width="6.33203125" customWidth="1" style="150" min="3341" max="3341"/>
    <col width="11.109375" customWidth="1" style="150" min="3342" max="3342"/>
    <col width="7.5546875" customWidth="1" style="150" min="3343" max="3343"/>
    <col width="8.5546875" customWidth="1" style="150" min="3344" max="3344"/>
    <col width="13.6640625" customWidth="1" style="150" min="3345" max="3345"/>
    <col width="13.44140625" customWidth="1" style="150" min="3346" max="3346"/>
    <col width="9.109375" customWidth="1" style="150" min="3347" max="3350"/>
    <col width="3.44140625" customWidth="1" style="150" min="3351" max="3361"/>
    <col width="9.109375" customWidth="1" style="150" min="3362" max="3582"/>
    <col width="3.44140625" customWidth="1" style="150" min="3583" max="3583"/>
    <col width="9.109375" customWidth="1" style="150" min="3584" max="3584"/>
    <col width="26.88671875" customWidth="1" style="150" min="3585" max="3586"/>
    <col width="16.88671875" customWidth="1" style="150" min="3587" max="3587"/>
    <col width="4.5546875" customWidth="1" style="150" min="3588" max="3589"/>
    <col width="20.5546875" customWidth="1" style="150" min="3590" max="3590"/>
    <col width="6.109375" customWidth="1" style="150" min="3591" max="3591"/>
    <col width="14.6640625" customWidth="1" style="150" min="3592" max="3593"/>
    <col width="13.88671875" customWidth="1" style="150" min="3594" max="3594"/>
    <col width="7.109375" customWidth="1" style="150" min="3595" max="3595"/>
    <col width="11.88671875" customWidth="1" style="150" min="3596" max="3596"/>
    <col width="6.33203125" customWidth="1" style="150" min="3597" max="3597"/>
    <col width="11.109375" customWidth="1" style="150" min="3598" max="3598"/>
    <col width="7.5546875" customWidth="1" style="150" min="3599" max="3599"/>
    <col width="8.5546875" customWidth="1" style="150" min="3600" max="3600"/>
    <col width="13.6640625" customWidth="1" style="150" min="3601" max="3601"/>
    <col width="13.44140625" customWidth="1" style="150" min="3602" max="3602"/>
    <col width="9.109375" customWidth="1" style="150" min="3603" max="3606"/>
    <col width="3.44140625" customWidth="1" style="150" min="3607" max="3617"/>
    <col width="9.109375" customWidth="1" style="150" min="3618" max="3838"/>
    <col width="3.44140625" customWidth="1" style="150" min="3839" max="3839"/>
    <col width="9.109375" customWidth="1" style="150" min="3840" max="3840"/>
    <col width="26.88671875" customWidth="1" style="150" min="3841" max="3842"/>
    <col width="16.88671875" customWidth="1" style="150" min="3843" max="3843"/>
    <col width="4.5546875" customWidth="1" style="150" min="3844" max="3845"/>
    <col width="20.5546875" customWidth="1" style="150" min="3846" max="3846"/>
    <col width="6.109375" customWidth="1" style="150" min="3847" max="3847"/>
    <col width="14.6640625" customWidth="1" style="150" min="3848" max="3849"/>
    <col width="13.88671875" customWidth="1" style="150" min="3850" max="3850"/>
    <col width="7.109375" customWidth="1" style="150" min="3851" max="3851"/>
    <col width="11.88671875" customWidth="1" style="150" min="3852" max="3852"/>
    <col width="6.33203125" customWidth="1" style="150" min="3853" max="3853"/>
    <col width="11.109375" customWidth="1" style="150" min="3854" max="3854"/>
    <col width="7.5546875" customWidth="1" style="150" min="3855" max="3855"/>
    <col width="8.5546875" customWidth="1" style="150" min="3856" max="3856"/>
    <col width="13.6640625" customWidth="1" style="150" min="3857" max="3857"/>
    <col width="13.44140625" customWidth="1" style="150" min="3858" max="3858"/>
    <col width="9.109375" customWidth="1" style="150" min="3859" max="3862"/>
    <col width="3.44140625" customWidth="1" style="150" min="3863" max="3873"/>
    <col width="9.109375" customWidth="1" style="150" min="3874" max="4094"/>
    <col width="3.44140625" customWidth="1" style="150" min="4095" max="4095"/>
    <col width="9.109375" customWidth="1" style="150" min="4096" max="4096"/>
    <col width="26.88671875" customWidth="1" style="150" min="4097" max="4098"/>
    <col width="16.88671875" customWidth="1" style="150" min="4099" max="4099"/>
    <col width="4.5546875" customWidth="1" style="150" min="4100" max="4101"/>
    <col width="20.5546875" customWidth="1" style="150" min="4102" max="4102"/>
    <col width="6.109375" customWidth="1" style="150" min="4103" max="4103"/>
    <col width="14.6640625" customWidth="1" style="150" min="4104" max="4105"/>
    <col width="13.88671875" customWidth="1" style="150" min="4106" max="4106"/>
    <col width="7.109375" customWidth="1" style="150" min="4107" max="4107"/>
    <col width="11.88671875" customWidth="1" style="150" min="4108" max="4108"/>
    <col width="6.33203125" customWidth="1" style="150" min="4109" max="4109"/>
    <col width="11.109375" customWidth="1" style="150" min="4110" max="4110"/>
    <col width="7.5546875" customWidth="1" style="150" min="4111" max="4111"/>
    <col width="8.5546875" customWidth="1" style="150" min="4112" max="4112"/>
    <col width="13.6640625" customWidth="1" style="150" min="4113" max="4113"/>
    <col width="13.44140625" customWidth="1" style="150" min="4114" max="4114"/>
    <col width="9.109375" customWidth="1" style="150" min="4115" max="4118"/>
    <col width="3.44140625" customWidth="1" style="150" min="4119" max="4129"/>
    <col width="9.109375" customWidth="1" style="150" min="4130" max="4350"/>
    <col width="3.44140625" customWidth="1" style="150" min="4351" max="4351"/>
    <col width="9.109375" customWidth="1" style="150" min="4352" max="4352"/>
    <col width="26.88671875" customWidth="1" style="150" min="4353" max="4354"/>
    <col width="16.88671875" customWidth="1" style="150" min="4355" max="4355"/>
    <col width="4.5546875" customWidth="1" style="150" min="4356" max="4357"/>
    <col width="20.5546875" customWidth="1" style="150" min="4358" max="4358"/>
    <col width="6.109375" customWidth="1" style="150" min="4359" max="4359"/>
    <col width="14.6640625" customWidth="1" style="150" min="4360" max="4361"/>
    <col width="13.88671875" customWidth="1" style="150" min="4362" max="4362"/>
    <col width="7.109375" customWidth="1" style="150" min="4363" max="4363"/>
    <col width="11.88671875" customWidth="1" style="150" min="4364" max="4364"/>
    <col width="6.33203125" customWidth="1" style="150" min="4365" max="4365"/>
    <col width="11.109375" customWidth="1" style="150" min="4366" max="4366"/>
    <col width="7.5546875" customWidth="1" style="150" min="4367" max="4367"/>
    <col width="8.5546875" customWidth="1" style="150" min="4368" max="4368"/>
    <col width="13.6640625" customWidth="1" style="150" min="4369" max="4369"/>
    <col width="13.44140625" customWidth="1" style="150" min="4370" max="4370"/>
    <col width="9.109375" customWidth="1" style="150" min="4371" max="4374"/>
    <col width="3.44140625" customWidth="1" style="150" min="4375" max="4385"/>
    <col width="9.109375" customWidth="1" style="150" min="4386" max="4606"/>
    <col width="3.44140625" customWidth="1" style="150" min="4607" max="4607"/>
    <col width="9.109375" customWidth="1" style="150" min="4608" max="4608"/>
    <col width="26.88671875" customWidth="1" style="150" min="4609" max="4610"/>
    <col width="16.88671875" customWidth="1" style="150" min="4611" max="4611"/>
    <col width="4.5546875" customWidth="1" style="150" min="4612" max="4613"/>
    <col width="20.5546875" customWidth="1" style="150" min="4614" max="4614"/>
    <col width="6.109375" customWidth="1" style="150" min="4615" max="4615"/>
    <col width="14.6640625" customWidth="1" style="150" min="4616" max="4617"/>
    <col width="13.88671875" customWidth="1" style="150" min="4618" max="4618"/>
    <col width="7.109375" customWidth="1" style="150" min="4619" max="4619"/>
    <col width="11.88671875" customWidth="1" style="150" min="4620" max="4620"/>
    <col width="6.33203125" customWidth="1" style="150" min="4621" max="4621"/>
    <col width="11.109375" customWidth="1" style="150" min="4622" max="4622"/>
    <col width="7.5546875" customWidth="1" style="150" min="4623" max="4623"/>
    <col width="8.5546875" customWidth="1" style="150" min="4624" max="4624"/>
    <col width="13.6640625" customWidth="1" style="150" min="4625" max="4625"/>
    <col width="13.44140625" customWidth="1" style="150" min="4626" max="4626"/>
    <col width="9.109375" customWidth="1" style="150" min="4627" max="4630"/>
    <col width="3.44140625" customWidth="1" style="150" min="4631" max="4641"/>
    <col width="9.109375" customWidth="1" style="150" min="4642" max="4862"/>
    <col width="3.44140625" customWidth="1" style="150" min="4863" max="4863"/>
    <col width="9.109375" customWidth="1" style="150" min="4864" max="4864"/>
    <col width="26.88671875" customWidth="1" style="150" min="4865" max="4866"/>
    <col width="16.88671875" customWidth="1" style="150" min="4867" max="4867"/>
    <col width="4.5546875" customWidth="1" style="150" min="4868" max="4869"/>
    <col width="20.5546875" customWidth="1" style="150" min="4870" max="4870"/>
    <col width="6.109375" customWidth="1" style="150" min="4871" max="4871"/>
    <col width="14.6640625" customWidth="1" style="150" min="4872" max="4873"/>
    <col width="13.88671875" customWidth="1" style="150" min="4874" max="4874"/>
    <col width="7.109375" customWidth="1" style="150" min="4875" max="4875"/>
    <col width="11.88671875" customWidth="1" style="150" min="4876" max="4876"/>
    <col width="6.33203125" customWidth="1" style="150" min="4877" max="4877"/>
    <col width="11.109375" customWidth="1" style="150" min="4878" max="4878"/>
    <col width="7.5546875" customWidth="1" style="150" min="4879" max="4879"/>
    <col width="8.5546875" customWidth="1" style="150" min="4880" max="4880"/>
    <col width="13.6640625" customWidth="1" style="150" min="4881" max="4881"/>
    <col width="13.44140625" customWidth="1" style="150" min="4882" max="4882"/>
    <col width="9.109375" customWidth="1" style="150" min="4883" max="4886"/>
    <col width="3.44140625" customWidth="1" style="150" min="4887" max="4897"/>
    <col width="9.109375" customWidth="1" style="150" min="4898" max="5118"/>
    <col width="3.44140625" customWidth="1" style="150" min="5119" max="5119"/>
    <col width="9.109375" customWidth="1" style="150" min="5120" max="5120"/>
    <col width="26.88671875" customWidth="1" style="150" min="5121" max="5122"/>
    <col width="16.88671875" customWidth="1" style="150" min="5123" max="5123"/>
    <col width="4.5546875" customWidth="1" style="150" min="5124" max="5125"/>
    <col width="20.5546875" customWidth="1" style="150" min="5126" max="5126"/>
    <col width="6.109375" customWidth="1" style="150" min="5127" max="5127"/>
    <col width="14.6640625" customWidth="1" style="150" min="5128" max="5129"/>
    <col width="13.88671875" customWidth="1" style="150" min="5130" max="5130"/>
    <col width="7.109375" customWidth="1" style="150" min="5131" max="5131"/>
    <col width="11.88671875" customWidth="1" style="150" min="5132" max="5132"/>
    <col width="6.33203125" customWidth="1" style="150" min="5133" max="5133"/>
    <col width="11.109375" customWidth="1" style="150" min="5134" max="5134"/>
    <col width="7.5546875" customWidth="1" style="150" min="5135" max="5135"/>
    <col width="8.5546875" customWidth="1" style="150" min="5136" max="5136"/>
    <col width="13.6640625" customWidth="1" style="150" min="5137" max="5137"/>
    <col width="13.44140625" customWidth="1" style="150" min="5138" max="5138"/>
    <col width="9.109375" customWidth="1" style="150" min="5139" max="5142"/>
    <col width="3.44140625" customWidth="1" style="150" min="5143" max="5153"/>
    <col width="9.109375" customWidth="1" style="150" min="5154" max="5374"/>
    <col width="3.44140625" customWidth="1" style="150" min="5375" max="5375"/>
    <col width="9.109375" customWidth="1" style="150" min="5376" max="5376"/>
    <col width="26.88671875" customWidth="1" style="150" min="5377" max="5378"/>
    <col width="16.88671875" customWidth="1" style="150" min="5379" max="5379"/>
    <col width="4.5546875" customWidth="1" style="150" min="5380" max="5381"/>
    <col width="20.5546875" customWidth="1" style="150" min="5382" max="5382"/>
    <col width="6.109375" customWidth="1" style="150" min="5383" max="5383"/>
    <col width="14.6640625" customWidth="1" style="150" min="5384" max="5385"/>
    <col width="13.88671875" customWidth="1" style="150" min="5386" max="5386"/>
    <col width="7.109375" customWidth="1" style="150" min="5387" max="5387"/>
    <col width="11.88671875" customWidth="1" style="150" min="5388" max="5388"/>
    <col width="6.33203125" customWidth="1" style="150" min="5389" max="5389"/>
    <col width="11.109375" customWidth="1" style="150" min="5390" max="5390"/>
    <col width="7.5546875" customWidth="1" style="150" min="5391" max="5391"/>
    <col width="8.5546875" customWidth="1" style="150" min="5392" max="5392"/>
    <col width="13.6640625" customWidth="1" style="150" min="5393" max="5393"/>
    <col width="13.44140625" customWidth="1" style="150" min="5394" max="5394"/>
    <col width="9.109375" customWidth="1" style="150" min="5395" max="5398"/>
    <col width="3.44140625" customWidth="1" style="150" min="5399" max="5409"/>
    <col width="9.109375" customWidth="1" style="150" min="5410" max="5630"/>
    <col width="3.44140625" customWidth="1" style="150" min="5631" max="5631"/>
    <col width="9.109375" customWidth="1" style="150" min="5632" max="5632"/>
    <col width="26.88671875" customWidth="1" style="150" min="5633" max="5634"/>
    <col width="16.88671875" customWidth="1" style="150" min="5635" max="5635"/>
    <col width="4.5546875" customWidth="1" style="150" min="5636" max="5637"/>
    <col width="20.5546875" customWidth="1" style="150" min="5638" max="5638"/>
    <col width="6.109375" customWidth="1" style="150" min="5639" max="5639"/>
    <col width="14.6640625" customWidth="1" style="150" min="5640" max="5641"/>
    <col width="13.88671875" customWidth="1" style="150" min="5642" max="5642"/>
    <col width="7.109375" customWidth="1" style="150" min="5643" max="5643"/>
    <col width="11.88671875" customWidth="1" style="150" min="5644" max="5644"/>
    <col width="6.33203125" customWidth="1" style="150" min="5645" max="5645"/>
    <col width="11.109375" customWidth="1" style="150" min="5646" max="5646"/>
    <col width="7.5546875" customWidth="1" style="150" min="5647" max="5647"/>
    <col width="8.5546875" customWidth="1" style="150" min="5648" max="5648"/>
    <col width="13.6640625" customWidth="1" style="150" min="5649" max="5649"/>
    <col width="13.44140625" customWidth="1" style="150" min="5650" max="5650"/>
    <col width="9.109375" customWidth="1" style="150" min="5651" max="5654"/>
    <col width="3.44140625" customWidth="1" style="150" min="5655" max="5665"/>
    <col width="9.109375" customWidth="1" style="150" min="5666" max="5886"/>
    <col width="3.44140625" customWidth="1" style="150" min="5887" max="5887"/>
    <col width="9.109375" customWidth="1" style="150" min="5888" max="5888"/>
    <col width="26.88671875" customWidth="1" style="150" min="5889" max="5890"/>
    <col width="16.88671875" customWidth="1" style="150" min="5891" max="5891"/>
    <col width="4.5546875" customWidth="1" style="150" min="5892" max="5893"/>
    <col width="20.5546875" customWidth="1" style="150" min="5894" max="5894"/>
    <col width="6.109375" customWidth="1" style="150" min="5895" max="5895"/>
    <col width="14.6640625" customWidth="1" style="150" min="5896" max="5897"/>
    <col width="13.88671875" customWidth="1" style="150" min="5898" max="5898"/>
    <col width="7.109375" customWidth="1" style="150" min="5899" max="5899"/>
    <col width="11.88671875" customWidth="1" style="150" min="5900" max="5900"/>
    <col width="6.33203125" customWidth="1" style="150" min="5901" max="5901"/>
    <col width="11.109375" customWidth="1" style="150" min="5902" max="5902"/>
    <col width="7.5546875" customWidth="1" style="150" min="5903" max="5903"/>
    <col width="8.5546875" customWidth="1" style="150" min="5904" max="5904"/>
    <col width="13.6640625" customWidth="1" style="150" min="5905" max="5905"/>
    <col width="13.44140625" customWidth="1" style="150" min="5906" max="5906"/>
    <col width="9.109375" customWidth="1" style="150" min="5907" max="5910"/>
    <col width="3.44140625" customWidth="1" style="150" min="5911" max="5921"/>
    <col width="9.109375" customWidth="1" style="150" min="5922" max="6142"/>
    <col width="3.44140625" customWidth="1" style="150" min="6143" max="6143"/>
    <col width="9.109375" customWidth="1" style="150" min="6144" max="6144"/>
    <col width="26.88671875" customWidth="1" style="150" min="6145" max="6146"/>
    <col width="16.88671875" customWidth="1" style="150" min="6147" max="6147"/>
    <col width="4.5546875" customWidth="1" style="150" min="6148" max="6149"/>
    <col width="20.5546875" customWidth="1" style="150" min="6150" max="6150"/>
    <col width="6.109375" customWidth="1" style="150" min="6151" max="6151"/>
    <col width="14.6640625" customWidth="1" style="150" min="6152" max="6153"/>
    <col width="13.88671875" customWidth="1" style="150" min="6154" max="6154"/>
    <col width="7.109375" customWidth="1" style="150" min="6155" max="6155"/>
    <col width="11.88671875" customWidth="1" style="150" min="6156" max="6156"/>
    <col width="6.33203125" customWidth="1" style="150" min="6157" max="6157"/>
    <col width="11.109375" customWidth="1" style="150" min="6158" max="6158"/>
    <col width="7.5546875" customWidth="1" style="150" min="6159" max="6159"/>
    <col width="8.5546875" customWidth="1" style="150" min="6160" max="6160"/>
    <col width="13.6640625" customWidth="1" style="150" min="6161" max="6161"/>
    <col width="13.44140625" customWidth="1" style="150" min="6162" max="6162"/>
    <col width="9.109375" customWidth="1" style="150" min="6163" max="6166"/>
    <col width="3.44140625" customWidth="1" style="150" min="6167" max="6177"/>
    <col width="9.109375" customWidth="1" style="150" min="6178" max="6398"/>
    <col width="3.44140625" customWidth="1" style="150" min="6399" max="6399"/>
    <col width="9.109375" customWidth="1" style="150" min="6400" max="6400"/>
    <col width="26.88671875" customWidth="1" style="150" min="6401" max="6402"/>
    <col width="16.88671875" customWidth="1" style="150" min="6403" max="6403"/>
    <col width="4.5546875" customWidth="1" style="150" min="6404" max="6405"/>
    <col width="20.5546875" customWidth="1" style="150" min="6406" max="6406"/>
    <col width="6.109375" customWidth="1" style="150" min="6407" max="6407"/>
    <col width="14.6640625" customWidth="1" style="150" min="6408" max="6409"/>
    <col width="13.88671875" customWidth="1" style="150" min="6410" max="6410"/>
    <col width="7.109375" customWidth="1" style="150" min="6411" max="6411"/>
    <col width="11.88671875" customWidth="1" style="150" min="6412" max="6412"/>
    <col width="6.33203125" customWidth="1" style="150" min="6413" max="6413"/>
    <col width="11.109375" customWidth="1" style="150" min="6414" max="6414"/>
    <col width="7.5546875" customWidth="1" style="150" min="6415" max="6415"/>
    <col width="8.5546875" customWidth="1" style="150" min="6416" max="6416"/>
    <col width="13.6640625" customWidth="1" style="150" min="6417" max="6417"/>
    <col width="13.44140625" customWidth="1" style="150" min="6418" max="6418"/>
    <col width="9.109375" customWidth="1" style="150" min="6419" max="6422"/>
    <col width="3.44140625" customWidth="1" style="150" min="6423" max="6433"/>
    <col width="9.109375" customWidth="1" style="150" min="6434" max="6654"/>
    <col width="3.44140625" customWidth="1" style="150" min="6655" max="6655"/>
    <col width="9.109375" customWidth="1" style="150" min="6656" max="6656"/>
    <col width="26.88671875" customWidth="1" style="150" min="6657" max="6658"/>
    <col width="16.88671875" customWidth="1" style="150" min="6659" max="6659"/>
    <col width="4.5546875" customWidth="1" style="150" min="6660" max="6661"/>
    <col width="20.5546875" customWidth="1" style="150" min="6662" max="6662"/>
    <col width="6.109375" customWidth="1" style="150" min="6663" max="6663"/>
    <col width="14.6640625" customWidth="1" style="150" min="6664" max="6665"/>
    <col width="13.88671875" customWidth="1" style="150" min="6666" max="6666"/>
    <col width="7.109375" customWidth="1" style="150" min="6667" max="6667"/>
    <col width="11.88671875" customWidth="1" style="150" min="6668" max="6668"/>
    <col width="6.33203125" customWidth="1" style="150" min="6669" max="6669"/>
    <col width="11.109375" customWidth="1" style="150" min="6670" max="6670"/>
    <col width="7.5546875" customWidth="1" style="150" min="6671" max="6671"/>
    <col width="8.5546875" customWidth="1" style="150" min="6672" max="6672"/>
    <col width="13.6640625" customWidth="1" style="150" min="6673" max="6673"/>
    <col width="13.44140625" customWidth="1" style="150" min="6674" max="6674"/>
    <col width="9.109375" customWidth="1" style="150" min="6675" max="6678"/>
    <col width="3.44140625" customWidth="1" style="150" min="6679" max="6689"/>
    <col width="9.109375" customWidth="1" style="150" min="6690" max="6910"/>
    <col width="3.44140625" customWidth="1" style="150" min="6911" max="6911"/>
    <col width="9.109375" customWidth="1" style="150" min="6912" max="6912"/>
    <col width="26.88671875" customWidth="1" style="150" min="6913" max="6914"/>
    <col width="16.88671875" customWidth="1" style="150" min="6915" max="6915"/>
    <col width="4.5546875" customWidth="1" style="150" min="6916" max="6917"/>
    <col width="20.5546875" customWidth="1" style="150" min="6918" max="6918"/>
    <col width="6.109375" customWidth="1" style="150" min="6919" max="6919"/>
    <col width="14.6640625" customWidth="1" style="150" min="6920" max="6921"/>
    <col width="13.88671875" customWidth="1" style="150" min="6922" max="6922"/>
    <col width="7.109375" customWidth="1" style="150" min="6923" max="6923"/>
    <col width="11.88671875" customWidth="1" style="150" min="6924" max="6924"/>
    <col width="6.33203125" customWidth="1" style="150" min="6925" max="6925"/>
    <col width="11.109375" customWidth="1" style="150" min="6926" max="6926"/>
    <col width="7.5546875" customWidth="1" style="150" min="6927" max="6927"/>
    <col width="8.5546875" customWidth="1" style="150" min="6928" max="6928"/>
    <col width="13.6640625" customWidth="1" style="150" min="6929" max="6929"/>
    <col width="13.44140625" customWidth="1" style="150" min="6930" max="6930"/>
    <col width="9.109375" customWidth="1" style="150" min="6931" max="6934"/>
    <col width="3.44140625" customWidth="1" style="150" min="6935" max="6945"/>
    <col width="9.109375" customWidth="1" style="150" min="6946" max="7166"/>
    <col width="3.44140625" customWidth="1" style="150" min="7167" max="7167"/>
    <col width="9.109375" customWidth="1" style="150" min="7168" max="7168"/>
    <col width="26.88671875" customWidth="1" style="150" min="7169" max="7170"/>
    <col width="16.88671875" customWidth="1" style="150" min="7171" max="7171"/>
    <col width="4.5546875" customWidth="1" style="150" min="7172" max="7173"/>
    <col width="20.5546875" customWidth="1" style="150" min="7174" max="7174"/>
    <col width="6.109375" customWidth="1" style="150" min="7175" max="7175"/>
    <col width="14.6640625" customWidth="1" style="150" min="7176" max="7177"/>
    <col width="13.88671875" customWidth="1" style="150" min="7178" max="7178"/>
    <col width="7.109375" customWidth="1" style="150" min="7179" max="7179"/>
    <col width="11.88671875" customWidth="1" style="150" min="7180" max="7180"/>
    <col width="6.33203125" customWidth="1" style="150" min="7181" max="7181"/>
    <col width="11.109375" customWidth="1" style="150" min="7182" max="7182"/>
    <col width="7.5546875" customWidth="1" style="150" min="7183" max="7183"/>
    <col width="8.5546875" customWidth="1" style="150" min="7184" max="7184"/>
    <col width="13.6640625" customWidth="1" style="150" min="7185" max="7185"/>
    <col width="13.44140625" customWidth="1" style="150" min="7186" max="7186"/>
    <col width="9.109375" customWidth="1" style="150" min="7187" max="7190"/>
    <col width="3.44140625" customWidth="1" style="150" min="7191" max="7201"/>
    <col width="9.109375" customWidth="1" style="150" min="7202" max="7422"/>
    <col width="3.44140625" customWidth="1" style="150" min="7423" max="7423"/>
    <col width="9.109375" customWidth="1" style="150" min="7424" max="7424"/>
    <col width="26.88671875" customWidth="1" style="150" min="7425" max="7426"/>
    <col width="16.88671875" customWidth="1" style="150" min="7427" max="7427"/>
    <col width="4.5546875" customWidth="1" style="150" min="7428" max="7429"/>
    <col width="20.5546875" customWidth="1" style="150" min="7430" max="7430"/>
    <col width="6.109375" customWidth="1" style="150" min="7431" max="7431"/>
    <col width="14.6640625" customWidth="1" style="150" min="7432" max="7433"/>
    <col width="13.88671875" customWidth="1" style="150" min="7434" max="7434"/>
    <col width="7.109375" customWidth="1" style="150" min="7435" max="7435"/>
    <col width="11.88671875" customWidth="1" style="150" min="7436" max="7436"/>
    <col width="6.33203125" customWidth="1" style="150" min="7437" max="7437"/>
    <col width="11.109375" customWidth="1" style="150" min="7438" max="7438"/>
    <col width="7.5546875" customWidth="1" style="150" min="7439" max="7439"/>
    <col width="8.5546875" customWidth="1" style="150" min="7440" max="7440"/>
    <col width="13.6640625" customWidth="1" style="150" min="7441" max="7441"/>
    <col width="13.44140625" customWidth="1" style="150" min="7442" max="7442"/>
    <col width="9.109375" customWidth="1" style="150" min="7443" max="7446"/>
    <col width="3.44140625" customWidth="1" style="150" min="7447" max="7457"/>
    <col width="9.109375" customWidth="1" style="150" min="7458" max="7678"/>
    <col width="3.44140625" customWidth="1" style="150" min="7679" max="7679"/>
    <col width="9.109375" customWidth="1" style="150" min="7680" max="7680"/>
    <col width="26.88671875" customWidth="1" style="150" min="7681" max="7682"/>
    <col width="16.88671875" customWidth="1" style="150" min="7683" max="7683"/>
    <col width="4.5546875" customWidth="1" style="150" min="7684" max="7685"/>
    <col width="20.5546875" customWidth="1" style="150" min="7686" max="7686"/>
    <col width="6.109375" customWidth="1" style="150" min="7687" max="7687"/>
    <col width="14.6640625" customWidth="1" style="150" min="7688" max="7689"/>
    <col width="13.88671875" customWidth="1" style="150" min="7690" max="7690"/>
    <col width="7.109375" customWidth="1" style="150" min="7691" max="7691"/>
    <col width="11.88671875" customWidth="1" style="150" min="7692" max="7692"/>
    <col width="6.33203125" customWidth="1" style="150" min="7693" max="7693"/>
    <col width="11.109375" customWidth="1" style="150" min="7694" max="7694"/>
    <col width="7.5546875" customWidth="1" style="150" min="7695" max="7695"/>
    <col width="8.5546875" customWidth="1" style="150" min="7696" max="7696"/>
    <col width="13.6640625" customWidth="1" style="150" min="7697" max="7697"/>
    <col width="13.44140625" customWidth="1" style="150" min="7698" max="7698"/>
    <col width="9.109375" customWidth="1" style="150" min="7699" max="7702"/>
    <col width="3.44140625" customWidth="1" style="150" min="7703" max="7713"/>
    <col width="9.109375" customWidth="1" style="150" min="7714" max="7934"/>
    <col width="3.44140625" customWidth="1" style="150" min="7935" max="7935"/>
    <col width="9.109375" customWidth="1" style="150" min="7936" max="7936"/>
    <col width="26.88671875" customWidth="1" style="150" min="7937" max="7938"/>
    <col width="16.88671875" customWidth="1" style="150" min="7939" max="7939"/>
    <col width="4.5546875" customWidth="1" style="150" min="7940" max="7941"/>
    <col width="20.5546875" customWidth="1" style="150" min="7942" max="7942"/>
    <col width="6.109375" customWidth="1" style="150" min="7943" max="7943"/>
    <col width="14.6640625" customWidth="1" style="150" min="7944" max="7945"/>
    <col width="13.88671875" customWidth="1" style="150" min="7946" max="7946"/>
    <col width="7.109375" customWidth="1" style="150" min="7947" max="7947"/>
    <col width="11.88671875" customWidth="1" style="150" min="7948" max="7948"/>
    <col width="6.33203125" customWidth="1" style="150" min="7949" max="7949"/>
    <col width="11.109375" customWidth="1" style="150" min="7950" max="7950"/>
    <col width="7.5546875" customWidth="1" style="150" min="7951" max="7951"/>
    <col width="8.5546875" customWidth="1" style="150" min="7952" max="7952"/>
    <col width="13.6640625" customWidth="1" style="150" min="7953" max="7953"/>
    <col width="13.44140625" customWidth="1" style="150" min="7954" max="7954"/>
    <col width="9.109375" customWidth="1" style="150" min="7955" max="7958"/>
    <col width="3.44140625" customWidth="1" style="150" min="7959" max="7969"/>
    <col width="9.109375" customWidth="1" style="150" min="7970" max="8190"/>
    <col width="3.44140625" customWidth="1" style="150" min="8191" max="8191"/>
    <col width="9.109375" customWidth="1" style="150" min="8192" max="8192"/>
    <col width="26.88671875" customWidth="1" style="150" min="8193" max="8194"/>
    <col width="16.88671875" customWidth="1" style="150" min="8195" max="8195"/>
    <col width="4.5546875" customWidth="1" style="150" min="8196" max="8197"/>
    <col width="20.5546875" customWidth="1" style="150" min="8198" max="8198"/>
    <col width="6.109375" customWidth="1" style="150" min="8199" max="8199"/>
    <col width="14.6640625" customWidth="1" style="150" min="8200" max="8201"/>
    <col width="13.88671875" customWidth="1" style="150" min="8202" max="8202"/>
    <col width="7.109375" customWidth="1" style="150" min="8203" max="8203"/>
    <col width="11.88671875" customWidth="1" style="150" min="8204" max="8204"/>
    <col width="6.33203125" customWidth="1" style="150" min="8205" max="8205"/>
    <col width="11.109375" customWidth="1" style="150" min="8206" max="8206"/>
    <col width="7.5546875" customWidth="1" style="150" min="8207" max="8207"/>
    <col width="8.5546875" customWidth="1" style="150" min="8208" max="8208"/>
    <col width="13.6640625" customWidth="1" style="150" min="8209" max="8209"/>
    <col width="13.44140625" customWidth="1" style="150" min="8210" max="8210"/>
    <col width="9.109375" customWidth="1" style="150" min="8211" max="8214"/>
    <col width="3.44140625" customWidth="1" style="150" min="8215" max="8225"/>
    <col width="9.109375" customWidth="1" style="150" min="8226" max="8446"/>
    <col width="3.44140625" customWidth="1" style="150" min="8447" max="8447"/>
    <col width="9.109375" customWidth="1" style="150" min="8448" max="8448"/>
    <col width="26.88671875" customWidth="1" style="150" min="8449" max="8450"/>
    <col width="16.88671875" customWidth="1" style="150" min="8451" max="8451"/>
    <col width="4.5546875" customWidth="1" style="150" min="8452" max="8453"/>
    <col width="20.5546875" customWidth="1" style="150" min="8454" max="8454"/>
    <col width="6.109375" customWidth="1" style="150" min="8455" max="8455"/>
    <col width="14.6640625" customWidth="1" style="150" min="8456" max="8457"/>
    <col width="13.88671875" customWidth="1" style="150" min="8458" max="8458"/>
    <col width="7.109375" customWidth="1" style="150" min="8459" max="8459"/>
    <col width="11.88671875" customWidth="1" style="150" min="8460" max="8460"/>
    <col width="6.33203125" customWidth="1" style="150" min="8461" max="8461"/>
    <col width="11.109375" customWidth="1" style="150" min="8462" max="8462"/>
    <col width="7.5546875" customWidth="1" style="150" min="8463" max="8463"/>
    <col width="8.5546875" customWidth="1" style="150" min="8464" max="8464"/>
    <col width="13.6640625" customWidth="1" style="150" min="8465" max="8465"/>
    <col width="13.44140625" customWidth="1" style="150" min="8466" max="8466"/>
    <col width="9.109375" customWidth="1" style="150" min="8467" max="8470"/>
    <col width="3.44140625" customWidth="1" style="150" min="8471" max="8481"/>
    <col width="9.109375" customWidth="1" style="150" min="8482" max="8702"/>
    <col width="3.44140625" customWidth="1" style="150" min="8703" max="8703"/>
    <col width="9.109375" customWidth="1" style="150" min="8704" max="8704"/>
    <col width="26.88671875" customWidth="1" style="150" min="8705" max="8706"/>
    <col width="16.88671875" customWidth="1" style="150" min="8707" max="8707"/>
    <col width="4.5546875" customWidth="1" style="150" min="8708" max="8709"/>
    <col width="20.5546875" customWidth="1" style="150" min="8710" max="8710"/>
    <col width="6.109375" customWidth="1" style="150" min="8711" max="8711"/>
    <col width="14.6640625" customWidth="1" style="150" min="8712" max="8713"/>
    <col width="13.88671875" customWidth="1" style="150" min="8714" max="8714"/>
    <col width="7.109375" customWidth="1" style="150" min="8715" max="8715"/>
    <col width="11.88671875" customWidth="1" style="150" min="8716" max="8716"/>
    <col width="6.33203125" customWidth="1" style="150" min="8717" max="8717"/>
    <col width="11.109375" customWidth="1" style="150" min="8718" max="8718"/>
    <col width="7.5546875" customWidth="1" style="150" min="8719" max="8719"/>
    <col width="8.5546875" customWidth="1" style="150" min="8720" max="8720"/>
    <col width="13.6640625" customWidth="1" style="150" min="8721" max="8721"/>
    <col width="13.44140625" customWidth="1" style="150" min="8722" max="8722"/>
    <col width="9.109375" customWidth="1" style="150" min="8723" max="8726"/>
    <col width="3.44140625" customWidth="1" style="150" min="8727" max="8737"/>
    <col width="9.109375" customWidth="1" style="150" min="8738" max="8958"/>
    <col width="3.44140625" customWidth="1" style="150" min="8959" max="8959"/>
    <col width="9.109375" customWidth="1" style="150" min="8960" max="8960"/>
    <col width="26.88671875" customWidth="1" style="150" min="8961" max="8962"/>
    <col width="16.88671875" customWidth="1" style="150" min="8963" max="8963"/>
    <col width="4.5546875" customWidth="1" style="150" min="8964" max="8965"/>
    <col width="20.5546875" customWidth="1" style="150" min="8966" max="8966"/>
    <col width="6.109375" customWidth="1" style="150" min="8967" max="8967"/>
    <col width="14.6640625" customWidth="1" style="150" min="8968" max="8969"/>
    <col width="13.88671875" customWidth="1" style="150" min="8970" max="8970"/>
    <col width="7.109375" customWidth="1" style="150" min="8971" max="8971"/>
    <col width="11.88671875" customWidth="1" style="150" min="8972" max="8972"/>
    <col width="6.33203125" customWidth="1" style="150" min="8973" max="8973"/>
    <col width="11.109375" customWidth="1" style="150" min="8974" max="8974"/>
    <col width="7.5546875" customWidth="1" style="150" min="8975" max="8975"/>
    <col width="8.5546875" customWidth="1" style="150" min="8976" max="8976"/>
    <col width="13.6640625" customWidth="1" style="150" min="8977" max="8977"/>
    <col width="13.44140625" customWidth="1" style="150" min="8978" max="8978"/>
    <col width="9.109375" customWidth="1" style="150" min="8979" max="8982"/>
    <col width="3.44140625" customWidth="1" style="150" min="8983" max="8993"/>
    <col width="9.109375" customWidth="1" style="150" min="8994" max="9214"/>
    <col width="3.44140625" customWidth="1" style="150" min="9215" max="9215"/>
    <col width="9.109375" customWidth="1" style="150" min="9216" max="9216"/>
    <col width="26.88671875" customWidth="1" style="150" min="9217" max="9218"/>
    <col width="16.88671875" customWidth="1" style="150" min="9219" max="9219"/>
    <col width="4.5546875" customWidth="1" style="150" min="9220" max="9221"/>
    <col width="20.5546875" customWidth="1" style="150" min="9222" max="9222"/>
    <col width="6.109375" customWidth="1" style="150" min="9223" max="9223"/>
    <col width="14.6640625" customWidth="1" style="150" min="9224" max="9225"/>
    <col width="13.88671875" customWidth="1" style="150" min="9226" max="9226"/>
    <col width="7.109375" customWidth="1" style="150" min="9227" max="9227"/>
    <col width="11.88671875" customWidth="1" style="150" min="9228" max="9228"/>
    <col width="6.33203125" customWidth="1" style="150" min="9229" max="9229"/>
    <col width="11.109375" customWidth="1" style="150" min="9230" max="9230"/>
    <col width="7.5546875" customWidth="1" style="150" min="9231" max="9231"/>
    <col width="8.5546875" customWidth="1" style="150" min="9232" max="9232"/>
    <col width="13.6640625" customWidth="1" style="150" min="9233" max="9233"/>
    <col width="13.44140625" customWidth="1" style="150" min="9234" max="9234"/>
    <col width="9.109375" customWidth="1" style="150" min="9235" max="9238"/>
    <col width="3.44140625" customWidth="1" style="150" min="9239" max="9249"/>
    <col width="9.109375" customWidth="1" style="150" min="9250" max="9470"/>
    <col width="3.44140625" customWidth="1" style="150" min="9471" max="9471"/>
    <col width="9.109375" customWidth="1" style="150" min="9472" max="9472"/>
    <col width="26.88671875" customWidth="1" style="150" min="9473" max="9474"/>
    <col width="16.88671875" customWidth="1" style="150" min="9475" max="9475"/>
    <col width="4.5546875" customWidth="1" style="150" min="9476" max="9477"/>
    <col width="20.5546875" customWidth="1" style="150" min="9478" max="9478"/>
    <col width="6.109375" customWidth="1" style="150" min="9479" max="9479"/>
    <col width="14.6640625" customWidth="1" style="150" min="9480" max="9481"/>
    <col width="13.88671875" customWidth="1" style="150" min="9482" max="9482"/>
    <col width="7.109375" customWidth="1" style="150" min="9483" max="9483"/>
    <col width="11.88671875" customWidth="1" style="150" min="9484" max="9484"/>
    <col width="6.33203125" customWidth="1" style="150" min="9485" max="9485"/>
    <col width="11.109375" customWidth="1" style="150" min="9486" max="9486"/>
    <col width="7.5546875" customWidth="1" style="150" min="9487" max="9487"/>
    <col width="8.5546875" customWidth="1" style="150" min="9488" max="9488"/>
    <col width="13.6640625" customWidth="1" style="150" min="9489" max="9489"/>
    <col width="13.44140625" customWidth="1" style="150" min="9490" max="9490"/>
    <col width="9.109375" customWidth="1" style="150" min="9491" max="9494"/>
    <col width="3.44140625" customWidth="1" style="150" min="9495" max="9505"/>
    <col width="9.109375" customWidth="1" style="150" min="9506" max="9726"/>
    <col width="3.44140625" customWidth="1" style="150" min="9727" max="9727"/>
    <col width="9.109375" customWidth="1" style="150" min="9728" max="9728"/>
    <col width="26.88671875" customWidth="1" style="150" min="9729" max="9730"/>
    <col width="16.88671875" customWidth="1" style="150" min="9731" max="9731"/>
    <col width="4.5546875" customWidth="1" style="150" min="9732" max="9733"/>
    <col width="20.5546875" customWidth="1" style="150" min="9734" max="9734"/>
    <col width="6.109375" customWidth="1" style="150" min="9735" max="9735"/>
    <col width="14.6640625" customWidth="1" style="150" min="9736" max="9737"/>
    <col width="13.88671875" customWidth="1" style="150" min="9738" max="9738"/>
    <col width="7.109375" customWidth="1" style="150" min="9739" max="9739"/>
    <col width="11.88671875" customWidth="1" style="150" min="9740" max="9740"/>
    <col width="6.33203125" customWidth="1" style="150" min="9741" max="9741"/>
    <col width="11.109375" customWidth="1" style="150" min="9742" max="9742"/>
    <col width="7.5546875" customWidth="1" style="150" min="9743" max="9743"/>
    <col width="8.5546875" customWidth="1" style="150" min="9744" max="9744"/>
    <col width="13.6640625" customWidth="1" style="150" min="9745" max="9745"/>
    <col width="13.44140625" customWidth="1" style="150" min="9746" max="9746"/>
    <col width="9.109375" customWidth="1" style="150" min="9747" max="9750"/>
    <col width="3.44140625" customWidth="1" style="150" min="9751" max="9761"/>
    <col width="9.109375" customWidth="1" style="150" min="9762" max="9982"/>
    <col width="3.44140625" customWidth="1" style="150" min="9983" max="9983"/>
    <col width="9.109375" customWidth="1" style="150" min="9984" max="9984"/>
    <col width="26.88671875" customWidth="1" style="150" min="9985" max="9986"/>
    <col width="16.88671875" customWidth="1" style="150" min="9987" max="9987"/>
    <col width="4.5546875" customWidth="1" style="150" min="9988" max="9989"/>
    <col width="20.5546875" customWidth="1" style="150" min="9990" max="9990"/>
    <col width="6.109375" customWidth="1" style="150" min="9991" max="9991"/>
    <col width="14.6640625" customWidth="1" style="150" min="9992" max="9993"/>
    <col width="13.88671875" customWidth="1" style="150" min="9994" max="9994"/>
    <col width="7.109375" customWidth="1" style="150" min="9995" max="9995"/>
    <col width="11.88671875" customWidth="1" style="150" min="9996" max="9996"/>
    <col width="6.33203125" customWidth="1" style="150" min="9997" max="9997"/>
    <col width="11.109375" customWidth="1" style="150" min="9998" max="9998"/>
    <col width="7.5546875" customWidth="1" style="150" min="9999" max="9999"/>
    <col width="8.5546875" customWidth="1" style="150" min="10000" max="10000"/>
    <col width="13.6640625" customWidth="1" style="150" min="10001" max="10001"/>
    <col width="13.44140625" customWidth="1" style="150" min="10002" max="10002"/>
    <col width="9.109375" customWidth="1" style="150" min="10003" max="10006"/>
    <col width="3.44140625" customWidth="1" style="150" min="10007" max="10017"/>
    <col width="9.109375" customWidth="1" style="150" min="10018" max="10238"/>
    <col width="3.44140625" customWidth="1" style="150" min="10239" max="10239"/>
    <col width="9.109375" customWidth="1" style="150" min="10240" max="10240"/>
    <col width="26.88671875" customWidth="1" style="150" min="10241" max="10242"/>
    <col width="16.88671875" customWidth="1" style="150" min="10243" max="10243"/>
    <col width="4.5546875" customWidth="1" style="150" min="10244" max="10245"/>
    <col width="20.5546875" customWidth="1" style="150" min="10246" max="10246"/>
    <col width="6.109375" customWidth="1" style="150" min="10247" max="10247"/>
    <col width="14.6640625" customWidth="1" style="150" min="10248" max="10249"/>
    <col width="13.88671875" customWidth="1" style="150" min="10250" max="10250"/>
    <col width="7.109375" customWidth="1" style="150" min="10251" max="10251"/>
    <col width="11.88671875" customWidth="1" style="150" min="10252" max="10252"/>
    <col width="6.33203125" customWidth="1" style="150" min="10253" max="10253"/>
    <col width="11.109375" customWidth="1" style="150" min="10254" max="10254"/>
    <col width="7.5546875" customWidth="1" style="150" min="10255" max="10255"/>
    <col width="8.5546875" customWidth="1" style="150" min="10256" max="10256"/>
    <col width="13.6640625" customWidth="1" style="150" min="10257" max="10257"/>
    <col width="13.44140625" customWidth="1" style="150" min="10258" max="10258"/>
    <col width="9.109375" customWidth="1" style="150" min="10259" max="10262"/>
    <col width="3.44140625" customWidth="1" style="150" min="10263" max="10273"/>
    <col width="9.109375" customWidth="1" style="150" min="10274" max="10494"/>
    <col width="3.44140625" customWidth="1" style="150" min="10495" max="10495"/>
    <col width="9.109375" customWidth="1" style="150" min="10496" max="10496"/>
    <col width="26.88671875" customWidth="1" style="150" min="10497" max="10498"/>
    <col width="16.88671875" customWidth="1" style="150" min="10499" max="10499"/>
    <col width="4.5546875" customWidth="1" style="150" min="10500" max="10501"/>
    <col width="20.5546875" customWidth="1" style="150" min="10502" max="10502"/>
    <col width="6.109375" customWidth="1" style="150" min="10503" max="10503"/>
    <col width="14.6640625" customWidth="1" style="150" min="10504" max="10505"/>
    <col width="13.88671875" customWidth="1" style="150" min="10506" max="10506"/>
    <col width="7.109375" customWidth="1" style="150" min="10507" max="10507"/>
    <col width="11.88671875" customWidth="1" style="150" min="10508" max="10508"/>
    <col width="6.33203125" customWidth="1" style="150" min="10509" max="10509"/>
    <col width="11.109375" customWidth="1" style="150" min="10510" max="10510"/>
    <col width="7.5546875" customWidth="1" style="150" min="10511" max="10511"/>
    <col width="8.5546875" customWidth="1" style="150" min="10512" max="10512"/>
    <col width="13.6640625" customWidth="1" style="150" min="10513" max="10513"/>
    <col width="13.44140625" customWidth="1" style="150" min="10514" max="10514"/>
    <col width="9.109375" customWidth="1" style="150" min="10515" max="10518"/>
    <col width="3.44140625" customWidth="1" style="150" min="10519" max="10529"/>
    <col width="9.109375" customWidth="1" style="150" min="10530" max="10750"/>
    <col width="3.44140625" customWidth="1" style="150" min="10751" max="10751"/>
    <col width="9.109375" customWidth="1" style="150" min="10752" max="10752"/>
    <col width="26.88671875" customWidth="1" style="150" min="10753" max="10754"/>
    <col width="16.88671875" customWidth="1" style="150" min="10755" max="10755"/>
    <col width="4.5546875" customWidth="1" style="150" min="10756" max="10757"/>
    <col width="20.5546875" customWidth="1" style="150" min="10758" max="10758"/>
    <col width="6.109375" customWidth="1" style="150" min="10759" max="10759"/>
    <col width="14.6640625" customWidth="1" style="150" min="10760" max="10761"/>
    <col width="13.88671875" customWidth="1" style="150" min="10762" max="10762"/>
    <col width="7.109375" customWidth="1" style="150" min="10763" max="10763"/>
    <col width="11.88671875" customWidth="1" style="150" min="10764" max="10764"/>
    <col width="6.33203125" customWidth="1" style="150" min="10765" max="10765"/>
    <col width="11.109375" customWidth="1" style="150" min="10766" max="10766"/>
    <col width="7.5546875" customWidth="1" style="150" min="10767" max="10767"/>
    <col width="8.5546875" customWidth="1" style="150" min="10768" max="10768"/>
    <col width="13.6640625" customWidth="1" style="150" min="10769" max="10769"/>
    <col width="13.44140625" customWidth="1" style="150" min="10770" max="10770"/>
    <col width="9.109375" customWidth="1" style="150" min="10771" max="10774"/>
    <col width="3.44140625" customWidth="1" style="150" min="10775" max="10785"/>
    <col width="9.109375" customWidth="1" style="150" min="10786" max="11006"/>
    <col width="3.44140625" customWidth="1" style="150" min="11007" max="11007"/>
    <col width="9.109375" customWidth="1" style="150" min="11008" max="11008"/>
    <col width="26.88671875" customWidth="1" style="150" min="11009" max="11010"/>
    <col width="16.88671875" customWidth="1" style="150" min="11011" max="11011"/>
    <col width="4.5546875" customWidth="1" style="150" min="11012" max="11013"/>
    <col width="20.5546875" customWidth="1" style="150" min="11014" max="11014"/>
    <col width="6.109375" customWidth="1" style="150" min="11015" max="11015"/>
    <col width="14.6640625" customWidth="1" style="150" min="11016" max="11017"/>
    <col width="13.88671875" customWidth="1" style="150" min="11018" max="11018"/>
    <col width="7.109375" customWidth="1" style="150" min="11019" max="11019"/>
    <col width="11.88671875" customWidth="1" style="150" min="11020" max="11020"/>
    <col width="6.33203125" customWidth="1" style="150" min="11021" max="11021"/>
    <col width="11.109375" customWidth="1" style="150" min="11022" max="11022"/>
    <col width="7.5546875" customWidth="1" style="150" min="11023" max="11023"/>
    <col width="8.5546875" customWidth="1" style="150" min="11024" max="11024"/>
    <col width="13.6640625" customWidth="1" style="150" min="11025" max="11025"/>
    <col width="13.44140625" customWidth="1" style="150" min="11026" max="11026"/>
    <col width="9.109375" customWidth="1" style="150" min="11027" max="11030"/>
    <col width="3.44140625" customWidth="1" style="150" min="11031" max="11041"/>
    <col width="9.109375" customWidth="1" style="150" min="11042" max="11262"/>
    <col width="3.44140625" customWidth="1" style="150" min="11263" max="11263"/>
    <col width="9.109375" customWidth="1" style="150" min="11264" max="11264"/>
    <col width="26.88671875" customWidth="1" style="150" min="11265" max="11266"/>
    <col width="16.88671875" customWidth="1" style="150" min="11267" max="11267"/>
    <col width="4.5546875" customWidth="1" style="150" min="11268" max="11269"/>
    <col width="20.5546875" customWidth="1" style="150" min="11270" max="11270"/>
    <col width="6.109375" customWidth="1" style="150" min="11271" max="11271"/>
    <col width="14.6640625" customWidth="1" style="150" min="11272" max="11273"/>
    <col width="13.88671875" customWidth="1" style="150" min="11274" max="11274"/>
    <col width="7.109375" customWidth="1" style="150" min="11275" max="11275"/>
    <col width="11.88671875" customWidth="1" style="150" min="11276" max="11276"/>
    <col width="6.33203125" customWidth="1" style="150" min="11277" max="11277"/>
    <col width="11.109375" customWidth="1" style="150" min="11278" max="11278"/>
    <col width="7.5546875" customWidth="1" style="150" min="11279" max="11279"/>
    <col width="8.5546875" customWidth="1" style="150" min="11280" max="11280"/>
    <col width="13.6640625" customWidth="1" style="150" min="11281" max="11281"/>
    <col width="13.44140625" customWidth="1" style="150" min="11282" max="11282"/>
    <col width="9.109375" customWidth="1" style="150" min="11283" max="11286"/>
    <col width="3.44140625" customWidth="1" style="150" min="11287" max="11297"/>
    <col width="9.109375" customWidth="1" style="150" min="11298" max="11518"/>
    <col width="3.44140625" customWidth="1" style="150" min="11519" max="11519"/>
    <col width="9.109375" customWidth="1" style="150" min="11520" max="11520"/>
    <col width="26.88671875" customWidth="1" style="150" min="11521" max="11522"/>
    <col width="16.88671875" customWidth="1" style="150" min="11523" max="11523"/>
    <col width="4.5546875" customWidth="1" style="150" min="11524" max="11525"/>
    <col width="20.5546875" customWidth="1" style="150" min="11526" max="11526"/>
    <col width="6.109375" customWidth="1" style="150" min="11527" max="11527"/>
    <col width="14.6640625" customWidth="1" style="150" min="11528" max="11529"/>
    <col width="13.88671875" customWidth="1" style="150" min="11530" max="11530"/>
    <col width="7.109375" customWidth="1" style="150" min="11531" max="11531"/>
    <col width="11.88671875" customWidth="1" style="150" min="11532" max="11532"/>
    <col width="6.33203125" customWidth="1" style="150" min="11533" max="11533"/>
    <col width="11.109375" customWidth="1" style="150" min="11534" max="11534"/>
    <col width="7.5546875" customWidth="1" style="150" min="11535" max="11535"/>
    <col width="8.5546875" customWidth="1" style="150" min="11536" max="11536"/>
    <col width="13.6640625" customWidth="1" style="150" min="11537" max="11537"/>
    <col width="13.44140625" customWidth="1" style="150" min="11538" max="11538"/>
    <col width="9.109375" customWidth="1" style="150" min="11539" max="11542"/>
    <col width="3.44140625" customWidth="1" style="150" min="11543" max="11553"/>
    <col width="9.109375" customWidth="1" style="150" min="11554" max="11774"/>
    <col width="3.44140625" customWidth="1" style="150" min="11775" max="11775"/>
    <col width="9.109375" customWidth="1" style="150" min="11776" max="11776"/>
    <col width="26.88671875" customWidth="1" style="150" min="11777" max="11778"/>
    <col width="16.88671875" customWidth="1" style="150" min="11779" max="11779"/>
    <col width="4.5546875" customWidth="1" style="150" min="11780" max="11781"/>
    <col width="20.5546875" customWidth="1" style="150" min="11782" max="11782"/>
    <col width="6.109375" customWidth="1" style="150" min="11783" max="11783"/>
    <col width="14.6640625" customWidth="1" style="150" min="11784" max="11785"/>
    <col width="13.88671875" customWidth="1" style="150" min="11786" max="11786"/>
    <col width="7.109375" customWidth="1" style="150" min="11787" max="11787"/>
    <col width="11.88671875" customWidth="1" style="150" min="11788" max="11788"/>
    <col width="6.33203125" customWidth="1" style="150" min="11789" max="11789"/>
    <col width="11.109375" customWidth="1" style="150" min="11790" max="11790"/>
    <col width="7.5546875" customWidth="1" style="150" min="11791" max="11791"/>
    <col width="8.5546875" customWidth="1" style="150" min="11792" max="11792"/>
    <col width="13.6640625" customWidth="1" style="150" min="11793" max="11793"/>
    <col width="13.44140625" customWidth="1" style="150" min="11794" max="11794"/>
    <col width="9.109375" customWidth="1" style="150" min="11795" max="11798"/>
    <col width="3.44140625" customWidth="1" style="150" min="11799" max="11809"/>
    <col width="9.109375" customWidth="1" style="150" min="11810" max="12030"/>
    <col width="3.44140625" customWidth="1" style="150" min="12031" max="12031"/>
    <col width="9.109375" customWidth="1" style="150" min="12032" max="12032"/>
    <col width="26.88671875" customWidth="1" style="150" min="12033" max="12034"/>
    <col width="16.88671875" customWidth="1" style="150" min="12035" max="12035"/>
    <col width="4.5546875" customWidth="1" style="150" min="12036" max="12037"/>
    <col width="20.5546875" customWidth="1" style="150" min="12038" max="12038"/>
    <col width="6.109375" customWidth="1" style="150" min="12039" max="12039"/>
    <col width="14.6640625" customWidth="1" style="150" min="12040" max="12041"/>
    <col width="13.88671875" customWidth="1" style="150" min="12042" max="12042"/>
    <col width="7.109375" customWidth="1" style="150" min="12043" max="12043"/>
    <col width="11.88671875" customWidth="1" style="150" min="12044" max="12044"/>
    <col width="6.33203125" customWidth="1" style="150" min="12045" max="12045"/>
    <col width="11.109375" customWidth="1" style="150" min="12046" max="12046"/>
    <col width="7.5546875" customWidth="1" style="150" min="12047" max="12047"/>
    <col width="8.5546875" customWidth="1" style="150" min="12048" max="12048"/>
    <col width="13.6640625" customWidth="1" style="150" min="12049" max="12049"/>
    <col width="13.44140625" customWidth="1" style="150" min="12050" max="12050"/>
    <col width="9.109375" customWidth="1" style="150" min="12051" max="12054"/>
    <col width="3.44140625" customWidth="1" style="150" min="12055" max="12065"/>
    <col width="9.109375" customWidth="1" style="150" min="12066" max="12286"/>
    <col width="3.44140625" customWidth="1" style="150" min="12287" max="12287"/>
    <col width="9.109375" customWidth="1" style="150" min="12288" max="12288"/>
    <col width="26.88671875" customWidth="1" style="150" min="12289" max="12290"/>
    <col width="16.88671875" customWidth="1" style="150" min="12291" max="12291"/>
    <col width="4.5546875" customWidth="1" style="150" min="12292" max="12293"/>
    <col width="20.5546875" customWidth="1" style="150" min="12294" max="12294"/>
    <col width="6.109375" customWidth="1" style="150" min="12295" max="12295"/>
    <col width="14.6640625" customWidth="1" style="150" min="12296" max="12297"/>
    <col width="13.88671875" customWidth="1" style="150" min="12298" max="12298"/>
    <col width="7.109375" customWidth="1" style="150" min="12299" max="12299"/>
    <col width="11.88671875" customWidth="1" style="150" min="12300" max="12300"/>
    <col width="6.33203125" customWidth="1" style="150" min="12301" max="12301"/>
    <col width="11.109375" customWidth="1" style="150" min="12302" max="12302"/>
    <col width="7.5546875" customWidth="1" style="150" min="12303" max="12303"/>
    <col width="8.5546875" customWidth="1" style="150" min="12304" max="12304"/>
    <col width="13.6640625" customWidth="1" style="150" min="12305" max="12305"/>
    <col width="13.44140625" customWidth="1" style="150" min="12306" max="12306"/>
    <col width="9.109375" customWidth="1" style="150" min="12307" max="12310"/>
    <col width="3.44140625" customWidth="1" style="150" min="12311" max="12321"/>
    <col width="9.109375" customWidth="1" style="150" min="12322" max="12542"/>
    <col width="3.44140625" customWidth="1" style="150" min="12543" max="12543"/>
    <col width="9.109375" customWidth="1" style="150" min="12544" max="12544"/>
    <col width="26.88671875" customWidth="1" style="150" min="12545" max="12546"/>
    <col width="16.88671875" customWidth="1" style="150" min="12547" max="12547"/>
    <col width="4.5546875" customWidth="1" style="150" min="12548" max="12549"/>
    <col width="20.5546875" customWidth="1" style="150" min="12550" max="12550"/>
    <col width="6.109375" customWidth="1" style="150" min="12551" max="12551"/>
    <col width="14.6640625" customWidth="1" style="150" min="12552" max="12553"/>
    <col width="13.88671875" customWidth="1" style="150" min="12554" max="12554"/>
    <col width="7.109375" customWidth="1" style="150" min="12555" max="12555"/>
    <col width="11.88671875" customWidth="1" style="150" min="12556" max="12556"/>
    <col width="6.33203125" customWidth="1" style="150" min="12557" max="12557"/>
    <col width="11.109375" customWidth="1" style="150" min="12558" max="12558"/>
    <col width="7.5546875" customWidth="1" style="150" min="12559" max="12559"/>
    <col width="8.5546875" customWidth="1" style="150" min="12560" max="12560"/>
    <col width="13.6640625" customWidth="1" style="150" min="12561" max="12561"/>
    <col width="13.44140625" customWidth="1" style="150" min="12562" max="12562"/>
    <col width="9.109375" customWidth="1" style="150" min="12563" max="12566"/>
    <col width="3.44140625" customWidth="1" style="150" min="12567" max="12577"/>
    <col width="9.109375" customWidth="1" style="150" min="12578" max="12798"/>
    <col width="3.44140625" customWidth="1" style="150" min="12799" max="12799"/>
    <col width="9.109375" customWidth="1" style="150" min="12800" max="12800"/>
    <col width="26.88671875" customWidth="1" style="150" min="12801" max="12802"/>
    <col width="16.88671875" customWidth="1" style="150" min="12803" max="12803"/>
    <col width="4.5546875" customWidth="1" style="150" min="12804" max="12805"/>
    <col width="20.5546875" customWidth="1" style="150" min="12806" max="12806"/>
    <col width="6.109375" customWidth="1" style="150" min="12807" max="12807"/>
    <col width="14.6640625" customWidth="1" style="150" min="12808" max="12809"/>
    <col width="13.88671875" customWidth="1" style="150" min="12810" max="12810"/>
    <col width="7.109375" customWidth="1" style="150" min="12811" max="12811"/>
    <col width="11.88671875" customWidth="1" style="150" min="12812" max="12812"/>
    <col width="6.33203125" customWidth="1" style="150" min="12813" max="12813"/>
    <col width="11.109375" customWidth="1" style="150" min="12814" max="12814"/>
    <col width="7.5546875" customWidth="1" style="150" min="12815" max="12815"/>
    <col width="8.5546875" customWidth="1" style="150" min="12816" max="12816"/>
    <col width="13.6640625" customWidth="1" style="150" min="12817" max="12817"/>
    <col width="13.44140625" customWidth="1" style="150" min="12818" max="12818"/>
    <col width="9.109375" customWidth="1" style="150" min="12819" max="12822"/>
    <col width="3.44140625" customWidth="1" style="150" min="12823" max="12833"/>
    <col width="9.109375" customWidth="1" style="150" min="12834" max="13054"/>
    <col width="3.44140625" customWidth="1" style="150" min="13055" max="13055"/>
    <col width="9.109375" customWidth="1" style="150" min="13056" max="13056"/>
    <col width="26.88671875" customWidth="1" style="150" min="13057" max="13058"/>
    <col width="16.88671875" customWidth="1" style="150" min="13059" max="13059"/>
    <col width="4.5546875" customWidth="1" style="150" min="13060" max="13061"/>
    <col width="20.5546875" customWidth="1" style="150" min="13062" max="13062"/>
    <col width="6.109375" customWidth="1" style="150" min="13063" max="13063"/>
    <col width="14.6640625" customWidth="1" style="150" min="13064" max="13065"/>
    <col width="13.88671875" customWidth="1" style="150" min="13066" max="13066"/>
    <col width="7.109375" customWidth="1" style="150" min="13067" max="13067"/>
    <col width="11.88671875" customWidth="1" style="150" min="13068" max="13068"/>
    <col width="6.33203125" customWidth="1" style="150" min="13069" max="13069"/>
    <col width="11.109375" customWidth="1" style="150" min="13070" max="13070"/>
    <col width="7.5546875" customWidth="1" style="150" min="13071" max="13071"/>
    <col width="8.5546875" customWidth="1" style="150" min="13072" max="13072"/>
    <col width="13.6640625" customWidth="1" style="150" min="13073" max="13073"/>
    <col width="13.44140625" customWidth="1" style="150" min="13074" max="13074"/>
    <col width="9.109375" customWidth="1" style="150" min="13075" max="13078"/>
    <col width="3.44140625" customWidth="1" style="150" min="13079" max="13089"/>
    <col width="9.109375" customWidth="1" style="150" min="13090" max="13310"/>
    <col width="3.44140625" customWidth="1" style="150" min="13311" max="13311"/>
    <col width="9.109375" customWidth="1" style="150" min="13312" max="13312"/>
    <col width="26.88671875" customWidth="1" style="150" min="13313" max="13314"/>
    <col width="16.88671875" customWidth="1" style="150" min="13315" max="13315"/>
    <col width="4.5546875" customWidth="1" style="150" min="13316" max="13317"/>
    <col width="20.5546875" customWidth="1" style="150" min="13318" max="13318"/>
    <col width="6.109375" customWidth="1" style="150" min="13319" max="13319"/>
    <col width="14.6640625" customWidth="1" style="150" min="13320" max="13321"/>
    <col width="13.88671875" customWidth="1" style="150" min="13322" max="13322"/>
    <col width="7.109375" customWidth="1" style="150" min="13323" max="13323"/>
    <col width="11.88671875" customWidth="1" style="150" min="13324" max="13324"/>
    <col width="6.33203125" customWidth="1" style="150" min="13325" max="13325"/>
    <col width="11.109375" customWidth="1" style="150" min="13326" max="13326"/>
    <col width="7.5546875" customWidth="1" style="150" min="13327" max="13327"/>
    <col width="8.5546875" customWidth="1" style="150" min="13328" max="13328"/>
    <col width="13.6640625" customWidth="1" style="150" min="13329" max="13329"/>
    <col width="13.44140625" customWidth="1" style="150" min="13330" max="13330"/>
    <col width="9.109375" customWidth="1" style="150" min="13331" max="13334"/>
    <col width="3.44140625" customWidth="1" style="150" min="13335" max="13345"/>
    <col width="9.109375" customWidth="1" style="150" min="13346" max="13566"/>
    <col width="3.44140625" customWidth="1" style="150" min="13567" max="13567"/>
    <col width="9.109375" customWidth="1" style="150" min="13568" max="13568"/>
    <col width="26.88671875" customWidth="1" style="150" min="13569" max="13570"/>
    <col width="16.88671875" customWidth="1" style="150" min="13571" max="13571"/>
    <col width="4.5546875" customWidth="1" style="150" min="13572" max="13573"/>
    <col width="20.5546875" customWidth="1" style="150" min="13574" max="13574"/>
    <col width="6.109375" customWidth="1" style="150" min="13575" max="13575"/>
    <col width="14.6640625" customWidth="1" style="150" min="13576" max="13577"/>
    <col width="13.88671875" customWidth="1" style="150" min="13578" max="13578"/>
    <col width="7.109375" customWidth="1" style="150" min="13579" max="13579"/>
    <col width="11.88671875" customWidth="1" style="150" min="13580" max="13580"/>
    <col width="6.33203125" customWidth="1" style="150" min="13581" max="13581"/>
    <col width="11.109375" customWidth="1" style="150" min="13582" max="13582"/>
    <col width="7.5546875" customWidth="1" style="150" min="13583" max="13583"/>
    <col width="8.5546875" customWidth="1" style="150" min="13584" max="13584"/>
    <col width="13.6640625" customWidth="1" style="150" min="13585" max="13585"/>
    <col width="13.44140625" customWidth="1" style="150" min="13586" max="13586"/>
    <col width="9.109375" customWidth="1" style="150" min="13587" max="13590"/>
    <col width="3.44140625" customWidth="1" style="150" min="13591" max="13601"/>
    <col width="9.109375" customWidth="1" style="150" min="13602" max="13822"/>
    <col width="3.44140625" customWidth="1" style="150" min="13823" max="13823"/>
    <col width="9.109375" customWidth="1" style="150" min="13824" max="13824"/>
    <col width="26.88671875" customWidth="1" style="150" min="13825" max="13826"/>
    <col width="16.88671875" customWidth="1" style="150" min="13827" max="13827"/>
    <col width="4.5546875" customWidth="1" style="150" min="13828" max="13829"/>
    <col width="20.5546875" customWidth="1" style="150" min="13830" max="13830"/>
    <col width="6.109375" customWidth="1" style="150" min="13831" max="13831"/>
    <col width="14.6640625" customWidth="1" style="150" min="13832" max="13833"/>
    <col width="13.88671875" customWidth="1" style="150" min="13834" max="13834"/>
    <col width="7.109375" customWidth="1" style="150" min="13835" max="13835"/>
    <col width="11.88671875" customWidth="1" style="150" min="13836" max="13836"/>
    <col width="6.33203125" customWidth="1" style="150" min="13837" max="13837"/>
    <col width="11.109375" customWidth="1" style="150" min="13838" max="13838"/>
    <col width="7.5546875" customWidth="1" style="150" min="13839" max="13839"/>
    <col width="8.5546875" customWidth="1" style="150" min="13840" max="13840"/>
    <col width="13.6640625" customWidth="1" style="150" min="13841" max="13841"/>
    <col width="13.44140625" customWidth="1" style="150" min="13842" max="13842"/>
    <col width="9.109375" customWidth="1" style="150" min="13843" max="13846"/>
    <col width="3.44140625" customWidth="1" style="150" min="13847" max="13857"/>
    <col width="9.109375" customWidth="1" style="150" min="13858" max="14078"/>
    <col width="3.44140625" customWidth="1" style="150" min="14079" max="14079"/>
    <col width="9.109375" customWidth="1" style="150" min="14080" max="14080"/>
    <col width="26.88671875" customWidth="1" style="150" min="14081" max="14082"/>
    <col width="16.88671875" customWidth="1" style="150" min="14083" max="14083"/>
    <col width="4.5546875" customWidth="1" style="150" min="14084" max="14085"/>
    <col width="20.5546875" customWidth="1" style="150" min="14086" max="14086"/>
    <col width="6.109375" customWidth="1" style="150" min="14087" max="14087"/>
    <col width="14.6640625" customWidth="1" style="150" min="14088" max="14089"/>
    <col width="13.88671875" customWidth="1" style="150" min="14090" max="14090"/>
    <col width="7.109375" customWidth="1" style="150" min="14091" max="14091"/>
    <col width="11.88671875" customWidth="1" style="150" min="14092" max="14092"/>
    <col width="6.33203125" customWidth="1" style="150" min="14093" max="14093"/>
    <col width="11.109375" customWidth="1" style="150" min="14094" max="14094"/>
    <col width="7.5546875" customWidth="1" style="150" min="14095" max="14095"/>
    <col width="8.5546875" customWidth="1" style="150" min="14096" max="14096"/>
    <col width="13.6640625" customWidth="1" style="150" min="14097" max="14097"/>
    <col width="13.44140625" customWidth="1" style="150" min="14098" max="14098"/>
    <col width="9.109375" customWidth="1" style="150" min="14099" max="14102"/>
    <col width="3.44140625" customWidth="1" style="150" min="14103" max="14113"/>
    <col width="9.109375" customWidth="1" style="150" min="14114" max="14334"/>
    <col width="3.44140625" customWidth="1" style="150" min="14335" max="14335"/>
    <col width="9.109375" customWidth="1" style="150" min="14336" max="14336"/>
    <col width="26.88671875" customWidth="1" style="150" min="14337" max="14338"/>
    <col width="16.88671875" customWidth="1" style="150" min="14339" max="14339"/>
    <col width="4.5546875" customWidth="1" style="150" min="14340" max="14341"/>
    <col width="20.5546875" customWidth="1" style="150" min="14342" max="14342"/>
    <col width="6.109375" customWidth="1" style="150" min="14343" max="14343"/>
    <col width="14.6640625" customWidth="1" style="150" min="14344" max="14345"/>
    <col width="13.88671875" customWidth="1" style="150" min="14346" max="14346"/>
    <col width="7.109375" customWidth="1" style="150" min="14347" max="14347"/>
    <col width="11.88671875" customWidth="1" style="150" min="14348" max="14348"/>
    <col width="6.33203125" customWidth="1" style="150" min="14349" max="14349"/>
    <col width="11.109375" customWidth="1" style="150" min="14350" max="14350"/>
    <col width="7.5546875" customWidth="1" style="150" min="14351" max="14351"/>
    <col width="8.5546875" customWidth="1" style="150" min="14352" max="14352"/>
    <col width="13.6640625" customWidth="1" style="150" min="14353" max="14353"/>
    <col width="13.44140625" customWidth="1" style="150" min="14354" max="14354"/>
    <col width="9.109375" customWidth="1" style="150" min="14355" max="14358"/>
    <col width="3.44140625" customWidth="1" style="150" min="14359" max="14369"/>
    <col width="9.109375" customWidth="1" style="150" min="14370" max="14590"/>
    <col width="3.44140625" customWidth="1" style="150" min="14591" max="14591"/>
    <col width="9.109375" customWidth="1" style="150" min="14592" max="14592"/>
    <col width="26.88671875" customWidth="1" style="150" min="14593" max="14594"/>
    <col width="16.88671875" customWidth="1" style="150" min="14595" max="14595"/>
    <col width="4.5546875" customWidth="1" style="150" min="14596" max="14597"/>
    <col width="20.5546875" customWidth="1" style="150" min="14598" max="14598"/>
    <col width="6.109375" customWidth="1" style="150" min="14599" max="14599"/>
    <col width="14.6640625" customWidth="1" style="150" min="14600" max="14601"/>
    <col width="13.88671875" customWidth="1" style="150" min="14602" max="14602"/>
    <col width="7.109375" customWidth="1" style="150" min="14603" max="14603"/>
    <col width="11.88671875" customWidth="1" style="150" min="14604" max="14604"/>
    <col width="6.33203125" customWidth="1" style="150" min="14605" max="14605"/>
    <col width="11.109375" customWidth="1" style="150" min="14606" max="14606"/>
    <col width="7.5546875" customWidth="1" style="150" min="14607" max="14607"/>
    <col width="8.5546875" customWidth="1" style="150" min="14608" max="14608"/>
    <col width="13.6640625" customWidth="1" style="150" min="14609" max="14609"/>
    <col width="13.44140625" customWidth="1" style="150" min="14610" max="14610"/>
    <col width="9.109375" customWidth="1" style="150" min="14611" max="14614"/>
    <col width="3.44140625" customWidth="1" style="150" min="14615" max="14625"/>
    <col width="9.109375" customWidth="1" style="150" min="14626" max="14846"/>
    <col width="3.44140625" customWidth="1" style="150" min="14847" max="14847"/>
    <col width="9.109375" customWidth="1" style="150" min="14848" max="14848"/>
    <col width="26.88671875" customWidth="1" style="150" min="14849" max="14850"/>
    <col width="16.88671875" customWidth="1" style="150" min="14851" max="14851"/>
    <col width="4.5546875" customWidth="1" style="150" min="14852" max="14853"/>
    <col width="20.5546875" customWidth="1" style="150" min="14854" max="14854"/>
    <col width="6.109375" customWidth="1" style="150" min="14855" max="14855"/>
    <col width="14.6640625" customWidth="1" style="150" min="14856" max="14857"/>
    <col width="13.88671875" customWidth="1" style="150" min="14858" max="14858"/>
    <col width="7.109375" customWidth="1" style="150" min="14859" max="14859"/>
    <col width="11.88671875" customWidth="1" style="150" min="14860" max="14860"/>
    <col width="6.33203125" customWidth="1" style="150" min="14861" max="14861"/>
    <col width="11.109375" customWidth="1" style="150" min="14862" max="14862"/>
    <col width="7.5546875" customWidth="1" style="150" min="14863" max="14863"/>
    <col width="8.5546875" customWidth="1" style="150" min="14864" max="14864"/>
    <col width="13.6640625" customWidth="1" style="150" min="14865" max="14865"/>
    <col width="13.44140625" customWidth="1" style="150" min="14866" max="14866"/>
    <col width="9.109375" customWidth="1" style="150" min="14867" max="14870"/>
    <col width="3.44140625" customWidth="1" style="150" min="14871" max="14881"/>
    <col width="9.109375" customWidth="1" style="150" min="14882" max="15102"/>
    <col width="3.44140625" customWidth="1" style="150" min="15103" max="15103"/>
    <col width="9.109375" customWidth="1" style="150" min="15104" max="15104"/>
    <col width="26.88671875" customWidth="1" style="150" min="15105" max="15106"/>
    <col width="16.88671875" customWidth="1" style="150" min="15107" max="15107"/>
    <col width="4.5546875" customWidth="1" style="150" min="15108" max="15109"/>
    <col width="20.5546875" customWidth="1" style="150" min="15110" max="15110"/>
    <col width="6.109375" customWidth="1" style="150" min="15111" max="15111"/>
    <col width="14.6640625" customWidth="1" style="150" min="15112" max="15113"/>
    <col width="13.88671875" customWidth="1" style="150" min="15114" max="15114"/>
    <col width="7.109375" customWidth="1" style="150" min="15115" max="15115"/>
    <col width="11.88671875" customWidth="1" style="150" min="15116" max="15116"/>
    <col width="6.33203125" customWidth="1" style="150" min="15117" max="15117"/>
    <col width="11.109375" customWidth="1" style="150" min="15118" max="15118"/>
    <col width="7.5546875" customWidth="1" style="150" min="15119" max="15119"/>
    <col width="8.5546875" customWidth="1" style="150" min="15120" max="15120"/>
    <col width="13.6640625" customWidth="1" style="150" min="15121" max="15121"/>
    <col width="13.44140625" customWidth="1" style="150" min="15122" max="15122"/>
    <col width="9.109375" customWidth="1" style="150" min="15123" max="15126"/>
    <col width="3.44140625" customWidth="1" style="150" min="15127" max="15137"/>
    <col width="9.109375" customWidth="1" style="150" min="15138" max="15358"/>
    <col width="3.44140625" customWidth="1" style="150" min="15359" max="15359"/>
    <col width="9.109375" customWidth="1" style="150" min="15360" max="15360"/>
    <col width="26.88671875" customWidth="1" style="150" min="15361" max="15362"/>
    <col width="16.88671875" customWidth="1" style="150" min="15363" max="15363"/>
    <col width="4.5546875" customWidth="1" style="150" min="15364" max="15365"/>
    <col width="20.5546875" customWidth="1" style="150" min="15366" max="15366"/>
    <col width="6.109375" customWidth="1" style="150" min="15367" max="15367"/>
    <col width="14.6640625" customWidth="1" style="150" min="15368" max="15369"/>
    <col width="13.88671875" customWidth="1" style="150" min="15370" max="15370"/>
    <col width="7.109375" customWidth="1" style="150" min="15371" max="15371"/>
    <col width="11.88671875" customWidth="1" style="150" min="15372" max="15372"/>
    <col width="6.33203125" customWidth="1" style="150" min="15373" max="15373"/>
    <col width="11.109375" customWidth="1" style="150" min="15374" max="15374"/>
    <col width="7.5546875" customWidth="1" style="150" min="15375" max="15375"/>
    <col width="8.5546875" customWidth="1" style="150" min="15376" max="15376"/>
    <col width="13.6640625" customWidth="1" style="150" min="15377" max="15377"/>
    <col width="13.44140625" customWidth="1" style="150" min="15378" max="15378"/>
    <col width="9.109375" customWidth="1" style="150" min="15379" max="15382"/>
    <col width="3.44140625" customWidth="1" style="150" min="15383" max="15393"/>
    <col width="9.109375" customWidth="1" style="150" min="15394" max="15614"/>
    <col width="3.44140625" customWidth="1" style="150" min="15615" max="15615"/>
    <col width="9.109375" customWidth="1" style="150" min="15616" max="15616"/>
    <col width="26.88671875" customWidth="1" style="150" min="15617" max="15618"/>
    <col width="16.88671875" customWidth="1" style="150" min="15619" max="15619"/>
    <col width="4.5546875" customWidth="1" style="150" min="15620" max="15621"/>
    <col width="20.5546875" customWidth="1" style="150" min="15622" max="15622"/>
    <col width="6.109375" customWidth="1" style="150" min="15623" max="15623"/>
    <col width="14.6640625" customWidth="1" style="150" min="15624" max="15625"/>
    <col width="13.88671875" customWidth="1" style="150" min="15626" max="15626"/>
    <col width="7.109375" customWidth="1" style="150" min="15627" max="15627"/>
    <col width="11.88671875" customWidth="1" style="150" min="15628" max="15628"/>
    <col width="6.33203125" customWidth="1" style="150" min="15629" max="15629"/>
    <col width="11.109375" customWidth="1" style="150" min="15630" max="15630"/>
    <col width="7.5546875" customWidth="1" style="150" min="15631" max="15631"/>
    <col width="8.5546875" customWidth="1" style="150" min="15632" max="15632"/>
    <col width="13.6640625" customWidth="1" style="150" min="15633" max="15633"/>
    <col width="13.44140625" customWidth="1" style="150" min="15634" max="15634"/>
    <col width="9.109375" customWidth="1" style="150" min="15635" max="15638"/>
    <col width="3.44140625" customWidth="1" style="150" min="15639" max="15649"/>
    <col width="9.109375" customWidth="1" style="150" min="15650" max="15870"/>
    <col width="3.44140625" customWidth="1" style="150" min="15871" max="15871"/>
    <col width="9.109375" customWidth="1" style="150" min="15872" max="15872"/>
    <col width="26.88671875" customWidth="1" style="150" min="15873" max="15874"/>
    <col width="16.88671875" customWidth="1" style="150" min="15875" max="15875"/>
    <col width="4.5546875" customWidth="1" style="150" min="15876" max="15877"/>
    <col width="20.5546875" customWidth="1" style="150" min="15878" max="15878"/>
    <col width="6.109375" customWidth="1" style="150" min="15879" max="15879"/>
    <col width="14.6640625" customWidth="1" style="150" min="15880" max="15881"/>
    <col width="13.88671875" customWidth="1" style="150" min="15882" max="15882"/>
    <col width="7.109375" customWidth="1" style="150" min="15883" max="15883"/>
    <col width="11.88671875" customWidth="1" style="150" min="15884" max="15884"/>
    <col width="6.33203125" customWidth="1" style="150" min="15885" max="15885"/>
    <col width="11.109375" customWidth="1" style="150" min="15886" max="15886"/>
    <col width="7.5546875" customWidth="1" style="150" min="15887" max="15887"/>
    <col width="8.5546875" customWidth="1" style="150" min="15888" max="15888"/>
    <col width="13.6640625" customWidth="1" style="150" min="15889" max="15889"/>
    <col width="13.44140625" customWidth="1" style="150" min="15890" max="15890"/>
    <col width="9.109375" customWidth="1" style="150" min="15891" max="15894"/>
    <col width="3.44140625" customWidth="1" style="150" min="15895" max="15905"/>
    <col width="9.109375" customWidth="1" style="150" min="15906" max="16126"/>
    <col width="3.44140625" customWidth="1" style="150" min="16127" max="16127"/>
    <col width="9.109375" customWidth="1" style="150" min="16128" max="16128"/>
    <col width="26.88671875" customWidth="1" style="150" min="16129" max="16130"/>
    <col width="16.88671875" customWidth="1" style="150" min="16131" max="16131"/>
    <col width="4.5546875" customWidth="1" style="150" min="16132" max="16133"/>
    <col width="20.5546875" customWidth="1" style="150" min="16134" max="16134"/>
    <col width="6.109375" customWidth="1" style="150" min="16135" max="16135"/>
    <col width="14.6640625" customWidth="1" style="150" min="16136" max="16137"/>
    <col width="13.88671875" customWidth="1" style="150" min="16138" max="16138"/>
    <col width="7.109375" customWidth="1" style="150" min="16139" max="16139"/>
    <col width="11.88671875" customWidth="1" style="150" min="16140" max="16140"/>
    <col width="6.33203125" customWidth="1" style="150" min="16141" max="16141"/>
    <col width="11.109375" customWidth="1" style="150" min="16142" max="16142"/>
    <col width="7.5546875" customWidth="1" style="150" min="16143" max="16143"/>
    <col width="8.5546875" customWidth="1" style="150" min="16144" max="16144"/>
    <col width="13.6640625" customWidth="1" style="150" min="16145" max="16145"/>
    <col width="13.44140625" customWidth="1" style="150" min="16146" max="16146"/>
    <col width="9.109375" customWidth="1" style="150" min="16147" max="16150"/>
    <col width="3.44140625" customWidth="1" style="150" min="16151" max="16161"/>
    <col width="9.109375" customWidth="1" style="150" min="16162" max="16384"/>
  </cols>
  <sheetData>
    <row r="1" ht="16.5" customHeight="1" s="248">
      <c r="A1" s="215" t="inlineStr">
        <is>
          <t>BV TRƯỜNG ĐHYD CẦN THƠ</t>
        </is>
      </c>
      <c r="F1" s="146" t="n"/>
      <c r="G1" s="146" t="n"/>
      <c r="H1" s="147" t="n"/>
      <c r="I1" s="148" t="n"/>
      <c r="J1" s="148" t="n"/>
      <c r="K1" s="149" t="n"/>
      <c r="L1" s="148" t="n"/>
      <c r="M1" s="145" t="n"/>
      <c r="N1" s="148" t="n"/>
      <c r="O1" s="145" t="n"/>
      <c r="P1" s="148" t="n"/>
      <c r="Q1" s="148" t="n"/>
      <c r="R1" s="148" t="n"/>
      <c r="S1" s="148" t="n"/>
      <c r="T1" s="148" t="n"/>
      <c r="U1" s="148" t="n"/>
      <c r="V1" s="148" t="n"/>
    </row>
    <row r="2" ht="16.5" customHeight="1" s="248">
      <c r="A2" s="210" t="inlineStr">
        <is>
          <t>KHOA NGOẠI CTCH - TK</t>
        </is>
      </c>
      <c r="F2" s="145" t="n"/>
      <c r="G2" s="145" t="n"/>
      <c r="H2" s="151" t="n"/>
      <c r="I2" s="148" t="n"/>
      <c r="J2" s="148" t="n"/>
      <c r="K2" s="149" t="n"/>
      <c r="L2" s="152" t="n"/>
      <c r="M2" s="145" t="n"/>
      <c r="N2" s="148" t="n"/>
      <c r="O2" s="145" t="n"/>
      <c r="P2" s="148" t="n"/>
      <c r="Q2" s="148" t="n"/>
      <c r="R2" s="148" t="n"/>
      <c r="S2" s="148" t="n"/>
      <c r="T2" s="148" t="n"/>
      <c r="U2" s="148" t="n"/>
      <c r="V2" s="148" t="n"/>
    </row>
    <row r="3" ht="22.5" customHeight="1" s="248">
      <c r="A3" s="199" t="inlineStr">
        <is>
          <t>BẢNG KÊ TIỀN PHẪU THUẬT</t>
        </is>
      </c>
      <c r="S3" s="148" t="n"/>
      <c r="T3" s="103" t="n"/>
      <c r="U3" s="154" t="n"/>
      <c r="V3" s="148" t="n"/>
    </row>
    <row r="4" ht="20.25" customHeight="1" s="248">
      <c r="A4" s="217" t="inlineStr">
        <is>
          <t>THÁNG 6/2026</t>
        </is>
      </c>
      <c r="S4" s="148" t="n"/>
      <c r="T4" s="102" t="n"/>
      <c r="U4" s="154" t="n"/>
      <c r="V4" s="148" t="n"/>
    </row>
    <row r="5" ht="20.25" customHeight="1" s="248">
      <c r="A5" s="217" t="n"/>
      <c r="B5" s="217" t="n"/>
      <c r="C5" s="156" t="n"/>
      <c r="D5" s="217" t="n"/>
      <c r="E5" s="217" t="n"/>
      <c r="F5" s="217" t="n"/>
      <c r="G5" s="156" t="n"/>
      <c r="H5" s="217" t="n"/>
      <c r="I5" s="157" t="n"/>
      <c r="J5" s="217" t="n"/>
      <c r="K5" s="158" t="n"/>
      <c r="L5" s="159" t="n"/>
      <c r="M5" s="157" t="n"/>
      <c r="N5" s="217" t="n"/>
      <c r="O5" s="157" t="n"/>
      <c r="P5" s="217" t="n"/>
      <c r="Q5" s="217" t="n"/>
      <c r="R5" s="159" t="n"/>
      <c r="S5" s="148" t="n"/>
      <c r="T5" s="103" t="n"/>
      <c r="U5" s="148" t="n"/>
      <c r="V5" s="148" t="n"/>
    </row>
    <row r="6" customFormat="1" s="162">
      <c r="A6" s="160" t="inlineStr">
        <is>
          <t>STT</t>
        </is>
      </c>
      <c r="B6" s="160" t="inlineStr">
        <is>
          <t>NGÀY</t>
        </is>
      </c>
      <c r="C6" s="160" t="inlineStr">
        <is>
          <t>Họ và tên bệnh nhân</t>
        </is>
      </c>
      <c r="D6" s="160" t="inlineStr">
        <is>
          <t>Tuổi</t>
        </is>
      </c>
      <c r="E6" s="160" t="n"/>
      <c r="F6" s="160" t="inlineStr">
        <is>
          <t>Chẩn đoán và phương pháp phẫu thuật</t>
        </is>
      </c>
      <c r="G6" s="160" t="inlineStr">
        <is>
          <t>Loại phẫu thuật</t>
        </is>
      </c>
      <c r="H6" s="252" t="inlineStr">
        <is>
          <t>Số tiền thực tính thù lao cho khoa</t>
        </is>
      </c>
      <c r="I6" s="160" t="inlineStr">
        <is>
          <t>PTV chính</t>
        </is>
      </c>
      <c r="J6" s="136" t="inlineStr">
        <is>
          <t>Số tiền</t>
        </is>
      </c>
      <c r="K6" s="160" t="inlineStr">
        <is>
          <t>Phụ mổ 1</t>
        </is>
      </c>
      <c r="L6" s="136" t="inlineStr">
        <is>
          <t>Số tiền</t>
        </is>
      </c>
      <c r="M6" s="160" t="inlineStr">
        <is>
          <t>Phụ mổ 2</t>
        </is>
      </c>
      <c r="N6" s="136" t="inlineStr">
        <is>
          <t>Số tiền</t>
        </is>
      </c>
      <c r="O6" s="136" t="inlineStr">
        <is>
          <t>Phụ mổ 3</t>
        </is>
      </c>
      <c r="P6" s="136" t="inlineStr">
        <is>
          <t>Số tiền</t>
        </is>
      </c>
      <c r="Q6" s="136" t="inlineStr">
        <is>
          <t>ĐD + HL</t>
        </is>
      </c>
      <c r="R6" s="253" t="inlineStr">
        <is>
          <t>Thực lãnh</t>
        </is>
      </c>
      <c r="S6" s="161" t="n"/>
      <c r="T6" s="161" t="n"/>
      <c r="U6" s="161" t="n"/>
      <c r="V6" s="161" t="n"/>
    </row>
    <row r="7" ht="15" customFormat="1" customHeight="1" s="168">
      <c r="A7" s="142" t="n">
        <v>1</v>
      </c>
      <c r="B7" s="254" t="n">
        <v>46163</v>
      </c>
      <c r="C7" s="153" t="inlineStr">
        <is>
          <t>Vũ Thành Đạt</t>
        </is>
      </c>
      <c r="D7" s="164" t="n">
        <v>71</v>
      </c>
      <c r="E7" s="165" t="n"/>
      <c r="F7" s="166" t="inlineStr">
        <is>
          <t>Thay toàn bộ khớp háng</t>
        </is>
      </c>
      <c r="G7" s="164" t="inlineStr">
        <is>
          <t>Đặc biệt</t>
        </is>
      </c>
      <c r="H7" s="154" t="n">
        <v>3525500</v>
      </c>
      <c r="I7" s="143" t="inlineStr">
        <is>
          <t>HOAN</t>
        </is>
      </c>
      <c r="J7" s="144">
        <f>R7-L7-N7-P7-Q7</f>
        <v/>
      </c>
      <c r="K7" s="144" t="inlineStr">
        <is>
          <t>DUY</t>
        </is>
      </c>
      <c r="L7" s="144">
        <f>IF(K7="-",0,H7*0.03)</f>
        <v/>
      </c>
      <c r="M7" s="144" t="inlineStr">
        <is>
          <t>BẢO</t>
        </is>
      </c>
      <c r="N7" s="144">
        <f>IF(M7="-",0,H7*0.02)</f>
        <v/>
      </c>
      <c r="O7" s="144" t="inlineStr">
        <is>
          <t>G.TỬ</t>
        </is>
      </c>
      <c r="P7" s="144">
        <f>IF(O7="-",0,H7*0.01)</f>
        <v/>
      </c>
      <c r="Q7" s="144">
        <f>H7*0.005</f>
        <v/>
      </c>
      <c r="R7" s="144">
        <f>IF(I7="V.Tân",H7*0.1375,IF(I7="nguyện",H7*0.1375,IF(I7="TOẢN",H7*0.1375,H7*0.17)))</f>
        <v/>
      </c>
      <c r="S7" s="167" t="n"/>
      <c r="T7" s="167" t="n"/>
      <c r="U7" s="167" t="n"/>
      <c r="V7" s="167" t="n"/>
    </row>
    <row r="8" ht="15" customFormat="1" customHeight="1" s="168">
      <c r="A8" s="142" t="n">
        <v>2</v>
      </c>
      <c r="B8" s="254" t="n">
        <v>46164</v>
      </c>
      <c r="C8" s="153" t="inlineStr">
        <is>
          <t>Trần Văn Xiên</t>
        </is>
      </c>
      <c r="D8" s="164" t="n">
        <v>62</v>
      </c>
      <c r="E8" s="165" t="n"/>
      <c r="F8" s="166" t="inlineStr">
        <is>
          <t>Cắt lọc hoại tử ổ loét vết thương mãn tính</t>
        </is>
      </c>
      <c r="G8" s="164" t="inlineStr">
        <is>
          <t>Loại 2</t>
        </is>
      </c>
      <c r="H8" s="154" t="n">
        <v>2127400</v>
      </c>
      <c r="I8" s="143" t="inlineStr">
        <is>
          <t>TOẢN</t>
        </is>
      </c>
      <c r="J8" s="144">
        <f>R8-L8-N8-P8-Q8</f>
        <v/>
      </c>
      <c r="K8" s="144" t="inlineStr">
        <is>
          <t>V.HƯỞNG</t>
        </is>
      </c>
      <c r="L8" s="144">
        <f>IF(K8="-",0,H8*0.03)</f>
        <v/>
      </c>
      <c r="M8" s="144" t="inlineStr">
        <is>
          <t>-</t>
        </is>
      </c>
      <c r="N8" s="144">
        <f>IF(M8="-",0,H8*0.02)</f>
        <v/>
      </c>
      <c r="O8" s="144" t="inlineStr">
        <is>
          <t>-</t>
        </is>
      </c>
      <c r="P8" s="144">
        <f>IF(O8="-",0,H8*0.01)</f>
        <v/>
      </c>
      <c r="Q8" s="144">
        <f>H8*0.005</f>
        <v/>
      </c>
      <c r="R8" s="144">
        <f>IF(I8="V.Tân",H8*0.1375,IF(I8="nguyện",H8*0.1375,IF(I8="TOẢN",H8*0.1375,H8*0.17)))</f>
        <v/>
      </c>
      <c r="S8" s="167" t="n"/>
      <c r="T8" s="167" t="n"/>
      <c r="U8" s="167" t="n"/>
      <c r="V8" s="167" t="n"/>
    </row>
    <row r="9" ht="15" customFormat="1" customHeight="1" s="168">
      <c r="A9" s="142" t="n">
        <v>3</v>
      </c>
      <c r="B9" s="254" t="n">
        <v>46164</v>
      </c>
      <c r="C9" s="153" t="inlineStr">
        <is>
          <t>Nguyễn Thị Chuối</t>
        </is>
      </c>
      <c r="D9" s="164" t="n"/>
      <c r="E9" s="165" t="n">
        <v>74</v>
      </c>
      <c r="F9" s="166" t="inlineStr">
        <is>
          <t xml:space="preserve">PTNS cắt hoạt mạc viêm gối </t>
        </is>
      </c>
      <c r="G9" s="164" t="inlineStr">
        <is>
          <t>Loại 1</t>
        </is>
      </c>
      <c r="H9" s="154" t="n">
        <v>0</v>
      </c>
      <c r="I9" s="143" t="inlineStr">
        <is>
          <t>SƠN</t>
        </is>
      </c>
      <c r="J9" s="144">
        <f>R9-L9-N9-P9-Q9</f>
        <v/>
      </c>
      <c r="K9" s="144" t="inlineStr">
        <is>
          <t>BẢO</t>
        </is>
      </c>
      <c r="L9" s="144">
        <f>IF(K9="-",0,H9*0.03)</f>
        <v/>
      </c>
      <c r="M9" s="144" t="inlineStr">
        <is>
          <t>V.HƯỞNG</t>
        </is>
      </c>
      <c r="N9" s="144">
        <f>IF(M9="-",0,H9*0.02)</f>
        <v/>
      </c>
      <c r="O9" s="144" t="inlineStr">
        <is>
          <t>THUÝ</t>
        </is>
      </c>
      <c r="P9" s="144">
        <f>IF(O9="-",0,H9*0.01)</f>
        <v/>
      </c>
      <c r="Q9" s="144">
        <f>H9*0.005</f>
        <v/>
      </c>
      <c r="R9" s="144">
        <f>IF(I9="V.Tân",H9*0.1375,IF(I9="nguyện",H9*0.1375,IF(I9="TOẢN",H9*0.1375,H9*0.17)))</f>
        <v/>
      </c>
      <c r="S9" s="169" t="n"/>
      <c r="T9" s="167" t="n"/>
      <c r="U9" s="167" t="n"/>
      <c r="V9" s="167" t="n"/>
    </row>
    <row r="10" ht="15" customFormat="1" customHeight="1" s="168">
      <c r="A10" s="142" t="n">
        <v>4</v>
      </c>
      <c r="B10" s="254" t="n">
        <v>46164</v>
      </c>
      <c r="C10" s="153" t="inlineStr">
        <is>
          <t>Khuất Hùng</t>
        </is>
      </c>
      <c r="D10" s="164" t="n">
        <v>78</v>
      </c>
      <c r="E10" s="165" t="n"/>
      <c r="F10" s="166" t="inlineStr">
        <is>
          <t>Cắt lọc hoại tử ổ loét vết thương mãn tính</t>
        </is>
      </c>
      <c r="G10" s="164" t="inlineStr">
        <is>
          <t>Loại 2</t>
        </is>
      </c>
      <c r="H10" s="154" t="n">
        <v>2128200</v>
      </c>
      <c r="I10" s="143" t="inlineStr">
        <is>
          <t>DUY</t>
        </is>
      </c>
      <c r="J10" s="144">
        <f>R10-L10-N10-P10-Q10</f>
        <v/>
      </c>
      <c r="K10" s="144" t="inlineStr">
        <is>
          <t>V.HƯỞNG</t>
        </is>
      </c>
      <c r="L10" s="144">
        <f>IF(K10="-",0,H10*0.03)</f>
        <v/>
      </c>
      <c r="M10" s="144" t="inlineStr">
        <is>
          <t>THUÝ</t>
        </is>
      </c>
      <c r="N10" s="144">
        <f>IF(M10="-",0,H10*0.02)</f>
        <v/>
      </c>
      <c r="O10" s="144" t="inlineStr">
        <is>
          <t>-</t>
        </is>
      </c>
      <c r="P10" s="144">
        <f>IF(O10="-",0,H10*0.01)</f>
        <v/>
      </c>
      <c r="Q10" s="144">
        <f>H10*0.005</f>
        <v/>
      </c>
      <c r="R10" s="144">
        <f>IF(I10="V.Tân",H10*0.1375,IF(I10="nguyện",H10*0.1375,IF(I10="TOẢN",H10*0.1375,H10*0.17)))</f>
        <v/>
      </c>
      <c r="S10" s="167" t="n"/>
      <c r="T10" s="167" t="n"/>
      <c r="U10" s="167" t="n"/>
      <c r="V10" s="167" t="n"/>
    </row>
    <row r="11" ht="15" customFormat="1" customHeight="1" s="168">
      <c r="A11" s="142" t="n">
        <v>5</v>
      </c>
      <c r="B11" s="254" t="n">
        <v>46164</v>
      </c>
      <c r="C11" s="153" t="inlineStr">
        <is>
          <t>Nguyễn Thị bé Tư</t>
        </is>
      </c>
      <c r="D11" s="164" t="n"/>
      <c r="E11" s="165" t="n">
        <v>59</v>
      </c>
      <c r="F11" s="166" t="inlineStr">
        <is>
          <t>Cố định cột sống và hàn khớp qua liên thân đốt cột sống thắt lưng cùng đường sau</t>
        </is>
      </c>
      <c r="G11" s="164" t="inlineStr">
        <is>
          <t>Đặc biệt</t>
        </is>
      </c>
      <c r="H11" s="154" t="n">
        <v>0</v>
      </c>
      <c r="I11" s="143" t="inlineStr">
        <is>
          <t>NGUYỆN</t>
        </is>
      </c>
      <c r="J11" s="144">
        <f>R11-L11-N11-P11-Q11</f>
        <v/>
      </c>
      <c r="K11" s="144" t="inlineStr">
        <is>
          <t>DUY</t>
        </is>
      </c>
      <c r="L11" s="144">
        <f>IF(K11="-",0,H11*0.03)</f>
        <v/>
      </c>
      <c r="M11" s="144" t="inlineStr">
        <is>
          <t>KHANG</t>
        </is>
      </c>
      <c r="N11" s="144">
        <f>IF(M11="-",0,H11*0.02)</f>
        <v/>
      </c>
      <c r="O11" s="144" t="inlineStr">
        <is>
          <t>-</t>
        </is>
      </c>
      <c r="P11" s="144">
        <f>IF(O11="-",0,H11*0.01)</f>
        <v/>
      </c>
      <c r="Q11" s="144">
        <f>H11*0.005</f>
        <v/>
      </c>
      <c r="R11" s="144">
        <f>IF(I11="V.Tân",H11*0.1375,IF(I11="nguyện",H11*0.1375,IF(I11="TOẢN",H11*0.1375,H11*0.17)))</f>
        <v/>
      </c>
      <c r="S11" s="167" t="n"/>
      <c r="T11" s="167" t="n"/>
      <c r="U11" s="167" t="n"/>
      <c r="V11" s="167" t="n"/>
    </row>
    <row r="12" ht="15" customFormat="1" customHeight="1" s="168">
      <c r="A12" s="142" t="n">
        <v>6</v>
      </c>
      <c r="B12" s="254" t="n">
        <v>46167</v>
      </c>
      <c r="C12" s="153" t="inlineStr">
        <is>
          <t>Huỳnh Thanh Hùng</t>
        </is>
      </c>
      <c r="D12" s="164" t="n">
        <v>81</v>
      </c>
      <c r="E12" s="165" t="n"/>
      <c r="F12" s="166" t="inlineStr">
        <is>
          <t>Cắt lọc hoại tử ổ loét vết thương mãn tính</t>
        </is>
      </c>
      <c r="G12" s="164" t="inlineStr">
        <is>
          <t>Loại 2</t>
        </is>
      </c>
      <c r="H12" s="154" t="n">
        <v>2127400</v>
      </c>
      <c r="I12" s="143" t="inlineStr">
        <is>
          <t>NGUYỆN</t>
        </is>
      </c>
      <c r="J12" s="144">
        <f>R12-L12-N12-P12-Q12</f>
        <v/>
      </c>
      <c r="K12" s="144" t="inlineStr">
        <is>
          <t>TOẢN</t>
        </is>
      </c>
      <c r="L12" s="144">
        <f>IF(K12="-",0,H12*0.03)</f>
        <v/>
      </c>
      <c r="M12" s="144" t="inlineStr">
        <is>
          <t>THUÝ</t>
        </is>
      </c>
      <c r="N12" s="144">
        <f>IF(M12="-",0,H12*0.02)</f>
        <v/>
      </c>
      <c r="O12" s="144" t="inlineStr">
        <is>
          <t>-</t>
        </is>
      </c>
      <c r="P12" s="144">
        <f>IF(O12="-",0,H12*0.01)</f>
        <v/>
      </c>
      <c r="Q12" s="144">
        <f>H12*0.005</f>
        <v/>
      </c>
      <c r="R12" s="144">
        <f>IF(I12="V.Tân",H12*0.1375,IF(I12="nguyện",H12*0.1375,IF(I12="TOẢN",H12*0.1375,H12*0.17)))</f>
        <v/>
      </c>
      <c r="S12" s="167" t="n"/>
      <c r="T12" s="167" t="n"/>
      <c r="U12" s="167" t="n"/>
      <c r="V12" s="167" t="n"/>
    </row>
    <row r="13" ht="15" customFormat="1" customHeight="1" s="168">
      <c r="A13" s="142" t="n">
        <v>7</v>
      </c>
      <c r="B13" s="254" t="n">
        <v>46167</v>
      </c>
      <c r="C13" s="153" t="inlineStr">
        <is>
          <t>Võ Văn Bé Ba</t>
        </is>
      </c>
      <c r="D13" s="164" t="n">
        <v>62</v>
      </c>
      <c r="E13" s="165" t="n"/>
      <c r="F13" s="166" t="inlineStr">
        <is>
          <t>Cắt lọc hoại tử ổ loét vết thương mãn tính</t>
        </is>
      </c>
      <c r="G13" s="164" t="inlineStr">
        <is>
          <t>Loại 2</t>
        </is>
      </c>
      <c r="H13" s="154" t="n">
        <v>2127400</v>
      </c>
      <c r="I13" s="143" t="inlineStr">
        <is>
          <t>HOAN</t>
        </is>
      </c>
      <c r="J13" s="144">
        <f>R13-L13-N13-P13-Q13</f>
        <v/>
      </c>
      <c r="K13" s="144" t="inlineStr">
        <is>
          <t>NGUYỆN</t>
        </is>
      </c>
      <c r="L13" s="144">
        <f>IF(K13="-",0,H13*0.03)</f>
        <v/>
      </c>
      <c r="M13" s="144" t="inlineStr">
        <is>
          <t>TOẢN</t>
        </is>
      </c>
      <c r="N13" s="144">
        <f>IF(M13="-",0,H13*0.02)</f>
        <v/>
      </c>
      <c r="O13" s="144" t="inlineStr">
        <is>
          <t>NHỊ</t>
        </is>
      </c>
      <c r="P13" s="144">
        <f>IF(O13="-",0,H13*0.01)</f>
        <v/>
      </c>
      <c r="Q13" s="144">
        <f>H13*0.005</f>
        <v/>
      </c>
      <c r="R13" s="144">
        <f>IF(I13="V.Tân",H13*0.1375,IF(I13="nguyện",H13*0.1375,IF(I13="TOẢN",H13*0.1375,H13*0.17)))</f>
        <v/>
      </c>
      <c r="S13" s="167" t="n"/>
      <c r="T13" s="167" t="n"/>
      <c r="U13" s="167" t="n"/>
      <c r="V13" s="167" t="n"/>
    </row>
    <row r="14" ht="15" customFormat="1" customHeight="1" s="202">
      <c r="A14" s="142" t="n">
        <v>8</v>
      </c>
      <c r="B14" s="254" t="n">
        <v>46167</v>
      </c>
      <c r="C14" s="153" t="inlineStr">
        <is>
          <t>Nguyễn Thị Lý</t>
        </is>
      </c>
      <c r="D14" s="164" t="n"/>
      <c r="E14" s="165" t="n">
        <v>82</v>
      </c>
      <c r="F14" s="166" t="inlineStr">
        <is>
          <t>PT thay khớp háng bán phần</t>
        </is>
      </c>
      <c r="G14" s="164" t="inlineStr">
        <is>
          <t>Loại 1</t>
        </is>
      </c>
      <c r="H14" s="154" t="n">
        <v>3897500</v>
      </c>
      <c r="I14" s="143" t="inlineStr">
        <is>
          <t>HOAN</t>
        </is>
      </c>
      <c r="J14" s="144">
        <f>R14-L14-N14-P14-Q14</f>
        <v/>
      </c>
      <c r="K14" s="144" t="inlineStr">
        <is>
          <t>NGUYỆN</t>
        </is>
      </c>
      <c r="L14" s="144">
        <f>IF(K14="-",0,H14*0.03)</f>
        <v/>
      </c>
      <c r="M14" s="144" t="inlineStr">
        <is>
          <t>TOẢN</t>
        </is>
      </c>
      <c r="N14" s="144">
        <f>IF(M14="-",0,H14*0.02)</f>
        <v/>
      </c>
      <c r="O14" s="144" t="inlineStr">
        <is>
          <t>-</t>
        </is>
      </c>
      <c r="P14" s="144">
        <f>IF(O14="-",0,H14*0.01)</f>
        <v/>
      </c>
      <c r="Q14" s="144">
        <f>H14*0.005</f>
        <v/>
      </c>
      <c r="R14" s="144">
        <f>IF(I14="V.Tân",H14*0.1375,IF(I14="nguyện",H14*0.1375,IF(I14="TOẢN",H14*0.1375,H14*0.17)))</f>
        <v/>
      </c>
      <c r="S14" s="145" t="n"/>
      <c r="T14" s="145" t="n"/>
      <c r="U14" s="145" t="n"/>
      <c r="V14" s="145" t="n"/>
    </row>
    <row r="15" ht="15" customFormat="1" customHeight="1" s="202">
      <c r="A15" s="142" t="n">
        <v>9</v>
      </c>
      <c r="B15" s="254" t="n">
        <v>46167</v>
      </c>
      <c r="C15" s="153" t="inlineStr">
        <is>
          <t>Kim Thanh Đạt</t>
        </is>
      </c>
      <c r="D15" s="164" t="n">
        <v>19</v>
      </c>
      <c r="E15" s="165" t="n"/>
      <c r="F15" s="166" t="inlineStr">
        <is>
          <t>Cắt lọc hoại tử ổ loét vết thương mãn tính</t>
        </is>
      </c>
      <c r="G15" s="164" t="inlineStr">
        <is>
          <t>Loại 2</t>
        </is>
      </c>
      <c r="H15" s="154" t="n">
        <v>2127400</v>
      </c>
      <c r="I15" s="143" t="inlineStr">
        <is>
          <t>ĐIỀN</t>
        </is>
      </c>
      <c r="J15" s="144">
        <f>R15-L15-N15-P15-Q15</f>
        <v/>
      </c>
      <c r="K15" s="144" t="inlineStr">
        <is>
          <t>KHANG</t>
        </is>
      </c>
      <c r="L15" s="144">
        <f>IF(K15="-",0,H15*0.03)</f>
        <v/>
      </c>
      <c r="M15" s="144" t="inlineStr">
        <is>
          <t>THUÝ</t>
        </is>
      </c>
      <c r="N15" s="144">
        <f>IF(M15="-",0,H15*0.02)</f>
        <v/>
      </c>
      <c r="O15" s="144" t="inlineStr">
        <is>
          <t>-</t>
        </is>
      </c>
      <c r="P15" s="144">
        <f>IF(O15="-",0,H15*0.01)</f>
        <v/>
      </c>
      <c r="Q15" s="144">
        <f>H15*0.005</f>
        <v/>
      </c>
      <c r="R15" s="144">
        <f>IF(I15="V.Tân",H15*0.1375,IF(I15="nguyện",H15*0.1375,IF(I15="TOẢN",H15*0.1375,H15*0.17)))</f>
        <v/>
      </c>
      <c r="S15" s="145" t="n"/>
      <c r="T15" s="145" t="n"/>
      <c r="U15" s="145" t="n"/>
      <c r="V15" s="145" t="n"/>
    </row>
    <row r="16" ht="15" customFormat="1" customHeight="1" s="202">
      <c r="A16" s="142" t="n">
        <v>10</v>
      </c>
      <c r="B16" s="254" t="n">
        <v>46168</v>
      </c>
      <c r="C16" s="153" t="inlineStr">
        <is>
          <t>Phan Thị Nỡ</t>
        </is>
      </c>
      <c r="D16" s="164" t="n"/>
      <c r="E16" s="165" t="n">
        <v>69</v>
      </c>
      <c r="F16" s="166" t="inlineStr">
        <is>
          <t>Cắt lọc hoại tử ổ loét vết thương mạn tính</t>
        </is>
      </c>
      <c r="G16" s="164" t="inlineStr">
        <is>
          <t>Loại 2</t>
        </is>
      </c>
      <c r="H16" s="154" t="n">
        <v>2128200</v>
      </c>
      <c r="I16" s="143" t="inlineStr">
        <is>
          <t>SƠN</t>
        </is>
      </c>
      <c r="J16" s="144">
        <f>R16-L16-N16-P16-Q16</f>
        <v/>
      </c>
      <c r="K16" s="144" t="inlineStr">
        <is>
          <t>LỘC</t>
        </is>
      </c>
      <c r="L16" s="144">
        <f>IF(K16="-",0,H16*0.03)</f>
        <v/>
      </c>
      <c r="M16" s="144" t="inlineStr">
        <is>
          <t>-</t>
        </is>
      </c>
      <c r="N16" s="144">
        <f>IF(M16="-",0,H16*0.02)</f>
        <v/>
      </c>
      <c r="O16" s="144" t="inlineStr">
        <is>
          <t>-</t>
        </is>
      </c>
      <c r="P16" s="144">
        <f>IF(O16="-",0,H16*0.01)</f>
        <v/>
      </c>
      <c r="Q16" s="144">
        <f>H16*0.005</f>
        <v/>
      </c>
      <c r="R16" s="144">
        <f>IF(I16="V.Tân",H16*0.1375,IF(I16="nguyện",H16*0.1375,IF(I16="TOẢN",H16*0.1375,H16*0.17)))</f>
        <v/>
      </c>
      <c r="S16" s="145" t="n"/>
      <c r="T16" s="145" t="n"/>
      <c r="U16" s="145" t="n"/>
      <c r="V16" s="145" t="n"/>
    </row>
    <row r="17" ht="15" customFormat="1" customHeight="1" s="202">
      <c r="A17" s="142" t="n">
        <v>11</v>
      </c>
      <c r="B17" s="254" t="n">
        <v>46168</v>
      </c>
      <c r="C17" s="153" t="inlineStr">
        <is>
          <t>Mai Thành Dương</t>
        </is>
      </c>
      <c r="D17" s="164" t="n">
        <v>62</v>
      </c>
      <c r="E17" s="165" t="n"/>
      <c r="F17" s="166" t="inlineStr">
        <is>
          <t>Cắt lọc hoại tử ổ loét vết thương mạn tính</t>
        </is>
      </c>
      <c r="G17" s="164" t="inlineStr">
        <is>
          <t>Loại 2</t>
        </is>
      </c>
      <c r="H17" s="154" t="n">
        <v>2127400</v>
      </c>
      <c r="I17" s="143" t="inlineStr">
        <is>
          <t>SƠN</t>
        </is>
      </c>
      <c r="J17" s="144">
        <f>R17-L17-N17-P17-Q17</f>
        <v/>
      </c>
      <c r="K17" s="144" t="inlineStr">
        <is>
          <t>LỘC</t>
        </is>
      </c>
      <c r="L17" s="144">
        <f>IF(K17="-",0,H17*0.03)</f>
        <v/>
      </c>
      <c r="M17" s="144" t="inlineStr">
        <is>
          <t>-</t>
        </is>
      </c>
      <c r="N17" s="144">
        <f>IF(M17="-",0,H17*0.02)</f>
        <v/>
      </c>
      <c r="O17" s="144" t="inlineStr">
        <is>
          <t>-</t>
        </is>
      </c>
      <c r="P17" s="144">
        <f>IF(O17="-",0,H17*0.01)</f>
        <v/>
      </c>
      <c r="Q17" s="144">
        <f>H17*0.005</f>
        <v/>
      </c>
      <c r="R17" s="144">
        <f>IF(I17="V.Tân",H17*0.1375,IF(I17="nguyện",H17*0.1375,IF(I17="TOẢN",H17*0.1375,H17*0.17)))</f>
        <v/>
      </c>
      <c r="S17" s="145" t="n"/>
      <c r="T17" s="145" t="n"/>
      <c r="U17" s="145" t="n"/>
      <c r="V17" s="145" t="n"/>
    </row>
    <row r="18" ht="15" customFormat="1" customHeight="1" s="202">
      <c r="A18" s="142" t="n">
        <v>12</v>
      </c>
      <c r="B18" s="254" t="n">
        <v>46168</v>
      </c>
      <c r="C18" s="153" t="inlineStr">
        <is>
          <t>Khuất Hùng</t>
        </is>
      </c>
      <c r="D18" s="164" t="n">
        <v>78</v>
      </c>
      <c r="E18" s="165" t="n"/>
      <c r="F18" s="166" t="inlineStr">
        <is>
          <t>Cắt lọc hoại tử ổ loét vết thương mạn tính</t>
        </is>
      </c>
      <c r="G18" s="164" t="inlineStr">
        <is>
          <t>Loại 2</t>
        </is>
      </c>
      <c r="H18" s="154" t="n">
        <v>2128200</v>
      </c>
      <c r="I18" s="143" t="inlineStr">
        <is>
          <t>DUY</t>
        </is>
      </c>
      <c r="J18" s="144">
        <f>R18-L18-N18-P18-Q18</f>
        <v/>
      </c>
      <c r="K18" s="144" t="inlineStr">
        <is>
          <t>LỘC</t>
        </is>
      </c>
      <c r="L18" s="144">
        <f>IF(K18="-",0,H18*0.03)</f>
        <v/>
      </c>
      <c r="M18" s="144" t="inlineStr">
        <is>
          <t>-</t>
        </is>
      </c>
      <c r="N18" s="144">
        <f>IF(M18="-",0,H18*0.02)</f>
        <v/>
      </c>
      <c r="O18" s="144" t="inlineStr">
        <is>
          <t>-</t>
        </is>
      </c>
      <c r="P18" s="144">
        <f>IF(O18="-",0,H18*0.01)</f>
        <v/>
      </c>
      <c r="Q18" s="144">
        <f>H18*0.005</f>
        <v/>
      </c>
      <c r="R18" s="144">
        <f>IF(I18="V.Tân",H18*0.1375,IF(I18="nguyện",H18*0.1375,IF(I18="TOẢN",H18*0.1375,H18*0.17)))</f>
        <v/>
      </c>
      <c r="S18" s="145" t="n"/>
      <c r="T18" s="145" t="n"/>
      <c r="U18" s="145" t="n"/>
      <c r="V18" s="145" t="n"/>
    </row>
    <row r="19" ht="15" customFormat="1" customHeight="1" s="202">
      <c r="A19" s="142" t="n">
        <v>13</v>
      </c>
      <c r="B19" s="254" t="n">
        <v>46168</v>
      </c>
      <c r="C19" s="153" t="inlineStr">
        <is>
          <t>Hồ Thanh Vũ</t>
        </is>
      </c>
      <c r="D19" s="164" t="n">
        <v>44</v>
      </c>
      <c r="E19" s="165" t="n"/>
      <c r="F19" s="166" t="inlineStr">
        <is>
          <t>PTNS tái tạo dây chằng</t>
        </is>
      </c>
      <c r="G19" s="164" t="inlineStr">
        <is>
          <t>Đặc biệt</t>
        </is>
      </c>
      <c r="H19" s="154" t="n">
        <v>3405500</v>
      </c>
      <c r="I19" s="143" t="inlineStr">
        <is>
          <t>SƠN</t>
        </is>
      </c>
      <c r="J19" s="144">
        <f>R19-L19-N19-P19-Q19</f>
        <v/>
      </c>
      <c r="K19" s="144" t="inlineStr">
        <is>
          <t>V.HƯỞNG</t>
        </is>
      </c>
      <c r="L19" s="144">
        <f>IF(K19="-",0,H19*0.03)</f>
        <v/>
      </c>
      <c r="M19" s="144" t="inlineStr">
        <is>
          <t>HẬU</t>
        </is>
      </c>
      <c r="N19" s="144">
        <f>IF(M19="-",0,H19*0.02)</f>
        <v/>
      </c>
      <c r="O19" s="144" t="inlineStr">
        <is>
          <t>THUÝ</t>
        </is>
      </c>
      <c r="P19" s="144">
        <f>IF(O19="-",0,H19*0.01)</f>
        <v/>
      </c>
      <c r="Q19" s="144">
        <f>H19*0.005</f>
        <v/>
      </c>
      <c r="R19" s="144">
        <f>IF(I19="V.Tân",H19*0.1375,IF(I19="nguyện",H19*0.1375,IF(I19="TOẢN",H19*0.1375,H19*0.17)))</f>
        <v/>
      </c>
      <c r="S19" s="145" t="n"/>
      <c r="T19" s="145" t="n"/>
      <c r="U19" s="145" t="n"/>
      <c r="V19" s="145" t="n"/>
    </row>
    <row r="20" ht="15" customFormat="1" customHeight="1" s="202">
      <c r="A20" s="142" t="n">
        <v>14</v>
      </c>
      <c r="B20" s="254" t="n">
        <v>46168</v>
      </c>
      <c r="C20" s="153" t="inlineStr">
        <is>
          <t>Hồ Thanh Vũ</t>
        </is>
      </c>
      <c r="D20" s="164" t="n">
        <v>44</v>
      </c>
      <c r="E20" s="165" t="n"/>
      <c r="F20" s="166" t="inlineStr">
        <is>
          <t>PTNS khâu sụn chêm (50%)</t>
        </is>
      </c>
      <c r="G20" s="164" t="inlineStr">
        <is>
          <t>Đặc biệt</t>
        </is>
      </c>
      <c r="H20" s="154" t="n">
        <v>0</v>
      </c>
      <c r="I20" s="143" t="inlineStr">
        <is>
          <t>SƠN</t>
        </is>
      </c>
      <c r="J20" s="144">
        <f>R20-L20-N20-P20-Q20</f>
        <v/>
      </c>
      <c r="K20" s="144" t="inlineStr">
        <is>
          <t>V.HƯỞNG</t>
        </is>
      </c>
      <c r="L20" s="144">
        <f>IF(K20="-",0,H20*0.03)</f>
        <v/>
      </c>
      <c r="M20" s="144" t="inlineStr">
        <is>
          <t>HẬU</t>
        </is>
      </c>
      <c r="N20" s="144">
        <f>IF(M20="-",0,H20*0.02)</f>
        <v/>
      </c>
      <c r="O20" s="144" t="inlineStr">
        <is>
          <t>THUÝ</t>
        </is>
      </c>
      <c r="P20" s="144">
        <f>IF(O20="-",0,H20*0.01)</f>
        <v/>
      </c>
      <c r="Q20" s="144">
        <f>H20*0.005</f>
        <v/>
      </c>
      <c r="R20" s="144">
        <f>IF(I20="V.Tân",H20*0.1375,IF(I20="nguyện",H20*0.1375,IF(I20="TOẢN",H20*0.1375,H20*0.17)))</f>
        <v/>
      </c>
      <c r="S20" s="145" t="n"/>
      <c r="T20" s="145" t="n"/>
      <c r="U20" s="145" t="n"/>
      <c r="V20" s="145" t="n"/>
    </row>
    <row r="21" ht="15" customFormat="1" customHeight="1" s="202">
      <c r="A21" s="142" t="n">
        <v>15</v>
      </c>
      <c r="B21" s="254" t="n">
        <v>46168</v>
      </c>
      <c r="C21" s="153" t="inlineStr">
        <is>
          <t>Nguyễn Thị Xua</t>
        </is>
      </c>
      <c r="D21" s="164" t="n"/>
      <c r="E21" s="165" t="n">
        <v>88</v>
      </c>
      <c r="F21" s="166" t="inlineStr">
        <is>
          <t>PT KHX trên màn hình tăng sáng</t>
        </is>
      </c>
      <c r="G21" s="164" t="inlineStr">
        <is>
          <t>Đặc biệt</t>
        </is>
      </c>
      <c r="H21" s="154" t="n">
        <v>0</v>
      </c>
      <c r="I21" s="143" t="inlineStr">
        <is>
          <t>NGUYỆN</t>
        </is>
      </c>
      <c r="J21" s="144">
        <f>R21-L21-N21-P21-Q21</f>
        <v/>
      </c>
      <c r="K21" s="144" t="inlineStr">
        <is>
          <t>G.TỬ</t>
        </is>
      </c>
      <c r="L21" s="144">
        <f>IF(K21="-",0,H21*0.03)</f>
        <v/>
      </c>
      <c r="M21" s="144" t="inlineStr">
        <is>
          <t>ĐIỀN</t>
        </is>
      </c>
      <c r="N21" s="144">
        <f>IF(M21="-",0,H21*0.02)</f>
        <v/>
      </c>
      <c r="O21" s="144" t="inlineStr">
        <is>
          <t>-</t>
        </is>
      </c>
      <c r="P21" s="144">
        <f>IF(O21="-",0,H21*0.01)</f>
        <v/>
      </c>
      <c r="Q21" s="144">
        <f>H21*0.005</f>
        <v/>
      </c>
      <c r="R21" s="144">
        <f>IF(I21="V.Tân",H21*0.1375,IF(I21="nguyện",H21*0.1375,IF(I21="TOẢN",H21*0.1375,H21*0.17)))</f>
        <v/>
      </c>
      <c r="S21" s="145" t="n"/>
      <c r="T21" s="145" t="n"/>
      <c r="U21" s="145" t="n"/>
      <c r="V21" s="145" t="n"/>
    </row>
    <row r="22" ht="15" customFormat="1" customHeight="1" s="202">
      <c r="A22" s="142" t="n">
        <v>16</v>
      </c>
      <c r="B22" s="254" t="n">
        <v>46169</v>
      </c>
      <c r="C22" s="153" t="inlineStr">
        <is>
          <t>Nguyễn Văn Gập</t>
        </is>
      </c>
      <c r="D22" s="164" t="n">
        <v>74</v>
      </c>
      <c r="E22" s="165" t="n"/>
      <c r="F22" s="166" t="inlineStr">
        <is>
          <t>Cố định cột sống và hàn khớp qua liên thân đốt cột sống thắt lưng cùng đường sau</t>
        </is>
      </c>
      <c r="G22" s="164" t="inlineStr">
        <is>
          <t>Đặc biệt</t>
        </is>
      </c>
      <c r="H22" s="154" t="n">
        <v>4201900</v>
      </c>
      <c r="I22" s="143" t="inlineStr">
        <is>
          <t>NGUYỆN</t>
        </is>
      </c>
      <c r="J22" s="144">
        <f>R22-L22-N22-P22-Q22</f>
        <v/>
      </c>
      <c r="K22" s="144" t="inlineStr">
        <is>
          <t>G.TỬ</t>
        </is>
      </c>
      <c r="L22" s="144">
        <f>IF(K22="-",0,H22*0.03)</f>
        <v/>
      </c>
      <c r="M22" s="144" t="inlineStr">
        <is>
          <t>KHANG</t>
        </is>
      </c>
      <c r="N22" s="144">
        <f>IF(M22="-",0,H22*0.02)</f>
        <v/>
      </c>
      <c r="O22" s="144" t="inlineStr">
        <is>
          <t>THUÝ</t>
        </is>
      </c>
      <c r="P22" s="144">
        <f>IF(O22="-",0,H22*0.01)</f>
        <v/>
      </c>
      <c r="Q22" s="144">
        <f>H22*0.005</f>
        <v/>
      </c>
      <c r="R22" s="144">
        <f>IF(I22="V.Tân",H22*0.1375,IF(I22="nguyện",H22*0.1375,IF(I22="TOẢN",H22*0.1375,H22*0.17)))</f>
        <v/>
      </c>
      <c r="S22" s="145" t="n"/>
      <c r="T22" s="145" t="n"/>
      <c r="U22" s="145" t="n"/>
      <c r="V22" s="145" t="n"/>
    </row>
    <row r="23" ht="15" customFormat="1" customHeight="1" s="202">
      <c r="A23" s="142" t="n">
        <v>17</v>
      </c>
      <c r="B23" s="254" t="n">
        <v>46169</v>
      </c>
      <c r="C23" s="153" t="inlineStr">
        <is>
          <t>Trần Ngọc Ánh</t>
        </is>
      </c>
      <c r="D23" s="164" t="n"/>
      <c r="E23" s="165" t="n">
        <v>65</v>
      </c>
      <c r="F23" s="166" t="inlineStr">
        <is>
          <t>PT thay toàn bộ khớp gối</t>
        </is>
      </c>
      <c r="G23" s="164" t="inlineStr">
        <is>
          <t>Đặc biệt</t>
        </is>
      </c>
      <c r="H23" s="154" t="n">
        <v>3525500</v>
      </c>
      <c r="I23" s="143" t="inlineStr">
        <is>
          <t>TẤN</t>
        </is>
      </c>
      <c r="J23" s="144">
        <f>R23-L23-N23-P23-Q23</f>
        <v/>
      </c>
      <c r="K23" s="144" t="inlineStr">
        <is>
          <t>NGUYỆN</t>
        </is>
      </c>
      <c r="L23" s="144">
        <f>IF(K23="-",0,H23*0.03)</f>
        <v/>
      </c>
      <c r="M23" s="144" t="inlineStr">
        <is>
          <t>G.TỬ</t>
        </is>
      </c>
      <c r="N23" s="144">
        <f>IF(M23="-",0,H23*0.02)</f>
        <v/>
      </c>
      <c r="O23" s="144" t="inlineStr">
        <is>
          <t>KHANG</t>
        </is>
      </c>
      <c r="P23" s="144">
        <f>IF(O23="-",0,H23*0.01)</f>
        <v/>
      </c>
      <c r="Q23" s="144">
        <f>H23*0.005</f>
        <v/>
      </c>
      <c r="R23" s="144">
        <f>IF(I23="V.Tân",H23*0.1375,IF(I23="nguyện",H23*0.1375,IF(I23="TOẢN",H23*0.1375,H23*0.17)))</f>
        <v/>
      </c>
      <c r="S23" s="145" t="n"/>
      <c r="T23" s="145" t="n"/>
      <c r="U23" s="145" t="n"/>
      <c r="V23" s="145" t="n"/>
    </row>
    <row r="24" ht="15" customFormat="1" customHeight="1" s="202">
      <c r="A24" s="142" t="n">
        <v>18</v>
      </c>
      <c r="B24" s="254" t="n">
        <v>46169</v>
      </c>
      <c r="C24" s="153" t="inlineStr">
        <is>
          <t>Nguyễn Thị Hấn</t>
        </is>
      </c>
      <c r="D24" s="164" t="n"/>
      <c r="E24" s="165" t="n">
        <v>67</v>
      </c>
      <c r="F24" s="166" t="inlineStr">
        <is>
          <t>PT thay toàn bộ khớp háng</t>
        </is>
      </c>
      <c r="G24" s="164" t="inlineStr">
        <is>
          <t>Đặc biệt</t>
        </is>
      </c>
      <c r="H24" s="154" t="n">
        <v>3525500</v>
      </c>
      <c r="I24" s="143" t="inlineStr">
        <is>
          <t>TẤN</t>
        </is>
      </c>
      <c r="J24" s="144">
        <f>R24-L24-N24-P24-Q24</f>
        <v/>
      </c>
      <c r="K24" s="144" t="inlineStr">
        <is>
          <t>BẢO</t>
        </is>
      </c>
      <c r="L24" s="144">
        <f>IF(K24="-",0,H24*0.03)</f>
        <v/>
      </c>
      <c r="M24" s="144" t="inlineStr">
        <is>
          <t>G.TỬ</t>
        </is>
      </c>
      <c r="N24" s="144">
        <f>IF(M24="-",0,H24*0.02)</f>
        <v/>
      </c>
      <c r="O24" s="144" t="inlineStr">
        <is>
          <t>KHANG</t>
        </is>
      </c>
      <c r="P24" s="144">
        <f>IF(O24="-",0,H24*0.01)</f>
        <v/>
      </c>
      <c r="Q24" s="144">
        <f>H24*0.005</f>
        <v/>
      </c>
      <c r="R24" s="144">
        <f>IF(I24="V.Tân",H24*0.1375,IF(I24="nguyện",H24*0.1375,IF(I24="TOẢN",H24*0.1375,H24*0.17)))</f>
        <v/>
      </c>
      <c r="S24" s="145" t="n"/>
      <c r="T24" s="145" t="n"/>
      <c r="U24" s="145" t="n"/>
      <c r="V24" s="145" t="n"/>
    </row>
    <row r="25" ht="15" customFormat="1" customHeight="1" s="202">
      <c r="A25" s="142" t="n">
        <v>19</v>
      </c>
      <c r="B25" s="254" t="n">
        <v>46169</v>
      </c>
      <c r="C25" s="153" t="inlineStr">
        <is>
          <t>Bùi Văn Long</t>
        </is>
      </c>
      <c r="D25" s="164" t="n">
        <v>65</v>
      </c>
      <c r="E25" s="165" t="n"/>
      <c r="F25" s="166" t="inlineStr">
        <is>
          <t>KHX trên màn hình tăng sáng</t>
        </is>
      </c>
      <c r="G25" s="164" t="inlineStr">
        <is>
          <t>Đặc biệt</t>
        </is>
      </c>
      <c r="H25" s="154" t="n">
        <v>4497500</v>
      </c>
      <c r="I25" s="143" t="inlineStr">
        <is>
          <t>ĐIỀN</t>
        </is>
      </c>
      <c r="J25" s="144">
        <f>R25-L25-N25-P25-Q25</f>
        <v/>
      </c>
      <c r="K25" s="144" t="inlineStr">
        <is>
          <t>KHANG</t>
        </is>
      </c>
      <c r="L25" s="144">
        <f>IF(K25="-",0,H25*0.03)</f>
        <v/>
      </c>
      <c r="M25" s="144" t="inlineStr">
        <is>
          <t>HẬU</t>
        </is>
      </c>
      <c r="N25" s="144">
        <f>IF(M25="-",0,H25*0.02)</f>
        <v/>
      </c>
      <c r="O25" s="144" t="inlineStr">
        <is>
          <t>THUÝ</t>
        </is>
      </c>
      <c r="P25" s="144">
        <f>IF(O25="-",0,H25*0.01)</f>
        <v/>
      </c>
      <c r="Q25" s="144">
        <f>H25*0.005</f>
        <v/>
      </c>
      <c r="R25" s="144">
        <f>IF(I25="V.Tân",H25*0.1375,IF(I25="nguyện",H25*0.1375,IF(I25="TOẢN",H25*0.1375,H25*0.17)))</f>
        <v/>
      </c>
      <c r="S25" s="145" t="n"/>
      <c r="T25" s="145" t="n"/>
      <c r="U25" s="145" t="n"/>
      <c r="V25" s="145" t="n"/>
    </row>
    <row r="26" ht="15" customFormat="1" customHeight="1" s="202">
      <c r="A26" s="142" t="n">
        <v>20</v>
      </c>
      <c r="B26" s="254" t="n">
        <v>46169</v>
      </c>
      <c r="C26" s="153" t="inlineStr">
        <is>
          <t>Trần Văn Xiên</t>
        </is>
      </c>
      <c r="D26" s="164" t="n">
        <v>62</v>
      </c>
      <c r="E26" s="165" t="n"/>
      <c r="F26" s="166" t="inlineStr">
        <is>
          <t>PT cắt cụt chi</t>
        </is>
      </c>
      <c r="G26" s="164" t="inlineStr">
        <is>
          <t>Loại 2</t>
        </is>
      </c>
      <c r="H26" s="154" t="n">
        <v>0</v>
      </c>
      <c r="I26" s="143" t="inlineStr">
        <is>
          <t>TOẢN</t>
        </is>
      </c>
      <c r="J26" s="144">
        <f>R26-L26-N26-P26-Q26</f>
        <v/>
      </c>
      <c r="K26" s="144" t="inlineStr">
        <is>
          <t>-</t>
        </is>
      </c>
      <c r="L26" s="144">
        <f>IF(K26="-",0,H26*0.03)</f>
        <v/>
      </c>
      <c r="M26" s="144" t="inlineStr">
        <is>
          <t>-</t>
        </is>
      </c>
      <c r="N26" s="144">
        <f>IF(M26="-",0,H26*0.02)</f>
        <v/>
      </c>
      <c r="O26" s="144" t="inlineStr">
        <is>
          <t>-</t>
        </is>
      </c>
      <c r="P26" s="144">
        <f>IF(O26="-",0,H26*0.01)</f>
        <v/>
      </c>
      <c r="Q26" s="144">
        <f>H26*0.005</f>
        <v/>
      </c>
      <c r="R26" s="144">
        <f>IF(I26="V.Tân",H26*0.1375,IF(I26="nguyện",H26*0.1375,IF(I26="TOẢN",H26*0.1375,H26*0.17)))</f>
        <v/>
      </c>
      <c r="S26" s="145" t="n"/>
      <c r="T26" s="145" t="n"/>
      <c r="U26" s="145" t="n"/>
      <c r="V26" s="145" t="n"/>
    </row>
    <row r="27" ht="15" customFormat="1" customHeight="1" s="202">
      <c r="A27" s="142" t="n">
        <v>21</v>
      </c>
      <c r="B27" s="254" t="n">
        <v>46170</v>
      </c>
      <c r="C27" s="153" t="inlineStr">
        <is>
          <t>Huỳnh Thanh Hùng</t>
        </is>
      </c>
      <c r="D27" s="164" t="n">
        <v>81</v>
      </c>
      <c r="E27" s="165" t="n"/>
      <c r="F27" s="166" t="inlineStr">
        <is>
          <t>Cắt lọc hoại tử ổ loét vết thương mạn tính</t>
        </is>
      </c>
      <c r="G27" s="164" t="inlineStr">
        <is>
          <t>Loại 2</t>
        </is>
      </c>
      <c r="H27" s="154" t="n">
        <v>0</v>
      </c>
      <c r="I27" s="143" t="inlineStr">
        <is>
          <t>NGUYỆN</t>
        </is>
      </c>
      <c r="J27" s="144">
        <f>R27-L27-N27-P27-Q27</f>
        <v/>
      </c>
      <c r="K27" s="144" t="inlineStr">
        <is>
          <t>G.TỬ</t>
        </is>
      </c>
      <c r="L27" s="144">
        <f>IF(K27="-",0,H27*0.03)</f>
        <v/>
      </c>
      <c r="M27" s="144" t="inlineStr">
        <is>
          <t>NGHĨA</t>
        </is>
      </c>
      <c r="N27" s="144">
        <f>IF(M27="-",0,H27*0.02)</f>
        <v/>
      </c>
      <c r="O27" s="144" t="inlineStr">
        <is>
          <t>THUÝ</t>
        </is>
      </c>
      <c r="P27" s="144">
        <f>IF(O27="-",0,H27*0.01)</f>
        <v/>
      </c>
      <c r="Q27" s="144">
        <f>H27*0.005</f>
        <v/>
      </c>
      <c r="R27" s="144">
        <f>IF(I27="V.Tân",H27*0.1375,IF(I27="nguyện",H27*0.1375,IF(I27="TOẢN",H27*0.1375,H27*0.17)))</f>
        <v/>
      </c>
      <c r="S27" s="145" t="n"/>
      <c r="T27" s="145" t="n"/>
      <c r="U27" s="145" t="n"/>
      <c r="V27" s="145" t="n"/>
    </row>
    <row r="28" ht="15" customFormat="1" customHeight="1" s="202">
      <c r="A28" s="142" t="n">
        <v>22</v>
      </c>
      <c r="B28" s="254" t="n">
        <v>46170</v>
      </c>
      <c r="C28" s="153" t="inlineStr">
        <is>
          <t>Trương Bé Lài</t>
        </is>
      </c>
      <c r="D28" s="164" t="n"/>
      <c r="E28" s="165" t="n">
        <v>40</v>
      </c>
      <c r="F28" s="166" t="inlineStr">
        <is>
          <t>PTNS tái tạo dây chằng bằng gân chân ngỗng</t>
        </is>
      </c>
      <c r="G28" s="164" t="inlineStr">
        <is>
          <t>Đặc biệt</t>
        </is>
      </c>
      <c r="H28" s="154" t="n">
        <v>3405500</v>
      </c>
      <c r="I28" s="143" t="inlineStr">
        <is>
          <t>TOẢN</t>
        </is>
      </c>
      <c r="J28" s="144">
        <f>R28-L28-N28-P28-Q28</f>
        <v/>
      </c>
      <c r="K28" s="144" t="inlineStr">
        <is>
          <t>NGHĨA</t>
        </is>
      </c>
      <c r="L28" s="144">
        <f>IF(K28="-",0,H28*0.03)</f>
        <v/>
      </c>
      <c r="M28" s="144" t="inlineStr">
        <is>
          <t>THUÝ</t>
        </is>
      </c>
      <c r="N28" s="144">
        <f>IF(M28="-",0,H28*0.02)</f>
        <v/>
      </c>
      <c r="O28" s="144" t="inlineStr">
        <is>
          <t>-</t>
        </is>
      </c>
      <c r="P28" s="144">
        <f>IF(O28="-",0,H28*0.01)</f>
        <v/>
      </c>
      <c r="Q28" s="144">
        <f>H28*0.005</f>
        <v/>
      </c>
      <c r="R28" s="144">
        <f>IF(I28="V.Tân",H28*0.1375,IF(I28="nguyện",H28*0.1375,IF(I28="TOẢN",H28*0.1375,H28*0.17)))</f>
        <v/>
      </c>
      <c r="S28" s="145" t="n"/>
      <c r="T28" s="145" t="n"/>
      <c r="U28" s="145" t="n"/>
      <c r="V28" s="145" t="n"/>
    </row>
    <row r="29" ht="15" customFormat="1" customHeight="1" s="202">
      <c r="A29" s="142" t="n">
        <v>23</v>
      </c>
      <c r="B29" s="254" t="n">
        <v>46170</v>
      </c>
      <c r="C29" s="153" t="inlineStr">
        <is>
          <t>Dương Văn Chiến</t>
        </is>
      </c>
      <c r="D29" s="164" t="n">
        <v>77</v>
      </c>
      <c r="E29" s="165" t="n"/>
      <c r="F29" s="166" t="inlineStr">
        <is>
          <t>Cắt lọc hoại tử ổ loét vết thương mạn tính</t>
        </is>
      </c>
      <c r="G29" s="164" t="inlineStr">
        <is>
          <t>Loại 2</t>
        </is>
      </c>
      <c r="H29" s="154" t="n">
        <v>2128200</v>
      </c>
      <c r="I29" s="143" t="inlineStr">
        <is>
          <t>BẢO</t>
        </is>
      </c>
      <c r="J29" s="144">
        <f>R29-L29-N29-P29-Q29</f>
        <v/>
      </c>
      <c r="K29" s="144" t="inlineStr">
        <is>
          <t>V.HƯỞNG</t>
        </is>
      </c>
      <c r="L29" s="144">
        <f>IF(K29="-",0,H29*0.03)</f>
        <v/>
      </c>
      <c r="M29" s="144" t="inlineStr">
        <is>
          <t>LỘC</t>
        </is>
      </c>
      <c r="N29" s="144">
        <f>IF(M29="-",0,H29*0.02)</f>
        <v/>
      </c>
      <c r="O29" s="144" t="inlineStr">
        <is>
          <t>-</t>
        </is>
      </c>
      <c r="P29" s="144">
        <f>IF(O29="-",0,H29*0.01)</f>
        <v/>
      </c>
      <c r="Q29" s="144">
        <f>H29*0.005</f>
        <v/>
      </c>
      <c r="R29" s="144">
        <f>IF(I29="V.Tân",H29*0.1375,IF(I29="nguyện",H29*0.1375,IF(I29="TOẢN",H29*0.1375,H29*0.17)))</f>
        <v/>
      </c>
      <c r="S29" s="145" t="n"/>
      <c r="T29" s="145" t="n"/>
      <c r="U29" s="145" t="n"/>
      <c r="V29" s="145" t="n"/>
    </row>
    <row r="30" ht="15" customFormat="1" customHeight="1" s="202">
      <c r="A30" s="142" t="n">
        <v>24</v>
      </c>
      <c r="B30" s="254" t="n">
        <v>46170</v>
      </c>
      <c r="C30" s="153" t="inlineStr">
        <is>
          <t>Tống Mỹ Dung</t>
        </is>
      </c>
      <c r="D30" s="164" t="n"/>
      <c r="E30" s="165" t="n">
        <v>17</v>
      </c>
      <c r="F30" s="166" t="inlineStr">
        <is>
          <t>PTNS tái tạo nhiều dây chằng bằng gân đồng loại</t>
        </is>
      </c>
      <c r="G30" s="164" t="inlineStr">
        <is>
          <t>Đặc biệt</t>
        </is>
      </c>
      <c r="H30" s="154" t="n">
        <v>4405500</v>
      </c>
      <c r="I30" s="143" t="inlineStr">
        <is>
          <t>BẢO</t>
        </is>
      </c>
      <c r="J30" s="144">
        <f>R30-L30-N30-P30-Q30</f>
        <v/>
      </c>
      <c r="K30" s="144" t="inlineStr">
        <is>
          <t>SƠN</t>
        </is>
      </c>
      <c r="L30" s="144">
        <f>IF(K30="-",0,H30*0.03)</f>
        <v/>
      </c>
      <c r="M30" s="144" t="inlineStr">
        <is>
          <t>TOẢN</t>
        </is>
      </c>
      <c r="N30" s="144">
        <f>IF(M30="-",0,H30*0.02)</f>
        <v/>
      </c>
      <c r="O30" s="144" t="inlineStr">
        <is>
          <t>THUÝ</t>
        </is>
      </c>
      <c r="P30" s="144">
        <f>IF(O30="-",0,H30*0.01)</f>
        <v/>
      </c>
      <c r="Q30" s="144">
        <f>H30*0.005</f>
        <v/>
      </c>
      <c r="R30" s="144">
        <f>IF(I30="V.Tân",H30*0.1375,IF(I30="nguyện",H30*0.1375,IF(I30="TOẢN",H30*0.1375,H30*0.17)))</f>
        <v/>
      </c>
      <c r="S30" s="145" t="n"/>
      <c r="T30" s="145" t="n"/>
      <c r="U30" s="145" t="n"/>
      <c r="V30" s="145" t="n"/>
    </row>
    <row r="31" ht="15" customFormat="1" customHeight="1" s="202">
      <c r="A31" s="142" t="n">
        <v>25</v>
      </c>
      <c r="B31" s="254" t="n">
        <v>46170</v>
      </c>
      <c r="C31" s="153" t="inlineStr">
        <is>
          <t>Tống Mỹ Dung</t>
        </is>
      </c>
      <c r="D31" s="164" t="n"/>
      <c r="E31" s="165" t="n">
        <v>17</v>
      </c>
      <c r="F31" s="166" t="inlineStr">
        <is>
          <t>PTNS tái tạo nhiều dây chằng bằng gân đồng loại (50%)</t>
        </is>
      </c>
      <c r="G31" s="164" t="inlineStr">
        <is>
          <t>Đặc biệt</t>
        </is>
      </c>
      <c r="H31" s="154" t="n">
        <v>2198750</v>
      </c>
      <c r="I31" s="143" t="inlineStr">
        <is>
          <t>BẢO</t>
        </is>
      </c>
      <c r="J31" s="144">
        <f>R31-L31-N31-P31-Q31</f>
        <v/>
      </c>
      <c r="K31" s="144" t="inlineStr">
        <is>
          <t>SƠN</t>
        </is>
      </c>
      <c r="L31" s="144">
        <f>IF(K31="-",0,H31*0.03)</f>
        <v/>
      </c>
      <c r="M31" s="144" t="inlineStr">
        <is>
          <t>TOẢN</t>
        </is>
      </c>
      <c r="N31" s="144">
        <f>IF(M31="-",0,H31*0.02)</f>
        <v/>
      </c>
      <c r="O31" s="144" t="inlineStr">
        <is>
          <t>THUÝ</t>
        </is>
      </c>
      <c r="P31" s="144">
        <f>IF(O31="-",0,H31*0.01)</f>
        <v/>
      </c>
      <c r="Q31" s="144">
        <f>H31*0.005</f>
        <v/>
      </c>
      <c r="R31" s="144">
        <f>IF(I31="V.Tân",H31*0.1375,IF(I31="nguyện",H31*0.1375,IF(I31="TOẢN",H31*0.1375,H31*0.17)))</f>
        <v/>
      </c>
      <c r="S31" s="145" t="n"/>
      <c r="T31" s="145" t="n"/>
      <c r="U31" s="145" t="n"/>
      <c r="V31" s="145" t="n"/>
    </row>
    <row r="32" ht="15" customFormat="1" customHeight="1" s="202">
      <c r="A32" s="142" t="n">
        <v>26</v>
      </c>
      <c r="B32" s="254" t="n">
        <v>46170</v>
      </c>
      <c r="C32" s="153" t="inlineStr">
        <is>
          <t>Lê Trọng Nghĩa</t>
        </is>
      </c>
      <c r="D32" s="164" t="n">
        <v>75</v>
      </c>
      <c r="E32" s="165" t="n"/>
      <c r="F32" s="166" t="inlineStr">
        <is>
          <t>Cắt lọc hoại tử ổ loét vết thương mạn tính</t>
        </is>
      </c>
      <c r="G32" s="164" t="inlineStr">
        <is>
          <t>Loại 2</t>
        </is>
      </c>
      <c r="H32" s="154" t="n">
        <v>2127400</v>
      </c>
      <c r="I32" s="143" t="inlineStr">
        <is>
          <t>BẢO</t>
        </is>
      </c>
      <c r="J32" s="144">
        <f>R32-L32-N32-P32-Q32</f>
        <v/>
      </c>
      <c r="K32" s="144" t="inlineStr">
        <is>
          <t>-</t>
        </is>
      </c>
      <c r="L32" s="144">
        <f>IF(K32="-",0,H32*0.03)</f>
        <v/>
      </c>
      <c r="M32" s="144" t="inlineStr">
        <is>
          <t>-</t>
        </is>
      </c>
      <c r="N32" s="144">
        <f>IF(M32="-",0,H32*0.02)</f>
        <v/>
      </c>
      <c r="O32" s="144" t="inlineStr">
        <is>
          <t>-</t>
        </is>
      </c>
      <c r="P32" s="144">
        <f>IF(O32="-",0,H32*0.01)</f>
        <v/>
      </c>
      <c r="Q32" s="144">
        <f>H32*0.005</f>
        <v/>
      </c>
      <c r="R32" s="144">
        <f>IF(I32="V.Tân",H32*0.1375,IF(I32="nguyện",H32*0.1375,IF(I32="TOẢN",H32*0.1375,H32*0.17)))</f>
        <v/>
      </c>
      <c r="S32" s="145" t="n"/>
      <c r="T32" s="145" t="n"/>
      <c r="U32" s="145" t="n"/>
      <c r="V32" s="145" t="n"/>
    </row>
    <row r="33" ht="15" customFormat="1" customHeight="1" s="202">
      <c r="A33" s="142" t="n">
        <v>27</v>
      </c>
      <c r="B33" s="254" t="n">
        <v>46171</v>
      </c>
      <c r="C33" s="153" t="inlineStr">
        <is>
          <t>Mai Thành Dương</t>
        </is>
      </c>
      <c r="D33" s="164" t="n">
        <v>62</v>
      </c>
      <c r="E33" s="165" t="n"/>
      <c r="F33" s="166" t="inlineStr">
        <is>
          <t>Cắt lọc hoại tử ổ loét vết thương mạn tính</t>
        </is>
      </c>
      <c r="G33" s="164" t="inlineStr">
        <is>
          <t>Loại 2</t>
        </is>
      </c>
      <c r="H33" s="154" t="n">
        <v>0</v>
      </c>
      <c r="I33" s="143" t="inlineStr">
        <is>
          <t>SƠN</t>
        </is>
      </c>
      <c r="J33" s="144">
        <f>R33-L33-N33-P33-Q33</f>
        <v/>
      </c>
      <c r="K33" s="144" t="inlineStr">
        <is>
          <t>KHANG</t>
        </is>
      </c>
      <c r="L33" s="144">
        <f>IF(K33="-",0,H33*0.03)</f>
        <v/>
      </c>
      <c r="M33" s="144" t="inlineStr">
        <is>
          <t>LỘC</t>
        </is>
      </c>
      <c r="N33" s="144">
        <f>IF(M33="-",0,H33*0.02)</f>
        <v/>
      </c>
      <c r="O33" s="144" t="inlineStr">
        <is>
          <t>-</t>
        </is>
      </c>
      <c r="P33" s="144">
        <f>IF(O33="-",0,H33*0.01)</f>
        <v/>
      </c>
      <c r="Q33" s="144">
        <f>H33*0.005</f>
        <v/>
      </c>
      <c r="R33" s="144">
        <f>IF(I33="V.Tân",H33*0.1375,IF(I33="nguyện",H33*0.1375,IF(I33="TOẢN",H33*0.1375,H33*0.17)))</f>
        <v/>
      </c>
      <c r="S33" s="145" t="n"/>
      <c r="T33" s="145" t="n"/>
      <c r="U33" s="145" t="n"/>
      <c r="V33" s="145" t="n"/>
    </row>
    <row r="34" ht="15" customFormat="1" customHeight="1" s="202">
      <c r="A34" s="142" t="n">
        <v>28</v>
      </c>
      <c r="B34" s="254" t="n">
        <v>46171</v>
      </c>
      <c r="C34" s="153" t="inlineStr">
        <is>
          <t>Khuất Hùng</t>
        </is>
      </c>
      <c r="D34" s="164" t="n">
        <v>78</v>
      </c>
      <c r="E34" s="165" t="n"/>
      <c r="F34" s="166" t="inlineStr">
        <is>
          <t>Cắt lọc hoại tử ổ loét vết thương mạn tính</t>
        </is>
      </c>
      <c r="G34" s="164" t="inlineStr">
        <is>
          <t>Loại 2</t>
        </is>
      </c>
      <c r="H34" s="154" t="n">
        <v>2128200</v>
      </c>
      <c r="I34" s="143" t="inlineStr">
        <is>
          <t>DUY</t>
        </is>
      </c>
      <c r="J34" s="144">
        <f>R34-L34-N34-P34-Q34</f>
        <v/>
      </c>
      <c r="K34" s="144" t="inlineStr">
        <is>
          <t>KHANG</t>
        </is>
      </c>
      <c r="L34" s="144">
        <f>IF(K34="-",0,H34*0.03)</f>
        <v/>
      </c>
      <c r="M34" s="144" t="inlineStr">
        <is>
          <t>LỘC</t>
        </is>
      </c>
      <c r="N34" s="144">
        <f>IF(M34="-",0,H34*0.02)</f>
        <v/>
      </c>
      <c r="O34" s="144" t="inlineStr">
        <is>
          <t>-</t>
        </is>
      </c>
      <c r="P34" s="144">
        <f>IF(O34="-",0,H34*0.01)</f>
        <v/>
      </c>
      <c r="Q34" s="144">
        <f>H34*0.005</f>
        <v/>
      </c>
      <c r="R34" s="144">
        <f>IF(I34="V.Tân",H34*0.1375,IF(I34="nguyện",H34*0.1375,IF(I34="TOẢN",H34*0.1375,H34*0.17)))</f>
        <v/>
      </c>
      <c r="S34" s="145" t="n"/>
      <c r="T34" s="145" t="n"/>
      <c r="U34" s="145" t="n"/>
      <c r="V34" s="145" t="n"/>
    </row>
    <row r="35" ht="15" customFormat="1" customHeight="1" s="202">
      <c r="A35" s="142" t="n">
        <v>29</v>
      </c>
      <c r="B35" s="254" t="n">
        <v>46171</v>
      </c>
      <c r="C35" s="153" t="inlineStr">
        <is>
          <t>Lê Tiến Đạt</t>
        </is>
      </c>
      <c r="D35" s="164" t="n">
        <v>22</v>
      </c>
      <c r="E35" s="165" t="n"/>
      <c r="F35" s="166" t="inlineStr">
        <is>
          <t>PT KHX trên màn hình tăng sáng</t>
        </is>
      </c>
      <c r="G35" s="164" t="inlineStr">
        <is>
          <t>Đặc biệt</t>
        </is>
      </c>
      <c r="H35" s="154" t="n">
        <v>4497500</v>
      </c>
      <c r="I35" s="143" t="inlineStr">
        <is>
          <t>BẢO</t>
        </is>
      </c>
      <c r="J35" s="144">
        <f>R35-L35-N35-P35-Q35</f>
        <v/>
      </c>
      <c r="K35" s="144" t="inlineStr">
        <is>
          <t>DUY</t>
        </is>
      </c>
      <c r="L35" s="144">
        <f>IF(K35="-",0,H35*0.03)</f>
        <v/>
      </c>
      <c r="M35" s="144" t="inlineStr">
        <is>
          <t>G.TỬ</t>
        </is>
      </c>
      <c r="N35" s="144">
        <f>IF(M35="-",0,H35*0.02)</f>
        <v/>
      </c>
      <c r="O35" s="144" t="inlineStr">
        <is>
          <t>LỘC</t>
        </is>
      </c>
      <c r="P35" s="144">
        <f>IF(O35="-",0,H35*0.01)</f>
        <v/>
      </c>
      <c r="Q35" s="144">
        <f>H35*0.005</f>
        <v/>
      </c>
      <c r="R35" s="144">
        <f>IF(I35="V.Tân",H35*0.1375,IF(I35="nguyện",H35*0.1375,IF(I35="TOẢN",H35*0.1375,H35*0.17)))</f>
        <v/>
      </c>
      <c r="S35" s="145" t="n"/>
      <c r="T35" s="145" t="n"/>
      <c r="U35" s="145" t="n"/>
      <c r="V35" s="145" t="n"/>
    </row>
    <row r="36" ht="15" customFormat="1" customHeight="1" s="202">
      <c r="A36" s="142" t="n">
        <v>30</v>
      </c>
      <c r="B36" s="254" t="n">
        <v>46172</v>
      </c>
      <c r="C36" s="153" t="inlineStr">
        <is>
          <t>Trần Thị Quắn</t>
        </is>
      </c>
      <c r="D36" s="164" t="n"/>
      <c r="E36" s="165" t="n">
        <v>92</v>
      </c>
      <c r="F36" s="166" t="inlineStr">
        <is>
          <t>PT thay khớp háng bán phần</t>
        </is>
      </c>
      <c r="G36" s="164" t="inlineStr">
        <is>
          <t>Loại 1</t>
        </is>
      </c>
      <c r="H36" s="154" t="n">
        <v>3897500</v>
      </c>
      <c r="I36" s="143" t="inlineStr">
        <is>
          <t>TẤN</t>
        </is>
      </c>
      <c r="J36" s="144">
        <f>R36-L36-N36-P36-Q36</f>
        <v/>
      </c>
      <c r="K36" s="144" t="inlineStr">
        <is>
          <t>TOẢN</t>
        </is>
      </c>
      <c r="L36" s="144">
        <f>IF(K36="-",0,H36*0.03)</f>
        <v/>
      </c>
      <c r="M36" s="144" t="inlineStr">
        <is>
          <t>G.TỬ</t>
        </is>
      </c>
      <c r="N36" s="144">
        <f>IF(M36="-",0,H36*0.02)</f>
        <v/>
      </c>
      <c r="O36" s="144" t="inlineStr">
        <is>
          <t>KHANG</t>
        </is>
      </c>
      <c r="P36" s="144">
        <f>IF(O36="-",0,H36*0.01)</f>
        <v/>
      </c>
      <c r="Q36" s="144">
        <f>H36*0.005</f>
        <v/>
      </c>
      <c r="R36" s="144">
        <f>IF(I36="V.Tân",H36*0.1375,IF(I36="nguyện",H36*0.1375,IF(I36="TOẢN",H36*0.1375,H36*0.17)))</f>
        <v/>
      </c>
      <c r="S36" s="145" t="n"/>
      <c r="T36" s="145" t="n"/>
      <c r="U36" s="145" t="n"/>
      <c r="V36" s="145" t="n"/>
    </row>
    <row r="37" ht="15" customFormat="1" customHeight="1" s="202">
      <c r="A37" s="142" t="n">
        <v>31</v>
      </c>
      <c r="B37" s="254" t="n">
        <v>46172</v>
      </c>
      <c r="C37" s="153" t="inlineStr">
        <is>
          <t>Vũ Thị Thúy</t>
        </is>
      </c>
      <c r="D37" s="164" t="n"/>
      <c r="E37" s="165" t="n">
        <v>61</v>
      </c>
      <c r="F37" s="166" t="inlineStr">
        <is>
          <t>PT lấy nhân đệm cột sống qua da</t>
        </is>
      </c>
      <c r="G37" s="164" t="n"/>
      <c r="H37" s="154" t="n">
        <v>8993000</v>
      </c>
      <c r="I37" s="143" t="inlineStr">
        <is>
          <t>SƠN</t>
        </is>
      </c>
      <c r="J37" s="144">
        <f>R37-L37-N37-P37-Q37</f>
        <v/>
      </c>
      <c r="K37" s="144" t="inlineStr">
        <is>
          <t>NGUYỆN</t>
        </is>
      </c>
      <c r="L37" s="144">
        <f>IF(K37="-",0,H37*0.03)</f>
        <v/>
      </c>
      <c r="M37" s="144" t="inlineStr">
        <is>
          <t>THUÝ</t>
        </is>
      </c>
      <c r="N37" s="144">
        <f>IF(M37="-",0,H37*0.02)</f>
        <v/>
      </c>
      <c r="O37" s="144" t="inlineStr">
        <is>
          <t>-</t>
        </is>
      </c>
      <c r="P37" s="144">
        <f>IF(O37="-",0,H37*0.01)</f>
        <v/>
      </c>
      <c r="Q37" s="144">
        <f>H37*0.005</f>
        <v/>
      </c>
      <c r="R37" s="144">
        <f>IF(I37="V.Tân",H37*0.1375,IF(I37="nguyện",H37*0.1375,IF(I37="TOẢN",H37*0.1375,H37*0.17)))</f>
        <v/>
      </c>
      <c r="S37" s="145" t="n"/>
      <c r="T37" s="145" t="n"/>
      <c r="U37" s="145" t="n"/>
      <c r="V37" s="145" t="n"/>
    </row>
    <row r="38" ht="15" customFormat="1" customHeight="1" s="202">
      <c r="A38" s="142" t="n">
        <v>32</v>
      </c>
      <c r="B38" s="254" t="n">
        <v>46172</v>
      </c>
      <c r="C38" s="153" t="inlineStr">
        <is>
          <t>Nguyễn Minh Tuệ</t>
        </is>
      </c>
      <c r="D38" s="164" t="n"/>
      <c r="E38" s="165" t="n">
        <v>24</v>
      </c>
      <c r="F38" s="166" t="inlineStr">
        <is>
          <t>PT KHX trên màn hình tăng sáng</t>
        </is>
      </c>
      <c r="G38" s="164" t="inlineStr">
        <is>
          <t>Đặc biệt</t>
        </is>
      </c>
      <c r="H38" s="154" t="n">
        <v>4497500</v>
      </c>
      <c r="I38" s="143" t="inlineStr">
        <is>
          <t>TOẢN</t>
        </is>
      </c>
      <c r="J38" s="144">
        <f>R38-L38-N38-P38-Q38</f>
        <v/>
      </c>
      <c r="K38" s="144" t="inlineStr">
        <is>
          <t>NGHĨA</t>
        </is>
      </c>
      <c r="L38" s="144">
        <f>IF(K38="-",0,H38*0.03)</f>
        <v/>
      </c>
      <c r="M38" s="144" t="inlineStr">
        <is>
          <t>CHỈNH</t>
        </is>
      </c>
      <c r="N38" s="144">
        <f>IF(M38="-",0,H38*0.02)</f>
        <v/>
      </c>
      <c r="O38" s="144" t="inlineStr">
        <is>
          <t>-</t>
        </is>
      </c>
      <c r="P38" s="144">
        <f>IF(O38="-",0,H38*0.01)</f>
        <v/>
      </c>
      <c r="Q38" s="144">
        <f>H38*0.005</f>
        <v/>
      </c>
      <c r="R38" s="144">
        <f>IF(I38="V.Tân",H38*0.1375,IF(I38="nguyện",H38*0.1375,IF(I38="TOẢN",H38*0.1375,H38*0.17)))</f>
        <v/>
      </c>
      <c r="S38" s="145" t="n"/>
      <c r="T38" s="145" t="n"/>
      <c r="U38" s="145" t="n"/>
      <c r="V38" s="145" t="n"/>
    </row>
    <row r="39" ht="15" customFormat="1" customHeight="1" s="202">
      <c r="A39" s="142" t="n">
        <v>33</v>
      </c>
      <c r="B39" s="254" t="n">
        <v>46174</v>
      </c>
      <c r="C39" s="153" t="inlineStr">
        <is>
          <t>Phan Tuấn Giới</t>
        </is>
      </c>
      <c r="D39" s="164" t="n">
        <v>61</v>
      </c>
      <c r="E39" s="165" t="n"/>
      <c r="F39" s="166" t="inlineStr">
        <is>
          <t>PT KHX trên màn hình tăng sáng</t>
        </is>
      </c>
      <c r="G39" s="164" t="inlineStr">
        <is>
          <t>Đặc biệt</t>
        </is>
      </c>
      <c r="H39" s="154" t="n">
        <v>4497500</v>
      </c>
      <c r="I39" s="143" t="inlineStr">
        <is>
          <t>DUY</t>
        </is>
      </c>
      <c r="J39" s="144">
        <f>R39-L39-N39-P39-Q39</f>
        <v/>
      </c>
      <c r="K39" s="144" t="inlineStr">
        <is>
          <t>TOẢN</t>
        </is>
      </c>
      <c r="L39" s="144">
        <f>IF(K39="-",0,H39*0.03)</f>
        <v/>
      </c>
      <c r="M39" s="144" t="inlineStr">
        <is>
          <t>CHỈNH</t>
        </is>
      </c>
      <c r="N39" s="144">
        <f>IF(M39="-",0,H39*0.02)</f>
        <v/>
      </c>
      <c r="O39" s="144" t="inlineStr">
        <is>
          <t>NGHĨA</t>
        </is>
      </c>
      <c r="P39" s="144">
        <f>IF(O39="-",0,H39*0.01)</f>
        <v/>
      </c>
      <c r="Q39" s="144">
        <f>H39*0.005</f>
        <v/>
      </c>
      <c r="R39" s="144">
        <f>IF(I39="V.Tân",H39*0.1375,IF(I39="nguyện",H39*0.1375,IF(I39="TOẢN",H39*0.1375,H39*0.17)))</f>
        <v/>
      </c>
      <c r="S39" s="145" t="n"/>
      <c r="T39" s="145" t="n"/>
      <c r="U39" s="145" t="n"/>
      <c r="V39" s="145" t="n"/>
    </row>
    <row r="40" ht="15" customFormat="1" customHeight="1" s="202">
      <c r="A40" s="142" t="n">
        <v>34</v>
      </c>
      <c r="B40" s="254" t="n">
        <v>46174</v>
      </c>
      <c r="C40" s="153" t="inlineStr">
        <is>
          <t>Nguyễn Hoàng Việt Trinh</t>
        </is>
      </c>
      <c r="D40" s="164" t="n"/>
      <c r="E40" s="165" t="n">
        <v>27</v>
      </c>
      <c r="F40" s="166" t="inlineStr">
        <is>
          <t>PT KHX trên màn hình tăng sáng</t>
        </is>
      </c>
      <c r="G40" s="164" t="inlineStr">
        <is>
          <t>Đặc biệt</t>
        </is>
      </c>
      <c r="H40" s="154" t="n">
        <v>4497500</v>
      </c>
      <c r="I40" s="143" t="inlineStr">
        <is>
          <t>TOẢN</t>
        </is>
      </c>
      <c r="J40" s="144">
        <f>R40-L40-N40-P40-Q40</f>
        <v/>
      </c>
      <c r="K40" s="144" t="inlineStr">
        <is>
          <t>NGHĨA</t>
        </is>
      </c>
      <c r="L40" s="144">
        <f>IF(K40="-",0,H40*0.03)</f>
        <v/>
      </c>
      <c r="M40" s="144" t="inlineStr">
        <is>
          <t>CHỈNH</t>
        </is>
      </c>
      <c r="N40" s="144">
        <f>IF(M40="-",0,H40*0.02)</f>
        <v/>
      </c>
      <c r="O40" s="144" t="inlineStr">
        <is>
          <t>-</t>
        </is>
      </c>
      <c r="P40" s="144">
        <f>IF(O40="-",0,H40*0.01)</f>
        <v/>
      </c>
      <c r="Q40" s="144">
        <f>H40*0.005</f>
        <v/>
      </c>
      <c r="R40" s="144">
        <f>IF(I40="V.Tân",H40*0.1375,IF(I40="nguyện",H40*0.1375,IF(I40="TOẢN",H40*0.1375,H40*0.17)))</f>
        <v/>
      </c>
      <c r="S40" s="145" t="n"/>
      <c r="T40" s="145" t="n"/>
      <c r="U40" s="145" t="n"/>
      <c r="V40" s="145" t="n"/>
    </row>
    <row r="41" ht="15" customFormat="1" customHeight="1" s="202">
      <c r="A41" s="142" t="n">
        <v>35</v>
      </c>
      <c r="B41" s="254" t="n">
        <v>46174</v>
      </c>
      <c r="C41" s="153" t="inlineStr">
        <is>
          <t>Phạm Thị Hồng Gấm</t>
        </is>
      </c>
      <c r="D41" s="164" t="n"/>
      <c r="E41" s="165" t="n">
        <v>47</v>
      </c>
      <c r="F41" s="166" t="inlineStr">
        <is>
          <t>Cố định cột sống và hàn khớp qua liên thân đốt CSTL - cùng đường sau</t>
        </is>
      </c>
      <c r="G41" s="164" t="inlineStr">
        <is>
          <t>Đặc biệt</t>
        </is>
      </c>
      <c r="H41" s="154" t="n">
        <v>4201900</v>
      </c>
      <c r="I41" s="143" t="inlineStr">
        <is>
          <t>HOAN</t>
        </is>
      </c>
      <c r="J41" s="144">
        <f>R41-L41-N41-P41-Q41</f>
        <v/>
      </c>
      <c r="K41" s="144" t="inlineStr">
        <is>
          <t>NGUYỆN</t>
        </is>
      </c>
      <c r="L41" s="144">
        <f>IF(K41="-",0,H41*0.03)</f>
        <v/>
      </c>
      <c r="M41" s="144" t="inlineStr">
        <is>
          <t>ĐIỀN</t>
        </is>
      </c>
      <c r="N41" s="144">
        <f>IF(M41="-",0,H41*0.02)</f>
        <v/>
      </c>
      <c r="O41" s="144" t="inlineStr">
        <is>
          <t>G.TỬ</t>
        </is>
      </c>
      <c r="P41" s="144">
        <f>IF(O41="-",0,H41*0.01)</f>
        <v/>
      </c>
      <c r="Q41" s="144">
        <f>H41*0.005</f>
        <v/>
      </c>
      <c r="R41" s="144">
        <f>IF(I41="V.Tân",H41*0.1375,IF(I41="nguyện",H41*0.1375,IF(I41="TOẢN",H41*0.1375,H41*0.17)))</f>
        <v/>
      </c>
      <c r="S41" s="145" t="n"/>
      <c r="T41" s="145" t="n"/>
      <c r="U41" s="145" t="n"/>
      <c r="V41" s="145" t="n"/>
    </row>
    <row r="42" ht="15" customFormat="1" customHeight="1" s="202">
      <c r="A42" s="142" t="n">
        <v>36</v>
      </c>
      <c r="B42" s="254" t="n">
        <v>46175</v>
      </c>
      <c r="C42" s="153" t="inlineStr">
        <is>
          <t>Ung Huỳnh Tâm</t>
        </is>
      </c>
      <c r="D42" s="164" t="n">
        <v>42</v>
      </c>
      <c r="E42" s="165" t="n"/>
      <c r="F42" s="166" t="inlineStr">
        <is>
          <t>Cắt lọc hoại tử ổ loét vết thương mạn tính</t>
        </is>
      </c>
      <c r="G42" s="164" t="inlineStr">
        <is>
          <t>Loại 2</t>
        </is>
      </c>
      <c r="H42" s="154" t="n">
        <v>2128200</v>
      </c>
      <c r="I42" s="143" t="inlineStr">
        <is>
          <t>SƠN</t>
        </is>
      </c>
      <c r="J42" s="144">
        <f>R42-L42-N42-P42-Q42</f>
        <v/>
      </c>
      <c r="K42" s="144" t="inlineStr">
        <is>
          <t>-</t>
        </is>
      </c>
      <c r="L42" s="144">
        <f>IF(K42="-",0,H42*0.03)</f>
        <v/>
      </c>
      <c r="M42" s="144" t="inlineStr">
        <is>
          <t>-</t>
        </is>
      </c>
      <c r="N42" s="144">
        <f>IF(M42="-",0,H42*0.02)</f>
        <v/>
      </c>
      <c r="O42" s="144" t="inlineStr">
        <is>
          <t>-</t>
        </is>
      </c>
      <c r="P42" s="144">
        <f>IF(O42="-",0,H42*0.01)</f>
        <v/>
      </c>
      <c r="Q42" s="144">
        <f>H42*0.005</f>
        <v/>
      </c>
      <c r="R42" s="144">
        <f>IF(I42="V.Tân",H42*0.1375,IF(I42="nguyện",H42*0.1375,IF(I42="TOẢN",H42*0.1375,H42*0.17)))</f>
        <v/>
      </c>
      <c r="S42" s="145" t="n"/>
      <c r="T42" s="145" t="n"/>
      <c r="U42" s="145" t="n"/>
      <c r="V42" s="145" t="n"/>
    </row>
    <row r="43" ht="15" customFormat="1" customHeight="1" s="202">
      <c r="A43" s="142" t="n">
        <v>37</v>
      </c>
      <c r="B43" s="254" t="n">
        <v>46175</v>
      </c>
      <c r="C43" s="153" t="inlineStr">
        <is>
          <t>Võ Thị Tĩnh</t>
        </is>
      </c>
      <c r="D43" s="164" t="n"/>
      <c r="E43" s="165" t="n">
        <v>64</v>
      </c>
      <c r="F43" s="166" t="inlineStr">
        <is>
          <t>PT vết thương phần mềm tổn thương gân gấp</t>
        </is>
      </c>
      <c r="G43" s="164" t="inlineStr">
        <is>
          <t>Loại 1</t>
        </is>
      </c>
      <c r="H43" s="154" t="n">
        <v>2697300</v>
      </c>
      <c r="I43" s="143" t="inlineStr">
        <is>
          <t>SƠN</t>
        </is>
      </c>
      <c r="J43" s="144">
        <f>R43-L43-N43-P43-Q43</f>
        <v/>
      </c>
      <c r="K43" s="144" t="inlineStr">
        <is>
          <t>G.TỬ</t>
        </is>
      </c>
      <c r="L43" s="144">
        <f>IF(K43="-",0,H43*0.03)</f>
        <v/>
      </c>
      <c r="M43" s="144" t="inlineStr">
        <is>
          <t>-</t>
        </is>
      </c>
      <c r="N43" s="144">
        <f>IF(M43="-",0,H43*0.02)</f>
        <v/>
      </c>
      <c r="O43" s="144" t="inlineStr">
        <is>
          <t>-</t>
        </is>
      </c>
      <c r="P43" s="144">
        <f>IF(O43="-",0,H43*0.01)</f>
        <v/>
      </c>
      <c r="Q43" s="144">
        <f>H43*0.005</f>
        <v/>
      </c>
      <c r="R43" s="144">
        <f>IF(I43="V.Tân",H43*0.1375,IF(I43="nguyện",H43*0.1375,IF(I43="TOẢN",H43*0.1375,H43*0.17)))</f>
        <v/>
      </c>
      <c r="S43" s="145" t="n"/>
      <c r="T43" s="145" t="n"/>
      <c r="U43" s="145" t="n"/>
      <c r="V43" s="145" t="n"/>
    </row>
    <row r="44" ht="15" customFormat="1" customHeight="1" s="202">
      <c r="A44" s="142" t="n">
        <v>38</v>
      </c>
      <c r="B44" s="254" t="n">
        <v>46175</v>
      </c>
      <c r="C44" s="153" t="inlineStr">
        <is>
          <t>Phạm Thanh Toàn</t>
        </is>
      </c>
      <c r="D44" s="164" t="n"/>
      <c r="E44" s="165" t="n">
        <v>40</v>
      </c>
      <c r="F44" s="166" t="inlineStr">
        <is>
          <t>PT rút nẹp, dụng cụ KHX</t>
        </is>
      </c>
      <c r="G44" s="164" t="inlineStr">
        <is>
          <t>Loại 2</t>
        </is>
      </c>
      <c r="H44" s="154" t="n">
        <v>2559100</v>
      </c>
      <c r="I44" s="143" t="inlineStr">
        <is>
          <t>BẢO</t>
        </is>
      </c>
      <c r="J44" s="144">
        <f>R44-L44-N44-P44-Q44</f>
        <v/>
      </c>
      <c r="K44" s="144" t="inlineStr">
        <is>
          <t>V.TÂN</t>
        </is>
      </c>
      <c r="L44" s="144">
        <f>IF(K44="-",0,H44*0.03)</f>
        <v/>
      </c>
      <c r="M44" s="144" t="inlineStr">
        <is>
          <t>-</t>
        </is>
      </c>
      <c r="N44" s="144">
        <f>IF(M44="-",0,H44*0.02)</f>
        <v/>
      </c>
      <c r="O44" s="144" t="inlineStr">
        <is>
          <t>-</t>
        </is>
      </c>
      <c r="P44" s="144">
        <f>IF(O44="-",0,H44*0.01)</f>
        <v/>
      </c>
      <c r="Q44" s="144">
        <f>H44*0.005</f>
        <v/>
      </c>
      <c r="R44" s="144">
        <f>IF(I44="V.Tân",H44*0.1375,IF(I44="nguyện",H44*0.1375,IF(I44="TOẢN",H44*0.1375,H44*0.17)))</f>
        <v/>
      </c>
      <c r="S44" s="145" t="n"/>
      <c r="T44" s="145" t="n"/>
      <c r="U44" s="145" t="n"/>
      <c r="V44" s="145" t="n"/>
    </row>
    <row r="45" ht="15" customFormat="1" customHeight="1" s="202">
      <c r="A45" s="142" t="n">
        <v>39</v>
      </c>
      <c r="B45" s="254" t="n">
        <v>46175</v>
      </c>
      <c r="C45" s="153" t="inlineStr">
        <is>
          <t>Nguyễn Thị Thủy</t>
        </is>
      </c>
      <c r="D45" s="164" t="n"/>
      <c r="E45" s="165" t="n">
        <v>63</v>
      </c>
      <c r="F45" s="166" t="inlineStr">
        <is>
          <t>Cố định cột sống và hàn khớp qua liên thân đốt CSTL - cùng đường sau(PLIF)</t>
        </is>
      </c>
      <c r="G45" s="164" t="inlineStr">
        <is>
          <t>Đặc biệt</t>
        </is>
      </c>
      <c r="H45" s="154" t="n">
        <v>4201900</v>
      </c>
      <c r="I45" s="143" t="inlineStr">
        <is>
          <t>HOAN</t>
        </is>
      </c>
      <c r="J45" s="144">
        <f>R45-L45-N45-P45-Q45</f>
        <v/>
      </c>
      <c r="K45" s="144" t="inlineStr">
        <is>
          <t>NGUYỆN</t>
        </is>
      </c>
      <c r="L45" s="144">
        <f>IF(K45="-",0,H45*0.03)</f>
        <v/>
      </c>
      <c r="M45" s="144" t="inlineStr">
        <is>
          <t>ĐIỀN</t>
        </is>
      </c>
      <c r="N45" s="144">
        <f>IF(M45="-",0,H45*0.02)</f>
        <v/>
      </c>
      <c r="O45" s="144" t="inlineStr">
        <is>
          <t>DUY</t>
        </is>
      </c>
      <c r="P45" s="144">
        <f>IF(O45="-",0,H45*0.01)</f>
        <v/>
      </c>
      <c r="Q45" s="144">
        <f>H45*0.005</f>
        <v/>
      </c>
      <c r="R45" s="144">
        <f>IF(I45="V.Tân",H45*0.1375,IF(I45="nguyện",H45*0.1375,IF(I45="TOẢN",H45*0.1375,H45*0.17)))</f>
        <v/>
      </c>
      <c r="S45" s="145" t="n"/>
      <c r="T45" s="145" t="n"/>
      <c r="U45" s="145" t="n"/>
      <c r="V45" s="145" t="n"/>
    </row>
    <row r="46" ht="15" customFormat="1" customHeight="1" s="202">
      <c r="A46" s="142" t="n">
        <v>40</v>
      </c>
      <c r="B46" s="254" t="n">
        <v>46175</v>
      </c>
      <c r="C46" s="153" t="inlineStr">
        <is>
          <t>Nguyễn Hữu Thanh</t>
        </is>
      </c>
      <c r="D46" s="164" t="n">
        <v>50</v>
      </c>
      <c r="E46" s="165" t="n"/>
      <c r="F46" s="166" t="inlineStr">
        <is>
          <t>PT rút nẹp, dụng cụ KHX</t>
        </is>
      </c>
      <c r="G46" s="164" t="inlineStr">
        <is>
          <t>Loại 2</t>
        </is>
      </c>
      <c r="H46" s="154" t="n">
        <v>2559100</v>
      </c>
      <c r="I46" s="143" t="inlineStr">
        <is>
          <t>V.TÂN</t>
        </is>
      </c>
      <c r="J46" s="144">
        <f>R46-L46-N46-P46-Q46</f>
        <v/>
      </c>
      <c r="K46" s="144" t="inlineStr">
        <is>
          <t>BẢO</t>
        </is>
      </c>
      <c r="L46" s="144">
        <f>IF(K46="-",0,H46*0.03)</f>
        <v/>
      </c>
      <c r="M46" s="144" t="inlineStr">
        <is>
          <t>-</t>
        </is>
      </c>
      <c r="N46" s="144">
        <f>IF(M46="-",0,H46*0.02)</f>
        <v/>
      </c>
      <c r="O46" s="144" t="inlineStr">
        <is>
          <t>-</t>
        </is>
      </c>
      <c r="P46" s="144">
        <f>IF(O46="-",0,H46*0.01)</f>
        <v/>
      </c>
      <c r="Q46" s="144">
        <f>H46*0.005</f>
        <v/>
      </c>
      <c r="R46" s="144">
        <f>IF(I46="V.Tân",H46*0.1375,IF(I46="nguyện",H46*0.1375,IF(I46="TOẢN",H46*0.1375,H46*0.17)))</f>
        <v/>
      </c>
      <c r="S46" s="145" t="n"/>
      <c r="T46" s="145" t="n"/>
      <c r="U46" s="145" t="n"/>
      <c r="V46" s="145" t="n"/>
    </row>
    <row r="47" ht="15" customFormat="1" customHeight="1" s="202">
      <c r="A47" s="142" t="n">
        <v>41</v>
      </c>
      <c r="B47" s="254" t="n">
        <v>46175</v>
      </c>
      <c r="C47" s="153" t="inlineStr">
        <is>
          <t>Khuất Hùng</t>
        </is>
      </c>
      <c r="D47" s="164" t="n">
        <v>78</v>
      </c>
      <c r="E47" s="165" t="n"/>
      <c r="F47" s="166" t="inlineStr">
        <is>
          <t>Cắt lọc hoại tử ổ loét vết thương mạn tính</t>
        </is>
      </c>
      <c r="G47" s="164" t="inlineStr">
        <is>
          <t>Loại 2</t>
        </is>
      </c>
      <c r="H47" s="154" t="n">
        <v>0</v>
      </c>
      <c r="I47" s="143" t="inlineStr">
        <is>
          <t>DUY</t>
        </is>
      </c>
      <c r="J47" s="144">
        <f>R47-L47-N47-P47-Q47</f>
        <v/>
      </c>
      <c r="K47" s="144" t="inlineStr">
        <is>
          <t>KHANG</t>
        </is>
      </c>
      <c r="L47" s="144">
        <f>IF(K47="-",0,H47*0.03)</f>
        <v/>
      </c>
      <c r="M47" s="144" t="inlineStr">
        <is>
          <t>LỘC</t>
        </is>
      </c>
      <c r="N47" s="144">
        <f>IF(M47="-",0,H47*0.02)</f>
        <v/>
      </c>
      <c r="O47" s="144" t="inlineStr">
        <is>
          <t>-</t>
        </is>
      </c>
      <c r="P47" s="144">
        <f>IF(O47="-",0,H47*0.01)</f>
        <v/>
      </c>
      <c r="Q47" s="144">
        <f>H47*0.005</f>
        <v/>
      </c>
      <c r="R47" s="144">
        <f>IF(I47="V.Tân",H47*0.1375,IF(I47="nguyện",H47*0.1375,IF(I47="TOẢN",H47*0.1375,H47*0.17)))</f>
        <v/>
      </c>
      <c r="S47" s="145" t="n"/>
      <c r="T47" s="145" t="n"/>
      <c r="U47" s="145" t="n"/>
      <c r="V47" s="145" t="n"/>
    </row>
    <row r="48" ht="15" customFormat="1" customHeight="1" s="202">
      <c r="A48" s="142" t="n">
        <v>42</v>
      </c>
      <c r="B48" s="254" t="n">
        <v>46175</v>
      </c>
      <c r="C48" s="153" t="inlineStr">
        <is>
          <t>Nguyễn Văn Phụng</t>
        </is>
      </c>
      <c r="D48" s="164" t="n">
        <v>88</v>
      </c>
      <c r="E48" s="165" t="n"/>
      <c r="F48" s="166" t="inlineStr">
        <is>
          <t>PT KHX trên màn hình tăng sáng</t>
        </is>
      </c>
      <c r="G48" s="164" t="inlineStr">
        <is>
          <t>Đặc biệt</t>
        </is>
      </c>
      <c r="H48" s="154" t="n">
        <v>4497500</v>
      </c>
      <c r="I48" s="143" t="inlineStr">
        <is>
          <t>V.TÂN</t>
        </is>
      </c>
      <c r="J48" s="144">
        <f>R48-L48-N48-P48-Q48</f>
        <v/>
      </c>
      <c r="K48" s="144" t="inlineStr">
        <is>
          <t>BẢO</t>
        </is>
      </c>
      <c r="L48" s="144">
        <f>IF(K48="-",0,H48*0.03)</f>
        <v/>
      </c>
      <c r="M48" s="144" t="inlineStr">
        <is>
          <t>DUY</t>
        </is>
      </c>
      <c r="N48" s="144">
        <f>IF(M48="-",0,H48*0.02)</f>
        <v/>
      </c>
      <c r="O48" s="144" t="inlineStr">
        <is>
          <t>V.TÂN</t>
        </is>
      </c>
      <c r="P48" s="144">
        <f>IF(O48="-",0,H48*0.01)</f>
        <v/>
      </c>
      <c r="Q48" s="144">
        <f>H48*0.005</f>
        <v/>
      </c>
      <c r="R48" s="144">
        <f>IF(I48="V.Tân",H48*0.1375,IF(I48="nguyện",H48*0.1375,IF(I48="TOẢN",H48*0.1375,H48*0.17)))</f>
        <v/>
      </c>
      <c r="S48" s="145" t="n"/>
      <c r="T48" s="145" t="n"/>
      <c r="U48" s="145" t="n"/>
      <c r="V48" s="145" t="n"/>
    </row>
    <row r="49" ht="15" customFormat="1" customHeight="1" s="202">
      <c r="A49" s="142" t="n">
        <v>43</v>
      </c>
      <c r="B49" s="254" t="n">
        <v>46175</v>
      </c>
      <c r="C49" s="153" t="inlineStr">
        <is>
          <t>HUỲNH THỊ HIỆP</t>
        </is>
      </c>
      <c r="D49" s="164" t="n"/>
      <c r="E49" s="165" t="n">
        <v>57</v>
      </c>
      <c r="F49" s="166" t="inlineStr">
        <is>
          <t>PT KHX trên màn hình tăng sáng</t>
        </is>
      </c>
      <c r="G49" s="164" t="inlineStr">
        <is>
          <t>Đặc biệt</t>
        </is>
      </c>
      <c r="H49" s="154" t="n">
        <v>4497500</v>
      </c>
      <c r="I49" s="143" t="inlineStr">
        <is>
          <t>BẢO</t>
        </is>
      </c>
      <c r="J49" s="144">
        <f>R49-L49-N49-P49-Q49</f>
        <v/>
      </c>
      <c r="K49" s="144" t="inlineStr">
        <is>
          <t>SƠN</t>
        </is>
      </c>
      <c r="L49" s="144">
        <f>IF(K49="-",0,H49*0.03)</f>
        <v/>
      </c>
      <c r="M49" s="144" t="inlineStr">
        <is>
          <t>-</t>
        </is>
      </c>
      <c r="N49" s="144">
        <f>IF(M49="-",0,H49*0.02)</f>
        <v/>
      </c>
      <c r="O49" s="144" t="inlineStr">
        <is>
          <t>-</t>
        </is>
      </c>
      <c r="P49" s="144">
        <f>IF(O49="-",0,H49*0.01)</f>
        <v/>
      </c>
      <c r="Q49" s="144">
        <f>H49*0.005</f>
        <v/>
      </c>
      <c r="R49" s="144">
        <f>IF(I49="V.Tân",H49*0.1375,IF(I49="nguyện",H49*0.1375,IF(I49="TOẢN",H49*0.1375,H49*0.17)))</f>
        <v/>
      </c>
      <c r="S49" s="145" t="n"/>
      <c r="T49" s="145" t="n"/>
      <c r="U49" s="145" t="n"/>
      <c r="V49" s="145" t="n"/>
    </row>
    <row r="50" ht="15" customFormat="1" customHeight="1" s="202">
      <c r="A50" s="142" t="n">
        <v>44</v>
      </c>
      <c r="B50" s="254" t="n">
        <v>46175</v>
      </c>
      <c r="C50" s="153" t="inlineStr">
        <is>
          <t>Nguyễn Thị Ngân</t>
        </is>
      </c>
      <c r="D50" s="164" t="n"/>
      <c r="E50" s="165" t="n">
        <v>72</v>
      </c>
      <c r="F50" s="166" t="inlineStr">
        <is>
          <t>Cắt lọc hoại tử ổ loét vết thương mạn tính</t>
        </is>
      </c>
      <c r="G50" s="164" t="inlineStr">
        <is>
          <t>Loại 2</t>
        </is>
      </c>
      <c r="H50" s="154" t="n">
        <v>2127400</v>
      </c>
      <c r="I50" s="143" t="inlineStr">
        <is>
          <t>SƠN</t>
        </is>
      </c>
      <c r="J50" s="144">
        <f>R50-L50-N50-P50-Q50</f>
        <v/>
      </c>
      <c r="K50" s="144" t="inlineStr">
        <is>
          <t>G.TỬ</t>
        </is>
      </c>
      <c r="L50" s="144">
        <f>IF(K50="-",0,H50*0.03)</f>
        <v/>
      </c>
      <c r="M50" s="144" t="inlineStr">
        <is>
          <t>-</t>
        </is>
      </c>
      <c r="N50" s="144">
        <f>IF(M50="-",0,H50*0.02)</f>
        <v/>
      </c>
      <c r="O50" s="144" t="inlineStr">
        <is>
          <t>-</t>
        </is>
      </c>
      <c r="P50" s="144">
        <f>IF(O50="-",0,H50*0.01)</f>
        <v/>
      </c>
      <c r="Q50" s="144">
        <f>H50*0.005</f>
        <v/>
      </c>
      <c r="R50" s="144">
        <f>IF(I50="V.Tân",H50*0.1375,IF(I50="nguyện",H50*0.1375,IF(I50="TOẢN",H50*0.1375,H50*0.17)))</f>
        <v/>
      </c>
      <c r="S50" s="145" t="n"/>
      <c r="T50" s="145" t="n"/>
      <c r="U50" s="145" t="n"/>
      <c r="V50" s="145" t="n"/>
    </row>
    <row r="51" ht="15" customFormat="1" customHeight="1" s="202">
      <c r="A51" s="142" t="n">
        <v>45</v>
      </c>
      <c r="B51" s="254" t="n">
        <v>46176</v>
      </c>
      <c r="C51" s="153" t="inlineStr">
        <is>
          <t>Nguyễn Văn Luông</t>
        </is>
      </c>
      <c r="D51" s="164" t="n">
        <v>54</v>
      </c>
      <c r="E51" s="165" t="n"/>
      <c r="F51" s="166" t="inlineStr">
        <is>
          <t>Rút đinh/tháo phương tiện KHX</t>
        </is>
      </c>
      <c r="G51" s="164" t="inlineStr">
        <is>
          <t>Loại 2</t>
        </is>
      </c>
      <c r="H51" s="154" t="n">
        <v>2559100</v>
      </c>
      <c r="I51" s="143" t="inlineStr">
        <is>
          <t>ĐIỀN</t>
        </is>
      </c>
      <c r="J51" s="144">
        <f>R51-L51-N51-P51-Q51</f>
        <v/>
      </c>
      <c r="K51" s="144" t="inlineStr">
        <is>
          <t>V.TÂN</t>
        </is>
      </c>
      <c r="L51" s="144">
        <f>IF(K51="-",0,H51*0.03)</f>
        <v/>
      </c>
      <c r="M51" s="144" t="inlineStr">
        <is>
          <t>KHANG</t>
        </is>
      </c>
      <c r="N51" s="144">
        <f>IF(M51="-",0,H51*0.02)</f>
        <v/>
      </c>
      <c r="O51" s="144" t="inlineStr">
        <is>
          <t>-</t>
        </is>
      </c>
      <c r="P51" s="144">
        <f>IF(O51="-",0,H51*0.01)</f>
        <v/>
      </c>
      <c r="Q51" s="144">
        <f>H51*0.005</f>
        <v/>
      </c>
      <c r="R51" s="144">
        <f>IF(I51="V.Tân",H51*0.1375,IF(I51="nguyện",H51*0.1375,IF(I51="TOẢN",H51*0.1375,H51*0.17)))</f>
        <v/>
      </c>
      <c r="S51" s="145" t="n"/>
      <c r="T51" s="145" t="n"/>
      <c r="U51" s="145" t="n"/>
      <c r="V51" s="145" t="n"/>
    </row>
    <row r="52" ht="15" customFormat="1" customHeight="1" s="202">
      <c r="A52" s="142" t="n">
        <v>46</v>
      </c>
      <c r="B52" s="254" t="n">
        <v>46176</v>
      </c>
      <c r="C52" s="153" t="inlineStr">
        <is>
          <t>Nguyễn Văn Cấp</t>
        </is>
      </c>
      <c r="D52" s="164" t="n">
        <v>69</v>
      </c>
      <c r="E52" s="165" t="n"/>
      <c r="F52" s="166" t="inlineStr">
        <is>
          <t>PT KHX trên màn hình tăng sáng</t>
        </is>
      </c>
      <c r="G52" s="164" t="inlineStr">
        <is>
          <t>Đặc biệt</t>
        </is>
      </c>
      <c r="H52" s="154" t="n">
        <v>0</v>
      </c>
      <c r="I52" s="143" t="inlineStr">
        <is>
          <t>NGUYỆN</t>
        </is>
      </c>
      <c r="J52" s="144">
        <f>R52-L52-N52-P52-Q52</f>
        <v/>
      </c>
      <c r="K52" s="144" t="inlineStr">
        <is>
          <t>TOẢN</t>
        </is>
      </c>
      <c r="L52" s="144">
        <f>IF(K52="-",0,H52*0.03)</f>
        <v/>
      </c>
      <c r="M52" s="144" t="inlineStr">
        <is>
          <t>NHỊ</t>
        </is>
      </c>
      <c r="N52" s="144">
        <f>IF(M52="-",0,H52*0.02)</f>
        <v/>
      </c>
      <c r="O52" s="144" t="inlineStr">
        <is>
          <t>-</t>
        </is>
      </c>
      <c r="P52" s="144">
        <f>IF(O52="-",0,H52*0.01)</f>
        <v/>
      </c>
      <c r="Q52" s="144">
        <f>H52*0.005</f>
        <v/>
      </c>
      <c r="R52" s="144">
        <f>IF(I52="V.Tân",H52*0.1375,IF(I52="nguyện",H52*0.1375,IF(I52="TOẢN",H52*0.1375,H52*0.17)))</f>
        <v/>
      </c>
      <c r="S52" s="145" t="n"/>
      <c r="T52" s="145" t="n"/>
      <c r="U52" s="145" t="n"/>
      <c r="V52" s="145" t="n"/>
    </row>
    <row r="53" ht="15" customFormat="1" customHeight="1" s="202">
      <c r="A53" s="142" t="n">
        <v>47</v>
      </c>
      <c r="B53" s="254" t="n">
        <v>46176</v>
      </c>
      <c r="C53" s="153" t="inlineStr">
        <is>
          <t>Huỳnh Thanh Hùng</t>
        </is>
      </c>
      <c r="D53" s="164" t="n">
        <v>81</v>
      </c>
      <c r="E53" s="165" t="n"/>
      <c r="F53" s="166" t="inlineStr">
        <is>
          <t>PT chuyển vạt che phủ phần mềm cuống mạch liền</t>
        </is>
      </c>
      <c r="G53" s="164" t="inlineStr">
        <is>
          <t>Đặc biệt</t>
        </is>
      </c>
      <c r="H53" s="154" t="n">
        <v>0</v>
      </c>
      <c r="I53" s="143" t="inlineStr">
        <is>
          <t>NGUYỆN</t>
        </is>
      </c>
      <c r="J53" s="144">
        <f>R53-L53-N53-P53-Q53</f>
        <v/>
      </c>
      <c r="K53" s="144" t="inlineStr">
        <is>
          <t>TOẢN</t>
        </is>
      </c>
      <c r="L53" s="144">
        <f>IF(K53="-",0,H53*0.03)</f>
        <v/>
      </c>
      <c r="M53" s="144" t="inlineStr">
        <is>
          <t>NHỊ</t>
        </is>
      </c>
      <c r="N53" s="144">
        <f>IF(M53="-",0,H53*0.02)</f>
        <v/>
      </c>
      <c r="O53" s="144" t="inlineStr">
        <is>
          <t>-</t>
        </is>
      </c>
      <c r="P53" s="144">
        <f>IF(O53="-",0,H53*0.01)</f>
        <v/>
      </c>
      <c r="Q53" s="144">
        <f>H53*0.005</f>
        <v/>
      </c>
      <c r="R53" s="144">
        <f>IF(I53="V.Tân",H53*0.1375,IF(I53="nguyện",H53*0.1375,IF(I53="TOẢN",H53*0.1375,H53*0.17)))</f>
        <v/>
      </c>
      <c r="S53" s="145" t="n"/>
      <c r="T53" s="145" t="n"/>
      <c r="U53" s="145" t="n"/>
      <c r="V53" s="145" t="n"/>
    </row>
    <row r="54" ht="15" customFormat="1" customHeight="1" s="202">
      <c r="A54" s="142" t="n">
        <v>48</v>
      </c>
      <c r="B54" s="254" t="n">
        <v>46176</v>
      </c>
      <c r="C54" s="153" t="inlineStr">
        <is>
          <t>Lương Thị Phượng</t>
        </is>
      </c>
      <c r="D54" s="164" t="n"/>
      <c r="E54" s="165" t="n">
        <v>61</v>
      </c>
      <c r="F54" s="166" t="inlineStr">
        <is>
          <t>PT thay toàn bộ khớp gối</t>
        </is>
      </c>
      <c r="G54" s="164" t="inlineStr">
        <is>
          <t>Đặc biệt</t>
        </is>
      </c>
      <c r="H54" s="154" t="n">
        <v>3525500</v>
      </c>
      <c r="I54" s="143" t="inlineStr">
        <is>
          <t>TẤN</t>
        </is>
      </c>
      <c r="J54" s="144">
        <f>R54-L54-N54-P54-Q54</f>
        <v/>
      </c>
      <c r="K54" s="144" t="inlineStr">
        <is>
          <t>NGUYỆN</t>
        </is>
      </c>
      <c r="L54" s="144">
        <f>IF(K54="-",0,H54*0.03)</f>
        <v/>
      </c>
      <c r="M54" s="144" t="inlineStr">
        <is>
          <t>DUY</t>
        </is>
      </c>
      <c r="N54" s="144">
        <f>IF(M54="-",0,H54*0.02)</f>
        <v/>
      </c>
      <c r="O54" s="144" t="inlineStr">
        <is>
          <t>G.TỬ</t>
        </is>
      </c>
      <c r="P54" s="144">
        <f>IF(O54="-",0,H54*0.01)</f>
        <v/>
      </c>
      <c r="Q54" s="144">
        <f>H54*0.005</f>
        <v/>
      </c>
      <c r="R54" s="144">
        <f>IF(I54="V.Tân",H54*0.1375,IF(I54="nguyện",H54*0.1375,IF(I54="TOẢN",H54*0.1375,H54*0.17)))</f>
        <v/>
      </c>
      <c r="S54" s="145" t="n"/>
      <c r="T54" s="145" t="n"/>
      <c r="U54" s="145" t="n"/>
      <c r="V54" s="145" t="n"/>
    </row>
    <row r="55" ht="15" customFormat="1" customHeight="1" s="202">
      <c r="A55" s="142" t="n">
        <v>49</v>
      </c>
      <c r="B55" s="254" t="n">
        <v>46176</v>
      </c>
      <c r="C55" s="153" t="inlineStr">
        <is>
          <t>Phạm Thị Hoa</t>
        </is>
      </c>
      <c r="D55" s="164" t="n"/>
      <c r="E55" s="165" t="n">
        <v>70</v>
      </c>
      <c r="F55" s="166" t="inlineStr">
        <is>
          <t>PT thay khớp háng bán phần</t>
        </is>
      </c>
      <c r="G55" s="164" t="inlineStr">
        <is>
          <t>Loại 1</t>
        </is>
      </c>
      <c r="H55" s="154" t="n">
        <v>3897500</v>
      </c>
      <c r="I55" s="143" t="inlineStr">
        <is>
          <t>NGUYỆN</t>
        </is>
      </c>
      <c r="J55" s="144">
        <f>R55-L55-N55-P55-Q55</f>
        <v/>
      </c>
      <c r="K55" s="144" t="inlineStr">
        <is>
          <t>DUY</t>
        </is>
      </c>
      <c r="L55" s="144">
        <f>IF(K55="-",0,H55*0.03)</f>
        <v/>
      </c>
      <c r="M55" s="144" t="inlineStr">
        <is>
          <t>TOẢN</t>
        </is>
      </c>
      <c r="N55" s="144">
        <f>IF(M55="-",0,H55*0.02)</f>
        <v/>
      </c>
      <c r="O55" s="144" t="inlineStr">
        <is>
          <t>NGHĨA</t>
        </is>
      </c>
      <c r="P55" s="144">
        <f>IF(O55="-",0,H55*0.01)</f>
        <v/>
      </c>
      <c r="Q55" s="144">
        <f>H55*0.005</f>
        <v/>
      </c>
      <c r="R55" s="144">
        <f>IF(I55="V.Tân",H55*0.1375,IF(I55="nguyện",H55*0.1375,IF(I55="TOẢN",H55*0.1375,H55*0.17)))</f>
        <v/>
      </c>
      <c r="S55" s="145" t="n"/>
      <c r="T55" s="145" t="n"/>
      <c r="U55" s="145" t="n"/>
      <c r="V55" s="145" t="n"/>
    </row>
    <row r="56" ht="15" customFormat="1" customHeight="1" s="202">
      <c r="A56" s="142" t="n">
        <v>50</v>
      </c>
      <c r="B56" s="254" t="n">
        <v>46176</v>
      </c>
      <c r="C56" s="153" t="inlineStr">
        <is>
          <t>Trần Văn Lâm</t>
        </is>
      </c>
      <c r="D56" s="164" t="n">
        <v>62</v>
      </c>
      <c r="E56" s="165" t="n"/>
      <c r="F56" s="166" t="inlineStr">
        <is>
          <t>PT KHX trên màn hình tăng sáng</t>
        </is>
      </c>
      <c r="G56" s="164" t="inlineStr">
        <is>
          <t>Đặc biệt</t>
        </is>
      </c>
      <c r="H56" s="154" t="n">
        <v>4497500</v>
      </c>
      <c r="I56" s="143" t="inlineStr">
        <is>
          <t>NGUYỆN</t>
        </is>
      </c>
      <c r="J56" s="144">
        <f>R56-L56-N56-P56-Q56</f>
        <v/>
      </c>
      <c r="K56" s="144" t="inlineStr">
        <is>
          <t>THUÝ</t>
        </is>
      </c>
      <c r="L56" s="144">
        <f>IF(K56="-",0,H56*0.03)</f>
        <v/>
      </c>
      <c r="M56" s="144" t="inlineStr">
        <is>
          <t>HẬU</t>
        </is>
      </c>
      <c r="N56" s="144">
        <f>IF(M56="-",0,H56*0.02)</f>
        <v/>
      </c>
      <c r="O56" s="144" t="inlineStr">
        <is>
          <t>NHỊ</t>
        </is>
      </c>
      <c r="P56" s="144">
        <f>IF(O56="-",0,H56*0.01)</f>
        <v/>
      </c>
      <c r="Q56" s="144">
        <f>H56*0.005</f>
        <v/>
      </c>
      <c r="R56" s="144">
        <f>IF(I56="V.Tân",H56*0.1375,IF(I56="nguyện",H56*0.1375,IF(I56="TOẢN",H56*0.1375,H56*0.17)))</f>
        <v/>
      </c>
      <c r="S56" s="145" t="n"/>
      <c r="T56" s="145" t="n"/>
      <c r="U56" s="145" t="n"/>
      <c r="V56" s="145" t="n"/>
    </row>
    <row r="57" ht="15" customFormat="1" customHeight="1" s="202">
      <c r="A57" s="142" t="n">
        <v>51</v>
      </c>
      <c r="B57" s="254" t="n">
        <v>46176</v>
      </c>
      <c r="C57" s="153" t="inlineStr">
        <is>
          <t>Trần Thiện Bổn</t>
        </is>
      </c>
      <c r="D57" s="164" t="n">
        <v>62</v>
      </c>
      <c r="E57" s="165" t="n"/>
      <c r="F57" s="166" t="inlineStr">
        <is>
          <t>Cắt u lành phần mềm đk &lt;10cm</t>
        </is>
      </c>
      <c r="G57" s="164" t="inlineStr">
        <is>
          <t>Loại 2</t>
        </is>
      </c>
      <c r="H57" s="154" t="n">
        <v>859300</v>
      </c>
      <c r="I57" s="143" t="inlineStr">
        <is>
          <t>TOẢN</t>
        </is>
      </c>
      <c r="J57" s="144">
        <f>R57-L57-N57-P57-Q57</f>
        <v/>
      </c>
      <c r="K57" s="144" t="inlineStr">
        <is>
          <t>KHANG</t>
        </is>
      </c>
      <c r="L57" s="144">
        <f>IF(K57="-",0,H57*0.03)</f>
        <v/>
      </c>
      <c r="M57" s="144" t="inlineStr">
        <is>
          <t>-</t>
        </is>
      </c>
      <c r="N57" s="144">
        <f>IF(M57="-",0,H57*0.02)</f>
        <v/>
      </c>
      <c r="O57" s="144" t="inlineStr">
        <is>
          <t>-</t>
        </is>
      </c>
      <c r="P57" s="144">
        <f>IF(O57="-",0,H57*0.01)</f>
        <v/>
      </c>
      <c r="Q57" s="144">
        <f>H57*0.005</f>
        <v/>
      </c>
      <c r="R57" s="144">
        <f>IF(I57="V.Tân",H57*0.1375,IF(I57="nguyện",H57*0.1375,IF(I57="TOẢN",H57*0.1375,H57*0.17)))</f>
        <v/>
      </c>
      <c r="S57" s="145" t="n"/>
      <c r="T57" s="145" t="n"/>
      <c r="U57" s="145" t="n"/>
      <c r="V57" s="145" t="n"/>
    </row>
    <row r="58" ht="15" customFormat="1" customHeight="1" s="202">
      <c r="A58" s="142" t="n">
        <v>52</v>
      </c>
      <c r="B58" s="254" t="n">
        <v>46176</v>
      </c>
      <c r="C58" s="153" t="inlineStr">
        <is>
          <t>Nguyễn Thị Kiều Oanh</t>
        </is>
      </c>
      <c r="D58" s="164" t="n"/>
      <c r="E58" s="165" t="n">
        <v>59</v>
      </c>
      <c r="F58" s="166" t="inlineStr">
        <is>
          <t>Rút đinh/tháo phương tiện KHX</t>
        </is>
      </c>
      <c r="G58" s="164" t="inlineStr">
        <is>
          <t>Loại 2</t>
        </is>
      </c>
      <c r="H58" s="154" t="n">
        <v>2559100</v>
      </c>
      <c r="I58" s="143" t="inlineStr">
        <is>
          <t>TOẢN</t>
        </is>
      </c>
      <c r="J58" s="144">
        <f>R58-L58-N58-P58-Q58</f>
        <v/>
      </c>
      <c r="K58" s="144" t="inlineStr">
        <is>
          <t>KHANG</t>
        </is>
      </c>
      <c r="L58" s="144">
        <f>IF(K58="-",0,H58*0.03)</f>
        <v/>
      </c>
      <c r="M58" s="144" t="inlineStr">
        <is>
          <t>-</t>
        </is>
      </c>
      <c r="N58" s="144">
        <f>IF(M58="-",0,H58*0.02)</f>
        <v/>
      </c>
      <c r="O58" s="144" t="inlineStr">
        <is>
          <t>-</t>
        </is>
      </c>
      <c r="P58" s="144">
        <f>IF(O58="-",0,H58*0.01)</f>
        <v/>
      </c>
      <c r="Q58" s="144">
        <f>H58*0.005</f>
        <v/>
      </c>
      <c r="R58" s="144">
        <f>IF(I58="V.Tân",H58*0.1375,IF(I58="nguyện",H58*0.1375,IF(I58="TOẢN",H58*0.1375,H58*0.17)))</f>
        <v/>
      </c>
      <c r="S58" s="145" t="n"/>
      <c r="T58" s="145" t="n"/>
      <c r="U58" s="145" t="n"/>
      <c r="V58" s="145" t="n"/>
    </row>
    <row r="59" ht="15" customFormat="1" customHeight="1" s="202">
      <c r="A59" s="142" t="n">
        <v>53</v>
      </c>
      <c r="B59" s="254" t="n">
        <v>46176</v>
      </c>
      <c r="C59" s="153" t="inlineStr">
        <is>
          <t>Nguyễn Duy Linh</t>
        </is>
      </c>
      <c r="D59" s="164" t="n">
        <v>62</v>
      </c>
      <c r="E59" s="165" t="n"/>
      <c r="F59" s="166" t="inlineStr">
        <is>
          <t>PT cắt cụt chi</t>
        </is>
      </c>
      <c r="G59" s="164" t="inlineStr">
        <is>
          <t>Loại 2</t>
        </is>
      </c>
      <c r="H59" s="154" t="n">
        <v>0</v>
      </c>
      <c r="I59" s="143" t="inlineStr">
        <is>
          <t>BẢO</t>
        </is>
      </c>
      <c r="J59" s="144">
        <f>R59-L59-N59-P59-Q59</f>
        <v/>
      </c>
      <c r="K59" s="144" t="inlineStr">
        <is>
          <t>-</t>
        </is>
      </c>
      <c r="L59" s="144">
        <f>IF(K59="-",0,H59*0.03)</f>
        <v/>
      </c>
      <c r="M59" s="144" t="inlineStr">
        <is>
          <t>-</t>
        </is>
      </c>
      <c r="N59" s="144">
        <f>IF(M59="-",0,H59*0.02)</f>
        <v/>
      </c>
      <c r="O59" s="144" t="inlineStr">
        <is>
          <t>-</t>
        </is>
      </c>
      <c r="P59" s="144">
        <f>IF(O59="-",0,H59*0.01)</f>
        <v/>
      </c>
      <c r="Q59" s="144">
        <f>H59*0.005</f>
        <v/>
      </c>
      <c r="R59" s="144">
        <f>IF(I59="V.Tân",H59*0.1375,IF(I59="nguyện",H59*0.1375,IF(I59="TOẢN",H59*0.1375,H59*0.17)))</f>
        <v/>
      </c>
      <c r="S59" s="145" t="n"/>
      <c r="T59" s="145" t="n"/>
      <c r="U59" s="145" t="n"/>
      <c r="V59" s="145" t="n"/>
    </row>
    <row r="60" ht="15" customFormat="1" customHeight="1" s="202">
      <c r="A60" s="142" t="n">
        <v>54</v>
      </c>
      <c r="B60" s="254" t="n">
        <v>46176</v>
      </c>
      <c r="C60" s="153" t="inlineStr">
        <is>
          <t>Nguyễn Hoàng Sơn Giang</t>
        </is>
      </c>
      <c r="D60" s="164" t="n">
        <v>50</v>
      </c>
      <c r="E60" s="165" t="n"/>
      <c r="F60" s="166" t="inlineStr">
        <is>
          <t>PT KHX đốt bàn và đốt ngón chân</t>
        </is>
      </c>
      <c r="G60" s="164" t="inlineStr">
        <is>
          <t>Loại 1</t>
        </is>
      </c>
      <c r="H60" s="154" t="n">
        <v>1897500</v>
      </c>
      <c r="I60" s="143" t="inlineStr">
        <is>
          <t>BẢO</t>
        </is>
      </c>
      <c r="J60" s="144">
        <f>R60-L60-N60-P60-Q60</f>
        <v/>
      </c>
      <c r="K60" s="144" t="inlineStr">
        <is>
          <t>CHỈNH</t>
        </is>
      </c>
      <c r="L60" s="144">
        <f>IF(K60="-",0,H60*0.03)</f>
        <v/>
      </c>
      <c r="M60" s="144" t="inlineStr">
        <is>
          <t>V.HƯỞNG</t>
        </is>
      </c>
      <c r="N60" s="144">
        <f>IF(M60="-",0,H60*0.02)</f>
        <v/>
      </c>
      <c r="O60" s="144" t="inlineStr">
        <is>
          <t>-</t>
        </is>
      </c>
      <c r="P60" s="144">
        <f>IF(O60="-",0,H60*0.01)</f>
        <v/>
      </c>
      <c r="Q60" s="144">
        <f>H60*0.005</f>
        <v/>
      </c>
      <c r="R60" s="144">
        <f>IF(I60="V.Tân",H60*0.1375,IF(I60="nguyện",H60*0.1375,IF(I60="TOẢN",H60*0.1375,H60*0.17)))</f>
        <v/>
      </c>
      <c r="S60" s="145" t="n"/>
      <c r="T60" s="145" t="n"/>
      <c r="U60" s="145" t="n"/>
      <c r="V60" s="145" t="n"/>
    </row>
    <row r="61" ht="15" customFormat="1" customHeight="1" s="202">
      <c r="A61" s="142" t="n">
        <v>55</v>
      </c>
      <c r="B61" s="254" t="n">
        <v>46176</v>
      </c>
      <c r="C61" s="153" t="inlineStr">
        <is>
          <t>Dương Việt Đa</t>
        </is>
      </c>
      <c r="D61" s="164" t="n">
        <v>40</v>
      </c>
      <c r="E61" s="165" t="n"/>
      <c r="F61" s="166" t="inlineStr">
        <is>
          <t>PT KHX trên màn hình tăng sáng</t>
        </is>
      </c>
      <c r="G61" s="164" t="inlineStr">
        <is>
          <t>Đặc biệt</t>
        </is>
      </c>
      <c r="H61" s="154" t="n">
        <v>4497500</v>
      </c>
      <c r="I61" s="143" t="inlineStr">
        <is>
          <t>SƠN</t>
        </is>
      </c>
      <c r="J61" s="144">
        <f>R61-L61-N61-P61-Q61</f>
        <v/>
      </c>
      <c r="K61" s="144" t="inlineStr">
        <is>
          <t>NHỊ</t>
        </is>
      </c>
      <c r="L61" s="144">
        <f>IF(K61="-",0,H61*0.03)</f>
        <v/>
      </c>
      <c r="M61" s="144" t="inlineStr">
        <is>
          <t>-</t>
        </is>
      </c>
      <c r="N61" s="144">
        <f>IF(M61="-",0,H61*0.02)</f>
        <v/>
      </c>
      <c r="O61" s="144" t="inlineStr">
        <is>
          <t>-</t>
        </is>
      </c>
      <c r="P61" s="144">
        <f>IF(O61="-",0,H61*0.01)</f>
        <v/>
      </c>
      <c r="Q61" s="144">
        <f>H61*0.005</f>
        <v/>
      </c>
      <c r="R61" s="144" t="n"/>
      <c r="S61" s="145" t="n"/>
      <c r="T61" s="145" t="n"/>
      <c r="U61" s="145" t="n"/>
      <c r="V61" s="145" t="n"/>
    </row>
    <row r="62" ht="15" customFormat="1" customHeight="1" s="202">
      <c r="A62" s="142" t="n">
        <v>56</v>
      </c>
      <c r="B62" s="254" t="n">
        <v>46176</v>
      </c>
      <c r="C62" s="153" t="inlineStr">
        <is>
          <t>Vũ Bé Tư</t>
        </is>
      </c>
      <c r="D62" s="164" t="n"/>
      <c r="E62" s="165" t="n">
        <v>38</v>
      </c>
      <c r="F62" s="166" t="inlineStr">
        <is>
          <t>Rút đinh/tháo phương tiện KHX</t>
        </is>
      </c>
      <c r="G62" s="164" t="inlineStr">
        <is>
          <t>Loại 2</t>
        </is>
      </c>
      <c r="H62" s="154" t="n">
        <v>2559100</v>
      </c>
      <c r="I62" s="143" t="inlineStr">
        <is>
          <t>BẢO</t>
        </is>
      </c>
      <c r="J62" s="144">
        <f>R62-L62-N62-P62-Q62</f>
        <v/>
      </c>
      <c r="K62" s="144" t="inlineStr">
        <is>
          <t>V.HƯỞNG</t>
        </is>
      </c>
      <c r="L62" s="144">
        <f>IF(K62="-",0,H62*0.03)</f>
        <v/>
      </c>
      <c r="M62" s="144" t="inlineStr">
        <is>
          <t>CHỈNH</t>
        </is>
      </c>
      <c r="N62" s="144">
        <f>IF(M62="-",0,H62*0.02)</f>
        <v/>
      </c>
      <c r="O62" s="144" t="inlineStr">
        <is>
          <t>-</t>
        </is>
      </c>
      <c r="P62" s="144">
        <f>IF(O62="-",0,H62*0.01)</f>
        <v/>
      </c>
      <c r="Q62" s="144">
        <f>H62*0.005</f>
        <v/>
      </c>
      <c r="R62" s="144" t="n"/>
      <c r="S62" s="145" t="n"/>
      <c r="T62" s="145" t="n"/>
      <c r="U62" s="145" t="n"/>
      <c r="V62" s="145" t="n"/>
    </row>
    <row r="63" ht="15" customFormat="1" customHeight="1" s="202">
      <c r="A63" s="142" t="n">
        <v>57</v>
      </c>
      <c r="B63" s="254" t="n">
        <v>46177</v>
      </c>
      <c r="C63" s="153" t="inlineStr">
        <is>
          <t>Phan Huỳnh Bảo Trân</t>
        </is>
      </c>
      <c r="D63" s="164" t="n"/>
      <c r="E63" s="165" t="n">
        <v>17</v>
      </c>
      <c r="F63" s="166" t="inlineStr">
        <is>
          <t>PT rút nẹp, dụng cụ KHX</t>
        </is>
      </c>
      <c r="G63" s="164" t="inlineStr">
        <is>
          <t>Loại 2</t>
        </is>
      </c>
      <c r="H63" s="154" t="n">
        <v>2559100</v>
      </c>
      <c r="I63" s="143" t="inlineStr">
        <is>
          <t>ĐIỀN</t>
        </is>
      </c>
      <c r="J63" s="144">
        <f>R63-L63-N63-P63-Q63</f>
        <v/>
      </c>
      <c r="K63" s="144" t="inlineStr">
        <is>
          <t>NHỊ</t>
        </is>
      </c>
      <c r="L63" s="144">
        <f>IF(K63="-",0,H63*0.03)</f>
        <v/>
      </c>
      <c r="M63" s="144" t="inlineStr">
        <is>
          <t>-</t>
        </is>
      </c>
      <c r="N63" s="144">
        <f>IF(M63="-",0,H63*0.02)</f>
        <v/>
      </c>
      <c r="O63" s="144" t="inlineStr">
        <is>
          <t>-</t>
        </is>
      </c>
      <c r="P63" s="144">
        <f>IF(O63="-",0,H63*0.01)</f>
        <v/>
      </c>
      <c r="Q63" s="144">
        <f>H63*0.005</f>
        <v/>
      </c>
      <c r="R63" s="144" t="n"/>
      <c r="S63" s="145" t="n"/>
      <c r="T63" s="145" t="n"/>
      <c r="U63" s="145" t="n"/>
      <c r="V63" s="145" t="n"/>
    </row>
    <row r="64" ht="15" customFormat="1" customHeight="1" s="202">
      <c r="A64" s="142" t="n">
        <v>58</v>
      </c>
      <c r="B64" s="254" t="n">
        <v>46177</v>
      </c>
      <c r="C64" s="153" t="inlineStr">
        <is>
          <t>Lê Thị Y Bình</t>
        </is>
      </c>
      <c r="D64" s="164" t="n"/>
      <c r="E64" s="165" t="n">
        <v>31</v>
      </c>
      <c r="F64" s="166" t="inlineStr">
        <is>
          <t>Cố định cột sống và hàn khớp qua liên thân đốt CSTL - cùng đường sau</t>
        </is>
      </c>
      <c r="G64" s="164" t="inlineStr">
        <is>
          <t>Đặc biệt</t>
        </is>
      </c>
      <c r="H64" s="154" t="n">
        <v>0</v>
      </c>
      <c r="I64" s="143" t="inlineStr">
        <is>
          <t>NGUYỆN</t>
        </is>
      </c>
      <c r="J64" s="144">
        <f>R64-L64-N64-P64-Q64</f>
        <v/>
      </c>
      <c r="K64" s="144" t="inlineStr">
        <is>
          <t>G.TỬ</t>
        </is>
      </c>
      <c r="L64" s="144">
        <f>IF(K64="-",0,H64*0.03)</f>
        <v/>
      </c>
      <c r="M64" s="144" t="inlineStr">
        <is>
          <t>NGHĨA</t>
        </is>
      </c>
      <c r="N64" s="144">
        <f>IF(M64="-",0,H64*0.02)</f>
        <v/>
      </c>
      <c r="O64" s="144" t="inlineStr">
        <is>
          <t>THUÝ</t>
        </is>
      </c>
      <c r="P64" s="144">
        <f>IF(O64="-",0,H64*0.01)</f>
        <v/>
      </c>
      <c r="Q64" s="144">
        <f>H64*0.005</f>
        <v/>
      </c>
      <c r="R64" s="144" t="n"/>
      <c r="S64" s="145" t="n"/>
      <c r="T64" s="145" t="n"/>
      <c r="U64" s="145" t="n"/>
      <c r="V64" s="145" t="n"/>
    </row>
    <row r="65" ht="15" customFormat="1" customHeight="1" s="202">
      <c r="A65" s="142" t="n">
        <v>59</v>
      </c>
      <c r="B65" s="254" t="n">
        <v>46177</v>
      </c>
      <c r="C65" s="153" t="inlineStr">
        <is>
          <t>Nguyễn Thanh Sắc</t>
        </is>
      </c>
      <c r="D65" s="164" t="n">
        <v>39</v>
      </c>
      <c r="E65" s="165" t="n"/>
      <c r="F65" s="166" t="inlineStr">
        <is>
          <t>PT KHX trên màn hình tăng sáng</t>
        </is>
      </c>
      <c r="G65" s="164" t="inlineStr">
        <is>
          <t>Đặc biệt</t>
        </is>
      </c>
      <c r="H65" s="154" t="n">
        <v>4497500</v>
      </c>
      <c r="I65" s="143" t="inlineStr">
        <is>
          <t>V.TÂN</t>
        </is>
      </c>
      <c r="J65" s="144">
        <f>R65-L65-N65-P65-Q65</f>
        <v/>
      </c>
      <c r="K65" s="144" t="inlineStr">
        <is>
          <t>G.TỬ</t>
        </is>
      </c>
      <c r="L65" s="144">
        <f>IF(K65="-",0,H65*0.03)</f>
        <v/>
      </c>
      <c r="M65" s="144" t="inlineStr">
        <is>
          <t>KHANG</t>
        </is>
      </c>
      <c r="N65" s="144">
        <f>IF(M65="-",0,H65*0.02)</f>
        <v/>
      </c>
      <c r="O65" s="144" t="inlineStr">
        <is>
          <t>LỘC</t>
        </is>
      </c>
      <c r="P65" s="144">
        <f>IF(O65="-",0,H65*0.01)</f>
        <v/>
      </c>
      <c r="Q65" s="144">
        <f>H65*0.005</f>
        <v/>
      </c>
      <c r="R65" s="144" t="n"/>
      <c r="S65" s="145" t="n"/>
      <c r="T65" s="145" t="n"/>
      <c r="U65" s="145" t="n"/>
      <c r="V65" s="145" t="n"/>
    </row>
    <row r="66" ht="15" customFormat="1" customHeight="1" s="202">
      <c r="A66" s="142" t="n">
        <v>60</v>
      </c>
      <c r="B66" s="254" t="n">
        <v>46177</v>
      </c>
      <c r="C66" s="153" t="inlineStr">
        <is>
          <t>PHẠM THỊ ANH THƯ</t>
        </is>
      </c>
      <c r="D66" s="164" t="n">
        <v>19</v>
      </c>
      <c r="E66" s="165" t="n"/>
      <c r="F66" s="166" t="inlineStr">
        <is>
          <t>PT thương tích phần mềm cơ quan vận động</t>
        </is>
      </c>
      <c r="G66" s="164" t="inlineStr">
        <is>
          <t>Loại 2</t>
        </is>
      </c>
      <c r="H66" s="154" t="n">
        <v>796000</v>
      </c>
      <c r="I66" s="143" t="inlineStr">
        <is>
          <t>V.TÂN</t>
        </is>
      </c>
      <c r="J66" s="144">
        <f>R66-L66-N66-P66-Q66</f>
        <v/>
      </c>
      <c r="K66" s="144" t="inlineStr">
        <is>
          <t>-</t>
        </is>
      </c>
      <c r="L66" s="144">
        <f>IF(K66="-",0,H66*0.03)</f>
        <v/>
      </c>
      <c r="M66" s="144" t="inlineStr">
        <is>
          <t>-</t>
        </is>
      </c>
      <c r="N66" s="144">
        <f>IF(M66="-",0,H66*0.02)</f>
        <v/>
      </c>
      <c r="O66" s="144" t="inlineStr">
        <is>
          <t>-</t>
        </is>
      </c>
      <c r="P66" s="144">
        <f>IF(O66="-",0,H66*0.01)</f>
        <v/>
      </c>
      <c r="Q66" s="144">
        <f>H66*0.005</f>
        <v/>
      </c>
      <c r="R66" s="144" t="n"/>
      <c r="S66" s="145" t="n"/>
      <c r="T66" s="145" t="n"/>
      <c r="U66" s="145" t="n"/>
      <c r="V66" s="145" t="n"/>
    </row>
    <row r="67" ht="15" customFormat="1" customHeight="1" s="202">
      <c r="A67" s="142" t="n">
        <v>61</v>
      </c>
      <c r="B67" s="254" t="n">
        <v>46177</v>
      </c>
      <c r="C67" s="153" t="inlineStr">
        <is>
          <t>Nguyễn Thanh Liêm</t>
        </is>
      </c>
      <c r="D67" s="164" t="n">
        <v>32</v>
      </c>
      <c r="E67" s="165" t="n"/>
      <c r="F67" s="166" t="inlineStr">
        <is>
          <t>PT vết thương bàn tay tổn thương gân duỗi</t>
        </is>
      </c>
      <c r="G67" s="164" t="inlineStr">
        <is>
          <t>Loại 1</t>
        </is>
      </c>
      <c r="H67" s="154" t="n">
        <v>2697300</v>
      </c>
      <c r="I67" s="143" t="inlineStr">
        <is>
          <t>BẢO</t>
        </is>
      </c>
      <c r="J67" s="144">
        <f>R67-L67-N67-P67-Q67</f>
        <v/>
      </c>
      <c r="K67" s="144" t="inlineStr">
        <is>
          <t>CHỈNH</t>
        </is>
      </c>
      <c r="L67" s="144">
        <f>IF(K67="-",0,H67*0.03)</f>
        <v/>
      </c>
      <c r="M67" s="144" t="inlineStr">
        <is>
          <t>LỘC</t>
        </is>
      </c>
      <c r="N67" s="144">
        <f>IF(M67="-",0,H67*0.02)</f>
        <v/>
      </c>
      <c r="O67" s="144" t="inlineStr">
        <is>
          <t>-</t>
        </is>
      </c>
      <c r="P67" s="144">
        <f>IF(O67="-",0,H67*0.01)</f>
        <v/>
      </c>
      <c r="Q67" s="144">
        <f>H67*0.005</f>
        <v/>
      </c>
      <c r="R67" s="144" t="n"/>
      <c r="S67" s="145" t="n"/>
      <c r="T67" s="145" t="n"/>
      <c r="U67" s="145" t="n"/>
      <c r="V67" s="145" t="n"/>
    </row>
    <row r="68" ht="15" customFormat="1" customHeight="1" s="202">
      <c r="A68" s="142" t="n">
        <v>62</v>
      </c>
      <c r="B68" s="254" t="n">
        <v>46178</v>
      </c>
      <c r="C68" s="153" t="inlineStr">
        <is>
          <t>Nguyễn Thị Kỷ</t>
        </is>
      </c>
      <c r="D68" s="164" t="n"/>
      <c r="E68" s="165" t="n">
        <v>77</v>
      </c>
      <c r="F68" s="166" t="inlineStr">
        <is>
          <t>Cắt lọc hoại tử ổ loét vết thương mạn tính (gây tê)</t>
        </is>
      </c>
      <c r="G68" s="164" t="inlineStr">
        <is>
          <t>Loại 2</t>
        </is>
      </c>
      <c r="H68" s="154" t="n">
        <v>2128200</v>
      </c>
      <c r="I68" s="143" t="inlineStr">
        <is>
          <t>NGUYỆN</t>
        </is>
      </c>
      <c r="J68" s="144">
        <f>R68-L68-N68-P68-Q68</f>
        <v/>
      </c>
      <c r="K68" s="144" t="inlineStr">
        <is>
          <t>-</t>
        </is>
      </c>
      <c r="L68" s="144">
        <f>IF(K68="-",0,H68*0.03)</f>
        <v/>
      </c>
      <c r="M68" s="144" t="inlineStr">
        <is>
          <t>-</t>
        </is>
      </c>
      <c r="N68" s="144">
        <f>IF(M68="-",0,H68*0.02)</f>
        <v/>
      </c>
      <c r="O68" s="144" t="inlineStr">
        <is>
          <t>-</t>
        </is>
      </c>
      <c r="P68" s="144">
        <f>IF(O68="-",0,H68*0.01)</f>
        <v/>
      </c>
      <c r="Q68" s="144">
        <f>H68*0.005</f>
        <v/>
      </c>
      <c r="R68" s="144" t="n"/>
      <c r="S68" s="145" t="n"/>
      <c r="T68" s="145" t="n"/>
      <c r="U68" s="145" t="n"/>
      <c r="V68" s="145" t="n"/>
    </row>
    <row r="69" ht="15" customFormat="1" customHeight="1" s="202">
      <c r="A69" s="142" t="n">
        <v>63</v>
      </c>
      <c r="B69" s="254" t="n">
        <v>46178</v>
      </c>
      <c r="C69" s="153" t="inlineStr">
        <is>
          <t>Lâm Thị Mộng Trinh</t>
        </is>
      </c>
      <c r="D69" s="164" t="n"/>
      <c r="E69" s="165" t="n">
        <v>43</v>
      </c>
      <c r="F69" s="166" t="inlineStr">
        <is>
          <t>PT gãy đốt bàn ngón tay KHX với kirschner hoặc nẹp vis</t>
        </is>
      </c>
      <c r="G69" s="164" t="inlineStr">
        <is>
          <t>Loại 2</t>
        </is>
      </c>
      <c r="H69" s="154" t="n">
        <v>1697100</v>
      </c>
      <c r="I69" s="143" t="inlineStr">
        <is>
          <t>TOẢN</t>
        </is>
      </c>
      <c r="J69" s="144">
        <f>R69-L69-N69-P69-Q69</f>
        <v/>
      </c>
      <c r="K69" s="144" t="inlineStr">
        <is>
          <t>-</t>
        </is>
      </c>
      <c r="L69" s="144">
        <f>IF(K69="-",0,H69*0.03)</f>
        <v/>
      </c>
      <c r="M69" s="144" t="inlineStr">
        <is>
          <t>-</t>
        </is>
      </c>
      <c r="N69" s="144">
        <f>IF(M69="-",0,H69*0.02)</f>
        <v/>
      </c>
      <c r="O69" s="144" t="inlineStr">
        <is>
          <t>-</t>
        </is>
      </c>
      <c r="P69" s="144">
        <f>IF(O69="-",0,H69*0.01)</f>
        <v/>
      </c>
      <c r="Q69" s="144">
        <f>H69*0.005</f>
        <v/>
      </c>
      <c r="R69" s="144" t="n"/>
      <c r="S69" s="145" t="n"/>
      <c r="T69" s="145" t="n"/>
      <c r="U69" s="145" t="n"/>
      <c r="V69" s="145" t="n"/>
    </row>
    <row r="70" ht="15" customFormat="1" customHeight="1" s="202">
      <c r="A70" s="142" t="n">
        <v>64</v>
      </c>
      <c r="B70" s="254" t="n">
        <v>46179</v>
      </c>
      <c r="C70" s="153" t="inlineStr">
        <is>
          <t>Lê Thị Ngọc Bích</t>
        </is>
      </c>
      <c r="D70" s="164" t="n"/>
      <c r="E70" s="165" t="n">
        <v>70</v>
      </c>
      <c r="F70" s="166" t="inlineStr">
        <is>
          <t>PT thay khớp háng bán phần</t>
        </is>
      </c>
      <c r="G70" s="164" t="inlineStr">
        <is>
          <t>Loại 1</t>
        </is>
      </c>
      <c r="H70" s="154" t="n">
        <v>3897500</v>
      </c>
      <c r="I70" s="143" t="inlineStr">
        <is>
          <t>HOAN</t>
        </is>
      </c>
      <c r="J70" s="144">
        <f>R70-L70-N70-P70-Q70</f>
        <v/>
      </c>
      <c r="K70" s="144" t="inlineStr">
        <is>
          <t>DUY</t>
        </is>
      </c>
      <c r="L70" s="144">
        <f>IF(K70="-",0,H70*0.03)</f>
        <v/>
      </c>
      <c r="M70" s="144" t="inlineStr">
        <is>
          <t>G.TỬ</t>
        </is>
      </c>
      <c r="N70" s="144">
        <f>IF(M70="-",0,H70*0.02)</f>
        <v/>
      </c>
      <c r="O70" s="144" t="inlineStr">
        <is>
          <t>KHANG</t>
        </is>
      </c>
      <c r="P70" s="144">
        <f>IF(O70="-",0,H70*0.01)</f>
        <v/>
      </c>
      <c r="Q70" s="144">
        <f>H70*0.005</f>
        <v/>
      </c>
      <c r="R70" s="144" t="n"/>
      <c r="S70" s="145" t="n"/>
      <c r="T70" s="145" t="n"/>
      <c r="U70" s="145" t="n"/>
      <c r="V70" s="145" t="n"/>
    </row>
    <row r="71" ht="15" customFormat="1" customHeight="1" s="202">
      <c r="A71" s="142" t="n">
        <v>65</v>
      </c>
      <c r="B71" s="254" t="n">
        <v>46179</v>
      </c>
      <c r="C71" s="153" t="inlineStr">
        <is>
          <t>Tạ Văn Dư</t>
        </is>
      </c>
      <c r="D71" s="164" t="n">
        <v>37</v>
      </c>
      <c r="E71" s="165" t="n"/>
      <c r="F71" s="166" t="inlineStr">
        <is>
          <t>PT gỡ dính gân duỗi</t>
        </is>
      </c>
      <c r="G71" s="164" t="inlineStr">
        <is>
          <t>Loại 1</t>
        </is>
      </c>
      <c r="H71" s="154" t="n">
        <v>2697100</v>
      </c>
      <c r="I71" s="143" t="inlineStr">
        <is>
          <t>DUY</t>
        </is>
      </c>
      <c r="J71" s="144">
        <f>R71-L71-N71-P71-Q71</f>
        <v/>
      </c>
      <c r="K71" s="144" t="inlineStr">
        <is>
          <t>LỘC</t>
        </is>
      </c>
      <c r="L71" s="144">
        <f>IF(K71="-",0,H71*0.03)</f>
        <v/>
      </c>
      <c r="M71" s="144" t="inlineStr">
        <is>
          <t>CHỈNH</t>
        </is>
      </c>
      <c r="N71" s="144">
        <f>IF(M71="-",0,H71*0.02)</f>
        <v/>
      </c>
      <c r="O71" s="144" t="inlineStr">
        <is>
          <t>-</t>
        </is>
      </c>
      <c r="P71" s="144">
        <f>IF(O71="-",0,H71*0.01)</f>
        <v/>
      </c>
      <c r="Q71" s="144">
        <f>H71*0.005</f>
        <v/>
      </c>
      <c r="R71" s="144" t="n"/>
      <c r="S71" s="145" t="n"/>
      <c r="T71" s="145" t="n"/>
      <c r="U71" s="145" t="n"/>
      <c r="V71" s="145" t="n"/>
    </row>
    <row r="72" ht="15" customFormat="1" customHeight="1" s="202">
      <c r="A72" s="142" t="n">
        <v>66</v>
      </c>
      <c r="B72" s="254" t="n">
        <v>46181</v>
      </c>
      <c r="C72" s="153" t="inlineStr">
        <is>
          <t>Châu Thị Đủ</t>
        </is>
      </c>
      <c r="D72" s="164" t="n"/>
      <c r="E72" s="165" t="n">
        <v>63</v>
      </c>
      <c r="F72" s="166" t="inlineStr">
        <is>
          <t>PT KHX trên màn hình tăng sáng</t>
        </is>
      </c>
      <c r="G72" s="164" t="inlineStr">
        <is>
          <t>Đặc biệt</t>
        </is>
      </c>
      <c r="H72" s="154" t="n">
        <v>4497500</v>
      </c>
      <c r="I72" s="143" t="inlineStr">
        <is>
          <t>DUY</t>
        </is>
      </c>
      <c r="J72" s="144">
        <f>R72-L72-N72-P72-Q72</f>
        <v/>
      </c>
      <c r="K72" s="144" t="inlineStr">
        <is>
          <t>G.TỬ</t>
        </is>
      </c>
      <c r="L72" s="144">
        <f>IF(K72="-",0,H72*0.03)</f>
        <v/>
      </c>
      <c r="M72" s="144" t="inlineStr">
        <is>
          <t>NGHĨA</t>
        </is>
      </c>
      <c r="N72" s="144">
        <f>IF(M72="-",0,H72*0.02)</f>
        <v/>
      </c>
      <c r="O72" s="144" t="inlineStr">
        <is>
          <t>-</t>
        </is>
      </c>
      <c r="P72" s="144">
        <f>IF(O72="-",0,H72*0.01)</f>
        <v/>
      </c>
      <c r="Q72" s="144">
        <f>H72*0.005</f>
        <v/>
      </c>
      <c r="R72" s="144" t="n"/>
      <c r="S72" s="145" t="n"/>
      <c r="T72" s="145" t="n"/>
      <c r="U72" s="145" t="n"/>
      <c r="V72" s="145" t="n"/>
    </row>
    <row r="73" ht="15" customFormat="1" customHeight="1" s="202">
      <c r="A73" s="142" t="n">
        <v>67</v>
      </c>
      <c r="B73" s="254" t="n">
        <v>46182</v>
      </c>
      <c r="C73" s="153" t="inlineStr">
        <is>
          <t>Võ Thị Út</t>
        </is>
      </c>
      <c r="D73" s="164" t="n"/>
      <c r="E73" s="165" t="n">
        <v>52</v>
      </c>
      <c r="F73" s="166" t="inlineStr">
        <is>
          <t>Cắt lọc hoại tử ổ loét vết thương mạn tính</t>
        </is>
      </c>
      <c r="G73" s="164" t="inlineStr">
        <is>
          <t>Loại 2</t>
        </is>
      </c>
      <c r="H73" s="154" t="n">
        <v>2127400</v>
      </c>
      <c r="I73" s="143" t="inlineStr">
        <is>
          <t>V.TÂN</t>
        </is>
      </c>
      <c r="J73" s="144">
        <f>R73-L73-N73-P73-Q73</f>
        <v/>
      </c>
      <c r="K73" s="144" t="inlineStr">
        <is>
          <t>NHỊ</t>
        </is>
      </c>
      <c r="L73" s="144">
        <f>IF(K73="-",0,H73*0.03)</f>
        <v/>
      </c>
      <c r="M73" s="144" t="inlineStr">
        <is>
          <t>CHỈNH</t>
        </is>
      </c>
      <c r="N73" s="144">
        <f>IF(M73="-",0,H73*0.02)</f>
        <v/>
      </c>
      <c r="O73" s="144" t="inlineStr">
        <is>
          <t>-</t>
        </is>
      </c>
      <c r="P73" s="144">
        <f>IF(O73="-",0,H73*0.01)</f>
        <v/>
      </c>
      <c r="Q73" s="144">
        <f>H73*0.005</f>
        <v/>
      </c>
      <c r="R73" s="144" t="n"/>
      <c r="S73" s="145" t="n"/>
      <c r="T73" s="145" t="n"/>
      <c r="U73" s="145" t="n"/>
      <c r="V73" s="145" t="n"/>
    </row>
    <row r="74" ht="15" customFormat="1" customHeight="1" s="202">
      <c r="A74" s="142" t="n">
        <v>68</v>
      </c>
      <c r="B74" s="254" t="n">
        <v>46182</v>
      </c>
      <c r="C74" s="153" t="inlineStr">
        <is>
          <t>Võ Tấn Hưng</t>
        </is>
      </c>
      <c r="D74" s="164" t="n">
        <v>63</v>
      </c>
      <c r="E74" s="165" t="n"/>
      <c r="F74" s="166" t="inlineStr">
        <is>
          <t>Cắt lọc hoại tử ổ loét vết thương mạn tính</t>
        </is>
      </c>
      <c r="G74" s="164" t="inlineStr">
        <is>
          <t>Loại 2</t>
        </is>
      </c>
      <c r="H74" s="154" t="n">
        <v>2128200</v>
      </c>
      <c r="I74" s="143" t="inlineStr">
        <is>
          <t>V.TÂN</t>
        </is>
      </c>
      <c r="J74" s="144">
        <f>R74-L74-N74-P74-Q74</f>
        <v/>
      </c>
      <c r="K74" s="144" t="inlineStr">
        <is>
          <t>-</t>
        </is>
      </c>
      <c r="L74" s="144">
        <f>IF(K74="-",0,H74*0.03)</f>
        <v/>
      </c>
      <c r="M74" s="144" t="inlineStr">
        <is>
          <t>-</t>
        </is>
      </c>
      <c r="N74" s="144">
        <f>IF(M74="-",0,H74*0.02)</f>
        <v/>
      </c>
      <c r="O74" s="144" t="inlineStr">
        <is>
          <t>-</t>
        </is>
      </c>
      <c r="P74" s="144">
        <f>IF(O74="-",0,H74*0.01)</f>
        <v/>
      </c>
      <c r="Q74" s="144">
        <f>H74*0.005</f>
        <v/>
      </c>
      <c r="R74" s="144" t="n"/>
      <c r="S74" s="145" t="n"/>
      <c r="T74" s="145" t="n"/>
      <c r="U74" s="145" t="n"/>
      <c r="V74" s="145" t="n"/>
    </row>
    <row r="75" ht="15" customFormat="1" customHeight="1" s="202">
      <c r="A75" s="142" t="n">
        <v>69</v>
      </c>
      <c r="B75" s="254" t="n">
        <v>46182</v>
      </c>
      <c r="C75" s="153" t="inlineStr">
        <is>
          <t>Võ Thị Kiếu</t>
        </is>
      </c>
      <c r="D75" s="164" t="n"/>
      <c r="E75" s="165" t="n">
        <v>71</v>
      </c>
      <c r="F75" s="166" t="inlineStr">
        <is>
          <t>Cố định cột sống và hàn khớp qua bên thân đốt cột sống thắt lưng cùng đường sau PLIF</t>
        </is>
      </c>
      <c r="G75" s="164" t="inlineStr">
        <is>
          <t>Đặc biệt</t>
        </is>
      </c>
      <c r="H75" s="154" t="n">
        <v>4201900</v>
      </c>
      <c r="I75" s="143" t="inlineStr">
        <is>
          <t>HOAN</t>
        </is>
      </c>
      <c r="J75" s="144">
        <f>R75-L75-N75-P75-Q75</f>
        <v/>
      </c>
      <c r="K75" s="144" t="inlineStr">
        <is>
          <t>G.TỬ</t>
        </is>
      </c>
      <c r="L75" s="144">
        <f>IF(K75="-",0,H75*0.03)</f>
        <v/>
      </c>
      <c r="M75" s="144" t="inlineStr">
        <is>
          <t>NHỊ</t>
        </is>
      </c>
      <c r="N75" s="144">
        <f>IF(M75="-",0,H75*0.02)</f>
        <v/>
      </c>
      <c r="O75" s="144" t="inlineStr">
        <is>
          <t>THUÝ</t>
        </is>
      </c>
      <c r="P75" s="144">
        <f>IF(O75="-",0,H75*0.01)</f>
        <v/>
      </c>
      <c r="Q75" s="144">
        <f>H75*0.005</f>
        <v/>
      </c>
      <c r="R75" s="144" t="n"/>
      <c r="S75" s="145" t="n"/>
      <c r="T75" s="145" t="n"/>
      <c r="U75" s="145" t="n"/>
      <c r="V75" s="145" t="n"/>
    </row>
    <row r="76" ht="15" customFormat="1" customHeight="1" s="202">
      <c r="A76" s="142" t="n">
        <v>70</v>
      </c>
      <c r="B76" s="254" t="n">
        <v>46182</v>
      </c>
      <c r="C76" s="153" t="inlineStr">
        <is>
          <t>Tôn Văn Phước</t>
        </is>
      </c>
      <c r="D76" s="164" t="n">
        <v>56</v>
      </c>
      <c r="E76" s="165" t="n"/>
      <c r="F76" s="166" t="inlineStr">
        <is>
          <t>Cố định cột sống và hàn khớp qua bên thân đốt cột sống thắt lưng cùng đường sau PLIF</t>
        </is>
      </c>
      <c r="G76" s="164" t="inlineStr">
        <is>
          <t>Đặc biệt</t>
        </is>
      </c>
      <c r="H76" s="154" t="n">
        <v>4201900</v>
      </c>
      <c r="I76" s="143" t="inlineStr">
        <is>
          <t>HOAN</t>
        </is>
      </c>
      <c r="J76" s="144">
        <f>R76-L76-N76-P76-Q76</f>
        <v/>
      </c>
      <c r="K76" s="144" t="inlineStr">
        <is>
          <t>G.TỬ</t>
        </is>
      </c>
      <c r="L76" s="144">
        <f>IF(K76="-",0,H76*0.03)</f>
        <v/>
      </c>
      <c r="M76" s="144" t="inlineStr">
        <is>
          <t>NHỊ</t>
        </is>
      </c>
      <c r="N76" s="144">
        <f>IF(M76="-",0,H76*0.02)</f>
        <v/>
      </c>
      <c r="O76" s="144" t="inlineStr">
        <is>
          <t>V.HƯỞNG</t>
        </is>
      </c>
      <c r="P76" s="144">
        <f>IF(O76="-",0,H76*0.01)</f>
        <v/>
      </c>
      <c r="Q76" s="144">
        <f>H76*0.005</f>
        <v/>
      </c>
      <c r="R76" s="144" t="n"/>
      <c r="S76" s="145" t="n"/>
      <c r="T76" s="145" t="n"/>
      <c r="U76" s="145" t="n"/>
      <c r="V76" s="145" t="n"/>
    </row>
    <row r="77" ht="15" customFormat="1" customHeight="1" s="202">
      <c r="A77" s="142" t="n">
        <v>71</v>
      </c>
      <c r="B77" s="254" t="n">
        <v>46182</v>
      </c>
      <c r="C77" s="153" t="inlineStr">
        <is>
          <t>Thái Thị Thủy</t>
        </is>
      </c>
      <c r="D77" s="164" t="n"/>
      <c r="E77" s="165" t="n">
        <v>69</v>
      </c>
      <c r="F77" s="166" t="inlineStr">
        <is>
          <t>PT KHX trên màn hình tăng sáng</t>
        </is>
      </c>
      <c r="G77" s="164" t="inlineStr">
        <is>
          <t>Đặc biệt</t>
        </is>
      </c>
      <c r="H77" s="154" t="n">
        <v>4497500</v>
      </c>
      <c r="I77" s="143" t="inlineStr">
        <is>
          <t>BẢO</t>
        </is>
      </c>
      <c r="J77" s="144">
        <f>R77-L77-N77-P77-Q77</f>
        <v/>
      </c>
      <c r="K77" s="144" t="inlineStr">
        <is>
          <t>SƠN</t>
        </is>
      </c>
      <c r="L77" s="144">
        <f>IF(K77="-",0,H77*0.03)</f>
        <v/>
      </c>
      <c r="M77" s="144" t="inlineStr">
        <is>
          <t>V.HƯỞNG</t>
        </is>
      </c>
      <c r="N77" s="144">
        <f>IF(M77="-",0,H77*0.02)</f>
        <v/>
      </c>
      <c r="O77" s="144" t="inlineStr">
        <is>
          <t>NHỊ</t>
        </is>
      </c>
      <c r="P77" s="144">
        <f>IF(O77="-",0,H77*0.01)</f>
        <v/>
      </c>
      <c r="Q77" s="144">
        <f>H77*0.005</f>
        <v/>
      </c>
      <c r="R77" s="144" t="n"/>
      <c r="S77" s="145" t="n"/>
      <c r="T77" s="145" t="n"/>
      <c r="U77" s="145" t="n"/>
      <c r="V77" s="145" t="n"/>
    </row>
    <row r="78" ht="15" customFormat="1" customHeight="1" s="202">
      <c r="A78" s="142" t="n">
        <v>72</v>
      </c>
      <c r="B78" s="254" t="n">
        <v>46182</v>
      </c>
      <c r="C78" s="153" t="inlineStr">
        <is>
          <t>Nguyễn Thị Trúc Linh</t>
        </is>
      </c>
      <c r="D78" s="164" t="n"/>
      <c r="E78" s="165" t="n">
        <v>35</v>
      </c>
      <c r="F78" s="166" t="inlineStr">
        <is>
          <t>Rút đinh/tháo phương tiện KHX</t>
        </is>
      </c>
      <c r="G78" s="164" t="inlineStr">
        <is>
          <t>Loại 2</t>
        </is>
      </c>
      <c r="H78" s="154" t="n">
        <v>2559100</v>
      </c>
      <c r="I78" s="143" t="inlineStr">
        <is>
          <t>BẢO</t>
        </is>
      </c>
      <c r="J78" s="144">
        <f>R78-L78-N78-P78-Q78</f>
        <v/>
      </c>
      <c r="K78" s="144" t="inlineStr">
        <is>
          <t>V.HƯỞNG</t>
        </is>
      </c>
      <c r="L78" s="144">
        <f>IF(K78="-",0,H78*0.03)</f>
        <v/>
      </c>
      <c r="M78" s="144" t="inlineStr">
        <is>
          <t>CHỈNH</t>
        </is>
      </c>
      <c r="N78" s="144">
        <f>IF(M78="-",0,H78*0.02)</f>
        <v/>
      </c>
      <c r="O78" s="144" t="inlineStr">
        <is>
          <t>-</t>
        </is>
      </c>
      <c r="P78" s="144">
        <f>IF(O78="-",0,H78*0.01)</f>
        <v/>
      </c>
      <c r="Q78" s="144">
        <f>H78*0.005</f>
        <v/>
      </c>
      <c r="R78" s="144" t="n"/>
      <c r="S78" s="145" t="n"/>
      <c r="T78" s="145" t="n"/>
      <c r="U78" s="145" t="n"/>
      <c r="V78" s="145" t="n"/>
    </row>
    <row r="79" ht="15" customFormat="1" customHeight="1" s="202">
      <c r="A79" s="142" t="n">
        <v>73</v>
      </c>
      <c r="B79" s="254" t="n">
        <v>46182</v>
      </c>
      <c r="C79" s="153" t="inlineStr">
        <is>
          <t>Huỳnh Văn Bé</t>
        </is>
      </c>
      <c r="D79" s="164" t="n">
        <v>66</v>
      </c>
      <c r="E79" s="165" t="n"/>
      <c r="F79" s="166" t="inlineStr">
        <is>
          <t>Rút đinh/tháo phương tiện KHX</t>
        </is>
      </c>
      <c r="G79" s="164" t="inlineStr">
        <is>
          <t>Loại 2</t>
        </is>
      </c>
      <c r="H79" s="154" t="n">
        <v>2559100</v>
      </c>
      <c r="I79" s="143" t="inlineStr">
        <is>
          <t>BẢO</t>
        </is>
      </c>
      <c r="J79" s="144">
        <f>R79-L79-N79-P79-Q79</f>
        <v/>
      </c>
      <c r="K79" s="144" t="inlineStr">
        <is>
          <t>V.HƯỞNG</t>
        </is>
      </c>
      <c r="L79" s="144">
        <f>IF(K79="-",0,H79*0.03)</f>
        <v/>
      </c>
      <c r="M79" s="144" t="inlineStr">
        <is>
          <t>CHỈNH</t>
        </is>
      </c>
      <c r="N79" s="144">
        <f>IF(M79="-",0,H79*0.02)</f>
        <v/>
      </c>
      <c r="O79" s="144" t="inlineStr">
        <is>
          <t>-</t>
        </is>
      </c>
      <c r="P79" s="144">
        <f>IF(O79="-",0,H79*0.01)</f>
        <v/>
      </c>
      <c r="Q79" s="144">
        <f>H79*0.005</f>
        <v/>
      </c>
      <c r="R79" s="144" t="n"/>
      <c r="S79" s="145" t="n"/>
      <c r="T79" s="145" t="n"/>
      <c r="U79" s="145" t="n"/>
      <c r="V79" s="145" t="n"/>
    </row>
    <row r="80" ht="15" customFormat="1" customHeight="1" s="202">
      <c r="A80" s="142" t="n">
        <v>74</v>
      </c>
      <c r="B80" s="254" t="n">
        <v>46183</v>
      </c>
      <c r="C80" s="153" t="inlineStr">
        <is>
          <t>Nguyễn Hồng Nhiên</t>
        </is>
      </c>
      <c r="D80" s="164" t="n">
        <v>58</v>
      </c>
      <c r="E80" s="165" t="n"/>
      <c r="F80" s="166" t="inlineStr">
        <is>
          <t>PT thay toàn bộ khớp háng</t>
        </is>
      </c>
      <c r="G80" s="164" t="inlineStr">
        <is>
          <t>Đặc biệt</t>
        </is>
      </c>
      <c r="H80" s="154" t="n">
        <v>3525500</v>
      </c>
      <c r="I80" s="143" t="inlineStr">
        <is>
          <t>HOAN</t>
        </is>
      </c>
      <c r="J80" s="144">
        <f>R80-L80-N80-P80-Q80</f>
        <v/>
      </c>
      <c r="K80" s="144" t="inlineStr">
        <is>
          <t>BẢO</t>
        </is>
      </c>
      <c r="L80" s="144">
        <f>IF(K80="-",0,H80*0.03)</f>
        <v/>
      </c>
      <c r="M80" s="144" t="inlineStr">
        <is>
          <t>TOẢN</t>
        </is>
      </c>
      <c r="N80" s="144">
        <f>IF(M80="-",0,H80*0.02)</f>
        <v/>
      </c>
      <c r="O80" s="144" t="inlineStr">
        <is>
          <t>-</t>
        </is>
      </c>
      <c r="P80" s="144">
        <f>IF(O80="-",0,H80*0.01)</f>
        <v/>
      </c>
      <c r="Q80" s="144">
        <f>H80*0.005</f>
        <v/>
      </c>
      <c r="R80" s="144" t="n"/>
      <c r="S80" s="145" t="n"/>
      <c r="T80" s="145" t="n"/>
      <c r="U80" s="145" t="n"/>
      <c r="V80" s="145" t="n"/>
    </row>
    <row r="81" ht="15" customFormat="1" customHeight="1" s="202">
      <c r="A81" s="142" t="n">
        <v>75</v>
      </c>
      <c r="B81" s="254" t="n">
        <v>46183</v>
      </c>
      <c r="C81" s="153" t="inlineStr">
        <is>
          <t>Cao Hùng Phong</t>
        </is>
      </c>
      <c r="D81" s="164" t="n">
        <v>57</v>
      </c>
      <c r="E81" s="165" t="n"/>
      <c r="F81" s="166" t="inlineStr">
        <is>
          <t>PT thay toàn bộ khớp háng</t>
        </is>
      </c>
      <c r="G81" s="164" t="inlineStr">
        <is>
          <t>Đặc biệt</t>
        </is>
      </c>
      <c r="H81" s="154" t="n">
        <v>3525500</v>
      </c>
      <c r="I81" s="143" t="inlineStr">
        <is>
          <t>HOAN</t>
        </is>
      </c>
      <c r="J81" s="144">
        <f>R81-L81-N81-P81-Q81</f>
        <v/>
      </c>
      <c r="K81" s="144" t="inlineStr">
        <is>
          <t>TOẢN</t>
        </is>
      </c>
      <c r="L81" s="144">
        <f>IF(K81="-",0,H81*0.03)</f>
        <v/>
      </c>
      <c r="M81" s="144" t="inlineStr">
        <is>
          <t>G.TỬ</t>
        </is>
      </c>
      <c r="N81" s="144">
        <f>IF(M81="-",0,H81*0.02)</f>
        <v/>
      </c>
      <c r="O81" s="144" t="inlineStr">
        <is>
          <t>-</t>
        </is>
      </c>
      <c r="P81" s="144">
        <f>IF(O81="-",0,H81*0.01)</f>
        <v/>
      </c>
      <c r="Q81" s="144">
        <f>H81*0.005</f>
        <v/>
      </c>
      <c r="R81" s="144" t="n"/>
      <c r="S81" s="145" t="n"/>
      <c r="T81" s="145" t="n"/>
      <c r="U81" s="145" t="n"/>
      <c r="V81" s="145" t="n"/>
    </row>
    <row r="82" ht="15" customFormat="1" customHeight="1" s="202">
      <c r="A82" s="142" t="n">
        <v>76</v>
      </c>
      <c r="B82" s="254" t="n">
        <v>46183</v>
      </c>
      <c r="C82" s="153" t="inlineStr">
        <is>
          <t>Huỳnh Ngọc Sương</t>
        </is>
      </c>
      <c r="D82" s="164" t="n"/>
      <c r="E82" s="165" t="n">
        <v>72</v>
      </c>
      <c r="F82" s="166" t="inlineStr">
        <is>
          <t>PT thay toàn bộ khớp háng</t>
        </is>
      </c>
      <c r="G82" s="164" t="inlineStr">
        <is>
          <t>Đặc biệt</t>
        </is>
      </c>
      <c r="H82" s="154" t="n">
        <v>3525500</v>
      </c>
      <c r="I82" s="143" t="inlineStr">
        <is>
          <t>HOAN</t>
        </is>
      </c>
      <c r="J82" s="144">
        <f>R82-L82-N82-P82-Q82</f>
        <v/>
      </c>
      <c r="K82" s="144" t="inlineStr">
        <is>
          <t>TOẢN</t>
        </is>
      </c>
      <c r="L82" s="144">
        <f>IF(K82="-",0,H82*0.03)</f>
        <v/>
      </c>
      <c r="M82" s="144" t="inlineStr">
        <is>
          <t>G.TỬ</t>
        </is>
      </c>
      <c r="N82" s="144">
        <f>IF(M82="-",0,H82*0.02)</f>
        <v/>
      </c>
      <c r="O82" s="144" t="inlineStr">
        <is>
          <t>-</t>
        </is>
      </c>
      <c r="P82" s="144">
        <f>IF(O82="-",0,H82*0.01)</f>
        <v/>
      </c>
      <c r="Q82" s="144">
        <f>H82*0.005</f>
        <v/>
      </c>
      <c r="R82" s="144" t="n"/>
      <c r="S82" s="145" t="n"/>
      <c r="T82" s="145" t="n"/>
      <c r="U82" s="145" t="n"/>
      <c r="V82" s="145" t="n"/>
    </row>
    <row r="83" ht="15" customFormat="1" customHeight="1" s="202">
      <c r="A83" s="142" t="n">
        <v>77</v>
      </c>
      <c r="B83" s="254" t="n">
        <v>46183</v>
      </c>
      <c r="C83" s="153" t="inlineStr">
        <is>
          <t>Võ Kim Thu</t>
        </is>
      </c>
      <c r="D83" s="164" t="n"/>
      <c r="E83" s="165" t="n">
        <v>68</v>
      </c>
      <c r="F83" s="166" t="inlineStr">
        <is>
          <t>PT thay toàn bộ khớp gối</t>
        </is>
      </c>
      <c r="G83" s="164" t="inlineStr">
        <is>
          <t>Đặc biệt</t>
        </is>
      </c>
      <c r="H83" s="154" t="n">
        <v>3525500</v>
      </c>
      <c r="I83" s="143" t="inlineStr">
        <is>
          <t>HOAN</t>
        </is>
      </c>
      <c r="J83" s="144">
        <f>R83-L83-N83-P83-Q83</f>
        <v/>
      </c>
      <c r="K83" s="144" t="inlineStr">
        <is>
          <t>SƠN</t>
        </is>
      </c>
      <c r="L83" s="144">
        <f>IF(K83="-",0,H83*0.03)</f>
        <v/>
      </c>
      <c r="M83" s="144" t="inlineStr">
        <is>
          <t>G.TỬ</t>
        </is>
      </c>
      <c r="N83" s="144">
        <f>IF(M83="-",0,H83*0.02)</f>
        <v/>
      </c>
      <c r="O83" s="144" t="inlineStr">
        <is>
          <t>-</t>
        </is>
      </c>
      <c r="P83" s="144">
        <f>IF(O83="-",0,H83*0.01)</f>
        <v/>
      </c>
      <c r="Q83" s="144">
        <f>H83*0.005</f>
        <v/>
      </c>
      <c r="R83" s="144" t="n"/>
      <c r="S83" s="145" t="n"/>
      <c r="T83" s="145" t="n"/>
      <c r="U83" s="145" t="n"/>
      <c r="V83" s="145" t="n"/>
    </row>
    <row r="84" ht="15" customFormat="1" customHeight="1" s="202">
      <c r="A84" s="142" t="n">
        <v>78</v>
      </c>
      <c r="B84" s="254" t="n">
        <v>46183</v>
      </c>
      <c r="C84" s="153" t="inlineStr">
        <is>
          <t>Đặng Thành Thái</t>
        </is>
      </c>
      <c r="D84" s="164" t="n">
        <v>46</v>
      </c>
      <c r="E84" s="165" t="n"/>
      <c r="F84" s="166" t="inlineStr">
        <is>
          <t>PT vết thương phần mềm đơn giản</t>
        </is>
      </c>
      <c r="G84" s="164" t="n"/>
      <c r="H84" s="154" t="n">
        <v>3382000</v>
      </c>
      <c r="I84" s="143" t="inlineStr">
        <is>
          <t>V.TÂN</t>
        </is>
      </c>
      <c r="J84" s="144">
        <f>R84-L84-N84-P84-Q84</f>
        <v/>
      </c>
      <c r="K84" s="144" t="inlineStr">
        <is>
          <t>NHỊ</t>
        </is>
      </c>
      <c r="L84" s="144">
        <f>IF(K84="-",0,H84*0.03)</f>
        <v/>
      </c>
      <c r="M84" s="144" t="inlineStr">
        <is>
          <t>NGHĨA</t>
        </is>
      </c>
      <c r="N84" s="144">
        <f>IF(M84="-",0,H84*0.02)</f>
        <v/>
      </c>
      <c r="O84" s="144" t="inlineStr">
        <is>
          <t>THUÝ</t>
        </is>
      </c>
      <c r="P84" s="144">
        <f>IF(O84="-",0,H84*0.01)</f>
        <v/>
      </c>
      <c r="Q84" s="144">
        <f>H84*0.005</f>
        <v/>
      </c>
      <c r="R84" s="144" t="n"/>
      <c r="S84" s="145" t="n"/>
      <c r="T84" s="145" t="n"/>
      <c r="U84" s="145" t="n"/>
      <c r="V84" s="145" t="n"/>
    </row>
    <row r="85" ht="15" customFormat="1" customHeight="1" s="202">
      <c r="A85" s="142" t="n">
        <v>79</v>
      </c>
      <c r="B85" s="254" t="n">
        <v>46183</v>
      </c>
      <c r="C85" s="153" t="inlineStr">
        <is>
          <t>Nguyễn Văn Dũng</t>
        </is>
      </c>
      <c r="D85" s="164" t="n">
        <v>72</v>
      </c>
      <c r="E85" s="165" t="n"/>
      <c r="F85" s="166" t="inlineStr">
        <is>
          <t>Cắt u lành phần mềm đk &lt;10cm</t>
        </is>
      </c>
      <c r="G85" s="164" t="inlineStr">
        <is>
          <t>Loại 2</t>
        </is>
      </c>
      <c r="H85" s="154" t="n">
        <v>859300</v>
      </c>
      <c r="I85" s="143" t="inlineStr">
        <is>
          <t>V.TÂN</t>
        </is>
      </c>
      <c r="J85" s="144">
        <f>R85-L85-N85-P85-Q85</f>
        <v/>
      </c>
      <c r="K85" s="144" t="inlineStr">
        <is>
          <t>NHỊ</t>
        </is>
      </c>
      <c r="L85" s="144">
        <f>IF(K85="-",0,H85*0.03)</f>
        <v/>
      </c>
      <c r="M85" s="144" t="inlineStr">
        <is>
          <t>LỘC</t>
        </is>
      </c>
      <c r="N85" s="144">
        <f>IF(M85="-",0,H85*0.02)</f>
        <v/>
      </c>
      <c r="O85" s="144" t="inlineStr">
        <is>
          <t>-</t>
        </is>
      </c>
      <c r="P85" s="144">
        <f>IF(O85="-",0,H85*0.01)</f>
        <v/>
      </c>
      <c r="Q85" s="144">
        <f>H85*0.005</f>
        <v/>
      </c>
      <c r="R85" s="144" t="n"/>
      <c r="S85" s="145" t="n"/>
      <c r="T85" s="145" t="n"/>
      <c r="U85" s="145" t="n"/>
      <c r="V85" s="145" t="n"/>
    </row>
    <row r="86" ht="15" customFormat="1" customHeight="1" s="202">
      <c r="A86" s="142" t="n">
        <v>80</v>
      </c>
      <c r="B86" s="254" t="n">
        <v>46183</v>
      </c>
      <c r="C86" s="153" t="inlineStr">
        <is>
          <t>Trần Bé Hiền</t>
        </is>
      </c>
      <c r="D86" s="164" t="n">
        <v>32</v>
      </c>
      <c r="E86" s="165" t="n"/>
      <c r="F86" s="166" t="inlineStr">
        <is>
          <t>Cắt lọc hoại tử ổ loét vết thương mạn tính</t>
        </is>
      </c>
      <c r="G86" s="164" t="inlineStr">
        <is>
          <t>Loại 2</t>
        </is>
      </c>
      <c r="H86" s="154" t="n">
        <v>2128200</v>
      </c>
      <c r="I86" s="143" t="inlineStr">
        <is>
          <t>TOẢN</t>
        </is>
      </c>
      <c r="J86" s="144">
        <f>R86-L86-N86-P86-Q86</f>
        <v/>
      </c>
      <c r="K86" s="144" t="inlineStr">
        <is>
          <t>CHỈNH</t>
        </is>
      </c>
      <c r="L86" s="144">
        <f>IF(K86="-",0,H86*0.03)</f>
        <v/>
      </c>
      <c r="M86" s="144" t="inlineStr">
        <is>
          <t>-</t>
        </is>
      </c>
      <c r="N86" s="144">
        <f>IF(M86="-",0,H86*0.02)</f>
        <v/>
      </c>
      <c r="O86" s="144" t="inlineStr">
        <is>
          <t>-</t>
        </is>
      </c>
      <c r="P86" s="144">
        <f>IF(O86="-",0,H86*0.01)</f>
        <v/>
      </c>
      <c r="Q86" s="144">
        <f>H86*0.005</f>
        <v/>
      </c>
      <c r="R86" s="144" t="n"/>
      <c r="S86" s="145" t="n"/>
      <c r="T86" s="145" t="n"/>
      <c r="U86" s="145" t="n"/>
      <c r="V86" s="145" t="n"/>
    </row>
    <row r="87" ht="15" customFormat="1" customHeight="1" s="202">
      <c r="A87" s="142" t="n">
        <v>81</v>
      </c>
      <c r="B87" s="254" t="n">
        <v>46184</v>
      </c>
      <c r="C87" s="153" t="inlineStr">
        <is>
          <t>Trương Thị Xinh</t>
        </is>
      </c>
      <c r="D87" s="164" t="n"/>
      <c r="E87" s="165" t="n">
        <v>69</v>
      </c>
      <c r="F87" s="166" t="inlineStr">
        <is>
          <t>Rút đinh/tháo phương tiện KHX</t>
        </is>
      </c>
      <c r="G87" s="164" t="inlineStr">
        <is>
          <t>Loại 2</t>
        </is>
      </c>
      <c r="H87" s="154" t="n">
        <v>2559100</v>
      </c>
      <c r="I87" s="143" t="inlineStr">
        <is>
          <t>TOẢN</t>
        </is>
      </c>
      <c r="J87" s="144">
        <f>R87-L87-N87-P87-Q87</f>
        <v/>
      </c>
      <c r="K87" s="144" t="inlineStr">
        <is>
          <t>-</t>
        </is>
      </c>
      <c r="L87" s="144">
        <f>IF(K87="-",0,H87*0.03)</f>
        <v/>
      </c>
      <c r="M87" s="144" t="inlineStr">
        <is>
          <t>-</t>
        </is>
      </c>
      <c r="N87" s="144">
        <f>IF(M87="-",0,H87*0.02)</f>
        <v/>
      </c>
      <c r="O87" s="144" t="inlineStr">
        <is>
          <t>-</t>
        </is>
      </c>
      <c r="P87" s="144">
        <f>IF(O87="-",0,H87*0.01)</f>
        <v/>
      </c>
      <c r="Q87" s="144">
        <f>H87*0.005</f>
        <v/>
      </c>
      <c r="R87" s="144" t="n"/>
      <c r="S87" s="145" t="n"/>
      <c r="T87" s="145" t="n"/>
      <c r="U87" s="145" t="n"/>
      <c r="V87" s="145" t="n"/>
    </row>
    <row r="88" ht="15" customFormat="1" customHeight="1" s="202">
      <c r="A88" s="142" t="n">
        <v>82</v>
      </c>
      <c r="B88" s="254" t="n">
        <v>46184</v>
      </c>
      <c r="C88" s="153" t="inlineStr">
        <is>
          <t>Ngô Hòa Thuận</t>
        </is>
      </c>
      <c r="D88" s="164" t="n">
        <v>47</v>
      </c>
      <c r="E88" s="165" t="n"/>
      <c r="F88" s="166" t="inlineStr">
        <is>
          <t>PTNS tái tạo dây chằng chéo trước bằng gân chân ngỗng</t>
        </is>
      </c>
      <c r="G88" s="164" t="inlineStr">
        <is>
          <t>Đặc biệt</t>
        </is>
      </c>
      <c r="H88" s="154" t="n">
        <v>3405500</v>
      </c>
      <c r="I88" s="143" t="inlineStr">
        <is>
          <t>TOẢN</t>
        </is>
      </c>
      <c r="J88" s="144">
        <f>R88-L88-N88-P88-Q88</f>
        <v/>
      </c>
      <c r="K88" s="144" t="inlineStr">
        <is>
          <t>KHANG</t>
        </is>
      </c>
      <c r="L88" s="144">
        <f>IF(K88="-",0,H88*0.03)</f>
        <v/>
      </c>
      <c r="M88" s="144" t="inlineStr">
        <is>
          <t>-</t>
        </is>
      </c>
      <c r="N88" s="144">
        <f>IF(M88="-",0,H88*0.02)</f>
        <v/>
      </c>
      <c r="O88" s="144" t="inlineStr">
        <is>
          <t>-</t>
        </is>
      </c>
      <c r="P88" s="144">
        <f>IF(O88="-",0,H88*0.01)</f>
        <v/>
      </c>
      <c r="Q88" s="144">
        <f>H88*0.005</f>
        <v/>
      </c>
      <c r="R88" s="144" t="n"/>
      <c r="S88" s="145" t="n"/>
      <c r="T88" s="145" t="n"/>
      <c r="U88" s="145" t="n"/>
      <c r="V88" s="145" t="n"/>
    </row>
    <row r="89" ht="15" customFormat="1" customHeight="1" s="202">
      <c r="A89" s="142" t="n">
        <v>83</v>
      </c>
      <c r="B89" s="254" t="n">
        <v>46184</v>
      </c>
      <c r="C89" s="153" t="inlineStr">
        <is>
          <t>CAO THIỆN VŨ</t>
        </is>
      </c>
      <c r="D89" s="164" t="n">
        <v>49</v>
      </c>
      <c r="E89" s="165" t="n"/>
      <c r="F89" s="166" t="inlineStr">
        <is>
          <t>PT thay toàn bộ khớp háng</t>
        </is>
      </c>
      <c r="G89" s="164" t="inlineStr">
        <is>
          <t>Đặc biệt</t>
        </is>
      </c>
      <c r="H89" s="154" t="n">
        <v>3525500</v>
      </c>
      <c r="I89" s="143" t="inlineStr">
        <is>
          <t>SƠN</t>
        </is>
      </c>
      <c r="J89" s="144">
        <f>R89-L89-N89-P89-Q89</f>
        <v/>
      </c>
      <c r="K89" s="144" t="inlineStr">
        <is>
          <t>BẢO</t>
        </is>
      </c>
      <c r="L89" s="144">
        <f>IF(K89="-",0,H89*0.03)</f>
        <v/>
      </c>
      <c r="M89" s="144" t="inlineStr">
        <is>
          <t>G.TỬ</t>
        </is>
      </c>
      <c r="N89" s="144">
        <f>IF(M89="-",0,H89*0.02)</f>
        <v/>
      </c>
      <c r="O89" s="144" t="inlineStr">
        <is>
          <t>-</t>
        </is>
      </c>
      <c r="P89" s="144">
        <f>IF(O89="-",0,H89*0.01)</f>
        <v/>
      </c>
      <c r="Q89" s="144">
        <f>H89*0.005</f>
        <v/>
      </c>
      <c r="R89" s="144" t="n"/>
      <c r="S89" s="145" t="n"/>
      <c r="T89" s="145" t="n"/>
      <c r="U89" s="145" t="n"/>
      <c r="V89" s="145" t="n"/>
    </row>
    <row r="90" ht="15" customFormat="1" customHeight="1" s="202">
      <c r="A90" s="142" t="n">
        <v>84</v>
      </c>
      <c r="B90" s="254" t="n">
        <v>46184</v>
      </c>
      <c r="C90" s="153" t="inlineStr">
        <is>
          <t>Triệu Hoàng Long</t>
        </is>
      </c>
      <c r="D90" s="164" t="n">
        <v>63</v>
      </c>
      <c r="E90" s="165" t="n"/>
      <c r="F90" s="166" t="inlineStr">
        <is>
          <t>PT KHX trên màn hình tăng sáng</t>
        </is>
      </c>
      <c r="G90" s="164" t="inlineStr">
        <is>
          <t>Đặc biệt</t>
        </is>
      </c>
      <c r="H90" s="154" t="n">
        <v>4497500</v>
      </c>
      <c r="I90" s="143" t="inlineStr">
        <is>
          <t>BẢO</t>
        </is>
      </c>
      <c r="J90" s="144">
        <f>R90-L90-N90-P90-Q90</f>
        <v/>
      </c>
      <c r="K90" s="144" t="inlineStr">
        <is>
          <t>G.TỬ</t>
        </is>
      </c>
      <c r="L90" s="144">
        <f>IF(K90="-",0,H90*0.03)</f>
        <v/>
      </c>
      <c r="M90" s="144" t="inlineStr">
        <is>
          <t>KHANG</t>
        </is>
      </c>
      <c r="N90" s="144">
        <f>IF(M90="-",0,H90*0.02)</f>
        <v/>
      </c>
      <c r="O90" s="144" t="inlineStr">
        <is>
          <t>-</t>
        </is>
      </c>
      <c r="P90" s="144">
        <f>IF(O90="-",0,H90*0.01)</f>
        <v/>
      </c>
      <c r="Q90" s="144">
        <f>H90*0.005</f>
        <v/>
      </c>
      <c r="R90" s="144" t="n"/>
      <c r="S90" s="145" t="n"/>
      <c r="T90" s="145" t="n"/>
      <c r="U90" s="145" t="n"/>
      <c r="V90" s="145" t="n"/>
    </row>
    <row r="91" ht="15" customFormat="1" customHeight="1" s="202">
      <c r="A91" s="142" t="n">
        <v>85</v>
      </c>
      <c r="B91" s="254" t="n">
        <v>46184</v>
      </c>
      <c r="C91" s="153" t="inlineStr">
        <is>
          <t>Triệu Hoàng Long</t>
        </is>
      </c>
      <c r="D91" s="164" t="n">
        <v>63</v>
      </c>
      <c r="E91" s="165" t="n"/>
      <c r="F91" s="166" t="inlineStr">
        <is>
          <t>PT KHX trên màn hình tăng sáng (50%)</t>
        </is>
      </c>
      <c r="G91" s="164" t="inlineStr">
        <is>
          <t>Đặc biệt</t>
        </is>
      </c>
      <c r="H91" s="154" t="n">
        <v>0</v>
      </c>
      <c r="I91" s="143" t="inlineStr">
        <is>
          <t>BẢO</t>
        </is>
      </c>
      <c r="J91" s="144">
        <f>R91-L91-N91-P91-Q91</f>
        <v/>
      </c>
      <c r="K91" s="144" t="inlineStr">
        <is>
          <t>G.TỬ</t>
        </is>
      </c>
      <c r="L91" s="144">
        <f>IF(K91="-",0,H91*0.03)</f>
        <v/>
      </c>
      <c r="M91" s="144" t="inlineStr">
        <is>
          <t>V.TÂN</t>
        </is>
      </c>
      <c r="N91" s="144">
        <f>IF(M91="-",0,H91*0.02)</f>
        <v/>
      </c>
      <c r="O91" s="144" t="inlineStr">
        <is>
          <t>LỘC</t>
        </is>
      </c>
      <c r="P91" s="144">
        <f>IF(O91="-",0,H91*0.01)</f>
        <v/>
      </c>
      <c r="Q91" s="144">
        <f>H91*0.005</f>
        <v/>
      </c>
      <c r="R91" s="144" t="n"/>
      <c r="S91" s="145" t="n"/>
      <c r="T91" s="145" t="n"/>
      <c r="U91" s="145" t="n"/>
      <c r="V91" s="145" t="n"/>
    </row>
    <row r="92" ht="15" customFormat="1" customHeight="1" s="202">
      <c r="A92" s="142" t="n">
        <v>86</v>
      </c>
      <c r="B92" s="254" t="n">
        <v>46185</v>
      </c>
      <c r="C92" s="153" t="inlineStr">
        <is>
          <t>Đinh Thị Thi</t>
        </is>
      </c>
      <c r="D92" s="164" t="n"/>
      <c r="E92" s="165" t="n">
        <v>55</v>
      </c>
      <c r="F92" s="166" t="inlineStr">
        <is>
          <t>PT thay toàn bộ khớp háng</t>
        </is>
      </c>
      <c r="G92" s="164" t="inlineStr">
        <is>
          <t>Đặc biệt</t>
        </is>
      </c>
      <c r="H92" s="154" t="n">
        <v>3525500</v>
      </c>
      <c r="I92" s="143" t="inlineStr">
        <is>
          <t>SƠN</t>
        </is>
      </c>
      <c r="J92" s="144">
        <f>R92-L92-N92-P92-Q92</f>
        <v/>
      </c>
      <c r="K92" s="144" t="inlineStr">
        <is>
          <t>BẢO</t>
        </is>
      </c>
      <c r="L92" s="144">
        <f>IF(K92="-",0,H92*0.03)</f>
        <v/>
      </c>
      <c r="M92" s="144" t="inlineStr">
        <is>
          <t>TOẢN</t>
        </is>
      </c>
      <c r="N92" s="144">
        <f>IF(M92="-",0,H92*0.02)</f>
        <v/>
      </c>
      <c r="O92" s="144" t="inlineStr">
        <is>
          <t>V.HƯỞNG</t>
        </is>
      </c>
      <c r="P92" s="144">
        <f>IF(O92="-",0,H92*0.01)</f>
        <v/>
      </c>
      <c r="Q92" s="144">
        <f>H92*0.005</f>
        <v/>
      </c>
      <c r="R92" s="144" t="n"/>
      <c r="S92" s="145" t="n"/>
      <c r="T92" s="145" t="n"/>
      <c r="U92" s="145" t="n"/>
      <c r="V92" s="145" t="n"/>
    </row>
    <row r="93" ht="15" customFormat="1" customHeight="1" s="202">
      <c r="A93" s="142" t="n">
        <v>87</v>
      </c>
      <c r="B93" s="254" t="n">
        <v>46185</v>
      </c>
      <c r="C93" s="153" t="inlineStr">
        <is>
          <t>Trần Thị Mộng Thắm</t>
        </is>
      </c>
      <c r="D93" s="164" t="n"/>
      <c r="E93" s="165" t="n">
        <v>56</v>
      </c>
      <c r="F93" s="166" t="inlineStr">
        <is>
          <t>PT thay toàn bộ khớp háng</t>
        </is>
      </c>
      <c r="G93" s="164" t="inlineStr">
        <is>
          <t>Đặc biệt</t>
        </is>
      </c>
      <c r="H93" s="154" t="n">
        <v>3525500</v>
      </c>
      <c r="I93" s="143" t="inlineStr">
        <is>
          <t>HOAN</t>
        </is>
      </c>
      <c r="J93" s="144">
        <f>R93-L93-N93-P93-Q93</f>
        <v/>
      </c>
      <c r="K93" s="144" t="inlineStr">
        <is>
          <t>TOẢN</t>
        </is>
      </c>
      <c r="L93" s="144">
        <f>IF(K93="-",0,H93*0.03)</f>
        <v/>
      </c>
      <c r="M93" s="144" t="inlineStr">
        <is>
          <t>BẢO</t>
        </is>
      </c>
      <c r="N93" s="144">
        <f>IF(M93="-",0,H93*0.02)</f>
        <v/>
      </c>
      <c r="O93" s="144" t="inlineStr">
        <is>
          <t>V.HƯỞNG</t>
        </is>
      </c>
      <c r="P93" s="144">
        <f>IF(O93="-",0,H93*0.01)</f>
        <v/>
      </c>
      <c r="Q93" s="144">
        <f>H93*0.005</f>
        <v/>
      </c>
      <c r="R93" s="144" t="n"/>
      <c r="S93" s="145" t="n"/>
      <c r="T93" s="145" t="n"/>
      <c r="U93" s="145" t="n"/>
      <c r="V93" s="145" t="n"/>
    </row>
    <row r="94" ht="15" customFormat="1" customHeight="1" s="202">
      <c r="A94" s="142" t="n">
        <v>88</v>
      </c>
      <c r="B94" s="254" t="n">
        <v>46185</v>
      </c>
      <c r="C94" s="153" t="inlineStr">
        <is>
          <t>Đặng Kim Bích</t>
        </is>
      </c>
      <c r="D94" s="164" t="n"/>
      <c r="E94" s="165" t="n">
        <v>54</v>
      </c>
      <c r="F94" s="166" t="inlineStr">
        <is>
          <t>PTNS khâu sụn chêm</t>
        </is>
      </c>
      <c r="G94" s="164" t="inlineStr">
        <is>
          <t>Đặc biệt</t>
        </is>
      </c>
      <c r="H94" s="154" t="n">
        <v>4397500</v>
      </c>
      <c r="I94" s="143" t="inlineStr">
        <is>
          <t>SƠN</t>
        </is>
      </c>
      <c r="J94" s="144">
        <f>R94-L94-N94-P94-Q94</f>
        <v/>
      </c>
      <c r="K94" s="144" t="inlineStr">
        <is>
          <t>HOAN</t>
        </is>
      </c>
      <c r="L94" s="144">
        <f>IF(K94="-",0,H94*0.03)</f>
        <v/>
      </c>
      <c r="M94" s="144" t="inlineStr">
        <is>
          <t>V.HƯỞNG</t>
        </is>
      </c>
      <c r="N94" s="144">
        <f>IF(M94="-",0,H94*0.02)</f>
        <v/>
      </c>
      <c r="O94" s="144" t="inlineStr">
        <is>
          <t>THUÝ</t>
        </is>
      </c>
      <c r="P94" s="144">
        <f>IF(O94="-",0,H94*0.01)</f>
        <v/>
      </c>
      <c r="Q94" s="144">
        <f>H94*0.005</f>
        <v/>
      </c>
      <c r="R94" s="144" t="n"/>
      <c r="S94" s="145" t="n"/>
      <c r="T94" s="145" t="n"/>
      <c r="U94" s="145" t="n"/>
      <c r="V94" s="145" t="n"/>
    </row>
    <row r="95" ht="15" customFormat="1" customHeight="1" s="202">
      <c r="A95" s="142" t="n">
        <v>89</v>
      </c>
      <c r="B95" s="254" t="n">
        <v>46185</v>
      </c>
      <c r="C95" s="153" t="inlineStr">
        <is>
          <t>Hoàng Tuấn Anh</t>
        </is>
      </c>
      <c r="D95" s="164" t="n">
        <v>44</v>
      </c>
      <c r="E95" s="165" t="n"/>
      <c r="F95" s="166" t="inlineStr">
        <is>
          <t>PT KHX trên màn hình tăng sáng</t>
        </is>
      </c>
      <c r="G95" s="164" t="inlineStr">
        <is>
          <t>Đặc biệt</t>
        </is>
      </c>
      <c r="H95" s="154" t="n">
        <v>4497500</v>
      </c>
      <c r="I95" s="143" t="inlineStr">
        <is>
          <t>DUY</t>
        </is>
      </c>
      <c r="J95" s="144">
        <f>R95-L95-N95-P95-Q95</f>
        <v/>
      </c>
      <c r="K95" s="144" t="inlineStr">
        <is>
          <t>THUÝ</t>
        </is>
      </c>
      <c r="L95" s="144">
        <f>IF(K95="-",0,H95*0.03)</f>
        <v/>
      </c>
      <c r="M95" s="144" t="inlineStr">
        <is>
          <t>V.HƯỞNG</t>
        </is>
      </c>
      <c r="N95" s="144">
        <f>IF(M95="-",0,H95*0.02)</f>
        <v/>
      </c>
      <c r="O95" s="144" t="inlineStr">
        <is>
          <t>CHỈNH</t>
        </is>
      </c>
      <c r="P95" s="144">
        <f>IF(O95="-",0,H95*0.01)</f>
        <v/>
      </c>
      <c r="Q95" s="144">
        <f>H95*0.005</f>
        <v/>
      </c>
      <c r="R95" s="144" t="n"/>
      <c r="S95" s="145" t="n"/>
      <c r="T95" s="145" t="n"/>
      <c r="U95" s="145" t="n"/>
      <c r="V95" s="145" t="n"/>
    </row>
    <row r="96" ht="15" customFormat="1" customHeight="1" s="202">
      <c r="A96" s="142" t="n">
        <v>90</v>
      </c>
      <c r="B96" s="254" t="n">
        <v>46185</v>
      </c>
      <c r="C96" s="153" t="inlineStr">
        <is>
          <t>Lê Văn Mạnh</t>
        </is>
      </c>
      <c r="D96" s="164" t="n">
        <v>59</v>
      </c>
      <c r="E96" s="165" t="n"/>
      <c r="F96" s="166" t="inlineStr">
        <is>
          <t>PT KHX trên màn hình tăng sáng</t>
        </is>
      </c>
      <c r="G96" s="164" t="inlineStr">
        <is>
          <t>Đặc biệt</t>
        </is>
      </c>
      <c r="H96" s="154" t="n">
        <v>4497500</v>
      </c>
      <c r="I96" s="143" t="inlineStr">
        <is>
          <t>DUY</t>
        </is>
      </c>
      <c r="J96" s="144">
        <f>R96-L96-N96-P96-Q96</f>
        <v/>
      </c>
      <c r="K96" s="144" t="inlineStr">
        <is>
          <t>THUÝ</t>
        </is>
      </c>
      <c r="L96" s="144">
        <f>IF(K96="-",0,H96*0.03)</f>
        <v/>
      </c>
      <c r="M96" s="144" t="inlineStr">
        <is>
          <t>CHỈNH</t>
        </is>
      </c>
      <c r="N96" s="144">
        <f>IF(M96="-",0,H96*0.02)</f>
        <v/>
      </c>
      <c r="O96" s="144" t="inlineStr">
        <is>
          <t>V.HƯỞNG</t>
        </is>
      </c>
      <c r="P96" s="144">
        <f>IF(O96="-",0,H96*0.01)</f>
        <v/>
      </c>
      <c r="Q96" s="144">
        <f>H96*0.005</f>
        <v/>
      </c>
      <c r="R96" s="144" t="n"/>
      <c r="S96" s="145" t="n"/>
      <c r="T96" s="145" t="n"/>
      <c r="U96" s="145" t="n"/>
      <c r="V96" s="145" t="n"/>
    </row>
    <row r="97" ht="15" customFormat="1" customHeight="1" s="202">
      <c r="A97" s="142" t="n">
        <v>91</v>
      </c>
      <c r="B97" s="255" t="n">
        <v>46185</v>
      </c>
      <c r="C97" s="187" t="inlineStr">
        <is>
          <t>Nguyễn Thị Như Trúc</t>
        </is>
      </c>
      <c r="D97" s="188" t="n"/>
      <c r="E97" s="189" t="n">
        <v>20</v>
      </c>
      <c r="F97" s="190" t="inlineStr">
        <is>
          <t xml:space="preserve">PT xơ cứng cơ ức đoàn chủm </t>
        </is>
      </c>
      <c r="G97" s="188" t="inlineStr">
        <is>
          <t>Loại 2</t>
        </is>
      </c>
      <c r="H97" s="191" t="n">
        <v>3076300</v>
      </c>
      <c r="I97" s="143" t="inlineStr">
        <is>
          <t>HOAN</t>
        </is>
      </c>
      <c r="J97" s="144">
        <f>R97-L97-N97-P97-Q97</f>
        <v/>
      </c>
      <c r="K97" s="144" t="inlineStr">
        <is>
          <t>G.TỬ</t>
        </is>
      </c>
      <c r="L97" s="144">
        <f>IF(K97="-",0,H97*0.03)</f>
        <v/>
      </c>
      <c r="M97" s="144" t="inlineStr">
        <is>
          <t>THUÝ</t>
        </is>
      </c>
      <c r="N97" s="144">
        <f>IF(M97="-",0,H97*0.02)</f>
        <v/>
      </c>
      <c r="O97" s="144" t="inlineStr">
        <is>
          <t>HẬU</t>
        </is>
      </c>
      <c r="P97" s="144">
        <f>IF(O97="-",0,H97*0.01)</f>
        <v/>
      </c>
      <c r="Q97" s="144">
        <f>H97*0.005</f>
        <v/>
      </c>
      <c r="R97" s="144" t="n"/>
      <c r="S97" s="145" t="n"/>
      <c r="T97" s="145" t="n"/>
      <c r="U97" s="145" t="n"/>
      <c r="V97" s="145" t="n"/>
    </row>
    <row r="98" ht="15" customFormat="1" customHeight="1" s="202">
      <c r="A98" s="142" t="n">
        <v>92</v>
      </c>
      <c r="B98" s="255" t="n">
        <v>46185</v>
      </c>
      <c r="C98" s="187" t="inlineStr">
        <is>
          <t>TRẦN ĐẶNG NHƠN</t>
        </is>
      </c>
      <c r="D98" s="188" t="n">
        <v>35</v>
      </c>
      <c r="E98" s="189" t="n"/>
      <c r="F98" s="190" t="inlineStr">
        <is>
          <t>PT KHX trên màn hình tăng sáng</t>
        </is>
      </c>
      <c r="G98" s="188" t="inlineStr">
        <is>
          <t>Đặc biệt</t>
        </is>
      </c>
      <c r="H98" s="191" t="n">
        <v>4497500</v>
      </c>
      <c r="I98" s="143" t="inlineStr">
        <is>
          <t>SƠN</t>
        </is>
      </c>
      <c r="J98" s="144">
        <f>R98-L98-N98-P98-Q98</f>
        <v/>
      </c>
      <c r="K98" s="144" t="inlineStr">
        <is>
          <t>TOẢN</t>
        </is>
      </c>
      <c r="L98" s="144">
        <f>IF(K98="-",0,H98*0.03)</f>
        <v/>
      </c>
      <c r="M98" s="144" t="inlineStr">
        <is>
          <t>NGHĨA</t>
        </is>
      </c>
      <c r="N98" s="144">
        <f>IF(M98="-",0,H98*0.02)</f>
        <v/>
      </c>
      <c r="O98" s="144" t="inlineStr">
        <is>
          <t>CHỈNH</t>
        </is>
      </c>
      <c r="P98" s="144">
        <f>IF(O98="-",0,H98*0.01)</f>
        <v/>
      </c>
      <c r="Q98" s="144">
        <f>H98*0.005</f>
        <v/>
      </c>
      <c r="R98" s="144" t="n"/>
      <c r="S98" s="145" t="n"/>
      <c r="T98" s="145" t="n"/>
      <c r="U98" s="145" t="n"/>
      <c r="V98" s="145" t="n"/>
    </row>
    <row r="99" ht="15" customFormat="1" customHeight="1" s="202">
      <c r="A99" s="142" t="n">
        <v>93</v>
      </c>
      <c r="B99" s="255" t="n">
        <v>46186</v>
      </c>
      <c r="C99" s="187" t="inlineStr">
        <is>
          <t>Cao Thị Bảy</t>
        </is>
      </c>
      <c r="D99" s="188" t="n"/>
      <c r="E99" s="189" t="n">
        <v>85</v>
      </c>
      <c r="F99" s="190" t="inlineStr">
        <is>
          <t>PT thay khớp háng bán phần</t>
        </is>
      </c>
      <c r="G99" s="188" t="inlineStr">
        <is>
          <t>Loại 1</t>
        </is>
      </c>
      <c r="H99" s="191" t="n">
        <v>3897500</v>
      </c>
      <c r="I99" s="143" t="inlineStr">
        <is>
          <t>SƠN</t>
        </is>
      </c>
      <c r="J99" s="144">
        <f>R99-L99-N99-P99-Q99</f>
        <v/>
      </c>
      <c r="K99" s="144" t="inlineStr">
        <is>
          <t>BẢO</t>
        </is>
      </c>
      <c r="L99" s="144">
        <f>IF(K99="-",0,H99*0.03)</f>
        <v/>
      </c>
      <c r="M99" s="144" t="inlineStr">
        <is>
          <t>G.TỬ</t>
        </is>
      </c>
      <c r="N99" s="144">
        <f>IF(M99="-",0,H99*0.02)</f>
        <v/>
      </c>
      <c r="O99" s="144" t="inlineStr">
        <is>
          <t>CHỈNH</t>
        </is>
      </c>
      <c r="P99" s="144">
        <f>IF(O99="-",0,H99*0.01)</f>
        <v/>
      </c>
      <c r="Q99" s="144">
        <f>H99*0.005</f>
        <v/>
      </c>
      <c r="R99" s="144" t="n"/>
      <c r="S99" s="145" t="n"/>
      <c r="T99" s="145" t="n"/>
      <c r="U99" s="145" t="n"/>
      <c r="V99" s="145" t="n"/>
    </row>
    <row r="100" ht="15" customFormat="1" customHeight="1" s="202">
      <c r="A100" s="142" t="n">
        <v>94</v>
      </c>
      <c r="B100" s="255" t="n">
        <v>46186</v>
      </c>
      <c r="C100" s="187" t="inlineStr">
        <is>
          <t>Chiêm Thị Nhàn</t>
        </is>
      </c>
      <c r="D100" s="188" t="n"/>
      <c r="E100" s="189" t="n">
        <v>73</v>
      </c>
      <c r="F100" s="190" t="inlineStr">
        <is>
          <t>PT KHX trên màn hình tăng sáng</t>
        </is>
      </c>
      <c r="G100" s="188" t="inlineStr">
        <is>
          <t>Đặc biệt</t>
        </is>
      </c>
      <c r="H100" s="191" t="n">
        <v>4497500</v>
      </c>
      <c r="I100" s="143" t="inlineStr">
        <is>
          <t>SƠN</t>
        </is>
      </c>
      <c r="J100" s="144">
        <f>R100-L100-N100-P100-Q100</f>
        <v/>
      </c>
      <c r="K100" s="144" t="inlineStr">
        <is>
          <t>G.TỬ</t>
        </is>
      </c>
      <c r="L100" s="144">
        <f>IF(K100="-",0,H100*0.03)</f>
        <v/>
      </c>
      <c r="M100" s="144" t="inlineStr">
        <is>
          <t>TOẢN</t>
        </is>
      </c>
      <c r="N100" s="144">
        <f>IF(M100="-",0,H100*0.02)</f>
        <v/>
      </c>
      <c r="O100" s="144" t="inlineStr">
        <is>
          <t>CHỈNH</t>
        </is>
      </c>
      <c r="P100" s="144">
        <f>IF(O100="-",0,H100*0.01)</f>
        <v/>
      </c>
      <c r="Q100" s="144">
        <f>H100*0.005</f>
        <v/>
      </c>
      <c r="R100" s="144" t="n"/>
      <c r="S100" s="145" t="n"/>
      <c r="T100" s="145" t="n"/>
      <c r="U100" s="145" t="n"/>
      <c r="V100" s="145" t="n"/>
    </row>
    <row r="101" ht="15" customFormat="1" customHeight="1" s="202">
      <c r="A101" s="142" t="n">
        <v>95</v>
      </c>
      <c r="B101" s="255" t="n">
        <v>46187</v>
      </c>
      <c r="C101" s="187" t="inlineStr">
        <is>
          <t>Triệu Cẩm Thu</t>
        </is>
      </c>
      <c r="D101" s="188" t="n"/>
      <c r="E101" s="189" t="n">
        <v>53</v>
      </c>
      <c r="F101" s="190" t="inlineStr">
        <is>
          <t>PT KHX trên màn hình tắng sáng</t>
        </is>
      </c>
      <c r="G101" s="188" t="inlineStr">
        <is>
          <t>Đặc biệt</t>
        </is>
      </c>
      <c r="H101" s="191" t="n">
        <v>4497500</v>
      </c>
      <c r="I101" s="143" t="inlineStr">
        <is>
          <t>SƠN</t>
        </is>
      </c>
      <c r="J101" s="144">
        <f>R101-L101-N101-P101-Q101</f>
        <v/>
      </c>
      <c r="K101" s="144" t="inlineStr">
        <is>
          <t>KHANG</t>
        </is>
      </c>
      <c r="L101" s="144">
        <f>IF(K101="-",0,H101*0.03)</f>
        <v/>
      </c>
      <c r="M101" s="144" t="inlineStr">
        <is>
          <t>HẬU</t>
        </is>
      </c>
      <c r="N101" s="144">
        <f>IF(M101="-",0,H101*0.02)</f>
        <v/>
      </c>
      <c r="O101" s="144" t="inlineStr">
        <is>
          <t>THUÝ</t>
        </is>
      </c>
      <c r="P101" s="144">
        <f>IF(O101="-",0,H101*0.01)</f>
        <v/>
      </c>
      <c r="Q101" s="144">
        <f>H101*0.005</f>
        <v/>
      </c>
      <c r="R101" s="144" t="n"/>
      <c r="S101" s="145" t="n"/>
      <c r="T101" s="145" t="n"/>
      <c r="U101" s="145" t="n"/>
      <c r="V101" s="145" t="n"/>
    </row>
    <row r="102" ht="15" customFormat="1" customHeight="1" s="202">
      <c r="A102" s="142" t="n">
        <v>96</v>
      </c>
      <c r="B102" s="255" t="n">
        <v>46187</v>
      </c>
      <c r="C102" s="187" t="inlineStr">
        <is>
          <t>CAO KIỀU DUYÊN</t>
        </is>
      </c>
      <c r="D102" s="188" t="n"/>
      <c r="E102" s="189" t="n">
        <v>35</v>
      </c>
      <c r="F102" s="190" t="inlineStr">
        <is>
          <t>PT KHX trên màn hình tăng sáng</t>
        </is>
      </c>
      <c r="G102" s="188" t="inlineStr">
        <is>
          <t>Đặc biệt</t>
        </is>
      </c>
      <c r="H102" s="191" t="n">
        <v>4497500</v>
      </c>
      <c r="I102" s="143" t="inlineStr">
        <is>
          <t>SƠN</t>
        </is>
      </c>
      <c r="J102" s="144">
        <f>R102-L102-N102-P102-Q102</f>
        <v/>
      </c>
      <c r="K102" s="144" t="inlineStr">
        <is>
          <t>KHANG</t>
        </is>
      </c>
      <c r="L102" s="144">
        <f>IF(K102="-",0,H102*0.03)</f>
        <v/>
      </c>
      <c r="M102" s="144" t="inlineStr">
        <is>
          <t>THUÝ</t>
        </is>
      </c>
      <c r="N102" s="144">
        <f>IF(M102="-",0,H102*0.02)</f>
        <v/>
      </c>
      <c r="O102" s="144" t="inlineStr">
        <is>
          <t>HẬU</t>
        </is>
      </c>
      <c r="P102" s="144">
        <f>IF(O102="-",0,H102*0.01)</f>
        <v/>
      </c>
      <c r="Q102" s="144">
        <f>H102*0.005</f>
        <v/>
      </c>
      <c r="R102" s="144" t="n"/>
      <c r="S102" s="145" t="n"/>
      <c r="T102" s="145" t="n"/>
      <c r="U102" s="145" t="n"/>
      <c r="V102" s="145" t="n"/>
    </row>
    <row r="103" ht="15" customFormat="1" customHeight="1" s="202">
      <c r="A103" s="142" t="n">
        <v>97</v>
      </c>
      <c r="B103" s="255" t="n">
        <v>46188</v>
      </c>
      <c r="C103" s="187" t="inlineStr">
        <is>
          <t>Lê Thị Kim Điểu</t>
        </is>
      </c>
      <c r="D103" s="188" t="n"/>
      <c r="E103" s="189" t="n">
        <v>68</v>
      </c>
      <c r="F103" s="190" t="inlineStr">
        <is>
          <t>Cắt lọc hoại tử ổ loét vết thương mạn tính</t>
        </is>
      </c>
      <c r="G103" s="188" t="inlineStr">
        <is>
          <t>Loại 2</t>
        </is>
      </c>
      <c r="H103" s="191" t="n">
        <v>2127400</v>
      </c>
      <c r="I103" s="143" t="inlineStr">
        <is>
          <t>BẢO</t>
        </is>
      </c>
      <c r="J103" s="144">
        <f>R103-L103-N103-P103-Q103</f>
        <v/>
      </c>
      <c r="K103" s="144" t="inlineStr">
        <is>
          <t>V.HƯỞNG</t>
        </is>
      </c>
      <c r="L103" s="144">
        <f>IF(K103="-",0,H103*0.03)</f>
        <v/>
      </c>
      <c r="M103" s="144" t="inlineStr">
        <is>
          <t>CHỈNH</t>
        </is>
      </c>
      <c r="N103" s="144">
        <f>IF(M103="-",0,H103*0.02)</f>
        <v/>
      </c>
      <c r="O103" s="144" t="inlineStr">
        <is>
          <t>-</t>
        </is>
      </c>
      <c r="P103" s="144">
        <f>IF(O103="-",0,H103*0.01)</f>
        <v/>
      </c>
      <c r="Q103" s="144">
        <f>H103*0.005</f>
        <v/>
      </c>
      <c r="R103" s="144" t="n"/>
      <c r="S103" s="145" t="n"/>
      <c r="T103" s="145" t="n"/>
      <c r="U103" s="145" t="n"/>
      <c r="V103" s="145" t="n"/>
    </row>
    <row r="104" ht="15" customFormat="1" customHeight="1" s="202">
      <c r="A104" s="142" t="n">
        <v>98</v>
      </c>
      <c r="B104" s="255" t="n">
        <v>46188</v>
      </c>
      <c r="C104" s="187" t="inlineStr">
        <is>
          <t>Đặng Thị Xoe</t>
        </is>
      </c>
      <c r="D104" s="188" t="n"/>
      <c r="E104" s="189" t="n">
        <v>90</v>
      </c>
      <c r="F104" s="190" t="inlineStr">
        <is>
          <t>PT thay khớp háng bán phần</t>
        </is>
      </c>
      <c r="G104" s="188" t="inlineStr">
        <is>
          <t>Loại 1</t>
        </is>
      </c>
      <c r="H104" s="191" t="n">
        <v>3897500</v>
      </c>
      <c r="I104" s="143" t="inlineStr">
        <is>
          <t>HOAN</t>
        </is>
      </c>
      <c r="J104" s="144">
        <f>R104-L104-N104-P104-Q104</f>
        <v/>
      </c>
      <c r="K104" s="144" t="inlineStr">
        <is>
          <t>DUY</t>
        </is>
      </c>
      <c r="L104" s="144">
        <f>IF(K104="-",0,H104*0.03)</f>
        <v/>
      </c>
      <c r="M104" s="144" t="inlineStr">
        <is>
          <t>TOẢN</t>
        </is>
      </c>
      <c r="N104" s="144">
        <f>IF(M104="-",0,H104*0.02)</f>
        <v/>
      </c>
      <c r="O104" s="144" t="inlineStr">
        <is>
          <t>V.HƯỞNG</t>
        </is>
      </c>
      <c r="P104" s="144">
        <f>IF(O104="-",0,H104*0.01)</f>
        <v/>
      </c>
      <c r="Q104" s="144">
        <f>H104*0.005</f>
        <v/>
      </c>
      <c r="R104" s="144" t="n"/>
      <c r="S104" s="145" t="n"/>
      <c r="T104" s="145" t="n"/>
      <c r="U104" s="145" t="n"/>
      <c r="V104" s="145" t="n"/>
    </row>
    <row r="105" ht="15" customFormat="1" customHeight="1" s="202">
      <c r="A105" s="142" t="n">
        <v>99</v>
      </c>
      <c r="B105" s="255" t="n">
        <v>46188</v>
      </c>
      <c r="C105" s="187" t="inlineStr">
        <is>
          <t>Huỳnh Kim Đồng</t>
        </is>
      </c>
      <c r="D105" s="188" t="n">
        <v>82</v>
      </c>
      <c r="E105" s="189" t="n"/>
      <c r="F105" s="190" t="inlineStr">
        <is>
          <t>PT thay khớp háng bán phần</t>
        </is>
      </c>
      <c r="G105" s="188" t="inlineStr">
        <is>
          <t>Loại 1</t>
        </is>
      </c>
      <c r="H105" s="191" t="n">
        <v>3897500</v>
      </c>
      <c r="I105" s="143" t="inlineStr">
        <is>
          <t>HOAN</t>
        </is>
      </c>
      <c r="J105" s="144">
        <f>R105-L105-N105-P105-Q105</f>
        <v/>
      </c>
      <c r="K105" s="144" t="inlineStr">
        <is>
          <t>G.TỬ</t>
        </is>
      </c>
      <c r="L105" s="144">
        <f>IF(K105="-",0,H105*0.03)</f>
        <v/>
      </c>
      <c r="M105" s="144" t="inlineStr">
        <is>
          <t>TOẢN</t>
        </is>
      </c>
      <c r="N105" s="144">
        <f>IF(M105="-",0,H105*0.02)</f>
        <v/>
      </c>
      <c r="O105" s="144" t="inlineStr">
        <is>
          <t>NHỊ</t>
        </is>
      </c>
      <c r="P105" s="144">
        <f>IF(O105="-",0,H105*0.01)</f>
        <v/>
      </c>
      <c r="Q105" s="144">
        <f>H105*0.005</f>
        <v/>
      </c>
      <c r="R105" s="144" t="n"/>
      <c r="S105" s="145" t="n"/>
      <c r="T105" s="145" t="n"/>
      <c r="U105" s="145" t="n"/>
      <c r="V105" s="145" t="n"/>
    </row>
    <row r="106" ht="15" customFormat="1" customHeight="1" s="202">
      <c r="A106" s="142" t="n">
        <v>100</v>
      </c>
      <c r="B106" s="255" t="n">
        <v>46188</v>
      </c>
      <c r="C106" s="187" t="inlineStr">
        <is>
          <t>Nguyễn Thị Mười</t>
        </is>
      </c>
      <c r="D106" s="188" t="n"/>
      <c r="E106" s="189" t="n">
        <v>75</v>
      </c>
      <c r="F106" s="190" t="inlineStr">
        <is>
          <t>Cố định cột sống và hàn khớp qua bên thân đốt cột sống thắt lưng cùng đường sau PLIF</t>
        </is>
      </c>
      <c r="G106" s="188" t="inlineStr">
        <is>
          <t>Đặc biệt</t>
        </is>
      </c>
      <c r="H106" s="191" t="n">
        <v>4201900</v>
      </c>
      <c r="I106" s="143" t="inlineStr">
        <is>
          <t>HOAN</t>
        </is>
      </c>
      <c r="J106" s="144">
        <f>R106-L106-N106-P106-Q106</f>
        <v/>
      </c>
      <c r="K106" s="144" t="inlineStr">
        <is>
          <t>DUY</t>
        </is>
      </c>
      <c r="L106" s="144">
        <f>IF(K106="-",0,H106*0.03)</f>
        <v/>
      </c>
      <c r="M106" s="144" t="inlineStr">
        <is>
          <t>G.TỬ</t>
        </is>
      </c>
      <c r="N106" s="144">
        <f>IF(M106="-",0,H106*0.02)</f>
        <v/>
      </c>
      <c r="O106" s="144" t="inlineStr">
        <is>
          <t>NHỊ</t>
        </is>
      </c>
      <c r="P106" s="144">
        <f>IF(O106="-",0,H106*0.01)</f>
        <v/>
      </c>
      <c r="Q106" s="144">
        <f>H106*0.005</f>
        <v/>
      </c>
      <c r="R106" s="144" t="n"/>
      <c r="S106" s="145" t="n"/>
      <c r="T106" s="145" t="n"/>
      <c r="U106" s="145" t="n"/>
      <c r="V106" s="145" t="n"/>
    </row>
    <row r="107" ht="15" customFormat="1" customHeight="1" s="202">
      <c r="A107" s="142" t="n">
        <v>101</v>
      </c>
      <c r="B107" s="255" t="n">
        <v>46188</v>
      </c>
      <c r="C107" s="187" t="inlineStr">
        <is>
          <t>Lê Thành Đạt</t>
        </is>
      </c>
      <c r="D107" s="188" t="n">
        <v>51</v>
      </c>
      <c r="E107" s="189" t="n"/>
      <c r="F107" s="190" t="inlineStr">
        <is>
          <t>PT KHX trên màn hình tắng sáng</t>
        </is>
      </c>
      <c r="G107" s="188" t="inlineStr">
        <is>
          <t>Đặc biệt</t>
        </is>
      </c>
      <c r="H107" s="191" t="n">
        <v>0</v>
      </c>
      <c r="I107" s="143" t="inlineStr">
        <is>
          <t>ĐIỀN</t>
        </is>
      </c>
      <c r="J107" s="144">
        <f>R107-L107-N107-P107-Q107</f>
        <v/>
      </c>
      <c r="K107" s="144" t="inlineStr">
        <is>
          <t>G.TỬ</t>
        </is>
      </c>
      <c r="L107" s="144">
        <f>IF(K107="-",0,H107*0.03)</f>
        <v/>
      </c>
      <c r="M107" s="144" t="inlineStr">
        <is>
          <t>V.HƯỞNG</t>
        </is>
      </c>
      <c r="N107" s="144">
        <f>IF(M107="-",0,H107*0.02)</f>
        <v/>
      </c>
      <c r="O107" s="144" t="inlineStr">
        <is>
          <t>NHỊ</t>
        </is>
      </c>
      <c r="P107" s="144">
        <f>IF(O107="-",0,H107*0.01)</f>
        <v/>
      </c>
      <c r="Q107" s="144">
        <f>H107*0.005</f>
        <v/>
      </c>
      <c r="R107" s="144" t="n"/>
      <c r="S107" s="145" t="n"/>
      <c r="T107" s="145" t="n"/>
      <c r="U107" s="145" t="n"/>
      <c r="V107" s="145" t="n"/>
    </row>
    <row r="108" ht="15" customFormat="1" customHeight="1" s="202">
      <c r="A108" s="142" t="n">
        <v>102</v>
      </c>
      <c r="B108" s="255" t="n">
        <v>46188</v>
      </c>
      <c r="C108" s="187" t="inlineStr">
        <is>
          <t>Đặng Tôn Thịnh</t>
        </is>
      </c>
      <c r="D108" s="188" t="n">
        <v>43</v>
      </c>
      <c r="E108" s="189" t="n"/>
      <c r="F108" s="190" t="inlineStr">
        <is>
          <t>Khâu phục hồi tổn thương gân duỗi</t>
        </is>
      </c>
      <c r="G108" s="188" t="n"/>
      <c r="H108" s="191" t="n">
        <v>5302000</v>
      </c>
      <c r="I108" s="143" t="inlineStr">
        <is>
          <t>BẢO</t>
        </is>
      </c>
      <c r="J108" s="144">
        <f>R108-L108-N108-P108-Q108</f>
        <v/>
      </c>
      <c r="K108" s="144" t="inlineStr">
        <is>
          <t>NHỊ</t>
        </is>
      </c>
      <c r="L108" s="144">
        <f>IF(K108="-",0,H108*0.03)</f>
        <v/>
      </c>
      <c r="M108" s="144" t="inlineStr">
        <is>
          <t>LỘC</t>
        </is>
      </c>
      <c r="N108" s="144">
        <f>IF(M108="-",0,H108*0.02)</f>
        <v/>
      </c>
      <c r="O108" s="144" t="inlineStr">
        <is>
          <t>V.HƯỞNG</t>
        </is>
      </c>
      <c r="P108" s="144">
        <f>IF(O108="-",0,H108*0.01)</f>
        <v/>
      </c>
      <c r="Q108" s="144">
        <f>H108*0.005</f>
        <v/>
      </c>
      <c r="R108" s="144" t="n"/>
      <c r="S108" s="145" t="n"/>
      <c r="T108" s="145" t="n"/>
      <c r="U108" s="145" t="n"/>
      <c r="V108" s="145" t="n"/>
    </row>
    <row r="109" ht="15" customFormat="1" customHeight="1" s="202">
      <c r="A109" s="142" t="n">
        <v>103</v>
      </c>
      <c r="B109" s="255" t="n">
        <v>46189</v>
      </c>
      <c r="C109" s="187" t="inlineStr">
        <is>
          <t>Châu Thị A</t>
        </is>
      </c>
      <c r="D109" s="188" t="n"/>
      <c r="E109" s="189" t="n">
        <v>68</v>
      </c>
      <c r="F109" s="190" t="inlineStr">
        <is>
          <t>Cắt lọc hoại tử ổ loét vết thương mạn tính (gây tê)</t>
        </is>
      </c>
      <c r="G109" s="188" t="inlineStr">
        <is>
          <t>Loại 2</t>
        </is>
      </c>
      <c r="H109" s="191" t="n">
        <v>2128200</v>
      </c>
      <c r="I109" s="143" t="inlineStr">
        <is>
          <t>V.TÂN</t>
        </is>
      </c>
      <c r="J109" s="144">
        <f>R109-L109-N109-P109-Q109</f>
        <v/>
      </c>
      <c r="K109" s="144" t="inlineStr">
        <is>
          <t>V.HƯỞNG</t>
        </is>
      </c>
      <c r="L109" s="144">
        <f>IF(K109="-",0,H109*0.03)</f>
        <v/>
      </c>
      <c r="M109" s="144" t="inlineStr">
        <is>
          <t>NHỊ</t>
        </is>
      </c>
      <c r="N109" s="144">
        <f>IF(M109="-",0,H109*0.02)</f>
        <v/>
      </c>
      <c r="O109" s="144" t="inlineStr">
        <is>
          <t>-</t>
        </is>
      </c>
      <c r="P109" s="144">
        <f>IF(O109="-",0,H109*0.01)</f>
        <v/>
      </c>
      <c r="Q109" s="144">
        <f>H109*0.005</f>
        <v/>
      </c>
      <c r="R109" s="144" t="n"/>
      <c r="S109" s="145" t="n"/>
      <c r="T109" s="145" t="n"/>
      <c r="U109" s="145" t="n"/>
      <c r="V109" s="145" t="n"/>
    </row>
    <row r="110" ht="15" customFormat="1" customHeight="1" s="202">
      <c r="A110" s="142" t="n">
        <v>104</v>
      </c>
      <c r="B110" s="255" t="n">
        <v>46189</v>
      </c>
      <c r="C110" s="187" t="inlineStr">
        <is>
          <t>Huỳnh Văn Cứ</t>
        </is>
      </c>
      <c r="D110" s="188" t="n">
        <v>59</v>
      </c>
      <c r="E110" s="189" t="n"/>
      <c r="F110" s="190" t="inlineStr">
        <is>
          <t>Cắt lọc hoại tử ổ loét vết thương mạn tính</t>
        </is>
      </c>
      <c r="G110" s="188" t="inlineStr">
        <is>
          <t>Loại 2</t>
        </is>
      </c>
      <c r="H110" s="191" t="n">
        <v>2127400</v>
      </c>
      <c r="I110" s="143" t="inlineStr">
        <is>
          <t>V.TÂN</t>
        </is>
      </c>
      <c r="J110" s="144">
        <f>R110-L110-N110-P110-Q110</f>
        <v/>
      </c>
      <c r="K110" s="144" t="inlineStr">
        <is>
          <t>BẢO</t>
        </is>
      </c>
      <c r="L110" s="144">
        <f>IF(K110="-",0,H110*0.03)</f>
        <v/>
      </c>
      <c r="M110" s="144" t="inlineStr">
        <is>
          <t>V.HƯỞNG</t>
        </is>
      </c>
      <c r="N110" s="144">
        <f>IF(M110="-",0,H110*0.02)</f>
        <v/>
      </c>
      <c r="O110" s="144" t="inlineStr">
        <is>
          <t>-</t>
        </is>
      </c>
      <c r="P110" s="144">
        <f>IF(O110="-",0,H110*0.01)</f>
        <v/>
      </c>
      <c r="Q110" s="144">
        <f>H110*0.005</f>
        <v/>
      </c>
      <c r="R110" s="144" t="n"/>
      <c r="S110" s="145" t="n"/>
      <c r="T110" s="145" t="n"/>
      <c r="U110" s="145" t="n"/>
      <c r="V110" s="145" t="n"/>
    </row>
    <row r="111" ht="15" customFormat="1" customHeight="1" s="202">
      <c r="A111" s="142" t="n">
        <v>105</v>
      </c>
      <c r="B111" s="255" t="n">
        <v>46189</v>
      </c>
      <c r="C111" s="187" t="inlineStr">
        <is>
          <t>Bùi Thị Thu Ba</t>
        </is>
      </c>
      <c r="D111" s="188" t="n"/>
      <c r="E111" s="189" t="n">
        <v>66</v>
      </c>
      <c r="F111" s="190" t="inlineStr">
        <is>
          <t>PT cắt cụt chi</t>
        </is>
      </c>
      <c r="G111" s="188" t="inlineStr">
        <is>
          <t>Loại 2</t>
        </is>
      </c>
      <c r="H111" s="191" t="n">
        <v>1947100</v>
      </c>
      <c r="I111" s="143" t="inlineStr">
        <is>
          <t>BẢO</t>
        </is>
      </c>
      <c r="J111" s="144">
        <f>R111-L111-N111-P111-Q111</f>
        <v/>
      </c>
      <c r="K111" s="144" t="inlineStr">
        <is>
          <t>BẢO</t>
        </is>
      </c>
      <c r="L111" s="144">
        <f>IF(K111="-",0,H111*0.03)</f>
        <v/>
      </c>
      <c r="M111" s="144" t="inlineStr">
        <is>
          <t>THUÝ</t>
        </is>
      </c>
      <c r="N111" s="144">
        <f>IF(M111="-",0,H111*0.02)</f>
        <v/>
      </c>
      <c r="O111" s="144" t="inlineStr">
        <is>
          <t>V.HƯỞNG</t>
        </is>
      </c>
      <c r="P111" s="144">
        <f>IF(O111="-",0,H111*0.01)</f>
        <v/>
      </c>
      <c r="Q111" s="144">
        <f>H111*0.005</f>
        <v/>
      </c>
      <c r="R111" s="144" t="n"/>
      <c r="S111" s="145" t="n"/>
      <c r="T111" s="145" t="n"/>
      <c r="U111" s="145" t="n"/>
      <c r="V111" s="145" t="n"/>
    </row>
    <row r="112" ht="15" customFormat="1" customHeight="1" s="202">
      <c r="A112" s="142" t="n">
        <v>106</v>
      </c>
      <c r="B112" s="255" t="n">
        <v>46189</v>
      </c>
      <c r="C112" s="187" t="inlineStr">
        <is>
          <t>Võ Thị Tuyết Phương</t>
        </is>
      </c>
      <c r="D112" s="188" t="n"/>
      <c r="E112" s="189" t="n">
        <v>32</v>
      </c>
      <c r="F112" s="190" t="inlineStr">
        <is>
          <t>PT vết thương phần mềm đơn giản</t>
        </is>
      </c>
      <c r="G112" s="188" t="n"/>
      <c r="H112" s="191" t="n">
        <v>4000000</v>
      </c>
      <c r="I112" s="143" t="inlineStr">
        <is>
          <t>V.TÂN</t>
        </is>
      </c>
      <c r="J112" s="144">
        <f>R112-L112-N112-P112-Q112</f>
        <v/>
      </c>
      <c r="K112" s="144" t="inlineStr">
        <is>
          <t>NHỊ</t>
        </is>
      </c>
      <c r="L112" s="144">
        <f>IF(K112="-",0,H112*0.03)</f>
        <v/>
      </c>
      <c r="M112" s="144" t="inlineStr">
        <is>
          <t>LỘC</t>
        </is>
      </c>
      <c r="N112" s="144">
        <f>IF(M112="-",0,H112*0.02)</f>
        <v/>
      </c>
      <c r="O112" s="144" t="inlineStr">
        <is>
          <t>-</t>
        </is>
      </c>
      <c r="P112" s="144">
        <f>IF(O112="-",0,H112*0.01)</f>
        <v/>
      </c>
      <c r="Q112" s="144">
        <f>H112*0.005</f>
        <v/>
      </c>
      <c r="R112" s="144" t="n"/>
      <c r="S112" s="145" t="n"/>
      <c r="T112" s="145" t="n"/>
      <c r="U112" s="145" t="n"/>
      <c r="V112" s="145" t="n"/>
    </row>
    <row r="113" ht="15" customFormat="1" customHeight="1" s="202">
      <c r="A113" s="142" t="n">
        <v>107</v>
      </c>
      <c r="B113" s="255" t="n">
        <v>46189</v>
      </c>
      <c r="C113" s="187" t="inlineStr">
        <is>
          <t>Đỗ Thị Phương Mai</t>
        </is>
      </c>
      <c r="D113" s="188" t="n"/>
      <c r="E113" s="189" t="n">
        <v>46</v>
      </c>
      <c r="F113" s="190" t="inlineStr">
        <is>
          <t>Rút đinh/tháo phương tiện KHX</t>
        </is>
      </c>
      <c r="G113" s="188" t="inlineStr">
        <is>
          <t>Loại 2</t>
        </is>
      </c>
      <c r="H113" s="191" t="n">
        <v>2559100</v>
      </c>
      <c r="I113" s="143" t="inlineStr">
        <is>
          <t>SƠN</t>
        </is>
      </c>
      <c r="J113" s="144">
        <f>R113-L113-N113-P113-Q113</f>
        <v/>
      </c>
      <c r="K113" s="144" t="inlineStr">
        <is>
          <t>V.HƯỞNG</t>
        </is>
      </c>
      <c r="L113" s="144">
        <f>IF(K113="-",0,H113*0.03)</f>
        <v/>
      </c>
      <c r="M113" s="144" t="inlineStr">
        <is>
          <t>CHỈNH</t>
        </is>
      </c>
      <c r="N113" s="144">
        <f>IF(M113="-",0,H113*0.02)</f>
        <v/>
      </c>
      <c r="O113" s="144" t="inlineStr">
        <is>
          <t>-</t>
        </is>
      </c>
      <c r="P113" s="144">
        <f>IF(O113="-",0,H113*0.01)</f>
        <v/>
      </c>
      <c r="Q113" s="144">
        <f>H113*0.005</f>
        <v/>
      </c>
      <c r="R113" s="144" t="n"/>
      <c r="S113" s="145" t="n"/>
      <c r="T113" s="145" t="n"/>
      <c r="U113" s="145" t="n"/>
      <c r="V113" s="145" t="n"/>
    </row>
    <row r="114" ht="15" customFormat="1" customHeight="1" s="202">
      <c r="A114" s="142" t="n">
        <v>108</v>
      </c>
      <c r="B114" s="255" t="n">
        <v>46189</v>
      </c>
      <c r="C114" s="187" t="inlineStr">
        <is>
          <t>Nguyễn Thị Ngọc Duyên</t>
        </is>
      </c>
      <c r="D114" s="188" t="n"/>
      <c r="E114" s="189" t="n">
        <v>55</v>
      </c>
      <c r="F114" s="190" t="inlineStr">
        <is>
          <t>PTNS khâu sụn chêm</t>
        </is>
      </c>
      <c r="G114" s="188" t="inlineStr">
        <is>
          <t>Đặc biệt</t>
        </is>
      </c>
      <c r="H114" s="191" t="n">
        <v>3405500</v>
      </c>
      <c r="I114" s="143" t="inlineStr">
        <is>
          <t>SƠN</t>
        </is>
      </c>
      <c r="J114" s="144">
        <f>R114-L114-N114-P114-Q114</f>
        <v/>
      </c>
      <c r="K114" s="144" t="inlineStr">
        <is>
          <t>TOẢN</t>
        </is>
      </c>
      <c r="L114" s="144">
        <f>IF(K114="-",0,H114*0.03)</f>
        <v/>
      </c>
      <c r="M114" s="144" t="inlineStr">
        <is>
          <t>V.HƯỞNG</t>
        </is>
      </c>
      <c r="N114" s="144">
        <f>IF(M114="-",0,H114*0.02)</f>
        <v/>
      </c>
      <c r="O114" s="144" t="inlineStr">
        <is>
          <t>CHỈNH</t>
        </is>
      </c>
      <c r="P114" s="144">
        <f>IF(O114="-",0,H114*0.01)</f>
        <v/>
      </c>
      <c r="Q114" s="144">
        <f>H114*0.005</f>
        <v/>
      </c>
      <c r="R114" s="144" t="n"/>
      <c r="S114" s="145" t="n"/>
      <c r="T114" s="145" t="n"/>
      <c r="U114" s="145" t="n"/>
      <c r="V114" s="145" t="n"/>
    </row>
    <row r="115" ht="15" customFormat="1" customHeight="1" s="202">
      <c r="A115" s="142" t="n">
        <v>109</v>
      </c>
      <c r="B115" s="255" t="n">
        <v>46189</v>
      </c>
      <c r="C115" s="187" t="inlineStr">
        <is>
          <t>Nguyễn Thị Ngọc Điệp</t>
        </is>
      </c>
      <c r="D115" s="188" t="n"/>
      <c r="E115" s="189" t="n">
        <v>53</v>
      </c>
      <c r="F115" s="190" t="inlineStr">
        <is>
          <t>PTNS khâu sụn chêm</t>
        </is>
      </c>
      <c r="G115" s="188" t="inlineStr">
        <is>
          <t>Đặc biệt</t>
        </is>
      </c>
      <c r="H115" s="191" t="n">
        <v>4397500</v>
      </c>
      <c r="I115" s="143" t="inlineStr">
        <is>
          <t>SƠN</t>
        </is>
      </c>
      <c r="J115" s="144">
        <f>R115-L115-N115-P115-Q115</f>
        <v/>
      </c>
      <c r="K115" s="144" t="inlineStr">
        <is>
          <t>TOẢN</t>
        </is>
      </c>
      <c r="L115" s="144">
        <f>IF(K115="-",0,H115*0.03)</f>
        <v/>
      </c>
      <c r="M115" s="144" t="inlineStr">
        <is>
          <t>V.HƯỞNG</t>
        </is>
      </c>
      <c r="N115" s="144">
        <f>IF(M115="-",0,H115*0.02)</f>
        <v/>
      </c>
      <c r="O115" s="144" t="inlineStr">
        <is>
          <t>HẬU</t>
        </is>
      </c>
      <c r="P115" s="144">
        <f>IF(O115="-",0,H115*0.01)</f>
        <v/>
      </c>
      <c r="Q115" s="144">
        <f>H115*0.005</f>
        <v/>
      </c>
      <c r="R115" s="144" t="n"/>
      <c r="S115" s="145" t="n"/>
      <c r="T115" s="145" t="n"/>
      <c r="U115" s="145" t="n"/>
      <c r="V115" s="145" t="n"/>
    </row>
    <row r="116" ht="15" customFormat="1" customHeight="1" s="202">
      <c r="A116" s="142" t="n">
        <v>110</v>
      </c>
      <c r="B116" s="255" t="n">
        <v>46189</v>
      </c>
      <c r="C116" s="187" t="inlineStr">
        <is>
          <t>Phan Kiều Tiên</t>
        </is>
      </c>
      <c r="D116" s="188" t="n"/>
      <c r="E116" s="189" t="n">
        <v>53</v>
      </c>
      <c r="F116" s="190" t="inlineStr">
        <is>
          <t>PT lấy đĩa đệm cột sống thắt lưng qua da</t>
        </is>
      </c>
      <c r="G116" s="188" t="n"/>
      <c r="H116" s="191" t="n">
        <v>8993000</v>
      </c>
      <c r="I116" s="143" t="inlineStr">
        <is>
          <t>THUYẾT</t>
        </is>
      </c>
      <c r="J116" s="144">
        <f>R116-L116-N116-P116-Q116</f>
        <v/>
      </c>
      <c r="K116" s="144" t="inlineStr">
        <is>
          <t>HOAN</t>
        </is>
      </c>
      <c r="L116" s="144">
        <f>IF(K116="-",0,H116*0.03)</f>
        <v/>
      </c>
      <c r="M116" s="144" t="inlineStr">
        <is>
          <t>DUY</t>
        </is>
      </c>
      <c r="N116" s="144">
        <f>IF(M116="-",0,H116*0.02)</f>
        <v/>
      </c>
      <c r="O116" s="144" t="inlineStr">
        <is>
          <t>KHANG</t>
        </is>
      </c>
      <c r="P116" s="144">
        <f>IF(O116="-",0,H116*0.01)</f>
        <v/>
      </c>
      <c r="Q116" s="144">
        <f>H116*0.005</f>
        <v/>
      </c>
      <c r="R116" s="144" t="n"/>
      <c r="S116" s="145" t="n"/>
      <c r="T116" s="145" t="n"/>
      <c r="U116" s="145" t="n"/>
      <c r="V116" s="145" t="n"/>
    </row>
    <row r="117" ht="15" customFormat="1" customHeight="1" s="202">
      <c r="A117" s="142" t="n">
        <v>111</v>
      </c>
      <c r="B117" s="255" t="n">
        <v>46189</v>
      </c>
      <c r="C117" s="187" t="inlineStr">
        <is>
          <t>Hồ Văn Dã</t>
        </is>
      </c>
      <c r="D117" s="188" t="n">
        <v>50</v>
      </c>
      <c r="E117" s="189" t="n"/>
      <c r="F117" s="190" t="inlineStr">
        <is>
          <t>PT KHX trên màn hình tăng sáng</t>
        </is>
      </c>
      <c r="G117" s="188" t="inlineStr">
        <is>
          <t>Đặc biệt</t>
        </is>
      </c>
      <c r="H117" s="191" t="n">
        <v>4497500</v>
      </c>
      <c r="I117" s="143" t="inlineStr">
        <is>
          <t>BẢO</t>
        </is>
      </c>
      <c r="J117" s="144">
        <f>R117-L117-N117-P117-Q117</f>
        <v/>
      </c>
      <c r="K117" s="144" t="inlineStr">
        <is>
          <t>DUY</t>
        </is>
      </c>
      <c r="L117" s="144">
        <f>IF(K117="-",0,H117*0.03)</f>
        <v/>
      </c>
      <c r="M117" s="144" t="inlineStr">
        <is>
          <t>G.TỬ</t>
        </is>
      </c>
      <c r="N117" s="144">
        <f>IF(M117="-",0,H117*0.02)</f>
        <v/>
      </c>
      <c r="O117" s="144" t="inlineStr">
        <is>
          <t>KHANG</t>
        </is>
      </c>
      <c r="P117" s="144">
        <f>IF(O117="-",0,H117*0.01)</f>
        <v/>
      </c>
      <c r="Q117" s="144">
        <f>H117*0.005</f>
        <v/>
      </c>
      <c r="R117" s="144" t="n"/>
      <c r="S117" s="145" t="n"/>
      <c r="T117" s="145" t="n"/>
      <c r="U117" s="145" t="n"/>
      <c r="V117" s="145" t="n"/>
    </row>
    <row r="118" ht="15" customFormat="1" customHeight="1" s="202">
      <c r="A118" s="142" t="n">
        <v>112</v>
      </c>
      <c r="B118" s="255" t="n">
        <v>46189</v>
      </c>
      <c r="C118" s="187" t="inlineStr">
        <is>
          <t>Hồ Văn Dã</t>
        </is>
      </c>
      <c r="D118" s="188" t="n">
        <v>50</v>
      </c>
      <c r="E118" s="189" t="n"/>
      <c r="F118" s="190" t="inlineStr">
        <is>
          <t>PT KHX trên màn hình tăng sáng (50%)</t>
        </is>
      </c>
      <c r="G118" s="188" t="inlineStr">
        <is>
          <t>Đặc biệt</t>
        </is>
      </c>
      <c r="H118" s="191" t="n">
        <v>0</v>
      </c>
      <c r="I118" s="143" t="inlineStr">
        <is>
          <t>BẢO</t>
        </is>
      </c>
      <c r="J118" s="144">
        <f>R118-L118-N118-P118-Q118</f>
        <v/>
      </c>
      <c r="K118" s="144" t="inlineStr">
        <is>
          <t>DUY</t>
        </is>
      </c>
      <c r="L118" s="144">
        <f>IF(K118="-",0,H118*0.03)</f>
        <v/>
      </c>
      <c r="M118" s="144" t="inlineStr">
        <is>
          <t>G.TỬ</t>
        </is>
      </c>
      <c r="N118" s="144">
        <f>IF(M118="-",0,H118*0.02)</f>
        <v/>
      </c>
      <c r="O118" s="144" t="inlineStr">
        <is>
          <t>THUÝ</t>
        </is>
      </c>
      <c r="P118" s="144">
        <f>IF(O118="-",0,H118*0.01)</f>
        <v/>
      </c>
      <c r="Q118" s="144">
        <f>H118*0.005</f>
        <v/>
      </c>
      <c r="R118" s="144" t="n"/>
      <c r="S118" s="145" t="n"/>
      <c r="T118" s="145" t="n"/>
      <c r="U118" s="145" t="n"/>
      <c r="V118" s="145" t="n"/>
    </row>
    <row r="119" ht="15" customFormat="1" customHeight="1" s="202">
      <c r="A119" s="142" t="n">
        <v>113</v>
      </c>
      <c r="B119" s="255" t="n">
        <v>46189</v>
      </c>
      <c r="C119" s="187" t="inlineStr">
        <is>
          <t>Tiêu Quốc Toàn</t>
        </is>
      </c>
      <c r="D119" s="188" t="n">
        <v>22</v>
      </c>
      <c r="E119" s="189" t="n"/>
      <c r="F119" s="190" t="inlineStr">
        <is>
          <t>PT KHX trên màn hình tăng sáng</t>
        </is>
      </c>
      <c r="G119" s="188" t="inlineStr">
        <is>
          <t>Đặc biệt</t>
        </is>
      </c>
      <c r="H119" s="191" t="n">
        <v>4497500</v>
      </c>
      <c r="I119" s="143" t="inlineStr">
        <is>
          <t>BẢO</t>
        </is>
      </c>
      <c r="J119" s="144">
        <f>R119-L119-N119-P119-Q119</f>
        <v/>
      </c>
      <c r="K119" s="144" t="inlineStr">
        <is>
          <t>DUY</t>
        </is>
      </c>
      <c r="L119" s="144">
        <f>IF(K119="-",0,H119*0.03)</f>
        <v/>
      </c>
      <c r="M119" s="144" t="inlineStr">
        <is>
          <t>G.TỬ</t>
        </is>
      </c>
      <c r="N119" s="144">
        <f>IF(M119="-",0,H119*0.02)</f>
        <v/>
      </c>
      <c r="O119" s="144" t="inlineStr">
        <is>
          <t>THUÝ</t>
        </is>
      </c>
      <c r="P119" s="144">
        <f>IF(O119="-",0,H119*0.01)</f>
        <v/>
      </c>
      <c r="Q119" s="144">
        <f>H119*0.005</f>
        <v/>
      </c>
      <c r="R119" s="144" t="n"/>
      <c r="S119" s="145" t="n"/>
      <c r="T119" s="145" t="n"/>
      <c r="U119" s="145" t="n"/>
      <c r="V119" s="145" t="n"/>
    </row>
    <row r="120" ht="15" customFormat="1" customHeight="1" s="202">
      <c r="A120" s="142" t="n">
        <v>114</v>
      </c>
      <c r="B120" s="255" t="n">
        <v>46189</v>
      </c>
      <c r="C120" s="187" t="inlineStr">
        <is>
          <t>Nguyễn Minh Nhựt</t>
        </is>
      </c>
      <c r="D120" s="188" t="n">
        <v>38</v>
      </c>
      <c r="E120" s="189" t="n"/>
      <c r="F120" s="190" t="inlineStr">
        <is>
          <t>PT KHX trên màn hình tăng sáng</t>
        </is>
      </c>
      <c r="G120" s="188" t="inlineStr">
        <is>
          <t>Đặc biệt</t>
        </is>
      </c>
      <c r="H120" s="191" t="n">
        <v>4497500</v>
      </c>
      <c r="I120" s="143" t="inlineStr">
        <is>
          <t>DUY</t>
        </is>
      </c>
      <c r="J120" s="144">
        <f>R120-L120-N120-P120-Q120</f>
        <v/>
      </c>
      <c r="K120" s="144" t="inlineStr">
        <is>
          <t>G.TỬ</t>
        </is>
      </c>
      <c r="L120" s="144">
        <f>IF(K120="-",0,H120*0.03)</f>
        <v/>
      </c>
      <c r="M120" s="144" t="inlineStr">
        <is>
          <t>KHANG</t>
        </is>
      </c>
      <c r="N120" s="144">
        <f>IF(M120="-",0,H120*0.02)</f>
        <v/>
      </c>
      <c r="O120" s="144" t="inlineStr">
        <is>
          <t>LỘC</t>
        </is>
      </c>
      <c r="P120" s="144">
        <f>IF(O120="-",0,H120*0.01)</f>
        <v/>
      </c>
      <c r="Q120" s="144">
        <f>H120*0.005</f>
        <v/>
      </c>
      <c r="R120" s="144" t="n"/>
      <c r="S120" s="145" t="n"/>
      <c r="T120" s="145" t="n"/>
      <c r="U120" s="145" t="n"/>
      <c r="V120" s="145" t="n"/>
    </row>
    <row r="121" ht="15" customFormat="1" customHeight="1" s="202">
      <c r="A121" s="142" t="n">
        <v>115</v>
      </c>
      <c r="B121" s="255" t="n">
        <v>46190</v>
      </c>
      <c r="C121" s="187" t="inlineStr">
        <is>
          <t>Huỳnh Thanh Tú</t>
        </is>
      </c>
      <c r="D121" s="188" t="n"/>
      <c r="E121" s="189" t="n">
        <v>31</v>
      </c>
      <c r="F121" s="190" t="inlineStr">
        <is>
          <t>Nối gân gấp</t>
        </is>
      </c>
      <c r="G121" s="188" t="inlineStr">
        <is>
          <t>Loại 2</t>
        </is>
      </c>
      <c r="H121" s="191" t="n">
        <v>3261100</v>
      </c>
      <c r="I121" s="143" t="inlineStr">
        <is>
          <t>DUY</t>
        </is>
      </c>
      <c r="J121" s="144">
        <f>R121-L121-N121-P121-Q121</f>
        <v/>
      </c>
      <c r="K121" s="144" t="inlineStr">
        <is>
          <t>-</t>
        </is>
      </c>
      <c r="L121" s="144">
        <f>IF(K121="-",0,H121*0.03)</f>
        <v/>
      </c>
      <c r="M121" s="144" t="inlineStr">
        <is>
          <t>-</t>
        </is>
      </c>
      <c r="N121" s="144">
        <f>IF(M121="-",0,H121*0.02)</f>
        <v/>
      </c>
      <c r="O121" s="144" t="inlineStr">
        <is>
          <t>-</t>
        </is>
      </c>
      <c r="P121" s="144">
        <f>IF(O121="-",0,H121*0.01)</f>
        <v/>
      </c>
      <c r="Q121" s="144">
        <f>H121*0.005</f>
        <v/>
      </c>
      <c r="R121" s="144" t="n"/>
      <c r="S121" s="145" t="n"/>
      <c r="T121" s="145" t="n"/>
      <c r="U121" s="145" t="n"/>
      <c r="V121" s="145" t="n"/>
    </row>
    <row r="122" ht="15" customFormat="1" customHeight="1" s="202">
      <c r="A122" s="142" t="n">
        <v>116</v>
      </c>
      <c r="B122" s="255" t="n">
        <v>46190</v>
      </c>
      <c r="C122" s="187" t="inlineStr">
        <is>
          <t>Nguyễn Thị Kiều Loan</t>
        </is>
      </c>
      <c r="D122" s="188" t="n"/>
      <c r="E122" s="189" t="n">
        <v>56</v>
      </c>
      <c r="F122" s="190" t="inlineStr">
        <is>
          <t>PT thay toàn bộ khớp gối</t>
        </is>
      </c>
      <c r="G122" s="188" t="inlineStr">
        <is>
          <t>Đặc biệt</t>
        </is>
      </c>
      <c r="H122" s="191" t="n">
        <v>3525500</v>
      </c>
      <c r="I122" s="143" t="inlineStr">
        <is>
          <t>TẤN</t>
        </is>
      </c>
      <c r="J122" s="144">
        <f>R122-L122-N122-P122-Q122</f>
        <v/>
      </c>
      <c r="K122" s="144" t="inlineStr">
        <is>
          <t>DUY</t>
        </is>
      </c>
      <c r="L122" s="144">
        <f>IF(K122="-",0,H122*0.03)</f>
        <v/>
      </c>
      <c r="M122" s="144" t="inlineStr">
        <is>
          <t>BẢO</t>
        </is>
      </c>
      <c r="N122" s="144">
        <f>IF(M122="-",0,H122*0.02)</f>
        <v/>
      </c>
      <c r="O122" s="144" t="inlineStr">
        <is>
          <t>G.TỬ</t>
        </is>
      </c>
      <c r="P122" s="144">
        <f>IF(O122="-",0,H122*0.01)</f>
        <v/>
      </c>
      <c r="Q122" s="144">
        <f>H122*0.005</f>
        <v/>
      </c>
      <c r="R122" s="144" t="n"/>
      <c r="S122" s="145" t="n"/>
      <c r="T122" s="145" t="n"/>
      <c r="U122" s="145" t="n"/>
      <c r="V122" s="145" t="n"/>
    </row>
    <row r="123" ht="15" customFormat="1" customHeight="1" s="202">
      <c r="A123" s="142" t="n">
        <v>117</v>
      </c>
      <c r="B123" s="255" t="n">
        <v>46190</v>
      </c>
      <c r="C123" s="187" t="inlineStr">
        <is>
          <t>Phạm Thị Phương Thảo</t>
        </is>
      </c>
      <c r="D123" s="188" t="n"/>
      <c r="E123" s="189" t="n">
        <v>28</v>
      </c>
      <c r="F123" s="190" t="inlineStr">
        <is>
          <t>PT KHX trên màn hình tăng sáng</t>
        </is>
      </c>
      <c r="G123" s="188" t="inlineStr">
        <is>
          <t>Đặc biệt</t>
        </is>
      </c>
      <c r="H123" s="191" t="n">
        <v>4497500</v>
      </c>
      <c r="I123" s="143" t="inlineStr">
        <is>
          <t>BẢO</t>
        </is>
      </c>
      <c r="J123" s="144">
        <f>R123-L123-N123-P123-Q123</f>
        <v/>
      </c>
      <c r="K123" s="144" t="inlineStr">
        <is>
          <t>DUY</t>
        </is>
      </c>
      <c r="L123" s="144">
        <f>IF(K123="-",0,H123*0.03)</f>
        <v/>
      </c>
      <c r="M123" s="144" t="inlineStr">
        <is>
          <t>NGHĨA</t>
        </is>
      </c>
      <c r="N123" s="144">
        <f>IF(M123="-",0,H123*0.02)</f>
        <v/>
      </c>
      <c r="O123" s="144" t="inlineStr">
        <is>
          <t>KHANG</t>
        </is>
      </c>
      <c r="P123" s="144">
        <f>IF(O123="-",0,H123*0.01)</f>
        <v/>
      </c>
      <c r="Q123" s="144">
        <f>H123*0.005</f>
        <v/>
      </c>
      <c r="R123" s="144" t="n"/>
      <c r="S123" s="145" t="n"/>
      <c r="T123" s="145" t="n"/>
      <c r="U123" s="145" t="n"/>
      <c r="V123" s="145" t="n"/>
    </row>
    <row r="124" ht="15" customFormat="1" customHeight="1" s="202">
      <c r="A124" s="142" t="n">
        <v>118</v>
      </c>
      <c r="B124" s="255" t="n">
        <v>46190</v>
      </c>
      <c r="C124" s="187" t="inlineStr">
        <is>
          <t>Trần Thị Bé Ba</t>
        </is>
      </c>
      <c r="D124" s="188" t="n"/>
      <c r="E124" s="189" t="n">
        <v>60</v>
      </c>
      <c r="F124" s="190" t="inlineStr">
        <is>
          <t>PT thay toàn bộ khớp gối</t>
        </is>
      </c>
      <c r="G124" s="188" t="inlineStr">
        <is>
          <t>Đặc biệt</t>
        </is>
      </c>
      <c r="H124" s="191" t="n">
        <v>3525500</v>
      </c>
      <c r="I124" s="143" t="inlineStr">
        <is>
          <t>HOAN</t>
        </is>
      </c>
      <c r="J124" s="144">
        <f>R124-L124-N124-P124-Q124</f>
        <v/>
      </c>
      <c r="K124" s="144" t="inlineStr">
        <is>
          <t>ĐIỀN</t>
        </is>
      </c>
      <c r="L124" s="144">
        <f>IF(K124="-",0,H124*0.03)</f>
        <v/>
      </c>
      <c r="M124" s="144" t="inlineStr">
        <is>
          <t>TOẢN</t>
        </is>
      </c>
      <c r="N124" s="144">
        <f>IF(M124="-",0,H124*0.02)</f>
        <v/>
      </c>
      <c r="O124" s="144" t="inlineStr">
        <is>
          <t>V.HƯỞNG</t>
        </is>
      </c>
      <c r="P124" s="144">
        <f>IF(O124="-",0,H124*0.01)</f>
        <v/>
      </c>
      <c r="Q124" s="144">
        <f>H124*0.005</f>
        <v/>
      </c>
      <c r="R124" s="144" t="n"/>
      <c r="S124" s="145" t="n"/>
      <c r="T124" s="145" t="n"/>
      <c r="U124" s="145" t="n"/>
      <c r="V124" s="145" t="n"/>
    </row>
    <row r="125" ht="15" customFormat="1" customHeight="1" s="202">
      <c r="A125" s="142" t="n">
        <v>119</v>
      </c>
      <c r="B125" s="255" t="n">
        <v>46190</v>
      </c>
      <c r="C125" s="187" t="inlineStr">
        <is>
          <t>Lê Thị Cẩm Vân</t>
        </is>
      </c>
      <c r="D125" s="188" t="n"/>
      <c r="E125" s="189" t="n">
        <v>41</v>
      </c>
      <c r="F125" s="190" t="inlineStr">
        <is>
          <t>PT lấy đĩa đệm cột sống thắt lưng qua da</t>
        </is>
      </c>
      <c r="G125" s="188" t="n"/>
      <c r="H125" s="191" t="n">
        <v>8993000</v>
      </c>
      <c r="I125" s="143" t="inlineStr">
        <is>
          <t>DUY</t>
        </is>
      </c>
      <c r="J125" s="144">
        <f>R125-L125-N125-P125-Q125</f>
        <v/>
      </c>
      <c r="K125" s="144" t="inlineStr">
        <is>
          <t>HOAN</t>
        </is>
      </c>
      <c r="L125" s="144">
        <f>IF(K125="-",0,H125*0.03)</f>
        <v/>
      </c>
      <c r="M125" s="144" t="inlineStr">
        <is>
          <t>NGHĨA</t>
        </is>
      </c>
      <c r="N125" s="144">
        <f>IF(M125="-",0,H125*0.02)</f>
        <v/>
      </c>
      <c r="O125" s="144" t="inlineStr">
        <is>
          <t>CHỈNH</t>
        </is>
      </c>
      <c r="P125" s="144">
        <f>IF(O125="-",0,H125*0.01)</f>
        <v/>
      </c>
      <c r="Q125" s="144">
        <f>H125*0.005</f>
        <v/>
      </c>
      <c r="R125" s="144" t="n"/>
      <c r="S125" s="145" t="n"/>
      <c r="T125" s="145" t="n"/>
      <c r="U125" s="145" t="n"/>
      <c r="V125" s="145" t="n"/>
    </row>
    <row r="126" ht="15" customFormat="1" customHeight="1" s="202">
      <c r="A126" s="142" t="n">
        <v>120</v>
      </c>
      <c r="B126" s="255" t="n">
        <v>46190</v>
      </c>
      <c r="C126" s="187" t="inlineStr">
        <is>
          <t>Lê Duy Hùng</t>
        </is>
      </c>
      <c r="D126" s="188" t="n">
        <v>48</v>
      </c>
      <c r="E126" s="189" t="n"/>
      <c r="F126" s="190" t="inlineStr">
        <is>
          <t>PT rút nẹp, dụng cụ KHX</t>
        </is>
      </c>
      <c r="G126" s="188" t="n"/>
      <c r="H126" s="191" t="n">
        <v>4417000</v>
      </c>
      <c r="I126" s="143" t="inlineStr">
        <is>
          <t>V.TÂN</t>
        </is>
      </c>
      <c r="J126" s="144">
        <f>R126-L126-N126-P126-Q126</f>
        <v/>
      </c>
      <c r="K126" s="144" t="inlineStr">
        <is>
          <t>NGHĨA</t>
        </is>
      </c>
      <c r="L126" s="144">
        <f>IF(K126="-",0,H126*0.03)</f>
        <v/>
      </c>
      <c r="M126" s="144" t="inlineStr">
        <is>
          <t>-</t>
        </is>
      </c>
      <c r="N126" s="144">
        <f>IF(M126="-",0,H126*0.02)</f>
        <v/>
      </c>
      <c r="O126" s="144" t="inlineStr">
        <is>
          <t>-</t>
        </is>
      </c>
      <c r="P126" s="144">
        <f>IF(O126="-",0,H126*0.01)</f>
        <v/>
      </c>
      <c r="Q126" s="144">
        <f>H126*0.005</f>
        <v/>
      </c>
      <c r="R126" s="144" t="n"/>
      <c r="S126" s="145" t="n"/>
      <c r="T126" s="145" t="n"/>
      <c r="U126" s="145" t="n"/>
      <c r="V126" s="145" t="n"/>
    </row>
    <row r="127" ht="15" customFormat="1" customHeight="1" s="202">
      <c r="A127" s="142" t="n">
        <v>121</v>
      </c>
      <c r="B127" s="255" t="n">
        <v>46190</v>
      </c>
      <c r="C127" s="187" t="inlineStr">
        <is>
          <t>Nguyễn Như Ý</t>
        </is>
      </c>
      <c r="D127" s="188" t="n"/>
      <c r="E127" s="189" t="n">
        <v>26</v>
      </c>
      <c r="F127" s="190" t="inlineStr">
        <is>
          <t>Cắt lọc hoại tử ổ loét vết thương mạn tính</t>
        </is>
      </c>
      <c r="G127" s="188" t="inlineStr">
        <is>
          <t>Loại 2</t>
        </is>
      </c>
      <c r="H127" s="191" t="n">
        <v>2127400</v>
      </c>
      <c r="I127" s="143" t="inlineStr">
        <is>
          <t>DUY</t>
        </is>
      </c>
      <c r="J127" s="144">
        <f>R127-L127-N127-P127-Q127</f>
        <v/>
      </c>
      <c r="K127" s="144" t="inlineStr">
        <is>
          <t>G.TỬ</t>
        </is>
      </c>
      <c r="L127" s="144">
        <f>IF(K127="-",0,H127*0.03)</f>
        <v/>
      </c>
      <c r="M127" s="144" t="inlineStr">
        <is>
          <t>-</t>
        </is>
      </c>
      <c r="N127" s="144">
        <f>IF(M127="-",0,H127*0.02)</f>
        <v/>
      </c>
      <c r="O127" s="144" t="inlineStr">
        <is>
          <t>-</t>
        </is>
      </c>
      <c r="P127" s="144">
        <f>IF(O127="-",0,H127*0.01)</f>
        <v/>
      </c>
      <c r="Q127" s="144">
        <f>H127*0.005</f>
        <v/>
      </c>
      <c r="R127" s="144" t="n"/>
      <c r="S127" s="145" t="n"/>
      <c r="T127" s="145" t="n"/>
      <c r="U127" s="145" t="n"/>
      <c r="V127" s="145" t="n"/>
    </row>
    <row r="128" ht="15" customFormat="1" customHeight="1" s="202">
      <c r="A128" s="142" t="n">
        <v>122</v>
      </c>
      <c r="B128" s="255" t="n">
        <v>46191</v>
      </c>
      <c r="C128" s="187" t="inlineStr">
        <is>
          <t>Nguyễn Thị Mộng Linh</t>
        </is>
      </c>
      <c r="D128" s="188" t="n"/>
      <c r="E128" s="189" t="n">
        <v>48</v>
      </c>
      <c r="F128" s="190" t="inlineStr">
        <is>
          <t xml:space="preserve">PT tổn thương gân gấp </t>
        </is>
      </c>
      <c r="G128" s="188" t="n"/>
      <c r="H128" s="191" t="n">
        <v>5866000</v>
      </c>
      <c r="I128" s="143" t="inlineStr">
        <is>
          <t>DUY</t>
        </is>
      </c>
      <c r="J128" s="144">
        <f>R128-L128-N128-P128-Q128</f>
        <v/>
      </c>
      <c r="K128" s="144" t="inlineStr">
        <is>
          <t>G.TỬ</t>
        </is>
      </c>
      <c r="L128" s="144">
        <f>IF(K128="-",0,H128*0.03)</f>
        <v/>
      </c>
      <c r="M128" s="144" t="inlineStr">
        <is>
          <t>-</t>
        </is>
      </c>
      <c r="N128" s="144">
        <f>IF(M128="-",0,H128*0.02)</f>
        <v/>
      </c>
      <c r="O128" s="144" t="inlineStr">
        <is>
          <t>-</t>
        </is>
      </c>
      <c r="P128" s="144">
        <f>IF(O128="-",0,H128*0.01)</f>
        <v/>
      </c>
      <c r="Q128" s="144">
        <f>H128*0.005</f>
        <v/>
      </c>
      <c r="R128" s="144" t="n"/>
      <c r="S128" s="145" t="n"/>
      <c r="T128" s="145" t="n"/>
      <c r="U128" s="145" t="n"/>
      <c r="V128" s="145" t="n"/>
    </row>
    <row r="129" ht="15" customFormat="1" customHeight="1" s="202">
      <c r="A129" s="142" t="n">
        <v>123</v>
      </c>
      <c r="B129" s="255" t="n">
        <v>46191</v>
      </c>
      <c r="C129" s="187" t="inlineStr">
        <is>
          <t>Trần Thị Thúy Ngân</t>
        </is>
      </c>
      <c r="D129" s="188" t="n"/>
      <c r="E129" s="189" t="n">
        <v>48</v>
      </c>
      <c r="F129" s="190" t="inlineStr">
        <is>
          <t>PT điều trị đứt gân Achille (Gây tê)</t>
        </is>
      </c>
      <c r="G129" s="188" t="inlineStr">
        <is>
          <t>Loại 1</t>
        </is>
      </c>
      <c r="H129" s="191" t="n">
        <v>2697300</v>
      </c>
      <c r="I129" s="143" t="inlineStr">
        <is>
          <t>DUY</t>
        </is>
      </c>
      <c r="J129" s="144">
        <f>R129-L129-N129-P129-Q129</f>
        <v/>
      </c>
      <c r="K129" s="144" t="inlineStr">
        <is>
          <t>G.TỬ</t>
        </is>
      </c>
      <c r="L129" s="144">
        <f>IF(K129="-",0,H129*0.03)</f>
        <v/>
      </c>
      <c r="M129" s="144" t="inlineStr">
        <is>
          <t>NGHĨA</t>
        </is>
      </c>
      <c r="N129" s="144">
        <f>IF(M129="-",0,H129*0.02)</f>
        <v/>
      </c>
      <c r="O129" s="144" t="inlineStr">
        <is>
          <t>LỘC</t>
        </is>
      </c>
      <c r="P129" s="144">
        <f>IF(O129="-",0,H129*0.01)</f>
        <v/>
      </c>
      <c r="Q129" s="144">
        <f>H129*0.005</f>
        <v/>
      </c>
      <c r="R129" s="144" t="n"/>
      <c r="S129" s="145" t="n"/>
      <c r="T129" s="145" t="n"/>
      <c r="U129" s="145" t="n"/>
      <c r="V129" s="145" t="n"/>
    </row>
    <row r="130" ht="15" customFormat="1" customHeight="1" s="202">
      <c r="A130" s="142" t="n">
        <v>124</v>
      </c>
      <c r="B130" s="255" t="n">
        <v>46192</v>
      </c>
      <c r="C130" s="187" t="inlineStr">
        <is>
          <t>Trương Thị Cẩm Châu</t>
        </is>
      </c>
      <c r="D130" s="188" t="n"/>
      <c r="E130" s="189" t="n">
        <v>58</v>
      </c>
      <c r="F130" s="190" t="inlineStr">
        <is>
          <t xml:space="preserve">PT KHX gãy xương đòn </t>
        </is>
      </c>
      <c r="G130" s="188" t="inlineStr">
        <is>
          <t>Loại 2</t>
        </is>
      </c>
      <c r="H130" s="191" t="n">
        <v>1897500</v>
      </c>
      <c r="I130" s="143" t="inlineStr">
        <is>
          <t>SƠN</t>
        </is>
      </c>
      <c r="J130" s="144">
        <f>R130-L130-N130-P130-Q130</f>
        <v/>
      </c>
      <c r="K130" s="144" t="inlineStr">
        <is>
          <t>CHỈNH</t>
        </is>
      </c>
      <c r="L130" s="144">
        <f>IF(K130="-",0,H130*0.03)</f>
        <v/>
      </c>
      <c r="M130" s="144" t="inlineStr">
        <is>
          <t>LỘC</t>
        </is>
      </c>
      <c r="N130" s="144">
        <f>IF(M130="-",0,H130*0.02)</f>
        <v/>
      </c>
      <c r="O130" s="144" t="inlineStr">
        <is>
          <t>-</t>
        </is>
      </c>
      <c r="P130" s="144">
        <f>IF(O130="-",0,H130*0.01)</f>
        <v/>
      </c>
      <c r="Q130" s="144">
        <f>H130*0.005</f>
        <v/>
      </c>
      <c r="R130" s="144" t="n"/>
      <c r="S130" s="145" t="n"/>
      <c r="T130" s="145" t="n"/>
      <c r="U130" s="145" t="n"/>
      <c r="V130" s="145" t="n"/>
    </row>
    <row r="131" ht="15" customFormat="1" customHeight="1" s="202">
      <c r="A131" s="142" t="n">
        <v>125</v>
      </c>
      <c r="B131" s="255" t="n">
        <v>46192</v>
      </c>
      <c r="C131" s="187" t="inlineStr">
        <is>
          <t>Trương Hoàng Diễm Thúy</t>
        </is>
      </c>
      <c r="D131" s="188" t="n"/>
      <c r="E131" s="189" t="n">
        <v>41</v>
      </c>
      <c r="F131" s="190" t="inlineStr">
        <is>
          <t>Rút đinh/tháo phương tiện KHX</t>
        </is>
      </c>
      <c r="G131" s="188" t="inlineStr">
        <is>
          <t>Loại 2</t>
        </is>
      </c>
      <c r="H131" s="191" t="n">
        <v>2559100</v>
      </c>
      <c r="I131" s="143" t="inlineStr">
        <is>
          <t>HOAN</t>
        </is>
      </c>
      <c r="J131" s="144">
        <f>R131-L131-N131-P131-Q131</f>
        <v/>
      </c>
      <c r="K131" s="144" t="inlineStr">
        <is>
          <t>ĐIỀN</t>
        </is>
      </c>
      <c r="L131" s="144">
        <f>IF(K131="-",0,H131*0.03)</f>
        <v/>
      </c>
      <c r="M131" s="144" t="inlineStr">
        <is>
          <t>NGHĨA</t>
        </is>
      </c>
      <c r="N131" s="144">
        <f>IF(M131="-",0,H131*0.02)</f>
        <v/>
      </c>
      <c r="O131" s="144" t="inlineStr">
        <is>
          <t>-</t>
        </is>
      </c>
      <c r="P131" s="144">
        <f>IF(O131="-",0,H131*0.01)</f>
        <v/>
      </c>
      <c r="Q131" s="144">
        <f>H131*0.005</f>
        <v/>
      </c>
      <c r="R131" s="144" t="n"/>
      <c r="S131" s="145" t="n"/>
      <c r="T131" s="145" t="n"/>
      <c r="U131" s="145" t="n"/>
      <c r="V131" s="145" t="n"/>
    </row>
    <row r="132" ht="15" customFormat="1" customHeight="1" s="202">
      <c r="A132" s="142" t="n">
        <v>126</v>
      </c>
      <c r="B132" s="255" t="n">
        <v>46192</v>
      </c>
      <c r="C132" s="187" t="inlineStr">
        <is>
          <t>Nguyễn Văn Mười</t>
        </is>
      </c>
      <c r="D132" s="188" t="n">
        <v>62</v>
      </c>
      <c r="E132" s="189" t="n"/>
      <c r="F132" s="190" t="inlineStr">
        <is>
          <t>Khâu phục hồi tổn thương gân duỗi</t>
        </is>
      </c>
      <c r="G132" s="188" t="inlineStr">
        <is>
          <t>Loại 1</t>
        </is>
      </c>
      <c r="H132" s="191" t="n">
        <v>2697300</v>
      </c>
      <c r="I132" s="143" t="inlineStr">
        <is>
          <t>TOẢN</t>
        </is>
      </c>
      <c r="J132" s="144">
        <f>R132-L132-N132-P132-Q132</f>
        <v/>
      </c>
      <c r="K132" s="144" t="inlineStr">
        <is>
          <t>ĐIỀN</t>
        </is>
      </c>
      <c r="L132" s="144">
        <f>IF(K132="-",0,H132*0.03)</f>
        <v/>
      </c>
      <c r="M132" s="144" t="inlineStr">
        <is>
          <t>KHANG</t>
        </is>
      </c>
      <c r="N132" s="144">
        <f>IF(M132="-",0,H132*0.02)</f>
        <v/>
      </c>
      <c r="O132" s="144" t="inlineStr">
        <is>
          <t>CHỈNH</t>
        </is>
      </c>
      <c r="P132" s="144">
        <f>IF(O132="-",0,H132*0.01)</f>
        <v/>
      </c>
      <c r="Q132" s="144">
        <f>H132*0.005</f>
        <v/>
      </c>
      <c r="R132" s="144" t="n"/>
      <c r="S132" s="145" t="n"/>
      <c r="T132" s="145" t="n"/>
      <c r="U132" s="145" t="n"/>
      <c r="V132" s="145" t="n"/>
    </row>
    <row r="133" ht="15" customFormat="1" customHeight="1" s="202">
      <c r="A133" s="142" t="n">
        <v>127</v>
      </c>
      <c r="B133" s="255" t="n">
        <v>46192</v>
      </c>
      <c r="C133" s="187" t="inlineStr">
        <is>
          <t>Bùi Thị Thu Ba</t>
        </is>
      </c>
      <c r="D133" s="188" t="n"/>
      <c r="E133" s="189" t="n">
        <v>66</v>
      </c>
      <c r="F133" s="190" t="inlineStr">
        <is>
          <t>PT cắt cụt chi</t>
        </is>
      </c>
      <c r="G133" s="188" t="inlineStr">
        <is>
          <t>Loại 2</t>
        </is>
      </c>
      <c r="H133" s="191" t="n">
        <v>1947600</v>
      </c>
      <c r="I133" s="143" t="inlineStr">
        <is>
          <t>BẢO</t>
        </is>
      </c>
      <c r="J133" s="144">
        <f>R133-L133-N133-P133-Q133</f>
        <v/>
      </c>
      <c r="K133" s="144" t="inlineStr">
        <is>
          <t>V.HƯỞNG</t>
        </is>
      </c>
      <c r="L133" s="144">
        <f>IF(K133="-",0,H133*0.03)</f>
        <v/>
      </c>
      <c r="M133" s="144" t="inlineStr">
        <is>
          <t>LỘC</t>
        </is>
      </c>
      <c r="N133" s="144">
        <f>IF(M133="-",0,H133*0.02)</f>
        <v/>
      </c>
      <c r="O133" s="144" t="inlineStr">
        <is>
          <t>-</t>
        </is>
      </c>
      <c r="P133" s="144">
        <f>IF(O133="-",0,H133*0.01)</f>
        <v/>
      </c>
      <c r="Q133" s="144">
        <f>H133*0.005</f>
        <v/>
      </c>
      <c r="R133" s="144" t="n"/>
      <c r="S133" s="145" t="n"/>
      <c r="T133" s="145" t="n"/>
      <c r="U133" s="145" t="n"/>
      <c r="V133" s="145" t="n"/>
    </row>
    <row r="134" ht="15" customFormat="1" customHeight="1" s="202">
      <c r="A134" s="142" t="n">
        <v>128</v>
      </c>
      <c r="B134" s="255" t="n">
        <v>46192</v>
      </c>
      <c r="C134" s="187" t="inlineStr">
        <is>
          <t>Trịnh Thúy Nga</t>
        </is>
      </c>
      <c r="D134" s="188" t="n"/>
      <c r="E134" s="189" t="n">
        <v>61</v>
      </c>
      <c r="F134" s="190" t="inlineStr">
        <is>
          <t>PT thay toàn bộ khớp gối</t>
        </is>
      </c>
      <c r="G134" s="188" t="inlineStr">
        <is>
          <t>Đặc biệt</t>
        </is>
      </c>
      <c r="H134" s="191" t="n">
        <v>3525500</v>
      </c>
      <c r="I134" s="143" t="inlineStr">
        <is>
          <t>HOAN</t>
        </is>
      </c>
      <c r="J134" s="144">
        <f>R134-L134-N134-P134-Q134</f>
        <v/>
      </c>
      <c r="K134" s="144" t="inlineStr">
        <is>
          <t>BẢO</t>
        </is>
      </c>
      <c r="L134" s="144">
        <f>IF(K134="-",0,H134*0.03)</f>
        <v/>
      </c>
      <c r="M134" s="144" t="inlineStr">
        <is>
          <t>G.TỬ</t>
        </is>
      </c>
      <c r="N134" s="144">
        <f>IF(M134="-",0,H134*0.02)</f>
        <v/>
      </c>
      <c r="O134" s="144" t="inlineStr">
        <is>
          <t>NGHĨA</t>
        </is>
      </c>
      <c r="P134" s="144">
        <f>IF(O134="-",0,H134*0.01)</f>
        <v/>
      </c>
      <c r="Q134" s="144">
        <f>H134*0.005</f>
        <v/>
      </c>
      <c r="R134" s="144" t="n"/>
      <c r="S134" s="145" t="n"/>
      <c r="T134" s="145" t="n"/>
      <c r="U134" s="145" t="n"/>
      <c r="V134" s="145" t="n"/>
    </row>
    <row r="135" ht="15" customFormat="1" customHeight="1" s="202">
      <c r="A135" s="142" t="n">
        <v>129</v>
      </c>
      <c r="B135" s="255" t="n">
        <v>46192</v>
      </c>
      <c r="C135" s="187" t="inlineStr">
        <is>
          <t>Võ Thị The</t>
        </is>
      </c>
      <c r="D135" s="188" t="n"/>
      <c r="E135" s="189" t="n">
        <v>63</v>
      </c>
      <c r="F135" s="190" t="inlineStr">
        <is>
          <t>Cố định cột sống và hàn khớp qua bên thân đốt cột sống thắt lưng cùng đường sau PLIF</t>
        </is>
      </c>
      <c r="G135" s="188" t="inlineStr">
        <is>
          <t>Đặc biệt</t>
        </is>
      </c>
      <c r="H135" s="191" t="n">
        <v>4201900</v>
      </c>
      <c r="I135" s="143" t="inlineStr">
        <is>
          <t>HOAN</t>
        </is>
      </c>
      <c r="J135" s="144">
        <f>R135-L135-N135-P135-Q135</f>
        <v/>
      </c>
      <c r="K135" s="144" t="inlineStr">
        <is>
          <t>DUY</t>
        </is>
      </c>
      <c r="L135" s="144">
        <f>IF(K135="-",0,H135*0.03)</f>
        <v/>
      </c>
      <c r="M135" s="144" t="inlineStr">
        <is>
          <t>G.TỬ</t>
        </is>
      </c>
      <c r="N135" s="144">
        <f>IF(M135="-",0,H135*0.02)</f>
        <v/>
      </c>
      <c r="O135" s="144" t="inlineStr">
        <is>
          <t>NGHĨA</t>
        </is>
      </c>
      <c r="P135" s="144">
        <f>IF(O135="-",0,H135*0.01)</f>
        <v/>
      </c>
      <c r="Q135" s="144">
        <f>H135*0.005</f>
        <v/>
      </c>
      <c r="R135" s="144" t="n"/>
      <c r="S135" s="145" t="n"/>
      <c r="T135" s="145" t="n"/>
      <c r="U135" s="145" t="n"/>
      <c r="V135" s="145" t="n"/>
    </row>
    <row r="136" ht="15" customFormat="1" customHeight="1" s="202">
      <c r="A136" s="142" t="n">
        <v>130</v>
      </c>
      <c r="B136" s="255" t="n">
        <v>46192</v>
      </c>
      <c r="C136" s="187" t="inlineStr">
        <is>
          <t>Huỳnh Thị Thanh Hường</t>
        </is>
      </c>
      <c r="D136" s="188" t="n"/>
      <c r="E136" s="189" t="n">
        <v>42</v>
      </c>
      <c r="F136" s="190" t="inlineStr">
        <is>
          <t>PTNS tái tạo dây chằng chéo trước bằng gân chân ngỗng</t>
        </is>
      </c>
      <c r="G136" s="188" t="inlineStr">
        <is>
          <t>Đặc biệt</t>
        </is>
      </c>
      <c r="H136" s="191" t="n">
        <v>3405500</v>
      </c>
      <c r="I136" s="143" t="inlineStr">
        <is>
          <t>TOẢN</t>
        </is>
      </c>
      <c r="J136" s="144">
        <f>R136-L136-N136-P136-Q136</f>
        <v/>
      </c>
      <c r="K136" s="144" t="inlineStr">
        <is>
          <t>NHỊ</t>
        </is>
      </c>
      <c r="L136" s="144">
        <f>IF(K136="-",0,H136*0.03)</f>
        <v/>
      </c>
      <c r="M136" s="144" t="inlineStr">
        <is>
          <t>-</t>
        </is>
      </c>
      <c r="N136" s="144">
        <f>IF(M136="-",0,H136*0.02)</f>
        <v/>
      </c>
      <c r="O136" s="144" t="inlineStr">
        <is>
          <t>-</t>
        </is>
      </c>
      <c r="P136" s="144">
        <f>IF(O136="-",0,H136*0.01)</f>
        <v/>
      </c>
      <c r="Q136" s="144">
        <f>H136*0.005</f>
        <v/>
      </c>
      <c r="R136" s="144" t="n"/>
      <c r="S136" s="145" t="n"/>
      <c r="T136" s="145" t="n"/>
      <c r="U136" s="145" t="n"/>
      <c r="V136" s="145" t="n"/>
    </row>
    <row r="137" ht="15" customFormat="1" customHeight="1" s="202">
      <c r="A137" s="142" t="n">
        <v>131</v>
      </c>
      <c r="B137" s="255" t="n">
        <v>46192</v>
      </c>
      <c r="C137" s="187" t="inlineStr">
        <is>
          <t>VÕ VĂN HƠN</t>
        </is>
      </c>
      <c r="D137" s="188" t="n">
        <v>37</v>
      </c>
      <c r="E137" s="189" t="n"/>
      <c r="F137" s="190" t="inlineStr">
        <is>
          <t>PTNS tái tạo dây chằng chéo trước bằng gân chân ngỗng</t>
        </is>
      </c>
      <c r="G137" s="188" t="inlineStr">
        <is>
          <t>Đặc biệt</t>
        </is>
      </c>
      <c r="H137" s="191" t="n">
        <v>3405500</v>
      </c>
      <c r="I137" s="143" t="inlineStr">
        <is>
          <t>TOẢN</t>
        </is>
      </c>
      <c r="J137" s="144">
        <f>R137-L137-N137-P137-Q137</f>
        <v/>
      </c>
      <c r="K137" s="144" t="inlineStr">
        <is>
          <t>NHỊ</t>
        </is>
      </c>
      <c r="L137" s="144">
        <f>IF(K137="-",0,H137*0.03)</f>
        <v/>
      </c>
      <c r="M137" s="144" t="inlineStr">
        <is>
          <t>-</t>
        </is>
      </c>
      <c r="N137" s="144">
        <f>IF(M137="-",0,H137*0.02)</f>
        <v/>
      </c>
      <c r="O137" s="144" t="inlineStr">
        <is>
          <t>-</t>
        </is>
      </c>
      <c r="P137" s="144">
        <f>IF(O137="-",0,H137*0.01)</f>
        <v/>
      </c>
      <c r="Q137" s="144">
        <f>H137*0.005</f>
        <v/>
      </c>
      <c r="R137" s="144" t="n"/>
      <c r="S137" s="145" t="n"/>
      <c r="T137" s="145" t="n"/>
      <c r="U137" s="145" t="n"/>
      <c r="V137" s="145" t="n"/>
    </row>
    <row r="138" ht="15" customFormat="1" customHeight="1" s="202">
      <c r="A138" s="142" t="n">
        <v>132</v>
      </c>
      <c r="B138" s="255" t="n">
        <v>46192</v>
      </c>
      <c r="C138" s="187" t="inlineStr">
        <is>
          <t>VÕ VĂN HƠN</t>
        </is>
      </c>
      <c r="D138" s="188" t="n">
        <v>37</v>
      </c>
      <c r="E138" s="189" t="n"/>
      <c r="F138" s="190" t="inlineStr">
        <is>
          <t>PT điều trị gân bánh chè (50%)</t>
        </is>
      </c>
      <c r="G138" s="188" t="inlineStr">
        <is>
          <t>Loại 2</t>
        </is>
      </c>
      <c r="H138" s="191" t="n">
        <v>0</v>
      </c>
      <c r="I138" s="143" t="inlineStr">
        <is>
          <t>TOẢN</t>
        </is>
      </c>
      <c r="J138" s="144">
        <f>R138-L138-N138-P138-Q138</f>
        <v/>
      </c>
      <c r="K138" s="144" t="inlineStr">
        <is>
          <t>NHỊ</t>
        </is>
      </c>
      <c r="L138" s="144">
        <f>IF(K138="-",0,H138*0.03)</f>
        <v/>
      </c>
      <c r="M138" s="144" t="inlineStr">
        <is>
          <t>-</t>
        </is>
      </c>
      <c r="N138" s="144">
        <f>IF(M138="-",0,H138*0.02)</f>
        <v/>
      </c>
      <c r="O138" s="144" t="inlineStr">
        <is>
          <t>-</t>
        </is>
      </c>
      <c r="P138" s="144">
        <f>IF(O138="-",0,H138*0.01)</f>
        <v/>
      </c>
      <c r="Q138" s="144">
        <f>H138*0.005</f>
        <v/>
      </c>
      <c r="R138" s="144" t="n"/>
      <c r="S138" s="145" t="n"/>
      <c r="T138" s="145" t="n"/>
      <c r="U138" s="145" t="n"/>
      <c r="V138" s="145" t="n"/>
    </row>
    <row r="139" ht="15" customFormat="1" customHeight="1" s="202">
      <c r="A139" s="142" t="n">
        <v>133</v>
      </c>
      <c r="B139" s="255" t="n">
        <v>46192</v>
      </c>
      <c r="C139" s="187" t="inlineStr">
        <is>
          <t>TRƯƠNG THỊ CẨM CHÂU</t>
        </is>
      </c>
      <c r="D139" s="188" t="n"/>
      <c r="E139" s="189" t="n">
        <v>56</v>
      </c>
      <c r="F139" s="190" t="inlineStr">
        <is>
          <t>PT vết thương phần mềm đơn giản (50%)</t>
        </is>
      </c>
      <c r="G139" s="188" t="inlineStr">
        <is>
          <t>Loại 2</t>
        </is>
      </c>
      <c r="H139" s="191" t="n">
        <v>616050</v>
      </c>
      <c r="I139" s="143" t="inlineStr">
        <is>
          <t>TOẢN</t>
        </is>
      </c>
      <c r="J139" s="144">
        <f>R139-L139-N139-P139-Q139</f>
        <v/>
      </c>
      <c r="K139" s="144" t="inlineStr">
        <is>
          <t>KHANG</t>
        </is>
      </c>
      <c r="L139" s="144">
        <f>IF(K139="-",0,H139*0.03)</f>
        <v/>
      </c>
      <c r="M139" s="144" t="inlineStr">
        <is>
          <t>-</t>
        </is>
      </c>
      <c r="N139" s="144">
        <f>IF(M139="-",0,H139*0.02)</f>
        <v/>
      </c>
      <c r="O139" s="144" t="inlineStr">
        <is>
          <t>-</t>
        </is>
      </c>
      <c r="P139" s="144">
        <f>IF(O139="-",0,H139*0.01)</f>
        <v/>
      </c>
      <c r="Q139" s="144">
        <f>H139*0.005</f>
        <v/>
      </c>
      <c r="R139" s="144" t="n"/>
      <c r="S139" s="145" t="n"/>
      <c r="T139" s="145" t="n"/>
      <c r="U139" s="145" t="n"/>
      <c r="V139" s="145" t="n"/>
    </row>
    <row r="140" ht="15" customFormat="1" customHeight="1" s="202">
      <c r="A140" s="142" t="n">
        <v>134</v>
      </c>
      <c r="B140" s="255" t="n">
        <v>46193</v>
      </c>
      <c r="C140" s="187" t="inlineStr">
        <is>
          <t>Nguyễn Văn Quang</t>
        </is>
      </c>
      <c r="D140" s="188" t="n">
        <v>45</v>
      </c>
      <c r="E140" s="189" t="n"/>
      <c r="F140" s="190" t="inlineStr">
        <is>
          <t>PT vết thương phần mềm đơn giản</t>
        </is>
      </c>
      <c r="G140" s="188" t="inlineStr">
        <is>
          <t>Loại 2</t>
        </is>
      </c>
      <c r="H140" s="191" t="n">
        <v>1233000</v>
      </c>
      <c r="I140" s="143" t="inlineStr">
        <is>
          <t>SƠN</t>
        </is>
      </c>
      <c r="J140" s="144">
        <f>R140-L140-N140-P140-Q140</f>
        <v/>
      </c>
      <c r="K140" s="144" t="inlineStr">
        <is>
          <t>NGHĨA</t>
        </is>
      </c>
      <c r="L140" s="144">
        <f>IF(K140="-",0,H140*0.03)</f>
        <v/>
      </c>
      <c r="M140" s="144" t="inlineStr">
        <is>
          <t>LỘC</t>
        </is>
      </c>
      <c r="N140" s="144">
        <f>IF(M140="-",0,H140*0.02)</f>
        <v/>
      </c>
      <c r="O140" s="144" t="inlineStr">
        <is>
          <t>-</t>
        </is>
      </c>
      <c r="P140" s="144">
        <f>IF(O140="-",0,H140*0.01)</f>
        <v/>
      </c>
      <c r="Q140" s="144">
        <f>H140*0.005</f>
        <v/>
      </c>
      <c r="R140" s="144" t="n"/>
      <c r="S140" s="145" t="n"/>
      <c r="T140" s="145" t="n"/>
      <c r="U140" s="145" t="n"/>
      <c r="V140" s="145" t="n"/>
    </row>
    <row r="141" ht="15" customFormat="1" customHeight="1" s="202">
      <c r="A141" s="142" t="n">
        <v>135</v>
      </c>
      <c r="B141" s="255" t="n">
        <v>46193</v>
      </c>
      <c r="C141" s="187" t="inlineStr">
        <is>
          <t>Phạm Thị Dung</t>
        </is>
      </c>
      <c r="D141" s="188" t="n"/>
      <c r="E141" s="189" t="n">
        <v>58</v>
      </c>
      <c r="F141" s="190" t="inlineStr">
        <is>
          <t>PT lấy nhân điệm cột sống thắt lưng</t>
        </is>
      </c>
      <c r="G141" s="188" t="n"/>
      <c r="H141" s="191" t="n">
        <v>8993000</v>
      </c>
      <c r="I141" s="143" t="inlineStr">
        <is>
          <t>DUY</t>
        </is>
      </c>
      <c r="J141" s="144">
        <f>R141-L141-N141-P141-Q141</f>
        <v/>
      </c>
      <c r="K141" s="144" t="inlineStr">
        <is>
          <t>NGHĨA</t>
        </is>
      </c>
      <c r="L141" s="144">
        <f>IF(K141="-",0,H141*0.03)</f>
        <v/>
      </c>
      <c r="M141" s="144" t="inlineStr">
        <is>
          <t>-</t>
        </is>
      </c>
      <c r="N141" s="144">
        <f>IF(M141="-",0,H141*0.02)</f>
        <v/>
      </c>
      <c r="O141" s="144" t="inlineStr">
        <is>
          <t>-</t>
        </is>
      </c>
      <c r="P141" s="144">
        <f>IF(O141="-",0,H141*0.01)</f>
        <v/>
      </c>
      <c r="Q141" s="144">
        <f>H141*0.005</f>
        <v/>
      </c>
      <c r="R141" s="144" t="n"/>
      <c r="S141" s="145" t="n"/>
      <c r="T141" s="145" t="n"/>
      <c r="U141" s="145" t="n"/>
      <c r="V141" s="145" t="n"/>
    </row>
    <row r="142" ht="15" customFormat="1" customHeight="1" s="202">
      <c r="A142" s="142" t="n">
        <v>136</v>
      </c>
      <c r="B142" s="255" t="n">
        <v>46194</v>
      </c>
      <c r="C142" s="187" t="inlineStr">
        <is>
          <t>Huỳnh Tín Tâm</t>
        </is>
      </c>
      <c r="D142" s="188" t="n">
        <v>59</v>
      </c>
      <c r="E142" s="189" t="n"/>
      <c r="F142" s="190" t="inlineStr">
        <is>
          <t>PT cắt cụt chi</t>
        </is>
      </c>
      <c r="G142" s="188" t="inlineStr">
        <is>
          <t>Loại 2</t>
        </is>
      </c>
      <c r="H142" s="191" t="n">
        <v>0</v>
      </c>
      <c r="I142" s="143" t="inlineStr">
        <is>
          <t>BẢO</t>
        </is>
      </c>
      <c r="J142" s="144">
        <f>R142-L142-N142-P142-Q142</f>
        <v/>
      </c>
      <c r="K142" s="144" t="inlineStr">
        <is>
          <t>-</t>
        </is>
      </c>
      <c r="L142" s="144">
        <f>IF(K142="-",0,H142*0.03)</f>
        <v/>
      </c>
      <c r="M142" s="144" t="inlineStr">
        <is>
          <t>-</t>
        </is>
      </c>
      <c r="N142" s="144">
        <f>IF(M142="-",0,H142*0.02)</f>
        <v/>
      </c>
      <c r="O142" s="144" t="inlineStr">
        <is>
          <t>-</t>
        </is>
      </c>
      <c r="P142" s="144">
        <f>IF(O142="-",0,H142*0.01)</f>
        <v/>
      </c>
      <c r="Q142" s="144">
        <f>H142*0.005</f>
        <v/>
      </c>
      <c r="R142" s="144" t="n"/>
      <c r="S142" s="145" t="n"/>
      <c r="T142" s="145" t="n"/>
      <c r="U142" s="145" t="n"/>
      <c r="V142" s="145" t="n"/>
    </row>
    <row r="143" ht="15" customFormat="1" customHeight="1" s="202">
      <c r="A143" s="142" t="n">
        <v>137</v>
      </c>
      <c r="B143" s="255" t="n">
        <v>46194</v>
      </c>
      <c r="C143" s="187" t="inlineStr">
        <is>
          <t>Bùi Văn Dũng</t>
        </is>
      </c>
      <c r="D143" s="188" t="n">
        <v>50</v>
      </c>
      <c r="E143" s="189" t="n"/>
      <c r="F143" s="190" t="inlineStr">
        <is>
          <t>PT KHX trên màn hình tăng sáng</t>
        </is>
      </c>
      <c r="G143" s="188" t="inlineStr">
        <is>
          <t>Đặc biệt</t>
        </is>
      </c>
      <c r="H143" s="191" t="n">
        <v>4497500</v>
      </c>
      <c r="I143" s="143" t="inlineStr">
        <is>
          <t>BẢO</t>
        </is>
      </c>
      <c r="J143" s="144">
        <f>R143-L143-N143-P143-Q143</f>
        <v/>
      </c>
      <c r="K143" s="144" t="inlineStr">
        <is>
          <t>NHỊ</t>
        </is>
      </c>
      <c r="L143" s="144">
        <f>IF(K143="-",0,H143*0.03)</f>
        <v/>
      </c>
      <c r="M143" s="144" t="inlineStr">
        <is>
          <t>HẬU</t>
        </is>
      </c>
      <c r="N143" s="144">
        <f>IF(M143="-",0,H143*0.02)</f>
        <v/>
      </c>
      <c r="O143" s="144" t="inlineStr">
        <is>
          <t>THUÝ</t>
        </is>
      </c>
      <c r="P143" s="144">
        <f>IF(O143="-",0,H143*0.01)</f>
        <v/>
      </c>
      <c r="Q143" s="144">
        <f>H143*0.005</f>
        <v/>
      </c>
      <c r="R143" s="144" t="n"/>
      <c r="S143" s="145" t="n"/>
      <c r="T143" s="145" t="n"/>
      <c r="U143" s="145" t="n"/>
      <c r="V143" s="145" t="n"/>
    </row>
    <row r="144" ht="15" customFormat="1" customHeight="1" s="202">
      <c r="A144" s="142" t="n">
        <v>138</v>
      </c>
      <c r="B144" s="255" t="n">
        <v>46194</v>
      </c>
      <c r="C144" s="187" t="inlineStr">
        <is>
          <t>Lâm Minh</t>
        </is>
      </c>
      <c r="D144" s="188" t="n">
        <v>22</v>
      </c>
      <c r="E144" s="189" t="n"/>
      <c r="F144" s="190" t="inlineStr">
        <is>
          <t>PT vết thương phần mềm đơn giản rách da đầu (gây tê)</t>
        </is>
      </c>
      <c r="G144" s="188" t="inlineStr">
        <is>
          <t>Loại 2</t>
        </is>
      </c>
      <c r="H144" s="191" t="n">
        <v>796000</v>
      </c>
      <c r="I144" s="143" t="inlineStr">
        <is>
          <t>BẢO</t>
        </is>
      </c>
      <c r="J144" s="144">
        <f>R144-L144-N144-P144-Q144</f>
        <v/>
      </c>
      <c r="K144" s="144" t="inlineStr">
        <is>
          <t>-</t>
        </is>
      </c>
      <c r="L144" s="144">
        <f>IF(K144="-",0,H144*0.03)</f>
        <v/>
      </c>
      <c r="M144" s="144" t="inlineStr">
        <is>
          <t>-</t>
        </is>
      </c>
      <c r="N144" s="144">
        <f>IF(M144="-",0,H144*0.02)</f>
        <v/>
      </c>
      <c r="O144" s="144" t="inlineStr">
        <is>
          <t>-</t>
        </is>
      </c>
      <c r="P144" s="144">
        <f>IF(O144="-",0,H144*0.01)</f>
        <v/>
      </c>
      <c r="Q144" s="144">
        <f>H144*0.005</f>
        <v/>
      </c>
      <c r="R144" s="144" t="n"/>
      <c r="S144" s="145" t="n"/>
      <c r="T144" s="145" t="n"/>
      <c r="U144" s="145" t="n"/>
      <c r="V144" s="145" t="n"/>
    </row>
    <row r="145" ht="15" customFormat="1" customHeight="1" s="202">
      <c r="A145" s="142" t="n">
        <v>139</v>
      </c>
      <c r="B145" s="255" t="n">
        <v>46195</v>
      </c>
      <c r="C145" s="187" t="inlineStr">
        <is>
          <t>Nguyễn Văn Quang</t>
        </is>
      </c>
      <c r="D145" s="188" t="n">
        <v>45</v>
      </c>
      <c r="E145" s="189" t="n"/>
      <c r="F145" s="190" t="inlineStr">
        <is>
          <t>PT KHX trên màn hình tăng sáng</t>
        </is>
      </c>
      <c r="G145" s="188" t="inlineStr">
        <is>
          <t>Đặc biệt</t>
        </is>
      </c>
      <c r="H145" s="191" t="n">
        <v>4497500</v>
      </c>
      <c r="I145" s="143" t="inlineStr">
        <is>
          <t>SƠN</t>
        </is>
      </c>
      <c r="J145" s="144">
        <f>R145-L145-N145-P145-Q145</f>
        <v/>
      </c>
      <c r="K145" s="144" t="inlineStr">
        <is>
          <t>NGHĨA</t>
        </is>
      </c>
      <c r="L145" s="144">
        <f>IF(K145="-",0,H145*0.03)</f>
        <v/>
      </c>
      <c r="M145" s="144" t="inlineStr">
        <is>
          <t>CHỈNH</t>
        </is>
      </c>
      <c r="N145" s="144">
        <f>IF(M145="-",0,H145*0.02)</f>
        <v/>
      </c>
      <c r="O145" s="144" t="inlineStr">
        <is>
          <t>-</t>
        </is>
      </c>
      <c r="P145" s="144">
        <f>IF(O145="-",0,H145*0.01)</f>
        <v/>
      </c>
      <c r="Q145" s="144">
        <f>H145*0.005</f>
        <v/>
      </c>
      <c r="R145" s="144" t="n"/>
      <c r="S145" s="145" t="n"/>
      <c r="T145" s="145" t="n"/>
      <c r="U145" s="145" t="n"/>
      <c r="V145" s="145" t="n"/>
    </row>
    <row r="146" ht="15" customFormat="1" customHeight="1" s="202">
      <c r="A146" s="142" t="n">
        <v>140</v>
      </c>
      <c r="B146" s="255" t="n">
        <v>46195</v>
      </c>
      <c r="C146" s="187" t="inlineStr">
        <is>
          <t>Phan Văn Được</t>
        </is>
      </c>
      <c r="D146" s="188" t="n">
        <v>92</v>
      </c>
      <c r="E146" s="189" t="n"/>
      <c r="F146" s="190" t="inlineStr">
        <is>
          <t>PT KHX trên màn hình tăng sáng</t>
        </is>
      </c>
      <c r="G146" s="188" t="inlineStr">
        <is>
          <t>Đặc biệt</t>
        </is>
      </c>
      <c r="H146" s="191" t="n">
        <v>4497500</v>
      </c>
      <c r="I146" s="143" t="inlineStr">
        <is>
          <t>DUY</t>
        </is>
      </c>
      <c r="J146" s="144">
        <f>R146-L146-N146-P146-Q146</f>
        <v/>
      </c>
      <c r="K146" s="144" t="inlineStr">
        <is>
          <t>KHANG</t>
        </is>
      </c>
      <c r="L146" s="144">
        <f>IF(K146="-",0,H146*0.03)</f>
        <v/>
      </c>
      <c r="M146" s="144" t="inlineStr">
        <is>
          <t>LỘC</t>
        </is>
      </c>
      <c r="N146" s="144">
        <f>IF(M146="-",0,H146*0.02)</f>
        <v/>
      </c>
      <c r="O146" s="144" t="inlineStr">
        <is>
          <t>-</t>
        </is>
      </c>
      <c r="P146" s="144">
        <f>IF(O146="-",0,H146*0.01)</f>
        <v/>
      </c>
      <c r="Q146" s="144">
        <f>H146*0.005</f>
        <v/>
      </c>
      <c r="R146" s="144" t="n"/>
      <c r="S146" s="145" t="n"/>
      <c r="T146" s="145" t="n"/>
      <c r="U146" s="145" t="n"/>
      <c r="V146" s="145" t="n"/>
    </row>
    <row r="147" ht="15" customFormat="1" customHeight="1" s="202">
      <c r="A147" s="142" t="n">
        <v>141</v>
      </c>
      <c r="B147" s="255" t="n">
        <v>46195</v>
      </c>
      <c r="C147" s="187" t="inlineStr">
        <is>
          <t>Lê Thị Lệ</t>
        </is>
      </c>
      <c r="D147" s="188" t="n"/>
      <c r="E147" s="189" t="n">
        <v>69</v>
      </c>
      <c r="F147" s="190" t="inlineStr">
        <is>
          <t xml:space="preserve">Cố định cột sống và hàn khớp qua liên thân đốt CSTL cùng đường sau </t>
        </is>
      </c>
      <c r="G147" s="188" t="inlineStr">
        <is>
          <t>Đặc biệt</t>
        </is>
      </c>
      <c r="H147" s="191" t="n">
        <v>4201900</v>
      </c>
      <c r="I147" s="143" t="inlineStr">
        <is>
          <t>HOAN</t>
        </is>
      </c>
      <c r="J147" s="144">
        <f>R147-L147-N147-P147-Q147</f>
        <v/>
      </c>
      <c r="K147" s="144" t="inlineStr">
        <is>
          <t>DUY</t>
        </is>
      </c>
      <c r="L147" s="144">
        <f>IF(K147="-",0,H147*0.03)</f>
        <v/>
      </c>
      <c r="M147" s="144" t="inlineStr">
        <is>
          <t>G.TỬ</t>
        </is>
      </c>
      <c r="N147" s="144">
        <f>IF(M147="-",0,H147*0.02)</f>
        <v/>
      </c>
      <c r="O147" s="144" t="inlineStr">
        <is>
          <t>KHANG</t>
        </is>
      </c>
      <c r="P147" s="144">
        <f>IF(O147="-",0,H147*0.01)</f>
        <v/>
      </c>
      <c r="Q147" s="144">
        <f>H147*0.005</f>
        <v/>
      </c>
      <c r="R147" s="144" t="n"/>
      <c r="S147" s="145" t="n"/>
      <c r="T147" s="145" t="n"/>
      <c r="U147" s="145" t="n"/>
      <c r="V147" s="145" t="n"/>
    </row>
    <row r="148" ht="15" customFormat="1" customHeight="1" s="202">
      <c r="A148" s="142" t="n">
        <v>142</v>
      </c>
      <c r="B148" s="255" t="n">
        <v>46195</v>
      </c>
      <c r="C148" s="187" t="inlineStr">
        <is>
          <t>Trần Đức Hiếu</t>
        </is>
      </c>
      <c r="D148" s="188" t="n">
        <v>19</v>
      </c>
      <c r="E148" s="189" t="n"/>
      <c r="F148" s="190" t="inlineStr">
        <is>
          <t>PTNS tái tạo dây chằng chéo trước bằng gân chân ngỗng</t>
        </is>
      </c>
      <c r="G148" s="188" t="inlineStr">
        <is>
          <t>Đặc biệt</t>
        </is>
      </c>
      <c r="H148" s="191" t="n">
        <v>3405500</v>
      </c>
      <c r="I148" s="143" t="inlineStr">
        <is>
          <t>SƠN</t>
        </is>
      </c>
      <c r="J148" s="144">
        <f>R148-L148-N148-P148-Q148</f>
        <v/>
      </c>
      <c r="K148" s="144" t="inlineStr">
        <is>
          <t>DUY</t>
        </is>
      </c>
      <c r="L148" s="144">
        <f>IF(K148="-",0,H148*0.03)</f>
        <v/>
      </c>
      <c r="M148" s="144" t="inlineStr">
        <is>
          <t>CHỈNH</t>
        </is>
      </c>
      <c r="N148" s="144">
        <f>IF(M148="-",0,H148*0.02)</f>
        <v/>
      </c>
      <c r="O148" s="144" t="inlineStr">
        <is>
          <t>-</t>
        </is>
      </c>
      <c r="P148" s="144">
        <f>IF(O148="-",0,H148*0.01)</f>
        <v/>
      </c>
      <c r="Q148" s="144">
        <f>H148*0.005</f>
        <v/>
      </c>
      <c r="R148" s="144" t="n"/>
      <c r="S148" s="145" t="n"/>
      <c r="T148" s="145" t="n"/>
      <c r="U148" s="145" t="n"/>
      <c r="V148" s="145" t="n"/>
    </row>
    <row r="149" ht="15" customFormat="1" customHeight="1" s="202">
      <c r="A149" s="142" t="n">
        <v>143</v>
      </c>
      <c r="B149" s="255" t="n">
        <v>46195</v>
      </c>
      <c r="C149" s="187" t="inlineStr">
        <is>
          <t>Tô Văn Thiện</t>
        </is>
      </c>
      <c r="D149" s="188" t="n">
        <v>63</v>
      </c>
      <c r="E149" s="189" t="n"/>
      <c r="F149" s="190" t="inlineStr">
        <is>
          <t>PT cắt cụt chi</t>
        </is>
      </c>
      <c r="G149" s="188" t="inlineStr">
        <is>
          <t>Loại 2</t>
        </is>
      </c>
      <c r="H149" s="191" t="n">
        <v>1773300</v>
      </c>
      <c r="I149" s="143" t="inlineStr">
        <is>
          <t>V.TÂN</t>
        </is>
      </c>
      <c r="J149" s="144">
        <f>R149-L149-N149-P149-Q149</f>
        <v/>
      </c>
      <c r="K149" s="144" t="inlineStr">
        <is>
          <t>CHỈNH</t>
        </is>
      </c>
      <c r="L149" s="144">
        <f>IF(K149="-",0,H149*0.03)</f>
        <v/>
      </c>
      <c r="M149" s="144" t="inlineStr">
        <is>
          <t>-</t>
        </is>
      </c>
      <c r="N149" s="144">
        <f>IF(M149="-",0,H149*0.02)</f>
        <v/>
      </c>
      <c r="O149" s="144" t="inlineStr">
        <is>
          <t>-</t>
        </is>
      </c>
      <c r="P149" s="144">
        <f>IF(O149="-",0,H149*0.01)</f>
        <v/>
      </c>
      <c r="Q149" s="144">
        <f>H149*0.005</f>
        <v/>
      </c>
      <c r="R149" s="144" t="n"/>
      <c r="S149" s="145" t="n"/>
      <c r="T149" s="145" t="n"/>
      <c r="U149" s="145" t="n"/>
      <c r="V149" s="145" t="n"/>
    </row>
    <row r="150" ht="15" customFormat="1" customHeight="1" s="202">
      <c r="A150" s="142" t="n">
        <v>144</v>
      </c>
      <c r="B150" s="255" t="n">
        <v>46196</v>
      </c>
      <c r="C150" s="187" t="inlineStr">
        <is>
          <t>Dương Thị Diễm Hằng</t>
        </is>
      </c>
      <c r="D150" s="188" t="n"/>
      <c r="E150" s="189" t="n">
        <v>46</v>
      </c>
      <c r="F150" s="190" t="inlineStr">
        <is>
          <t xml:space="preserve">PTNS cắt lọc sụn khớp gối </t>
        </is>
      </c>
      <c r="G150" s="188" t="inlineStr">
        <is>
          <t>Loại 1</t>
        </is>
      </c>
      <c r="H150" s="191" t="n">
        <v>3397500</v>
      </c>
      <c r="I150" s="143" t="inlineStr">
        <is>
          <t>SƠN</t>
        </is>
      </c>
      <c r="J150" s="144">
        <f>R150-L150-N150-P150-Q150</f>
        <v/>
      </c>
      <c r="K150" s="144" t="inlineStr">
        <is>
          <t>NGHĨA</t>
        </is>
      </c>
      <c r="L150" s="144">
        <f>IF(K150="-",0,H150*0.03)</f>
        <v/>
      </c>
      <c r="M150" s="144" t="inlineStr">
        <is>
          <t>-</t>
        </is>
      </c>
      <c r="N150" s="144">
        <f>IF(M150="-",0,H150*0.02)</f>
        <v/>
      </c>
      <c r="O150" s="144" t="inlineStr">
        <is>
          <t>-</t>
        </is>
      </c>
      <c r="P150" s="144">
        <f>IF(O150="-",0,H150*0.01)</f>
        <v/>
      </c>
      <c r="Q150" s="144">
        <f>H150*0.005</f>
        <v/>
      </c>
      <c r="R150" s="144" t="n"/>
      <c r="S150" s="145" t="n"/>
      <c r="T150" s="145" t="n"/>
      <c r="U150" s="145" t="n"/>
      <c r="V150" s="145" t="n"/>
    </row>
    <row r="151" ht="15" customFormat="1" customHeight="1" s="202">
      <c r="A151" s="142" t="n">
        <v>145</v>
      </c>
      <c r="B151" s="255" t="n">
        <v>46196</v>
      </c>
      <c r="C151" s="187" t="inlineStr">
        <is>
          <t>Thạch Hoàng Dũng</t>
        </is>
      </c>
      <c r="D151" s="188" t="n">
        <v>50</v>
      </c>
      <c r="E151" s="189" t="n"/>
      <c r="F151" s="190" t="inlineStr">
        <is>
          <t xml:space="preserve">PTNS khâu sụn chêm </t>
        </is>
      </c>
      <c r="G151" s="188" t="inlineStr">
        <is>
          <t>Đặc biệt</t>
        </is>
      </c>
      <c r="H151" s="191" t="n">
        <v>4397500</v>
      </c>
      <c r="I151" s="143" t="inlineStr">
        <is>
          <t>SƠN</t>
        </is>
      </c>
      <c r="J151" s="144">
        <f>R151-L151-N151-P151-Q151</f>
        <v/>
      </c>
      <c r="K151" s="144" t="inlineStr">
        <is>
          <t>NGHĨA</t>
        </is>
      </c>
      <c r="L151" s="144">
        <f>IF(K151="-",0,H151*0.03)</f>
        <v/>
      </c>
      <c r="M151" s="144" t="inlineStr">
        <is>
          <t>NHỊ</t>
        </is>
      </c>
      <c r="N151" s="144">
        <f>IF(M151="-",0,H151*0.02)</f>
        <v/>
      </c>
      <c r="O151" s="144" t="inlineStr">
        <is>
          <t>-</t>
        </is>
      </c>
      <c r="P151" s="144">
        <f>IF(O151="-",0,H151*0.01)</f>
        <v/>
      </c>
      <c r="Q151" s="144">
        <f>H151*0.005</f>
        <v/>
      </c>
      <c r="R151" s="144" t="n"/>
      <c r="S151" s="145" t="n"/>
      <c r="T151" s="145" t="n"/>
      <c r="U151" s="145" t="n"/>
      <c r="V151" s="145" t="n"/>
    </row>
    <row r="152" ht="15" customFormat="1" customHeight="1" s="202">
      <c r="A152" s="142" t="n">
        <v>146</v>
      </c>
      <c r="B152" s="255" t="n">
        <v>46196</v>
      </c>
      <c r="C152" s="187" t="inlineStr">
        <is>
          <t>Nguyễn Văn Lâm</t>
        </is>
      </c>
      <c r="D152" s="188" t="n">
        <v>75</v>
      </c>
      <c r="E152" s="189" t="n"/>
      <c r="F152" s="190" t="inlineStr">
        <is>
          <t>Cắt lọc hoại tử ổ loét vết thương mạn tính</t>
        </is>
      </c>
      <c r="G152" s="188" t="inlineStr">
        <is>
          <t>Loại 2</t>
        </is>
      </c>
      <c r="H152" s="191" t="n">
        <v>2127400</v>
      </c>
      <c r="I152" s="143" t="inlineStr">
        <is>
          <t>DUY</t>
        </is>
      </c>
      <c r="J152" s="144">
        <f>R152-L152-N152-P152-Q152</f>
        <v/>
      </c>
      <c r="K152" s="144" t="inlineStr">
        <is>
          <t>LỘC</t>
        </is>
      </c>
      <c r="L152" s="144">
        <f>IF(K152="-",0,H152*0.03)</f>
        <v/>
      </c>
      <c r="M152" s="144" t="inlineStr">
        <is>
          <t>-</t>
        </is>
      </c>
      <c r="N152" s="144">
        <f>IF(M152="-",0,H152*0.02)</f>
        <v/>
      </c>
      <c r="O152" s="144" t="inlineStr">
        <is>
          <t>-</t>
        </is>
      </c>
      <c r="P152" s="144">
        <f>IF(O152="-",0,H152*0.01)</f>
        <v/>
      </c>
      <c r="Q152" s="144">
        <f>H152*0.005</f>
        <v/>
      </c>
      <c r="R152" s="144" t="n"/>
      <c r="S152" s="145" t="n"/>
      <c r="T152" s="145" t="n"/>
      <c r="U152" s="145" t="n"/>
      <c r="V152" s="145" t="n"/>
    </row>
    <row r="153" ht="15" customFormat="1" customHeight="1" s="202">
      <c r="A153" s="142" t="n">
        <v>147</v>
      </c>
      <c r="B153" s="255" t="n">
        <v>46196</v>
      </c>
      <c r="C153" s="187" t="inlineStr">
        <is>
          <t>Lê Tuấn Đạt</t>
        </is>
      </c>
      <c r="D153" s="188" t="n">
        <v>35</v>
      </c>
      <c r="E153" s="189" t="n"/>
      <c r="F153" s="190" t="inlineStr">
        <is>
          <t>PT chuyển gân điều trị bàn chân rũ do liệt vận động</t>
        </is>
      </c>
      <c r="G153" s="188" t="inlineStr">
        <is>
          <t>Loại 1</t>
        </is>
      </c>
      <c r="H153" s="191" t="n">
        <v>3679400</v>
      </c>
      <c r="I153" s="143" t="inlineStr">
        <is>
          <t>HOAN</t>
        </is>
      </c>
      <c r="J153" s="144">
        <f>R153-L153-N153-P153-Q153</f>
        <v/>
      </c>
      <c r="K153" s="144" t="inlineStr">
        <is>
          <t>TOẢN</t>
        </is>
      </c>
      <c r="L153" s="144">
        <f>IF(K153="-",0,H153*0.03)</f>
        <v/>
      </c>
      <c r="M153" s="144" t="inlineStr">
        <is>
          <t>NHỊ</t>
        </is>
      </c>
      <c r="N153" s="144">
        <f>IF(M153="-",0,H153*0.02)</f>
        <v/>
      </c>
      <c r="O153" s="144" t="inlineStr">
        <is>
          <t>LỘC</t>
        </is>
      </c>
      <c r="P153" s="144">
        <f>IF(O153="-",0,H153*0.01)</f>
        <v/>
      </c>
      <c r="Q153" s="144">
        <f>H153*0.005</f>
        <v/>
      </c>
      <c r="R153" s="144" t="n"/>
      <c r="S153" s="145" t="n"/>
      <c r="T153" s="145" t="n"/>
      <c r="U153" s="145" t="n"/>
      <c r="V153" s="145" t="n"/>
    </row>
    <row r="154" ht="15" customFormat="1" customHeight="1" s="202">
      <c r="A154" s="142" t="n">
        <v>148</v>
      </c>
      <c r="B154" s="255" t="n">
        <v>46196</v>
      </c>
      <c r="C154" s="187" t="inlineStr">
        <is>
          <t>Huỳnh Thị Sáu</t>
        </is>
      </c>
      <c r="D154" s="188" t="n"/>
      <c r="E154" s="189" t="n">
        <v>66</v>
      </c>
      <c r="F154" s="190" t="inlineStr">
        <is>
          <t>PT thay toàn bộ khớp gối</t>
        </is>
      </c>
      <c r="G154" s="188" t="inlineStr">
        <is>
          <t>Đặc biệt</t>
        </is>
      </c>
      <c r="H154" s="191" t="n">
        <v>3525500</v>
      </c>
      <c r="I154" s="143" t="inlineStr">
        <is>
          <t>HOAN</t>
        </is>
      </c>
      <c r="J154" s="144">
        <f>R154-L154-N154-P154-Q154</f>
        <v/>
      </c>
      <c r="K154" s="144" t="inlineStr">
        <is>
          <t>TOẢN</t>
        </is>
      </c>
      <c r="L154" s="144">
        <f>IF(K154="-",0,H154*0.03)</f>
        <v/>
      </c>
      <c r="M154" s="144" t="inlineStr">
        <is>
          <t>G.TỬ</t>
        </is>
      </c>
      <c r="N154" s="144">
        <f>IF(M154="-",0,H154*0.02)</f>
        <v/>
      </c>
      <c r="O154" s="144" t="inlineStr">
        <is>
          <t>NHỊ</t>
        </is>
      </c>
      <c r="P154" s="144">
        <f>IF(O154="-",0,H154*0.01)</f>
        <v/>
      </c>
      <c r="Q154" s="144">
        <f>H154*0.005</f>
        <v/>
      </c>
      <c r="R154" s="144" t="n"/>
      <c r="S154" s="145" t="n"/>
      <c r="T154" s="145" t="n"/>
      <c r="U154" s="145" t="n"/>
      <c r="V154" s="145" t="n"/>
    </row>
    <row r="155" ht="15" customFormat="1" customHeight="1" s="202">
      <c r="A155" s="142" t="n">
        <v>149</v>
      </c>
      <c r="B155" s="255" t="n">
        <v>46196</v>
      </c>
      <c r="C155" s="187" t="inlineStr">
        <is>
          <t>Lê Ngọc Hủi</t>
        </is>
      </c>
      <c r="D155" s="188" t="n"/>
      <c r="E155" s="189" t="n">
        <v>37</v>
      </c>
      <c r="F155" s="190" t="inlineStr">
        <is>
          <t>Rút đinh/tháo phương tiện KHX</t>
        </is>
      </c>
      <c r="G155" s="188" t="inlineStr">
        <is>
          <t>Loại 2</t>
        </is>
      </c>
      <c r="H155" s="191" t="n">
        <v>2559100</v>
      </c>
      <c r="I155" s="143" t="inlineStr">
        <is>
          <t>V.TÂN</t>
        </is>
      </c>
      <c r="J155" s="144">
        <f>R155-L155-N155-P155-Q155</f>
        <v/>
      </c>
      <c r="K155" s="144" t="inlineStr">
        <is>
          <t>HẬU</t>
        </is>
      </c>
      <c r="L155" s="144">
        <f>IF(K155="-",0,H155*0.03)</f>
        <v/>
      </c>
      <c r="M155" s="144" t="inlineStr">
        <is>
          <t>-</t>
        </is>
      </c>
      <c r="N155" s="144">
        <f>IF(M155="-",0,H155*0.02)</f>
        <v/>
      </c>
      <c r="O155" s="144" t="inlineStr">
        <is>
          <t>-</t>
        </is>
      </c>
      <c r="P155" s="144">
        <f>IF(O155="-",0,H155*0.01)</f>
        <v/>
      </c>
      <c r="Q155" s="144">
        <f>H155*0.005</f>
        <v/>
      </c>
      <c r="R155" s="144" t="n"/>
      <c r="S155" s="145" t="n"/>
      <c r="T155" s="145" t="n"/>
      <c r="U155" s="145" t="n"/>
      <c r="V155" s="145" t="n"/>
    </row>
    <row r="156" ht="15" customFormat="1" customHeight="1" s="202">
      <c r="A156" s="142" t="n">
        <v>150</v>
      </c>
      <c r="B156" s="255" t="n">
        <v>46196</v>
      </c>
      <c r="C156" s="187" t="inlineStr">
        <is>
          <t>Trần Minh Phú</t>
        </is>
      </c>
      <c r="D156" s="188" t="n">
        <v>18</v>
      </c>
      <c r="E156" s="189" t="n"/>
      <c r="F156" s="190" t="inlineStr">
        <is>
          <t>Rút đinh/tháo phương tiện KHX</t>
        </is>
      </c>
      <c r="G156" s="188" t="inlineStr">
        <is>
          <t>Loại 2</t>
        </is>
      </c>
      <c r="H156" s="191" t="n">
        <v>2559100</v>
      </c>
      <c r="I156" s="143" t="inlineStr">
        <is>
          <t>V.TÂN</t>
        </is>
      </c>
      <c r="J156" s="144">
        <f>R156-L156-N156-P156-Q156</f>
        <v/>
      </c>
      <c r="K156" s="144" t="inlineStr">
        <is>
          <t>HẬU</t>
        </is>
      </c>
      <c r="L156" s="144">
        <f>IF(K156="-",0,H156*0.03)</f>
        <v/>
      </c>
      <c r="M156" s="144" t="inlineStr">
        <is>
          <t>-</t>
        </is>
      </c>
      <c r="N156" s="144">
        <f>IF(M156="-",0,H156*0.02)</f>
        <v/>
      </c>
      <c r="O156" s="144" t="inlineStr">
        <is>
          <t>-</t>
        </is>
      </c>
      <c r="P156" s="144">
        <f>IF(O156="-",0,H156*0.01)</f>
        <v/>
      </c>
      <c r="Q156" s="144">
        <f>H156*0.005</f>
        <v/>
      </c>
      <c r="R156" s="144" t="n"/>
      <c r="S156" s="145" t="n"/>
      <c r="T156" s="145" t="n"/>
      <c r="U156" s="145" t="n"/>
      <c r="V156" s="145" t="n"/>
    </row>
    <row r="157" ht="15" customFormat="1" customHeight="1" s="202">
      <c r="A157" s="142" t="n">
        <v>151</v>
      </c>
      <c r="B157" s="255" t="n">
        <v>46196</v>
      </c>
      <c r="C157" s="187" t="inlineStr">
        <is>
          <t>Nguyễn Hoàng Thanh</t>
        </is>
      </c>
      <c r="D157" s="188" t="n">
        <v>23</v>
      </c>
      <c r="E157" s="189" t="n"/>
      <c r="F157" s="190" t="inlineStr">
        <is>
          <t>Rút đinh/tháo phương tiện KHX</t>
        </is>
      </c>
      <c r="G157" s="188" t="inlineStr">
        <is>
          <t>Loại 2</t>
        </is>
      </c>
      <c r="H157" s="191" t="n">
        <v>2559100</v>
      </c>
      <c r="I157" s="143" t="inlineStr">
        <is>
          <t>BẢO</t>
        </is>
      </c>
      <c r="J157" s="144">
        <f>R157-L157-N157-P157-Q157</f>
        <v/>
      </c>
      <c r="K157" s="144" t="inlineStr">
        <is>
          <t>NHỊ</t>
        </is>
      </c>
      <c r="L157" s="144">
        <f>IF(K157="-",0,H157*0.03)</f>
        <v/>
      </c>
      <c r="M157" s="144" t="inlineStr">
        <is>
          <t>LỘC</t>
        </is>
      </c>
      <c r="N157" s="144">
        <f>IF(M157="-",0,H157*0.02)</f>
        <v/>
      </c>
      <c r="O157" s="144" t="inlineStr">
        <is>
          <t>-</t>
        </is>
      </c>
      <c r="P157" s="144">
        <f>IF(O157="-",0,H157*0.01)</f>
        <v/>
      </c>
      <c r="Q157" s="144">
        <f>H157*0.005</f>
        <v/>
      </c>
      <c r="R157" s="144" t="n"/>
      <c r="S157" s="145" t="n"/>
      <c r="T157" s="145" t="n"/>
      <c r="U157" s="145" t="n"/>
      <c r="V157" s="145" t="n"/>
    </row>
    <row r="158" ht="15" customFormat="1" customHeight="1" s="202">
      <c r="A158" s="142" t="n">
        <v>152</v>
      </c>
      <c r="B158" s="255" t="n">
        <v>46197</v>
      </c>
      <c r="C158" s="187" t="inlineStr">
        <is>
          <t>Nguyễn Khánh Hội</t>
        </is>
      </c>
      <c r="D158" s="188" t="n">
        <v>18</v>
      </c>
      <c r="E158" s="189" t="n"/>
      <c r="F158" s="190" t="inlineStr">
        <is>
          <t>PT vết thương phần mềm phức tạp (Gây tê) - BN nợ BHYT</t>
        </is>
      </c>
      <c r="G158" s="188" t="n"/>
      <c r="H158" s="191" t="n">
        <v>5100000</v>
      </c>
      <c r="I158" s="143" t="inlineStr">
        <is>
          <t>DUY</t>
        </is>
      </c>
      <c r="J158" s="144">
        <f>R158-L158-N158-P158-Q158</f>
        <v/>
      </c>
      <c r="K158" s="144" t="inlineStr">
        <is>
          <t>V.HƯỞNG</t>
        </is>
      </c>
      <c r="L158" s="144">
        <f>IF(K158="-",0,H158*0.03)</f>
        <v/>
      </c>
      <c r="M158" s="144" t="inlineStr">
        <is>
          <t>CHỈNH</t>
        </is>
      </c>
      <c r="N158" s="144">
        <f>IF(M158="-",0,H158*0.02)</f>
        <v/>
      </c>
      <c r="O158" s="144" t="inlineStr">
        <is>
          <t>-</t>
        </is>
      </c>
      <c r="P158" s="144">
        <f>IF(O158="-",0,H158*0.01)</f>
        <v/>
      </c>
      <c r="Q158" s="144">
        <f>H158*0.005</f>
        <v/>
      </c>
      <c r="R158" s="144" t="n"/>
      <c r="S158" s="145" t="n"/>
      <c r="T158" s="145" t="n"/>
      <c r="U158" s="145" t="n"/>
      <c r="V158" s="145" t="n"/>
    </row>
    <row r="159" ht="15" customFormat="1" customHeight="1" s="202">
      <c r="A159" s="142" t="n">
        <v>153</v>
      </c>
      <c r="B159" s="255" t="n">
        <v>46197</v>
      </c>
      <c r="C159" s="187" t="inlineStr">
        <is>
          <t>Nguyễn Thị Phượng</t>
        </is>
      </c>
      <c r="D159" s="188" t="n"/>
      <c r="E159" s="189" t="n">
        <v>58</v>
      </c>
      <c r="F159" s="190" t="inlineStr">
        <is>
          <t>PT thay toàn bộ khớp háng</t>
        </is>
      </c>
      <c r="G159" s="188" t="inlineStr">
        <is>
          <t>Đặc biệt</t>
        </is>
      </c>
      <c r="H159" s="191" t="n">
        <v>3525500</v>
      </c>
      <c r="I159" s="143" t="inlineStr">
        <is>
          <t>SƠN</t>
        </is>
      </c>
      <c r="J159" s="144">
        <f>R159-L159-N159-P159-Q159</f>
        <v/>
      </c>
      <c r="K159" s="144" t="inlineStr">
        <is>
          <t>TOẢN</t>
        </is>
      </c>
      <c r="L159" s="144">
        <f>IF(K159="-",0,H159*0.03)</f>
        <v/>
      </c>
      <c r="M159" s="144" t="inlineStr">
        <is>
          <t>BẢO</t>
        </is>
      </c>
      <c r="N159" s="144">
        <f>IF(M159="-",0,H159*0.02)</f>
        <v/>
      </c>
      <c r="O159" s="144" t="inlineStr">
        <is>
          <t>G.TỬ</t>
        </is>
      </c>
      <c r="P159" s="144">
        <f>IF(O159="-",0,H159*0.01)</f>
        <v/>
      </c>
      <c r="Q159" s="144">
        <f>H159*0.005</f>
        <v/>
      </c>
      <c r="R159" s="144" t="n"/>
      <c r="S159" s="145" t="n"/>
      <c r="T159" s="145" t="n"/>
      <c r="U159" s="145" t="n"/>
      <c r="V159" s="145" t="n"/>
    </row>
    <row r="160" ht="15" customFormat="1" customHeight="1" s="202">
      <c r="A160" s="142" t="n">
        <v>154</v>
      </c>
      <c r="B160" s="255" t="n">
        <v>46197</v>
      </c>
      <c r="C160" s="187" t="inlineStr">
        <is>
          <t>Nguyễn Thị Bợ</t>
        </is>
      </c>
      <c r="D160" s="188" t="n"/>
      <c r="E160" s="189" t="n">
        <v>63</v>
      </c>
      <c r="F160" s="190" t="inlineStr">
        <is>
          <t>PT thay toàn bộ khớp gối</t>
        </is>
      </c>
      <c r="G160" s="188" t="inlineStr">
        <is>
          <t>Đặc biệt</t>
        </is>
      </c>
      <c r="H160" s="191" t="n">
        <v>3525500</v>
      </c>
      <c r="I160" s="143" t="inlineStr">
        <is>
          <t>TẤN</t>
        </is>
      </c>
      <c r="J160" s="144">
        <f>R160-L160-N160-P160-Q160</f>
        <v/>
      </c>
      <c r="K160" s="144" t="inlineStr">
        <is>
          <t>V.TÂN</t>
        </is>
      </c>
      <c r="L160" s="144">
        <f>IF(K160="-",0,H160*0.03)</f>
        <v/>
      </c>
      <c r="M160" s="144" t="inlineStr">
        <is>
          <t>G.TỬ</t>
        </is>
      </c>
      <c r="N160" s="144">
        <f>IF(M160="-",0,H160*0.02)</f>
        <v/>
      </c>
      <c r="O160" s="144" t="inlineStr">
        <is>
          <t>NHỊ</t>
        </is>
      </c>
      <c r="P160" s="144">
        <f>IF(O160="-",0,H160*0.01)</f>
        <v/>
      </c>
      <c r="Q160" s="144">
        <f>H160*0.005</f>
        <v/>
      </c>
      <c r="R160" s="144" t="n"/>
      <c r="S160" s="145" t="n"/>
      <c r="T160" s="145" t="n"/>
      <c r="U160" s="145" t="n"/>
      <c r="V160" s="145" t="n"/>
    </row>
    <row r="161" ht="15" customFormat="1" customHeight="1" s="202">
      <c r="A161" s="142" t="n">
        <v>155</v>
      </c>
      <c r="B161" s="255" t="n">
        <v>46197</v>
      </c>
      <c r="C161" s="187" t="inlineStr">
        <is>
          <t>Lê Ngọc Huyền</t>
        </is>
      </c>
      <c r="D161" s="188" t="n"/>
      <c r="E161" s="189" t="n">
        <v>35</v>
      </c>
      <c r="F161" s="190" t="inlineStr">
        <is>
          <t>PTNS cắt sụn chêm</t>
        </is>
      </c>
      <c r="G161" s="188" t="inlineStr">
        <is>
          <t>Loại 1</t>
        </is>
      </c>
      <c r="H161" s="191" t="n">
        <v>3397500</v>
      </c>
      <c r="I161" s="143" t="inlineStr">
        <is>
          <t>SƠN</t>
        </is>
      </c>
      <c r="J161" s="144">
        <f>R161-L161-N161-P161-Q161</f>
        <v/>
      </c>
      <c r="K161" s="144" t="inlineStr">
        <is>
          <t>TOẢN</t>
        </is>
      </c>
      <c r="L161" s="144">
        <f>IF(K161="-",0,H161*0.03)</f>
        <v/>
      </c>
      <c r="M161" s="144" t="inlineStr">
        <is>
          <t>THUÝ</t>
        </is>
      </c>
      <c r="N161" s="144">
        <f>IF(M161="-",0,H161*0.02)</f>
        <v/>
      </c>
      <c r="O161" s="144" t="inlineStr">
        <is>
          <t>NHỊ</t>
        </is>
      </c>
      <c r="P161" s="144">
        <f>IF(O161="-",0,H161*0.01)</f>
        <v/>
      </c>
      <c r="Q161" s="144">
        <f>H161*0.005</f>
        <v/>
      </c>
      <c r="R161" s="144" t="n"/>
      <c r="S161" s="145" t="n"/>
      <c r="T161" s="145" t="n"/>
      <c r="U161" s="145" t="n"/>
      <c r="V161" s="145" t="n"/>
    </row>
    <row r="162" ht="15" customFormat="1" customHeight="1" s="202">
      <c r="A162" s="142" t="n">
        <v>156</v>
      </c>
      <c r="B162" s="255" t="n">
        <v>46197</v>
      </c>
      <c r="C162" s="187" t="inlineStr">
        <is>
          <t>Nguyễn Đức Thịnh</t>
        </is>
      </c>
      <c r="D162" s="188" t="n">
        <v>30</v>
      </c>
      <c r="E162" s="189" t="n"/>
      <c r="F162" s="190" t="inlineStr">
        <is>
          <t>PTNS cắt sụn chêm</t>
        </is>
      </c>
      <c r="G162" s="188" t="inlineStr">
        <is>
          <t>Loại 1</t>
        </is>
      </c>
      <c r="H162" s="191" t="n">
        <v>3397500</v>
      </c>
      <c r="I162" s="143" t="inlineStr">
        <is>
          <t>HOAN</t>
        </is>
      </c>
      <c r="J162" s="144">
        <f>R162-L162-N162-P162-Q162</f>
        <v/>
      </c>
      <c r="K162" s="144" t="inlineStr">
        <is>
          <t>TOẢN</t>
        </is>
      </c>
      <c r="L162" s="144">
        <f>IF(K162="-",0,H162*0.03)</f>
        <v/>
      </c>
      <c r="M162" s="144" t="inlineStr">
        <is>
          <t>THUÝ</t>
        </is>
      </c>
      <c r="N162" s="144">
        <f>IF(M162="-",0,H162*0.02)</f>
        <v/>
      </c>
      <c r="O162" s="144" t="inlineStr">
        <is>
          <t>NHỊ</t>
        </is>
      </c>
      <c r="P162" s="144">
        <f>IF(O162="-",0,H162*0.01)</f>
        <v/>
      </c>
      <c r="Q162" s="144">
        <f>H162*0.005</f>
        <v/>
      </c>
      <c r="R162" s="144" t="n"/>
      <c r="S162" s="145" t="n"/>
      <c r="T162" s="145" t="n"/>
      <c r="U162" s="145" t="n"/>
      <c r="V162" s="145" t="n"/>
    </row>
    <row r="163" ht="15" customFormat="1" customHeight="1" s="202">
      <c r="A163" s="142" t="n">
        <v>157</v>
      </c>
      <c r="B163" s="255" t="n">
        <v>46198</v>
      </c>
      <c r="C163" s="187" t="inlineStr">
        <is>
          <t>Võ Xuân Ga</t>
        </is>
      </c>
      <c r="D163" s="188" t="n">
        <v>37</v>
      </c>
      <c r="E163" s="189" t="n"/>
      <c r="F163" s="190" t="inlineStr">
        <is>
          <t>Rút đinh/tháo phương tiện KHX</t>
        </is>
      </c>
      <c r="G163" s="188" t="inlineStr">
        <is>
          <t>Loại 2</t>
        </is>
      </c>
      <c r="H163" s="191" t="n">
        <v>2559100</v>
      </c>
      <c r="I163" s="143" t="inlineStr">
        <is>
          <t>V.TÂN</t>
        </is>
      </c>
      <c r="J163" s="144">
        <f>R163-L163-N163-P163-Q163</f>
        <v/>
      </c>
      <c r="K163" s="144" t="inlineStr">
        <is>
          <t>V.HƯỞNG</t>
        </is>
      </c>
      <c r="L163" s="144">
        <f>IF(K163="-",0,H163*0.03)</f>
        <v/>
      </c>
      <c r="M163" s="144" t="inlineStr">
        <is>
          <t>CHỈNH</t>
        </is>
      </c>
      <c r="N163" s="144">
        <f>IF(M163="-",0,H163*0.02)</f>
        <v/>
      </c>
      <c r="O163" s="144" t="inlineStr">
        <is>
          <t>THUÝ</t>
        </is>
      </c>
      <c r="P163" s="144">
        <f>IF(O163="-",0,H163*0.01)</f>
        <v/>
      </c>
      <c r="Q163" s="144">
        <f>H163*0.005</f>
        <v/>
      </c>
      <c r="R163" s="144" t="n"/>
      <c r="S163" s="145" t="n"/>
      <c r="T163" s="145" t="n"/>
      <c r="U163" s="145" t="n"/>
      <c r="V163" s="145" t="n"/>
    </row>
    <row r="164" ht="15" customFormat="1" customHeight="1" s="202">
      <c r="A164" s="142" t="n">
        <v>158</v>
      </c>
      <c r="B164" s="255" t="n">
        <v>46198</v>
      </c>
      <c r="C164" s="187" t="inlineStr">
        <is>
          <t>Lâm Văn Tài</t>
        </is>
      </c>
      <c r="D164" s="188" t="n">
        <v>30</v>
      </c>
      <c r="E164" s="189" t="n"/>
      <c r="F164" s="190" t="inlineStr">
        <is>
          <t>PTNS tái tạo dây chằng chéo sau</t>
        </is>
      </c>
      <c r="G164" s="188" t="inlineStr">
        <is>
          <t>Đặc biệt</t>
        </is>
      </c>
      <c r="H164" s="191" t="n">
        <v>3405500</v>
      </c>
      <c r="I164" s="143" t="inlineStr">
        <is>
          <t>SƠN</t>
        </is>
      </c>
      <c r="J164" s="144">
        <f>R164-L164-N164-P164-Q164</f>
        <v/>
      </c>
      <c r="K164" s="144" t="inlineStr">
        <is>
          <t>TOẢN</t>
        </is>
      </c>
      <c r="L164" s="144">
        <f>IF(K164="-",0,H164*0.03)</f>
        <v/>
      </c>
      <c r="M164" s="144" t="inlineStr">
        <is>
          <t>V.HƯỞNG</t>
        </is>
      </c>
      <c r="N164" s="144">
        <f>IF(M164="-",0,H164*0.02)</f>
        <v/>
      </c>
      <c r="O164" s="144" t="inlineStr">
        <is>
          <t>THUÝ</t>
        </is>
      </c>
      <c r="P164" s="144">
        <f>IF(O164="-",0,H164*0.01)</f>
        <v/>
      </c>
      <c r="Q164" s="144">
        <f>H164*0.005</f>
        <v/>
      </c>
      <c r="R164" s="144" t="n"/>
      <c r="S164" s="145" t="n"/>
      <c r="T164" s="145" t="n"/>
      <c r="U164" s="145" t="n"/>
      <c r="V164" s="145" t="n"/>
    </row>
    <row r="165" ht="15" customFormat="1" customHeight="1" s="202">
      <c r="A165" s="142" t="n">
        <v>159</v>
      </c>
      <c r="B165" s="255" t="n">
        <v>46199</v>
      </c>
      <c r="C165" s="187" t="inlineStr">
        <is>
          <t>Bùi Trúc Linh</t>
        </is>
      </c>
      <c r="D165" s="188" t="n"/>
      <c r="E165" s="189" t="n">
        <v>52</v>
      </c>
      <c r="F165" s="190" t="inlineStr">
        <is>
          <t>Rút đinh/tháo phương tiện KHX</t>
        </is>
      </c>
      <c r="G165" s="188" t="inlineStr">
        <is>
          <t>Loại 2</t>
        </is>
      </c>
      <c r="H165" s="191" t="n">
        <v>2559100</v>
      </c>
      <c r="I165" s="143" t="inlineStr">
        <is>
          <t>V.TÂN</t>
        </is>
      </c>
      <c r="J165" s="144">
        <f>R165-L165-N165-P165-Q165</f>
        <v/>
      </c>
      <c r="K165" s="144" t="inlineStr">
        <is>
          <t>KHANG</t>
        </is>
      </c>
      <c r="L165" s="144">
        <f>IF(K165="-",0,H165*0.03)</f>
        <v/>
      </c>
      <c r="M165" s="144" t="inlineStr">
        <is>
          <t>LỘC</t>
        </is>
      </c>
      <c r="N165" s="144">
        <f>IF(M165="-",0,H165*0.02)</f>
        <v/>
      </c>
      <c r="O165" s="144" t="inlineStr">
        <is>
          <t>-</t>
        </is>
      </c>
      <c r="P165" s="144">
        <f>IF(O165="-",0,H165*0.01)</f>
        <v/>
      </c>
      <c r="Q165" s="144">
        <f>H165*0.005</f>
        <v/>
      </c>
      <c r="R165" s="144" t="n"/>
      <c r="S165" s="145" t="n"/>
      <c r="T165" s="145" t="n"/>
      <c r="U165" s="145" t="n"/>
      <c r="V165" s="145" t="n"/>
    </row>
    <row r="166" ht="15" customFormat="1" customHeight="1" s="202">
      <c r="A166" s="142" t="n">
        <v>160</v>
      </c>
      <c r="B166" s="255" t="n">
        <v>46199</v>
      </c>
      <c r="C166" s="187" t="inlineStr">
        <is>
          <t>Hồng Kim Bằng</t>
        </is>
      </c>
      <c r="D166" s="188" t="n"/>
      <c r="E166" s="189" t="n">
        <v>52</v>
      </c>
      <c r="F166" s="190" t="inlineStr">
        <is>
          <t>PT điều trị hội chứng ống cổ tay</t>
        </is>
      </c>
      <c r="G166" s="188" t="inlineStr">
        <is>
          <t>Loại 1</t>
        </is>
      </c>
      <c r="H166" s="191" t="n">
        <v>1301200</v>
      </c>
      <c r="I166" s="143" t="inlineStr">
        <is>
          <t>V.TÂN</t>
        </is>
      </c>
      <c r="J166" s="144">
        <f>R166-L166-N166-P166-Q166</f>
        <v/>
      </c>
      <c r="K166" s="144" t="inlineStr">
        <is>
          <t>KHANG</t>
        </is>
      </c>
      <c r="L166" s="144">
        <f>IF(K166="-",0,H166*0.03)</f>
        <v/>
      </c>
      <c r="M166" s="144" t="inlineStr">
        <is>
          <t>LỘC</t>
        </is>
      </c>
      <c r="N166" s="144">
        <f>IF(M166="-",0,H166*0.02)</f>
        <v/>
      </c>
      <c r="O166" s="144" t="inlineStr">
        <is>
          <t>-</t>
        </is>
      </c>
      <c r="P166" s="144">
        <f>IF(O166="-",0,H166*0.01)</f>
        <v/>
      </c>
      <c r="Q166" s="144">
        <f>H166*0.005</f>
        <v/>
      </c>
      <c r="R166" s="144" t="n"/>
      <c r="S166" s="145" t="n"/>
      <c r="T166" s="145" t="n"/>
      <c r="U166" s="145" t="n"/>
      <c r="V166" s="145" t="n"/>
    </row>
    <row r="167" ht="15" customFormat="1" customHeight="1" s="202">
      <c r="A167" s="142" t="n">
        <v>161</v>
      </c>
      <c r="B167" s="255" t="n">
        <v>46199</v>
      </c>
      <c r="C167" s="187" t="inlineStr">
        <is>
          <t>Lê Nguyễn Gia Phúc</t>
        </is>
      </c>
      <c r="D167" s="188" t="n"/>
      <c r="E167" s="189" t="n">
        <v>20</v>
      </c>
      <c r="F167" s="190" t="inlineStr">
        <is>
          <t>PT vết thương bàn tay tổn thương gân duỗi</t>
        </is>
      </c>
      <c r="G167" s="188" t="inlineStr">
        <is>
          <t>Loại 1</t>
        </is>
      </c>
      <c r="H167" s="191" t="n">
        <v>2697300</v>
      </c>
      <c r="I167" s="143" t="inlineStr">
        <is>
          <t>V.TÂN</t>
        </is>
      </c>
      <c r="J167" s="144">
        <f>R167-L167-N167-P167-Q167</f>
        <v/>
      </c>
      <c r="K167" s="144" t="inlineStr">
        <is>
          <t>NHỊ</t>
        </is>
      </c>
      <c r="L167" s="144">
        <f>IF(K167="-",0,H167*0.03)</f>
        <v/>
      </c>
      <c r="M167" s="144" t="inlineStr">
        <is>
          <t>-</t>
        </is>
      </c>
      <c r="N167" s="144">
        <f>IF(M167="-",0,H167*0.02)</f>
        <v/>
      </c>
      <c r="O167" s="144" t="inlineStr">
        <is>
          <t>-</t>
        </is>
      </c>
      <c r="P167" s="144">
        <f>IF(O167="-",0,H167*0.01)</f>
        <v/>
      </c>
      <c r="Q167" s="144">
        <f>H167*0.005</f>
        <v/>
      </c>
      <c r="R167" s="144" t="n"/>
      <c r="S167" s="145" t="n"/>
      <c r="T167" s="145" t="n"/>
      <c r="U167" s="145" t="n"/>
      <c r="V167" s="145" t="n"/>
    </row>
    <row r="168" customFormat="1" s="174">
      <c r="A168" s="142" t="n"/>
      <c r="B168" s="170" t="n"/>
      <c r="C168" s="212" t="inlineStr">
        <is>
          <t>TỔNG CỘNG</t>
        </is>
      </c>
      <c r="D168" s="213" t="n"/>
      <c r="E168" s="213" t="n"/>
      <c r="F168" s="214" t="n"/>
      <c r="G168" s="212" t="n"/>
      <c r="H168" s="172">
        <f>SUM(H7:H167)</f>
        <v/>
      </c>
      <c r="I168" s="173" t="n"/>
      <c r="J168" s="173">
        <f>SUBTOTAL(9,J7:J60)</f>
        <v/>
      </c>
      <c r="K168" s="173" t="n"/>
      <c r="L168" s="173">
        <f>SUBTOTAL(9,L7:L60)</f>
        <v/>
      </c>
      <c r="M168" s="173" t="n"/>
      <c r="N168" s="173">
        <f>SUBTOTAL(9,N7:N60)</f>
        <v/>
      </c>
      <c r="O168" s="173" t="n"/>
      <c r="P168" s="173">
        <f>SUBTOTAL(9,P7:P60)</f>
        <v/>
      </c>
      <c r="Q168" s="173">
        <f>SUBTOTAL(9,Q7:Q60)</f>
        <v/>
      </c>
      <c r="R168" s="173">
        <f>SUBTOTAL(9,R7:R60)</f>
        <v/>
      </c>
    </row>
    <row r="169" ht="15.75" customHeight="1" s="248">
      <c r="A169" s="142" t="n"/>
      <c r="B169" s="202" t="n"/>
      <c r="C169" s="202" t="n"/>
      <c r="F169" s="202" t="n"/>
      <c r="G169" s="202" t="n"/>
      <c r="H169" s="132" t="n"/>
      <c r="I169" s="150" t="n"/>
      <c r="J169" s="2" t="n"/>
      <c r="M169" s="202" t="n"/>
      <c r="N169" s="216" t="inlineStr">
        <is>
          <t>Cần Thơ, ngày 30 tháng 6 năm 2026</t>
        </is>
      </c>
    </row>
    <row r="170" ht="18.75" customHeight="1" s="248">
      <c r="A170" s="142" t="n"/>
      <c r="B170" s="209" t="inlineStr">
        <is>
          <t>Lập bảng</t>
        </is>
      </c>
      <c r="D170" s="176" t="n"/>
      <c r="E170" s="176" t="n"/>
      <c r="F170" s="176" t="n"/>
      <c r="G170" s="176" t="n"/>
      <c r="H170" s="256" t="n"/>
      <c r="I170" s="177" t="n"/>
      <c r="J170" s="18" t="n"/>
      <c r="K170" s="178" t="n"/>
      <c r="L170" s="177" t="n"/>
      <c r="M170" s="51" t="n"/>
      <c r="N170" s="211" t="inlineStr">
        <is>
          <t>Trưởng khoa</t>
        </is>
      </c>
      <c r="S170" s="16" t="n"/>
    </row>
    <row r="171" ht="18.75" customHeight="1" s="248">
      <c r="A171" s="142" t="n"/>
      <c r="B171" s="176" t="n"/>
      <c r="C171" s="176" t="n"/>
      <c r="D171" s="176" t="n"/>
      <c r="E171" s="176" t="n"/>
      <c r="F171" s="176" t="n"/>
      <c r="G171" s="176" t="n"/>
      <c r="H171" s="257" t="n"/>
      <c r="I171" s="177" t="n"/>
      <c r="J171" s="18" t="n"/>
      <c r="K171" s="178" t="n"/>
      <c r="L171" s="18" t="n"/>
      <c r="M171" s="176" t="n"/>
      <c r="N171" s="19" t="n"/>
      <c r="O171" s="51" t="n"/>
      <c r="P171" s="19" t="n"/>
      <c r="Q171" s="19" t="n"/>
    </row>
    <row r="172" ht="18.75" customHeight="1" s="248">
      <c r="A172" s="142" t="n"/>
      <c r="B172" s="176" t="n"/>
      <c r="C172" s="176" t="n"/>
      <c r="D172" s="176" t="n"/>
      <c r="E172" s="176" t="n"/>
      <c r="F172" s="176" t="n"/>
      <c r="G172" s="176" t="n"/>
      <c r="H172" s="257" t="n"/>
      <c r="I172" s="177" t="n"/>
      <c r="J172" s="18" t="n"/>
      <c r="K172" s="178" t="n"/>
      <c r="L172" s="18" t="n"/>
      <c r="M172" s="176" t="n"/>
      <c r="N172" s="18" t="n"/>
      <c r="O172" s="49" t="n"/>
      <c r="P172" s="18" t="n"/>
      <c r="Q172" s="18" t="n"/>
      <c r="R172" s="258" t="n"/>
    </row>
    <row r="173" ht="18.75" customHeight="1" s="248">
      <c r="A173" s="142" t="n"/>
      <c r="B173" s="176" t="n"/>
      <c r="C173" s="176" t="n"/>
      <c r="D173" s="176" t="n"/>
      <c r="E173" s="176" t="n"/>
      <c r="F173" s="176" t="n"/>
      <c r="G173" s="176" t="n"/>
      <c r="H173" s="257" t="n"/>
      <c r="I173" s="177" t="n"/>
      <c r="J173" s="18" t="n"/>
      <c r="K173" s="178" t="n"/>
      <c r="L173" s="18" t="n"/>
      <c r="M173" s="176" t="n"/>
      <c r="N173" s="18" t="n"/>
      <c r="O173" s="49" t="n"/>
      <c r="P173" s="18" t="n"/>
      <c r="Q173" s="18" t="n"/>
      <c r="R173" s="258" t="n"/>
    </row>
    <row r="174" ht="18.75" customHeight="1" s="248">
      <c r="A174" s="142" t="n"/>
      <c r="B174" s="209" t="inlineStr">
        <is>
          <t>ĐD. Phan Văn Hiếu</t>
        </is>
      </c>
      <c r="D174" s="176" t="n"/>
      <c r="E174" s="176" t="n"/>
      <c r="F174" s="176" t="n"/>
      <c r="G174" s="176" t="n"/>
      <c r="H174" s="257" t="n"/>
      <c r="I174" s="177" t="n"/>
      <c r="J174" s="18" t="n"/>
      <c r="K174" s="178" t="n"/>
      <c r="L174" s="18" t="n"/>
      <c r="M174" s="176" t="n"/>
      <c r="N174" s="211" t="inlineStr">
        <is>
          <t>ThS. Bs. CKII. Nguyễn Lê Hoan</t>
        </is>
      </c>
    </row>
    <row r="175" ht="18.75" customHeight="1" s="248">
      <c r="A175" s="142" t="n"/>
      <c r="B175" s="176" t="n"/>
      <c r="C175" s="176" t="n"/>
      <c r="D175" s="176" t="n"/>
      <c r="E175" s="176" t="n"/>
      <c r="F175" s="176" t="n"/>
      <c r="G175" s="176" t="n"/>
      <c r="H175" s="257" t="n"/>
      <c r="I175" s="177" t="n"/>
      <c r="J175" s="18" t="n"/>
      <c r="K175" s="178" t="n"/>
      <c r="L175" s="18" t="n"/>
      <c r="M175" s="176" t="n"/>
      <c r="N175" s="18" t="n"/>
      <c r="O175" s="49" t="n"/>
      <c r="P175" s="18" t="n"/>
      <c r="Q175" s="18" t="n"/>
      <c r="R175" s="258" t="n"/>
    </row>
    <row r="176" ht="15" customHeight="1" s="248">
      <c r="A176" s="142" t="n"/>
      <c r="C176" s="238" t="n"/>
      <c r="D176" s="238" t="n"/>
      <c r="E176" s="238" t="n"/>
      <c r="F176" s="238" t="n"/>
    </row>
  </sheetData>
  <autoFilter ref="A6:WWO176"/>
  <mergeCells count="10">
    <mergeCell ref="A3:R3"/>
    <mergeCell ref="A4:R4"/>
    <mergeCell ref="A2:E2"/>
    <mergeCell ref="B174:C174"/>
    <mergeCell ref="N174:R174"/>
    <mergeCell ref="A1:E1"/>
    <mergeCell ref="N169:R169"/>
    <mergeCell ref="B170:C170"/>
    <mergeCell ref="C168:F168"/>
    <mergeCell ref="N170:R170"/>
  </mergeCells>
  <pageMargins left="0.2" right="0.27" top="0.31" bottom="0.4861111111111111" header="0.31496062992126" footer="0.31496062992126"/>
  <pageSetup orientation="landscape" scale="75"/>
</worksheet>
</file>

<file path=xl/worksheets/sheet2.xml><?xml version="1.0" encoding="utf-8"?>
<worksheet xmlns="http://schemas.openxmlformats.org/spreadsheetml/2006/main">
  <sheetPr filterMode="1">
    <tabColor rgb="FFFF0000"/>
    <outlinePr summaryBelow="1" summaryRight="1"/>
    <pageSetUpPr/>
  </sheetPr>
  <dimension ref="A1:GE1528"/>
  <sheetViews>
    <sheetView tabSelected="1" zoomScale="110" zoomScaleNormal="110" workbookViewId="0">
      <pane xSplit="5" ySplit="5" topLeftCell="F164" activePane="bottomRight" state="frozen"/>
      <selection pane="topRight" activeCell="G1" sqref="G1"/>
      <selection pane="bottomLeft" activeCell="A7" sqref="A7"/>
      <selection pane="bottomRight" activeCell="E164" sqref="E164:E805"/>
    </sheetView>
  </sheetViews>
  <sheetFormatPr baseColWidth="8" defaultColWidth="21.109375" defaultRowHeight="13.2"/>
  <cols>
    <col width="6.5546875" customWidth="1" style="219" min="1" max="1"/>
    <col width="11.109375" customWidth="1" style="219" min="2" max="2"/>
    <col width="27.88671875" customWidth="1" style="220" min="3" max="3"/>
    <col width="6.5546875" customWidth="1" style="224" min="4" max="4"/>
    <col width="32.6640625" customWidth="1" style="225" min="5" max="5"/>
    <col width="9" customWidth="1" style="226" min="6" max="6"/>
    <col width="13.33203125" customWidth="1" style="227" min="7" max="7"/>
    <col width="11.109375" customWidth="1" style="220" min="8" max="8"/>
    <col width="9.109375" customWidth="1" style="220" min="9" max="9"/>
    <col width="16.44140625" customWidth="1" style="220" min="10" max="10"/>
    <col width="9.109375" customWidth="1" style="220" min="11" max="227"/>
    <col width="4" customWidth="1" style="220" min="228" max="228"/>
    <col width="21.109375" customWidth="1" style="220" min="229" max="246"/>
    <col width="4" customWidth="1" style="220" min="247" max="247"/>
    <col width="21.109375" customWidth="1" style="220" min="248" max="250"/>
    <col width="5.5546875" customWidth="1" style="220" min="251" max="251"/>
    <col width="4.6640625" customWidth="1" style="220" min="252" max="252"/>
    <col width="7.33203125" customWidth="1" style="220" min="253" max="253"/>
    <col width="6.5546875" customWidth="1" style="220" min="254" max="254"/>
    <col width="13.44140625" customWidth="1" style="220" min="255" max="255"/>
    <col width="12.44140625" customWidth="1" style="220" min="256" max="256"/>
    <col width="8.33203125" customWidth="1" style="220" min="257" max="257"/>
    <col width="11.88671875" customWidth="1" style="220" min="258" max="259"/>
    <col width="14.109375" customWidth="1" style="220" min="260" max="260"/>
    <col width="12" customWidth="1" style="220" min="261" max="261"/>
    <col width="11" customWidth="1" style="220" min="262" max="262"/>
    <col width="11.5546875" customWidth="1" style="220" min="263" max="263"/>
    <col width="9.109375" customWidth="1" style="220" min="264" max="483"/>
    <col width="4" customWidth="1" style="220" min="484" max="484"/>
    <col width="21.109375" customWidth="1" style="220" min="485" max="502"/>
    <col width="4" customWidth="1" style="220" min="503" max="503"/>
    <col width="21.109375" customWidth="1" style="220" min="504" max="506"/>
    <col width="5.5546875" customWidth="1" style="220" min="507" max="507"/>
    <col width="4.6640625" customWidth="1" style="220" min="508" max="508"/>
    <col width="7.33203125" customWidth="1" style="220" min="509" max="509"/>
    <col width="6.5546875" customWidth="1" style="220" min="510" max="510"/>
    <col width="13.44140625" customWidth="1" style="220" min="511" max="511"/>
    <col width="12.44140625" customWidth="1" style="220" min="512" max="512"/>
    <col width="8.33203125" customWidth="1" style="220" min="513" max="513"/>
    <col width="11.88671875" customWidth="1" style="220" min="514" max="515"/>
    <col width="14.109375" customWidth="1" style="220" min="516" max="516"/>
    <col width="12" customWidth="1" style="220" min="517" max="517"/>
    <col width="11" customWidth="1" style="220" min="518" max="518"/>
    <col width="11.5546875" customWidth="1" style="220" min="519" max="519"/>
    <col width="9.109375" customWidth="1" style="220" min="520" max="739"/>
    <col width="4" customWidth="1" style="220" min="740" max="740"/>
    <col width="21.109375" customWidth="1" style="220" min="741" max="758"/>
    <col width="4" customWidth="1" style="220" min="759" max="759"/>
    <col width="21.109375" customWidth="1" style="220" min="760" max="762"/>
    <col width="5.5546875" customWidth="1" style="220" min="763" max="763"/>
    <col width="4.6640625" customWidth="1" style="220" min="764" max="764"/>
    <col width="7.33203125" customWidth="1" style="220" min="765" max="765"/>
    <col width="6.5546875" customWidth="1" style="220" min="766" max="766"/>
    <col width="13.44140625" customWidth="1" style="220" min="767" max="767"/>
    <col width="12.44140625" customWidth="1" style="220" min="768" max="768"/>
    <col width="8.33203125" customWidth="1" style="220" min="769" max="769"/>
    <col width="11.88671875" customWidth="1" style="220" min="770" max="771"/>
    <col width="14.109375" customWidth="1" style="220" min="772" max="772"/>
    <col width="12" customWidth="1" style="220" min="773" max="773"/>
    <col width="11" customWidth="1" style="220" min="774" max="774"/>
    <col width="11.5546875" customWidth="1" style="220" min="775" max="775"/>
    <col width="9.109375" customWidth="1" style="220" min="776" max="995"/>
    <col width="4" customWidth="1" style="220" min="996" max="996"/>
    <col width="21.109375" customWidth="1" style="220" min="997" max="1014"/>
    <col width="4" customWidth="1" style="220" min="1015" max="1015"/>
    <col width="21.109375" customWidth="1" style="220" min="1016" max="1018"/>
    <col width="5.5546875" customWidth="1" style="220" min="1019" max="1019"/>
    <col width="4.6640625" customWidth="1" style="220" min="1020" max="1020"/>
    <col width="7.33203125" customWidth="1" style="220" min="1021" max="1021"/>
    <col width="6.5546875" customWidth="1" style="220" min="1022" max="1022"/>
    <col width="13.44140625" customWidth="1" style="220" min="1023" max="1023"/>
    <col width="12.44140625" customWidth="1" style="220" min="1024" max="1024"/>
    <col width="8.33203125" customWidth="1" style="220" min="1025" max="1025"/>
    <col width="11.88671875" customWidth="1" style="220" min="1026" max="1027"/>
    <col width="14.109375" customWidth="1" style="220" min="1028" max="1028"/>
    <col width="12" customWidth="1" style="220" min="1029" max="1029"/>
    <col width="11" customWidth="1" style="220" min="1030" max="1030"/>
    <col width="11.5546875" customWidth="1" style="220" min="1031" max="1031"/>
    <col width="9.109375" customWidth="1" style="220" min="1032" max="1251"/>
    <col width="4" customWidth="1" style="220" min="1252" max="1252"/>
    <col width="21.109375" customWidth="1" style="220" min="1253" max="1270"/>
    <col width="4" customWidth="1" style="220" min="1271" max="1271"/>
    <col width="21.109375" customWidth="1" style="220" min="1272" max="1274"/>
    <col width="5.5546875" customWidth="1" style="220" min="1275" max="1275"/>
    <col width="4.6640625" customWidth="1" style="220" min="1276" max="1276"/>
    <col width="7.33203125" customWidth="1" style="220" min="1277" max="1277"/>
    <col width="6.5546875" customWidth="1" style="220" min="1278" max="1278"/>
    <col width="13.44140625" customWidth="1" style="220" min="1279" max="1279"/>
    <col width="12.44140625" customWidth="1" style="220" min="1280" max="1280"/>
    <col width="8.33203125" customWidth="1" style="220" min="1281" max="1281"/>
    <col width="11.88671875" customWidth="1" style="220" min="1282" max="1283"/>
    <col width="14.109375" customWidth="1" style="220" min="1284" max="1284"/>
    <col width="12" customWidth="1" style="220" min="1285" max="1285"/>
    <col width="11" customWidth="1" style="220" min="1286" max="1286"/>
    <col width="11.5546875" customWidth="1" style="220" min="1287" max="1287"/>
    <col width="9.109375" customWidth="1" style="220" min="1288" max="1507"/>
    <col width="4" customWidth="1" style="220" min="1508" max="1508"/>
    <col width="21.109375" customWidth="1" style="220" min="1509" max="1526"/>
    <col width="4" customWidth="1" style="220" min="1527" max="1527"/>
    <col width="21.109375" customWidth="1" style="220" min="1528" max="1530"/>
    <col width="5.5546875" customWidth="1" style="220" min="1531" max="1531"/>
    <col width="4.6640625" customWidth="1" style="220" min="1532" max="1532"/>
    <col width="7.33203125" customWidth="1" style="220" min="1533" max="1533"/>
    <col width="6.5546875" customWidth="1" style="220" min="1534" max="1534"/>
    <col width="13.44140625" customWidth="1" style="220" min="1535" max="1535"/>
    <col width="12.44140625" customWidth="1" style="220" min="1536" max="1536"/>
    <col width="8.33203125" customWidth="1" style="220" min="1537" max="1537"/>
    <col width="11.88671875" customWidth="1" style="220" min="1538" max="1539"/>
    <col width="14.109375" customWidth="1" style="220" min="1540" max="1540"/>
    <col width="12" customWidth="1" style="220" min="1541" max="1541"/>
    <col width="11" customWidth="1" style="220" min="1542" max="1542"/>
    <col width="11.5546875" customWidth="1" style="220" min="1543" max="1543"/>
    <col width="9.109375" customWidth="1" style="220" min="1544" max="1763"/>
    <col width="4" customWidth="1" style="220" min="1764" max="1764"/>
    <col width="21.109375" customWidth="1" style="220" min="1765" max="1782"/>
    <col width="4" customWidth="1" style="220" min="1783" max="1783"/>
    <col width="21.109375" customWidth="1" style="220" min="1784" max="1786"/>
    <col width="5.5546875" customWidth="1" style="220" min="1787" max="1787"/>
    <col width="4.6640625" customWidth="1" style="220" min="1788" max="1788"/>
    <col width="7.33203125" customWidth="1" style="220" min="1789" max="1789"/>
    <col width="6.5546875" customWidth="1" style="220" min="1790" max="1790"/>
    <col width="13.44140625" customWidth="1" style="220" min="1791" max="1791"/>
    <col width="12.44140625" customWidth="1" style="220" min="1792" max="1792"/>
    <col width="8.33203125" customWidth="1" style="220" min="1793" max="1793"/>
    <col width="11.88671875" customWidth="1" style="220" min="1794" max="1795"/>
    <col width="14.109375" customWidth="1" style="220" min="1796" max="1796"/>
    <col width="12" customWidth="1" style="220" min="1797" max="1797"/>
    <col width="11" customWidth="1" style="220" min="1798" max="1798"/>
    <col width="11.5546875" customWidth="1" style="220" min="1799" max="1799"/>
    <col width="9.109375" customWidth="1" style="220" min="1800" max="2019"/>
    <col width="4" customWidth="1" style="220" min="2020" max="2020"/>
    <col width="21.109375" customWidth="1" style="220" min="2021" max="2038"/>
    <col width="4" customWidth="1" style="220" min="2039" max="2039"/>
    <col width="21.109375" customWidth="1" style="220" min="2040" max="2042"/>
    <col width="5.5546875" customWidth="1" style="220" min="2043" max="2043"/>
    <col width="4.6640625" customWidth="1" style="220" min="2044" max="2044"/>
    <col width="7.33203125" customWidth="1" style="220" min="2045" max="2045"/>
    <col width="6.5546875" customWidth="1" style="220" min="2046" max="2046"/>
    <col width="13.44140625" customWidth="1" style="220" min="2047" max="2047"/>
    <col width="12.44140625" customWidth="1" style="220" min="2048" max="2048"/>
    <col width="8.33203125" customWidth="1" style="220" min="2049" max="2049"/>
    <col width="11.88671875" customWidth="1" style="220" min="2050" max="2051"/>
    <col width="14.109375" customWidth="1" style="220" min="2052" max="2052"/>
    <col width="12" customWidth="1" style="220" min="2053" max="2053"/>
    <col width="11" customWidth="1" style="220" min="2054" max="2054"/>
    <col width="11.5546875" customWidth="1" style="220" min="2055" max="2055"/>
    <col width="9.109375" customWidth="1" style="220" min="2056" max="2275"/>
    <col width="4" customWidth="1" style="220" min="2276" max="2276"/>
    <col width="21.109375" customWidth="1" style="220" min="2277" max="2294"/>
    <col width="4" customWidth="1" style="220" min="2295" max="2295"/>
    <col width="21.109375" customWidth="1" style="220" min="2296" max="2298"/>
    <col width="5.5546875" customWidth="1" style="220" min="2299" max="2299"/>
    <col width="4.6640625" customWidth="1" style="220" min="2300" max="2300"/>
    <col width="7.33203125" customWidth="1" style="220" min="2301" max="2301"/>
    <col width="6.5546875" customWidth="1" style="220" min="2302" max="2302"/>
    <col width="13.44140625" customWidth="1" style="220" min="2303" max="2303"/>
    <col width="12.44140625" customWidth="1" style="220" min="2304" max="2304"/>
    <col width="8.33203125" customWidth="1" style="220" min="2305" max="2305"/>
    <col width="11.88671875" customWidth="1" style="220" min="2306" max="2307"/>
    <col width="14.109375" customWidth="1" style="220" min="2308" max="2308"/>
    <col width="12" customWidth="1" style="220" min="2309" max="2309"/>
    <col width="11" customWidth="1" style="220" min="2310" max="2310"/>
    <col width="11.5546875" customWidth="1" style="220" min="2311" max="2311"/>
    <col width="9.109375" customWidth="1" style="220" min="2312" max="2531"/>
    <col width="4" customWidth="1" style="220" min="2532" max="2532"/>
    <col width="21.109375" customWidth="1" style="220" min="2533" max="2550"/>
    <col width="4" customWidth="1" style="220" min="2551" max="2551"/>
    <col width="21.109375" customWidth="1" style="220" min="2552" max="2554"/>
    <col width="5.5546875" customWidth="1" style="220" min="2555" max="2555"/>
    <col width="4.6640625" customWidth="1" style="220" min="2556" max="2556"/>
    <col width="7.33203125" customWidth="1" style="220" min="2557" max="2557"/>
    <col width="6.5546875" customWidth="1" style="220" min="2558" max="2558"/>
    <col width="13.44140625" customWidth="1" style="220" min="2559" max="2559"/>
    <col width="12.44140625" customWidth="1" style="220" min="2560" max="2560"/>
    <col width="8.33203125" customWidth="1" style="220" min="2561" max="2561"/>
    <col width="11.88671875" customWidth="1" style="220" min="2562" max="2563"/>
    <col width="14.109375" customWidth="1" style="220" min="2564" max="2564"/>
    <col width="12" customWidth="1" style="220" min="2565" max="2565"/>
    <col width="11" customWidth="1" style="220" min="2566" max="2566"/>
    <col width="11.5546875" customWidth="1" style="220" min="2567" max="2567"/>
    <col width="9.109375" customWidth="1" style="220" min="2568" max="2787"/>
    <col width="4" customWidth="1" style="220" min="2788" max="2788"/>
    <col width="21.109375" customWidth="1" style="220" min="2789" max="2806"/>
    <col width="4" customWidth="1" style="220" min="2807" max="2807"/>
    <col width="21.109375" customWidth="1" style="220" min="2808" max="2810"/>
    <col width="5.5546875" customWidth="1" style="220" min="2811" max="2811"/>
    <col width="4.6640625" customWidth="1" style="220" min="2812" max="2812"/>
    <col width="7.33203125" customWidth="1" style="220" min="2813" max="2813"/>
    <col width="6.5546875" customWidth="1" style="220" min="2814" max="2814"/>
    <col width="13.44140625" customWidth="1" style="220" min="2815" max="2815"/>
    <col width="12.44140625" customWidth="1" style="220" min="2816" max="2816"/>
    <col width="8.33203125" customWidth="1" style="220" min="2817" max="2817"/>
    <col width="11.88671875" customWidth="1" style="220" min="2818" max="2819"/>
    <col width="14.109375" customWidth="1" style="220" min="2820" max="2820"/>
    <col width="12" customWidth="1" style="220" min="2821" max="2821"/>
    <col width="11" customWidth="1" style="220" min="2822" max="2822"/>
    <col width="11.5546875" customWidth="1" style="220" min="2823" max="2823"/>
    <col width="9.109375" customWidth="1" style="220" min="2824" max="3043"/>
    <col width="4" customWidth="1" style="220" min="3044" max="3044"/>
    <col width="21.109375" customWidth="1" style="220" min="3045" max="3062"/>
    <col width="4" customWidth="1" style="220" min="3063" max="3063"/>
    <col width="21.109375" customWidth="1" style="220" min="3064" max="3066"/>
    <col width="5.5546875" customWidth="1" style="220" min="3067" max="3067"/>
    <col width="4.6640625" customWidth="1" style="220" min="3068" max="3068"/>
    <col width="7.33203125" customWidth="1" style="220" min="3069" max="3069"/>
    <col width="6.5546875" customWidth="1" style="220" min="3070" max="3070"/>
    <col width="13.44140625" customWidth="1" style="220" min="3071" max="3071"/>
    <col width="12.44140625" customWidth="1" style="220" min="3072" max="3072"/>
    <col width="8.33203125" customWidth="1" style="220" min="3073" max="3073"/>
    <col width="11.88671875" customWidth="1" style="220" min="3074" max="3075"/>
    <col width="14.109375" customWidth="1" style="220" min="3076" max="3076"/>
    <col width="12" customWidth="1" style="220" min="3077" max="3077"/>
    <col width="11" customWidth="1" style="220" min="3078" max="3078"/>
    <col width="11.5546875" customWidth="1" style="220" min="3079" max="3079"/>
    <col width="9.109375" customWidth="1" style="220" min="3080" max="3299"/>
    <col width="4" customWidth="1" style="220" min="3300" max="3300"/>
    <col width="21.109375" customWidth="1" style="220" min="3301" max="3318"/>
    <col width="4" customWidth="1" style="220" min="3319" max="3319"/>
    <col width="21.109375" customWidth="1" style="220" min="3320" max="3322"/>
    <col width="5.5546875" customWidth="1" style="220" min="3323" max="3323"/>
    <col width="4.6640625" customWidth="1" style="220" min="3324" max="3324"/>
    <col width="7.33203125" customWidth="1" style="220" min="3325" max="3325"/>
    <col width="6.5546875" customWidth="1" style="220" min="3326" max="3326"/>
    <col width="13.44140625" customWidth="1" style="220" min="3327" max="3327"/>
    <col width="12.44140625" customWidth="1" style="220" min="3328" max="3328"/>
    <col width="8.33203125" customWidth="1" style="220" min="3329" max="3329"/>
    <col width="11.88671875" customWidth="1" style="220" min="3330" max="3331"/>
    <col width="14.109375" customWidth="1" style="220" min="3332" max="3332"/>
    <col width="12" customWidth="1" style="220" min="3333" max="3333"/>
    <col width="11" customWidth="1" style="220" min="3334" max="3334"/>
    <col width="11.5546875" customWidth="1" style="220" min="3335" max="3335"/>
    <col width="9.109375" customWidth="1" style="220" min="3336" max="3555"/>
    <col width="4" customWidth="1" style="220" min="3556" max="3556"/>
    <col width="21.109375" customWidth="1" style="220" min="3557" max="3574"/>
    <col width="4" customWidth="1" style="220" min="3575" max="3575"/>
    <col width="21.109375" customWidth="1" style="220" min="3576" max="3578"/>
    <col width="5.5546875" customWidth="1" style="220" min="3579" max="3579"/>
    <col width="4.6640625" customWidth="1" style="220" min="3580" max="3580"/>
    <col width="7.33203125" customWidth="1" style="220" min="3581" max="3581"/>
    <col width="6.5546875" customWidth="1" style="220" min="3582" max="3582"/>
    <col width="13.44140625" customWidth="1" style="220" min="3583" max="3583"/>
    <col width="12.44140625" customWidth="1" style="220" min="3584" max="3584"/>
    <col width="8.33203125" customWidth="1" style="220" min="3585" max="3585"/>
    <col width="11.88671875" customWidth="1" style="220" min="3586" max="3587"/>
    <col width="14.109375" customWidth="1" style="220" min="3588" max="3588"/>
    <col width="12" customWidth="1" style="220" min="3589" max="3589"/>
    <col width="11" customWidth="1" style="220" min="3590" max="3590"/>
    <col width="11.5546875" customWidth="1" style="220" min="3591" max="3591"/>
    <col width="9.109375" customWidth="1" style="220" min="3592" max="3811"/>
    <col width="4" customWidth="1" style="220" min="3812" max="3812"/>
    <col width="21.109375" customWidth="1" style="220" min="3813" max="3830"/>
    <col width="4" customWidth="1" style="220" min="3831" max="3831"/>
    <col width="21.109375" customWidth="1" style="220" min="3832" max="3834"/>
    <col width="5.5546875" customWidth="1" style="220" min="3835" max="3835"/>
    <col width="4.6640625" customWidth="1" style="220" min="3836" max="3836"/>
    <col width="7.33203125" customWidth="1" style="220" min="3837" max="3837"/>
    <col width="6.5546875" customWidth="1" style="220" min="3838" max="3838"/>
    <col width="13.44140625" customWidth="1" style="220" min="3839" max="3839"/>
    <col width="12.44140625" customWidth="1" style="220" min="3840" max="3840"/>
    <col width="8.33203125" customWidth="1" style="220" min="3841" max="3841"/>
    <col width="11.88671875" customWidth="1" style="220" min="3842" max="3843"/>
    <col width="14.109375" customWidth="1" style="220" min="3844" max="3844"/>
    <col width="12" customWidth="1" style="220" min="3845" max="3845"/>
    <col width="11" customWidth="1" style="220" min="3846" max="3846"/>
    <col width="11.5546875" customWidth="1" style="220" min="3847" max="3847"/>
    <col width="9.109375" customWidth="1" style="220" min="3848" max="4067"/>
    <col width="4" customWidth="1" style="220" min="4068" max="4068"/>
    <col width="21.109375" customWidth="1" style="220" min="4069" max="4086"/>
    <col width="4" customWidth="1" style="220" min="4087" max="4087"/>
    <col width="21.109375" customWidth="1" style="220" min="4088" max="4090"/>
    <col width="5.5546875" customWidth="1" style="220" min="4091" max="4091"/>
    <col width="4.6640625" customWidth="1" style="220" min="4092" max="4092"/>
    <col width="7.33203125" customWidth="1" style="220" min="4093" max="4093"/>
    <col width="6.5546875" customWidth="1" style="220" min="4094" max="4094"/>
    <col width="13.44140625" customWidth="1" style="220" min="4095" max="4095"/>
    <col width="12.44140625" customWidth="1" style="220" min="4096" max="4096"/>
    <col width="8.33203125" customWidth="1" style="220" min="4097" max="4097"/>
    <col width="11.88671875" customWidth="1" style="220" min="4098" max="4099"/>
    <col width="14.109375" customWidth="1" style="220" min="4100" max="4100"/>
    <col width="12" customWidth="1" style="220" min="4101" max="4101"/>
    <col width="11" customWidth="1" style="220" min="4102" max="4102"/>
    <col width="11.5546875" customWidth="1" style="220" min="4103" max="4103"/>
    <col width="9.109375" customWidth="1" style="220" min="4104" max="4323"/>
    <col width="4" customWidth="1" style="220" min="4324" max="4324"/>
    <col width="21.109375" customWidth="1" style="220" min="4325" max="4342"/>
    <col width="4" customWidth="1" style="220" min="4343" max="4343"/>
    <col width="21.109375" customWidth="1" style="220" min="4344" max="4346"/>
    <col width="5.5546875" customWidth="1" style="220" min="4347" max="4347"/>
    <col width="4.6640625" customWidth="1" style="220" min="4348" max="4348"/>
    <col width="7.33203125" customWidth="1" style="220" min="4349" max="4349"/>
    <col width="6.5546875" customWidth="1" style="220" min="4350" max="4350"/>
    <col width="13.44140625" customWidth="1" style="220" min="4351" max="4351"/>
    <col width="12.44140625" customWidth="1" style="220" min="4352" max="4352"/>
    <col width="8.33203125" customWidth="1" style="220" min="4353" max="4353"/>
    <col width="11.88671875" customWidth="1" style="220" min="4354" max="4355"/>
    <col width="14.109375" customWidth="1" style="220" min="4356" max="4356"/>
    <col width="12" customWidth="1" style="220" min="4357" max="4357"/>
    <col width="11" customWidth="1" style="220" min="4358" max="4358"/>
    <col width="11.5546875" customWidth="1" style="220" min="4359" max="4359"/>
    <col width="9.109375" customWidth="1" style="220" min="4360" max="4579"/>
    <col width="4" customWidth="1" style="220" min="4580" max="4580"/>
    <col width="21.109375" customWidth="1" style="220" min="4581" max="4598"/>
    <col width="4" customWidth="1" style="220" min="4599" max="4599"/>
    <col width="21.109375" customWidth="1" style="220" min="4600" max="4602"/>
    <col width="5.5546875" customWidth="1" style="220" min="4603" max="4603"/>
    <col width="4.6640625" customWidth="1" style="220" min="4604" max="4604"/>
    <col width="7.33203125" customWidth="1" style="220" min="4605" max="4605"/>
    <col width="6.5546875" customWidth="1" style="220" min="4606" max="4606"/>
    <col width="13.44140625" customWidth="1" style="220" min="4607" max="4607"/>
    <col width="12.44140625" customWidth="1" style="220" min="4608" max="4608"/>
    <col width="8.33203125" customWidth="1" style="220" min="4609" max="4609"/>
    <col width="11.88671875" customWidth="1" style="220" min="4610" max="4611"/>
    <col width="14.109375" customWidth="1" style="220" min="4612" max="4612"/>
    <col width="12" customWidth="1" style="220" min="4613" max="4613"/>
    <col width="11" customWidth="1" style="220" min="4614" max="4614"/>
    <col width="11.5546875" customWidth="1" style="220" min="4615" max="4615"/>
    <col width="9.109375" customWidth="1" style="220" min="4616" max="4835"/>
    <col width="4" customWidth="1" style="220" min="4836" max="4836"/>
    <col width="21.109375" customWidth="1" style="220" min="4837" max="4854"/>
    <col width="4" customWidth="1" style="220" min="4855" max="4855"/>
    <col width="21.109375" customWidth="1" style="220" min="4856" max="4858"/>
    <col width="5.5546875" customWidth="1" style="220" min="4859" max="4859"/>
    <col width="4.6640625" customWidth="1" style="220" min="4860" max="4860"/>
    <col width="7.33203125" customWidth="1" style="220" min="4861" max="4861"/>
    <col width="6.5546875" customWidth="1" style="220" min="4862" max="4862"/>
    <col width="13.44140625" customWidth="1" style="220" min="4863" max="4863"/>
    <col width="12.44140625" customWidth="1" style="220" min="4864" max="4864"/>
    <col width="8.33203125" customWidth="1" style="220" min="4865" max="4865"/>
    <col width="11.88671875" customWidth="1" style="220" min="4866" max="4867"/>
    <col width="14.109375" customWidth="1" style="220" min="4868" max="4868"/>
    <col width="12" customWidth="1" style="220" min="4869" max="4869"/>
    <col width="11" customWidth="1" style="220" min="4870" max="4870"/>
    <col width="11.5546875" customWidth="1" style="220" min="4871" max="4871"/>
    <col width="9.109375" customWidth="1" style="220" min="4872" max="5091"/>
    <col width="4" customWidth="1" style="220" min="5092" max="5092"/>
    <col width="21.109375" customWidth="1" style="220" min="5093" max="5110"/>
    <col width="4" customWidth="1" style="220" min="5111" max="5111"/>
    <col width="21.109375" customWidth="1" style="220" min="5112" max="5114"/>
    <col width="5.5546875" customWidth="1" style="220" min="5115" max="5115"/>
    <col width="4.6640625" customWidth="1" style="220" min="5116" max="5116"/>
    <col width="7.33203125" customWidth="1" style="220" min="5117" max="5117"/>
    <col width="6.5546875" customWidth="1" style="220" min="5118" max="5118"/>
    <col width="13.44140625" customWidth="1" style="220" min="5119" max="5119"/>
    <col width="12.44140625" customWidth="1" style="220" min="5120" max="5120"/>
    <col width="8.33203125" customWidth="1" style="220" min="5121" max="5121"/>
    <col width="11.88671875" customWidth="1" style="220" min="5122" max="5123"/>
    <col width="14.109375" customWidth="1" style="220" min="5124" max="5124"/>
    <col width="12" customWidth="1" style="220" min="5125" max="5125"/>
    <col width="11" customWidth="1" style="220" min="5126" max="5126"/>
    <col width="11.5546875" customWidth="1" style="220" min="5127" max="5127"/>
    <col width="9.109375" customWidth="1" style="220" min="5128" max="5347"/>
    <col width="4" customWidth="1" style="220" min="5348" max="5348"/>
    <col width="21.109375" customWidth="1" style="220" min="5349" max="5366"/>
    <col width="4" customWidth="1" style="220" min="5367" max="5367"/>
    <col width="21.109375" customWidth="1" style="220" min="5368" max="5370"/>
    <col width="5.5546875" customWidth="1" style="220" min="5371" max="5371"/>
    <col width="4.6640625" customWidth="1" style="220" min="5372" max="5372"/>
    <col width="7.33203125" customWidth="1" style="220" min="5373" max="5373"/>
    <col width="6.5546875" customWidth="1" style="220" min="5374" max="5374"/>
    <col width="13.44140625" customWidth="1" style="220" min="5375" max="5375"/>
    <col width="12.44140625" customWidth="1" style="220" min="5376" max="5376"/>
    <col width="8.33203125" customWidth="1" style="220" min="5377" max="5377"/>
    <col width="11.88671875" customWidth="1" style="220" min="5378" max="5379"/>
    <col width="14.109375" customWidth="1" style="220" min="5380" max="5380"/>
    <col width="12" customWidth="1" style="220" min="5381" max="5381"/>
    <col width="11" customWidth="1" style="220" min="5382" max="5382"/>
    <col width="11.5546875" customWidth="1" style="220" min="5383" max="5383"/>
    <col width="9.109375" customWidth="1" style="220" min="5384" max="5603"/>
    <col width="4" customWidth="1" style="220" min="5604" max="5604"/>
    <col width="21.109375" customWidth="1" style="220" min="5605" max="5622"/>
    <col width="4" customWidth="1" style="220" min="5623" max="5623"/>
    <col width="21.109375" customWidth="1" style="220" min="5624" max="5626"/>
    <col width="5.5546875" customWidth="1" style="220" min="5627" max="5627"/>
    <col width="4.6640625" customWidth="1" style="220" min="5628" max="5628"/>
    <col width="7.33203125" customWidth="1" style="220" min="5629" max="5629"/>
    <col width="6.5546875" customWidth="1" style="220" min="5630" max="5630"/>
    <col width="13.44140625" customWidth="1" style="220" min="5631" max="5631"/>
    <col width="12.44140625" customWidth="1" style="220" min="5632" max="5632"/>
    <col width="8.33203125" customWidth="1" style="220" min="5633" max="5633"/>
    <col width="11.88671875" customWidth="1" style="220" min="5634" max="5635"/>
    <col width="14.109375" customWidth="1" style="220" min="5636" max="5636"/>
    <col width="12" customWidth="1" style="220" min="5637" max="5637"/>
    <col width="11" customWidth="1" style="220" min="5638" max="5638"/>
    <col width="11.5546875" customWidth="1" style="220" min="5639" max="5639"/>
    <col width="9.109375" customWidth="1" style="220" min="5640" max="5859"/>
    <col width="4" customWidth="1" style="220" min="5860" max="5860"/>
    <col width="21.109375" customWidth="1" style="220" min="5861" max="5878"/>
    <col width="4" customWidth="1" style="220" min="5879" max="5879"/>
    <col width="21.109375" customWidth="1" style="220" min="5880" max="5882"/>
    <col width="5.5546875" customWidth="1" style="220" min="5883" max="5883"/>
    <col width="4.6640625" customWidth="1" style="220" min="5884" max="5884"/>
    <col width="7.33203125" customWidth="1" style="220" min="5885" max="5885"/>
    <col width="6.5546875" customWidth="1" style="220" min="5886" max="5886"/>
    <col width="13.44140625" customWidth="1" style="220" min="5887" max="5887"/>
    <col width="12.44140625" customWidth="1" style="220" min="5888" max="5888"/>
    <col width="8.33203125" customWidth="1" style="220" min="5889" max="5889"/>
    <col width="11.88671875" customWidth="1" style="220" min="5890" max="5891"/>
    <col width="14.109375" customWidth="1" style="220" min="5892" max="5892"/>
    <col width="12" customWidth="1" style="220" min="5893" max="5893"/>
    <col width="11" customWidth="1" style="220" min="5894" max="5894"/>
    <col width="11.5546875" customWidth="1" style="220" min="5895" max="5895"/>
    <col width="9.109375" customWidth="1" style="220" min="5896" max="6115"/>
    <col width="4" customWidth="1" style="220" min="6116" max="6116"/>
    <col width="21.109375" customWidth="1" style="220" min="6117" max="6134"/>
    <col width="4" customWidth="1" style="220" min="6135" max="6135"/>
    <col width="21.109375" customWidth="1" style="220" min="6136" max="6138"/>
    <col width="5.5546875" customWidth="1" style="220" min="6139" max="6139"/>
    <col width="4.6640625" customWidth="1" style="220" min="6140" max="6140"/>
    <col width="7.33203125" customWidth="1" style="220" min="6141" max="6141"/>
    <col width="6.5546875" customWidth="1" style="220" min="6142" max="6142"/>
    <col width="13.44140625" customWidth="1" style="220" min="6143" max="6143"/>
    <col width="12.44140625" customWidth="1" style="220" min="6144" max="6144"/>
    <col width="8.33203125" customWidth="1" style="220" min="6145" max="6145"/>
    <col width="11.88671875" customWidth="1" style="220" min="6146" max="6147"/>
    <col width="14.109375" customWidth="1" style="220" min="6148" max="6148"/>
    <col width="12" customWidth="1" style="220" min="6149" max="6149"/>
    <col width="11" customWidth="1" style="220" min="6150" max="6150"/>
    <col width="11.5546875" customWidth="1" style="220" min="6151" max="6151"/>
    <col width="9.109375" customWidth="1" style="220" min="6152" max="6371"/>
    <col width="4" customWidth="1" style="220" min="6372" max="6372"/>
    <col width="21.109375" customWidth="1" style="220" min="6373" max="6390"/>
    <col width="4" customWidth="1" style="220" min="6391" max="6391"/>
    <col width="21.109375" customWidth="1" style="220" min="6392" max="6394"/>
    <col width="5.5546875" customWidth="1" style="220" min="6395" max="6395"/>
    <col width="4.6640625" customWidth="1" style="220" min="6396" max="6396"/>
    <col width="7.33203125" customWidth="1" style="220" min="6397" max="6397"/>
    <col width="6.5546875" customWidth="1" style="220" min="6398" max="6398"/>
    <col width="13.44140625" customWidth="1" style="220" min="6399" max="6399"/>
    <col width="12.44140625" customWidth="1" style="220" min="6400" max="6400"/>
    <col width="8.33203125" customWidth="1" style="220" min="6401" max="6401"/>
    <col width="11.88671875" customWidth="1" style="220" min="6402" max="6403"/>
    <col width="14.109375" customWidth="1" style="220" min="6404" max="6404"/>
    <col width="12" customWidth="1" style="220" min="6405" max="6405"/>
    <col width="11" customWidth="1" style="220" min="6406" max="6406"/>
    <col width="11.5546875" customWidth="1" style="220" min="6407" max="6407"/>
    <col width="9.109375" customWidth="1" style="220" min="6408" max="6627"/>
    <col width="4" customWidth="1" style="220" min="6628" max="6628"/>
    <col width="21.109375" customWidth="1" style="220" min="6629" max="6646"/>
    <col width="4" customWidth="1" style="220" min="6647" max="6647"/>
    <col width="21.109375" customWidth="1" style="220" min="6648" max="6650"/>
    <col width="5.5546875" customWidth="1" style="220" min="6651" max="6651"/>
    <col width="4.6640625" customWidth="1" style="220" min="6652" max="6652"/>
    <col width="7.33203125" customWidth="1" style="220" min="6653" max="6653"/>
    <col width="6.5546875" customWidth="1" style="220" min="6654" max="6654"/>
    <col width="13.44140625" customWidth="1" style="220" min="6655" max="6655"/>
    <col width="12.44140625" customWidth="1" style="220" min="6656" max="6656"/>
    <col width="8.33203125" customWidth="1" style="220" min="6657" max="6657"/>
    <col width="11.88671875" customWidth="1" style="220" min="6658" max="6659"/>
    <col width="14.109375" customWidth="1" style="220" min="6660" max="6660"/>
    <col width="12" customWidth="1" style="220" min="6661" max="6661"/>
    <col width="11" customWidth="1" style="220" min="6662" max="6662"/>
    <col width="11.5546875" customWidth="1" style="220" min="6663" max="6663"/>
    <col width="9.109375" customWidth="1" style="220" min="6664" max="6883"/>
    <col width="4" customWidth="1" style="220" min="6884" max="6884"/>
    <col width="21.109375" customWidth="1" style="220" min="6885" max="6902"/>
    <col width="4" customWidth="1" style="220" min="6903" max="6903"/>
    <col width="21.109375" customWidth="1" style="220" min="6904" max="6906"/>
    <col width="5.5546875" customWidth="1" style="220" min="6907" max="6907"/>
    <col width="4.6640625" customWidth="1" style="220" min="6908" max="6908"/>
    <col width="7.33203125" customWidth="1" style="220" min="6909" max="6909"/>
    <col width="6.5546875" customWidth="1" style="220" min="6910" max="6910"/>
    <col width="13.44140625" customWidth="1" style="220" min="6911" max="6911"/>
    <col width="12.44140625" customWidth="1" style="220" min="6912" max="6912"/>
    <col width="8.33203125" customWidth="1" style="220" min="6913" max="6913"/>
    <col width="11.88671875" customWidth="1" style="220" min="6914" max="6915"/>
    <col width="14.109375" customWidth="1" style="220" min="6916" max="6916"/>
    <col width="12" customWidth="1" style="220" min="6917" max="6917"/>
    <col width="11" customWidth="1" style="220" min="6918" max="6918"/>
    <col width="11.5546875" customWidth="1" style="220" min="6919" max="6919"/>
    <col width="9.109375" customWidth="1" style="220" min="6920" max="7139"/>
    <col width="4" customWidth="1" style="220" min="7140" max="7140"/>
    <col width="21.109375" customWidth="1" style="220" min="7141" max="7158"/>
    <col width="4" customWidth="1" style="220" min="7159" max="7159"/>
    <col width="21.109375" customWidth="1" style="220" min="7160" max="7162"/>
    <col width="5.5546875" customWidth="1" style="220" min="7163" max="7163"/>
    <col width="4.6640625" customWidth="1" style="220" min="7164" max="7164"/>
    <col width="7.33203125" customWidth="1" style="220" min="7165" max="7165"/>
    <col width="6.5546875" customWidth="1" style="220" min="7166" max="7166"/>
    <col width="13.44140625" customWidth="1" style="220" min="7167" max="7167"/>
    <col width="12.44140625" customWidth="1" style="220" min="7168" max="7168"/>
    <col width="8.33203125" customWidth="1" style="220" min="7169" max="7169"/>
    <col width="11.88671875" customWidth="1" style="220" min="7170" max="7171"/>
    <col width="14.109375" customWidth="1" style="220" min="7172" max="7172"/>
    <col width="12" customWidth="1" style="220" min="7173" max="7173"/>
    <col width="11" customWidth="1" style="220" min="7174" max="7174"/>
    <col width="11.5546875" customWidth="1" style="220" min="7175" max="7175"/>
    <col width="9.109375" customWidth="1" style="220" min="7176" max="7395"/>
    <col width="4" customWidth="1" style="220" min="7396" max="7396"/>
    <col width="21.109375" customWidth="1" style="220" min="7397" max="7414"/>
    <col width="4" customWidth="1" style="220" min="7415" max="7415"/>
    <col width="21.109375" customWidth="1" style="220" min="7416" max="7418"/>
    <col width="5.5546875" customWidth="1" style="220" min="7419" max="7419"/>
    <col width="4.6640625" customWidth="1" style="220" min="7420" max="7420"/>
    <col width="7.33203125" customWidth="1" style="220" min="7421" max="7421"/>
    <col width="6.5546875" customWidth="1" style="220" min="7422" max="7422"/>
    <col width="13.44140625" customWidth="1" style="220" min="7423" max="7423"/>
    <col width="12.44140625" customWidth="1" style="220" min="7424" max="7424"/>
    <col width="8.33203125" customWidth="1" style="220" min="7425" max="7425"/>
    <col width="11.88671875" customWidth="1" style="220" min="7426" max="7427"/>
    <col width="14.109375" customWidth="1" style="220" min="7428" max="7428"/>
    <col width="12" customWidth="1" style="220" min="7429" max="7429"/>
    <col width="11" customWidth="1" style="220" min="7430" max="7430"/>
    <col width="11.5546875" customWidth="1" style="220" min="7431" max="7431"/>
    <col width="9.109375" customWidth="1" style="220" min="7432" max="7651"/>
    <col width="4" customWidth="1" style="220" min="7652" max="7652"/>
    <col width="21.109375" customWidth="1" style="220" min="7653" max="7670"/>
    <col width="4" customWidth="1" style="220" min="7671" max="7671"/>
    <col width="21.109375" customWidth="1" style="220" min="7672" max="7674"/>
    <col width="5.5546875" customWidth="1" style="220" min="7675" max="7675"/>
    <col width="4.6640625" customWidth="1" style="220" min="7676" max="7676"/>
    <col width="7.33203125" customWidth="1" style="220" min="7677" max="7677"/>
    <col width="6.5546875" customWidth="1" style="220" min="7678" max="7678"/>
    <col width="13.44140625" customWidth="1" style="220" min="7679" max="7679"/>
    <col width="12.44140625" customWidth="1" style="220" min="7680" max="7680"/>
    <col width="8.33203125" customWidth="1" style="220" min="7681" max="7681"/>
    <col width="11.88671875" customWidth="1" style="220" min="7682" max="7683"/>
    <col width="14.109375" customWidth="1" style="220" min="7684" max="7684"/>
    <col width="12" customWidth="1" style="220" min="7685" max="7685"/>
    <col width="11" customWidth="1" style="220" min="7686" max="7686"/>
    <col width="11.5546875" customWidth="1" style="220" min="7687" max="7687"/>
    <col width="9.109375" customWidth="1" style="220" min="7688" max="7907"/>
    <col width="4" customWidth="1" style="220" min="7908" max="7908"/>
    <col width="21.109375" customWidth="1" style="220" min="7909" max="7926"/>
    <col width="4" customWidth="1" style="220" min="7927" max="7927"/>
    <col width="21.109375" customWidth="1" style="220" min="7928" max="7930"/>
    <col width="5.5546875" customWidth="1" style="220" min="7931" max="7931"/>
    <col width="4.6640625" customWidth="1" style="220" min="7932" max="7932"/>
    <col width="7.33203125" customWidth="1" style="220" min="7933" max="7933"/>
    <col width="6.5546875" customWidth="1" style="220" min="7934" max="7934"/>
    <col width="13.44140625" customWidth="1" style="220" min="7935" max="7935"/>
    <col width="12.44140625" customWidth="1" style="220" min="7936" max="7936"/>
    <col width="8.33203125" customWidth="1" style="220" min="7937" max="7937"/>
    <col width="11.88671875" customWidth="1" style="220" min="7938" max="7939"/>
    <col width="14.109375" customWidth="1" style="220" min="7940" max="7940"/>
    <col width="12" customWidth="1" style="220" min="7941" max="7941"/>
    <col width="11" customWidth="1" style="220" min="7942" max="7942"/>
    <col width="11.5546875" customWidth="1" style="220" min="7943" max="7943"/>
    <col width="9.109375" customWidth="1" style="220" min="7944" max="8163"/>
    <col width="4" customWidth="1" style="220" min="8164" max="8164"/>
    <col width="21.109375" customWidth="1" style="220" min="8165" max="8182"/>
    <col width="4" customWidth="1" style="220" min="8183" max="8183"/>
    <col width="21.109375" customWidth="1" style="220" min="8184" max="8186"/>
    <col width="5.5546875" customWidth="1" style="220" min="8187" max="8187"/>
    <col width="4.6640625" customWidth="1" style="220" min="8188" max="8188"/>
    <col width="7.33203125" customWidth="1" style="220" min="8189" max="8189"/>
    <col width="6.5546875" customWidth="1" style="220" min="8190" max="8190"/>
    <col width="13.44140625" customWidth="1" style="220" min="8191" max="8191"/>
    <col width="12.44140625" customWidth="1" style="220" min="8192" max="8192"/>
    <col width="8.33203125" customWidth="1" style="220" min="8193" max="8193"/>
    <col width="11.88671875" customWidth="1" style="220" min="8194" max="8195"/>
    <col width="14.109375" customWidth="1" style="220" min="8196" max="8196"/>
    <col width="12" customWidth="1" style="220" min="8197" max="8197"/>
    <col width="11" customWidth="1" style="220" min="8198" max="8198"/>
    <col width="11.5546875" customWidth="1" style="220" min="8199" max="8199"/>
    <col width="9.109375" customWidth="1" style="220" min="8200" max="8419"/>
    <col width="4" customWidth="1" style="220" min="8420" max="8420"/>
    <col width="21.109375" customWidth="1" style="220" min="8421" max="8438"/>
    <col width="4" customWidth="1" style="220" min="8439" max="8439"/>
    <col width="21.109375" customWidth="1" style="220" min="8440" max="8442"/>
    <col width="5.5546875" customWidth="1" style="220" min="8443" max="8443"/>
    <col width="4.6640625" customWidth="1" style="220" min="8444" max="8444"/>
    <col width="7.33203125" customWidth="1" style="220" min="8445" max="8445"/>
    <col width="6.5546875" customWidth="1" style="220" min="8446" max="8446"/>
    <col width="13.44140625" customWidth="1" style="220" min="8447" max="8447"/>
    <col width="12.44140625" customWidth="1" style="220" min="8448" max="8448"/>
    <col width="8.33203125" customWidth="1" style="220" min="8449" max="8449"/>
    <col width="11.88671875" customWidth="1" style="220" min="8450" max="8451"/>
    <col width="14.109375" customWidth="1" style="220" min="8452" max="8452"/>
    <col width="12" customWidth="1" style="220" min="8453" max="8453"/>
    <col width="11" customWidth="1" style="220" min="8454" max="8454"/>
    <col width="11.5546875" customWidth="1" style="220" min="8455" max="8455"/>
    <col width="9.109375" customWidth="1" style="220" min="8456" max="8675"/>
    <col width="4" customWidth="1" style="220" min="8676" max="8676"/>
    <col width="21.109375" customWidth="1" style="220" min="8677" max="8694"/>
    <col width="4" customWidth="1" style="220" min="8695" max="8695"/>
    <col width="21.109375" customWidth="1" style="220" min="8696" max="8698"/>
    <col width="5.5546875" customWidth="1" style="220" min="8699" max="8699"/>
    <col width="4.6640625" customWidth="1" style="220" min="8700" max="8700"/>
    <col width="7.33203125" customWidth="1" style="220" min="8701" max="8701"/>
    <col width="6.5546875" customWidth="1" style="220" min="8702" max="8702"/>
    <col width="13.44140625" customWidth="1" style="220" min="8703" max="8703"/>
    <col width="12.44140625" customWidth="1" style="220" min="8704" max="8704"/>
    <col width="8.33203125" customWidth="1" style="220" min="8705" max="8705"/>
    <col width="11.88671875" customWidth="1" style="220" min="8706" max="8707"/>
    <col width="14.109375" customWidth="1" style="220" min="8708" max="8708"/>
    <col width="12" customWidth="1" style="220" min="8709" max="8709"/>
    <col width="11" customWidth="1" style="220" min="8710" max="8710"/>
    <col width="11.5546875" customWidth="1" style="220" min="8711" max="8711"/>
    <col width="9.109375" customWidth="1" style="220" min="8712" max="8931"/>
    <col width="4" customWidth="1" style="220" min="8932" max="8932"/>
    <col width="21.109375" customWidth="1" style="220" min="8933" max="8950"/>
    <col width="4" customWidth="1" style="220" min="8951" max="8951"/>
    <col width="21.109375" customWidth="1" style="220" min="8952" max="8954"/>
    <col width="5.5546875" customWidth="1" style="220" min="8955" max="8955"/>
    <col width="4.6640625" customWidth="1" style="220" min="8956" max="8956"/>
    <col width="7.33203125" customWidth="1" style="220" min="8957" max="8957"/>
    <col width="6.5546875" customWidth="1" style="220" min="8958" max="8958"/>
    <col width="13.44140625" customWidth="1" style="220" min="8959" max="8959"/>
    <col width="12.44140625" customWidth="1" style="220" min="8960" max="8960"/>
    <col width="8.33203125" customWidth="1" style="220" min="8961" max="8961"/>
    <col width="11.88671875" customWidth="1" style="220" min="8962" max="8963"/>
    <col width="14.109375" customWidth="1" style="220" min="8964" max="8964"/>
    <col width="12" customWidth="1" style="220" min="8965" max="8965"/>
    <col width="11" customWidth="1" style="220" min="8966" max="8966"/>
    <col width="11.5546875" customWidth="1" style="220" min="8967" max="8967"/>
    <col width="9.109375" customWidth="1" style="220" min="8968" max="9187"/>
    <col width="4" customWidth="1" style="220" min="9188" max="9188"/>
    <col width="21.109375" customWidth="1" style="220" min="9189" max="9206"/>
    <col width="4" customWidth="1" style="220" min="9207" max="9207"/>
    <col width="21.109375" customWidth="1" style="220" min="9208" max="9210"/>
    <col width="5.5546875" customWidth="1" style="220" min="9211" max="9211"/>
    <col width="4.6640625" customWidth="1" style="220" min="9212" max="9212"/>
    <col width="7.33203125" customWidth="1" style="220" min="9213" max="9213"/>
    <col width="6.5546875" customWidth="1" style="220" min="9214" max="9214"/>
    <col width="13.44140625" customWidth="1" style="220" min="9215" max="9215"/>
    <col width="12.44140625" customWidth="1" style="220" min="9216" max="9216"/>
    <col width="8.33203125" customWidth="1" style="220" min="9217" max="9217"/>
    <col width="11.88671875" customWidth="1" style="220" min="9218" max="9219"/>
    <col width="14.109375" customWidth="1" style="220" min="9220" max="9220"/>
    <col width="12" customWidth="1" style="220" min="9221" max="9221"/>
    <col width="11" customWidth="1" style="220" min="9222" max="9222"/>
    <col width="11.5546875" customWidth="1" style="220" min="9223" max="9223"/>
    <col width="9.109375" customWidth="1" style="220" min="9224" max="9443"/>
    <col width="4" customWidth="1" style="220" min="9444" max="9444"/>
    <col width="21.109375" customWidth="1" style="220" min="9445" max="9462"/>
    <col width="4" customWidth="1" style="220" min="9463" max="9463"/>
    <col width="21.109375" customWidth="1" style="220" min="9464" max="9466"/>
    <col width="5.5546875" customWidth="1" style="220" min="9467" max="9467"/>
    <col width="4.6640625" customWidth="1" style="220" min="9468" max="9468"/>
    <col width="7.33203125" customWidth="1" style="220" min="9469" max="9469"/>
    <col width="6.5546875" customWidth="1" style="220" min="9470" max="9470"/>
    <col width="13.44140625" customWidth="1" style="220" min="9471" max="9471"/>
    <col width="12.44140625" customWidth="1" style="220" min="9472" max="9472"/>
    <col width="8.33203125" customWidth="1" style="220" min="9473" max="9473"/>
    <col width="11.88671875" customWidth="1" style="220" min="9474" max="9475"/>
    <col width="14.109375" customWidth="1" style="220" min="9476" max="9476"/>
    <col width="12" customWidth="1" style="220" min="9477" max="9477"/>
    <col width="11" customWidth="1" style="220" min="9478" max="9478"/>
    <col width="11.5546875" customWidth="1" style="220" min="9479" max="9479"/>
    <col width="9.109375" customWidth="1" style="220" min="9480" max="9699"/>
    <col width="4" customWidth="1" style="220" min="9700" max="9700"/>
    <col width="21.109375" customWidth="1" style="220" min="9701" max="9718"/>
    <col width="4" customWidth="1" style="220" min="9719" max="9719"/>
    <col width="21.109375" customWidth="1" style="220" min="9720" max="9722"/>
    <col width="5.5546875" customWidth="1" style="220" min="9723" max="9723"/>
    <col width="4.6640625" customWidth="1" style="220" min="9724" max="9724"/>
    <col width="7.33203125" customWidth="1" style="220" min="9725" max="9725"/>
    <col width="6.5546875" customWidth="1" style="220" min="9726" max="9726"/>
    <col width="13.44140625" customWidth="1" style="220" min="9727" max="9727"/>
    <col width="12.44140625" customWidth="1" style="220" min="9728" max="9728"/>
    <col width="8.33203125" customWidth="1" style="220" min="9729" max="9729"/>
    <col width="11.88671875" customWidth="1" style="220" min="9730" max="9731"/>
    <col width="14.109375" customWidth="1" style="220" min="9732" max="9732"/>
    <col width="12" customWidth="1" style="220" min="9733" max="9733"/>
    <col width="11" customWidth="1" style="220" min="9734" max="9734"/>
    <col width="11.5546875" customWidth="1" style="220" min="9735" max="9735"/>
    <col width="9.109375" customWidth="1" style="220" min="9736" max="9955"/>
    <col width="4" customWidth="1" style="220" min="9956" max="9956"/>
    <col width="21.109375" customWidth="1" style="220" min="9957" max="9974"/>
    <col width="4" customWidth="1" style="220" min="9975" max="9975"/>
    <col width="21.109375" customWidth="1" style="220" min="9976" max="9978"/>
    <col width="5.5546875" customWidth="1" style="220" min="9979" max="9979"/>
    <col width="4.6640625" customWidth="1" style="220" min="9980" max="9980"/>
    <col width="7.33203125" customWidth="1" style="220" min="9981" max="9981"/>
    <col width="6.5546875" customWidth="1" style="220" min="9982" max="9982"/>
    <col width="13.44140625" customWidth="1" style="220" min="9983" max="9983"/>
    <col width="12.44140625" customWidth="1" style="220" min="9984" max="9984"/>
    <col width="8.33203125" customWidth="1" style="220" min="9985" max="9985"/>
    <col width="11.88671875" customWidth="1" style="220" min="9986" max="9987"/>
    <col width="14.109375" customWidth="1" style="220" min="9988" max="9988"/>
    <col width="12" customWidth="1" style="220" min="9989" max="9989"/>
    <col width="11" customWidth="1" style="220" min="9990" max="9990"/>
    <col width="11.5546875" customWidth="1" style="220" min="9991" max="9991"/>
    <col width="9.109375" customWidth="1" style="220" min="9992" max="10211"/>
    <col width="4" customWidth="1" style="220" min="10212" max="10212"/>
    <col width="21.109375" customWidth="1" style="220" min="10213" max="10230"/>
    <col width="4" customWidth="1" style="220" min="10231" max="10231"/>
    <col width="21.109375" customWidth="1" style="220" min="10232" max="10234"/>
    <col width="5.5546875" customWidth="1" style="220" min="10235" max="10235"/>
    <col width="4.6640625" customWidth="1" style="220" min="10236" max="10236"/>
    <col width="7.33203125" customWidth="1" style="220" min="10237" max="10237"/>
    <col width="6.5546875" customWidth="1" style="220" min="10238" max="10238"/>
    <col width="13.44140625" customWidth="1" style="220" min="10239" max="10239"/>
    <col width="12.44140625" customWidth="1" style="220" min="10240" max="10240"/>
    <col width="8.33203125" customWidth="1" style="220" min="10241" max="10241"/>
    <col width="11.88671875" customWidth="1" style="220" min="10242" max="10243"/>
    <col width="14.109375" customWidth="1" style="220" min="10244" max="10244"/>
    <col width="12" customWidth="1" style="220" min="10245" max="10245"/>
    <col width="11" customWidth="1" style="220" min="10246" max="10246"/>
    <col width="11.5546875" customWidth="1" style="220" min="10247" max="10247"/>
    <col width="9.109375" customWidth="1" style="220" min="10248" max="10467"/>
    <col width="4" customWidth="1" style="220" min="10468" max="10468"/>
    <col width="21.109375" customWidth="1" style="220" min="10469" max="10486"/>
    <col width="4" customWidth="1" style="220" min="10487" max="10487"/>
    <col width="21.109375" customWidth="1" style="220" min="10488" max="10490"/>
    <col width="5.5546875" customWidth="1" style="220" min="10491" max="10491"/>
    <col width="4.6640625" customWidth="1" style="220" min="10492" max="10492"/>
    <col width="7.33203125" customWidth="1" style="220" min="10493" max="10493"/>
    <col width="6.5546875" customWidth="1" style="220" min="10494" max="10494"/>
    <col width="13.44140625" customWidth="1" style="220" min="10495" max="10495"/>
    <col width="12.44140625" customWidth="1" style="220" min="10496" max="10496"/>
    <col width="8.33203125" customWidth="1" style="220" min="10497" max="10497"/>
    <col width="11.88671875" customWidth="1" style="220" min="10498" max="10499"/>
    <col width="14.109375" customWidth="1" style="220" min="10500" max="10500"/>
    <col width="12" customWidth="1" style="220" min="10501" max="10501"/>
    <col width="11" customWidth="1" style="220" min="10502" max="10502"/>
    <col width="11.5546875" customWidth="1" style="220" min="10503" max="10503"/>
    <col width="9.109375" customWidth="1" style="220" min="10504" max="10723"/>
    <col width="4" customWidth="1" style="220" min="10724" max="10724"/>
    <col width="21.109375" customWidth="1" style="220" min="10725" max="10742"/>
    <col width="4" customWidth="1" style="220" min="10743" max="10743"/>
    <col width="21.109375" customWidth="1" style="220" min="10744" max="10746"/>
    <col width="5.5546875" customWidth="1" style="220" min="10747" max="10747"/>
    <col width="4.6640625" customWidth="1" style="220" min="10748" max="10748"/>
    <col width="7.33203125" customWidth="1" style="220" min="10749" max="10749"/>
    <col width="6.5546875" customWidth="1" style="220" min="10750" max="10750"/>
    <col width="13.44140625" customWidth="1" style="220" min="10751" max="10751"/>
    <col width="12.44140625" customWidth="1" style="220" min="10752" max="10752"/>
    <col width="8.33203125" customWidth="1" style="220" min="10753" max="10753"/>
    <col width="11.88671875" customWidth="1" style="220" min="10754" max="10755"/>
    <col width="14.109375" customWidth="1" style="220" min="10756" max="10756"/>
    <col width="12" customWidth="1" style="220" min="10757" max="10757"/>
    <col width="11" customWidth="1" style="220" min="10758" max="10758"/>
    <col width="11.5546875" customWidth="1" style="220" min="10759" max="10759"/>
    <col width="9.109375" customWidth="1" style="220" min="10760" max="10979"/>
    <col width="4" customWidth="1" style="220" min="10980" max="10980"/>
    <col width="21.109375" customWidth="1" style="220" min="10981" max="10998"/>
    <col width="4" customWidth="1" style="220" min="10999" max="10999"/>
    <col width="21.109375" customWidth="1" style="220" min="11000" max="11002"/>
    <col width="5.5546875" customWidth="1" style="220" min="11003" max="11003"/>
    <col width="4.6640625" customWidth="1" style="220" min="11004" max="11004"/>
    <col width="7.33203125" customWidth="1" style="220" min="11005" max="11005"/>
    <col width="6.5546875" customWidth="1" style="220" min="11006" max="11006"/>
    <col width="13.44140625" customWidth="1" style="220" min="11007" max="11007"/>
    <col width="12.44140625" customWidth="1" style="220" min="11008" max="11008"/>
    <col width="8.33203125" customWidth="1" style="220" min="11009" max="11009"/>
    <col width="11.88671875" customWidth="1" style="220" min="11010" max="11011"/>
    <col width="14.109375" customWidth="1" style="220" min="11012" max="11012"/>
    <col width="12" customWidth="1" style="220" min="11013" max="11013"/>
    <col width="11" customWidth="1" style="220" min="11014" max="11014"/>
    <col width="11.5546875" customWidth="1" style="220" min="11015" max="11015"/>
    <col width="9.109375" customWidth="1" style="220" min="11016" max="11235"/>
    <col width="4" customWidth="1" style="220" min="11236" max="11236"/>
    <col width="21.109375" customWidth="1" style="220" min="11237" max="11254"/>
    <col width="4" customWidth="1" style="220" min="11255" max="11255"/>
    <col width="21.109375" customWidth="1" style="220" min="11256" max="11258"/>
    <col width="5.5546875" customWidth="1" style="220" min="11259" max="11259"/>
    <col width="4.6640625" customWidth="1" style="220" min="11260" max="11260"/>
    <col width="7.33203125" customWidth="1" style="220" min="11261" max="11261"/>
    <col width="6.5546875" customWidth="1" style="220" min="11262" max="11262"/>
    <col width="13.44140625" customWidth="1" style="220" min="11263" max="11263"/>
    <col width="12.44140625" customWidth="1" style="220" min="11264" max="11264"/>
    <col width="8.33203125" customWidth="1" style="220" min="11265" max="11265"/>
    <col width="11.88671875" customWidth="1" style="220" min="11266" max="11267"/>
    <col width="14.109375" customWidth="1" style="220" min="11268" max="11268"/>
    <col width="12" customWidth="1" style="220" min="11269" max="11269"/>
    <col width="11" customWidth="1" style="220" min="11270" max="11270"/>
    <col width="11.5546875" customWidth="1" style="220" min="11271" max="11271"/>
    <col width="9.109375" customWidth="1" style="220" min="11272" max="11491"/>
    <col width="4" customWidth="1" style="220" min="11492" max="11492"/>
    <col width="21.109375" customWidth="1" style="220" min="11493" max="11510"/>
    <col width="4" customWidth="1" style="220" min="11511" max="11511"/>
    <col width="21.109375" customWidth="1" style="220" min="11512" max="11514"/>
    <col width="5.5546875" customWidth="1" style="220" min="11515" max="11515"/>
    <col width="4.6640625" customWidth="1" style="220" min="11516" max="11516"/>
    <col width="7.33203125" customWidth="1" style="220" min="11517" max="11517"/>
    <col width="6.5546875" customWidth="1" style="220" min="11518" max="11518"/>
    <col width="13.44140625" customWidth="1" style="220" min="11519" max="11519"/>
    <col width="12.44140625" customWidth="1" style="220" min="11520" max="11520"/>
    <col width="8.33203125" customWidth="1" style="220" min="11521" max="11521"/>
    <col width="11.88671875" customWidth="1" style="220" min="11522" max="11523"/>
    <col width="14.109375" customWidth="1" style="220" min="11524" max="11524"/>
    <col width="12" customWidth="1" style="220" min="11525" max="11525"/>
    <col width="11" customWidth="1" style="220" min="11526" max="11526"/>
    <col width="11.5546875" customWidth="1" style="220" min="11527" max="11527"/>
    <col width="9.109375" customWidth="1" style="220" min="11528" max="11747"/>
    <col width="4" customWidth="1" style="220" min="11748" max="11748"/>
    <col width="21.109375" customWidth="1" style="220" min="11749" max="11766"/>
    <col width="4" customWidth="1" style="220" min="11767" max="11767"/>
    <col width="21.109375" customWidth="1" style="220" min="11768" max="11770"/>
    <col width="5.5546875" customWidth="1" style="220" min="11771" max="11771"/>
    <col width="4.6640625" customWidth="1" style="220" min="11772" max="11772"/>
    <col width="7.33203125" customWidth="1" style="220" min="11773" max="11773"/>
    <col width="6.5546875" customWidth="1" style="220" min="11774" max="11774"/>
    <col width="13.44140625" customWidth="1" style="220" min="11775" max="11775"/>
    <col width="12.44140625" customWidth="1" style="220" min="11776" max="11776"/>
    <col width="8.33203125" customWidth="1" style="220" min="11777" max="11777"/>
    <col width="11.88671875" customWidth="1" style="220" min="11778" max="11779"/>
    <col width="14.109375" customWidth="1" style="220" min="11780" max="11780"/>
    <col width="12" customWidth="1" style="220" min="11781" max="11781"/>
    <col width="11" customWidth="1" style="220" min="11782" max="11782"/>
    <col width="11.5546875" customWidth="1" style="220" min="11783" max="11783"/>
    <col width="9.109375" customWidth="1" style="220" min="11784" max="12003"/>
    <col width="4" customWidth="1" style="220" min="12004" max="12004"/>
    <col width="21.109375" customWidth="1" style="220" min="12005" max="12022"/>
    <col width="4" customWidth="1" style="220" min="12023" max="12023"/>
    <col width="21.109375" customWidth="1" style="220" min="12024" max="12026"/>
    <col width="5.5546875" customWidth="1" style="220" min="12027" max="12027"/>
    <col width="4.6640625" customWidth="1" style="220" min="12028" max="12028"/>
    <col width="7.33203125" customWidth="1" style="220" min="12029" max="12029"/>
    <col width="6.5546875" customWidth="1" style="220" min="12030" max="12030"/>
    <col width="13.44140625" customWidth="1" style="220" min="12031" max="12031"/>
    <col width="12.44140625" customWidth="1" style="220" min="12032" max="12032"/>
    <col width="8.33203125" customWidth="1" style="220" min="12033" max="12033"/>
    <col width="11.88671875" customWidth="1" style="220" min="12034" max="12035"/>
    <col width="14.109375" customWidth="1" style="220" min="12036" max="12036"/>
    <col width="12" customWidth="1" style="220" min="12037" max="12037"/>
    <col width="11" customWidth="1" style="220" min="12038" max="12038"/>
    <col width="11.5546875" customWidth="1" style="220" min="12039" max="12039"/>
    <col width="9.109375" customWidth="1" style="220" min="12040" max="12259"/>
    <col width="4" customWidth="1" style="220" min="12260" max="12260"/>
    <col width="21.109375" customWidth="1" style="220" min="12261" max="12278"/>
    <col width="4" customWidth="1" style="220" min="12279" max="12279"/>
    <col width="21.109375" customWidth="1" style="220" min="12280" max="12282"/>
    <col width="5.5546875" customWidth="1" style="220" min="12283" max="12283"/>
    <col width="4.6640625" customWidth="1" style="220" min="12284" max="12284"/>
    <col width="7.33203125" customWidth="1" style="220" min="12285" max="12285"/>
    <col width="6.5546875" customWidth="1" style="220" min="12286" max="12286"/>
    <col width="13.44140625" customWidth="1" style="220" min="12287" max="12287"/>
    <col width="12.44140625" customWidth="1" style="220" min="12288" max="12288"/>
    <col width="8.33203125" customWidth="1" style="220" min="12289" max="12289"/>
    <col width="11.88671875" customWidth="1" style="220" min="12290" max="12291"/>
    <col width="14.109375" customWidth="1" style="220" min="12292" max="12292"/>
    <col width="12" customWidth="1" style="220" min="12293" max="12293"/>
    <col width="11" customWidth="1" style="220" min="12294" max="12294"/>
    <col width="11.5546875" customWidth="1" style="220" min="12295" max="12295"/>
    <col width="9.109375" customWidth="1" style="220" min="12296" max="12515"/>
    <col width="4" customWidth="1" style="220" min="12516" max="12516"/>
    <col width="21.109375" customWidth="1" style="220" min="12517" max="12534"/>
    <col width="4" customWidth="1" style="220" min="12535" max="12535"/>
    <col width="21.109375" customWidth="1" style="220" min="12536" max="12538"/>
    <col width="5.5546875" customWidth="1" style="220" min="12539" max="12539"/>
    <col width="4.6640625" customWidth="1" style="220" min="12540" max="12540"/>
    <col width="7.33203125" customWidth="1" style="220" min="12541" max="12541"/>
    <col width="6.5546875" customWidth="1" style="220" min="12542" max="12542"/>
    <col width="13.44140625" customWidth="1" style="220" min="12543" max="12543"/>
    <col width="12.44140625" customWidth="1" style="220" min="12544" max="12544"/>
    <col width="8.33203125" customWidth="1" style="220" min="12545" max="12545"/>
    <col width="11.88671875" customWidth="1" style="220" min="12546" max="12547"/>
    <col width="14.109375" customWidth="1" style="220" min="12548" max="12548"/>
    <col width="12" customWidth="1" style="220" min="12549" max="12549"/>
    <col width="11" customWidth="1" style="220" min="12550" max="12550"/>
    <col width="11.5546875" customWidth="1" style="220" min="12551" max="12551"/>
    <col width="9.109375" customWidth="1" style="220" min="12552" max="12771"/>
    <col width="4" customWidth="1" style="220" min="12772" max="12772"/>
    <col width="21.109375" customWidth="1" style="220" min="12773" max="12790"/>
    <col width="4" customWidth="1" style="220" min="12791" max="12791"/>
    <col width="21.109375" customWidth="1" style="220" min="12792" max="12794"/>
    <col width="5.5546875" customWidth="1" style="220" min="12795" max="12795"/>
    <col width="4.6640625" customWidth="1" style="220" min="12796" max="12796"/>
    <col width="7.33203125" customWidth="1" style="220" min="12797" max="12797"/>
    <col width="6.5546875" customWidth="1" style="220" min="12798" max="12798"/>
    <col width="13.44140625" customWidth="1" style="220" min="12799" max="12799"/>
    <col width="12.44140625" customWidth="1" style="220" min="12800" max="12800"/>
    <col width="8.33203125" customWidth="1" style="220" min="12801" max="12801"/>
    <col width="11.88671875" customWidth="1" style="220" min="12802" max="12803"/>
    <col width="14.109375" customWidth="1" style="220" min="12804" max="12804"/>
    <col width="12" customWidth="1" style="220" min="12805" max="12805"/>
    <col width="11" customWidth="1" style="220" min="12806" max="12806"/>
    <col width="11.5546875" customWidth="1" style="220" min="12807" max="12807"/>
    <col width="9.109375" customWidth="1" style="220" min="12808" max="13027"/>
    <col width="4" customWidth="1" style="220" min="13028" max="13028"/>
    <col width="21.109375" customWidth="1" style="220" min="13029" max="13046"/>
    <col width="4" customWidth="1" style="220" min="13047" max="13047"/>
    <col width="21.109375" customWidth="1" style="220" min="13048" max="13050"/>
    <col width="5.5546875" customWidth="1" style="220" min="13051" max="13051"/>
    <col width="4.6640625" customWidth="1" style="220" min="13052" max="13052"/>
    <col width="7.33203125" customWidth="1" style="220" min="13053" max="13053"/>
    <col width="6.5546875" customWidth="1" style="220" min="13054" max="13054"/>
    <col width="13.44140625" customWidth="1" style="220" min="13055" max="13055"/>
    <col width="12.44140625" customWidth="1" style="220" min="13056" max="13056"/>
    <col width="8.33203125" customWidth="1" style="220" min="13057" max="13057"/>
    <col width="11.88671875" customWidth="1" style="220" min="13058" max="13059"/>
    <col width="14.109375" customWidth="1" style="220" min="13060" max="13060"/>
    <col width="12" customWidth="1" style="220" min="13061" max="13061"/>
    <col width="11" customWidth="1" style="220" min="13062" max="13062"/>
    <col width="11.5546875" customWidth="1" style="220" min="13063" max="13063"/>
    <col width="9.109375" customWidth="1" style="220" min="13064" max="13283"/>
    <col width="4" customWidth="1" style="220" min="13284" max="13284"/>
    <col width="21.109375" customWidth="1" style="220" min="13285" max="13302"/>
    <col width="4" customWidth="1" style="220" min="13303" max="13303"/>
    <col width="21.109375" customWidth="1" style="220" min="13304" max="13306"/>
    <col width="5.5546875" customWidth="1" style="220" min="13307" max="13307"/>
    <col width="4.6640625" customWidth="1" style="220" min="13308" max="13308"/>
    <col width="7.33203125" customWidth="1" style="220" min="13309" max="13309"/>
    <col width="6.5546875" customWidth="1" style="220" min="13310" max="13310"/>
    <col width="13.44140625" customWidth="1" style="220" min="13311" max="13311"/>
    <col width="12.44140625" customWidth="1" style="220" min="13312" max="13312"/>
    <col width="8.33203125" customWidth="1" style="220" min="13313" max="13313"/>
    <col width="11.88671875" customWidth="1" style="220" min="13314" max="13315"/>
    <col width="14.109375" customWidth="1" style="220" min="13316" max="13316"/>
    <col width="12" customWidth="1" style="220" min="13317" max="13317"/>
    <col width="11" customWidth="1" style="220" min="13318" max="13318"/>
    <col width="11.5546875" customWidth="1" style="220" min="13319" max="13319"/>
    <col width="9.109375" customWidth="1" style="220" min="13320" max="13539"/>
    <col width="4" customWidth="1" style="220" min="13540" max="13540"/>
    <col width="21.109375" customWidth="1" style="220" min="13541" max="13558"/>
    <col width="4" customWidth="1" style="220" min="13559" max="13559"/>
    <col width="21.109375" customWidth="1" style="220" min="13560" max="13562"/>
    <col width="5.5546875" customWidth="1" style="220" min="13563" max="13563"/>
    <col width="4.6640625" customWidth="1" style="220" min="13564" max="13564"/>
    <col width="7.33203125" customWidth="1" style="220" min="13565" max="13565"/>
    <col width="6.5546875" customWidth="1" style="220" min="13566" max="13566"/>
    <col width="13.44140625" customWidth="1" style="220" min="13567" max="13567"/>
    <col width="12.44140625" customWidth="1" style="220" min="13568" max="13568"/>
    <col width="8.33203125" customWidth="1" style="220" min="13569" max="13569"/>
    <col width="11.88671875" customWidth="1" style="220" min="13570" max="13571"/>
    <col width="14.109375" customWidth="1" style="220" min="13572" max="13572"/>
    <col width="12" customWidth="1" style="220" min="13573" max="13573"/>
    <col width="11" customWidth="1" style="220" min="13574" max="13574"/>
    <col width="11.5546875" customWidth="1" style="220" min="13575" max="13575"/>
    <col width="9.109375" customWidth="1" style="220" min="13576" max="13795"/>
    <col width="4" customWidth="1" style="220" min="13796" max="13796"/>
    <col width="21.109375" customWidth="1" style="220" min="13797" max="13814"/>
    <col width="4" customWidth="1" style="220" min="13815" max="13815"/>
    <col width="21.109375" customWidth="1" style="220" min="13816" max="13818"/>
    <col width="5.5546875" customWidth="1" style="220" min="13819" max="13819"/>
    <col width="4.6640625" customWidth="1" style="220" min="13820" max="13820"/>
    <col width="7.33203125" customWidth="1" style="220" min="13821" max="13821"/>
    <col width="6.5546875" customWidth="1" style="220" min="13822" max="13822"/>
    <col width="13.44140625" customWidth="1" style="220" min="13823" max="13823"/>
    <col width="12.44140625" customWidth="1" style="220" min="13824" max="13824"/>
    <col width="8.33203125" customWidth="1" style="220" min="13825" max="13825"/>
    <col width="11.88671875" customWidth="1" style="220" min="13826" max="13827"/>
    <col width="14.109375" customWidth="1" style="220" min="13828" max="13828"/>
    <col width="12" customWidth="1" style="220" min="13829" max="13829"/>
    <col width="11" customWidth="1" style="220" min="13830" max="13830"/>
    <col width="11.5546875" customWidth="1" style="220" min="13831" max="13831"/>
    <col width="9.109375" customWidth="1" style="220" min="13832" max="14051"/>
    <col width="4" customWidth="1" style="220" min="14052" max="14052"/>
    <col width="21.109375" customWidth="1" style="220" min="14053" max="14070"/>
    <col width="4" customWidth="1" style="220" min="14071" max="14071"/>
    <col width="21.109375" customWidth="1" style="220" min="14072" max="14074"/>
    <col width="5.5546875" customWidth="1" style="220" min="14075" max="14075"/>
    <col width="4.6640625" customWidth="1" style="220" min="14076" max="14076"/>
    <col width="7.33203125" customWidth="1" style="220" min="14077" max="14077"/>
    <col width="6.5546875" customWidth="1" style="220" min="14078" max="14078"/>
    <col width="13.44140625" customWidth="1" style="220" min="14079" max="14079"/>
    <col width="12.44140625" customWidth="1" style="220" min="14080" max="14080"/>
    <col width="8.33203125" customWidth="1" style="220" min="14081" max="14081"/>
    <col width="11.88671875" customWidth="1" style="220" min="14082" max="14083"/>
    <col width="14.109375" customWidth="1" style="220" min="14084" max="14084"/>
    <col width="12" customWidth="1" style="220" min="14085" max="14085"/>
    <col width="11" customWidth="1" style="220" min="14086" max="14086"/>
    <col width="11.5546875" customWidth="1" style="220" min="14087" max="14087"/>
    <col width="9.109375" customWidth="1" style="220" min="14088" max="14307"/>
    <col width="4" customWidth="1" style="220" min="14308" max="14308"/>
    <col width="21.109375" customWidth="1" style="220" min="14309" max="14326"/>
    <col width="4" customWidth="1" style="220" min="14327" max="14327"/>
    <col width="21.109375" customWidth="1" style="220" min="14328" max="14330"/>
    <col width="5.5546875" customWidth="1" style="220" min="14331" max="14331"/>
    <col width="4.6640625" customWidth="1" style="220" min="14332" max="14332"/>
    <col width="7.33203125" customWidth="1" style="220" min="14333" max="14333"/>
    <col width="6.5546875" customWidth="1" style="220" min="14334" max="14334"/>
    <col width="13.44140625" customWidth="1" style="220" min="14335" max="14335"/>
    <col width="12.44140625" customWidth="1" style="220" min="14336" max="14336"/>
    <col width="8.33203125" customWidth="1" style="220" min="14337" max="14337"/>
    <col width="11.88671875" customWidth="1" style="220" min="14338" max="14339"/>
    <col width="14.109375" customWidth="1" style="220" min="14340" max="14340"/>
    <col width="12" customWidth="1" style="220" min="14341" max="14341"/>
    <col width="11" customWidth="1" style="220" min="14342" max="14342"/>
    <col width="11.5546875" customWidth="1" style="220" min="14343" max="14343"/>
    <col width="9.109375" customWidth="1" style="220" min="14344" max="14563"/>
    <col width="4" customWidth="1" style="220" min="14564" max="14564"/>
    <col width="21.109375" customWidth="1" style="220" min="14565" max="14582"/>
    <col width="4" customWidth="1" style="220" min="14583" max="14583"/>
    <col width="21.109375" customWidth="1" style="220" min="14584" max="14586"/>
    <col width="5.5546875" customWidth="1" style="220" min="14587" max="14587"/>
    <col width="4.6640625" customWidth="1" style="220" min="14588" max="14588"/>
    <col width="7.33203125" customWidth="1" style="220" min="14589" max="14589"/>
    <col width="6.5546875" customWidth="1" style="220" min="14590" max="14590"/>
    <col width="13.44140625" customWidth="1" style="220" min="14591" max="14591"/>
    <col width="12.44140625" customWidth="1" style="220" min="14592" max="14592"/>
    <col width="8.33203125" customWidth="1" style="220" min="14593" max="14593"/>
    <col width="11.88671875" customWidth="1" style="220" min="14594" max="14595"/>
    <col width="14.109375" customWidth="1" style="220" min="14596" max="14596"/>
    <col width="12" customWidth="1" style="220" min="14597" max="14597"/>
    <col width="11" customWidth="1" style="220" min="14598" max="14598"/>
    <col width="11.5546875" customWidth="1" style="220" min="14599" max="14599"/>
    <col width="9.109375" customWidth="1" style="220" min="14600" max="14819"/>
    <col width="4" customWidth="1" style="220" min="14820" max="14820"/>
    <col width="21.109375" customWidth="1" style="220" min="14821" max="14838"/>
    <col width="4" customWidth="1" style="220" min="14839" max="14839"/>
    <col width="21.109375" customWidth="1" style="220" min="14840" max="14842"/>
    <col width="5.5546875" customWidth="1" style="220" min="14843" max="14843"/>
    <col width="4.6640625" customWidth="1" style="220" min="14844" max="14844"/>
    <col width="7.33203125" customWidth="1" style="220" min="14845" max="14845"/>
    <col width="6.5546875" customWidth="1" style="220" min="14846" max="14846"/>
    <col width="13.44140625" customWidth="1" style="220" min="14847" max="14847"/>
    <col width="12.44140625" customWidth="1" style="220" min="14848" max="14848"/>
    <col width="8.33203125" customWidth="1" style="220" min="14849" max="14849"/>
    <col width="11.88671875" customWidth="1" style="220" min="14850" max="14851"/>
    <col width="14.109375" customWidth="1" style="220" min="14852" max="14852"/>
    <col width="12" customWidth="1" style="220" min="14853" max="14853"/>
    <col width="11" customWidth="1" style="220" min="14854" max="14854"/>
    <col width="11.5546875" customWidth="1" style="220" min="14855" max="14855"/>
    <col width="9.109375" customWidth="1" style="220" min="14856" max="15075"/>
    <col width="4" customWidth="1" style="220" min="15076" max="15076"/>
    <col width="21.109375" customWidth="1" style="220" min="15077" max="15094"/>
    <col width="4" customWidth="1" style="220" min="15095" max="15095"/>
    <col width="21.109375" customWidth="1" style="220" min="15096" max="15098"/>
    <col width="5.5546875" customWidth="1" style="220" min="15099" max="15099"/>
    <col width="4.6640625" customWidth="1" style="220" min="15100" max="15100"/>
    <col width="7.33203125" customWidth="1" style="220" min="15101" max="15101"/>
    <col width="6.5546875" customWidth="1" style="220" min="15102" max="15102"/>
    <col width="13.44140625" customWidth="1" style="220" min="15103" max="15103"/>
    <col width="12.44140625" customWidth="1" style="220" min="15104" max="15104"/>
    <col width="8.33203125" customWidth="1" style="220" min="15105" max="15105"/>
    <col width="11.88671875" customWidth="1" style="220" min="15106" max="15107"/>
    <col width="14.109375" customWidth="1" style="220" min="15108" max="15108"/>
    <col width="12" customWidth="1" style="220" min="15109" max="15109"/>
    <col width="11" customWidth="1" style="220" min="15110" max="15110"/>
    <col width="11.5546875" customWidth="1" style="220" min="15111" max="15111"/>
    <col width="9.109375" customWidth="1" style="220" min="15112" max="15331"/>
    <col width="4" customWidth="1" style="220" min="15332" max="15332"/>
    <col width="21.109375" customWidth="1" style="220" min="15333" max="15350"/>
    <col width="4" customWidth="1" style="220" min="15351" max="15351"/>
    <col width="21.109375" customWidth="1" style="220" min="15352" max="15354"/>
    <col width="5.5546875" customWidth="1" style="220" min="15355" max="15355"/>
    <col width="4.6640625" customWidth="1" style="220" min="15356" max="15356"/>
    <col width="7.33203125" customWidth="1" style="220" min="15357" max="15357"/>
    <col width="6.5546875" customWidth="1" style="220" min="15358" max="15358"/>
    <col width="13.44140625" customWidth="1" style="220" min="15359" max="15359"/>
    <col width="12.44140625" customWidth="1" style="220" min="15360" max="15360"/>
    <col width="8.33203125" customWidth="1" style="220" min="15361" max="15361"/>
    <col width="11.88671875" customWidth="1" style="220" min="15362" max="15363"/>
    <col width="14.109375" customWidth="1" style="220" min="15364" max="15364"/>
    <col width="12" customWidth="1" style="220" min="15365" max="15365"/>
    <col width="11" customWidth="1" style="220" min="15366" max="15366"/>
    <col width="11.5546875" customWidth="1" style="220" min="15367" max="15367"/>
    <col width="9.109375" customWidth="1" style="220" min="15368" max="15587"/>
    <col width="4" customWidth="1" style="220" min="15588" max="15588"/>
    <col width="21.109375" customWidth="1" style="220" min="15589" max="15606"/>
    <col width="4" customWidth="1" style="220" min="15607" max="15607"/>
    <col width="21.109375" customWidth="1" style="220" min="15608" max="15610"/>
    <col width="5.5546875" customWidth="1" style="220" min="15611" max="15611"/>
    <col width="4.6640625" customWidth="1" style="220" min="15612" max="15612"/>
    <col width="7.33203125" customWidth="1" style="220" min="15613" max="15613"/>
    <col width="6.5546875" customWidth="1" style="220" min="15614" max="15614"/>
    <col width="13.44140625" customWidth="1" style="220" min="15615" max="15615"/>
    <col width="12.44140625" customWidth="1" style="220" min="15616" max="15616"/>
    <col width="8.33203125" customWidth="1" style="220" min="15617" max="15617"/>
    <col width="11.88671875" customWidth="1" style="220" min="15618" max="15619"/>
    <col width="14.109375" customWidth="1" style="220" min="15620" max="15620"/>
    <col width="12" customWidth="1" style="220" min="15621" max="15621"/>
    <col width="11" customWidth="1" style="220" min="15622" max="15622"/>
    <col width="11.5546875" customWidth="1" style="220" min="15623" max="15623"/>
    <col width="9.109375" customWidth="1" style="220" min="15624" max="15843"/>
    <col width="4" customWidth="1" style="220" min="15844" max="15844"/>
    <col width="21.109375" customWidth="1" style="220" min="15845" max="15862"/>
    <col width="4" customWidth="1" style="220" min="15863" max="15863"/>
    <col width="21.109375" customWidth="1" style="220" min="15864" max="15866"/>
    <col width="5.5546875" customWidth="1" style="220" min="15867" max="15867"/>
    <col width="4.6640625" customWidth="1" style="220" min="15868" max="15868"/>
    <col width="7.33203125" customWidth="1" style="220" min="15869" max="15869"/>
    <col width="6.5546875" customWidth="1" style="220" min="15870" max="15870"/>
    <col width="13.44140625" customWidth="1" style="220" min="15871" max="15871"/>
    <col width="12.44140625" customWidth="1" style="220" min="15872" max="15872"/>
    <col width="8.33203125" customWidth="1" style="220" min="15873" max="15873"/>
    <col width="11.88671875" customWidth="1" style="220" min="15874" max="15875"/>
    <col width="14.109375" customWidth="1" style="220" min="15876" max="15876"/>
    <col width="12" customWidth="1" style="220" min="15877" max="15877"/>
    <col width="11" customWidth="1" style="220" min="15878" max="15878"/>
    <col width="11.5546875" customWidth="1" style="220" min="15879" max="15879"/>
    <col width="9.109375" customWidth="1" style="220" min="15880" max="16099"/>
    <col width="4" customWidth="1" style="220" min="16100" max="16100"/>
    <col width="21.109375" customWidth="1" style="220" min="16101" max="16118"/>
    <col width="4" customWidth="1" style="220" min="16119" max="16119"/>
    <col width="21.109375" customWidth="1" style="220" min="16120" max="16122"/>
    <col width="5.5546875" customWidth="1" style="220" min="16123" max="16123"/>
    <col width="4.6640625" customWidth="1" style="220" min="16124" max="16124"/>
    <col width="7.33203125" customWidth="1" style="220" min="16125" max="16125"/>
    <col width="6.5546875" customWidth="1" style="220" min="16126" max="16126"/>
    <col width="13.44140625" customWidth="1" style="220" min="16127" max="16127"/>
    <col width="12.44140625" customWidth="1" style="220" min="16128" max="16128"/>
    <col width="8.33203125" customWidth="1" style="220" min="16129" max="16129"/>
    <col width="11.88671875" customWidth="1" style="220" min="16130" max="16131"/>
    <col width="14.109375" customWidth="1" style="220" min="16132" max="16132"/>
    <col width="12" customWidth="1" style="220" min="16133" max="16133"/>
    <col width="11" customWidth="1" style="220" min="16134" max="16134"/>
    <col width="11.5546875" customWidth="1" style="220" min="16135" max="16135"/>
    <col width="9.109375" customWidth="1" style="220" min="16136" max="16355"/>
    <col width="4" customWidth="1" style="220" min="16356" max="16356"/>
    <col width="21.109375" customWidth="1" style="220" min="16357" max="16384"/>
  </cols>
  <sheetData>
    <row r="1" ht="20.25" customHeight="1" s="248">
      <c r="A1" s="5" t="inlineStr">
        <is>
          <t>BV TRƯỜNG ĐHYD CẦN THƠ</t>
        </is>
      </c>
      <c r="B1" s="5" t="n"/>
      <c r="C1" s="5" t="n"/>
      <c r="D1" s="26" t="n"/>
      <c r="E1" s="25" t="n"/>
      <c r="F1" s="40" t="n"/>
      <c r="G1" s="7" t="n"/>
      <c r="H1" s="4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</row>
    <row r="2" ht="20.25" customHeight="1" s="248">
      <c r="A2" s="13" t="inlineStr">
        <is>
          <t>KHOA NGOẠI CTCH-TK</t>
        </is>
      </c>
      <c r="B2" s="13" t="n"/>
      <c r="C2" s="13" t="n"/>
      <c r="D2" s="27" t="n"/>
      <c r="F2" s="40" t="n"/>
      <c r="G2" s="7" t="n"/>
      <c r="H2" s="4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</row>
    <row r="3" ht="20.25" customHeight="1" s="248">
      <c r="A3" s="223" t="inlineStr">
        <is>
          <t>BẢNG KÊ TIỀN TIỂU THỦ THUẬT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</row>
    <row r="4" ht="20.25" customHeight="1" s="248">
      <c r="A4" s="221">
        <f>GB!A4</f>
        <v/>
      </c>
      <c r="B4" s="222" t="n"/>
      <c r="C4" s="222" t="n"/>
      <c r="D4" s="222" t="n"/>
      <c r="E4" s="222" t="n"/>
      <c r="F4" s="222" t="n"/>
      <c r="G4" s="222" t="n"/>
      <c r="H4" s="222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n"/>
      <c r="EU4" s="1" t="n"/>
      <c r="EV4" s="1" t="n"/>
      <c r="EW4" s="1" t="n"/>
      <c r="EX4" s="1" t="n"/>
      <c r="EY4" s="1" t="n"/>
      <c r="EZ4" s="1" t="n"/>
      <c r="FA4" s="1" t="n"/>
      <c r="FB4" s="1" t="n"/>
      <c r="FC4" s="1" t="n"/>
      <c r="FD4" s="1" t="n"/>
      <c r="FE4" s="1" t="n"/>
      <c r="FF4" s="1" t="n"/>
      <c r="FG4" s="1" t="n"/>
      <c r="FH4" s="1" t="n"/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n"/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</row>
    <row r="5" ht="18.75" customFormat="1" customHeight="1" s="202">
      <c r="A5" s="130" t="inlineStr">
        <is>
          <t>STT</t>
        </is>
      </c>
      <c r="B5" s="130" t="inlineStr">
        <is>
          <t>Ngày</t>
        </is>
      </c>
      <c r="C5" s="130" t="inlineStr">
        <is>
          <t>Họ và tên</t>
        </is>
      </c>
      <c r="D5" s="129" t="inlineStr">
        <is>
          <t>Tuổi</t>
        </is>
      </c>
      <c r="E5" s="131" t="inlineStr">
        <is>
          <t>Tên CLS</t>
        </is>
      </c>
      <c r="F5" s="131" t="inlineStr">
        <is>
          <t>Số Lượng</t>
        </is>
      </c>
      <c r="G5" s="128" t="inlineStr">
        <is>
          <t>Thành tiền</t>
        </is>
      </c>
      <c r="H5" s="131" t="inlineStr">
        <is>
          <t>THỰC LÃNH</t>
        </is>
      </c>
      <c r="I5" s="35" t="n"/>
      <c r="J5" s="35" t="n"/>
      <c r="K5" s="35" t="n"/>
      <c r="L5" s="35" t="n"/>
      <c r="M5" s="35" t="n"/>
      <c r="N5" s="35" t="n"/>
      <c r="O5" s="35" t="n"/>
      <c r="P5" s="35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  <c r="AC5" s="35" t="n"/>
      <c r="AD5" s="35" t="n"/>
      <c r="AE5" s="35" t="n"/>
      <c r="AF5" s="35" t="n"/>
      <c r="AG5" s="35" t="n"/>
      <c r="AH5" s="35" t="n"/>
      <c r="AI5" s="35" t="n"/>
      <c r="AJ5" s="35" t="n"/>
      <c r="AK5" s="35" t="n"/>
      <c r="AL5" s="35" t="n"/>
      <c r="AM5" s="35" t="n"/>
      <c r="AN5" s="35" t="n"/>
      <c r="AO5" s="35" t="n"/>
      <c r="AP5" s="35" t="n"/>
      <c r="AQ5" s="35" t="n"/>
      <c r="AR5" s="35" t="n"/>
      <c r="AS5" s="35" t="n"/>
      <c r="AT5" s="35" t="n"/>
      <c r="AU5" s="35" t="n"/>
      <c r="AV5" s="35" t="n"/>
      <c r="AW5" s="35" t="n"/>
      <c r="AX5" s="35" t="n"/>
      <c r="AY5" s="35" t="n"/>
      <c r="AZ5" s="35" t="n"/>
      <c r="BA5" s="35" t="n"/>
      <c r="BB5" s="35" t="n"/>
      <c r="BC5" s="35" t="n"/>
      <c r="BD5" s="35" t="n"/>
      <c r="BE5" s="35" t="n"/>
      <c r="BF5" s="35" t="n"/>
      <c r="BG5" s="35" t="n"/>
      <c r="BH5" s="35" t="n"/>
      <c r="BI5" s="35" t="n"/>
      <c r="BJ5" s="35" t="n"/>
      <c r="BK5" s="35" t="n"/>
      <c r="BL5" s="35" t="n"/>
      <c r="BM5" s="35" t="n"/>
      <c r="BN5" s="35" t="n"/>
      <c r="BO5" s="35" t="n"/>
      <c r="BP5" s="35" t="n"/>
      <c r="BQ5" s="35" t="n"/>
      <c r="BR5" s="35" t="n"/>
      <c r="BS5" s="35" t="n"/>
      <c r="BT5" s="35" t="n"/>
      <c r="BU5" s="35" t="n"/>
      <c r="BV5" s="35" t="n"/>
      <c r="BW5" s="35" t="n"/>
      <c r="BX5" s="35" t="n"/>
      <c r="BY5" s="35" t="n"/>
      <c r="BZ5" s="35" t="n"/>
      <c r="CA5" s="35" t="n"/>
      <c r="CB5" s="35" t="n"/>
      <c r="CC5" s="35" t="n"/>
      <c r="CD5" s="35" t="n"/>
      <c r="CE5" s="35" t="n"/>
      <c r="CF5" s="35" t="n"/>
      <c r="CG5" s="35" t="n"/>
      <c r="CH5" s="35" t="n"/>
      <c r="CI5" s="35" t="n"/>
      <c r="CJ5" s="35" t="n"/>
      <c r="CK5" s="35" t="n"/>
      <c r="CL5" s="35" t="n"/>
      <c r="CM5" s="35" t="n"/>
      <c r="CN5" s="35" t="n"/>
      <c r="CO5" s="35" t="n"/>
      <c r="CP5" s="35" t="n"/>
      <c r="CQ5" s="35" t="n"/>
      <c r="CR5" s="35" t="n"/>
      <c r="CS5" s="35" t="n"/>
      <c r="CT5" s="35" t="n"/>
      <c r="CU5" s="35" t="n"/>
      <c r="CV5" s="35" t="n"/>
      <c r="CW5" s="35" t="n"/>
      <c r="CX5" s="35" t="n"/>
      <c r="CY5" s="35" t="n"/>
      <c r="CZ5" s="35" t="n"/>
      <c r="DA5" s="35" t="n"/>
      <c r="DB5" s="35" t="n"/>
      <c r="DC5" s="35" t="n"/>
      <c r="DD5" s="35" t="n"/>
      <c r="DE5" s="35" t="n"/>
      <c r="DF5" s="35" t="n"/>
      <c r="DG5" s="35" t="n"/>
      <c r="DH5" s="35" t="n"/>
      <c r="DI5" s="35" t="n"/>
      <c r="DJ5" s="35" t="n"/>
      <c r="DK5" s="35" t="n"/>
      <c r="DL5" s="35" t="n"/>
      <c r="DM5" s="35" t="n"/>
      <c r="DN5" s="35" t="n"/>
      <c r="DO5" s="35" t="n"/>
      <c r="DP5" s="35" t="n"/>
      <c r="DQ5" s="35" t="n"/>
      <c r="DR5" s="35" t="n"/>
      <c r="DS5" s="35" t="n"/>
      <c r="DT5" s="35" t="n"/>
      <c r="DU5" s="35" t="n"/>
      <c r="DV5" s="35" t="n"/>
      <c r="DW5" s="35" t="n"/>
      <c r="DX5" s="35" t="n"/>
      <c r="DY5" s="35" t="n"/>
      <c r="DZ5" s="35" t="n"/>
      <c r="EA5" s="35" t="n"/>
      <c r="EB5" s="35" t="n"/>
      <c r="EC5" s="35" t="n"/>
      <c r="ED5" s="35" t="n"/>
      <c r="EE5" s="35" t="n"/>
      <c r="EF5" s="35" t="n"/>
      <c r="EG5" s="35" t="n"/>
      <c r="EH5" s="35" t="n"/>
      <c r="EI5" s="35" t="n"/>
      <c r="EJ5" s="35" t="n"/>
      <c r="EK5" s="35" t="n"/>
      <c r="EL5" s="35" t="n"/>
      <c r="EM5" s="35" t="n"/>
      <c r="EN5" s="35" t="n"/>
      <c r="EO5" s="35" t="n"/>
      <c r="EP5" s="35" t="n"/>
      <c r="EQ5" s="35" t="n"/>
      <c r="ER5" s="35" t="n"/>
      <c r="ES5" s="35" t="n"/>
      <c r="ET5" s="35" t="n"/>
      <c r="EU5" s="35" t="n"/>
      <c r="EV5" s="35" t="n"/>
      <c r="EW5" s="35" t="n"/>
      <c r="EX5" s="35" t="n"/>
      <c r="EY5" s="35" t="n"/>
      <c r="EZ5" s="35" t="n"/>
      <c r="FA5" s="35" t="n"/>
      <c r="FB5" s="35" t="n"/>
      <c r="FC5" s="35" t="n"/>
      <c r="FD5" s="35" t="n"/>
      <c r="FE5" s="35" t="n"/>
      <c r="FF5" s="35" t="n"/>
      <c r="FG5" s="35" t="n"/>
      <c r="FH5" s="35" t="n"/>
      <c r="FI5" s="35" t="n"/>
      <c r="FJ5" s="35" t="n"/>
      <c r="FK5" s="35" t="n"/>
      <c r="FL5" s="35" t="n"/>
      <c r="FM5" s="35" t="n"/>
      <c r="FN5" s="35" t="n"/>
      <c r="FO5" s="35" t="n"/>
      <c r="FP5" s="35" t="n"/>
      <c r="FQ5" s="35" t="n"/>
      <c r="FR5" s="35" t="n"/>
      <c r="FS5" s="35" t="n"/>
      <c r="FT5" s="35" t="n"/>
      <c r="FU5" s="35" t="n"/>
      <c r="FV5" s="35" t="n"/>
      <c r="FW5" s="35" t="n"/>
      <c r="FX5" s="35" t="n"/>
      <c r="FY5" s="35" t="n"/>
      <c r="FZ5" s="35" t="n"/>
      <c r="GA5" s="35" t="n"/>
      <c r="GB5" s="35" t="n"/>
      <c r="GC5" s="35" t="n"/>
      <c r="GD5" s="35" t="n"/>
      <c r="GE5" s="35" t="n"/>
    </row>
    <row r="6" hidden="1" ht="15.75" customFormat="1" customHeight="1" s="202">
      <c r="A6" s="92" t="n">
        <v>1</v>
      </c>
      <c r="B6" s="103" t="inlineStr">
        <is>
          <t>2026/01/09 07:12</t>
        </is>
      </c>
      <c r="C6" s="103" t="inlineStr">
        <is>
          <t>TRƯƠNG HUỲNH THÁI DUY</t>
        </is>
      </c>
      <c r="D6" s="103" t="inlineStr">
        <is>
          <t>09/12/2007</t>
        </is>
      </c>
      <c r="E6" s="103" t="inlineStr">
        <is>
          <t>Cắt chỉ sau phẫu thuật</t>
        </is>
      </c>
      <c r="F6" s="106" t="n">
        <v>1</v>
      </c>
      <c r="G6" s="259" t="n">
        <v>40300</v>
      </c>
      <c r="H6" s="93">
        <f>G6*25%*75%</f>
        <v/>
      </c>
      <c r="I6" s="36" t="n"/>
    </row>
    <row r="7" hidden="1" ht="15.75" customFormat="1" customHeight="1" s="202">
      <c r="A7" s="92" t="n">
        <v>2</v>
      </c>
      <c r="B7" s="103" t="inlineStr">
        <is>
          <t>2026/04/22 14:06</t>
        </is>
      </c>
      <c r="C7" s="103" t="inlineStr">
        <is>
          <t>LÊ KIỀU HÂN</t>
        </is>
      </c>
      <c r="D7" s="103" t="inlineStr">
        <is>
          <t>24/11/2000</t>
        </is>
      </c>
      <c r="E7" s="103" t="inlineStr">
        <is>
          <t>Nắn, bó bột gãy 1/3 trên hai xương cẳng tay [bột liền]</t>
        </is>
      </c>
      <c r="F7" s="106" t="n">
        <v>1</v>
      </c>
      <c r="G7" s="259" t="n">
        <v>372700</v>
      </c>
      <c r="H7" s="93">
        <f>G8*25%*75%</f>
        <v/>
      </c>
      <c r="I7" s="36" t="n"/>
    </row>
    <row r="8" hidden="1" ht="15.75" customFormat="1" customHeight="1" s="202">
      <c r="A8" s="92" t="n">
        <v>3</v>
      </c>
      <c r="B8" s="103" t="inlineStr">
        <is>
          <t>2026/04/29 13:43</t>
        </is>
      </c>
      <c r="C8" s="103" t="inlineStr">
        <is>
          <t>TRẦN HUỲNH BẢO TRÂN</t>
        </is>
      </c>
      <c r="D8" s="103" t="inlineStr">
        <is>
          <t>27/07/1996</t>
        </is>
      </c>
      <c r="E8" s="103" t="inlineStr">
        <is>
          <t>Thay băng, cắt chỉ vết mổ [chiều dài ≤ 15cm]</t>
        </is>
      </c>
      <c r="F8" s="106" t="n">
        <v>1</v>
      </c>
      <c r="G8" s="259" t="n">
        <v>64300</v>
      </c>
      <c r="H8" s="93">
        <f>G9*25%*75%</f>
        <v/>
      </c>
      <c r="I8" s="36" t="n"/>
    </row>
    <row r="9" hidden="1" ht="15.75" customFormat="1" customHeight="1" s="202">
      <c r="A9" s="92" t="n">
        <v>4</v>
      </c>
      <c r="B9" s="103" t="inlineStr">
        <is>
          <t>2026/05/19 07:00</t>
        </is>
      </c>
      <c r="C9" s="103" t="inlineStr">
        <is>
          <t>NGUYỄN THỊ ĐIỀN</t>
        </is>
      </c>
      <c r="D9" s="103" t="inlineStr">
        <is>
          <t>01/01/1963</t>
        </is>
      </c>
      <c r="E9" s="103" t="inlineStr">
        <is>
          <t>Thay băng, cắt chỉ vết mổ [chiều dài ≤ 15cm]</t>
        </is>
      </c>
      <c r="F9" s="106" t="n">
        <v>1</v>
      </c>
      <c r="G9" s="259" t="n">
        <v>100000</v>
      </c>
      <c r="H9" s="93">
        <f>G10*25%*75%</f>
        <v/>
      </c>
      <c r="I9" s="36" t="n"/>
    </row>
    <row r="10" hidden="1" ht="15.75" customFormat="1" customHeight="1" s="202">
      <c r="A10" s="92" t="n">
        <v>5</v>
      </c>
      <c r="B10" s="103" t="inlineStr">
        <is>
          <t>2026/05/19 07:36</t>
        </is>
      </c>
      <c r="C10" s="103" t="inlineStr">
        <is>
          <t>KHUẤT HÙNG</t>
        </is>
      </c>
      <c r="D10" s="103" t="inlineStr">
        <is>
          <t>01/01/1948</t>
        </is>
      </c>
      <c r="E10" s="103" t="inlineStr">
        <is>
          <t>Thay băng, cắt chỉ vết mổ [chiều dài ≤ 15cm]</t>
        </is>
      </c>
      <c r="F10" s="106" t="n">
        <v>1</v>
      </c>
      <c r="G10" s="259" t="n">
        <v>100000</v>
      </c>
      <c r="H10" s="93">
        <f>G11*25%*75%</f>
        <v/>
      </c>
      <c r="I10" s="36" t="n"/>
    </row>
    <row r="11" hidden="1" ht="15.75" customFormat="1" customHeight="1" s="202">
      <c r="A11" s="92" t="n">
        <v>6</v>
      </c>
      <c r="B11" s="103" t="inlineStr">
        <is>
          <t>2026/05/20 05:00</t>
        </is>
      </c>
      <c r="C11" s="103" t="inlineStr">
        <is>
          <t>KHUẤT HÙNG</t>
        </is>
      </c>
      <c r="D11" s="103" t="inlineStr">
        <is>
          <t>01/01/1948</t>
        </is>
      </c>
      <c r="E11" s="103" t="inlineStr">
        <is>
          <t>Thay băng, cắt chỉ vết mổ [chiều dài ≤ 15cm]</t>
        </is>
      </c>
      <c r="F11" s="106" t="n">
        <v>1</v>
      </c>
      <c r="G11" s="259" t="n">
        <v>100000</v>
      </c>
      <c r="H11" s="93">
        <f>G12*25%*75%</f>
        <v/>
      </c>
      <c r="I11" s="36" t="n"/>
    </row>
    <row r="12" hidden="1" ht="15.75" customFormat="1" customHeight="1" s="202">
      <c r="A12" s="92" t="n">
        <v>7</v>
      </c>
      <c r="B12" s="103" t="inlineStr">
        <is>
          <t>2026/05/20 07:00</t>
        </is>
      </c>
      <c r="C12" s="103" t="inlineStr">
        <is>
          <t>NGUYỄN THỊ ĐIỀN</t>
        </is>
      </c>
      <c r="D12" s="103" t="inlineStr">
        <is>
          <t>01/01/1963</t>
        </is>
      </c>
      <c r="E12" s="103" t="inlineStr">
        <is>
          <t>Thay băng, cắt chỉ vết mổ [chiều dài ≤ 15cm]</t>
        </is>
      </c>
      <c r="F12" s="106" t="n">
        <v>1</v>
      </c>
      <c r="G12" s="259" t="n">
        <v>100000</v>
      </c>
      <c r="H12" s="93">
        <f>G13*25%*75%</f>
        <v/>
      </c>
      <c r="I12" s="36" t="n"/>
    </row>
    <row r="13" hidden="1" ht="15.75" customFormat="1" customHeight="1" s="202">
      <c r="A13" s="92" t="n">
        <v>8</v>
      </c>
      <c r="B13" s="103" t="inlineStr">
        <is>
          <t>2026/05/21 05:00</t>
        </is>
      </c>
      <c r="C13" s="103" t="inlineStr">
        <is>
          <t>KHUẤT HÙNG</t>
        </is>
      </c>
      <c r="D13" s="103" t="inlineStr">
        <is>
          <t>01/01/1948</t>
        </is>
      </c>
      <c r="E13" s="103" t="inlineStr">
        <is>
          <t>Thay băng, cắt chỉ vết mổ [chiều dài ≤ 15cm]</t>
        </is>
      </c>
      <c r="F13" s="106" t="n">
        <v>1</v>
      </c>
      <c r="G13" s="259" t="n">
        <v>100000</v>
      </c>
      <c r="H13" s="93">
        <f>G14*25%*75%</f>
        <v/>
      </c>
      <c r="I13" s="36" t="n"/>
    </row>
    <row r="14" hidden="1" ht="15.75" customFormat="1" customHeight="1" s="202">
      <c r="A14" s="92" t="n">
        <v>9</v>
      </c>
      <c r="B14" s="103" t="inlineStr">
        <is>
          <t>2026/05/21 07:00</t>
        </is>
      </c>
      <c r="C14" s="103" t="inlineStr">
        <is>
          <t>NGUYỄN THỊ ĐIỀN</t>
        </is>
      </c>
      <c r="D14" s="103" t="inlineStr">
        <is>
          <t>01/01/1963</t>
        </is>
      </c>
      <c r="E14" s="103" t="inlineStr">
        <is>
          <t>Thay băng, cắt chỉ vết mổ [chiều dài ≤ 15cm]</t>
        </is>
      </c>
      <c r="F14" s="106" t="n">
        <v>1</v>
      </c>
      <c r="G14" s="259" t="n">
        <v>100000</v>
      </c>
      <c r="H14" s="93">
        <f>G15*25%*75%</f>
        <v/>
      </c>
      <c r="I14" s="36" t="n"/>
    </row>
    <row r="15" hidden="1" ht="15.75" customFormat="1" customHeight="1" s="202">
      <c r="A15" s="92" t="n">
        <v>10</v>
      </c>
      <c r="B15" s="103" t="inlineStr">
        <is>
          <t>2026/05/21 07:00</t>
        </is>
      </c>
      <c r="C15" s="103" t="inlineStr">
        <is>
          <t>TRẦN VĂN XIÊN</t>
        </is>
      </c>
      <c r="D15" s="103" t="inlineStr">
        <is>
          <t>01/01/1964</t>
        </is>
      </c>
      <c r="E15" s="103" t="inlineStr">
        <is>
          <t>Thay băng, cắt chỉ vết mổ [chiều dài ≤ 15cm]</t>
        </is>
      </c>
      <c r="F15" s="106" t="n">
        <v>1</v>
      </c>
      <c r="G15" s="259" t="n">
        <v>100000</v>
      </c>
      <c r="H15" s="93">
        <f>G16*25%*75%</f>
        <v/>
      </c>
      <c r="I15" s="36" t="n"/>
    </row>
    <row r="16" hidden="1" ht="15.75" customFormat="1" customHeight="1" s="202">
      <c r="A16" s="92" t="n">
        <v>11</v>
      </c>
      <c r="B16" s="103" t="inlineStr">
        <is>
          <t>2026/05/21 07:00</t>
        </is>
      </c>
      <c r="C16" s="103" t="inlineStr">
        <is>
          <t>VÕ VĂN BÉ BA</t>
        </is>
      </c>
      <c r="D16" s="103" t="inlineStr">
        <is>
          <t>12/12/1964</t>
        </is>
      </c>
      <c r="E16" s="103" t="inlineStr">
        <is>
          <t>Thay băng, cắt chỉ vết mổ [chiều dài ≤ 15cm]</t>
        </is>
      </c>
      <c r="F16" s="106" t="n">
        <v>1</v>
      </c>
      <c r="G16" s="259" t="n">
        <v>100000</v>
      </c>
      <c r="H16" s="93">
        <f>G17*25%*75%</f>
        <v/>
      </c>
      <c r="I16" s="36" t="n"/>
    </row>
    <row r="17" hidden="1" ht="15.75" customFormat="1" customHeight="1" s="202">
      <c r="A17" s="92" t="n">
        <v>12</v>
      </c>
      <c r="B17" s="103" t="inlineStr">
        <is>
          <t>2026/05/22 05:00</t>
        </is>
      </c>
      <c r="C17" s="103" t="inlineStr">
        <is>
          <t>KHUẤT HÙNG</t>
        </is>
      </c>
      <c r="D17" s="103" t="inlineStr">
        <is>
          <t>01/01/1948</t>
        </is>
      </c>
      <c r="E17" s="103" t="inlineStr">
        <is>
          <t>Thay băng, cắt chỉ vết mổ [chiều dài ≤ 15cm]</t>
        </is>
      </c>
      <c r="F17" s="106" t="n">
        <v>1</v>
      </c>
      <c r="G17" s="259" t="n">
        <v>100000</v>
      </c>
      <c r="H17" s="93">
        <f>G18*25%*75%</f>
        <v/>
      </c>
      <c r="I17" s="36" t="n"/>
    </row>
    <row r="18" hidden="1" ht="15.75" customFormat="1" customHeight="1" s="202">
      <c r="A18" s="92" t="n">
        <v>13</v>
      </c>
      <c r="B18" s="103" t="inlineStr">
        <is>
          <t>2026/05/22 07:00</t>
        </is>
      </c>
      <c r="C18" s="103" t="inlineStr">
        <is>
          <t>NGUYỄN THỊ ĐIỀN</t>
        </is>
      </c>
      <c r="D18" s="103" t="inlineStr">
        <is>
          <t>01/01/1963</t>
        </is>
      </c>
      <c r="E18" s="103" t="inlineStr">
        <is>
          <t>Thay băng, cắt chỉ vết mổ [chiều dài ≤ 15cm]</t>
        </is>
      </c>
      <c r="F18" s="106" t="n">
        <v>1</v>
      </c>
      <c r="G18" s="259" t="n">
        <v>100000</v>
      </c>
      <c r="H18" s="93">
        <f>G19*25%*75%</f>
        <v/>
      </c>
      <c r="I18" s="36" t="n"/>
    </row>
    <row r="19" hidden="1" ht="15.75" customFormat="1" customHeight="1" s="202">
      <c r="A19" s="92" t="n">
        <v>14</v>
      </c>
      <c r="B19" s="103" t="inlineStr">
        <is>
          <t>2026/05/22 07:00</t>
        </is>
      </c>
      <c r="C19" s="103" t="inlineStr">
        <is>
          <t>VÕ VĂN BÉ BA</t>
        </is>
      </c>
      <c r="D19" s="103" t="inlineStr">
        <is>
          <t>12/12/1964</t>
        </is>
      </c>
      <c r="E19" s="103" t="inlineStr">
        <is>
          <t>Thay băng, cắt chỉ vết mổ [chiều dài ≤ 15cm]</t>
        </is>
      </c>
      <c r="F19" s="106" t="n">
        <v>1</v>
      </c>
      <c r="G19" s="259" t="n">
        <v>100000</v>
      </c>
      <c r="H19" s="93">
        <f>G20*25%*75%</f>
        <v/>
      </c>
      <c r="I19" s="36" t="n"/>
    </row>
    <row r="20" hidden="1" ht="15.75" customFormat="1" customHeight="1" s="202">
      <c r="A20" s="92" t="n">
        <v>15</v>
      </c>
      <c r="B20" s="103" t="inlineStr">
        <is>
          <t>2026/05/22 07:00</t>
        </is>
      </c>
      <c r="C20" s="103" t="inlineStr">
        <is>
          <t>VŨ THÀNH ĐẠT</t>
        </is>
      </c>
      <c r="D20" s="103" t="inlineStr">
        <is>
          <t>01/02/1955</t>
        </is>
      </c>
      <c r="E20" s="103" t="inlineStr">
        <is>
          <t>Thay băng, cắt chỉ vết mổ [chiều dài ≤ 15cm]</t>
        </is>
      </c>
      <c r="F20" s="106" t="n">
        <v>1</v>
      </c>
      <c r="G20" s="259" t="n">
        <v>100000</v>
      </c>
      <c r="H20" s="93">
        <f>G21*25%*75%</f>
        <v/>
      </c>
      <c r="I20" s="36" t="n"/>
    </row>
    <row r="21" hidden="1" ht="15.75" customFormat="1" customHeight="1" s="202">
      <c r="A21" s="92" t="n">
        <v>16</v>
      </c>
      <c r="B21" s="103" t="inlineStr">
        <is>
          <t>2026/05/23 05:00</t>
        </is>
      </c>
      <c r="C21" s="103" t="inlineStr">
        <is>
          <t>KHUẤT HÙNG</t>
        </is>
      </c>
      <c r="D21" s="103" t="inlineStr">
        <is>
          <t>01/01/1948</t>
        </is>
      </c>
      <c r="E21" s="103" t="inlineStr">
        <is>
          <t>Thay băng, cắt chỉ vết mổ [chiều dài ≤ 15cm]</t>
        </is>
      </c>
      <c r="F21" s="106" t="n">
        <v>1</v>
      </c>
      <c r="G21" s="259" t="n">
        <v>100000</v>
      </c>
      <c r="H21" s="93">
        <f>G22*25%*75%</f>
        <v/>
      </c>
      <c r="I21" s="36" t="n"/>
    </row>
    <row r="22" hidden="1" ht="15.75" customFormat="1" customHeight="1" s="202">
      <c r="A22" s="92" t="n">
        <v>17</v>
      </c>
      <c r="B22" s="103" t="inlineStr">
        <is>
          <t>2026/05/23 05:00</t>
        </is>
      </c>
      <c r="C22" s="103" t="inlineStr">
        <is>
          <t>NGUYỄN THỊ BÉ TƯ</t>
        </is>
      </c>
      <c r="D22" s="103" t="inlineStr">
        <is>
          <t>01/01/1967</t>
        </is>
      </c>
      <c r="E22" s="103" t="inlineStr">
        <is>
          <t>Thay băng, cắt chỉ vết mổ [chiều dài ≤ 15cm]</t>
        </is>
      </c>
      <c r="F22" s="106" t="n">
        <v>1</v>
      </c>
      <c r="G22" s="259" t="n">
        <v>100000</v>
      </c>
      <c r="H22" s="93">
        <f>G23*25%*75%</f>
        <v/>
      </c>
      <c r="I22" s="36" t="n"/>
    </row>
    <row r="23" hidden="1" ht="15.75" customFormat="1" customHeight="1" s="202">
      <c r="A23" s="92" t="n">
        <v>18</v>
      </c>
      <c r="B23" s="103" t="inlineStr">
        <is>
          <t>2026/05/23 05:00</t>
        </is>
      </c>
      <c r="C23" s="103" t="inlineStr">
        <is>
          <t>TRẦN VĂN XIÊN</t>
        </is>
      </c>
      <c r="D23" s="103" t="inlineStr">
        <is>
          <t>01/01/1964</t>
        </is>
      </c>
      <c r="E23" s="103" t="inlineStr">
        <is>
          <t>Thay băng, cắt chỉ vết mổ [chiều dài ≤ 15cm]</t>
        </is>
      </c>
      <c r="F23" s="106" t="n">
        <v>1</v>
      </c>
      <c r="G23" s="259" t="n">
        <v>100000</v>
      </c>
      <c r="H23" s="93">
        <f>G24*25%*75%</f>
        <v/>
      </c>
      <c r="I23" s="36" t="n"/>
    </row>
    <row r="24" hidden="1" ht="15.75" customFormat="1" customHeight="1" s="202">
      <c r="A24" s="92" t="n">
        <v>19</v>
      </c>
      <c r="B24" s="103" t="inlineStr">
        <is>
          <t>2026/05/23 05:00</t>
        </is>
      </c>
      <c r="C24" s="103" t="inlineStr">
        <is>
          <t>VŨ THÀNH ĐẠT</t>
        </is>
      </c>
      <c r="D24" s="103" t="inlineStr">
        <is>
          <t>01/02/1955</t>
        </is>
      </c>
      <c r="E24" s="103" t="inlineStr">
        <is>
          <t>Thay băng, cắt chỉ vết mổ [chiều dài ≤ 15cm]</t>
        </is>
      </c>
      <c r="F24" s="106" t="n">
        <v>1</v>
      </c>
      <c r="G24" s="259" t="n">
        <v>100000</v>
      </c>
      <c r="H24" s="93">
        <f>G25*25%*75%</f>
        <v/>
      </c>
      <c r="I24" s="36" t="n"/>
    </row>
    <row r="25" hidden="1" ht="15.75" customFormat="1" customHeight="1" s="202">
      <c r="A25" s="92" t="n">
        <v>20</v>
      </c>
      <c r="B25" s="103" t="inlineStr">
        <is>
          <t>2026/05/23 08:00</t>
        </is>
      </c>
      <c r="C25" s="103" t="inlineStr">
        <is>
          <t>BÙI VĂN LONG</t>
        </is>
      </c>
      <c r="D25" s="103" t="inlineStr">
        <is>
          <t>21/10/1961</t>
        </is>
      </c>
      <c r="E25" s="103" t="inlineStr">
        <is>
          <t>Thay băng, cắt chỉ vết mổ [chiều dài ≤ 15cm]</t>
        </is>
      </c>
      <c r="F25" s="106" t="n">
        <v>1</v>
      </c>
      <c r="G25" s="259" t="n">
        <v>100000</v>
      </c>
      <c r="H25" s="93">
        <f>G26*25%*75%</f>
        <v/>
      </c>
      <c r="I25" s="36" t="n"/>
    </row>
    <row r="26" hidden="1" ht="15.75" customFormat="1" customHeight="1" s="202">
      <c r="A26" s="92" t="n">
        <v>21</v>
      </c>
      <c r="B26" s="103" t="inlineStr">
        <is>
          <t>2026/05/23 08:00</t>
        </is>
      </c>
      <c r="C26" s="103" t="inlineStr">
        <is>
          <t>NGUYỄN THỊ CHUỐI</t>
        </is>
      </c>
      <c r="D26" s="103" t="inlineStr">
        <is>
          <t>06/08/1952</t>
        </is>
      </c>
      <c r="E26" s="103" t="inlineStr">
        <is>
          <t>Thay băng, cắt chỉ vết mổ [chiều dài ≤ 15cm]</t>
        </is>
      </c>
      <c r="F26" s="106" t="n">
        <v>1</v>
      </c>
      <c r="G26" s="259" t="n">
        <v>100000</v>
      </c>
      <c r="H26" s="93">
        <f>G27*25%*75%</f>
        <v/>
      </c>
      <c r="I26" s="36" t="n"/>
    </row>
    <row r="27" hidden="1" ht="15.75" customFormat="1" customHeight="1" s="202">
      <c r="A27" s="92" t="n">
        <v>22</v>
      </c>
      <c r="B27" s="103" t="inlineStr">
        <is>
          <t>2026/05/23 08:00</t>
        </is>
      </c>
      <c r="C27" s="103" t="inlineStr">
        <is>
          <t>NGUYỄN THỊ ĐIỀN</t>
        </is>
      </c>
      <c r="D27" s="103" t="inlineStr">
        <is>
          <t>01/01/1963</t>
        </is>
      </c>
      <c r="E27" s="103" t="inlineStr">
        <is>
          <t>Thay băng, cắt chỉ vết mổ [chiều dài ≤ 15cm]</t>
        </is>
      </c>
      <c r="F27" s="106" t="n">
        <v>1</v>
      </c>
      <c r="G27" s="259" t="n">
        <v>100000</v>
      </c>
      <c r="H27" s="93">
        <f>G28*25%*75%</f>
        <v/>
      </c>
      <c r="I27" s="36" t="n"/>
    </row>
    <row r="28" hidden="1" ht="15.75" customFormat="1" customHeight="1" s="202">
      <c r="A28" s="92" t="n">
        <v>23</v>
      </c>
      <c r="B28" s="103" t="inlineStr">
        <is>
          <t>2026/05/23 08:00</t>
        </is>
      </c>
      <c r="C28" s="103" t="inlineStr">
        <is>
          <t>VÕ VĂN BÉ BA</t>
        </is>
      </c>
      <c r="D28" s="103" t="inlineStr">
        <is>
          <t>12/12/1964</t>
        </is>
      </c>
      <c r="E28" s="103" t="inlineStr">
        <is>
          <t>Thay băng, cắt chỉ vết mổ [chiều dài ≤ 15cm]</t>
        </is>
      </c>
      <c r="F28" s="106" t="n">
        <v>1</v>
      </c>
      <c r="G28" s="259" t="n">
        <v>100000</v>
      </c>
      <c r="H28" s="93">
        <f>G29*25%*75%</f>
        <v/>
      </c>
      <c r="I28" s="36" t="n"/>
    </row>
    <row r="29" hidden="1" ht="15.75" customFormat="1" customHeight="1" s="202">
      <c r="A29" s="92" t="n">
        <v>24</v>
      </c>
      <c r="B29" s="103" t="inlineStr">
        <is>
          <t>2026/05/23 18:00</t>
        </is>
      </c>
      <c r="C29" s="103" t="inlineStr">
        <is>
          <t>NGUYỄN THỊ BÉ TƯ</t>
        </is>
      </c>
      <c r="D29" s="103" t="inlineStr">
        <is>
          <t>01/01/1967</t>
        </is>
      </c>
      <c r="E29" s="103" t="inlineStr">
        <is>
          <t>Thay băng, cắt chỉ vết mổ [chiều dài ≤ 15cm]</t>
        </is>
      </c>
      <c r="F29" s="106" t="n">
        <v>1</v>
      </c>
      <c r="G29" s="259" t="n">
        <v>100000</v>
      </c>
      <c r="H29" s="93">
        <f>G30*25%*75%</f>
        <v/>
      </c>
      <c r="I29" s="36" t="n"/>
    </row>
    <row r="30" hidden="1" ht="15.75" customFormat="1" customHeight="1" s="202">
      <c r="A30" s="92" t="n">
        <v>25</v>
      </c>
      <c r="B30" s="103" t="inlineStr">
        <is>
          <t>2026/05/23 18:00</t>
        </is>
      </c>
      <c r="C30" s="103" t="inlineStr">
        <is>
          <t>VŨ THÀNH ĐẠT</t>
        </is>
      </c>
      <c r="D30" s="103" t="inlineStr">
        <is>
          <t>01/02/1955</t>
        </is>
      </c>
      <c r="E30" s="103" t="inlineStr">
        <is>
          <t>Thay băng, cắt chỉ vết mổ [chiều dài ≤ 15cm]</t>
        </is>
      </c>
      <c r="F30" s="106" t="n">
        <v>1</v>
      </c>
      <c r="G30" s="259" t="n">
        <v>100000</v>
      </c>
      <c r="H30" s="93">
        <f>G31*25%*75%</f>
        <v/>
      </c>
      <c r="I30" s="36" t="n"/>
    </row>
    <row r="31" hidden="1" ht="15.75" customFormat="1" customHeight="1" s="202">
      <c r="A31" s="92" t="n">
        <v>26</v>
      </c>
      <c r="B31" s="103" t="inlineStr">
        <is>
          <t>2026/05/24 05:00</t>
        </is>
      </c>
      <c r="C31" s="103" t="inlineStr">
        <is>
          <t>KHUẤT HÙNG</t>
        </is>
      </c>
      <c r="D31" s="103" t="inlineStr">
        <is>
          <t>01/01/1948</t>
        </is>
      </c>
      <c r="E31" s="103" t="inlineStr">
        <is>
          <t>Thay băng, cắt chỉ vết mổ [chiều dài ≤ 15cm]</t>
        </is>
      </c>
      <c r="F31" s="106" t="n">
        <v>1</v>
      </c>
      <c r="G31" s="259" t="n">
        <v>100000</v>
      </c>
      <c r="H31" s="93">
        <f>G32*25%*75%</f>
        <v/>
      </c>
      <c r="I31" s="36" t="n"/>
    </row>
    <row r="32" hidden="1" ht="15.75" customFormat="1" customHeight="1" s="202">
      <c r="A32" s="92" t="n">
        <v>27</v>
      </c>
      <c r="B32" s="103" t="inlineStr">
        <is>
          <t>2026/05/24 05:00</t>
        </is>
      </c>
      <c r="C32" s="103" t="inlineStr">
        <is>
          <t>NGUYỄN THỊ BÉ TƯ</t>
        </is>
      </c>
      <c r="D32" s="103" t="inlineStr">
        <is>
          <t>01/01/1967</t>
        </is>
      </c>
      <c r="E32" s="103" t="inlineStr">
        <is>
          <t>Thay băng, cắt chỉ vết mổ [chiều dài ≤ 15cm]</t>
        </is>
      </c>
      <c r="F32" s="106" t="n">
        <v>1</v>
      </c>
      <c r="G32" s="259" t="n">
        <v>100000</v>
      </c>
      <c r="H32" s="93">
        <f>G33*25%*75%</f>
        <v/>
      </c>
      <c r="I32" s="36" t="n"/>
    </row>
    <row r="33" hidden="1" ht="15.75" customFormat="1" customHeight="1" s="202">
      <c r="A33" s="92" t="n">
        <v>28</v>
      </c>
      <c r="B33" s="103" t="inlineStr">
        <is>
          <t>2026/05/24 05:00</t>
        </is>
      </c>
      <c r="C33" s="103" t="inlineStr">
        <is>
          <t>TRẦN VĂN XIÊN</t>
        </is>
      </c>
      <c r="D33" s="103" t="inlineStr">
        <is>
          <t>01/01/1964</t>
        </is>
      </c>
      <c r="E33" s="103" t="inlineStr">
        <is>
          <t>Thay băng, cắt chỉ vết mổ [chiều dài ≤ 15cm]</t>
        </is>
      </c>
      <c r="F33" s="106" t="n">
        <v>1</v>
      </c>
      <c r="G33" s="259" t="n">
        <v>100000</v>
      </c>
      <c r="H33" s="93">
        <f>G34*25%*75%</f>
        <v/>
      </c>
      <c r="I33" s="36" t="n"/>
    </row>
    <row r="34" hidden="1" ht="15.75" customFormat="1" customHeight="1" s="202">
      <c r="A34" s="92" t="n">
        <v>29</v>
      </c>
      <c r="B34" s="103" t="inlineStr">
        <is>
          <t>2026/05/24 05:00</t>
        </is>
      </c>
      <c r="C34" s="103" t="inlineStr">
        <is>
          <t>VŨ THÀNH ĐẠT</t>
        </is>
      </c>
      <c r="D34" s="103" t="inlineStr">
        <is>
          <t>01/02/1955</t>
        </is>
      </c>
      <c r="E34" s="103" t="inlineStr">
        <is>
          <t>Thay băng, cắt chỉ vết mổ [chiều dài ≤ 15cm]</t>
        </is>
      </c>
      <c r="F34" s="106" t="n">
        <v>1</v>
      </c>
      <c r="G34" s="259" t="n">
        <v>100000</v>
      </c>
      <c r="H34" s="93">
        <f>G35*25%*75%</f>
        <v/>
      </c>
      <c r="I34" s="36" t="n"/>
    </row>
    <row r="35" hidden="1" ht="15.75" customFormat="1" customHeight="1" s="202">
      <c r="A35" s="92" t="n">
        <v>30</v>
      </c>
      <c r="B35" s="103" t="inlineStr">
        <is>
          <t>2026/05/24 08:00</t>
        </is>
      </c>
      <c r="C35" s="103" t="inlineStr">
        <is>
          <t>NGUYỄN THỊ CHUỐI</t>
        </is>
      </c>
      <c r="D35" s="103" t="inlineStr">
        <is>
          <t>06/08/1952</t>
        </is>
      </c>
      <c r="E35" s="103" t="inlineStr">
        <is>
          <t>Thay băng, cắt chỉ vết mổ [chiều dài ≤ 15cm]</t>
        </is>
      </c>
      <c r="F35" s="106" t="n">
        <v>1</v>
      </c>
      <c r="G35" s="259" t="n">
        <v>100000</v>
      </c>
      <c r="H35" s="93">
        <f>G36*25%*75%</f>
        <v/>
      </c>
      <c r="I35" s="36" t="n"/>
    </row>
    <row r="36" hidden="1" ht="15.75" customFormat="1" customHeight="1" s="202">
      <c r="A36" s="92" t="n">
        <v>31</v>
      </c>
      <c r="B36" s="103" t="inlineStr">
        <is>
          <t>2026/05/24 08:00</t>
        </is>
      </c>
      <c r="C36" s="103" t="inlineStr">
        <is>
          <t>NGUYỄN THỊ ĐIỀN</t>
        </is>
      </c>
      <c r="D36" s="103" t="inlineStr">
        <is>
          <t>01/01/1963</t>
        </is>
      </c>
      <c r="E36" s="103" t="inlineStr">
        <is>
          <t>Thay băng, cắt chỉ vết mổ [chiều dài ≤ 15cm]</t>
        </is>
      </c>
      <c r="F36" s="106" t="n">
        <v>1</v>
      </c>
      <c r="G36" s="259" t="n">
        <v>100000</v>
      </c>
      <c r="H36" s="93">
        <f>G37*25%*75%</f>
        <v/>
      </c>
      <c r="I36" s="36" t="n"/>
    </row>
    <row r="37" hidden="1" ht="15.75" customFormat="1" customHeight="1" s="202">
      <c r="A37" s="92" t="n">
        <v>32</v>
      </c>
      <c r="B37" s="103" t="inlineStr">
        <is>
          <t>2026/05/24 08:00</t>
        </is>
      </c>
      <c r="C37" s="103" t="inlineStr">
        <is>
          <t>VÕ VĂN BÉ BA</t>
        </is>
      </c>
      <c r="D37" s="103" t="inlineStr">
        <is>
          <t>12/12/1964</t>
        </is>
      </c>
      <c r="E37" s="103" t="inlineStr">
        <is>
          <t>Thay băng, cắt chỉ vết mổ [chiều dài ≤ 15cm]</t>
        </is>
      </c>
      <c r="F37" s="106" t="n">
        <v>1</v>
      </c>
      <c r="G37" s="259" t="n">
        <v>100000</v>
      </c>
      <c r="H37" s="93">
        <f>G38*25%*75%</f>
        <v/>
      </c>
      <c r="I37" s="36" t="n"/>
    </row>
    <row r="38" hidden="1" ht="15.75" customFormat="1" customHeight="1" s="202">
      <c r="A38" s="92" t="n">
        <v>33</v>
      </c>
      <c r="B38" s="103" t="inlineStr">
        <is>
          <t>2026/05/24 14:05</t>
        </is>
      </c>
      <c r="C38" s="103" t="inlineStr">
        <is>
          <t>VŨ THÀNH ĐẠT</t>
        </is>
      </c>
      <c r="D38" s="103" t="inlineStr">
        <is>
          <t>01/02/1955</t>
        </is>
      </c>
      <c r="E38" s="103" t="inlineStr">
        <is>
          <t>Thay băng, cắt chỉ vết mổ [chiều dài ≤ 15cm]</t>
        </is>
      </c>
      <c r="F38" s="106" t="n">
        <v>1</v>
      </c>
      <c r="G38" s="259" t="n">
        <v>100000</v>
      </c>
      <c r="H38" s="93">
        <f>G39*25%*75%</f>
        <v/>
      </c>
      <c r="I38" s="36" t="n"/>
    </row>
    <row r="39" hidden="1" ht="15.75" customFormat="1" customHeight="1" s="202">
      <c r="A39" s="92" t="n">
        <v>34</v>
      </c>
      <c r="B39" s="103" t="inlineStr">
        <is>
          <t>2026/05/25 05:00</t>
        </is>
      </c>
      <c r="C39" s="103" t="inlineStr">
        <is>
          <t>KHUẤT HÙNG</t>
        </is>
      </c>
      <c r="D39" s="103" t="inlineStr">
        <is>
          <t>01/01/1948</t>
        </is>
      </c>
      <c r="E39" s="103" t="inlineStr">
        <is>
          <t>Thay băng, cắt chỉ vết mổ [chiều dài ≤ 15cm]</t>
        </is>
      </c>
      <c r="F39" s="106" t="n">
        <v>1</v>
      </c>
      <c r="G39" s="259" t="n">
        <v>100000</v>
      </c>
      <c r="H39" s="93">
        <f>G40*25%*75%</f>
        <v/>
      </c>
      <c r="I39" s="36" t="n"/>
    </row>
    <row r="40" hidden="1" ht="15.75" customFormat="1" customHeight="1" s="202">
      <c r="A40" s="92" t="n">
        <v>35</v>
      </c>
      <c r="B40" s="103" t="inlineStr">
        <is>
          <t>2026/05/25 05:00</t>
        </is>
      </c>
      <c r="C40" s="103" t="inlineStr">
        <is>
          <t>NGUYỄN THỊ BÉ TƯ</t>
        </is>
      </c>
      <c r="D40" s="103" t="inlineStr">
        <is>
          <t>01/01/1967</t>
        </is>
      </c>
      <c r="E40" s="103" t="inlineStr">
        <is>
          <t>Thay băng, cắt chỉ vết mổ [chiều dài ≤ 15cm]</t>
        </is>
      </c>
      <c r="F40" s="106" t="n">
        <v>1</v>
      </c>
      <c r="G40" s="259" t="n">
        <v>100000</v>
      </c>
      <c r="H40" s="93">
        <f>G41*25%*75%</f>
        <v/>
      </c>
      <c r="I40" s="36" t="n"/>
    </row>
    <row r="41" hidden="1" ht="15.75" customFormat="1" customHeight="1" s="202">
      <c r="A41" s="92" t="n">
        <v>36</v>
      </c>
      <c r="B41" s="103" t="inlineStr">
        <is>
          <t>2026/05/25 05:00</t>
        </is>
      </c>
      <c r="C41" s="103" t="inlineStr">
        <is>
          <t>TRẦN VĂN XIÊN</t>
        </is>
      </c>
      <c r="D41" s="103" t="inlineStr">
        <is>
          <t>01/01/1964</t>
        </is>
      </c>
      <c r="E41" s="103" t="inlineStr">
        <is>
          <t>Thay băng, cắt chỉ vết mổ [chiều dài ≤ 15cm]</t>
        </is>
      </c>
      <c r="F41" s="106" t="n">
        <v>1</v>
      </c>
      <c r="G41" s="259" t="n">
        <v>100000</v>
      </c>
      <c r="H41" s="93">
        <f>G42*25%*75%</f>
        <v/>
      </c>
      <c r="I41" s="36" t="n"/>
    </row>
    <row r="42" hidden="1" ht="15.75" customFormat="1" customHeight="1" s="202">
      <c r="A42" s="92" t="n">
        <v>37</v>
      </c>
      <c r="B42" s="103" t="inlineStr">
        <is>
          <t>2026/05/25 05:00</t>
        </is>
      </c>
      <c r="C42" s="103" t="inlineStr">
        <is>
          <t>VŨ THÀNH ĐẠT</t>
        </is>
      </c>
      <c r="D42" s="103" t="inlineStr">
        <is>
          <t>01/02/1955</t>
        </is>
      </c>
      <c r="E42" s="103" t="inlineStr">
        <is>
          <t>Thay băng, cắt chỉ vết mổ [chiều dài ≤ 15cm]</t>
        </is>
      </c>
      <c r="F42" s="106" t="n">
        <v>1</v>
      </c>
      <c r="G42" s="259" t="n">
        <v>100000</v>
      </c>
      <c r="H42" s="93">
        <f>G43*25%*75%</f>
        <v/>
      </c>
      <c r="I42" s="36" t="n"/>
    </row>
    <row r="43" hidden="1" ht="15.75" customFormat="1" customHeight="1" s="202">
      <c r="A43" s="92" t="n">
        <v>38</v>
      </c>
      <c r="B43" s="103" t="inlineStr">
        <is>
          <t>2026/05/25 07:00</t>
        </is>
      </c>
      <c r="C43" s="103" t="inlineStr">
        <is>
          <t>NGUYỄN THỊ ĐIỀN</t>
        </is>
      </c>
      <c r="D43" s="103" t="inlineStr">
        <is>
          <t>01/01/1963</t>
        </is>
      </c>
      <c r="E43" s="103" t="inlineStr">
        <is>
          <t>Thay băng, cắt chỉ vết mổ [chiều dài ≤ 15cm]</t>
        </is>
      </c>
      <c r="F43" s="106" t="n">
        <v>1</v>
      </c>
      <c r="G43" s="259" t="n">
        <v>100000</v>
      </c>
      <c r="H43" s="93">
        <f>G44*25%*75%</f>
        <v/>
      </c>
      <c r="I43" s="36" t="n"/>
    </row>
    <row r="44" hidden="1" ht="15.75" customFormat="1" customHeight="1" s="202">
      <c r="A44" s="92" t="n">
        <v>39</v>
      </c>
      <c r="B44" s="103" t="inlineStr">
        <is>
          <t>2026/05/25 07:40</t>
        </is>
      </c>
      <c r="C44" s="103" t="inlineStr">
        <is>
          <t>NGUYỄN THỊ CHUỐI</t>
        </is>
      </c>
      <c r="D44" s="103" t="inlineStr">
        <is>
          <t>06/08/1952</t>
        </is>
      </c>
      <c r="E44" s="103" t="inlineStr">
        <is>
          <t>Thay băng, cắt chỉ vết mổ [chiều dài ≤ 15cm]</t>
        </is>
      </c>
      <c r="F44" s="106" t="n">
        <v>1</v>
      </c>
      <c r="G44" s="259" t="n">
        <v>100000</v>
      </c>
      <c r="H44" s="93">
        <f>G45*25%*75%</f>
        <v/>
      </c>
      <c r="I44" s="36" t="n"/>
    </row>
    <row r="45" hidden="1" ht="15.75" customFormat="1" customHeight="1" s="202">
      <c r="A45" s="92" t="n">
        <v>40</v>
      </c>
      <c r="B45" s="103" t="inlineStr">
        <is>
          <t>2026/05/26 05:00</t>
        </is>
      </c>
      <c r="C45" s="103" t="inlineStr">
        <is>
          <t>VŨ THÀNH ĐẠT</t>
        </is>
      </c>
      <c r="D45" s="103" t="inlineStr">
        <is>
          <t>01/02/1955</t>
        </is>
      </c>
      <c r="E45" s="103" t="inlineStr">
        <is>
          <t>Thay băng, cắt chỉ vết mổ [chiều dài ≤ 15cm]</t>
        </is>
      </c>
      <c r="F45" s="106" t="n">
        <v>1</v>
      </c>
      <c r="G45" s="259" t="n">
        <v>100000</v>
      </c>
      <c r="H45" s="93">
        <f>G46*25%*75%</f>
        <v/>
      </c>
      <c r="I45" s="36" t="n"/>
    </row>
    <row r="46" hidden="1" ht="15.75" customFormat="1" customHeight="1" s="202">
      <c r="A46" s="92" t="n">
        <v>41</v>
      </c>
      <c r="B46" s="103" t="inlineStr">
        <is>
          <t>2026/05/26 06:20</t>
        </is>
      </c>
      <c r="C46" s="103" t="inlineStr">
        <is>
          <t>NGUYỄN THỊ BÉ TƯ</t>
        </is>
      </c>
      <c r="D46" s="103" t="inlineStr">
        <is>
          <t>01/01/1967</t>
        </is>
      </c>
      <c r="E46" s="103" t="inlineStr">
        <is>
          <t>Thay băng, cắt chỉ vết mổ [chiều dài ≤ 15cm]</t>
        </is>
      </c>
      <c r="F46" s="106" t="n">
        <v>1</v>
      </c>
      <c r="G46" s="259" t="n">
        <v>100000</v>
      </c>
      <c r="H46" s="93">
        <f>G47*25%*75%</f>
        <v/>
      </c>
      <c r="I46" s="36" t="n"/>
    </row>
    <row r="47" hidden="1" ht="15.75" customFormat="1" customHeight="1" s="202">
      <c r="A47" s="92" t="n">
        <v>42</v>
      </c>
      <c r="B47" s="103" t="inlineStr">
        <is>
          <t>2026/05/26 07:00</t>
        </is>
      </c>
      <c r="C47" s="103" t="inlineStr">
        <is>
          <t>NGUYỄN THỊ LÝ</t>
        </is>
      </c>
      <c r="D47" s="103" t="inlineStr">
        <is>
          <t>01/01/1944</t>
        </is>
      </c>
      <c r="E47" s="103" t="inlineStr">
        <is>
          <t>Thay băng, cắt chỉ vết mổ [chiều dài ≤ 15cm]</t>
        </is>
      </c>
      <c r="F47" s="106" t="n">
        <v>1</v>
      </c>
      <c r="G47" s="259" t="n">
        <v>100000</v>
      </c>
      <c r="H47" s="93">
        <f>G48*25%*75%</f>
        <v/>
      </c>
      <c r="I47" s="36" t="n"/>
    </row>
    <row r="48" hidden="1" ht="15.75" customFormat="1" customHeight="1" s="202">
      <c r="A48" s="92" t="n">
        <v>43</v>
      </c>
      <c r="B48" s="103" t="inlineStr">
        <is>
          <t>2026/05/26 07:00</t>
        </is>
      </c>
      <c r="C48" s="103" t="inlineStr">
        <is>
          <t>NGUYỄN THỊ ĐIỀN</t>
        </is>
      </c>
      <c r="D48" s="103" t="inlineStr">
        <is>
          <t>01/01/1963</t>
        </is>
      </c>
      <c r="E48" s="103" t="inlineStr">
        <is>
          <t>Thay băng, cắt chỉ vết mổ [chiều dài ≤ 15cm]</t>
        </is>
      </c>
      <c r="F48" s="106" t="n">
        <v>1</v>
      </c>
      <c r="G48" s="259" t="n">
        <v>100000</v>
      </c>
      <c r="H48" s="93">
        <f>G49*25%*75%</f>
        <v/>
      </c>
      <c r="I48" s="36" t="n"/>
    </row>
    <row r="49" hidden="1" ht="15.75" customFormat="1" customHeight="1" s="202">
      <c r="A49" s="92" t="n">
        <v>44</v>
      </c>
      <c r="B49" s="103" t="inlineStr">
        <is>
          <t>2026/05/26 07:00</t>
        </is>
      </c>
      <c r="C49" s="103" t="inlineStr">
        <is>
          <t>TRẦN VĂN XIÊN</t>
        </is>
      </c>
      <c r="D49" s="103" t="inlineStr">
        <is>
          <t>01/01/1964</t>
        </is>
      </c>
      <c r="E49" s="103" t="inlineStr">
        <is>
          <t>Thay băng, cắt chỉ vết mổ [chiều dài ≤ 15cm]</t>
        </is>
      </c>
      <c r="F49" s="106" t="n">
        <v>1</v>
      </c>
      <c r="G49" s="259" t="n">
        <v>100000</v>
      </c>
      <c r="H49" s="93">
        <f>G50*25%*75%</f>
        <v/>
      </c>
      <c r="I49" s="36" t="n"/>
    </row>
    <row r="50" hidden="1" ht="15.75" customFormat="1" customHeight="1" s="202">
      <c r="A50" s="92" t="n">
        <v>45</v>
      </c>
      <c r="B50" s="103" t="inlineStr">
        <is>
          <t>2026/05/26 07:30</t>
        </is>
      </c>
      <c r="C50" s="103" t="inlineStr">
        <is>
          <t>VÕ VĂN BÉ BA</t>
        </is>
      </c>
      <c r="D50" s="103" t="inlineStr">
        <is>
          <t>12/12/1964</t>
        </is>
      </c>
      <c r="E50" s="103" t="inlineStr">
        <is>
          <t>Thay băng, cắt chỉ vết mổ [chiều dài ≤ 15cm]</t>
        </is>
      </c>
      <c r="F50" s="106" t="n">
        <v>1</v>
      </c>
      <c r="G50" s="259" t="n">
        <v>100000</v>
      </c>
      <c r="H50" s="93">
        <f>G51*25%*75%</f>
        <v/>
      </c>
      <c r="I50" s="36" t="n"/>
    </row>
    <row r="51" hidden="1" ht="15.75" customFormat="1" customHeight="1" s="202">
      <c r="A51" s="92" t="n">
        <v>46</v>
      </c>
      <c r="B51" s="103" t="inlineStr">
        <is>
          <t>2026/05/27 05:00</t>
        </is>
      </c>
      <c r="C51" s="103" t="inlineStr">
        <is>
          <t>NGUYỄN THỊ CHUỐI</t>
        </is>
      </c>
      <c r="D51" s="103" t="inlineStr">
        <is>
          <t>06/08/1952</t>
        </is>
      </c>
      <c r="E51" s="103" t="inlineStr">
        <is>
          <t>Thay băng, cắt chỉ vết mổ [chiều dài ≤ 15cm]</t>
        </is>
      </c>
      <c r="F51" s="106" t="n">
        <v>1</v>
      </c>
      <c r="G51" s="259" t="n">
        <v>100000</v>
      </c>
      <c r="H51" s="93">
        <f>G52*25%*75%</f>
        <v/>
      </c>
      <c r="I51" s="36" t="n"/>
    </row>
    <row r="52" hidden="1" ht="15.75" customFormat="1" customHeight="1" s="202">
      <c r="A52" s="92" t="n">
        <v>47</v>
      </c>
      <c r="B52" s="103" t="inlineStr">
        <is>
          <t>2026/05/27 05:00</t>
        </is>
      </c>
      <c r="C52" s="103" t="inlineStr">
        <is>
          <t>VŨ THÀNH ĐẠT</t>
        </is>
      </c>
      <c r="D52" s="103" t="inlineStr">
        <is>
          <t>01/02/1955</t>
        </is>
      </c>
      <c r="E52" s="103" t="inlineStr">
        <is>
          <t>Thay băng, cắt chỉ vết mổ [chiều dài ≤ 15cm]</t>
        </is>
      </c>
      <c r="F52" s="106" t="n">
        <v>1</v>
      </c>
      <c r="G52" s="259" t="n">
        <v>100000</v>
      </c>
      <c r="H52" s="93">
        <f>G53*25%*75%</f>
        <v/>
      </c>
      <c r="I52" s="36" t="n"/>
    </row>
    <row r="53" hidden="1" ht="15.75" customFormat="1" customHeight="1" s="202">
      <c r="A53" s="92" t="n">
        <v>48</v>
      </c>
      <c r="B53" s="103" t="inlineStr">
        <is>
          <t>2026/05/27 06:15</t>
        </is>
      </c>
      <c r="C53" s="103" t="inlineStr">
        <is>
          <t>NGUYỄN THỊ BÉ TƯ</t>
        </is>
      </c>
      <c r="D53" s="103" t="inlineStr">
        <is>
          <t>01/01/1967</t>
        </is>
      </c>
      <c r="E53" s="103" t="inlineStr">
        <is>
          <t>Thay băng, cắt chỉ vết mổ [chiều dài ≤ 15cm]</t>
        </is>
      </c>
      <c r="F53" s="106" t="n">
        <v>1</v>
      </c>
      <c r="G53" s="259" t="n">
        <v>100000</v>
      </c>
      <c r="H53" s="93">
        <f>G54*25%*75%</f>
        <v/>
      </c>
      <c r="I53" s="36" t="n"/>
    </row>
    <row r="54" hidden="1" ht="15.75" customFormat="1" customHeight="1" s="202">
      <c r="A54" s="92" t="n">
        <v>49</v>
      </c>
      <c r="B54" s="103" t="inlineStr">
        <is>
          <t>2026/05/27 07:00</t>
        </is>
      </c>
      <c r="C54" s="103" t="inlineStr">
        <is>
          <t>HUỲNH THANH HÙNG</t>
        </is>
      </c>
      <c r="D54" s="103" t="inlineStr">
        <is>
          <t>01/01/1945</t>
        </is>
      </c>
      <c r="E54" s="103" t="inlineStr">
        <is>
          <t>Thay băng, cắt chỉ vết mổ [chiều dài ≤ 15cm]</t>
        </is>
      </c>
      <c r="F54" s="106" t="n">
        <v>1</v>
      </c>
      <c r="G54" s="259" t="n">
        <v>100000</v>
      </c>
      <c r="H54" s="93">
        <f>G55*25%*75%</f>
        <v/>
      </c>
      <c r="I54" s="36" t="n"/>
    </row>
    <row r="55" hidden="1" ht="15.75" customFormat="1" customHeight="1" s="202">
      <c r="A55" s="92" t="n">
        <v>50</v>
      </c>
      <c r="B55" s="103" t="inlineStr">
        <is>
          <t>2026/05/27 07:00</t>
        </is>
      </c>
      <c r="C55" s="103" t="inlineStr">
        <is>
          <t>HỒ THANH VŨ</t>
        </is>
      </c>
      <c r="D55" s="103" t="inlineStr">
        <is>
          <t>26/07/1982</t>
        </is>
      </c>
      <c r="E55" s="103" t="inlineStr">
        <is>
          <t>Thay băng, cắt chỉ vết mổ [chiều dài ≤ 15cm]</t>
        </is>
      </c>
      <c r="F55" s="106" t="n">
        <v>1</v>
      </c>
      <c r="G55" s="259" t="n">
        <v>100000</v>
      </c>
      <c r="H55" s="93">
        <f>G56*25%*75%</f>
        <v/>
      </c>
      <c r="I55" s="36" t="n"/>
    </row>
    <row r="56" hidden="1" ht="15.75" customFormat="1" customHeight="1" s="202">
      <c r="A56" s="92" t="n">
        <v>51</v>
      </c>
      <c r="B56" s="103" t="inlineStr">
        <is>
          <t>2026/05/27 07:00</t>
        </is>
      </c>
      <c r="C56" s="103" t="inlineStr">
        <is>
          <t>KIM THANH ĐẠT</t>
        </is>
      </c>
      <c r="D56" s="103" t="inlineStr">
        <is>
          <t>29/12/2007</t>
        </is>
      </c>
      <c r="E56" s="103" t="inlineStr">
        <is>
          <t>Thay băng, cắt chỉ vết mổ [chiều dài ≤ 15cm]</t>
        </is>
      </c>
      <c r="F56" s="106" t="n">
        <v>1</v>
      </c>
      <c r="G56" s="259" t="n">
        <v>100000</v>
      </c>
      <c r="H56" s="93">
        <f>G57*25%*75%</f>
        <v/>
      </c>
      <c r="I56" s="36" t="n"/>
    </row>
    <row r="57" hidden="1" ht="15.75" customFormat="1" customHeight="1" s="202">
      <c r="A57" s="92" t="n">
        <v>52</v>
      </c>
      <c r="B57" s="103" t="inlineStr">
        <is>
          <t>2026/05/27 07:00</t>
        </is>
      </c>
      <c r="C57" s="103" t="inlineStr">
        <is>
          <t>MAI THÀNH DƯƠNG</t>
        </is>
      </c>
      <c r="D57" s="103" t="inlineStr">
        <is>
          <t>10/04/1964</t>
        </is>
      </c>
      <c r="E57" s="103" t="inlineStr">
        <is>
          <t>Thay băng, cắt chỉ vết mổ [chiều dài ≤ 15cm]</t>
        </is>
      </c>
      <c r="F57" s="106" t="n">
        <v>1</v>
      </c>
      <c r="G57" s="259" t="n">
        <v>100000</v>
      </c>
      <c r="H57" s="93">
        <f>G58*25%*75%</f>
        <v/>
      </c>
      <c r="I57" s="36" t="n"/>
    </row>
    <row r="58" hidden="1" ht="15.75" customFormat="1" customHeight="1" s="202">
      <c r="A58" s="92" t="n">
        <v>53</v>
      </c>
      <c r="B58" s="103" t="inlineStr">
        <is>
          <t>2026/05/27 07:00</t>
        </is>
      </c>
      <c r="C58" s="103" t="inlineStr">
        <is>
          <t>NGUYỄN THỊ LÝ</t>
        </is>
      </c>
      <c r="D58" s="103" t="inlineStr">
        <is>
          <t>01/01/1944</t>
        </is>
      </c>
      <c r="E58" s="103" t="inlineStr">
        <is>
          <t>Thay băng, cắt chỉ vết mổ [chiều dài ≤ 15cm]</t>
        </is>
      </c>
      <c r="F58" s="106" t="n">
        <v>1</v>
      </c>
      <c r="G58" s="259" t="n">
        <v>100000</v>
      </c>
      <c r="H58" s="93">
        <f>G59*25%*75%</f>
        <v/>
      </c>
      <c r="I58" s="36" t="n"/>
    </row>
    <row r="59" hidden="1" ht="15.75" customFormat="1" customHeight="1" s="202">
      <c r="A59" s="92" t="n">
        <v>54</v>
      </c>
      <c r="B59" s="103" t="inlineStr">
        <is>
          <t>2026/05/27 07:00</t>
        </is>
      </c>
      <c r="C59" s="103" t="inlineStr">
        <is>
          <t>NGUYỄN THỊ ĐIỀN</t>
        </is>
      </c>
      <c r="D59" s="103" t="inlineStr">
        <is>
          <t>01/01/1963</t>
        </is>
      </c>
      <c r="E59" s="103" t="inlineStr">
        <is>
          <t>Thay băng, cắt chỉ vết mổ [chiều dài ≤ 15cm]</t>
        </is>
      </c>
      <c r="F59" s="106" t="n">
        <v>1</v>
      </c>
      <c r="G59" s="259" t="n">
        <v>100000</v>
      </c>
      <c r="H59" s="93">
        <f>G60*25%*75%</f>
        <v/>
      </c>
      <c r="I59" s="36" t="n"/>
    </row>
    <row r="60" hidden="1" ht="15.75" customFormat="1" customHeight="1" s="202">
      <c r="A60" s="92" t="n">
        <v>55</v>
      </c>
      <c r="B60" s="103" t="inlineStr">
        <is>
          <t>2026/05/27 07:00</t>
        </is>
      </c>
      <c r="C60" s="103" t="inlineStr">
        <is>
          <t>PHAN THỊ NỠ</t>
        </is>
      </c>
      <c r="D60" s="103" t="inlineStr">
        <is>
          <t>01/01/1957</t>
        </is>
      </c>
      <c r="E60" s="103" t="inlineStr">
        <is>
          <t>Thay băng, cắt chỉ vết mổ [chiều dài ≤ 15cm]</t>
        </is>
      </c>
      <c r="F60" s="106" t="n">
        <v>1</v>
      </c>
      <c r="G60" s="259" t="n">
        <v>100000</v>
      </c>
      <c r="H60" s="93">
        <f>G61*25%*75%</f>
        <v/>
      </c>
      <c r="I60" s="36" t="n"/>
    </row>
    <row r="61" hidden="1" ht="15.75" customFormat="1" customHeight="1" s="202">
      <c r="A61" s="92" t="n">
        <v>56</v>
      </c>
      <c r="B61" s="103" t="inlineStr">
        <is>
          <t>2026/05/27 07:30</t>
        </is>
      </c>
      <c r="C61" s="103" t="inlineStr">
        <is>
          <t>VÕ VĂN BÉ BA</t>
        </is>
      </c>
      <c r="D61" s="103" t="inlineStr">
        <is>
          <t>12/12/1964</t>
        </is>
      </c>
      <c r="E61" s="103" t="inlineStr">
        <is>
          <t>Thay băng, cắt chỉ vết mổ [chiều dài ≤ 15cm]</t>
        </is>
      </c>
      <c r="F61" s="106" t="n">
        <v>1</v>
      </c>
      <c r="G61" s="259" t="n">
        <v>100000</v>
      </c>
      <c r="H61" s="93">
        <f>G62*25%*75%</f>
        <v/>
      </c>
      <c r="I61" s="36" t="n"/>
    </row>
    <row r="62" hidden="1" ht="15.75" customFormat="1" customHeight="1" s="202">
      <c r="A62" s="92" t="n">
        <v>57</v>
      </c>
      <c r="B62" s="103" t="inlineStr">
        <is>
          <t>2026/05/27 08:53</t>
        </is>
      </c>
      <c r="C62" s="103" t="inlineStr">
        <is>
          <t>NGUYỄN THỊ XUA</t>
        </is>
      </c>
      <c r="D62" s="103" t="inlineStr">
        <is>
          <t>01/01/1938</t>
        </is>
      </c>
      <c r="E62" s="103" t="inlineStr">
        <is>
          <t>Thay băng, cắt chỉ vết mổ [chiều dài ≤ 15cm]</t>
        </is>
      </c>
      <c r="F62" s="106" t="n">
        <v>1</v>
      </c>
      <c r="G62" s="259" t="n">
        <v>100000</v>
      </c>
      <c r="H62" s="93">
        <f>G63*25%*75%</f>
        <v/>
      </c>
      <c r="I62" s="36" t="n"/>
    </row>
    <row r="63" hidden="1" ht="15.75" customFormat="1" customHeight="1" s="202">
      <c r="A63" s="92" t="n">
        <v>58</v>
      </c>
      <c r="B63" s="103" t="inlineStr">
        <is>
          <t>2026/05/27 14:30</t>
        </is>
      </c>
      <c r="C63" s="103" t="inlineStr">
        <is>
          <t>TRẦN NGỌC ÁNH</t>
        </is>
      </c>
      <c r="D63" s="103" t="inlineStr">
        <is>
          <t>15/05/1961</t>
        </is>
      </c>
      <c r="E63" s="103" t="inlineStr">
        <is>
          <t>Thay băng, cắt chỉ vết mổ [chiều dài ≤ 15cm]</t>
        </is>
      </c>
      <c r="F63" s="106" t="n">
        <v>1</v>
      </c>
      <c r="G63" s="259" t="n">
        <v>100000</v>
      </c>
      <c r="H63" s="93">
        <f>G64*25%*75%</f>
        <v/>
      </c>
      <c r="I63" s="36" t="n"/>
    </row>
    <row r="64" hidden="1" ht="15.75" customFormat="1" customHeight="1" s="202">
      <c r="A64" s="92" t="n">
        <v>59</v>
      </c>
      <c r="B64" s="103" t="inlineStr">
        <is>
          <t>2026/05/28 05:00</t>
        </is>
      </c>
      <c r="C64" s="103" t="inlineStr">
        <is>
          <t>BÙI VĂN LONG</t>
        </is>
      </c>
      <c r="D64" s="103" t="inlineStr">
        <is>
          <t>21/10/1961</t>
        </is>
      </c>
      <c r="E64" s="103" t="inlineStr">
        <is>
          <t>Thay băng, cắt chỉ vết mổ [chiều dài ≤ 15cm]</t>
        </is>
      </c>
      <c r="F64" s="106" t="n">
        <v>1</v>
      </c>
      <c r="G64" s="259" t="n">
        <v>100000</v>
      </c>
      <c r="H64" s="93">
        <f>G65*25%*75%</f>
        <v/>
      </c>
      <c r="I64" s="36" t="n"/>
    </row>
    <row r="65" hidden="1" ht="15.75" customFormat="1" customHeight="1" s="202">
      <c r="A65" s="92" t="n">
        <v>60</v>
      </c>
      <c r="B65" s="103" t="inlineStr">
        <is>
          <t>2026/05/28 05:00</t>
        </is>
      </c>
      <c r="C65" s="103" t="inlineStr">
        <is>
          <t>VŨ THÀNH ĐẠT</t>
        </is>
      </c>
      <c r="D65" s="103" t="inlineStr">
        <is>
          <t>01/02/1955</t>
        </is>
      </c>
      <c r="E65" s="103" t="inlineStr">
        <is>
          <t>Thay băng, cắt chỉ vết mổ [chiều dài ≤ 15cm]</t>
        </is>
      </c>
      <c r="F65" s="106" t="n">
        <v>1</v>
      </c>
      <c r="G65" s="259" t="n">
        <v>100000</v>
      </c>
      <c r="H65" s="93">
        <f>G66*25%*75%</f>
        <v/>
      </c>
      <c r="I65" s="36" t="n"/>
    </row>
    <row r="66" hidden="1" ht="15.75" customFormat="1" customHeight="1" s="202">
      <c r="A66" s="92" t="n">
        <v>61</v>
      </c>
      <c r="B66" s="103" t="inlineStr">
        <is>
          <t>2026/05/28 06:27</t>
        </is>
      </c>
      <c r="C66" s="103" t="inlineStr">
        <is>
          <t>NGUYỄN THỊ BÉ TƯ</t>
        </is>
      </c>
      <c r="D66" s="103" t="inlineStr">
        <is>
          <t>01/01/1967</t>
        </is>
      </c>
      <c r="E66" s="103" t="inlineStr">
        <is>
          <t>Thay băng, cắt chỉ vết mổ [chiều dài ≤ 15cm]</t>
        </is>
      </c>
      <c r="F66" s="106" t="n">
        <v>1</v>
      </c>
      <c r="G66" s="259" t="n">
        <v>100000</v>
      </c>
      <c r="H66" s="93">
        <f>G67*25%*75%</f>
        <v/>
      </c>
      <c r="I66" s="36" t="n"/>
    </row>
    <row r="67" hidden="1" ht="15.75" customFormat="1" customHeight="1" s="202">
      <c r="A67" s="92" t="n">
        <v>62</v>
      </c>
      <c r="B67" s="103" t="inlineStr">
        <is>
          <t>2026/05/28 07:00</t>
        </is>
      </c>
      <c r="C67" s="103" t="inlineStr">
        <is>
          <t>HỒ THANH VŨ</t>
        </is>
      </c>
      <c r="D67" s="103" t="inlineStr">
        <is>
          <t>26/07/1982</t>
        </is>
      </c>
      <c r="E67" s="103" t="inlineStr">
        <is>
          <t>Thay băng, cắt chỉ vết mổ [chiều dài ≤ 15cm]</t>
        </is>
      </c>
      <c r="F67" s="106" t="n">
        <v>1</v>
      </c>
      <c r="G67" s="259" t="n">
        <v>100000</v>
      </c>
      <c r="H67" s="93">
        <f>G68*25%*75%</f>
        <v/>
      </c>
      <c r="I67" s="36" t="n"/>
    </row>
    <row r="68" hidden="1" ht="15.75" customFormat="1" customHeight="1" s="202">
      <c r="A68" s="92" t="n">
        <v>63</v>
      </c>
      <c r="B68" s="103" t="inlineStr">
        <is>
          <t>2026/05/28 07:00</t>
        </is>
      </c>
      <c r="C68" s="103" t="inlineStr">
        <is>
          <t>KIM THANH ĐẠT</t>
        </is>
      </c>
      <c r="D68" s="103" t="inlineStr">
        <is>
          <t>29/12/2007</t>
        </is>
      </c>
      <c r="E68" s="103" t="inlineStr">
        <is>
          <t>Thay băng, cắt chỉ vết mổ [chiều dài ≤ 15cm]</t>
        </is>
      </c>
      <c r="F68" s="106" t="n">
        <v>1</v>
      </c>
      <c r="G68" s="259" t="n">
        <v>100000</v>
      </c>
      <c r="H68" s="93">
        <f>G69*25%*75%</f>
        <v/>
      </c>
      <c r="I68" s="36" t="n"/>
    </row>
    <row r="69" hidden="1" ht="15.75" customFormat="1" customHeight="1" s="202">
      <c r="A69" s="92" t="n">
        <v>64</v>
      </c>
      <c r="B69" s="103" t="inlineStr">
        <is>
          <t>2026/05/28 07:00</t>
        </is>
      </c>
      <c r="C69" s="103" t="inlineStr">
        <is>
          <t>LƯU TẤN PHÁT</t>
        </is>
      </c>
      <c r="D69" s="103" t="inlineStr">
        <is>
          <t>01/01/1954</t>
        </is>
      </c>
      <c r="E69" s="103" t="inlineStr">
        <is>
          <t>Thay băng, cắt chỉ vết mổ [chiều dài ≤ 15cm]</t>
        </is>
      </c>
      <c r="F69" s="106" t="n">
        <v>1</v>
      </c>
      <c r="G69" s="259" t="n">
        <v>100000</v>
      </c>
      <c r="H69" s="93">
        <f>G70*25%*75%</f>
        <v/>
      </c>
      <c r="I69" s="36" t="n"/>
    </row>
    <row r="70" hidden="1" ht="15.75" customFormat="1" customHeight="1" s="202">
      <c r="A70" s="92" t="n">
        <v>65</v>
      </c>
      <c r="B70" s="103" t="inlineStr">
        <is>
          <t>2026/05/28 07:00</t>
        </is>
      </c>
      <c r="C70" s="103" t="inlineStr">
        <is>
          <t>MAI THÀNH DƯƠNG</t>
        </is>
      </c>
      <c r="D70" s="103" t="inlineStr">
        <is>
          <t>10/04/1964</t>
        </is>
      </c>
      <c r="E70" s="103" t="inlineStr">
        <is>
          <t>Thay băng, cắt chỉ vết mổ [chiều dài ≤ 15cm]</t>
        </is>
      </c>
      <c r="F70" s="106" t="n">
        <v>1</v>
      </c>
      <c r="G70" s="259" t="n">
        <v>100000</v>
      </c>
      <c r="H70" s="93">
        <f>G71*25%*75%</f>
        <v/>
      </c>
      <c r="I70" s="36" t="n"/>
    </row>
    <row r="71" hidden="1" ht="15.75" customFormat="1" customHeight="1" s="202">
      <c r="A71" s="92" t="n">
        <v>66</v>
      </c>
      <c r="B71" s="103" t="inlineStr">
        <is>
          <t>2026/05/28 07:00</t>
        </is>
      </c>
      <c r="C71" s="103" t="inlineStr">
        <is>
          <t>NGUYỄN THỊ HẤN</t>
        </is>
      </c>
      <c r="D71" s="103" t="inlineStr">
        <is>
          <t>01/01/1959</t>
        </is>
      </c>
      <c r="E71" s="103" t="inlineStr">
        <is>
          <t>Thay băng, cắt chỉ vết mổ [chiều dài ≤ 15cm]</t>
        </is>
      </c>
      <c r="F71" s="106" t="n">
        <v>1</v>
      </c>
      <c r="G71" s="259" t="n">
        <v>100000</v>
      </c>
      <c r="H71" s="93">
        <f>G72*25%*75%</f>
        <v/>
      </c>
      <c r="I71" s="36" t="n"/>
    </row>
    <row r="72" hidden="1" ht="15.75" customFormat="1" customHeight="1" s="202">
      <c r="A72" s="92" t="n">
        <v>67</v>
      </c>
      <c r="B72" s="103" t="inlineStr">
        <is>
          <t>2026/05/28 07:00</t>
        </is>
      </c>
      <c r="C72" s="103" t="inlineStr">
        <is>
          <t>NGUYỄN THỊ LÝ</t>
        </is>
      </c>
      <c r="D72" s="103" t="inlineStr">
        <is>
          <t>01/01/1944</t>
        </is>
      </c>
      <c r="E72" s="103" t="inlineStr">
        <is>
          <t>Thay băng, cắt chỉ vết mổ [chiều dài ≤ 15cm]</t>
        </is>
      </c>
      <c r="F72" s="106" t="n">
        <v>1</v>
      </c>
      <c r="G72" s="259" t="n">
        <v>100000</v>
      </c>
      <c r="H72" s="93">
        <f>G73*25%*75%</f>
        <v/>
      </c>
      <c r="I72" s="36" t="n"/>
    </row>
    <row r="73" hidden="1" ht="15.75" customFormat="1" customHeight="1" s="202">
      <c r="A73" s="92" t="n">
        <v>68</v>
      </c>
      <c r="B73" s="103" t="inlineStr">
        <is>
          <t>2026/05/28 07:00</t>
        </is>
      </c>
      <c r="C73" s="103" t="inlineStr">
        <is>
          <t>NGUYỄN THỊ ĐIỀN</t>
        </is>
      </c>
      <c r="D73" s="103" t="inlineStr">
        <is>
          <t>01/01/1963</t>
        </is>
      </c>
      <c r="E73" s="103" t="inlineStr">
        <is>
          <t>Thay băng, cắt chỉ vết mổ [chiều dài ≤ 15cm]</t>
        </is>
      </c>
      <c r="F73" s="106" t="n">
        <v>1</v>
      </c>
      <c r="G73" s="259" t="n">
        <v>100000</v>
      </c>
      <c r="H73" s="93">
        <f>G74*25%*75%</f>
        <v/>
      </c>
      <c r="I73" s="36" t="n"/>
    </row>
    <row r="74" hidden="1" ht="15.75" customFormat="1" customHeight="1" s="202">
      <c r="A74" s="92" t="n">
        <v>69</v>
      </c>
      <c r="B74" s="103" t="inlineStr">
        <is>
          <t>2026/05/28 07:00</t>
        </is>
      </c>
      <c r="C74" s="103" t="inlineStr">
        <is>
          <t>NGUYỄN VĂN GẬP</t>
        </is>
      </c>
      <c r="D74" s="103" t="inlineStr">
        <is>
          <t>03/04/1952</t>
        </is>
      </c>
      <c r="E74" s="103" t="inlineStr">
        <is>
          <t>Thay băng, cắt chỉ vết mổ [chiều dài ≤ 15cm]</t>
        </is>
      </c>
      <c r="F74" s="106" t="n">
        <v>1</v>
      </c>
      <c r="G74" s="259" t="n">
        <v>100000</v>
      </c>
      <c r="H74" s="93">
        <f>G75*25%*75%</f>
        <v/>
      </c>
      <c r="I74" s="36" t="n"/>
    </row>
    <row r="75" hidden="1" ht="15.75" customFormat="1" customHeight="1" s="202">
      <c r="A75" s="92" t="n">
        <v>70</v>
      </c>
      <c r="B75" s="103" t="inlineStr">
        <is>
          <t>2026/05/28 07:00</t>
        </is>
      </c>
      <c r="C75" s="103" t="inlineStr">
        <is>
          <t>PHAN THỊ NỠ</t>
        </is>
      </c>
      <c r="D75" s="103" t="inlineStr">
        <is>
          <t>01/01/1957</t>
        </is>
      </c>
      <c r="E75" s="103" t="inlineStr">
        <is>
          <t>Thay băng, cắt chỉ vết mổ [chiều dài ≤ 15cm]</t>
        </is>
      </c>
      <c r="F75" s="106" t="n">
        <v>1</v>
      </c>
      <c r="G75" s="259" t="n">
        <v>100000</v>
      </c>
      <c r="H75" s="93">
        <f>G76*25%*75%</f>
        <v/>
      </c>
      <c r="I75" s="36" t="n"/>
    </row>
    <row r="76" hidden="1" ht="15.75" customFormat="1" customHeight="1" s="202">
      <c r="A76" s="92" t="n">
        <v>71</v>
      </c>
      <c r="B76" s="103" t="inlineStr">
        <is>
          <t>2026/05/28 07:00</t>
        </is>
      </c>
      <c r="C76" s="103" t="inlineStr">
        <is>
          <t>TRẦN VĂN XIÊN</t>
        </is>
      </c>
      <c r="D76" s="103" t="inlineStr">
        <is>
          <t>01/01/1964</t>
        </is>
      </c>
      <c r="E76" s="103" t="inlineStr">
        <is>
          <t>Thay băng, cắt chỉ vết mổ [chiều dài ≤ 15cm]</t>
        </is>
      </c>
      <c r="F76" s="106" t="n">
        <v>1</v>
      </c>
      <c r="G76" s="259" t="n">
        <v>100000</v>
      </c>
      <c r="H76" s="93">
        <f>G77*25%*75%</f>
        <v/>
      </c>
      <c r="I76" s="36" t="n"/>
    </row>
    <row r="77" hidden="1" ht="15.75" customFormat="1" customHeight="1" s="202">
      <c r="A77" s="92" t="n">
        <v>72</v>
      </c>
      <c r="B77" s="103" t="inlineStr">
        <is>
          <t>2026/05/28 07:30</t>
        </is>
      </c>
      <c r="C77" s="103" t="inlineStr">
        <is>
          <t>VÕ VĂN BÉ BA</t>
        </is>
      </c>
      <c r="D77" s="103" t="inlineStr">
        <is>
          <t>12/12/1964</t>
        </is>
      </c>
      <c r="E77" s="103" t="inlineStr">
        <is>
          <t>Thay băng, cắt chỉ vết mổ [chiều dài ≤ 15cm]</t>
        </is>
      </c>
      <c r="F77" s="106" t="n">
        <v>1</v>
      </c>
      <c r="G77" s="259" t="n">
        <v>100000</v>
      </c>
      <c r="H77" s="93">
        <f>G78*25%*75%</f>
        <v/>
      </c>
      <c r="I77" s="36" t="n"/>
    </row>
    <row r="78" hidden="1" ht="15.75" customFormat="1" customHeight="1" s="202">
      <c r="A78" s="92" t="n">
        <v>73</v>
      </c>
      <c r="B78" s="103" t="inlineStr">
        <is>
          <t>2026/05/28 07:35</t>
        </is>
      </c>
      <c r="C78" s="103" t="inlineStr">
        <is>
          <t>TRẦN NGỌC ÁNH</t>
        </is>
      </c>
      <c r="D78" s="103" t="inlineStr">
        <is>
          <t>15/05/1961</t>
        </is>
      </c>
      <c r="E78" s="103" t="inlineStr">
        <is>
          <t>Thay băng, cắt chỉ vết mổ [chiều dài ≤ 15cm]</t>
        </is>
      </c>
      <c r="F78" s="106" t="n">
        <v>1</v>
      </c>
      <c r="G78" s="259" t="n">
        <v>100000</v>
      </c>
      <c r="H78" s="93">
        <f>G79*25%*75%</f>
        <v/>
      </c>
      <c r="I78" s="36" t="n"/>
    </row>
    <row r="79" hidden="1" ht="15.75" customFormat="1" customHeight="1" s="202">
      <c r="A79" s="92" t="n">
        <v>74</v>
      </c>
      <c r="B79" s="103" t="inlineStr">
        <is>
          <t>2026/05/28 07:40</t>
        </is>
      </c>
      <c r="C79" s="103" t="inlineStr">
        <is>
          <t>NGUYỄN THỊ CHUỐI</t>
        </is>
      </c>
      <c r="D79" s="103" t="inlineStr">
        <is>
          <t>06/08/1952</t>
        </is>
      </c>
      <c r="E79" s="103" t="inlineStr">
        <is>
          <t>Thay băng, cắt chỉ vết mổ [chiều dài ≤ 15cm]</t>
        </is>
      </c>
      <c r="F79" s="106" t="n">
        <v>1</v>
      </c>
      <c r="G79" s="259" t="n">
        <v>100000</v>
      </c>
      <c r="H79" s="93">
        <f>G80*25%*75%</f>
        <v/>
      </c>
      <c r="I79" s="36" t="n"/>
    </row>
    <row r="80" hidden="1" ht="15.75" customFormat="1" customHeight="1" s="202">
      <c r="A80" s="92" t="n">
        <v>75</v>
      </c>
      <c r="B80" s="103" t="inlineStr">
        <is>
          <t>2026/05/28 18:54</t>
        </is>
      </c>
      <c r="C80" s="103" t="inlineStr">
        <is>
          <t>TỐNG MỸ DUNG</t>
        </is>
      </c>
      <c r="D80" s="103" t="inlineStr">
        <is>
          <t>03/04/2009</t>
        </is>
      </c>
      <c r="E80" s="103" t="inlineStr">
        <is>
          <t>Thay băng, cắt chỉ vết mổ [chiều dài ≤ 15cm]</t>
        </is>
      </c>
      <c r="F80" s="106" t="n">
        <v>1</v>
      </c>
      <c r="G80" s="259" t="n">
        <v>100000</v>
      </c>
      <c r="H80" s="93">
        <f>G81*25%*75%</f>
        <v/>
      </c>
      <c r="I80" s="36" t="n"/>
    </row>
    <row r="81" hidden="1" ht="15.75" customFormat="1" customHeight="1" s="202">
      <c r="A81" s="92" t="n">
        <v>76</v>
      </c>
      <c r="B81" s="103" t="inlineStr">
        <is>
          <t>2026/05/28 21:04</t>
        </is>
      </c>
      <c r="C81" s="103" t="inlineStr">
        <is>
          <t>TỐNG MỸ DUNG</t>
        </is>
      </c>
      <c r="D81" s="103" t="inlineStr">
        <is>
          <t>03/04/2009</t>
        </is>
      </c>
      <c r="E81" s="103" t="inlineStr">
        <is>
          <t>Đặt sonde bàng quang</t>
        </is>
      </c>
      <c r="F81" s="106" t="n">
        <v>1</v>
      </c>
      <c r="G81" s="259" t="n">
        <v>101800</v>
      </c>
      <c r="H81" s="93">
        <f>G82*25%*75%</f>
        <v/>
      </c>
      <c r="I81" s="36" t="n"/>
    </row>
    <row r="82" hidden="1" ht="15.75" customFormat="1" customHeight="1" s="202">
      <c r="A82" s="92" t="n">
        <v>77</v>
      </c>
      <c r="B82" s="103" t="inlineStr">
        <is>
          <t>2026/05/29 05:00</t>
        </is>
      </c>
      <c r="C82" s="103" t="inlineStr">
        <is>
          <t>BÙI VĂN LONG</t>
        </is>
      </c>
      <c r="D82" s="103" t="inlineStr">
        <is>
          <t>21/10/1961</t>
        </is>
      </c>
      <c r="E82" s="103" t="inlineStr">
        <is>
          <t>Thay băng, cắt chỉ vết mổ [chiều dài ≤ 15cm]</t>
        </is>
      </c>
      <c r="F82" s="106" t="n">
        <v>1</v>
      </c>
      <c r="G82" s="259" t="n">
        <v>100000</v>
      </c>
      <c r="H82" s="93">
        <f>G83*25%*75%</f>
        <v/>
      </c>
      <c r="I82" s="36" t="n"/>
    </row>
    <row r="83" hidden="1" ht="15.75" customFormat="1" customHeight="1" s="202">
      <c r="A83" s="92" t="n">
        <v>78</v>
      </c>
      <c r="B83" s="103" t="inlineStr">
        <is>
          <t>2026/05/29 05:00</t>
        </is>
      </c>
      <c r="C83" s="103" t="inlineStr">
        <is>
          <t>NGUYỄN VĂN GẬP</t>
        </is>
      </c>
      <c r="D83" s="103" t="inlineStr">
        <is>
          <t>03/04/1952</t>
        </is>
      </c>
      <c r="E83" s="103" t="inlineStr">
        <is>
          <t>Thay băng, cắt chỉ vết mổ [chiều dài ≤ 15cm]</t>
        </is>
      </c>
      <c r="F83" s="106" t="n">
        <v>1</v>
      </c>
      <c r="G83" s="259" t="n">
        <v>100000</v>
      </c>
      <c r="H83" s="93">
        <f>G84*25%*75%</f>
        <v/>
      </c>
      <c r="I83" s="36" t="n"/>
    </row>
    <row r="84" hidden="1" ht="15.75" customFormat="1" customHeight="1" s="202">
      <c r="A84" s="92" t="n">
        <v>79</v>
      </c>
      <c r="B84" s="103" t="inlineStr">
        <is>
          <t>2026/05/29 05:00</t>
        </is>
      </c>
      <c r="C84" s="103" t="inlineStr">
        <is>
          <t>VŨ THÀNH ĐẠT</t>
        </is>
      </c>
      <c r="D84" s="103" t="inlineStr">
        <is>
          <t>01/02/1955</t>
        </is>
      </c>
      <c r="E84" s="103" t="inlineStr">
        <is>
          <t>Thay băng, cắt chỉ vết mổ [chiều dài ≤ 15cm]</t>
        </is>
      </c>
      <c r="F84" s="106" t="n">
        <v>1</v>
      </c>
      <c r="G84" s="259" t="n">
        <v>100000</v>
      </c>
      <c r="H84" s="93">
        <f>G85*25%*75%</f>
        <v/>
      </c>
      <c r="I84" s="36" t="n"/>
    </row>
    <row r="85" hidden="1" ht="15.75" customFormat="1" customHeight="1" s="202">
      <c r="A85" s="92" t="n">
        <v>80</v>
      </c>
      <c r="B85" s="103" t="inlineStr">
        <is>
          <t>2026/05/29 06:00</t>
        </is>
      </c>
      <c r="C85" s="103" t="inlineStr">
        <is>
          <t>NGUYỄN THỊ BÉ TƯ</t>
        </is>
      </c>
      <c r="D85" s="103" t="inlineStr">
        <is>
          <t>01/01/1967</t>
        </is>
      </c>
      <c r="E85" s="103" t="inlineStr">
        <is>
          <t>Thay băng, cắt chỉ vết mổ [chiều dài ≤ 15cm]</t>
        </is>
      </c>
      <c r="F85" s="106" t="n">
        <v>1</v>
      </c>
      <c r="G85" s="259" t="n">
        <v>100000</v>
      </c>
      <c r="H85" s="93">
        <f>G86*25%*75%</f>
        <v/>
      </c>
      <c r="I85" s="36" t="n"/>
    </row>
    <row r="86" hidden="1" ht="15.75" customFormat="1" customHeight="1" s="202">
      <c r="A86" s="92" t="n">
        <v>81</v>
      </c>
      <c r="B86" s="103" t="inlineStr">
        <is>
          <t>2026/05/29 06:10</t>
        </is>
      </c>
      <c r="C86" s="103" t="inlineStr">
        <is>
          <t>HUỲNH THANH HÙNG</t>
        </is>
      </c>
      <c r="D86" s="103" t="inlineStr">
        <is>
          <t>01/01/1945</t>
        </is>
      </c>
      <c r="E86" s="103" t="inlineStr">
        <is>
          <t>Thay băng, cắt chỉ vết mổ [chiều dài ≤ 15cm]</t>
        </is>
      </c>
      <c r="F86" s="106" t="n">
        <v>1</v>
      </c>
      <c r="G86" s="259" t="n">
        <v>100000</v>
      </c>
      <c r="H86" s="93">
        <f>G87*25%*75%</f>
        <v/>
      </c>
      <c r="I86" s="36" t="n"/>
    </row>
    <row r="87" hidden="1" ht="15.75" customFormat="1" customHeight="1" s="202">
      <c r="A87" s="92" t="n">
        <v>82</v>
      </c>
      <c r="B87" s="103" t="inlineStr">
        <is>
          <t>2026/05/29 07:00</t>
        </is>
      </c>
      <c r="C87" s="103" t="inlineStr">
        <is>
          <t>DƯƠNG VĂN CHIẾN</t>
        </is>
      </c>
      <c r="D87" s="103" t="inlineStr">
        <is>
          <t>01/01/1949</t>
        </is>
      </c>
      <c r="E87" s="103" t="inlineStr">
        <is>
          <t>Thay băng, cắt chỉ vết mổ [chiều dài ≤ 15cm]</t>
        </is>
      </c>
      <c r="F87" s="106" t="n">
        <v>1</v>
      </c>
      <c r="G87" s="259" t="n">
        <v>100000</v>
      </c>
      <c r="H87" s="93">
        <f>G88*25%*75%</f>
        <v/>
      </c>
      <c r="I87" s="36" t="n"/>
    </row>
    <row r="88" hidden="1" ht="15.75" customFormat="1" customHeight="1" s="202">
      <c r="A88" s="92" t="n">
        <v>83</v>
      </c>
      <c r="B88" s="103" t="inlineStr">
        <is>
          <t>2026/05/29 07:00</t>
        </is>
      </c>
      <c r="C88" s="103" t="inlineStr">
        <is>
          <t>HỒ THANH VŨ</t>
        </is>
      </c>
      <c r="D88" s="103" t="inlineStr">
        <is>
          <t>26/07/1982</t>
        </is>
      </c>
      <c r="E88" s="103" t="inlineStr">
        <is>
          <t>Thay băng, cắt chỉ vết mổ [chiều dài ≤ 15cm]</t>
        </is>
      </c>
      <c r="F88" s="106" t="n">
        <v>1</v>
      </c>
      <c r="G88" s="259" t="n">
        <v>100000</v>
      </c>
      <c r="H88" s="93">
        <f>G89*25%*75%</f>
        <v/>
      </c>
      <c r="I88" s="36" t="n"/>
    </row>
    <row r="89" hidden="1" ht="15.75" customFormat="1" customHeight="1" s="202">
      <c r="A89" s="92" t="n">
        <v>84</v>
      </c>
      <c r="B89" s="103" t="inlineStr">
        <is>
          <t>2026/05/29 07:00</t>
        </is>
      </c>
      <c r="C89" s="103" t="inlineStr">
        <is>
          <t>KIM THANH ĐẠT</t>
        </is>
      </c>
      <c r="D89" s="103" t="inlineStr">
        <is>
          <t>29/12/2007</t>
        </is>
      </c>
      <c r="E89" s="103" t="inlineStr">
        <is>
          <t>Thay băng, cắt chỉ vết mổ [chiều dài ≤ 15cm]</t>
        </is>
      </c>
      <c r="F89" s="106" t="n">
        <v>1</v>
      </c>
      <c r="G89" s="259" t="n">
        <v>100000</v>
      </c>
      <c r="H89" s="93">
        <f>G90*25%*75%</f>
        <v/>
      </c>
      <c r="I89" s="36" t="n"/>
    </row>
    <row r="90" hidden="1" ht="15.75" customFormat="1" customHeight="1" s="202">
      <c r="A90" s="92" t="n">
        <v>85</v>
      </c>
      <c r="B90" s="103" t="inlineStr">
        <is>
          <t>2026/05/29 07:00</t>
        </is>
      </c>
      <c r="C90" s="103" t="inlineStr">
        <is>
          <t>LƯU TẤN PHÁT</t>
        </is>
      </c>
      <c r="D90" s="103" t="inlineStr">
        <is>
          <t>01/01/1954</t>
        </is>
      </c>
      <c r="E90" s="103" t="inlineStr">
        <is>
          <t>Thay băng, cắt chỉ vết mổ [chiều dài ≤ 15cm]</t>
        </is>
      </c>
      <c r="F90" s="106" t="n">
        <v>1</v>
      </c>
      <c r="G90" s="259" t="n">
        <v>100000</v>
      </c>
      <c r="H90" s="93">
        <f>G91*25%*75%</f>
        <v/>
      </c>
      <c r="I90" s="36" t="n"/>
    </row>
    <row r="91" hidden="1" ht="15.75" customFormat="1" customHeight="1" s="202">
      <c r="A91" s="92" t="n">
        <v>86</v>
      </c>
      <c r="B91" s="103" t="inlineStr">
        <is>
          <t>2026/05/29 07:00</t>
        </is>
      </c>
      <c r="C91" s="103" t="inlineStr">
        <is>
          <t>NGUYỄN THỊ CHUỐI</t>
        </is>
      </c>
      <c r="D91" s="103" t="inlineStr">
        <is>
          <t>06/08/1952</t>
        </is>
      </c>
      <c r="E91" s="103" t="inlineStr">
        <is>
          <t>Thay băng, cắt chỉ vết mổ [chiều dài ≤ 15cm]</t>
        </is>
      </c>
      <c r="F91" s="106" t="n">
        <v>1</v>
      </c>
      <c r="G91" s="259" t="n">
        <v>100000</v>
      </c>
      <c r="H91" s="93">
        <f>G92*25%*75%</f>
        <v/>
      </c>
      <c r="I91" s="36" t="n"/>
    </row>
    <row r="92" hidden="1" ht="15.75" customFormat="1" customHeight="1" s="202">
      <c r="A92" s="92" t="n">
        <v>87</v>
      </c>
      <c r="B92" s="103" t="inlineStr">
        <is>
          <t>2026/05/29 07:00</t>
        </is>
      </c>
      <c r="C92" s="103" t="inlineStr">
        <is>
          <t>NGUYỄN THỊ HẤN</t>
        </is>
      </c>
      <c r="D92" s="103" t="inlineStr">
        <is>
          <t>01/01/1959</t>
        </is>
      </c>
      <c r="E92" s="103" t="inlineStr">
        <is>
          <t>Thay băng, cắt chỉ vết mổ [chiều dài ≤ 15cm]</t>
        </is>
      </c>
      <c r="F92" s="106" t="n">
        <v>1</v>
      </c>
      <c r="G92" s="259" t="n">
        <v>100000</v>
      </c>
      <c r="H92" s="93">
        <f>G93*25%*75%</f>
        <v/>
      </c>
      <c r="I92" s="36" t="n"/>
    </row>
    <row r="93" hidden="1" ht="15.75" customFormat="1" customHeight="1" s="202">
      <c r="A93" s="92" t="n">
        <v>88</v>
      </c>
      <c r="B93" s="103" t="inlineStr">
        <is>
          <t>2026/05/29 07:00</t>
        </is>
      </c>
      <c r="C93" s="103" t="inlineStr">
        <is>
          <t>NGUYỄN THỊ LÝ</t>
        </is>
      </c>
      <c r="D93" s="103" t="inlineStr">
        <is>
          <t>01/01/1944</t>
        </is>
      </c>
      <c r="E93" s="103" t="inlineStr">
        <is>
          <t>Thay băng, cắt chỉ vết mổ [chiều dài ≤ 15cm]</t>
        </is>
      </c>
      <c r="F93" s="106" t="n">
        <v>1</v>
      </c>
      <c r="G93" s="259" t="n">
        <v>100000</v>
      </c>
      <c r="H93" s="93">
        <f>G94*25%*75%</f>
        <v/>
      </c>
      <c r="I93" s="36" t="n"/>
    </row>
    <row r="94" hidden="1" ht="15.75" customFormat="1" customHeight="1" s="202">
      <c r="A94" s="92" t="n">
        <v>89</v>
      </c>
      <c r="B94" s="103" t="inlineStr">
        <is>
          <t>2026/05/29 07:00</t>
        </is>
      </c>
      <c r="C94" s="103" t="inlineStr">
        <is>
          <t>NGUYỄN THỊ ĐIỀN</t>
        </is>
      </c>
      <c r="D94" s="103" t="inlineStr">
        <is>
          <t>01/01/1963</t>
        </is>
      </c>
      <c r="E94" s="103" t="inlineStr">
        <is>
          <t>Thay băng, cắt chỉ vết mổ [chiều dài ≤ 15cm]</t>
        </is>
      </c>
      <c r="F94" s="106" t="n">
        <v>1</v>
      </c>
      <c r="G94" s="259" t="n">
        <v>100000</v>
      </c>
      <c r="H94" s="93">
        <f>G95*25%*75%</f>
        <v/>
      </c>
      <c r="I94" s="36" t="n"/>
    </row>
    <row r="95" hidden="1" ht="15.75" customFormat="1" customHeight="1" s="202">
      <c r="A95" s="92" t="n">
        <v>90</v>
      </c>
      <c r="B95" s="103" t="inlineStr">
        <is>
          <t>2026/05/29 07:00</t>
        </is>
      </c>
      <c r="C95" s="103" t="inlineStr">
        <is>
          <t>PHAN THỊ NỠ</t>
        </is>
      </c>
      <c r="D95" s="103" t="inlineStr">
        <is>
          <t>01/01/1957</t>
        </is>
      </c>
      <c r="E95" s="103" t="inlineStr">
        <is>
          <t>Thay băng, cắt chỉ vết mổ [chiều dài ≤ 15cm]</t>
        </is>
      </c>
      <c r="F95" s="106" t="n">
        <v>1</v>
      </c>
      <c r="G95" s="259" t="n">
        <v>100000</v>
      </c>
      <c r="H95" s="93">
        <f>G96*25%*75%</f>
        <v/>
      </c>
      <c r="I95" s="36" t="n"/>
    </row>
    <row r="96" hidden="1" ht="15.75" customFormat="1" customHeight="1" s="202">
      <c r="A96" s="92" t="n">
        <v>91</v>
      </c>
      <c r="B96" s="103" t="inlineStr">
        <is>
          <t>2026/05/29 07:00</t>
        </is>
      </c>
      <c r="C96" s="103" t="inlineStr">
        <is>
          <t>TRẦN VĂN XIÊN</t>
        </is>
      </c>
      <c r="D96" s="103" t="inlineStr">
        <is>
          <t>01/01/1964</t>
        </is>
      </c>
      <c r="E96" s="103" t="inlineStr">
        <is>
          <t>Thay băng, cắt chỉ vết mổ [chiều dài ≤ 15cm]</t>
        </is>
      </c>
      <c r="F96" s="106" t="n">
        <v>1</v>
      </c>
      <c r="G96" s="259" t="n">
        <v>100000</v>
      </c>
      <c r="H96" s="93">
        <f>G97*25%*75%</f>
        <v/>
      </c>
      <c r="I96" s="36" t="n"/>
    </row>
    <row r="97" hidden="1" ht="15.75" customFormat="1" customHeight="1" s="202">
      <c r="A97" s="92" t="n">
        <v>92</v>
      </c>
      <c r="B97" s="103" t="inlineStr">
        <is>
          <t>2026/05/29 07:30</t>
        </is>
      </c>
      <c r="C97" s="103" t="inlineStr">
        <is>
          <t>VÕ VĂN BÉ BA</t>
        </is>
      </c>
      <c r="D97" s="103" t="inlineStr">
        <is>
          <t>12/12/1964</t>
        </is>
      </c>
      <c r="E97" s="103" t="inlineStr">
        <is>
          <t>Thay băng, cắt chỉ vết mổ [chiều dài ≤ 15cm]</t>
        </is>
      </c>
      <c r="F97" s="106" t="n">
        <v>1</v>
      </c>
      <c r="G97" s="259" t="n">
        <v>100000</v>
      </c>
      <c r="H97" s="93">
        <f>G98*25%*75%</f>
        <v/>
      </c>
      <c r="I97" s="36" t="n"/>
    </row>
    <row r="98" hidden="1" ht="15.75" customFormat="1" customHeight="1" s="202">
      <c r="A98" s="92" t="n">
        <v>93</v>
      </c>
      <c r="B98" s="103" t="inlineStr">
        <is>
          <t>2026/05/29 07:35</t>
        </is>
      </c>
      <c r="C98" s="103" t="inlineStr">
        <is>
          <t>TRƯƠNG BÉ LÀI</t>
        </is>
      </c>
      <c r="D98" s="103" t="inlineStr">
        <is>
          <t>01/01/1986</t>
        </is>
      </c>
      <c r="E98" s="103" t="inlineStr">
        <is>
          <t>Thay băng, cắt chỉ vết mổ [chiều dài ≤ 15cm]</t>
        </is>
      </c>
      <c r="F98" s="106" t="n">
        <v>1</v>
      </c>
      <c r="G98" s="259" t="n">
        <v>100000</v>
      </c>
      <c r="H98" s="93">
        <f>G99*25%*75%</f>
        <v/>
      </c>
      <c r="I98" s="36" t="n"/>
    </row>
    <row r="99" hidden="1" ht="15.75" customFormat="1" customHeight="1" s="202">
      <c r="A99" s="92" t="n">
        <v>94</v>
      </c>
      <c r="B99" s="103" t="inlineStr">
        <is>
          <t>2026/05/29 07:35</t>
        </is>
      </c>
      <c r="C99" s="103" t="inlineStr">
        <is>
          <t>TRƯƠNG BÉ LÀI</t>
        </is>
      </c>
      <c r="D99" s="103" t="inlineStr">
        <is>
          <t>01/01/1986</t>
        </is>
      </c>
      <c r="E99" s="103" t="inlineStr">
        <is>
          <t>Thay băng, cắt chỉ vết mổ [chiều dài ≤ 15cm]</t>
        </is>
      </c>
      <c r="F99" s="106" t="n">
        <v>1</v>
      </c>
      <c r="G99" s="259" t="n">
        <v>100000</v>
      </c>
      <c r="H99" s="93">
        <f>G100*25%*75%</f>
        <v/>
      </c>
      <c r="I99" s="36" t="n"/>
    </row>
    <row r="100" hidden="1" ht="15.75" customFormat="1" customHeight="1" s="202">
      <c r="A100" s="92" t="n">
        <v>95</v>
      </c>
      <c r="B100" s="103" t="inlineStr">
        <is>
          <t>2026/05/29 07:35</t>
        </is>
      </c>
      <c r="C100" s="103" t="inlineStr">
        <is>
          <t>TỐNG MỸ DUNG</t>
        </is>
      </c>
      <c r="D100" s="103" t="inlineStr">
        <is>
          <t>03/04/2009</t>
        </is>
      </c>
      <c r="E100" s="103" t="inlineStr">
        <is>
          <t>Thay băng, cắt chỉ vết mổ [chiều dài ≤ 15cm]</t>
        </is>
      </c>
      <c r="F100" s="106" t="n">
        <v>1</v>
      </c>
      <c r="G100" s="259" t="n">
        <v>100000</v>
      </c>
      <c r="H100" s="93">
        <f>G101*25%*75%</f>
        <v/>
      </c>
      <c r="I100" s="36" t="n"/>
    </row>
    <row r="101" hidden="1" ht="15.75" customFormat="1" customHeight="1" s="202">
      <c r="A101" s="92" t="n">
        <v>96</v>
      </c>
      <c r="B101" s="103" t="inlineStr">
        <is>
          <t>2026/05/29 07:36</t>
        </is>
      </c>
      <c r="C101" s="103" t="inlineStr">
        <is>
          <t>TRẦN NGỌC ÁNH</t>
        </is>
      </c>
      <c r="D101" s="103" t="inlineStr">
        <is>
          <t>15/05/1961</t>
        </is>
      </c>
      <c r="E101" s="103" t="inlineStr">
        <is>
          <t>Thay băng, cắt chỉ vết mổ [chiều dài ≤ 15cm]</t>
        </is>
      </c>
      <c r="F101" s="106" t="n">
        <v>1</v>
      </c>
      <c r="G101" s="259" t="n">
        <v>100000</v>
      </c>
      <c r="H101" s="93">
        <f>G102*25%*75%</f>
        <v/>
      </c>
      <c r="I101" s="36" t="n"/>
    </row>
    <row r="102" hidden="1" ht="15.75" customFormat="1" customHeight="1" s="202">
      <c r="A102" s="92" t="n">
        <v>97</v>
      </c>
      <c r="B102" s="103" t="inlineStr">
        <is>
          <t>2026/05/29 07:36</t>
        </is>
      </c>
      <c r="C102" s="103" t="inlineStr">
        <is>
          <t>TỐNG MỸ DUNG</t>
        </is>
      </c>
      <c r="D102" s="103" t="inlineStr">
        <is>
          <t>03/04/2009</t>
        </is>
      </c>
      <c r="E102" s="103" t="inlineStr">
        <is>
          <t>Thay băng, cắt chỉ vết mổ [chiều dài ≤ 15cm]</t>
        </is>
      </c>
      <c r="F102" s="106" t="n">
        <v>1</v>
      </c>
      <c r="G102" s="259" t="n">
        <v>100000</v>
      </c>
      <c r="H102" s="93">
        <f>G103*25%*75%</f>
        <v/>
      </c>
      <c r="I102" s="36" t="n"/>
    </row>
    <row r="103" hidden="1" ht="15.75" customFormat="1" customHeight="1" s="202">
      <c r="A103" s="92" t="n">
        <v>98</v>
      </c>
      <c r="B103" s="103" t="inlineStr">
        <is>
          <t>2026/05/29 07:36</t>
        </is>
      </c>
      <c r="C103" s="103" t="inlineStr">
        <is>
          <t>VÕ VĂN BÉ BA</t>
        </is>
      </c>
      <c r="D103" s="103" t="inlineStr">
        <is>
          <t>12/12/1964</t>
        </is>
      </c>
      <c r="E103" s="103" t="inlineStr">
        <is>
          <t>Thay băng, cắt chỉ vết mổ [chiều dài ≤ 15cm]</t>
        </is>
      </c>
      <c r="F103" s="106" t="n">
        <v>1</v>
      </c>
      <c r="G103" s="259" t="n">
        <v>100000</v>
      </c>
      <c r="H103" s="93">
        <f>G104*25%*75%</f>
        <v/>
      </c>
      <c r="I103" s="36" t="n"/>
    </row>
    <row r="104" hidden="1" ht="15.75" customFormat="1" customHeight="1" s="202">
      <c r="A104" s="92" t="n">
        <v>99</v>
      </c>
      <c r="B104" s="103" t="inlineStr">
        <is>
          <t>2026/05/29 07:37</t>
        </is>
      </c>
      <c r="C104" s="103" t="inlineStr">
        <is>
          <t>TRƯƠNG BÉ LÀI</t>
        </is>
      </c>
      <c r="D104" s="103" t="inlineStr">
        <is>
          <t>01/01/1986</t>
        </is>
      </c>
      <c r="E104" s="103" t="inlineStr">
        <is>
          <t>Thay băng, cắt chỉ vết mổ [chiều dài ≤ 15cm]</t>
        </is>
      </c>
      <c r="F104" s="106" t="n">
        <v>1</v>
      </c>
      <c r="G104" s="259" t="n">
        <v>100000</v>
      </c>
      <c r="H104" s="93">
        <f>G105*25%*75%</f>
        <v/>
      </c>
      <c r="I104" s="36" t="n"/>
    </row>
    <row r="105" hidden="1" ht="15.75" customFormat="1" customHeight="1" s="202">
      <c r="A105" s="92" t="n">
        <v>100</v>
      </c>
      <c r="B105" s="103" t="inlineStr">
        <is>
          <t>2026/05/29 07:37</t>
        </is>
      </c>
      <c r="C105" s="103" t="inlineStr">
        <is>
          <t>TRẦN NGỌC ÁNH</t>
        </is>
      </c>
      <c r="D105" s="103" t="inlineStr">
        <is>
          <t>15/05/1961</t>
        </is>
      </c>
      <c r="E105" s="103" t="inlineStr">
        <is>
          <t>Thay băng, cắt chỉ vết mổ [chiều dài ≤ 15cm]</t>
        </is>
      </c>
      <c r="F105" s="106" t="n">
        <v>1</v>
      </c>
      <c r="G105" s="259" t="n">
        <v>100000</v>
      </c>
      <c r="H105" s="93">
        <f>G106*25%*75%</f>
        <v/>
      </c>
      <c r="I105" s="36" t="n"/>
    </row>
    <row r="106" hidden="1" ht="15.75" customFormat="1" customHeight="1" s="202">
      <c r="A106" s="92" t="n">
        <v>101</v>
      </c>
      <c r="B106" s="103" t="inlineStr">
        <is>
          <t>2026/05/29 07:37</t>
        </is>
      </c>
      <c r="C106" s="103" t="inlineStr">
        <is>
          <t>VÕ VĂN BÉ BA</t>
        </is>
      </c>
      <c r="D106" s="103" t="inlineStr">
        <is>
          <t>12/12/1964</t>
        </is>
      </c>
      <c r="E106" s="103" t="inlineStr">
        <is>
          <t>Thay băng, cắt chỉ vết mổ [chiều dài ≤ 15cm]</t>
        </is>
      </c>
      <c r="F106" s="106" t="n">
        <v>1</v>
      </c>
      <c r="G106" s="259" t="n">
        <v>100000</v>
      </c>
      <c r="H106" s="93">
        <f>G107*25%*75%</f>
        <v/>
      </c>
      <c r="I106" s="36" t="n"/>
    </row>
    <row r="107" hidden="1" ht="15.75" customFormat="1" customHeight="1" s="202">
      <c r="A107" s="92" t="n">
        <v>102</v>
      </c>
      <c r="B107" s="103" t="inlineStr">
        <is>
          <t>2026/05/29 07:38</t>
        </is>
      </c>
      <c r="C107" s="103" t="inlineStr">
        <is>
          <t>TRẦN NGỌC ÁNH</t>
        </is>
      </c>
      <c r="D107" s="103" t="inlineStr">
        <is>
          <t>15/05/1961</t>
        </is>
      </c>
      <c r="E107" s="103" t="inlineStr">
        <is>
          <t>Thay băng, cắt chỉ vết mổ [chiều dài ≤ 15cm]</t>
        </is>
      </c>
      <c r="F107" s="106" t="n">
        <v>1</v>
      </c>
      <c r="G107" s="259" t="n">
        <v>100000</v>
      </c>
      <c r="H107" s="93">
        <f>G108*25%*75%</f>
        <v/>
      </c>
      <c r="I107" s="36" t="n"/>
    </row>
    <row r="108" hidden="1" ht="15.75" customFormat="1" customHeight="1" s="202">
      <c r="A108" s="92" t="n">
        <v>103</v>
      </c>
      <c r="B108" s="103" t="inlineStr">
        <is>
          <t>2026/05/29 07:38</t>
        </is>
      </c>
      <c r="C108" s="103" t="inlineStr">
        <is>
          <t>TỐNG MỸ DUNG</t>
        </is>
      </c>
      <c r="D108" s="103" t="inlineStr">
        <is>
          <t>03/04/2009</t>
        </is>
      </c>
      <c r="E108" s="103" t="inlineStr">
        <is>
          <t>Thay băng, cắt chỉ vết mổ [chiều dài ≤ 15cm]</t>
        </is>
      </c>
      <c r="F108" s="106" t="n">
        <v>1</v>
      </c>
      <c r="G108" s="259" t="n">
        <v>100000</v>
      </c>
      <c r="H108" s="93">
        <f>G109*25%*75%</f>
        <v/>
      </c>
      <c r="I108" s="36" t="n"/>
    </row>
    <row r="109" hidden="1" ht="15.75" customFormat="1" customHeight="1" s="202">
      <c r="A109" s="92" t="n">
        <v>104</v>
      </c>
      <c r="B109" s="103" t="inlineStr">
        <is>
          <t>2026/05/29 07:40</t>
        </is>
      </c>
      <c r="C109" s="103" t="inlineStr">
        <is>
          <t>TRƯƠNG BÉ LÀI</t>
        </is>
      </c>
      <c r="D109" s="103" t="inlineStr">
        <is>
          <t>01/01/1986</t>
        </is>
      </c>
      <c r="E109" s="103" t="inlineStr">
        <is>
          <t>Thay băng, cắt chỉ vết mổ [chiều dài ≤ 15cm]</t>
        </is>
      </c>
      <c r="F109" s="106" t="n">
        <v>1</v>
      </c>
      <c r="G109" s="259" t="n">
        <v>100000</v>
      </c>
      <c r="H109" s="93">
        <f>G110*25%*75%</f>
        <v/>
      </c>
      <c r="I109" s="36" t="n"/>
    </row>
    <row r="110" hidden="1" ht="15.75" customFormat="1" customHeight="1" s="202">
      <c r="A110" s="92" t="n">
        <v>105</v>
      </c>
      <c r="B110" s="103" t="inlineStr">
        <is>
          <t>2026/05/30 05:00</t>
        </is>
      </c>
      <c r="C110" s="103" t="inlineStr">
        <is>
          <t>DƯƠNG VĂN CHIẾN</t>
        </is>
      </c>
      <c r="D110" s="103" t="inlineStr">
        <is>
          <t>01/01/1949</t>
        </is>
      </c>
      <c r="E110" s="103" t="inlineStr">
        <is>
          <t>Thay băng, cắt chỉ vết mổ [chiều dài ≤ 15cm]</t>
        </is>
      </c>
      <c r="F110" s="106" t="n">
        <v>1</v>
      </c>
      <c r="G110" s="259" t="n">
        <v>100000</v>
      </c>
      <c r="H110" s="93">
        <f>G111*25%*75%</f>
        <v/>
      </c>
      <c r="I110" s="36" t="n"/>
    </row>
    <row r="111" hidden="1" ht="15.75" customFormat="1" customHeight="1" s="202">
      <c r="A111" s="92" t="n">
        <v>106</v>
      </c>
      <c r="B111" s="103" t="inlineStr">
        <is>
          <t>2026/05/30 05:00</t>
        </is>
      </c>
      <c r="C111" s="103" t="inlineStr">
        <is>
          <t>HỒ THANH VŨ</t>
        </is>
      </c>
      <c r="D111" s="103" t="inlineStr">
        <is>
          <t>26/07/1982</t>
        </is>
      </c>
      <c r="E111" s="103" t="inlineStr">
        <is>
          <t>Thay băng, cắt chỉ vết mổ [chiều dài ≤ 15cm]</t>
        </is>
      </c>
      <c r="F111" s="106" t="n">
        <v>1</v>
      </c>
      <c r="G111" s="259" t="n">
        <v>100000</v>
      </c>
      <c r="H111" s="93">
        <f>G112*25%*75%</f>
        <v/>
      </c>
      <c r="I111" s="36" t="n"/>
    </row>
    <row r="112" hidden="1" ht="15.75" customFormat="1" customHeight="1" s="202">
      <c r="A112" s="92" t="n">
        <v>107</v>
      </c>
      <c r="B112" s="103" t="inlineStr">
        <is>
          <t>2026/05/30 05:00</t>
        </is>
      </c>
      <c r="C112" s="103" t="inlineStr">
        <is>
          <t>LƯU TẤN PHÁT</t>
        </is>
      </c>
      <c r="D112" s="103" t="inlineStr">
        <is>
          <t>01/01/1954</t>
        </is>
      </c>
      <c r="E112" s="103" t="inlineStr">
        <is>
          <t>Thay băng, cắt chỉ vết mổ [chiều dài ≤ 15cm]</t>
        </is>
      </c>
      <c r="F112" s="106" t="n">
        <v>1</v>
      </c>
      <c r="G112" s="259" t="n">
        <v>100000</v>
      </c>
      <c r="H112" s="93">
        <f>G113*25%*75%</f>
        <v/>
      </c>
      <c r="I112" s="36" t="n"/>
    </row>
    <row r="113" hidden="1" ht="15.75" customFormat="1" customHeight="1" s="202">
      <c r="A113" s="92" t="n">
        <v>108</v>
      </c>
      <c r="B113" s="103" t="inlineStr">
        <is>
          <t>2026/05/30 05:00</t>
        </is>
      </c>
      <c r="C113" s="103" t="inlineStr">
        <is>
          <t>MAI THÀNH DƯƠNG</t>
        </is>
      </c>
      <c r="D113" s="103" t="inlineStr">
        <is>
          <t>10/04/1964</t>
        </is>
      </c>
      <c r="E113" s="103" t="inlineStr">
        <is>
          <t>Thay băng, cắt chỉ vết mổ [chiều dài ≤ 15cm]</t>
        </is>
      </c>
      <c r="F113" s="106" t="n">
        <v>1</v>
      </c>
      <c r="G113" s="259" t="n">
        <v>100000</v>
      </c>
      <c r="H113" s="93">
        <f>G114*25%*75%</f>
        <v/>
      </c>
      <c r="I113" s="36" t="n"/>
    </row>
    <row r="114" hidden="1" ht="15.75" customFormat="1" customHeight="1" s="202">
      <c r="A114" s="92" t="n">
        <v>109</v>
      </c>
      <c r="B114" s="103" t="inlineStr">
        <is>
          <t>2026/05/30 05:00</t>
        </is>
      </c>
      <c r="C114" s="103" t="inlineStr">
        <is>
          <t>NGUYỄN THỊ CHUỐI</t>
        </is>
      </c>
      <c r="D114" s="103" t="inlineStr">
        <is>
          <t>06/08/1952</t>
        </is>
      </c>
      <c r="E114" s="103" t="inlineStr">
        <is>
          <t>Thay băng, cắt chỉ vết mổ [chiều dài ≤ 15cm]</t>
        </is>
      </c>
      <c r="F114" s="106" t="n">
        <v>1</v>
      </c>
      <c r="G114" s="259" t="n">
        <v>100000</v>
      </c>
      <c r="H114" s="93">
        <f>G115*25%*75%</f>
        <v/>
      </c>
      <c r="I114" s="36" t="n"/>
    </row>
    <row r="115" hidden="1" ht="15.75" customFormat="1" customHeight="1" s="202">
      <c r="A115" s="92" t="n">
        <v>110</v>
      </c>
      <c r="B115" s="103" t="inlineStr">
        <is>
          <t>2026/05/30 05:00</t>
        </is>
      </c>
      <c r="C115" s="103" t="inlineStr">
        <is>
          <t>NGUYỄN THỊ LÝ</t>
        </is>
      </c>
      <c r="D115" s="103" t="inlineStr">
        <is>
          <t>01/01/1944</t>
        </is>
      </c>
      <c r="E115" s="103" t="inlineStr">
        <is>
          <t>Thay băng, cắt chỉ vết mổ [chiều dài ≤ 15cm]</t>
        </is>
      </c>
      <c r="F115" s="106" t="n">
        <v>1</v>
      </c>
      <c r="G115" s="259" t="n">
        <v>100000</v>
      </c>
      <c r="H115" s="93">
        <f>G116*25%*75%</f>
        <v/>
      </c>
      <c r="I115" s="36" t="n"/>
    </row>
    <row r="116" hidden="1" ht="15.75" customFormat="1" customHeight="1" s="202">
      <c r="A116" s="92" t="n">
        <v>111</v>
      </c>
      <c r="B116" s="103" t="inlineStr">
        <is>
          <t>2026/05/30 05:00</t>
        </is>
      </c>
      <c r="C116" s="103" t="inlineStr">
        <is>
          <t>NGUYỄN VĂN GẬP</t>
        </is>
      </c>
      <c r="D116" s="103" t="inlineStr">
        <is>
          <t>03/04/1952</t>
        </is>
      </c>
      <c r="E116" s="103" t="inlineStr">
        <is>
          <t>Thay băng, cắt chỉ vết mổ [chiều dài ≤ 15cm]</t>
        </is>
      </c>
      <c r="F116" s="106" t="n">
        <v>1</v>
      </c>
      <c r="G116" s="259" t="n">
        <v>100000</v>
      </c>
      <c r="H116" s="93">
        <f>G117*25%*75%</f>
        <v/>
      </c>
      <c r="I116" s="36" t="n"/>
    </row>
    <row r="117" hidden="1" ht="15.75" customFormat="1" customHeight="1" s="202">
      <c r="A117" s="92" t="n">
        <v>112</v>
      </c>
      <c r="B117" s="103" t="inlineStr">
        <is>
          <t>2026/05/30 05:00</t>
        </is>
      </c>
      <c r="C117" s="103" t="inlineStr">
        <is>
          <t>TRẦN VĂN XIÊN</t>
        </is>
      </c>
      <c r="D117" s="103" t="inlineStr">
        <is>
          <t>01/01/1964</t>
        </is>
      </c>
      <c r="E117" s="103" t="inlineStr">
        <is>
          <t>Thay băng, cắt chỉ vết mổ [chiều dài ≤ 15cm]</t>
        </is>
      </c>
      <c r="F117" s="106" t="n">
        <v>1</v>
      </c>
      <c r="G117" s="259" t="n">
        <v>100000</v>
      </c>
      <c r="H117" s="93">
        <f>G118*25%*75%</f>
        <v/>
      </c>
      <c r="I117" s="36" t="n"/>
    </row>
    <row r="118" hidden="1" ht="15.75" customFormat="1" customHeight="1" s="202">
      <c r="A118" s="92" t="n">
        <v>113</v>
      </c>
      <c r="B118" s="103" t="inlineStr">
        <is>
          <t>2026/05/30 05:00</t>
        </is>
      </c>
      <c r="C118" s="103" t="inlineStr">
        <is>
          <t>VŨ THÀNH ĐẠT</t>
        </is>
      </c>
      <c r="D118" s="103" t="inlineStr">
        <is>
          <t>01/02/1955</t>
        </is>
      </c>
      <c r="E118" s="103" t="inlineStr">
        <is>
          <t>Thay băng, cắt chỉ vết mổ [chiều dài ≤ 15cm]</t>
        </is>
      </c>
      <c r="F118" s="106" t="n">
        <v>1</v>
      </c>
      <c r="G118" s="259" t="n">
        <v>100000</v>
      </c>
      <c r="H118" s="93">
        <f>G119*25%*75%</f>
        <v/>
      </c>
      <c r="I118" s="36" t="n"/>
    </row>
    <row r="119" hidden="1" ht="15.75" customFormat="1" customHeight="1" s="202">
      <c r="A119" s="92" t="n">
        <v>114</v>
      </c>
      <c r="B119" s="103" t="inlineStr">
        <is>
          <t>2026/05/30 07:00</t>
        </is>
      </c>
      <c r="C119" s="103" t="inlineStr">
        <is>
          <t>NGUYỄN THỊ ĐIỀN</t>
        </is>
      </c>
      <c r="D119" s="103" t="inlineStr">
        <is>
          <t>01/01/1963</t>
        </is>
      </c>
      <c r="E119" s="103" t="inlineStr">
        <is>
          <t>Thay băng, cắt chỉ vết mổ [chiều dài ≤ 15cm]</t>
        </is>
      </c>
      <c r="F119" s="106" t="n">
        <v>1</v>
      </c>
      <c r="G119" s="259" t="n">
        <v>100000</v>
      </c>
      <c r="H119" s="93">
        <f>G120*25%*75%</f>
        <v/>
      </c>
      <c r="I119" s="36" t="n"/>
    </row>
    <row r="120" hidden="1" ht="15.75" customFormat="1" customHeight="1" s="202">
      <c r="A120" s="92" t="n">
        <v>115</v>
      </c>
      <c r="B120" s="103" t="inlineStr">
        <is>
          <t>2026/05/30 07:30</t>
        </is>
      </c>
      <c r="C120" s="103" t="inlineStr">
        <is>
          <t>VÕ VĂN BÉ BA</t>
        </is>
      </c>
      <c r="D120" s="103" t="inlineStr">
        <is>
          <t>12/12/1964</t>
        </is>
      </c>
      <c r="E120" s="103" t="inlineStr">
        <is>
          <t>Thay băng, cắt chỉ vết mổ [chiều dài ≤ 15cm]</t>
        </is>
      </c>
      <c r="F120" s="106" t="n">
        <v>1</v>
      </c>
      <c r="G120" s="259" t="n">
        <v>100000</v>
      </c>
      <c r="H120" s="93">
        <f>G121*25%*75%</f>
        <v/>
      </c>
      <c r="I120" s="36" t="n"/>
    </row>
    <row r="121" hidden="1" ht="15.75" customFormat="1" customHeight="1" s="202">
      <c r="A121" s="92" t="n">
        <v>116</v>
      </c>
      <c r="B121" s="103" t="inlineStr">
        <is>
          <t>2026/05/30 08:00</t>
        </is>
      </c>
      <c r="C121" s="103" t="inlineStr">
        <is>
          <t>BÙI VĂN LONG</t>
        </is>
      </c>
      <c r="D121" s="103" t="inlineStr">
        <is>
          <t>21/10/1961</t>
        </is>
      </c>
      <c r="E121" s="103" t="inlineStr">
        <is>
          <t>Thay băng, cắt chỉ vết mổ [chiều dài ≤ 15cm]</t>
        </is>
      </c>
      <c r="F121" s="106" t="n">
        <v>1</v>
      </c>
      <c r="G121" s="259" t="n">
        <v>100000</v>
      </c>
      <c r="H121" s="93">
        <f>G122*25%*75%</f>
        <v/>
      </c>
      <c r="I121" s="36" t="n"/>
    </row>
    <row r="122" hidden="1" ht="15.75" customFormat="1" customHeight="1" s="202">
      <c r="A122" s="92" t="n">
        <v>117</v>
      </c>
      <c r="B122" s="103" t="inlineStr">
        <is>
          <t>2026/05/30 08:00</t>
        </is>
      </c>
      <c r="C122" s="103" t="inlineStr">
        <is>
          <t>KIM THANH ĐẠT</t>
        </is>
      </c>
      <c r="D122" s="103" t="inlineStr">
        <is>
          <t>29/12/2007</t>
        </is>
      </c>
      <c r="E122" s="103" t="inlineStr">
        <is>
          <t>Thay băng, cắt chỉ vết mổ [chiều dài ≤ 15cm]</t>
        </is>
      </c>
      <c r="F122" s="106" t="n">
        <v>1</v>
      </c>
      <c r="G122" s="259" t="n">
        <v>100000</v>
      </c>
      <c r="H122" s="93">
        <f>G123*25%*75%</f>
        <v/>
      </c>
      <c r="I122" s="36" t="n"/>
    </row>
    <row r="123" hidden="1" ht="15.75" customFormat="1" customHeight="1" s="202">
      <c r="A123" s="92" t="n">
        <v>118</v>
      </c>
      <c r="B123" s="103" t="inlineStr">
        <is>
          <t>2026/05/30 08:00</t>
        </is>
      </c>
      <c r="C123" s="103" t="inlineStr">
        <is>
          <t>NGUYỄN THỊ BÉ TƯ</t>
        </is>
      </c>
      <c r="D123" s="103" t="inlineStr">
        <is>
          <t>01/01/1967</t>
        </is>
      </c>
      <c r="E123" s="103" t="inlineStr">
        <is>
          <t>Thay băng, cắt chỉ vết mổ [chiều dài ≤ 15cm]</t>
        </is>
      </c>
      <c r="F123" s="106" t="n">
        <v>1</v>
      </c>
      <c r="G123" s="259" t="n">
        <v>100000</v>
      </c>
      <c r="H123" s="93">
        <f>G124*25%*75%</f>
        <v/>
      </c>
      <c r="I123" s="36" t="n"/>
    </row>
    <row r="124" hidden="1" ht="15.75" customFormat="1" customHeight="1" s="202">
      <c r="A124" s="92" t="n">
        <v>119</v>
      </c>
      <c r="B124" s="103" t="inlineStr">
        <is>
          <t>2026/05/30 08:00</t>
        </is>
      </c>
      <c r="C124" s="103" t="inlineStr">
        <is>
          <t>NGUYỄN THỊ ĐIỀN</t>
        </is>
      </c>
      <c r="D124" s="103" t="inlineStr">
        <is>
          <t>01/01/1963</t>
        </is>
      </c>
      <c r="E124" s="103" t="inlineStr">
        <is>
          <t>Thay băng, cắt chỉ vết mổ [chiều dài ≤ 15cm]</t>
        </is>
      </c>
      <c r="F124" s="106" t="n">
        <v>1</v>
      </c>
      <c r="G124" s="259" t="n">
        <v>100000</v>
      </c>
      <c r="H124" s="93">
        <f>G125*25%*75%</f>
        <v/>
      </c>
      <c r="I124" s="36" t="n"/>
    </row>
    <row r="125" hidden="1" ht="15.75" customFormat="1" customHeight="1" s="202">
      <c r="A125" s="92" t="n">
        <v>120</v>
      </c>
      <c r="B125" s="103" t="inlineStr">
        <is>
          <t>2026/05/30 08:00</t>
        </is>
      </c>
      <c r="C125" s="103" t="inlineStr">
        <is>
          <t>PHAN THỊ NỠ</t>
        </is>
      </c>
      <c r="D125" s="103" t="inlineStr">
        <is>
          <t>01/01/1957</t>
        </is>
      </c>
      <c r="E125" s="103" t="inlineStr">
        <is>
          <t>Thay băng, cắt chỉ vết mổ [chiều dài ≤ 15cm]</t>
        </is>
      </c>
      <c r="F125" s="106" t="n">
        <v>1</v>
      </c>
      <c r="G125" s="259" t="n">
        <v>100000</v>
      </c>
      <c r="H125" s="93">
        <f>G126*25%*75%</f>
        <v/>
      </c>
      <c r="I125" s="36" t="n"/>
    </row>
    <row r="126" hidden="1" ht="15.75" customFormat="1" customHeight="1" s="202">
      <c r="A126" s="92" t="n">
        <v>121</v>
      </c>
      <c r="B126" s="103" t="inlineStr">
        <is>
          <t>2026/05/30 08:00</t>
        </is>
      </c>
      <c r="C126" s="103" t="inlineStr">
        <is>
          <t>ÂU CẨM NHUNG</t>
        </is>
      </c>
      <c r="D126" s="103" t="inlineStr">
        <is>
          <t>04/07/1974</t>
        </is>
      </c>
      <c r="E126" s="103" t="inlineStr">
        <is>
          <t>Thay băng, cắt chỉ vết mổ [chiều dài ≤ 15cm]</t>
        </is>
      </c>
      <c r="F126" s="106" t="n">
        <v>1</v>
      </c>
      <c r="G126" s="259" t="n">
        <v>100000</v>
      </c>
      <c r="H126" s="93">
        <f>G127*25%*75%</f>
        <v/>
      </c>
      <c r="I126" s="36" t="n"/>
    </row>
    <row r="127" hidden="1" ht="15.75" customFormat="1" customHeight="1" s="202">
      <c r="A127" s="92" t="n">
        <v>122</v>
      </c>
      <c r="B127" s="103" t="inlineStr">
        <is>
          <t>2026/05/31 05:00</t>
        </is>
      </c>
      <c r="C127" s="103" t="inlineStr">
        <is>
          <t>BÙI VĂN LONG</t>
        </is>
      </c>
      <c r="D127" s="103" t="inlineStr">
        <is>
          <t>21/10/1961</t>
        </is>
      </c>
      <c r="E127" s="103" t="inlineStr">
        <is>
          <t>Thay băng, cắt chỉ vết mổ [chiều dài ≤ 15cm]</t>
        </is>
      </c>
      <c r="F127" s="106" t="n">
        <v>1</v>
      </c>
      <c r="G127" s="259" t="n">
        <v>100000</v>
      </c>
      <c r="H127" s="93">
        <f>G128*25%*75%</f>
        <v/>
      </c>
      <c r="I127" s="36" t="n"/>
    </row>
    <row r="128" hidden="1" ht="15.75" customFormat="1" customHeight="1" s="202">
      <c r="A128" s="92" t="n">
        <v>123</v>
      </c>
      <c r="B128" s="103" t="inlineStr">
        <is>
          <t>2026/05/31 05:00</t>
        </is>
      </c>
      <c r="C128" s="103" t="inlineStr">
        <is>
          <t>DƯƠNG VĂN CHIẾN</t>
        </is>
      </c>
      <c r="D128" s="103" t="inlineStr">
        <is>
          <t>01/01/1949</t>
        </is>
      </c>
      <c r="E128" s="103" t="inlineStr">
        <is>
          <t>Thay băng, cắt chỉ vết mổ [chiều dài ≤ 15cm]</t>
        </is>
      </c>
      <c r="F128" s="106" t="n">
        <v>1</v>
      </c>
      <c r="G128" s="259" t="n">
        <v>100000</v>
      </c>
      <c r="H128" s="93">
        <f>G129*25%*75%</f>
        <v/>
      </c>
      <c r="I128" s="36" t="n"/>
    </row>
    <row r="129" hidden="1" ht="15.75" customFormat="1" customHeight="1" s="202">
      <c r="A129" s="92" t="n">
        <v>124</v>
      </c>
      <c r="B129" s="103" t="inlineStr">
        <is>
          <t>2026/05/31 05:00</t>
        </is>
      </c>
      <c r="C129" s="103" t="inlineStr">
        <is>
          <t>HỒ THANH VŨ</t>
        </is>
      </c>
      <c r="D129" s="103" t="inlineStr">
        <is>
          <t>26/07/1982</t>
        </is>
      </c>
      <c r="E129" s="103" t="inlineStr">
        <is>
          <t>Thay băng, cắt chỉ vết mổ [chiều dài ≤ 15cm]</t>
        </is>
      </c>
      <c r="F129" s="106" t="n">
        <v>1</v>
      </c>
      <c r="G129" s="259" t="n">
        <v>100000</v>
      </c>
      <c r="H129" s="93">
        <f>G130*25%*75%</f>
        <v/>
      </c>
      <c r="I129" s="36" t="n"/>
    </row>
    <row r="130" hidden="1" ht="15.75" customFormat="1" customHeight="1" s="202">
      <c r="A130" s="92" t="n">
        <v>125</v>
      </c>
      <c r="B130" s="103" t="inlineStr">
        <is>
          <t>2026/05/31 05:00</t>
        </is>
      </c>
      <c r="C130" s="103" t="inlineStr">
        <is>
          <t>LƯU TẤN PHÁT</t>
        </is>
      </c>
      <c r="D130" s="103" t="inlineStr">
        <is>
          <t>01/01/1954</t>
        </is>
      </c>
      <c r="E130" s="103" t="inlineStr">
        <is>
          <t>Thay băng, cắt chỉ vết mổ [chiều dài ≤ 15cm]</t>
        </is>
      </c>
      <c r="F130" s="106" t="n">
        <v>1</v>
      </c>
      <c r="G130" s="259" t="n">
        <v>100000</v>
      </c>
      <c r="H130" s="93">
        <f>G131*25%*75%</f>
        <v/>
      </c>
      <c r="I130" s="36" t="n"/>
    </row>
    <row r="131" hidden="1" ht="15.75" customFormat="1" customHeight="1" s="202">
      <c r="A131" s="92" t="n">
        <v>126</v>
      </c>
      <c r="B131" s="103" t="inlineStr">
        <is>
          <t>2026/05/31 05:00</t>
        </is>
      </c>
      <c r="C131" s="103" t="inlineStr">
        <is>
          <t>MAI THÀNH DƯƠNG</t>
        </is>
      </c>
      <c r="D131" s="103" t="inlineStr">
        <is>
          <t>10/04/1964</t>
        </is>
      </c>
      <c r="E131" s="103" t="inlineStr">
        <is>
          <t>Thay băng, cắt chỉ vết mổ [chiều dài ≤ 15cm]</t>
        </is>
      </c>
      <c r="F131" s="106" t="n">
        <v>1</v>
      </c>
      <c r="G131" s="259" t="n">
        <v>100000</v>
      </c>
      <c r="H131" s="93">
        <f>G132*25%*75%</f>
        <v/>
      </c>
      <c r="I131" s="36" t="n"/>
    </row>
    <row r="132" hidden="1" ht="15.75" customFormat="1" customHeight="1" s="202">
      <c r="A132" s="92" t="n">
        <v>127</v>
      </c>
      <c r="B132" s="103" t="inlineStr">
        <is>
          <t>2026/05/31 05:00</t>
        </is>
      </c>
      <c r="C132" s="103" t="inlineStr">
        <is>
          <t>NGUYỄN THỊ CHUỐI</t>
        </is>
      </c>
      <c r="D132" s="103" t="inlineStr">
        <is>
          <t>06/08/1952</t>
        </is>
      </c>
      <c r="E132" s="103" t="inlineStr">
        <is>
          <t>Thay băng, cắt chỉ vết mổ [chiều dài ≤ 15cm]</t>
        </is>
      </c>
      <c r="F132" s="106" t="n">
        <v>1</v>
      </c>
      <c r="G132" s="259" t="n">
        <v>100000</v>
      </c>
      <c r="H132" s="93">
        <f>G133*25%*75%</f>
        <v/>
      </c>
      <c r="I132" s="36" t="n"/>
    </row>
    <row r="133" hidden="1" ht="15.75" customFormat="1" customHeight="1" s="202">
      <c r="A133" s="92" t="n">
        <v>128</v>
      </c>
      <c r="B133" s="103" t="inlineStr">
        <is>
          <t>2026/05/31 05:00</t>
        </is>
      </c>
      <c r="C133" s="103" t="inlineStr">
        <is>
          <t>NGUYỄN THỊ HẤN</t>
        </is>
      </c>
      <c r="D133" s="103" t="inlineStr">
        <is>
          <t>01/01/1959</t>
        </is>
      </c>
      <c r="E133" s="103" t="inlineStr">
        <is>
          <t>Thay băng, cắt chỉ vết mổ [chiều dài ≤ 15cm]</t>
        </is>
      </c>
      <c r="F133" s="106" t="n">
        <v>1</v>
      </c>
      <c r="G133" s="259" t="n">
        <v>100000</v>
      </c>
      <c r="H133" s="93">
        <f>G134*25%*75%</f>
        <v/>
      </c>
      <c r="I133" s="36" t="n"/>
    </row>
    <row r="134" hidden="1" ht="15.75" customFormat="1" customHeight="1" s="202">
      <c r="A134" s="92" t="n">
        <v>129</v>
      </c>
      <c r="B134" s="103" t="inlineStr">
        <is>
          <t>2026/05/31 05:00</t>
        </is>
      </c>
      <c r="C134" s="103" t="inlineStr">
        <is>
          <t>NGUYỄN THỊ LÝ</t>
        </is>
      </c>
      <c r="D134" s="103" t="inlineStr">
        <is>
          <t>01/01/1944</t>
        </is>
      </c>
      <c r="E134" s="103" t="inlineStr">
        <is>
          <t>Thay băng, cắt chỉ vết mổ [chiều dài ≤ 15cm]</t>
        </is>
      </c>
      <c r="F134" s="106" t="n">
        <v>1</v>
      </c>
      <c r="G134" s="259" t="n">
        <v>100000</v>
      </c>
      <c r="H134" s="93">
        <f>G135*25%*75%</f>
        <v/>
      </c>
      <c r="I134" s="36" t="n"/>
    </row>
    <row r="135" hidden="1" ht="15.75" customFormat="1" customHeight="1" s="202">
      <c r="A135" s="92" t="n">
        <v>130</v>
      </c>
      <c r="B135" s="103" t="inlineStr">
        <is>
          <t>2026/05/31 05:00</t>
        </is>
      </c>
      <c r="C135" s="103" t="inlineStr">
        <is>
          <t>NGUYỄN THỊ XUA</t>
        </is>
      </c>
      <c r="D135" s="103" t="inlineStr">
        <is>
          <t>01/01/1938</t>
        </is>
      </c>
      <c r="E135" s="103" t="inlineStr">
        <is>
          <t>Thay băng, cắt chỉ vết mổ [chiều dài ≤ 15cm]</t>
        </is>
      </c>
      <c r="F135" s="106" t="n">
        <v>1</v>
      </c>
      <c r="G135" s="259" t="n">
        <v>100000</v>
      </c>
      <c r="H135" s="93">
        <f>G136*25%*75%</f>
        <v/>
      </c>
      <c r="I135" s="36" t="n"/>
    </row>
    <row r="136" hidden="1" ht="15.75" customFormat="1" customHeight="1" s="202">
      <c r="A136" s="92" t="n">
        <v>131</v>
      </c>
      <c r="B136" s="103" t="inlineStr">
        <is>
          <t>2026/05/31 05:00</t>
        </is>
      </c>
      <c r="C136" s="103" t="inlineStr">
        <is>
          <t>NGUYỄN VĂN GẬP</t>
        </is>
      </c>
      <c r="D136" s="103" t="inlineStr">
        <is>
          <t>03/04/1952</t>
        </is>
      </c>
      <c r="E136" s="103" t="inlineStr">
        <is>
          <t>Thay băng, cắt chỉ vết mổ [chiều dài ≤ 15cm]</t>
        </is>
      </c>
      <c r="F136" s="106" t="n">
        <v>1</v>
      </c>
      <c r="G136" s="259" t="n">
        <v>100000</v>
      </c>
      <c r="H136" s="93">
        <f>G137*25%*75%</f>
        <v/>
      </c>
      <c r="I136" s="36" t="n"/>
    </row>
    <row r="137" hidden="1" ht="15.75" customFormat="1" customHeight="1" s="202">
      <c r="A137" s="92" t="n">
        <v>132</v>
      </c>
      <c r="B137" s="103" t="inlineStr">
        <is>
          <t>2026/05/31 05:00</t>
        </is>
      </c>
      <c r="C137" s="103" t="inlineStr">
        <is>
          <t>TRẦN VĂN XIÊN</t>
        </is>
      </c>
      <c r="D137" s="103" t="inlineStr">
        <is>
          <t>01/01/1964</t>
        </is>
      </c>
      <c r="E137" s="103" t="inlineStr">
        <is>
          <t>Thay băng, cắt chỉ vết mổ [chiều dài ≤ 15cm]</t>
        </is>
      </c>
      <c r="F137" s="106" t="n">
        <v>1</v>
      </c>
      <c r="G137" s="259" t="n">
        <v>100000</v>
      </c>
      <c r="H137" s="93">
        <f>G138*25%*75%</f>
        <v/>
      </c>
      <c r="I137" s="36" t="n"/>
    </row>
    <row r="138" hidden="1" ht="15.75" customFormat="1" customHeight="1" s="202">
      <c r="A138" s="92" t="n">
        <v>133</v>
      </c>
      <c r="B138" s="103" t="inlineStr">
        <is>
          <t>2026/05/31 05:00</t>
        </is>
      </c>
      <c r="C138" s="103" t="inlineStr">
        <is>
          <t>VŨ THÀNH ĐẠT</t>
        </is>
      </c>
      <c r="D138" s="103" t="inlineStr">
        <is>
          <t>01/02/1955</t>
        </is>
      </c>
      <c r="E138" s="103" t="inlineStr">
        <is>
          <t>Thay băng, cắt chỉ vết mổ [chiều dài ≤ 15cm]</t>
        </is>
      </c>
      <c r="F138" s="106" t="n">
        <v>1</v>
      </c>
      <c r="G138" s="259" t="n">
        <v>100000</v>
      </c>
      <c r="H138" s="93">
        <f>G139*25%*75%</f>
        <v/>
      </c>
      <c r="I138" s="36" t="n"/>
    </row>
    <row r="139" hidden="1" ht="15.75" customFormat="1" customHeight="1" s="202">
      <c r="A139" s="92" t="n">
        <v>134</v>
      </c>
      <c r="B139" s="103" t="inlineStr">
        <is>
          <t>2026/05/31 07:00</t>
        </is>
      </c>
      <c r="C139" s="103" t="inlineStr">
        <is>
          <t>HUỲNH THANH HÙNG</t>
        </is>
      </c>
      <c r="D139" s="103" t="inlineStr">
        <is>
          <t>01/01/1945</t>
        </is>
      </c>
      <c r="E139" s="103" t="inlineStr">
        <is>
          <t>Thay băng, cắt chỉ vết mổ [chiều dài ≤ 15cm]</t>
        </is>
      </c>
      <c r="F139" s="106" t="n">
        <v>1</v>
      </c>
      <c r="G139" s="259" t="n">
        <v>100000</v>
      </c>
      <c r="H139" s="93">
        <f>G140*25%*75%</f>
        <v/>
      </c>
      <c r="I139" s="36" t="n"/>
    </row>
    <row r="140" hidden="1" ht="15.75" customFormat="1" customHeight="1" s="202">
      <c r="A140" s="92" t="n">
        <v>135</v>
      </c>
      <c r="B140" s="103" t="inlineStr">
        <is>
          <t>2026/05/31 07:00</t>
        </is>
      </c>
      <c r="C140" s="103" t="inlineStr">
        <is>
          <t>LÊ TIẾN ĐẠT</t>
        </is>
      </c>
      <c r="D140" s="103" t="inlineStr">
        <is>
          <t>20/08/2004</t>
        </is>
      </c>
      <c r="E140" s="103" t="inlineStr">
        <is>
          <t>Thay băng, cắt chỉ vết mổ [chiều dài ≤ 15cm]</t>
        </is>
      </c>
      <c r="F140" s="106" t="n">
        <v>1</v>
      </c>
      <c r="G140" s="259" t="n">
        <v>100000</v>
      </c>
      <c r="H140" s="93">
        <f>G141*25%*75%</f>
        <v/>
      </c>
      <c r="I140" s="36" t="n"/>
    </row>
    <row r="141" hidden="1" ht="15.75" customFormat="1" customHeight="1" s="202">
      <c r="A141" s="92" t="n">
        <v>136</v>
      </c>
      <c r="B141" s="103" t="inlineStr">
        <is>
          <t>2026/05/31 07:00</t>
        </is>
      </c>
      <c r="C141" s="103" t="inlineStr">
        <is>
          <t>NGUYỄN THỊ BÉ TƯ</t>
        </is>
      </c>
      <c r="D141" s="103" t="inlineStr">
        <is>
          <t>01/01/1967</t>
        </is>
      </c>
      <c r="E141" s="103" t="inlineStr">
        <is>
          <t>Thay băng, cắt chỉ vết mổ [chiều dài ≤ 15cm]</t>
        </is>
      </c>
      <c r="F141" s="106" t="n">
        <v>1</v>
      </c>
      <c r="G141" s="259" t="n">
        <v>100000</v>
      </c>
      <c r="H141" s="93">
        <f>G142*25%*75%</f>
        <v/>
      </c>
      <c r="I141" s="36" t="n"/>
    </row>
    <row r="142" hidden="1" ht="15.75" customFormat="1" customHeight="1" s="202">
      <c r="A142" s="92" t="n">
        <v>137</v>
      </c>
      <c r="B142" s="103" t="inlineStr">
        <is>
          <t>2026/06/01 05:00</t>
        </is>
      </c>
      <c r="C142" s="103" t="inlineStr">
        <is>
          <t>BÙI VĂN LONG</t>
        </is>
      </c>
      <c r="D142" s="103" t="inlineStr">
        <is>
          <t>21/10/1961</t>
        </is>
      </c>
      <c r="E142" s="103" t="inlineStr">
        <is>
          <t>Thay băng, cắt chỉ vết mổ [chiều dài ≤ 15cm]</t>
        </is>
      </c>
      <c r="F142" s="106" t="n">
        <v>1</v>
      </c>
      <c r="G142" s="259" t="n">
        <v>100000</v>
      </c>
      <c r="H142" s="93">
        <f>G143*25%*75%</f>
        <v/>
      </c>
      <c r="I142" s="36" t="n"/>
    </row>
    <row r="143" hidden="1" ht="15.75" customFormat="1" customHeight="1" s="202">
      <c r="A143" s="92" t="n">
        <v>138</v>
      </c>
      <c r="B143" s="103" t="inlineStr">
        <is>
          <t>2026/06/01 05:00</t>
        </is>
      </c>
      <c r="C143" s="103" t="inlineStr">
        <is>
          <t>DƯƠNG VĂN CHIẾN</t>
        </is>
      </c>
      <c r="D143" s="103" t="inlineStr">
        <is>
          <t>01/01/1949</t>
        </is>
      </c>
      <c r="E143" s="103" t="inlineStr">
        <is>
          <t>Thay băng, cắt chỉ vết mổ [chiều dài ≤ 15cm]</t>
        </is>
      </c>
      <c r="F143" s="106" t="n">
        <v>1</v>
      </c>
      <c r="G143" s="259" t="n">
        <v>100000</v>
      </c>
      <c r="H143" s="93">
        <f>G144*25%*75%</f>
        <v/>
      </c>
      <c r="I143" s="36" t="n"/>
    </row>
    <row r="144" hidden="1" ht="15.75" customFormat="1" customHeight="1" s="202">
      <c r="A144" s="92" t="n">
        <v>139</v>
      </c>
      <c r="B144" s="103" t="inlineStr">
        <is>
          <t>2026/06/01 05:00</t>
        </is>
      </c>
      <c r="C144" s="103" t="inlineStr">
        <is>
          <t>HỒ THANH VŨ</t>
        </is>
      </c>
      <c r="D144" s="103" t="inlineStr">
        <is>
          <t>26/07/1982</t>
        </is>
      </c>
      <c r="E144" s="103" t="inlineStr">
        <is>
          <t>Thay băng, cắt chỉ vết mổ [chiều dài ≤ 15cm]</t>
        </is>
      </c>
      <c r="F144" s="106" t="n">
        <v>1</v>
      </c>
      <c r="G144" s="259" t="n">
        <v>100000</v>
      </c>
      <c r="H144" s="93">
        <f>G145*25%*75%</f>
        <v/>
      </c>
      <c r="I144" s="36" t="n"/>
    </row>
    <row r="145" hidden="1" ht="15.75" customFormat="1" customHeight="1" s="202">
      <c r="A145" s="92" t="n">
        <v>140</v>
      </c>
      <c r="B145" s="103" t="inlineStr">
        <is>
          <t>2026/06/01 05:00</t>
        </is>
      </c>
      <c r="C145" s="103" t="inlineStr">
        <is>
          <t>LƯU TẤN PHÁT</t>
        </is>
      </c>
      <c r="D145" s="103" t="inlineStr">
        <is>
          <t>01/01/1954</t>
        </is>
      </c>
      <c r="E145" s="103" t="inlineStr">
        <is>
          <t>Thay băng, cắt chỉ vết mổ [chiều dài ≤ 15cm]</t>
        </is>
      </c>
      <c r="F145" s="106" t="n">
        <v>1</v>
      </c>
      <c r="G145" s="259" t="n">
        <v>100000</v>
      </c>
      <c r="H145" s="93">
        <f>G146*25%*75%</f>
        <v/>
      </c>
      <c r="I145" s="36" t="n"/>
    </row>
    <row r="146" hidden="1" ht="15.75" customFormat="1" customHeight="1" s="202">
      <c r="A146" s="92" t="n">
        <v>141</v>
      </c>
      <c r="B146" s="103" t="inlineStr">
        <is>
          <t>2026/06/01 05:00</t>
        </is>
      </c>
      <c r="C146" s="103" t="inlineStr">
        <is>
          <t>MAI THÀNH DƯƠNG</t>
        </is>
      </c>
      <c r="D146" s="103" t="inlineStr">
        <is>
          <t>10/04/1964</t>
        </is>
      </c>
      <c r="E146" s="103" t="inlineStr">
        <is>
          <t>Thay băng, cắt chỉ vết mổ [chiều dài ≤ 15cm]</t>
        </is>
      </c>
      <c r="F146" s="106" t="n">
        <v>1</v>
      </c>
      <c r="G146" s="259" t="n">
        <v>100000</v>
      </c>
      <c r="H146" s="93">
        <f>G147*25%*75%</f>
        <v/>
      </c>
      <c r="I146" s="36" t="n"/>
    </row>
    <row r="147" hidden="1" ht="15.75" customFormat="1" customHeight="1" s="202">
      <c r="A147" s="92" t="n">
        <v>142</v>
      </c>
      <c r="B147" s="103" t="inlineStr">
        <is>
          <t>2026/06/01 05:00</t>
        </is>
      </c>
      <c r="C147" s="103" t="inlineStr">
        <is>
          <t>NGUYỄN THỊ CHUỐI</t>
        </is>
      </c>
      <c r="D147" s="103" t="inlineStr">
        <is>
          <t>06/08/1952</t>
        </is>
      </c>
      <c r="E147" s="103" t="inlineStr">
        <is>
          <t>Thay băng, cắt chỉ vết mổ [chiều dài ≤ 15cm]</t>
        </is>
      </c>
      <c r="F147" s="106" t="n">
        <v>1</v>
      </c>
      <c r="G147" s="259" t="n">
        <v>100000</v>
      </c>
      <c r="H147" s="93">
        <f>G148*25%*75%</f>
        <v/>
      </c>
      <c r="I147" s="36" t="n"/>
    </row>
    <row r="148" hidden="1" ht="15.75" customFormat="1" customHeight="1" s="202">
      <c r="A148" s="92" t="n">
        <v>143</v>
      </c>
      <c r="B148" s="103" t="inlineStr">
        <is>
          <t>2026/06/01 05:00</t>
        </is>
      </c>
      <c r="C148" s="103" t="inlineStr">
        <is>
          <t>NGUYỄN THỊ XUA</t>
        </is>
      </c>
      <c r="D148" s="103" t="inlineStr">
        <is>
          <t>01/01/1938</t>
        </is>
      </c>
      <c r="E148" s="103" t="inlineStr">
        <is>
          <t>Thay băng, cắt chỉ vết mổ [chiều dài ≤ 15cm]</t>
        </is>
      </c>
      <c r="F148" s="106" t="n">
        <v>1</v>
      </c>
      <c r="G148" s="259" t="n">
        <v>100000</v>
      </c>
      <c r="H148" s="93">
        <f>G149*25%*75%</f>
        <v/>
      </c>
      <c r="I148" s="36" t="n"/>
    </row>
    <row r="149" hidden="1" ht="15.75" customFormat="1" customHeight="1" s="202">
      <c r="A149" s="92" t="n">
        <v>144</v>
      </c>
      <c r="B149" s="103" t="inlineStr">
        <is>
          <t>2026/06/01 05:00</t>
        </is>
      </c>
      <c r="C149" s="103" t="inlineStr">
        <is>
          <t>NGUYỄN VĂN GẬP</t>
        </is>
      </c>
      <c r="D149" s="103" t="inlineStr">
        <is>
          <t>03/04/1952</t>
        </is>
      </c>
      <c r="E149" s="103" t="inlineStr">
        <is>
          <t>Thay băng, cắt chỉ vết mổ [chiều dài ≤ 15cm]</t>
        </is>
      </c>
      <c r="F149" s="106" t="n">
        <v>1</v>
      </c>
      <c r="G149" s="259" t="n">
        <v>100000</v>
      </c>
      <c r="H149" s="93">
        <f>G150*25%*75%</f>
        <v/>
      </c>
      <c r="I149" s="36" t="n"/>
    </row>
    <row r="150" hidden="1" ht="15.75" customFormat="1" customHeight="1" s="202">
      <c r="A150" s="92" t="n">
        <v>145</v>
      </c>
      <c r="B150" s="103" t="inlineStr">
        <is>
          <t>2026/06/01 05:00</t>
        </is>
      </c>
      <c r="C150" s="103" t="inlineStr">
        <is>
          <t>TRẦN VĂN XIÊN</t>
        </is>
      </c>
      <c r="D150" s="103" t="inlineStr">
        <is>
          <t>01/01/1964</t>
        </is>
      </c>
      <c r="E150" s="103" t="inlineStr">
        <is>
          <t>Thay băng, cắt chỉ vết mổ [chiều dài ≤ 15cm]</t>
        </is>
      </c>
      <c r="F150" s="106" t="n">
        <v>1</v>
      </c>
      <c r="G150" s="259" t="n">
        <v>100000</v>
      </c>
      <c r="H150" s="93">
        <f>G151*25%*75%</f>
        <v/>
      </c>
      <c r="I150" s="36" t="n"/>
    </row>
    <row r="151" hidden="1" ht="15.75" customFormat="1" customHeight="1" s="202">
      <c r="A151" s="92" t="n">
        <v>146</v>
      </c>
      <c r="B151" s="103" t="inlineStr">
        <is>
          <t>2026/06/01 05:00</t>
        </is>
      </c>
      <c r="C151" s="103" t="inlineStr">
        <is>
          <t>VŨ THÀNH ĐẠT</t>
        </is>
      </c>
      <c r="D151" s="103" t="inlineStr">
        <is>
          <t>01/02/1955</t>
        </is>
      </c>
      <c r="E151" s="103" t="inlineStr">
        <is>
          <t>Thay băng, cắt chỉ vết mổ [chiều dài ≤ 15cm]</t>
        </is>
      </c>
      <c r="F151" s="106" t="n">
        <v>1</v>
      </c>
      <c r="G151" s="259" t="n">
        <v>100000</v>
      </c>
      <c r="H151" s="93">
        <f>G152*25%*75%</f>
        <v/>
      </c>
      <c r="I151" s="36" t="n"/>
    </row>
    <row r="152" hidden="1" ht="15.75" customFormat="1" customHeight="1" s="202">
      <c r="A152" s="92" t="n">
        <v>147</v>
      </c>
      <c r="B152" s="103" t="inlineStr">
        <is>
          <t>2026/06/01 06:10</t>
        </is>
      </c>
      <c r="C152" s="103" t="inlineStr">
        <is>
          <t>HUỲNH THANH HÙNG</t>
        </is>
      </c>
      <c r="D152" s="103" t="inlineStr">
        <is>
          <t>01/01/1945</t>
        </is>
      </c>
      <c r="E152" s="103" t="inlineStr">
        <is>
          <t>Thay băng, cắt chỉ vết mổ [chiều dài ≤ 15cm]</t>
        </is>
      </c>
      <c r="F152" s="106" t="n">
        <v>1</v>
      </c>
      <c r="G152" s="259" t="n">
        <v>100000</v>
      </c>
      <c r="H152" s="93">
        <f>G153*25%*75%</f>
        <v/>
      </c>
      <c r="I152" s="36" t="n"/>
    </row>
    <row r="153" hidden="1" ht="15.75" customFormat="1" customHeight="1" s="202">
      <c r="A153" s="92" t="n">
        <v>148</v>
      </c>
      <c r="B153" s="103" t="inlineStr">
        <is>
          <t>2026/06/01 06:34</t>
        </is>
      </c>
      <c r="C153" s="103" t="inlineStr">
        <is>
          <t>LÊ TIẾN ĐẠT</t>
        </is>
      </c>
      <c r="D153" s="103" t="inlineStr">
        <is>
          <t>20/08/2004</t>
        </is>
      </c>
      <c r="E153" s="103" t="inlineStr">
        <is>
          <t>Thay băng, cắt chỉ vết mổ [chiều dài ≤ 15cm]</t>
        </is>
      </c>
      <c r="F153" s="106" t="n">
        <v>1</v>
      </c>
      <c r="G153" s="259" t="n">
        <v>100000</v>
      </c>
      <c r="H153" s="93">
        <f>G154*25%*75%</f>
        <v/>
      </c>
      <c r="I153" s="36" t="n"/>
    </row>
    <row r="154" hidden="1" ht="15.75" customFormat="1" customHeight="1" s="202">
      <c r="A154" s="92" t="n">
        <v>149</v>
      </c>
      <c r="B154" s="103" t="inlineStr">
        <is>
          <t>2026/06/01 07:00</t>
        </is>
      </c>
      <c r="C154" s="103" t="inlineStr">
        <is>
          <t>KIM THANH ĐẠT</t>
        </is>
      </c>
      <c r="D154" s="103" t="inlineStr">
        <is>
          <t>29/12/2007</t>
        </is>
      </c>
      <c r="E154" s="103" t="inlineStr">
        <is>
          <t>Thay băng, cắt chỉ vết mổ [chiều dài ≤ 15cm]</t>
        </is>
      </c>
      <c r="F154" s="106" t="n">
        <v>1</v>
      </c>
      <c r="G154" s="259" t="n">
        <v>100000</v>
      </c>
      <c r="H154" s="93">
        <f>G155*25%*75%</f>
        <v/>
      </c>
      <c r="I154" s="36" t="n"/>
    </row>
    <row r="155" hidden="1" ht="15.75" customFormat="1" customHeight="1" s="202">
      <c r="A155" s="92" t="n">
        <v>150</v>
      </c>
      <c r="B155" s="103" t="inlineStr">
        <is>
          <t>2026/06/01 07:00</t>
        </is>
      </c>
      <c r="C155" s="103" t="inlineStr">
        <is>
          <t>NGUYỄN THỊ LÝ</t>
        </is>
      </c>
      <c r="D155" s="103" t="inlineStr">
        <is>
          <t>01/01/1944</t>
        </is>
      </c>
      <c r="E155" s="103" t="inlineStr">
        <is>
          <t>Thay băng, cắt chỉ vết mổ [chiều dài ≤ 15cm]</t>
        </is>
      </c>
      <c r="F155" s="106" t="n">
        <v>1</v>
      </c>
      <c r="G155" s="259" t="n">
        <v>100000</v>
      </c>
      <c r="H155" s="93">
        <f>G156*25%*75%</f>
        <v/>
      </c>
      <c r="I155" s="36" t="n"/>
    </row>
    <row r="156" hidden="1" ht="15.75" customFormat="1" customHeight="1" s="202">
      <c r="A156" s="92" t="n">
        <v>151</v>
      </c>
      <c r="B156" s="103" t="inlineStr">
        <is>
          <t>2026/06/01 07:00</t>
        </is>
      </c>
      <c r="C156" s="103" t="inlineStr">
        <is>
          <t>PHAN THỊ NỠ</t>
        </is>
      </c>
      <c r="D156" s="103" t="inlineStr">
        <is>
          <t>01/01/1957</t>
        </is>
      </c>
      <c r="E156" s="103" t="inlineStr">
        <is>
          <t>Thay băng, cắt chỉ vết mổ [chiều dài ≤ 15cm]</t>
        </is>
      </c>
      <c r="F156" s="106" t="n">
        <v>1</v>
      </c>
      <c r="G156" s="259" t="n">
        <v>100000</v>
      </c>
      <c r="H156" s="93">
        <f>G157*25%*75%</f>
        <v/>
      </c>
      <c r="I156" s="36" t="n"/>
    </row>
    <row r="157" hidden="1" ht="15.75" customFormat="1" customHeight="1" s="202">
      <c r="A157" s="92" t="n">
        <v>152</v>
      </c>
      <c r="B157" s="103" t="inlineStr">
        <is>
          <t>2026/06/01 07:00</t>
        </is>
      </c>
      <c r="C157" s="103" t="inlineStr">
        <is>
          <t>VŨ THỊ THÚY</t>
        </is>
      </c>
      <c r="D157" s="103" t="inlineStr">
        <is>
          <t>02/08/1965</t>
        </is>
      </c>
      <c r="E157" s="103" t="inlineStr">
        <is>
          <t>Thay băng, cắt chỉ vết mổ [chiều dài ≤ 15cm]</t>
        </is>
      </c>
      <c r="F157" s="106" t="n">
        <v>1</v>
      </c>
      <c r="G157" s="259" t="n">
        <v>100000</v>
      </c>
      <c r="H157" s="93">
        <f>G158*25%*75%</f>
        <v/>
      </c>
      <c r="I157" s="36" t="n"/>
    </row>
    <row r="158" hidden="1" ht="15.75" customFormat="1" customHeight="1" s="202">
      <c r="A158" s="92" t="n">
        <v>153</v>
      </c>
      <c r="B158" s="103" t="inlineStr">
        <is>
          <t>2026/06/01 07:03</t>
        </is>
      </c>
      <c r="C158" s="103" t="inlineStr">
        <is>
          <t>TRẦN THỊ QUẮN</t>
        </is>
      </c>
      <c r="D158" s="103" t="inlineStr">
        <is>
          <t>01/01/1934</t>
        </is>
      </c>
      <c r="E158" s="103" t="inlineStr">
        <is>
          <t>Thay băng, cắt chỉ vết mổ [chiều dài ≤ 15cm]</t>
        </is>
      </c>
      <c r="F158" s="106" t="n">
        <v>1</v>
      </c>
      <c r="G158" s="259" t="n">
        <v>100000</v>
      </c>
      <c r="H158" s="93">
        <f>G159*25%*75%</f>
        <v/>
      </c>
      <c r="I158" s="36" t="n"/>
    </row>
    <row r="159" hidden="1" ht="15.75" customFormat="1" customHeight="1" s="202">
      <c r="A159" s="92" t="n">
        <v>154</v>
      </c>
      <c r="B159" s="103" t="inlineStr">
        <is>
          <t>2026/06/01 07:13</t>
        </is>
      </c>
      <c r="C159" s="103" t="inlineStr">
        <is>
          <t>NGUYỄN MINH TUỆ</t>
        </is>
      </c>
      <c r="D159" s="103" t="inlineStr">
        <is>
          <t>20/05/2002</t>
        </is>
      </c>
      <c r="E159" s="103" t="inlineStr">
        <is>
          <t>Thay băng, cắt chỉ vết mổ [chiều dài ≤ 15cm]</t>
        </is>
      </c>
      <c r="F159" s="106" t="n">
        <v>1</v>
      </c>
      <c r="G159" s="259" t="n">
        <v>100000</v>
      </c>
      <c r="H159" s="93">
        <f>G160*25%*75%</f>
        <v/>
      </c>
      <c r="I159" s="36" t="n"/>
    </row>
    <row r="160" hidden="1" ht="15.75" customFormat="1" customHeight="1" s="202">
      <c r="A160" s="92" t="n">
        <v>155</v>
      </c>
      <c r="B160" s="103" t="inlineStr">
        <is>
          <t>2026/06/01 07:22</t>
        </is>
      </c>
      <c r="C160" s="103" t="inlineStr">
        <is>
          <t>NGUYỄN THỊ HẤN</t>
        </is>
      </c>
      <c r="D160" s="103" t="inlineStr">
        <is>
          <t>01/01/1959</t>
        </is>
      </c>
      <c r="E160" s="103" t="inlineStr">
        <is>
          <t>Thay băng, cắt chỉ vết mổ [chiều dài ≤ 15cm]</t>
        </is>
      </c>
      <c r="F160" s="106" t="n">
        <v>1</v>
      </c>
      <c r="G160" s="259" t="n">
        <v>100000</v>
      </c>
      <c r="H160" s="93">
        <f>G161*25%*75%</f>
        <v/>
      </c>
      <c r="I160" s="36" t="n"/>
    </row>
    <row r="161" hidden="1" ht="15.75" customFormat="1" customHeight="1" s="202">
      <c r="A161" s="92" t="n">
        <v>156</v>
      </c>
      <c r="B161" s="103" t="inlineStr">
        <is>
          <t>2026/06/01 07:38</t>
        </is>
      </c>
      <c r="C161" s="103" t="inlineStr">
        <is>
          <t>TỐNG MỸ DUNG</t>
        </is>
      </c>
      <c r="D161" s="103" t="inlineStr">
        <is>
          <t>03/04/2009</t>
        </is>
      </c>
      <c r="E161" s="103" t="inlineStr">
        <is>
          <t>Thay băng, cắt chỉ vết mổ [chiều dài ≤ 15cm]</t>
        </is>
      </c>
      <c r="F161" s="106" t="n">
        <v>1</v>
      </c>
      <c r="G161" s="259" t="n">
        <v>100000</v>
      </c>
      <c r="H161" s="93">
        <f>G162*25%*75%</f>
        <v/>
      </c>
      <c r="I161" s="36" t="n"/>
    </row>
    <row r="162" hidden="1" ht="15.75" customFormat="1" customHeight="1" s="202">
      <c r="A162" s="92" t="n">
        <v>157</v>
      </c>
      <c r="B162" s="103" t="inlineStr">
        <is>
          <t>2026/06/01 07:40</t>
        </is>
      </c>
      <c r="C162" s="103" t="inlineStr">
        <is>
          <t>VÕ VĂN BÉ BA</t>
        </is>
      </c>
      <c r="D162" s="103" t="inlineStr">
        <is>
          <t>12/12/1964</t>
        </is>
      </c>
      <c r="E162" s="103" t="inlineStr">
        <is>
          <t>Thay băng, cắt chỉ vết mổ [chiều dài ≤ 15cm]</t>
        </is>
      </c>
      <c r="F162" s="106" t="n">
        <v>1</v>
      </c>
      <c r="G162" s="259" t="n">
        <v>100000</v>
      </c>
      <c r="H162" s="93">
        <f>G163*25%*75%</f>
        <v/>
      </c>
      <c r="I162" s="36" t="n"/>
    </row>
    <row r="163" hidden="1" ht="15.75" customFormat="1" customHeight="1" s="202">
      <c r="A163" s="92" t="n">
        <v>158</v>
      </c>
      <c r="B163" s="103" t="inlineStr">
        <is>
          <t>2026/06/01 08:00</t>
        </is>
      </c>
      <c r="C163" s="103" t="inlineStr">
        <is>
          <t>NGUYỄN THỊ BÉ TƯ</t>
        </is>
      </c>
      <c r="D163" s="103" t="inlineStr">
        <is>
          <t>01/01/1967</t>
        </is>
      </c>
      <c r="E163" s="103" t="inlineStr">
        <is>
          <t>Thay băng, cắt chỉ vết mổ [chiều dài ≤ 15cm]</t>
        </is>
      </c>
      <c r="F163" s="106" t="n">
        <v>1</v>
      </c>
      <c r="G163" s="259" t="n">
        <v>100000</v>
      </c>
      <c r="H163" s="93">
        <f>G164*25%*75%</f>
        <v/>
      </c>
      <c r="I163" s="36" t="n"/>
    </row>
    <row r="164" ht="15.75" customFormat="1" customHeight="1" s="202">
      <c r="A164" s="92" t="n">
        <v>159</v>
      </c>
      <c r="B164" s="103" t="inlineStr">
        <is>
          <t>2026/06/01 09:31</t>
        </is>
      </c>
      <c r="C164" s="103" t="inlineStr">
        <is>
          <t>NGUYỄN THỊ THANH THỦY</t>
        </is>
      </c>
      <c r="D164" s="103" t="inlineStr">
        <is>
          <t>27/04/1959</t>
        </is>
      </c>
      <c r="E164" s="103" t="inlineStr">
        <is>
          <t>Điều trị thoái hóa khớp bằng huyết tương giàu tiểu cầu</t>
        </is>
      </c>
      <c r="F164" s="106" t="n">
        <v>1</v>
      </c>
      <c r="G164" s="259" t="n">
        <v>5500000</v>
      </c>
      <c r="H164" s="93">
        <f>G166*25%*75%</f>
        <v/>
      </c>
      <c r="I164" s="36" t="n"/>
    </row>
    <row r="165" hidden="1" ht="15.75" customFormat="1" customHeight="1" s="202">
      <c r="A165" s="92" t="n">
        <v>160</v>
      </c>
      <c r="B165" s="103" t="inlineStr">
        <is>
          <t>2026/06/01 09:56</t>
        </is>
      </c>
      <c r="C165" s="103" t="inlineStr">
        <is>
          <t>PHAN QUANG TINH</t>
        </is>
      </c>
      <c r="D165" s="103" t="inlineStr">
        <is>
          <t>20/02/1999</t>
        </is>
      </c>
      <c r="E165" s="103" t="inlineStr">
        <is>
          <t>Tháo bột (nhỏ)</t>
        </is>
      </c>
      <c r="F165" s="106" t="n">
        <v>1</v>
      </c>
      <c r="G165" s="259" t="n">
        <v>100000</v>
      </c>
      <c r="H165" s="93">
        <f>G167*25%*75%</f>
        <v/>
      </c>
      <c r="I165" s="36" t="n"/>
    </row>
    <row r="166" hidden="1" ht="15.75" customFormat="1" customHeight="1" s="202">
      <c r="A166" s="92" t="n">
        <v>161</v>
      </c>
      <c r="B166" s="103" t="inlineStr">
        <is>
          <t>2026/06/01 10:35</t>
        </is>
      </c>
      <c r="C166" s="103" t="inlineStr">
        <is>
          <t>NGUYỄN HUY HẠ</t>
        </is>
      </c>
      <c r="D166" s="103" t="inlineStr">
        <is>
          <t>05/10/1968</t>
        </is>
      </c>
      <c r="E166" s="103" t="inlineStr">
        <is>
          <t>Nắn, bó bột trật khớp cổ chân [bột liền]</t>
        </is>
      </c>
      <c r="F166" s="106" t="n">
        <v>1</v>
      </c>
      <c r="G166" s="259" t="n">
        <v>282000</v>
      </c>
      <c r="H166" s="93">
        <f>G168*25%*75%</f>
        <v/>
      </c>
      <c r="I166" s="36" t="n"/>
    </row>
    <row r="167" hidden="1" ht="15.75" customFormat="1" customHeight="1" s="202">
      <c r="A167" s="92" t="n">
        <v>162</v>
      </c>
      <c r="B167" s="103" t="inlineStr">
        <is>
          <t>2026/06/01 11:03</t>
        </is>
      </c>
      <c r="C167" s="103" t="inlineStr">
        <is>
          <t>NGUYỄN LONG VÂN KIỀU NGỌC LIÊN</t>
        </is>
      </c>
      <c r="D167" s="103" t="inlineStr">
        <is>
          <t>24/12/1977</t>
        </is>
      </c>
      <c r="E167" s="103" t="inlineStr">
        <is>
          <t>Tháo bột (nhỏ)</t>
        </is>
      </c>
      <c r="F167" s="106" t="n">
        <v>1</v>
      </c>
      <c r="G167" s="259" t="n">
        <v>100000</v>
      </c>
      <c r="H167" s="93">
        <f>G169*25%*75%</f>
        <v/>
      </c>
      <c r="I167" s="36" t="n"/>
    </row>
    <row r="168" hidden="1" ht="15.75" customFormat="1" customHeight="1" s="202">
      <c r="A168" s="92" t="n">
        <v>163</v>
      </c>
      <c r="B168" s="103" t="inlineStr">
        <is>
          <t>2026/06/01 13:30</t>
        </is>
      </c>
      <c r="C168" s="103" t="inlineStr">
        <is>
          <t>NGUYỄN THỊ HỒNG</t>
        </is>
      </c>
      <c r="D168" s="103" t="inlineStr">
        <is>
          <t>01/01/1964</t>
        </is>
      </c>
      <c r="E168" s="103" t="inlineStr">
        <is>
          <t>Thay băng, cắt chỉ vết mổ [chiều dài ≤ 15cm]</t>
        </is>
      </c>
      <c r="F168" s="106" t="n">
        <v>1</v>
      </c>
      <c r="G168" s="259" t="n">
        <v>100000</v>
      </c>
      <c r="H168" s="93">
        <f>G170*25%*75%</f>
        <v/>
      </c>
      <c r="I168" s="36" t="n"/>
    </row>
    <row r="169" hidden="1" ht="15.75" customFormat="1" customHeight="1" s="202">
      <c r="A169" s="92" t="n">
        <v>164</v>
      </c>
      <c r="B169" s="103" t="inlineStr">
        <is>
          <t>2026/06/01 14:28</t>
        </is>
      </c>
      <c r="C169" s="103" t="inlineStr">
        <is>
          <t>HUỲNH THỊ KIỀU TRANG</t>
        </is>
      </c>
      <c r="D169" s="103" t="inlineStr">
        <is>
          <t>10/04/1983</t>
        </is>
      </c>
      <c r="E169" s="103" t="inlineStr">
        <is>
          <t>Thay băng, cắt chỉ vết mổ [chiều dài ≤ 15cm]</t>
        </is>
      </c>
      <c r="F169" s="106" t="n">
        <v>1</v>
      </c>
      <c r="G169" s="259" t="n">
        <v>64300</v>
      </c>
      <c r="H169" s="93">
        <f>G171*25%*75%</f>
        <v/>
      </c>
      <c r="I169" s="36" t="n"/>
    </row>
    <row r="170" hidden="1" ht="15.75" customFormat="1" customHeight="1" s="202">
      <c r="A170" s="92" t="n">
        <v>165</v>
      </c>
      <c r="B170" s="103" t="inlineStr">
        <is>
          <t>2026/06/01 15:31</t>
        </is>
      </c>
      <c r="C170" s="103" t="inlineStr">
        <is>
          <t>LÂM VINH</t>
        </is>
      </c>
      <c r="D170" s="103" t="inlineStr">
        <is>
          <t>17/08/1984</t>
        </is>
      </c>
      <c r="E170" s="103" t="inlineStr">
        <is>
          <t>Tháo bột (trung bình)</t>
        </is>
      </c>
      <c r="F170" s="106" t="n">
        <v>1</v>
      </c>
      <c r="G170" s="259" t="n">
        <v>200000</v>
      </c>
      <c r="H170" s="93">
        <f>G173*25%*75%</f>
        <v/>
      </c>
      <c r="I170" s="36" t="n"/>
    </row>
    <row r="171" hidden="1" ht="15.75" customFormat="1" customHeight="1" s="202">
      <c r="A171" s="92" t="n">
        <v>166</v>
      </c>
      <c r="B171" s="103" t="inlineStr">
        <is>
          <t>2026/06/01 15:45</t>
        </is>
      </c>
      <c r="C171" s="103" t="inlineStr">
        <is>
          <t>NGUYỄN LONG VÂN KIỀU NGỌC LIÊN</t>
        </is>
      </c>
      <c r="D171" s="103" t="inlineStr">
        <is>
          <t>24/12/1977</t>
        </is>
      </c>
      <c r="E171" s="103" t="inlineStr">
        <is>
          <t>Nẹp bột các loại, không nắn (loại 2)</t>
        </is>
      </c>
      <c r="F171" s="106" t="n">
        <v>1</v>
      </c>
      <c r="G171" s="259" t="n">
        <v>300000</v>
      </c>
      <c r="H171" s="93">
        <f>G174*25%*75%</f>
        <v/>
      </c>
      <c r="I171" s="36" t="n"/>
    </row>
    <row r="172" hidden="1" ht="15.75" customFormat="1" customHeight="1" s="202">
      <c r="A172" s="92" t="n">
        <v>167</v>
      </c>
      <c r="B172" s="103" t="inlineStr">
        <is>
          <t>2026/06/01 15:51</t>
        </is>
      </c>
      <c r="C172" s="103" t="inlineStr">
        <is>
          <t>LÂM THANH HÙNG</t>
        </is>
      </c>
      <c r="D172" s="103" t="inlineStr">
        <is>
          <t>01/01/1954</t>
        </is>
      </c>
      <c r="E172" s="103" t="inlineStr">
        <is>
          <t>Tháo bột (nhỏ)</t>
        </is>
      </c>
      <c r="F172" s="106" t="n">
        <v>1</v>
      </c>
      <c r="G172" s="259" t="n">
        <v>100000</v>
      </c>
      <c r="H172" s="93">
        <f>G175*25%*75%</f>
        <v/>
      </c>
      <c r="I172" s="36" t="n"/>
    </row>
    <row r="173" hidden="1" ht="15.75" customFormat="1" customHeight="1" s="202">
      <c r="A173" s="92" t="n">
        <v>168</v>
      </c>
      <c r="B173" s="103" t="inlineStr">
        <is>
          <t>2026/06/02 05:00</t>
        </is>
      </c>
      <c r="C173" s="103" t="inlineStr">
        <is>
          <t>BÙI VĂN LONG</t>
        </is>
      </c>
      <c r="D173" s="103" t="inlineStr">
        <is>
          <t>21/10/1961</t>
        </is>
      </c>
      <c r="E173" s="103" t="inlineStr">
        <is>
          <t>Thay băng, cắt chỉ vết mổ [chiều dài ≤ 15cm]</t>
        </is>
      </c>
      <c r="F173" s="106" t="n">
        <v>1</v>
      </c>
      <c r="G173" s="259" t="n">
        <v>100000</v>
      </c>
      <c r="H173" s="93">
        <f>G177*25%*75%</f>
        <v/>
      </c>
      <c r="I173" s="36" t="n"/>
    </row>
    <row r="174" hidden="1" ht="15.75" customFormat="1" customHeight="1" s="202">
      <c r="A174" s="92" t="n">
        <v>169</v>
      </c>
      <c r="B174" s="103" t="inlineStr">
        <is>
          <t>2026/06/02 05:00</t>
        </is>
      </c>
      <c r="C174" s="103" t="inlineStr">
        <is>
          <t>DƯƠNG VĂN CHIẾN</t>
        </is>
      </c>
      <c r="D174" s="103" t="inlineStr">
        <is>
          <t>01/01/1949</t>
        </is>
      </c>
      <c r="E174" s="103" t="inlineStr">
        <is>
          <t>Thay băng, cắt chỉ vết mổ [chiều dài ≤ 15cm]</t>
        </is>
      </c>
      <c r="F174" s="106" t="n">
        <v>1</v>
      </c>
      <c r="G174" s="259" t="n">
        <v>100000</v>
      </c>
      <c r="H174" s="93">
        <f>G178*25%*75%</f>
        <v/>
      </c>
      <c r="I174" s="36" t="n"/>
    </row>
    <row r="175" hidden="1" ht="15.75" customFormat="1" customHeight="1" s="202">
      <c r="A175" s="92" t="n">
        <v>170</v>
      </c>
      <c r="B175" s="103" t="inlineStr">
        <is>
          <t>2026/06/02 05:00</t>
        </is>
      </c>
      <c r="C175" s="103" t="inlineStr">
        <is>
          <t>MAI THÀNH DƯƠNG</t>
        </is>
      </c>
      <c r="D175" s="103" t="inlineStr">
        <is>
          <t>10/04/1964</t>
        </is>
      </c>
      <c r="E175" s="103" t="inlineStr">
        <is>
          <t>Thay băng, cắt chỉ vết mổ [chiều dài ≤ 15cm]</t>
        </is>
      </c>
      <c r="F175" s="106" t="n">
        <v>1</v>
      </c>
      <c r="G175" s="259" t="n">
        <v>100000</v>
      </c>
      <c r="H175" s="93">
        <f>G179*25%*75%</f>
        <v/>
      </c>
      <c r="I175" s="36" t="n"/>
    </row>
    <row r="176" hidden="1" ht="15.75" customFormat="1" customHeight="1" s="202">
      <c r="A176" s="92" t="n">
        <v>171</v>
      </c>
      <c r="B176" s="103" t="inlineStr">
        <is>
          <t>2026/06/02 05:00</t>
        </is>
      </c>
      <c r="C176" s="103" t="inlineStr">
        <is>
          <t>NGUYỄN THỊ CHUỐI</t>
        </is>
      </c>
      <c r="D176" s="103" t="inlineStr">
        <is>
          <t>06/08/1952</t>
        </is>
      </c>
      <c r="E176" s="103" t="inlineStr">
        <is>
          <t>Thay băng, cắt chỉ vết mổ [chiều dài ≤ 15cm]</t>
        </is>
      </c>
      <c r="F176" s="106" t="n">
        <v>1</v>
      </c>
      <c r="G176" s="259" t="n">
        <v>100000</v>
      </c>
      <c r="H176" s="93">
        <f>G180*25%*75%</f>
        <v/>
      </c>
      <c r="I176" s="36" t="n"/>
    </row>
    <row r="177" hidden="1" ht="15.75" customFormat="1" customHeight="1" s="202">
      <c r="A177" s="92" t="n">
        <v>172</v>
      </c>
      <c r="B177" s="103" t="inlineStr">
        <is>
          <t>2026/06/02 05:00</t>
        </is>
      </c>
      <c r="C177" s="103" t="inlineStr">
        <is>
          <t>TRẦN VĂN XIÊN</t>
        </is>
      </c>
      <c r="D177" s="103" t="inlineStr">
        <is>
          <t>01/01/1964</t>
        </is>
      </c>
      <c r="E177" s="103" t="inlineStr">
        <is>
          <t>Thay băng, cắt chỉ vết mổ [chiều dài ≤ 15cm]</t>
        </is>
      </c>
      <c r="F177" s="106" t="n">
        <v>1</v>
      </c>
      <c r="G177" s="259" t="n">
        <v>100000</v>
      </c>
      <c r="H177" s="93">
        <f>G181*25%*75%</f>
        <v/>
      </c>
      <c r="I177" s="36" t="n"/>
    </row>
    <row r="178" hidden="1" ht="15.75" customFormat="1" customHeight="1" s="202">
      <c r="A178" s="92" t="n">
        <v>173</v>
      </c>
      <c r="B178" s="103" t="inlineStr">
        <is>
          <t>2026/06/02 05:00</t>
        </is>
      </c>
      <c r="C178" s="103" t="inlineStr">
        <is>
          <t>VŨ THÀNH ĐẠT</t>
        </is>
      </c>
      <c r="D178" s="103" t="inlineStr">
        <is>
          <t>01/02/1955</t>
        </is>
      </c>
      <c r="E178" s="103" t="inlineStr">
        <is>
          <t>Thay băng, cắt chỉ vết mổ [chiều dài ≤ 15cm]</t>
        </is>
      </c>
      <c r="F178" s="106" t="n">
        <v>1</v>
      </c>
      <c r="G178" s="259" t="n">
        <v>100000</v>
      </c>
      <c r="H178" s="93">
        <f>G182*25%*75%</f>
        <v/>
      </c>
      <c r="I178" s="36" t="n"/>
    </row>
    <row r="179" hidden="1" ht="15.75" customFormat="1" customHeight="1" s="202">
      <c r="A179" s="92" t="n">
        <v>174</v>
      </c>
      <c r="B179" s="103" t="inlineStr">
        <is>
          <t>2026/06/02 06:20</t>
        </is>
      </c>
      <c r="C179" s="103" t="inlineStr">
        <is>
          <t>PHẠM THỊ HỒNG GẤM</t>
        </is>
      </c>
      <c r="D179" s="103" t="inlineStr">
        <is>
          <t>01/01/1979</t>
        </is>
      </c>
      <c r="E179" s="103" t="inlineStr">
        <is>
          <t>Thay băng, cắt chỉ vết mổ [chiều dài ≤ 15cm]</t>
        </is>
      </c>
      <c r="F179" s="106" t="n">
        <v>1</v>
      </c>
      <c r="G179" s="259" t="n">
        <v>100000</v>
      </c>
      <c r="H179" s="93">
        <f>G183*25%*75%</f>
        <v/>
      </c>
      <c r="I179" s="36" t="n"/>
    </row>
    <row r="180" hidden="1" ht="15.75" customFormat="1" customHeight="1" s="202">
      <c r="A180" s="92" t="n">
        <v>175</v>
      </c>
      <c r="B180" s="103" t="inlineStr">
        <is>
          <t>2026/06/02 07:00</t>
        </is>
      </c>
      <c r="C180" s="103" t="inlineStr">
        <is>
          <t>KIM THANH ĐẠT</t>
        </is>
      </c>
      <c r="D180" s="103" t="inlineStr">
        <is>
          <t>29/12/2007</t>
        </is>
      </c>
      <c r="E180" s="103" t="inlineStr">
        <is>
          <t>Thay băng, cắt chỉ vết mổ [chiều dài ≤ 15cm]</t>
        </is>
      </c>
      <c r="F180" s="106" t="n">
        <v>1</v>
      </c>
      <c r="G180" s="259" t="n">
        <v>100000</v>
      </c>
      <c r="H180" s="93">
        <f>G184*25%*75%</f>
        <v/>
      </c>
      <c r="I180" s="36" t="n"/>
    </row>
    <row r="181" hidden="1" ht="15.75" customFormat="1" customHeight="1" s="202">
      <c r="A181" s="92" t="n">
        <v>176</v>
      </c>
      <c r="B181" s="103" t="inlineStr">
        <is>
          <t>2026/06/02 07:00</t>
        </is>
      </c>
      <c r="C181" s="103" t="inlineStr">
        <is>
          <t>NGUYỄN MINH TUỆ</t>
        </is>
      </c>
      <c r="D181" s="103" t="inlineStr">
        <is>
          <t>20/05/2002</t>
        </is>
      </c>
      <c r="E181" s="103" t="inlineStr">
        <is>
          <t>Thay băng, cắt chỉ vết mổ [chiều dài ≤ 15cm]</t>
        </is>
      </c>
      <c r="F181" s="106" t="n">
        <v>1</v>
      </c>
      <c r="G181" s="259" t="n">
        <v>100000</v>
      </c>
      <c r="H181" s="93">
        <f>G185*25%*75%</f>
        <v/>
      </c>
      <c r="I181" s="36" t="n"/>
    </row>
    <row r="182" hidden="1" ht="15.75" customFormat="1" customHeight="1" s="202">
      <c r="A182" s="92" t="n">
        <v>177</v>
      </c>
      <c r="B182" s="103" t="inlineStr">
        <is>
          <t>2026/06/02 07:00</t>
        </is>
      </c>
      <c r="C182" s="103" t="inlineStr">
        <is>
          <t>NGUYỄN THỊ HẤN</t>
        </is>
      </c>
      <c r="D182" s="103" t="inlineStr">
        <is>
          <t>01/01/1959</t>
        </is>
      </c>
      <c r="E182" s="103" t="inlineStr">
        <is>
          <t>Thay băng, cắt chỉ vết mổ [chiều dài ≤ 15cm]</t>
        </is>
      </c>
      <c r="F182" s="106" t="n">
        <v>1</v>
      </c>
      <c r="G182" s="259" t="n">
        <v>100000</v>
      </c>
      <c r="H182" s="93">
        <f>G186*25%*75%</f>
        <v/>
      </c>
      <c r="I182" s="36" t="n"/>
    </row>
    <row r="183" hidden="1" ht="15.75" customFormat="1" customHeight="1" s="202">
      <c r="A183" s="92" t="n">
        <v>178</v>
      </c>
      <c r="B183" s="103" t="inlineStr">
        <is>
          <t>2026/06/02 07:00</t>
        </is>
      </c>
      <c r="C183" s="103" t="inlineStr">
        <is>
          <t>NGUYỄN THỊ LÝ</t>
        </is>
      </c>
      <c r="D183" s="103" t="inlineStr">
        <is>
          <t>01/01/1944</t>
        </is>
      </c>
      <c r="E183" s="103" t="inlineStr">
        <is>
          <t>Thay băng, cắt chỉ vết mổ [chiều dài ≤ 15cm]</t>
        </is>
      </c>
      <c r="F183" s="106" t="n">
        <v>1</v>
      </c>
      <c r="G183" s="259" t="n">
        <v>100000</v>
      </c>
      <c r="H183" s="93">
        <f>G187*25%*75%</f>
        <v/>
      </c>
      <c r="I183" s="36" t="n"/>
    </row>
    <row r="184" hidden="1" ht="15.75" customFormat="1" customHeight="1" s="202">
      <c r="A184" s="92" t="n">
        <v>179</v>
      </c>
      <c r="B184" s="103" t="inlineStr">
        <is>
          <t>2026/06/02 07:00</t>
        </is>
      </c>
      <c r="C184" s="103" t="inlineStr">
        <is>
          <t>TRẦN THỊ QUẮN</t>
        </is>
      </c>
      <c r="D184" s="103" t="inlineStr">
        <is>
          <t>01/01/1934</t>
        </is>
      </c>
      <c r="E184" s="103" t="inlineStr">
        <is>
          <t>Thay băng, cắt chỉ vết mổ [chiều dài ≤ 15cm]</t>
        </is>
      </c>
      <c r="F184" s="106" t="n">
        <v>1</v>
      </c>
      <c r="G184" s="259" t="n">
        <v>100000</v>
      </c>
      <c r="H184" s="93">
        <f>G188*25%*75%</f>
        <v/>
      </c>
      <c r="I184" s="36" t="n"/>
    </row>
    <row r="185" hidden="1" ht="15.75" customFormat="1" customHeight="1" s="202">
      <c r="A185" s="92" t="n">
        <v>180</v>
      </c>
      <c r="B185" s="103" t="inlineStr">
        <is>
          <t>2026/06/02 07:00</t>
        </is>
      </c>
      <c r="C185" s="103" t="inlineStr">
        <is>
          <t>VŨ THỊ THÚY</t>
        </is>
      </c>
      <c r="D185" s="103" t="inlineStr">
        <is>
          <t>02/08/1965</t>
        </is>
      </c>
      <c r="E185" s="103" t="inlineStr">
        <is>
          <t>Thay băng, cắt chỉ vết mổ [chiều dài ≤ 15cm]</t>
        </is>
      </c>
      <c r="F185" s="106" t="n">
        <v>1</v>
      </c>
      <c r="G185" s="259" t="n">
        <v>100000</v>
      </c>
      <c r="H185" s="93">
        <f>G189*25%*75%</f>
        <v/>
      </c>
      <c r="I185" s="36" t="n"/>
    </row>
    <row r="186" hidden="1" ht="15.75" customFormat="1" customHeight="1" s="202">
      <c r="A186" s="92" t="n">
        <v>181</v>
      </c>
      <c r="B186" s="103" t="inlineStr">
        <is>
          <t>2026/06/02 07:35</t>
        </is>
      </c>
      <c r="C186" s="103" t="inlineStr">
        <is>
          <t>NGUYỄN HOÀNG VIỆT TRINH</t>
        </is>
      </c>
      <c r="D186" s="103" t="inlineStr">
        <is>
          <t>16/04/1999</t>
        </is>
      </c>
      <c r="E186" s="103" t="inlineStr">
        <is>
          <t>Thay băng, cắt chỉ vết mổ [chiều dài ≤ 15cm]</t>
        </is>
      </c>
      <c r="F186" s="106" t="n">
        <v>1</v>
      </c>
      <c r="G186" s="259" t="n">
        <v>100000</v>
      </c>
      <c r="H186" s="93">
        <f>G190*25%*75%</f>
        <v/>
      </c>
      <c r="I186" s="36" t="n"/>
    </row>
    <row r="187" hidden="1" ht="15.75" customFormat="1" customHeight="1" s="202">
      <c r="A187" s="92" t="n">
        <v>182</v>
      </c>
      <c r="B187" s="103" t="inlineStr">
        <is>
          <t>2026/06/02 07:35</t>
        </is>
      </c>
      <c r="C187" s="103" t="inlineStr">
        <is>
          <t>NGUYỄN VĂN CẤP</t>
        </is>
      </c>
      <c r="D187" s="103" t="inlineStr">
        <is>
          <t>01/01/1957</t>
        </is>
      </c>
      <c r="E187" s="103" t="inlineStr">
        <is>
          <t>Thay băng, cắt chỉ vết mổ [chiều dài ≤ 15cm]</t>
        </is>
      </c>
      <c r="F187" s="106" t="n">
        <v>1</v>
      </c>
      <c r="G187" s="259" t="n">
        <v>100000</v>
      </c>
      <c r="H187" s="93">
        <f>G191*25%*75%</f>
        <v/>
      </c>
      <c r="I187" s="36" t="n"/>
    </row>
    <row r="188" hidden="1" ht="15.75" customFormat="1" customHeight="1" s="202">
      <c r="A188" s="92" t="n">
        <v>183</v>
      </c>
      <c r="B188" s="103" t="inlineStr">
        <is>
          <t>2026/06/02 07:40</t>
        </is>
      </c>
      <c r="C188" s="103" t="inlineStr">
        <is>
          <t>VÕ VĂN BÉ BA</t>
        </is>
      </c>
      <c r="D188" s="103" t="inlineStr">
        <is>
          <t>12/12/1964</t>
        </is>
      </c>
      <c r="E188" s="103" t="inlineStr">
        <is>
          <t>Thay băng, cắt chỉ vết mổ [chiều dài ≤ 15cm]</t>
        </is>
      </c>
      <c r="F188" s="106" t="n">
        <v>1</v>
      </c>
      <c r="G188" s="259" t="n">
        <v>100000</v>
      </c>
      <c r="H188" s="93">
        <f>G192*25%*75%</f>
        <v/>
      </c>
      <c r="I188" s="36" t="n"/>
    </row>
    <row r="189" hidden="1" ht="15.75" customFormat="1" customHeight="1" s="202">
      <c r="A189" s="92" t="n">
        <v>184</v>
      </c>
      <c r="B189" s="103" t="inlineStr">
        <is>
          <t>2026/06/02 08:00</t>
        </is>
      </c>
      <c r="C189" s="103" t="inlineStr">
        <is>
          <t>NGUYỄN THỊ XUA</t>
        </is>
      </c>
      <c r="D189" s="103" t="inlineStr">
        <is>
          <t>01/01/1938</t>
        </is>
      </c>
      <c r="E189" s="103" t="inlineStr">
        <is>
          <t>Thay băng, cắt chỉ vết mổ [chiều dài ≤ 15cm]</t>
        </is>
      </c>
      <c r="F189" s="106" t="n">
        <v>1</v>
      </c>
      <c r="G189" s="259" t="n">
        <v>100000</v>
      </c>
      <c r="H189" s="93">
        <f>G193*25%*75%</f>
        <v/>
      </c>
      <c r="I189" s="36" t="n"/>
    </row>
    <row r="190" hidden="1" ht="15.75" customFormat="1" customHeight="1" s="202">
      <c r="A190" s="92" t="n">
        <v>185</v>
      </c>
      <c r="B190" s="103" t="inlineStr">
        <is>
          <t>2026/06/02 08:23</t>
        </is>
      </c>
      <c r="C190" s="103" t="inlineStr">
        <is>
          <t>PHẠM NGỌC ÁNH</t>
        </is>
      </c>
      <c r="D190" s="103" t="inlineStr">
        <is>
          <t>01/01/1970</t>
        </is>
      </c>
      <c r="E190" s="103" t="inlineStr">
        <is>
          <t>Thay băng, cắt chỉ vết mổ</t>
        </is>
      </c>
      <c r="F190" s="106" t="n">
        <v>1</v>
      </c>
      <c r="G190" s="259" t="n">
        <v>100000</v>
      </c>
      <c r="H190" s="93">
        <f>G194*25%*75%</f>
        <v/>
      </c>
      <c r="I190" s="36" t="n"/>
    </row>
    <row r="191" hidden="1" ht="15.75" customFormat="1" customHeight="1" s="202">
      <c r="A191" s="92" t="n">
        <v>186</v>
      </c>
      <c r="B191" s="103" t="inlineStr">
        <is>
          <t>2026/06/02 09:03</t>
        </is>
      </c>
      <c r="C191" s="103" t="inlineStr">
        <is>
          <t>NGUYỄN THANH NAM</t>
        </is>
      </c>
      <c r="D191" s="103" t="inlineStr">
        <is>
          <t>26/05/1991</t>
        </is>
      </c>
      <c r="E191" s="103" t="inlineStr">
        <is>
          <t>Thay băng, cắt chỉ vết mổ</t>
        </is>
      </c>
      <c r="F191" s="106" t="n">
        <v>1</v>
      </c>
      <c r="G191" s="259" t="n">
        <v>100000</v>
      </c>
      <c r="H191" s="93">
        <f>G195*25%*75%</f>
        <v/>
      </c>
      <c r="I191" s="36" t="n"/>
    </row>
    <row r="192" hidden="1" ht="15.75" customFormat="1" customHeight="1" s="202">
      <c r="A192" s="92" t="n">
        <v>187</v>
      </c>
      <c r="B192" s="103" t="inlineStr">
        <is>
          <t>2026/06/02 14:01</t>
        </is>
      </c>
      <c r="C192" s="103" t="inlineStr">
        <is>
          <t>HỒ NHỰT PHI</t>
        </is>
      </c>
      <c r="D192" s="103" t="inlineStr">
        <is>
          <t>11/04/1999</t>
        </is>
      </c>
      <c r="E192" s="103" t="inlineStr">
        <is>
          <t>Thay băng, cắt chỉ vết mổ [chiều dài ≤ 15cm]</t>
        </is>
      </c>
      <c r="F192" s="106" t="n">
        <v>1</v>
      </c>
      <c r="G192" s="259" t="n">
        <v>100000</v>
      </c>
      <c r="H192" s="93">
        <f>G196*25%*75%</f>
        <v/>
      </c>
      <c r="I192" s="36" t="n"/>
    </row>
    <row r="193" hidden="1" ht="15.75" customFormat="1" customHeight="1" s="202">
      <c r="A193" s="92" t="n">
        <v>188</v>
      </c>
      <c r="B193" s="103" t="inlineStr">
        <is>
          <t>2026/06/02 14:47</t>
        </is>
      </c>
      <c r="C193" s="103" t="inlineStr">
        <is>
          <t>PHAN THỊ HỒNG NHUNG</t>
        </is>
      </c>
      <c r="D193" s="103" t="inlineStr">
        <is>
          <t>01/01/1960</t>
        </is>
      </c>
      <c r="E193" s="103" t="inlineStr">
        <is>
          <t>Nắn, bó bột gãy xương bàn chân [bột liền]</t>
        </is>
      </c>
      <c r="F193" s="106" t="n">
        <v>1</v>
      </c>
      <c r="G193" s="259" t="n">
        <v>257000</v>
      </c>
      <c r="H193" s="93">
        <f>G198*25%*75%</f>
        <v/>
      </c>
      <c r="I193" s="36" t="n"/>
    </row>
    <row r="194" hidden="1" ht="15.75" customFormat="1" customHeight="1" s="202">
      <c r="A194" s="92" t="n">
        <v>189</v>
      </c>
      <c r="B194" s="139" t="inlineStr">
        <is>
          <t>2026/06/02 17:37</t>
        </is>
      </c>
      <c r="C194" s="139" t="inlineStr">
        <is>
          <t>NGUYỄN THỊ BÍCH CHI</t>
        </is>
      </c>
      <c r="D194" s="139" t="inlineStr">
        <is>
          <t>06/12/2007</t>
        </is>
      </c>
      <c r="E194" s="139" t="inlineStr">
        <is>
          <t>Nắn, bó bột gãy xương bàn chân [bột liền]</t>
        </is>
      </c>
      <c r="F194" s="260" t="n">
        <v>1</v>
      </c>
      <c r="G194" s="260" t="n">
        <v>400000</v>
      </c>
      <c r="H194" s="93">
        <f>G200*25%*75%</f>
        <v/>
      </c>
    </row>
    <row r="195" hidden="1" ht="15.75" customFormat="1" customHeight="1" s="202">
      <c r="A195" s="92" t="n">
        <v>190</v>
      </c>
      <c r="B195" s="139" t="inlineStr">
        <is>
          <t>2026/06/02 20:25</t>
        </is>
      </c>
      <c r="C195" s="139" t="inlineStr">
        <is>
          <t>TRẦN KIỀU MY</t>
        </is>
      </c>
      <c r="D195" s="139" t="inlineStr">
        <is>
          <t>20/12/2004</t>
        </is>
      </c>
      <c r="E195" s="139" t="inlineStr">
        <is>
          <t>Nắn, bó bột gãy xương ngón chân [bột liền]</t>
        </is>
      </c>
      <c r="F195" s="260" t="n">
        <v>1</v>
      </c>
      <c r="G195" s="260" t="n">
        <v>400000</v>
      </c>
      <c r="H195" s="93">
        <f>G201*25%*75%</f>
        <v/>
      </c>
    </row>
    <row r="196" hidden="1" ht="15.75" customFormat="1" customHeight="1" s="202">
      <c r="A196" s="92" t="n">
        <v>191</v>
      </c>
      <c r="B196" s="139" t="inlineStr">
        <is>
          <t>2026/06/03 05:00</t>
        </is>
      </c>
      <c r="C196" s="139" t="inlineStr">
        <is>
          <t>DƯƠNG VĂN CHIẾN</t>
        </is>
      </c>
      <c r="D196" s="139" t="inlineStr">
        <is>
          <t>01/01/1949</t>
        </is>
      </c>
      <c r="E196" s="139" t="inlineStr">
        <is>
          <t>Thay băng, cắt chỉ vết mổ [chiều dài ≤ 15cm]</t>
        </is>
      </c>
      <c r="F196" s="260" t="n">
        <v>1</v>
      </c>
      <c r="G196" s="260" t="n">
        <v>100000</v>
      </c>
      <c r="H196" s="93">
        <f>G202*25%*75%</f>
        <v/>
      </c>
    </row>
    <row r="197" hidden="1" ht="15.75" customFormat="1" customHeight="1" s="202">
      <c r="A197" s="92" t="n">
        <v>192</v>
      </c>
      <c r="B197" s="139" t="inlineStr">
        <is>
          <t>2026/06/03 05:00</t>
        </is>
      </c>
      <c r="C197" s="139" t="inlineStr">
        <is>
          <t>MAI THÀNH DƯƠNG</t>
        </is>
      </c>
      <c r="D197" s="139" t="inlineStr">
        <is>
          <t>10/04/1964</t>
        </is>
      </c>
      <c r="E197" s="139" t="inlineStr">
        <is>
          <t>Thay băng, cắt chỉ vết mổ [chiều dài ≤ 15cm]</t>
        </is>
      </c>
      <c r="F197" s="260" t="n">
        <v>1</v>
      </c>
      <c r="G197" s="260" t="n">
        <v>100000</v>
      </c>
      <c r="H197" s="93">
        <f>G203*25%*75%</f>
        <v/>
      </c>
    </row>
    <row r="198" hidden="1" ht="15.75" customFormat="1" customHeight="1" s="202">
      <c r="A198" s="92" t="n">
        <v>193</v>
      </c>
      <c r="B198" s="139" t="inlineStr">
        <is>
          <t>2026/06/03 05:00</t>
        </is>
      </c>
      <c r="C198" s="139" t="inlineStr">
        <is>
          <t>NGUYỄN THỊ CHUỐI</t>
        </is>
      </c>
      <c r="D198" s="139" t="inlineStr">
        <is>
          <t>06/08/1952</t>
        </is>
      </c>
      <c r="E198" s="139" t="inlineStr">
        <is>
          <t>Thay băng, cắt chỉ vết mổ [chiều dài ≤ 15cm]</t>
        </is>
      </c>
      <c r="F198" s="260" t="n">
        <v>1</v>
      </c>
      <c r="G198" s="260" t="n">
        <v>100000</v>
      </c>
      <c r="H198" s="93">
        <f>G204*25%*75%</f>
        <v/>
      </c>
    </row>
    <row r="199" hidden="1" ht="15.75" customHeight="1" s="248">
      <c r="A199" s="92" t="n">
        <v>194</v>
      </c>
      <c r="B199" s="139" t="inlineStr">
        <is>
          <t>2026/06/03 05:00</t>
        </is>
      </c>
      <c r="C199" s="139" t="inlineStr">
        <is>
          <t>TRẦN VĂN XIÊN</t>
        </is>
      </c>
      <c r="D199" s="139" t="inlineStr">
        <is>
          <t>01/01/1964</t>
        </is>
      </c>
      <c r="E199" s="139" t="inlineStr">
        <is>
          <t>Thay băng, cắt chỉ vết mổ [chiều dài ≤ 15cm]</t>
        </is>
      </c>
      <c r="F199" s="260" t="n">
        <v>1</v>
      </c>
      <c r="G199" s="260" t="n">
        <v>100000</v>
      </c>
      <c r="H199" s="93">
        <f>G205*25%*75%</f>
        <v/>
      </c>
    </row>
    <row r="200" hidden="1" ht="15.75" customHeight="1" s="248">
      <c r="A200" s="92" t="n">
        <v>195</v>
      </c>
      <c r="B200" s="139" t="inlineStr">
        <is>
          <t>2026/06/03 05:00</t>
        </is>
      </c>
      <c r="C200" s="139" t="inlineStr">
        <is>
          <t>VŨ THÀNH ĐẠT</t>
        </is>
      </c>
      <c r="D200" s="139" t="inlineStr">
        <is>
          <t>01/02/1955</t>
        </is>
      </c>
      <c r="E200" s="139" t="inlineStr">
        <is>
          <t>Thay băng, cắt chỉ vết mổ [chiều dài ≤ 15cm]</t>
        </is>
      </c>
      <c r="F200" s="260" t="n">
        <v>1</v>
      </c>
      <c r="G200" s="260" t="n">
        <v>100000</v>
      </c>
      <c r="H200" s="93">
        <f>G206*25%*75%</f>
        <v/>
      </c>
    </row>
    <row r="201" hidden="1" ht="15.75" customHeight="1" s="248">
      <c r="A201" s="92" t="n">
        <v>196</v>
      </c>
      <c r="B201" s="139" t="inlineStr">
        <is>
          <t>2026/06/03 06:18</t>
        </is>
      </c>
      <c r="C201" s="139" t="inlineStr">
        <is>
          <t>PHẠM THỊ HỒNG GẤM</t>
        </is>
      </c>
      <c r="D201" s="139" t="inlineStr">
        <is>
          <t>01/01/1979</t>
        </is>
      </c>
      <c r="E201" s="139" t="inlineStr">
        <is>
          <t>Thay băng, cắt chỉ vết mổ [chiều dài ≤ 15cm]</t>
        </is>
      </c>
      <c r="F201" s="260" t="n">
        <v>1</v>
      </c>
      <c r="G201" s="260" t="n">
        <v>100000</v>
      </c>
      <c r="H201" s="93">
        <f>G207*25%*75%</f>
        <v/>
      </c>
    </row>
    <row r="202" hidden="1" ht="15.75" customHeight="1" s="248">
      <c r="A202" s="92" t="n">
        <v>197</v>
      </c>
      <c r="B202" s="139" t="inlineStr">
        <is>
          <t>2026/06/03 07:00</t>
        </is>
      </c>
      <c r="C202" s="139" t="inlineStr">
        <is>
          <t>HUỲNH THỊ HIỆP</t>
        </is>
      </c>
      <c r="D202" s="139" t="inlineStr">
        <is>
          <t>01/01/1969</t>
        </is>
      </c>
      <c r="E202" s="139" t="inlineStr">
        <is>
          <t>Thay băng, cắt chỉ vết mổ [chiều dài ≤ 15cm]</t>
        </is>
      </c>
      <c r="F202" s="260" t="n">
        <v>1</v>
      </c>
      <c r="G202" s="260" t="n">
        <v>100000</v>
      </c>
      <c r="H202" s="93">
        <f>G208*25%*75%</f>
        <v/>
      </c>
    </row>
    <row r="203" hidden="1" ht="15.75" customHeight="1" s="248">
      <c r="A203" s="92" t="n">
        <v>198</v>
      </c>
      <c r="B203" s="139" t="inlineStr">
        <is>
          <t>2026/06/03 07:00</t>
        </is>
      </c>
      <c r="C203" s="139" t="inlineStr">
        <is>
          <t>MAI HOÀNG PHÚ</t>
        </is>
      </c>
      <c r="D203" s="139" t="inlineStr">
        <is>
          <t>06/08/2016</t>
        </is>
      </c>
      <c r="E203" s="139" t="inlineStr">
        <is>
          <t>Nắn, bó bột gãy trên lồi cầu xương cánh tay trẻ em độ III và độ IV [bột liền]</t>
        </is>
      </c>
      <c r="F203" s="260" t="n">
        <v>1</v>
      </c>
      <c r="G203" s="260" t="n">
        <v>372700</v>
      </c>
      <c r="H203" s="93">
        <f>G209*25%*75%</f>
        <v/>
      </c>
    </row>
    <row r="204" hidden="1" ht="15.75" customHeight="1" s="248">
      <c r="A204" s="92" t="n">
        <v>199</v>
      </c>
      <c r="B204" s="139" t="inlineStr">
        <is>
          <t>2026/06/03 07:00</t>
        </is>
      </c>
      <c r="C204" s="139" t="inlineStr">
        <is>
          <t>NGUYỄN THỊ HẤN</t>
        </is>
      </c>
      <c r="D204" s="139" t="inlineStr">
        <is>
          <t>01/01/1959</t>
        </is>
      </c>
      <c r="E204" s="139" t="inlineStr">
        <is>
          <t>Thay băng, cắt chỉ vết mổ [chiều dài ≤ 15cm]</t>
        </is>
      </c>
      <c r="F204" s="260" t="n">
        <v>1</v>
      </c>
      <c r="G204" s="260" t="n">
        <v>100000</v>
      </c>
      <c r="H204" s="93">
        <f>G210*25%*75%</f>
        <v/>
      </c>
    </row>
    <row r="205" hidden="1" ht="15.75" customHeight="1" s="248">
      <c r="A205" s="92" t="n">
        <v>200</v>
      </c>
      <c r="B205" s="139" t="inlineStr">
        <is>
          <t>2026/06/03 07:00</t>
        </is>
      </c>
      <c r="C205" s="139" t="inlineStr">
        <is>
          <t>NGUYỄN THỊ LÝ</t>
        </is>
      </c>
      <c r="D205" s="139" t="inlineStr">
        <is>
          <t>01/01/1944</t>
        </is>
      </c>
      <c r="E205" s="139" t="inlineStr">
        <is>
          <t>Thay băng, cắt chỉ vết mổ [chiều dài ≤ 15cm]</t>
        </is>
      </c>
      <c r="F205" s="260" t="n">
        <v>1</v>
      </c>
      <c r="G205" s="260" t="n">
        <v>100000</v>
      </c>
      <c r="H205" s="93">
        <f>G211*25%*75%</f>
        <v/>
      </c>
    </row>
    <row r="206" hidden="1" ht="15.75" customHeight="1" s="248">
      <c r="A206" s="92" t="n">
        <v>201</v>
      </c>
      <c r="B206" s="139" t="inlineStr">
        <is>
          <t>2026/06/03 07:00</t>
        </is>
      </c>
      <c r="C206" s="139" t="inlineStr">
        <is>
          <t>NGUYỄN VĂN PHỤNG</t>
        </is>
      </c>
      <c r="D206" s="139" t="inlineStr">
        <is>
          <t>01/01/1938</t>
        </is>
      </c>
      <c r="E206" s="139" t="inlineStr">
        <is>
          <t>Thay băng, cắt chỉ vết mổ [chiều dài ≤ 15cm]</t>
        </is>
      </c>
      <c r="F206" s="260" t="n">
        <v>1</v>
      </c>
      <c r="G206" s="260" t="n">
        <v>100000</v>
      </c>
      <c r="H206" s="93">
        <f>G212*25%*75%</f>
        <v/>
      </c>
    </row>
    <row r="207" hidden="1" ht="15.75" customHeight="1" s="248">
      <c r="A207" s="92" t="n">
        <v>202</v>
      </c>
      <c r="B207" s="139" t="inlineStr">
        <is>
          <t>2026/06/03 07:00</t>
        </is>
      </c>
      <c r="C207" s="139" t="inlineStr">
        <is>
          <t>PHAN TUẤN GIỚI</t>
        </is>
      </c>
      <c r="D207" s="139" t="inlineStr">
        <is>
          <t>15/02/1965</t>
        </is>
      </c>
      <c r="E207" s="139" t="inlineStr">
        <is>
          <t>Thay băng, cắt chỉ vết mổ [chiều dài ≤ 15cm]</t>
        </is>
      </c>
      <c r="F207" s="260" t="n">
        <v>1</v>
      </c>
      <c r="G207" s="260" t="n">
        <v>100000</v>
      </c>
      <c r="H207" s="93">
        <f>G213*25%*75%</f>
        <v/>
      </c>
    </row>
    <row r="208" hidden="1" ht="15.75" customHeight="1" s="248">
      <c r="A208" s="92" t="n">
        <v>203</v>
      </c>
      <c r="B208" s="139" t="inlineStr">
        <is>
          <t>2026/06/03 07:00</t>
        </is>
      </c>
      <c r="C208" s="139" t="inlineStr">
        <is>
          <t>TRẦN THỊ QUẮN</t>
        </is>
      </c>
      <c r="D208" s="139" t="inlineStr">
        <is>
          <t>01/01/1934</t>
        </is>
      </c>
      <c r="E208" s="139" t="inlineStr">
        <is>
          <t>Thay băng, cắt chỉ vết mổ [chiều dài ≤ 15cm]</t>
        </is>
      </c>
      <c r="F208" s="260" t="n">
        <v>1</v>
      </c>
      <c r="G208" s="260" t="n">
        <v>100000</v>
      </c>
      <c r="H208" s="93">
        <f>G214*25%*75%</f>
        <v/>
      </c>
    </row>
    <row r="209" hidden="1" ht="15.75" customHeight="1" s="248">
      <c r="A209" s="92" t="n">
        <v>204</v>
      </c>
      <c r="B209" s="139" t="inlineStr">
        <is>
          <t>2026/06/03 07:00</t>
        </is>
      </c>
      <c r="C209" s="139" t="inlineStr">
        <is>
          <t>UNG HUỲNH TÂM</t>
        </is>
      </c>
      <c r="D209" s="139" t="inlineStr">
        <is>
          <t>15/05/1984</t>
        </is>
      </c>
      <c r="E209" s="139" t="inlineStr">
        <is>
          <t>Thay băng, cắt chỉ vết mổ [chiều dài ≤ 15cm]</t>
        </is>
      </c>
      <c r="F209" s="260" t="n">
        <v>1</v>
      </c>
      <c r="G209" s="260" t="n">
        <v>100000</v>
      </c>
      <c r="H209" s="93">
        <f>G215*25%*75%</f>
        <v/>
      </c>
    </row>
    <row r="210" hidden="1" ht="15.75" customHeight="1" s="248">
      <c r="A210" s="92" t="n">
        <v>205</v>
      </c>
      <c r="B210" s="139" t="inlineStr">
        <is>
          <t>2026/06/03 07:14</t>
        </is>
      </c>
      <c r="C210" s="139" t="inlineStr">
        <is>
          <t>TRẦN THỊ THU VÂN</t>
        </is>
      </c>
      <c r="D210" s="139" t="inlineStr">
        <is>
          <t>23/11/1969</t>
        </is>
      </c>
      <c r="E210" s="139" t="inlineStr">
        <is>
          <t>Cắt chỉ sau phẫu thuật</t>
        </is>
      </c>
      <c r="F210" s="260" t="n">
        <v>1</v>
      </c>
      <c r="G210" s="260" t="n">
        <v>100000</v>
      </c>
      <c r="H210" s="93">
        <f>G216*25%*75%</f>
        <v/>
      </c>
    </row>
    <row r="211" ht="15.75" customHeight="1" s="248">
      <c r="A211" s="92" t="n">
        <v>206</v>
      </c>
      <c r="B211" s="139" t="inlineStr">
        <is>
          <t>2026/06/03 07:18</t>
        </is>
      </c>
      <c r="C211" s="139" t="inlineStr">
        <is>
          <t>TRẦN THỊ THU VÂN</t>
        </is>
      </c>
      <c r="D211" s="139" t="inlineStr">
        <is>
          <t>23/11/1969</t>
        </is>
      </c>
      <c r="E211" s="139" t="inlineStr">
        <is>
          <t>Khâu vết thương phần mềm sâu dài &lt; 5cm</t>
        </is>
      </c>
      <c r="F211" s="260" t="n">
        <v>1</v>
      </c>
      <c r="G211" s="260" t="n">
        <v>3000000</v>
      </c>
      <c r="H211" s="93">
        <f>G217*25%*75%</f>
        <v/>
      </c>
    </row>
    <row r="212" hidden="1" ht="15.75" customHeight="1" s="248">
      <c r="A212" s="92" t="n">
        <v>207</v>
      </c>
      <c r="B212" s="139" t="inlineStr">
        <is>
          <t>2026/06/03 07:30</t>
        </is>
      </c>
      <c r="C212" s="139" t="inlineStr">
        <is>
          <t>KHUẤT HÙNG</t>
        </is>
      </c>
      <c r="D212" s="139" t="inlineStr">
        <is>
          <t>01/01/1948</t>
        </is>
      </c>
      <c r="E212" s="139" t="inlineStr">
        <is>
          <t>Thay băng, cắt chỉ vết mổ [chiều dài ≤ 15cm]</t>
        </is>
      </c>
      <c r="F212" s="260" t="n">
        <v>1</v>
      </c>
      <c r="G212" s="260" t="n">
        <v>100000</v>
      </c>
      <c r="H212" s="93">
        <f>G218*25%*75%</f>
        <v/>
      </c>
    </row>
    <row r="213" hidden="1" ht="15.75" customHeight="1" s="248">
      <c r="A213" s="92" t="n">
        <v>208</v>
      </c>
      <c r="B213" s="139" t="inlineStr">
        <is>
          <t>2026/06/03 07:30</t>
        </is>
      </c>
      <c r="C213" s="139" t="inlineStr">
        <is>
          <t>NGUYỄN HỮU THANH</t>
        </is>
      </c>
      <c r="D213" s="139" t="inlineStr">
        <is>
          <t>22/10/1976</t>
        </is>
      </c>
      <c r="E213" s="139" t="inlineStr">
        <is>
          <t>Thay băng, cắt chỉ vết mổ [chiều dài ≤ 15cm]</t>
        </is>
      </c>
      <c r="F213" s="260" t="n">
        <v>1</v>
      </c>
      <c r="G213" s="260" t="n">
        <v>100000</v>
      </c>
      <c r="H213" s="93">
        <f>G219*25%*75%</f>
        <v/>
      </c>
    </row>
    <row r="214" hidden="1" ht="15.75" customHeight="1" s="248">
      <c r="A214" s="92" t="n">
        <v>209</v>
      </c>
      <c r="B214" s="139" t="inlineStr">
        <is>
          <t>2026/06/03 07:30</t>
        </is>
      </c>
      <c r="C214" s="139" t="inlineStr">
        <is>
          <t>PHẠM THANH TOÀN</t>
        </is>
      </c>
      <c r="D214" s="139" t="inlineStr">
        <is>
          <t>08/01/1986</t>
        </is>
      </c>
      <c r="E214" s="139" t="inlineStr">
        <is>
          <t>Thay băng, cắt chỉ vết mổ [chiều dài ≤ 15cm]</t>
        </is>
      </c>
      <c r="F214" s="260" t="n">
        <v>1</v>
      </c>
      <c r="G214" s="260" t="n">
        <v>100000</v>
      </c>
      <c r="H214" s="93">
        <f>G220*25%*75%</f>
        <v/>
      </c>
    </row>
    <row r="215" hidden="1" ht="15.75" customHeight="1" s="248">
      <c r="A215" s="92" t="n">
        <v>210</v>
      </c>
      <c r="B215" s="139" t="inlineStr">
        <is>
          <t>2026/06/03 07:35</t>
        </is>
      </c>
      <c r="C215" s="139" t="inlineStr">
        <is>
          <t>NGUYỄN HOÀNG VIỆT TRINH</t>
        </is>
      </c>
      <c r="D215" s="139" t="inlineStr">
        <is>
          <t>16/04/1999</t>
        </is>
      </c>
      <c r="E215" s="139" t="inlineStr">
        <is>
          <t>Thay băng, cắt chỉ vết mổ [chiều dài ≤ 15cm]</t>
        </is>
      </c>
      <c r="F215" s="260" t="n">
        <v>1</v>
      </c>
      <c r="G215" s="260" t="n">
        <v>100000</v>
      </c>
      <c r="H215" s="93">
        <f>G221*25%*75%</f>
        <v/>
      </c>
    </row>
    <row r="216" hidden="1" ht="15.75" customHeight="1" s="248">
      <c r="A216" s="92" t="n">
        <v>211</v>
      </c>
      <c r="B216" s="139" t="inlineStr">
        <is>
          <t>2026/06/03 07:36</t>
        </is>
      </c>
      <c r="C216" s="139" t="inlineStr">
        <is>
          <t>NGUYỄN THỊ THỦY</t>
        </is>
      </c>
      <c r="D216" s="139" t="inlineStr">
        <is>
          <t>01/01/1963</t>
        </is>
      </c>
      <c r="E216" s="139" t="inlineStr">
        <is>
          <t>Thay băng, cắt chỉ vết mổ [chiều dài ≤ 15cm]</t>
        </is>
      </c>
      <c r="F216" s="260" t="n">
        <v>1</v>
      </c>
      <c r="G216" s="260" t="n">
        <v>100000</v>
      </c>
      <c r="H216" s="93">
        <f>G222*25%*75%</f>
        <v/>
      </c>
    </row>
    <row r="217" hidden="1" ht="15.75" customHeight="1" s="248">
      <c r="A217" s="92" t="n">
        <v>212</v>
      </c>
      <c r="B217" s="139" t="inlineStr">
        <is>
          <t>2026/06/03 08:00</t>
        </is>
      </c>
      <c r="C217" s="139" t="inlineStr">
        <is>
          <t>NGUYỄN THỊ XUA</t>
        </is>
      </c>
      <c r="D217" s="139" t="inlineStr">
        <is>
          <t>01/01/1938</t>
        </is>
      </c>
      <c r="E217" s="139" t="inlineStr">
        <is>
          <t>Thay băng, cắt chỉ vết mổ [chiều dài ≤ 15cm]</t>
        </is>
      </c>
      <c r="F217" s="260" t="n">
        <v>1</v>
      </c>
      <c r="G217" s="260" t="n">
        <v>100000</v>
      </c>
      <c r="H217" s="93">
        <f>G223*25%*75%</f>
        <v/>
      </c>
    </row>
    <row r="218" hidden="1" ht="15.75" customHeight="1" s="248">
      <c r="A218" s="92" t="n">
        <v>213</v>
      </c>
      <c r="B218" s="139" t="inlineStr">
        <is>
          <t>2026/06/03 09:10</t>
        </is>
      </c>
      <c r="C218" s="139" t="inlineStr">
        <is>
          <t>NGUYỄN THỊ NGÂN</t>
        </is>
      </c>
      <c r="D218" s="139" t="inlineStr">
        <is>
          <t>01/01/1954</t>
        </is>
      </c>
      <c r="E218" s="139" t="inlineStr">
        <is>
          <t>Thay băng, cắt chỉ vết mổ [chiều dài ≤ 15cm]</t>
        </is>
      </c>
      <c r="F218" s="260" t="n">
        <v>1</v>
      </c>
      <c r="G218" s="260" t="n">
        <v>100000</v>
      </c>
      <c r="H218" s="93">
        <f>G224*25%*75%</f>
        <v/>
      </c>
    </row>
    <row r="219" hidden="1" ht="15.75" customHeight="1" s="248">
      <c r="A219" s="92" t="n">
        <v>214</v>
      </c>
      <c r="B219" s="139" t="inlineStr">
        <is>
          <t>2026/06/03 11:44</t>
        </is>
      </c>
      <c r="C219" s="139" t="inlineStr">
        <is>
          <t>CAO HOÀNG KHANG</t>
        </is>
      </c>
      <c r="D219" s="139" t="inlineStr">
        <is>
          <t>05/02/2005</t>
        </is>
      </c>
      <c r="E219" s="139" t="inlineStr">
        <is>
          <t>Nắn, bó bột gãy xương bàn chân [bột liền]</t>
        </is>
      </c>
      <c r="F219" s="260" t="n">
        <v>1</v>
      </c>
      <c r="G219" s="260" t="n">
        <v>257000</v>
      </c>
      <c r="H219" s="93">
        <f>G227*25%*75%</f>
        <v/>
      </c>
    </row>
    <row r="220" hidden="1" ht="15.75" customHeight="1" s="248">
      <c r="A220" s="92" t="n">
        <v>215</v>
      </c>
      <c r="B220" s="139" t="inlineStr">
        <is>
          <t>2026/06/03 16:24</t>
        </is>
      </c>
      <c r="C220" s="139" t="inlineStr">
        <is>
          <t>LÊ THỊ KIM NGUYÊN</t>
        </is>
      </c>
      <c r="D220" s="139" t="inlineStr">
        <is>
          <t>22/08/1998</t>
        </is>
      </c>
      <c r="E220" s="139" t="inlineStr">
        <is>
          <t>Thay băng, cắt chỉ vết mổ [chiều dài ≤ 15cm]</t>
        </is>
      </c>
      <c r="F220" s="260" t="n">
        <v>1</v>
      </c>
      <c r="G220" s="260" t="n">
        <v>64300</v>
      </c>
      <c r="H220" s="93">
        <f>G230*25%*75%</f>
        <v/>
      </c>
    </row>
    <row r="221" hidden="1" ht="15.75" customHeight="1" s="248">
      <c r="A221" s="92" t="n">
        <v>216</v>
      </c>
      <c r="B221" s="139" t="inlineStr">
        <is>
          <t>2026/06/03 20:30</t>
        </is>
      </c>
      <c r="C221" s="139" t="inlineStr">
        <is>
          <t>HUỲNH THANH HÙNG</t>
        </is>
      </c>
      <c r="D221" s="139" t="inlineStr">
        <is>
          <t>01/01/1945</t>
        </is>
      </c>
      <c r="E221" s="139" t="inlineStr">
        <is>
          <t>Đặt sonde bàng quang</t>
        </is>
      </c>
      <c r="F221" s="260" t="n">
        <v>1</v>
      </c>
      <c r="G221" s="260" t="n">
        <v>101800</v>
      </c>
      <c r="H221" s="93">
        <f>G231*25%*75%</f>
        <v/>
      </c>
    </row>
    <row r="222" hidden="1" ht="15.75" customHeight="1" s="248">
      <c r="A222" s="92" t="n">
        <v>217</v>
      </c>
      <c r="B222" s="139" t="inlineStr">
        <is>
          <t>2026/06/04 05:00</t>
        </is>
      </c>
      <c r="C222" s="139" t="inlineStr">
        <is>
          <t>DƯƠNG VĂN CHIẾN</t>
        </is>
      </c>
      <c r="D222" s="139" t="inlineStr">
        <is>
          <t>01/01/1949</t>
        </is>
      </c>
      <c r="E222" s="139" t="inlineStr">
        <is>
          <t>Thay băng, cắt chỉ vết mổ [chiều dài ≤ 15cm]</t>
        </is>
      </c>
      <c r="F222" s="260" t="n">
        <v>1</v>
      </c>
      <c r="G222" s="260" t="n">
        <v>100000</v>
      </c>
      <c r="H222" s="93">
        <f>G232*25%*75%</f>
        <v/>
      </c>
    </row>
    <row r="223" hidden="1" ht="15.75" customHeight="1" s="248">
      <c r="A223" s="92" t="n">
        <v>218</v>
      </c>
      <c r="B223" s="139" t="inlineStr">
        <is>
          <t>2026/06/04 05:00</t>
        </is>
      </c>
      <c r="C223" s="139" t="inlineStr">
        <is>
          <t>HUỲNH THỊ HIỆP</t>
        </is>
      </c>
      <c r="D223" s="139" t="inlineStr">
        <is>
          <t>01/01/1969</t>
        </is>
      </c>
      <c r="E223" s="139" t="inlineStr">
        <is>
          <t>Thay băng, cắt chỉ vết mổ [chiều dài ≤ 15cm]</t>
        </is>
      </c>
      <c r="F223" s="260" t="n">
        <v>1</v>
      </c>
      <c r="G223" s="260" t="n">
        <v>100000</v>
      </c>
      <c r="H223" s="93">
        <f>G233*25%*75%</f>
        <v/>
      </c>
    </row>
    <row r="224" hidden="1" ht="15.75" customHeight="1" s="248">
      <c r="A224" s="92" t="n">
        <v>219</v>
      </c>
      <c r="B224" s="139" t="inlineStr">
        <is>
          <t>2026/06/04 05:00</t>
        </is>
      </c>
      <c r="C224" s="139" t="inlineStr">
        <is>
          <t>KHUẤT HÙNG</t>
        </is>
      </c>
      <c r="D224" s="139" t="inlineStr">
        <is>
          <t>01/01/1948</t>
        </is>
      </c>
      <c r="E224" s="139" t="inlineStr">
        <is>
          <t>Thay băng, cắt chỉ vết mổ [chiều dài ≤ 15cm]</t>
        </is>
      </c>
      <c r="F224" s="260" t="n">
        <v>1</v>
      </c>
      <c r="G224" s="260" t="n">
        <v>100000</v>
      </c>
      <c r="H224" s="93">
        <f>G234*25%*75%</f>
        <v/>
      </c>
    </row>
    <row r="225" hidden="1" ht="15.75" customHeight="1" s="248">
      <c r="A225" s="92" t="n">
        <v>220</v>
      </c>
      <c r="B225" s="139" t="inlineStr">
        <is>
          <t>2026/06/04 05:00</t>
        </is>
      </c>
      <c r="C225" s="139" t="inlineStr">
        <is>
          <t>MAI THÀNH DƯƠNG</t>
        </is>
      </c>
      <c r="D225" s="139" t="inlineStr">
        <is>
          <t>10/04/1964</t>
        </is>
      </c>
      <c r="E225" s="139" t="inlineStr">
        <is>
          <t>Thay băng, cắt chỉ vết mổ [chiều dài ≤ 15cm]</t>
        </is>
      </c>
      <c r="F225" s="260" t="n">
        <v>1</v>
      </c>
      <c r="G225" s="260" t="n">
        <v>100000</v>
      </c>
      <c r="H225" s="93">
        <f>G235*25%*75%</f>
        <v/>
      </c>
    </row>
    <row r="226" hidden="1" ht="15.75" customHeight="1" s="248">
      <c r="A226" s="92" t="n">
        <v>221</v>
      </c>
      <c r="B226" s="139" t="inlineStr">
        <is>
          <t>2026/06/04 05:00</t>
        </is>
      </c>
      <c r="C226" s="139" t="inlineStr">
        <is>
          <t>NGUYỄN THỊ CHUỐI</t>
        </is>
      </c>
      <c r="D226" s="139" t="inlineStr">
        <is>
          <t>06/08/1952</t>
        </is>
      </c>
      <c r="E226" s="139" t="inlineStr">
        <is>
          <t>Thay băng, cắt chỉ vết mổ [chiều dài ≤ 15cm]</t>
        </is>
      </c>
      <c r="F226" s="260" t="n">
        <v>1</v>
      </c>
      <c r="G226" s="260" t="n">
        <v>100000</v>
      </c>
      <c r="H226" s="93">
        <f>G236*25%*75%</f>
        <v/>
      </c>
    </row>
    <row r="227" hidden="1" ht="15.75" customHeight="1" s="248">
      <c r="A227" s="92" t="n">
        <v>222</v>
      </c>
      <c r="B227" s="139" t="inlineStr">
        <is>
          <t>2026/06/04 05:00</t>
        </is>
      </c>
      <c r="C227" s="139" t="inlineStr">
        <is>
          <t>PHAN TUẤN GIỚI</t>
        </is>
      </c>
      <c r="D227" s="139" t="inlineStr">
        <is>
          <t>15/02/1965</t>
        </is>
      </c>
      <c r="E227" s="139" t="inlineStr">
        <is>
          <t>Thay băng, cắt chỉ vết mổ [chiều dài ≤ 15cm]</t>
        </is>
      </c>
      <c r="F227" s="260" t="n">
        <v>1</v>
      </c>
      <c r="G227" s="260" t="n">
        <v>100000</v>
      </c>
      <c r="H227" s="93">
        <f>G237*25%*75%</f>
        <v/>
      </c>
    </row>
    <row r="228" hidden="1" ht="15.75" customHeight="1" s="248">
      <c r="A228" s="92" t="n">
        <v>223</v>
      </c>
      <c r="B228" s="139" t="inlineStr">
        <is>
          <t>2026/06/04 05:00</t>
        </is>
      </c>
      <c r="C228" s="139" t="inlineStr">
        <is>
          <t>TRẦN VĂN XIÊN</t>
        </is>
      </c>
      <c r="D228" s="139" t="inlineStr">
        <is>
          <t>01/01/1964</t>
        </is>
      </c>
      <c r="E228" s="139" t="inlineStr">
        <is>
          <t>Thay băng, cắt chỉ vết mổ [chiều dài ≤ 15cm]</t>
        </is>
      </c>
      <c r="F228" s="260" t="n">
        <v>1</v>
      </c>
      <c r="G228" s="260" t="n">
        <v>100000</v>
      </c>
      <c r="H228" s="93">
        <f>G238*25%*75%</f>
        <v/>
      </c>
    </row>
    <row r="229" hidden="1" ht="15.75" customHeight="1" s="248">
      <c r="A229" s="92" t="n">
        <v>224</v>
      </c>
      <c r="B229" s="139" t="inlineStr">
        <is>
          <t>2026/06/04 05:00</t>
        </is>
      </c>
      <c r="C229" s="139" t="inlineStr">
        <is>
          <t>VŨ THÀNH ĐẠT</t>
        </is>
      </c>
      <c r="D229" s="139" t="inlineStr">
        <is>
          <t>01/02/1955</t>
        </is>
      </c>
      <c r="E229" s="139" t="inlineStr">
        <is>
          <t>Thay băng, cắt chỉ vết mổ [chiều dài ≤ 15cm]</t>
        </is>
      </c>
      <c r="F229" s="260" t="n">
        <v>1</v>
      </c>
      <c r="G229" s="260" t="n">
        <v>100000</v>
      </c>
      <c r="H229" s="93">
        <f>G239*25%*75%</f>
        <v/>
      </c>
    </row>
    <row r="230" hidden="1" ht="15.75" customHeight="1" s="248">
      <c r="A230" s="92" t="n">
        <v>225</v>
      </c>
      <c r="B230" s="139" t="inlineStr">
        <is>
          <t>2026/06/04 06:00</t>
        </is>
      </c>
      <c r="C230" s="139" t="inlineStr">
        <is>
          <t>PHẠM THỊ HỒNG GẤM</t>
        </is>
      </c>
      <c r="D230" s="139" t="inlineStr">
        <is>
          <t>01/01/1979</t>
        </is>
      </c>
      <c r="E230" s="139" t="inlineStr">
        <is>
          <t>Thay băng, cắt chỉ vết mổ [chiều dài ≤ 15cm]</t>
        </is>
      </c>
      <c r="F230" s="260" t="n">
        <v>1</v>
      </c>
      <c r="G230" s="260" t="n">
        <v>100000</v>
      </c>
      <c r="H230" s="93">
        <f>G240*25%*75%</f>
        <v/>
      </c>
    </row>
    <row r="231" hidden="1" ht="15.75" customHeight="1" s="248">
      <c r="A231" s="92" t="n">
        <v>226</v>
      </c>
      <c r="B231" s="139" t="inlineStr">
        <is>
          <t>2026/06/04 06:10</t>
        </is>
      </c>
      <c r="C231" s="139" t="inlineStr">
        <is>
          <t>NGUYỄN VĂN LUÔNG</t>
        </is>
      </c>
      <c r="D231" s="139" t="inlineStr">
        <is>
          <t>01/01/1972</t>
        </is>
      </c>
      <c r="E231" s="139" t="inlineStr">
        <is>
          <t>Thay băng, cắt chỉ vết mổ [chiều dài ≤ 15cm]</t>
        </is>
      </c>
      <c r="F231" s="260" t="n">
        <v>1</v>
      </c>
      <c r="G231" s="260" t="n">
        <v>100000</v>
      </c>
      <c r="H231" s="93">
        <f>G241*25%*75%</f>
        <v/>
      </c>
    </row>
    <row r="232" hidden="1" ht="15.75" customHeight="1" s="248">
      <c r="A232" s="92" t="n">
        <v>227</v>
      </c>
      <c r="B232" s="139" t="inlineStr">
        <is>
          <t>2026/06/04 06:15</t>
        </is>
      </c>
      <c r="C232" s="139" t="inlineStr">
        <is>
          <t>PHẠM THỊ HOA</t>
        </is>
      </c>
      <c r="D232" s="139" t="inlineStr">
        <is>
          <t>01/01/1946</t>
        </is>
      </c>
      <c r="E232" s="139" t="inlineStr">
        <is>
          <t>Thay băng, cắt chỉ vết mổ [chiều dài ≤ 15cm]</t>
        </is>
      </c>
      <c r="F232" s="260" t="n">
        <v>1</v>
      </c>
      <c r="G232" s="260" t="n">
        <v>100000</v>
      </c>
      <c r="H232" s="93">
        <f>G242*25%*75%</f>
        <v/>
      </c>
    </row>
    <row r="233" hidden="1" ht="15.75" customHeight="1" s="248">
      <c r="A233" s="92" t="n">
        <v>228</v>
      </c>
      <c r="B233" s="139" t="inlineStr">
        <is>
          <t>2026/06/04 06:34</t>
        </is>
      </c>
      <c r="C233" s="139" t="inlineStr">
        <is>
          <t>HUỲNH THANH HÙNG</t>
        </is>
      </c>
      <c r="D233" s="139" t="inlineStr">
        <is>
          <t>01/01/1945</t>
        </is>
      </c>
      <c r="E233" s="139" t="inlineStr">
        <is>
          <t>Thay băng, cắt chỉ vết mổ [chiều dài ≤ 15cm]</t>
        </is>
      </c>
      <c r="F233" s="260" t="n">
        <v>1</v>
      </c>
      <c r="G233" s="260" t="n">
        <v>100000</v>
      </c>
      <c r="H233" s="93">
        <f>G243*25%*75%</f>
        <v/>
      </c>
    </row>
    <row r="234" hidden="1" ht="15.75" customHeight="1" s="248">
      <c r="A234" s="92" t="n">
        <v>229</v>
      </c>
      <c r="B234" s="139" t="inlineStr">
        <is>
          <t>2026/06/04 07:00</t>
        </is>
      </c>
      <c r="C234" s="139" t="inlineStr">
        <is>
          <t>LƯƠNG THỊ PHƯỢNG</t>
        </is>
      </c>
      <c r="D234" s="139" t="inlineStr">
        <is>
          <t>13/07/1965</t>
        </is>
      </c>
      <c r="E234" s="139" t="inlineStr">
        <is>
          <t>Thay băng, cắt chỉ vết mổ [chiều dài ≤ 15cm]</t>
        </is>
      </c>
      <c r="F234" s="260" t="n">
        <v>1</v>
      </c>
      <c r="G234" s="260" t="n">
        <v>100000</v>
      </c>
      <c r="H234" s="93">
        <f>G244*25%*75%</f>
        <v/>
      </c>
    </row>
    <row r="235" hidden="1" ht="15.75" customHeight="1" s="248">
      <c r="A235" s="92" t="n">
        <v>230</v>
      </c>
      <c r="B235" s="139" t="inlineStr">
        <is>
          <t>2026/06/04 07:00</t>
        </is>
      </c>
      <c r="C235" s="139" t="inlineStr">
        <is>
          <t>NGUYỄN THỊ LÝ</t>
        </is>
      </c>
      <c r="D235" s="139" t="inlineStr">
        <is>
          <t>01/01/1944</t>
        </is>
      </c>
      <c r="E235" s="139" t="inlineStr">
        <is>
          <t>Thay băng, cắt chỉ vết mổ [chiều dài ≤ 15cm]</t>
        </is>
      </c>
      <c r="F235" s="260" t="n">
        <v>1</v>
      </c>
      <c r="G235" s="260" t="n">
        <v>100000</v>
      </c>
      <c r="H235" s="93">
        <f>G245*25%*75%</f>
        <v/>
      </c>
    </row>
    <row r="236" hidden="1" ht="15.75" customHeight="1" s="248">
      <c r="A236" s="92" t="n">
        <v>231</v>
      </c>
      <c r="B236" s="139" t="inlineStr">
        <is>
          <t>2026/06/04 07:00</t>
        </is>
      </c>
      <c r="C236" s="139" t="inlineStr">
        <is>
          <t>NGUYỄN THỊ NGÂN</t>
        </is>
      </c>
      <c r="D236" s="139" t="inlineStr">
        <is>
          <t>01/01/1954</t>
        </is>
      </c>
      <c r="E236" s="139" t="inlineStr">
        <is>
          <t>Thay băng, cắt chỉ vết mổ [chiều dài ≤ 15cm]</t>
        </is>
      </c>
      <c r="F236" s="260" t="n">
        <v>1</v>
      </c>
      <c r="G236" s="260" t="n">
        <v>100000</v>
      </c>
      <c r="H236" s="93">
        <f>G246*25%*75%</f>
        <v/>
      </c>
    </row>
    <row r="237" hidden="1" ht="15.75" customHeight="1" s="248">
      <c r="A237" s="92" t="n">
        <v>232</v>
      </c>
      <c r="B237" s="139" t="inlineStr">
        <is>
          <t>2026/06/04 07:00</t>
        </is>
      </c>
      <c r="C237" s="139" t="inlineStr">
        <is>
          <t>NGUYỄN VĂN CẤP</t>
        </is>
      </c>
      <c r="D237" s="139" t="inlineStr">
        <is>
          <t>01/01/1957</t>
        </is>
      </c>
      <c r="E237" s="139" t="inlineStr">
        <is>
          <t>Thay băng, cắt chỉ vết mổ [chiều dài ≤ 15cm]</t>
        </is>
      </c>
      <c r="F237" s="260" t="n">
        <v>1</v>
      </c>
      <c r="G237" s="260" t="n">
        <v>100000</v>
      </c>
      <c r="H237" s="93">
        <f>G247*25%*75%</f>
        <v/>
      </c>
    </row>
    <row r="238" hidden="1" ht="15.75" customHeight="1" s="248">
      <c r="A238" s="92" t="n">
        <v>233</v>
      </c>
      <c r="B238" s="139" t="inlineStr">
        <is>
          <t>2026/06/04 07:00</t>
        </is>
      </c>
      <c r="C238" s="139" t="inlineStr">
        <is>
          <t>NGUYỄN VĂN PHỤNG</t>
        </is>
      </c>
      <c r="D238" s="139" t="inlineStr">
        <is>
          <t>01/01/1938</t>
        </is>
      </c>
      <c r="E238" s="139" t="inlineStr">
        <is>
          <t>Thay băng, cắt chỉ vết mổ [chiều dài ≤ 15cm]</t>
        </is>
      </c>
      <c r="F238" s="260" t="n">
        <v>1</v>
      </c>
      <c r="G238" s="260" t="n">
        <v>100000</v>
      </c>
      <c r="H238" s="93">
        <f>G248*25%*75%</f>
        <v/>
      </c>
    </row>
    <row r="239" hidden="1" ht="15.75" customHeight="1" s="248">
      <c r="A239" s="92" t="n">
        <v>234</v>
      </c>
      <c r="B239" s="139" t="inlineStr">
        <is>
          <t>2026/06/04 07:00</t>
        </is>
      </c>
      <c r="C239" s="139" t="inlineStr">
        <is>
          <t>UNG HUỲNH TÂM</t>
        </is>
      </c>
      <c r="D239" s="139" t="inlineStr">
        <is>
          <t>15/05/1984</t>
        </is>
      </c>
      <c r="E239" s="139" t="inlineStr">
        <is>
          <t>Thay băng, cắt chỉ vết mổ [chiều dài ≤ 15cm]</t>
        </is>
      </c>
      <c r="F239" s="260" t="n">
        <v>1</v>
      </c>
      <c r="G239" s="260" t="n">
        <v>100000</v>
      </c>
      <c r="H239" s="93">
        <f>G249*25%*75%</f>
        <v/>
      </c>
    </row>
    <row r="240" hidden="1" ht="15.75" customHeight="1" s="248">
      <c r="A240" s="92" t="n">
        <v>235</v>
      </c>
      <c r="B240" s="139" t="inlineStr">
        <is>
          <t>2026/06/04 07:00</t>
        </is>
      </c>
      <c r="C240" s="139" t="inlineStr">
        <is>
          <t>VÕ TẤN HƯNG</t>
        </is>
      </c>
      <c r="D240" s="139" t="inlineStr">
        <is>
          <t>19/09/1963</t>
        </is>
      </c>
      <c r="E240" s="139" t="inlineStr">
        <is>
          <t>Thay băng, cắt chỉ vết mổ [chiều dài ≤ 15cm]</t>
        </is>
      </c>
      <c r="F240" s="260" t="n">
        <v>1</v>
      </c>
      <c r="G240" s="260" t="n">
        <v>100000</v>
      </c>
      <c r="H240" s="93">
        <f>G250*25%*75%</f>
        <v/>
      </c>
    </row>
    <row r="241" hidden="1" ht="15.75" customHeight="1" s="248">
      <c r="A241" s="92" t="n">
        <v>236</v>
      </c>
      <c r="B241" s="139" t="inlineStr">
        <is>
          <t>2026/06/04 07:30</t>
        </is>
      </c>
      <c r="C241" s="139" t="inlineStr">
        <is>
          <t>HUỲNH THỊ ĐẬM</t>
        </is>
      </c>
      <c r="D241" s="139" t="inlineStr">
        <is>
          <t>07/08/1949</t>
        </is>
      </c>
      <c r="E241" s="139" t="inlineStr">
        <is>
          <t>Thay băng, cắt chỉ vết mổ</t>
        </is>
      </c>
      <c r="F241" s="260" t="n">
        <v>1</v>
      </c>
      <c r="G241" s="260" t="n">
        <v>100000</v>
      </c>
      <c r="H241" s="93">
        <f>G251*25%*75%</f>
        <v/>
      </c>
    </row>
    <row r="242" hidden="1" ht="15.75" customHeight="1" s="248">
      <c r="A242" s="92" t="n">
        <v>237</v>
      </c>
      <c r="B242" s="139" t="inlineStr">
        <is>
          <t>2026/06/04 07:30</t>
        </is>
      </c>
      <c r="C242" s="139" t="inlineStr">
        <is>
          <t>NGUYỄN THỊ KIỀU OANH</t>
        </is>
      </c>
      <c r="D242" s="139" t="inlineStr">
        <is>
          <t>10/11/1967</t>
        </is>
      </c>
      <c r="E242" s="139" t="inlineStr">
        <is>
          <t>Thay băng, cắt chỉ vết mổ [chiều dài ≤ 15cm]</t>
        </is>
      </c>
      <c r="F242" s="260" t="n">
        <v>1</v>
      </c>
      <c r="G242" s="260" t="n">
        <v>100000</v>
      </c>
      <c r="H242" s="93">
        <f>G252*25%*75%</f>
        <v/>
      </c>
    </row>
    <row r="243" hidden="1" ht="15.75" customHeight="1" s="248">
      <c r="A243" s="92" t="n">
        <v>238</v>
      </c>
      <c r="B243" s="139" t="inlineStr">
        <is>
          <t>2026/06/04 07:30</t>
        </is>
      </c>
      <c r="C243" s="139" t="inlineStr">
        <is>
          <t>TRẦN THIỆN BỔN</t>
        </is>
      </c>
      <c r="D243" s="139" t="inlineStr">
        <is>
          <t>10/12/1964</t>
        </is>
      </c>
      <c r="E243" s="139" t="inlineStr">
        <is>
          <t>Thay băng, cắt chỉ vết mổ [chiều dài ≤ 15cm]</t>
        </is>
      </c>
      <c r="F243" s="260" t="n">
        <v>1</v>
      </c>
      <c r="G243" s="260" t="n">
        <v>100000</v>
      </c>
      <c r="H243" s="93">
        <f>G253*25%*75%</f>
        <v/>
      </c>
    </row>
    <row r="244" hidden="1" ht="15.75" customHeight="1" s="248">
      <c r="A244" s="92" t="n">
        <v>239</v>
      </c>
      <c r="B244" s="139" t="inlineStr">
        <is>
          <t>2026/06/04 07:35</t>
        </is>
      </c>
      <c r="C244" s="139" t="inlineStr">
        <is>
          <t>NGUYỄN HOÀNG VIỆT TRINH</t>
        </is>
      </c>
      <c r="D244" s="139" t="inlineStr">
        <is>
          <t>16/04/1999</t>
        </is>
      </c>
      <c r="E244" s="139" t="inlineStr">
        <is>
          <t>Thay băng, cắt chỉ vết mổ [chiều dài ≤ 15cm]</t>
        </is>
      </c>
      <c r="F244" s="260" t="n">
        <v>1</v>
      </c>
      <c r="G244" s="260" t="n">
        <v>100000</v>
      </c>
      <c r="H244" s="93">
        <f>G254*25%*75%</f>
        <v/>
      </c>
    </row>
    <row r="245" hidden="1" ht="15.75" customHeight="1" s="248">
      <c r="A245" s="92" t="n">
        <v>240</v>
      </c>
      <c r="B245" s="139" t="inlineStr">
        <is>
          <t>2026/06/04 07:35</t>
        </is>
      </c>
      <c r="C245" s="139" t="inlineStr">
        <is>
          <t>TRẦN VĂN LÂM</t>
        </is>
      </c>
      <c r="D245" s="139" t="inlineStr">
        <is>
          <t>27/09/1964</t>
        </is>
      </c>
      <c r="E245" s="139" t="inlineStr">
        <is>
          <t>Thay băng, cắt chỉ vết mổ [chiều dài ≤ 15cm]</t>
        </is>
      </c>
      <c r="F245" s="260" t="n">
        <v>1</v>
      </c>
      <c r="G245" s="260" t="n">
        <v>100000</v>
      </c>
      <c r="H245" s="93">
        <f>G255*25%*75%</f>
        <v/>
      </c>
    </row>
    <row r="246" hidden="1" ht="15.75" customHeight="1" s="248">
      <c r="A246" s="92" t="n">
        <v>241</v>
      </c>
      <c r="B246" s="139" t="inlineStr">
        <is>
          <t>2026/06/04 07:36</t>
        </is>
      </c>
      <c r="C246" s="139" t="inlineStr">
        <is>
          <t>NGUYỄN THỊ THỦY</t>
        </is>
      </c>
      <c r="D246" s="139" t="inlineStr">
        <is>
          <t>01/01/1963</t>
        </is>
      </c>
      <c r="E246" s="139" t="inlineStr">
        <is>
          <t>Thay băng, cắt chỉ vết mổ [chiều dài ≤ 15cm]</t>
        </is>
      </c>
      <c r="F246" s="260" t="n">
        <v>1</v>
      </c>
      <c r="G246" s="260" t="n">
        <v>100000</v>
      </c>
      <c r="H246" s="93">
        <f>G256*25%*75%</f>
        <v/>
      </c>
    </row>
    <row r="247" hidden="1" ht="15.75" customHeight="1" s="248">
      <c r="A247" s="92" t="n">
        <v>242</v>
      </c>
      <c r="B247" s="139" t="inlineStr">
        <is>
          <t>2026/06/04 07:45</t>
        </is>
      </c>
      <c r="C247" s="139" t="inlineStr">
        <is>
          <t>TRẦN VĂN LÂM</t>
        </is>
      </c>
      <c r="D247" s="139" t="inlineStr">
        <is>
          <t>27/09/1964</t>
        </is>
      </c>
      <c r="E247" s="139" t="inlineStr">
        <is>
          <t>Thay băng, cắt chỉ vết mổ [chiều dài ≤ 15cm]</t>
        </is>
      </c>
      <c r="F247" s="260" t="n">
        <v>1</v>
      </c>
      <c r="G247" s="260" t="n">
        <v>100000</v>
      </c>
      <c r="H247" s="93">
        <f>G257*25%*75%</f>
        <v/>
      </c>
    </row>
    <row r="248" hidden="1" ht="15.75" customHeight="1" s="248">
      <c r="A248" s="92" t="n">
        <v>243</v>
      </c>
      <c r="B248" s="139" t="inlineStr">
        <is>
          <t>2026/06/04 07:47</t>
        </is>
      </c>
      <c r="C248" s="139" t="inlineStr">
        <is>
          <t>TẠ YẾN NHI</t>
        </is>
      </c>
      <c r="D248" s="139" t="inlineStr">
        <is>
          <t>13/10/2005</t>
        </is>
      </c>
      <c r="E248" s="139" t="inlineStr">
        <is>
          <t>Tháo bột (nhỏ)</t>
        </is>
      </c>
      <c r="F248" s="260" t="n">
        <v>1</v>
      </c>
      <c r="G248" s="260" t="n">
        <v>100000</v>
      </c>
      <c r="H248" s="93">
        <f>G258*25%*75%</f>
        <v/>
      </c>
    </row>
    <row r="249" hidden="1" ht="15.75" customHeight="1" s="248">
      <c r="A249" s="92" t="n">
        <v>244</v>
      </c>
      <c r="B249" s="139" t="inlineStr">
        <is>
          <t>2026/06/04 08:30</t>
        </is>
      </c>
      <c r="C249" s="139" t="inlineStr">
        <is>
          <t>LÊ THỊ LỆ KHANH</t>
        </is>
      </c>
      <c r="D249" s="139" t="inlineStr">
        <is>
          <t>10/10/1959</t>
        </is>
      </c>
      <c r="E249" s="139" t="inlineStr">
        <is>
          <t>Thay băng, cắt chỉ vết mổ</t>
        </is>
      </c>
      <c r="F249" s="260" t="n">
        <v>1</v>
      </c>
      <c r="G249" s="260" t="n">
        <v>100000</v>
      </c>
      <c r="H249" s="93">
        <f>G259*25%*75%</f>
        <v/>
      </c>
    </row>
    <row r="250" hidden="1" ht="15.75" customHeight="1" s="248">
      <c r="A250" s="92" t="n">
        <v>245</v>
      </c>
      <c r="B250" s="139" t="inlineStr">
        <is>
          <t>2026/06/04 08:44</t>
        </is>
      </c>
      <c r="C250" s="139" t="inlineStr">
        <is>
          <t>HUỲNH THỊ XIÊU</t>
        </is>
      </c>
      <c r="D250" s="139" t="inlineStr">
        <is>
          <t>22/09/1968</t>
        </is>
      </c>
      <c r="E250" s="139" t="inlineStr">
        <is>
          <t>Thay băng, cắt chỉ vết mổ</t>
        </is>
      </c>
      <c r="F250" s="260" t="n">
        <v>1</v>
      </c>
      <c r="G250" s="260" t="n">
        <v>100000</v>
      </c>
      <c r="H250" s="93">
        <f>G260*25%*75%</f>
        <v/>
      </c>
    </row>
    <row r="251" hidden="1" ht="15.75" customHeight="1" s="248">
      <c r="A251" s="92" t="n">
        <v>246</v>
      </c>
      <c r="B251" s="139" t="inlineStr">
        <is>
          <t>2026/06/04 10:02</t>
        </is>
      </c>
      <c r="C251" s="139" t="inlineStr">
        <is>
          <t>HOÀNG QUỐC HOÀN LONG</t>
        </is>
      </c>
      <c r="D251" s="139" t="inlineStr">
        <is>
          <t>26/01/2001</t>
        </is>
      </c>
      <c r="E251" s="139" t="inlineStr">
        <is>
          <t>Thay băng, cắt chỉ vết mổ</t>
        </is>
      </c>
      <c r="F251" s="260" t="n">
        <v>1</v>
      </c>
      <c r="G251" s="260" t="n">
        <v>40300</v>
      </c>
      <c r="H251" s="93">
        <f>G262*25%*75%</f>
        <v/>
      </c>
    </row>
    <row r="252" hidden="1" ht="15.75" customHeight="1" s="248">
      <c r="A252" s="92" t="n">
        <v>247</v>
      </c>
      <c r="B252" s="139" t="inlineStr">
        <is>
          <t>2026/06/04 10:23</t>
        </is>
      </c>
      <c r="C252" s="139" t="inlineStr">
        <is>
          <t>PHẠM THỊ TƯ</t>
        </is>
      </c>
      <c r="D252" s="139" t="inlineStr">
        <is>
          <t>01/01/1958</t>
        </is>
      </c>
      <c r="E252" s="139" t="inlineStr">
        <is>
          <t>Nẹp bột các loại, không nắn (loại 1)</t>
        </is>
      </c>
      <c r="F252" s="260" t="n">
        <v>1</v>
      </c>
      <c r="G252" s="260" t="n">
        <v>200000</v>
      </c>
      <c r="H252" s="93">
        <f>G263*25%*75%</f>
        <v/>
      </c>
    </row>
    <row r="253" hidden="1" ht="15.75" customHeight="1" s="248">
      <c r="A253" s="92" t="n">
        <v>248</v>
      </c>
      <c r="B253" s="139" t="inlineStr">
        <is>
          <t>2026/06/04 11:08</t>
        </is>
      </c>
      <c r="C253" s="139" t="inlineStr">
        <is>
          <t>TẠ THẾ HIỂU</t>
        </is>
      </c>
      <c r="D253" s="139" t="inlineStr">
        <is>
          <t>01/01/1991</t>
        </is>
      </c>
      <c r="E253" s="139" t="inlineStr">
        <is>
          <t>Tháo bột (lớn)</t>
        </is>
      </c>
      <c r="F253" s="260" t="n">
        <v>1</v>
      </c>
      <c r="G253" s="260" t="n">
        <v>300000</v>
      </c>
      <c r="H253" s="93">
        <f>G264*25%*75%</f>
        <v/>
      </c>
    </row>
    <row r="254" hidden="1" ht="15.75" customHeight="1" s="248">
      <c r="A254" s="92" t="n">
        <v>249</v>
      </c>
      <c r="B254" s="139" t="inlineStr">
        <is>
          <t>2026/06/04 14:56</t>
        </is>
      </c>
      <c r="C254" s="139" t="inlineStr">
        <is>
          <t>VÕ CHÍ TÂM</t>
        </is>
      </c>
      <c r="D254" s="139" t="inlineStr">
        <is>
          <t>17/11/1993</t>
        </is>
      </c>
      <c r="E254" s="139" t="inlineStr">
        <is>
          <t>Thay băng, cắt chỉ vết mổ [chiều dài ≤ 15cm]</t>
        </is>
      </c>
      <c r="F254" s="260" t="n">
        <v>1</v>
      </c>
      <c r="G254" s="260" t="n">
        <v>100000</v>
      </c>
      <c r="H254" s="93">
        <f>G265*25%*75%</f>
        <v/>
      </c>
    </row>
    <row r="255" hidden="1" ht="15.75" customHeight="1" s="248">
      <c r="A255" s="92" t="n">
        <v>250</v>
      </c>
      <c r="B255" s="139" t="inlineStr">
        <is>
          <t>2026/06/04 15:34</t>
        </is>
      </c>
      <c r="C255" s="139" t="inlineStr">
        <is>
          <t>CHÂU KIM HUỲNH CHI</t>
        </is>
      </c>
      <c r="D255" s="139" t="inlineStr">
        <is>
          <t>01/01/1973</t>
        </is>
      </c>
      <c r="E255" s="139" t="inlineStr">
        <is>
          <t>Thay băng, cắt chỉ vết mổ [chiều dài ≤ 15cm]</t>
        </is>
      </c>
      <c r="F255" s="260" t="n">
        <v>1</v>
      </c>
      <c r="G255" s="260" t="n">
        <v>100000</v>
      </c>
      <c r="H255" s="93">
        <f>G266*25%*75%</f>
        <v/>
      </c>
    </row>
    <row r="256" hidden="1" ht="15.75" customHeight="1" s="248">
      <c r="A256" s="92" t="n">
        <v>251</v>
      </c>
      <c r="B256" s="139" t="inlineStr">
        <is>
          <t>2026/06/04 16:07</t>
        </is>
      </c>
      <c r="C256" s="139" t="inlineStr">
        <is>
          <t>NGUYỄN THỊ ÁI LÂM</t>
        </is>
      </c>
      <c r="D256" s="139" t="inlineStr">
        <is>
          <t>01/01/1993</t>
        </is>
      </c>
      <c r="E256" s="139" t="inlineStr">
        <is>
          <t>Nắn bột cẳng bàn chân trong gãy xương bàn chân, ngón chân</t>
        </is>
      </c>
      <c r="F256" s="260" t="n">
        <v>1</v>
      </c>
      <c r="G256" s="260" t="n">
        <v>400000</v>
      </c>
      <c r="H256" s="93">
        <f>G267*25%*75%</f>
        <v/>
      </c>
    </row>
    <row r="257" hidden="1" ht="15.75" customHeight="1" s="248">
      <c r="A257" s="92" t="n">
        <v>252</v>
      </c>
      <c r="B257" s="139" t="inlineStr">
        <is>
          <t>2026/06/04 20:42</t>
        </is>
      </c>
      <c r="C257" s="139" t="inlineStr">
        <is>
          <t>NGUYỄN THỊ PHƯỢNG HUYỀN</t>
        </is>
      </c>
      <c r="D257" s="139" t="inlineStr">
        <is>
          <t>29/04/1960</t>
        </is>
      </c>
      <c r="E257" s="139" t="inlineStr">
        <is>
          <t>Nắn, bó bột gãy 1/3 dưới hai xương cẳng tay [bột liền]</t>
        </is>
      </c>
      <c r="F257" s="260" t="n">
        <v>1</v>
      </c>
      <c r="G257" s="260" t="n">
        <v>372700</v>
      </c>
      <c r="H257" s="93">
        <f>G268*25%*75%</f>
        <v/>
      </c>
    </row>
    <row r="258" hidden="1" ht="15.75" customHeight="1" s="248">
      <c r="A258" s="92" t="n">
        <v>253</v>
      </c>
      <c r="B258" s="139" t="inlineStr">
        <is>
          <t>2026/06/05 05:00</t>
        </is>
      </c>
      <c r="C258" s="139" t="inlineStr">
        <is>
          <t>DƯƠNG VĂN CHIẾN</t>
        </is>
      </c>
      <c r="D258" s="139" t="inlineStr">
        <is>
          <t>01/01/1949</t>
        </is>
      </c>
      <c r="E258" s="139" t="inlineStr">
        <is>
          <t>Thay băng, cắt chỉ vết mổ [chiều dài ≤ 15cm]</t>
        </is>
      </c>
      <c r="F258" s="260" t="n">
        <v>1</v>
      </c>
      <c r="G258" s="260" t="n">
        <v>100000</v>
      </c>
      <c r="H258" s="93">
        <f>G269*25%*75%</f>
        <v/>
      </c>
    </row>
    <row r="259" hidden="1" ht="15.75" customHeight="1" s="248">
      <c r="A259" s="92" t="n">
        <v>254</v>
      </c>
      <c r="B259" s="139" t="inlineStr">
        <is>
          <t>2026/06/05 05:00</t>
        </is>
      </c>
      <c r="C259" s="139" t="inlineStr">
        <is>
          <t>KHUẤT HÙNG</t>
        </is>
      </c>
      <c r="D259" s="139" t="inlineStr">
        <is>
          <t>01/01/1948</t>
        </is>
      </c>
      <c r="E259" s="139" t="inlineStr">
        <is>
          <t>Thay băng, cắt chỉ vết mổ [chiều dài ≤ 15cm]</t>
        </is>
      </c>
      <c r="F259" s="260" t="n">
        <v>1</v>
      </c>
      <c r="G259" s="260" t="n">
        <v>100000</v>
      </c>
      <c r="H259" s="93">
        <f>G270*25%*75%</f>
        <v/>
      </c>
    </row>
    <row r="260" hidden="1" ht="15.75" customHeight="1" s="248">
      <c r="A260" s="92" t="n">
        <v>255</v>
      </c>
      <c r="B260" s="139" t="inlineStr">
        <is>
          <t>2026/06/05 05:00</t>
        </is>
      </c>
      <c r="C260" s="139" t="inlineStr">
        <is>
          <t>MAI THÀNH DƯƠNG</t>
        </is>
      </c>
      <c r="D260" s="139" t="inlineStr">
        <is>
          <t>10/04/1964</t>
        </is>
      </c>
      <c r="E260" s="139" t="inlineStr">
        <is>
          <t>Thay băng, cắt chỉ vết mổ [chiều dài ≤ 15cm]</t>
        </is>
      </c>
      <c r="F260" s="260" t="n">
        <v>1</v>
      </c>
      <c r="G260" s="260" t="n">
        <v>100000</v>
      </c>
      <c r="H260" s="93">
        <f>G271*25%*75%</f>
        <v/>
      </c>
    </row>
    <row r="261" hidden="1" ht="15.75" customHeight="1" s="248">
      <c r="A261" s="92" t="n">
        <v>256</v>
      </c>
      <c r="B261" s="139" t="inlineStr">
        <is>
          <t>2026/06/05 05:00</t>
        </is>
      </c>
      <c r="C261" s="139" t="inlineStr">
        <is>
          <t>NGUYỄN THỊ CHUỐI</t>
        </is>
      </c>
      <c r="D261" s="139" t="inlineStr">
        <is>
          <t>06/08/1952</t>
        </is>
      </c>
      <c r="E261" s="139" t="inlineStr">
        <is>
          <t>Thay băng, cắt chỉ vết mổ [chiều dài ≤ 15cm]</t>
        </is>
      </c>
      <c r="F261" s="260" t="n">
        <v>1</v>
      </c>
      <c r="G261" s="260" t="n">
        <v>100000</v>
      </c>
      <c r="H261" s="93">
        <f>G272*25%*75%</f>
        <v/>
      </c>
    </row>
    <row r="262" hidden="1" ht="15.75" customHeight="1" s="248">
      <c r="A262" s="92" t="n">
        <v>257</v>
      </c>
      <c r="B262" s="139" t="inlineStr">
        <is>
          <t>2026/06/05 05:00</t>
        </is>
      </c>
      <c r="C262" s="139" t="inlineStr">
        <is>
          <t>NGUYỄN THỊ THỦY</t>
        </is>
      </c>
      <c r="D262" s="139" t="inlineStr">
        <is>
          <t>01/01/1963</t>
        </is>
      </c>
      <c r="E262" s="139" t="inlineStr">
        <is>
          <t>Thay băng, cắt chỉ vết mổ [chiều dài ≤ 15cm]</t>
        </is>
      </c>
      <c r="F262" s="260" t="n">
        <v>1</v>
      </c>
      <c r="G262" s="260" t="n">
        <v>100000</v>
      </c>
      <c r="H262" s="93">
        <f>G273*25%*75%</f>
        <v/>
      </c>
    </row>
    <row r="263" hidden="1" ht="15.75" customHeight="1" s="248">
      <c r="A263" s="92" t="n">
        <v>258</v>
      </c>
      <c r="B263" s="139" t="inlineStr">
        <is>
          <t>2026/06/05 05:00</t>
        </is>
      </c>
      <c r="C263" s="139" t="inlineStr">
        <is>
          <t>PHAN TUẤN GIỚI</t>
        </is>
      </c>
      <c r="D263" s="139" t="inlineStr">
        <is>
          <t>15/02/1965</t>
        </is>
      </c>
      <c r="E263" s="139" t="inlineStr">
        <is>
          <t>Thay băng, cắt chỉ vết mổ [chiều dài ≤ 15cm]</t>
        </is>
      </c>
      <c r="F263" s="260" t="n">
        <v>1</v>
      </c>
      <c r="G263" s="260" t="n">
        <v>100000</v>
      </c>
      <c r="H263" s="93">
        <f>G274*25%*75%</f>
        <v/>
      </c>
    </row>
    <row r="264" hidden="1" ht="15.75" customHeight="1" s="248">
      <c r="A264" s="92" t="n">
        <v>259</v>
      </c>
      <c r="B264" s="139" t="inlineStr">
        <is>
          <t>2026/06/05 05:00</t>
        </is>
      </c>
      <c r="C264" s="139" t="inlineStr">
        <is>
          <t>VŨ THÀNH ĐẠT</t>
        </is>
      </c>
      <c r="D264" s="139" t="inlineStr">
        <is>
          <t>01/02/1955</t>
        </is>
      </c>
      <c r="E264" s="139" t="inlineStr">
        <is>
          <t>Thay băng, cắt chỉ vết mổ [chiều dài ≤ 15cm]</t>
        </is>
      </c>
      <c r="F264" s="260" t="n">
        <v>1</v>
      </c>
      <c r="G264" s="260" t="n">
        <v>100000</v>
      </c>
      <c r="H264" s="93">
        <f>G275*25%*75%</f>
        <v/>
      </c>
    </row>
    <row r="265" hidden="1" ht="15.75" customHeight="1" s="248">
      <c r="A265" s="92" t="n">
        <v>260</v>
      </c>
      <c r="B265" s="139" t="inlineStr">
        <is>
          <t>2026/06/05 06:00</t>
        </is>
      </c>
      <c r="C265" s="139" t="inlineStr">
        <is>
          <t>DƯƠNG VIỆT ĐA</t>
        </is>
      </c>
      <c r="D265" s="139" t="inlineStr">
        <is>
          <t>30/08/1986</t>
        </is>
      </c>
      <c r="E265" s="139" t="inlineStr">
        <is>
          <t>Thay băng, cắt chỉ vết mổ [chiều dài ≤ 15cm]</t>
        </is>
      </c>
      <c r="F265" s="260" t="n">
        <v>1</v>
      </c>
      <c r="G265" s="260" t="n">
        <v>100000</v>
      </c>
      <c r="H265" s="93">
        <f>G276*25%*75%</f>
        <v/>
      </c>
    </row>
    <row r="266" hidden="1" ht="15.75" customHeight="1" s="248">
      <c r="A266" s="92" t="n">
        <v>261</v>
      </c>
      <c r="B266" s="139" t="inlineStr">
        <is>
          <t>2026/06/05 06:00</t>
        </is>
      </c>
      <c r="C266" s="139" t="inlineStr">
        <is>
          <t>HUỲNH THANH HÙNG</t>
        </is>
      </c>
      <c r="D266" s="139" t="inlineStr">
        <is>
          <t>01/01/1945</t>
        </is>
      </c>
      <c r="E266" s="139" t="inlineStr">
        <is>
          <t>Thay băng, cắt chỉ vết mổ [chiều dài ≤ 15cm]</t>
        </is>
      </c>
      <c r="F266" s="260" t="n">
        <v>1</v>
      </c>
      <c r="G266" s="260" t="n">
        <v>100000</v>
      </c>
      <c r="H266" s="93">
        <f>G277*25%*75%</f>
        <v/>
      </c>
    </row>
    <row r="267" hidden="1" ht="15.75" customHeight="1" s="248">
      <c r="A267" s="92" t="n">
        <v>262</v>
      </c>
      <c r="B267" s="139" t="inlineStr">
        <is>
          <t>2026/06/05 06:00</t>
        </is>
      </c>
      <c r="C267" s="139" t="inlineStr">
        <is>
          <t>PHẠM THỊ HỒNG GẤM</t>
        </is>
      </c>
      <c r="D267" s="139" t="inlineStr">
        <is>
          <t>01/01/1979</t>
        </is>
      </c>
      <c r="E267" s="139" t="inlineStr">
        <is>
          <t>Thay băng, cắt chỉ vết mổ [chiều dài ≤ 15cm]</t>
        </is>
      </c>
      <c r="F267" s="260" t="n">
        <v>1</v>
      </c>
      <c r="G267" s="260" t="n">
        <v>64300</v>
      </c>
      <c r="H267" s="93">
        <f>G278*25%*75%</f>
        <v/>
      </c>
    </row>
    <row r="268" hidden="1" ht="15.75" customHeight="1" s="248">
      <c r="A268" s="92" t="n">
        <v>263</v>
      </c>
      <c r="B268" s="139" t="inlineStr">
        <is>
          <t>2026/06/05 06:05</t>
        </is>
      </c>
      <c r="C268" s="139" t="inlineStr">
        <is>
          <t>DƯƠNG VIỆT ĐA</t>
        </is>
      </c>
      <c r="D268" s="139" t="inlineStr">
        <is>
          <t>30/08/1986</t>
        </is>
      </c>
      <c r="E268" s="139" t="inlineStr">
        <is>
          <t>Thay băng, cắt chỉ vết mổ [chiều dài ≤ 15cm]</t>
        </is>
      </c>
      <c r="F268" s="260" t="n">
        <v>1</v>
      </c>
      <c r="G268" s="260" t="n">
        <v>100000</v>
      </c>
      <c r="H268" s="93">
        <f>G279*25%*75%</f>
        <v/>
      </c>
    </row>
    <row r="269" hidden="1" ht="15.75" customHeight="1" s="248">
      <c r="A269" s="92" t="n">
        <v>264</v>
      </c>
      <c r="B269" s="139" t="inlineStr">
        <is>
          <t>2026/06/05 06:30</t>
        </is>
      </c>
      <c r="C269" s="139" t="inlineStr">
        <is>
          <t>PHẠM THỊ HỒNG GẤM</t>
        </is>
      </c>
      <c r="D269" s="139" t="inlineStr">
        <is>
          <t>01/01/1979</t>
        </is>
      </c>
      <c r="E269" s="139" t="inlineStr">
        <is>
          <t>Thay băng, cắt chỉ vết mổ [chiều dài ≤ 15cm]</t>
        </is>
      </c>
      <c r="F269" s="260" t="n">
        <v>1</v>
      </c>
      <c r="G269" s="260" t="n">
        <v>100000</v>
      </c>
      <c r="H269" s="93">
        <f>G280*25%*75%</f>
        <v/>
      </c>
    </row>
    <row r="270" hidden="1" ht="15.75" customHeight="1" s="248">
      <c r="A270" s="92" t="n">
        <v>265</v>
      </c>
      <c r="B270" s="139" t="inlineStr">
        <is>
          <t>2026/06/05 06:35</t>
        </is>
      </c>
      <c r="C270" s="139" t="inlineStr">
        <is>
          <t>PHẠM THỊ HỒNG GẤM</t>
        </is>
      </c>
      <c r="D270" s="139" t="inlineStr">
        <is>
          <t>01/01/1979</t>
        </is>
      </c>
      <c r="E270" s="139" t="inlineStr">
        <is>
          <t>Thay băng, cắt chỉ vết mổ [chiều dài ≤ 15cm]</t>
        </is>
      </c>
      <c r="F270" s="260" t="n">
        <v>1</v>
      </c>
      <c r="G270" s="260" t="n">
        <v>100000</v>
      </c>
      <c r="H270" s="93">
        <f>G281*25%*75%</f>
        <v/>
      </c>
    </row>
    <row r="271" hidden="1" ht="15.75" customHeight="1" s="248">
      <c r="A271" s="92" t="n">
        <v>266</v>
      </c>
      <c r="B271" s="139" t="inlineStr">
        <is>
          <t>2026/06/05 06:44</t>
        </is>
      </c>
      <c r="C271" s="139" t="inlineStr">
        <is>
          <t>PHẠM THỊ HOA</t>
        </is>
      </c>
      <c r="D271" s="139" t="inlineStr">
        <is>
          <t>01/01/1946</t>
        </is>
      </c>
      <c r="E271" s="139" t="inlineStr">
        <is>
          <t>Thay băng, cắt chỉ vết mổ [chiều dài ≤ 15cm]</t>
        </is>
      </c>
      <c r="F271" s="260" t="n">
        <v>1</v>
      </c>
      <c r="G271" s="260" t="n">
        <v>100000</v>
      </c>
      <c r="H271" s="93">
        <f>G282*25%*75%</f>
        <v/>
      </c>
    </row>
    <row r="272" hidden="1" ht="15.75" customHeight="1" s="248">
      <c r="A272" s="92" t="n">
        <v>267</v>
      </c>
      <c r="B272" s="139" t="inlineStr">
        <is>
          <t>2026/06/05 06:45</t>
        </is>
      </c>
      <c r="C272" s="139" t="inlineStr">
        <is>
          <t>DƯƠNG VIỆT ĐA</t>
        </is>
      </c>
      <c r="D272" s="139" t="inlineStr">
        <is>
          <t>30/08/1986</t>
        </is>
      </c>
      <c r="E272" s="139" t="inlineStr">
        <is>
          <t>Thay băng, cắt chỉ vết mổ [chiều dài ≤ 15cm]</t>
        </is>
      </c>
      <c r="F272" s="260" t="n">
        <v>1</v>
      </c>
      <c r="G272" s="260" t="n">
        <v>100000</v>
      </c>
      <c r="H272" s="93">
        <f>G283*25%*75%</f>
        <v/>
      </c>
    </row>
    <row r="273" hidden="1" ht="15.75" customHeight="1" s="248">
      <c r="A273" s="92" t="n">
        <v>268</v>
      </c>
      <c r="B273" s="139" t="inlineStr">
        <is>
          <t>2026/06/05 06:45</t>
        </is>
      </c>
      <c r="C273" s="139" t="inlineStr">
        <is>
          <t>PHẠM THỊ HOA</t>
        </is>
      </c>
      <c r="D273" s="139" t="inlineStr">
        <is>
          <t>01/01/1946</t>
        </is>
      </c>
      <c r="E273" s="139" t="inlineStr">
        <is>
          <t>Thay băng, cắt chỉ vết mổ [chiều dài ≤ 15cm]</t>
        </is>
      </c>
      <c r="F273" s="260" t="n">
        <v>1</v>
      </c>
      <c r="G273" s="260" t="n">
        <v>100000</v>
      </c>
      <c r="H273" s="93">
        <f>G284*25%*75%</f>
        <v/>
      </c>
    </row>
    <row r="274" hidden="1" ht="15.75" customHeight="1" s="248">
      <c r="A274" s="92" t="n">
        <v>269</v>
      </c>
      <c r="B274" s="139" t="inlineStr">
        <is>
          <t>2026/06/05 06:50</t>
        </is>
      </c>
      <c r="C274" s="139" t="inlineStr">
        <is>
          <t>PHẠM THỊ HOA</t>
        </is>
      </c>
      <c r="D274" s="139" t="inlineStr">
        <is>
          <t>01/01/1946</t>
        </is>
      </c>
      <c r="E274" s="139" t="inlineStr">
        <is>
          <t>Thay băng, cắt chỉ vết mổ [chiều dài ≤ 15cm]</t>
        </is>
      </c>
      <c r="F274" s="260" t="n">
        <v>1</v>
      </c>
      <c r="G274" s="260" t="n">
        <v>100000</v>
      </c>
      <c r="H274" s="93">
        <f>G285*25%*75%</f>
        <v/>
      </c>
    </row>
    <row r="275" hidden="1" ht="15.75" customHeight="1" s="248">
      <c r="A275" s="92" t="n">
        <v>270</v>
      </c>
      <c r="B275" s="139" t="inlineStr">
        <is>
          <t>2026/06/05 06:55</t>
        </is>
      </c>
      <c r="C275" s="139" t="inlineStr">
        <is>
          <t>HUỲNH THANH HÙNG</t>
        </is>
      </c>
      <c r="D275" s="139" t="inlineStr">
        <is>
          <t>01/01/1945</t>
        </is>
      </c>
      <c r="E275" s="139" t="inlineStr">
        <is>
          <t>Thay băng, cắt chỉ vết mổ [chiều dài ≤ 15cm]</t>
        </is>
      </c>
      <c r="F275" s="260" t="n">
        <v>1</v>
      </c>
      <c r="G275" s="260" t="n">
        <v>100000</v>
      </c>
      <c r="H275" s="93">
        <f>G286*25%*75%</f>
        <v/>
      </c>
    </row>
    <row r="276" hidden="1" ht="15.75" customHeight="1" s="248">
      <c r="A276" s="92" t="n">
        <v>271</v>
      </c>
      <c r="B276" s="139" t="inlineStr">
        <is>
          <t>2026/06/05 06:55</t>
        </is>
      </c>
      <c r="C276" s="139" t="inlineStr">
        <is>
          <t>PHẠM THỊ HOA</t>
        </is>
      </c>
      <c r="D276" s="139" t="inlineStr">
        <is>
          <t>01/01/1946</t>
        </is>
      </c>
      <c r="E276" s="139" t="inlineStr">
        <is>
          <t>Thay băng, cắt chỉ vết mổ [chiều dài ≤ 15cm]</t>
        </is>
      </c>
      <c r="F276" s="260" t="n">
        <v>1</v>
      </c>
      <c r="G276" s="260" t="n">
        <v>100000</v>
      </c>
      <c r="H276" s="93">
        <f>G287*25%*75%</f>
        <v/>
      </c>
    </row>
    <row r="277" hidden="1" ht="15.75" customHeight="1" s="248">
      <c r="A277" s="92" t="n">
        <v>272</v>
      </c>
      <c r="B277" s="139" t="inlineStr">
        <is>
          <t>2026/06/05 06:58</t>
        </is>
      </c>
      <c r="C277" s="139" t="inlineStr">
        <is>
          <t>HUỲNH THANH HÙNG</t>
        </is>
      </c>
      <c r="D277" s="139" t="inlineStr">
        <is>
          <t>01/01/1945</t>
        </is>
      </c>
      <c r="E277" s="139" t="inlineStr">
        <is>
          <t>Thay băng, cắt chỉ vết mổ [chiều dài ≤ 15cm]</t>
        </is>
      </c>
      <c r="F277" s="260" t="n">
        <v>1</v>
      </c>
      <c r="G277" s="260" t="n">
        <v>100000</v>
      </c>
      <c r="H277" s="93">
        <f>G288*25%*75%</f>
        <v/>
      </c>
    </row>
    <row r="278" hidden="1" ht="15.75" customHeight="1" s="248">
      <c r="A278" s="92" t="n">
        <v>273</v>
      </c>
      <c r="B278" s="139" t="inlineStr">
        <is>
          <t>2026/06/05 06:59</t>
        </is>
      </c>
      <c r="C278" s="139" t="inlineStr">
        <is>
          <t>HUỲNH THANH HÙNG</t>
        </is>
      </c>
      <c r="D278" s="139" t="inlineStr">
        <is>
          <t>01/01/1945</t>
        </is>
      </c>
      <c r="E278" s="139" t="inlineStr">
        <is>
          <t>Thay băng, cắt chỉ vết mổ [chiều dài ≤ 15cm]</t>
        </is>
      </c>
      <c r="F278" s="260" t="n">
        <v>1</v>
      </c>
      <c r="G278" s="260" t="n">
        <v>100000</v>
      </c>
      <c r="H278" s="93">
        <f>G289*25%*75%</f>
        <v/>
      </c>
    </row>
    <row r="279" hidden="1" ht="15.75" customHeight="1" s="248">
      <c r="A279" s="92" t="n">
        <v>274</v>
      </c>
      <c r="B279" s="139" t="inlineStr">
        <is>
          <t>2026/06/05 07:00</t>
        </is>
      </c>
      <c r="C279" s="139" t="inlineStr">
        <is>
          <t>LƯƠNG THỊ PHƯỢNG</t>
        </is>
      </c>
      <c r="D279" s="139" t="inlineStr">
        <is>
          <t>13/07/1965</t>
        </is>
      </c>
      <c r="E279" s="139" t="inlineStr">
        <is>
          <t>Thay băng, cắt chỉ vết mổ [chiều dài ≤ 15cm]</t>
        </is>
      </c>
      <c r="F279" s="260" t="n">
        <v>1</v>
      </c>
      <c r="G279" s="260" t="n">
        <v>100000</v>
      </c>
      <c r="H279" s="93">
        <f>G290*25%*75%</f>
        <v/>
      </c>
    </row>
    <row r="280" hidden="1" ht="15.75" customHeight="1" s="248">
      <c r="A280" s="92" t="n">
        <v>275</v>
      </c>
      <c r="B280" s="139" t="inlineStr">
        <is>
          <t>2026/06/05 07:00</t>
        </is>
      </c>
      <c r="C280" s="139" t="inlineStr">
        <is>
          <t>NGUYỄN THANH LIÊM</t>
        </is>
      </c>
      <c r="D280" s="139" t="inlineStr">
        <is>
          <t>13/08/1994</t>
        </is>
      </c>
      <c r="E280" s="139" t="inlineStr">
        <is>
          <t>Thay băng, cắt chỉ vết mổ [chiều dài ≤ 15cm]</t>
        </is>
      </c>
      <c r="F280" s="260" t="n">
        <v>1</v>
      </c>
      <c r="G280" s="260" t="n">
        <v>100000</v>
      </c>
      <c r="H280" s="93">
        <f>G291*25%*75%</f>
        <v/>
      </c>
    </row>
    <row r="281" hidden="1" ht="15.75" customHeight="1" s="248">
      <c r="A281" s="92" t="n">
        <v>276</v>
      </c>
      <c r="B281" s="139" t="inlineStr">
        <is>
          <t>2026/06/05 07:00</t>
        </is>
      </c>
      <c r="C281" s="139" t="inlineStr">
        <is>
          <t>NGUYỄN THANH SẮC</t>
        </is>
      </c>
      <c r="D281" s="139" t="inlineStr">
        <is>
          <t>15/01/1987</t>
        </is>
      </c>
      <c r="E281" s="139" t="inlineStr">
        <is>
          <t>Thay băng, cắt chỉ vết mổ [chiều dài ≤ 15cm]</t>
        </is>
      </c>
      <c r="F281" s="260" t="n">
        <v>1</v>
      </c>
      <c r="G281" s="260" t="n">
        <v>100000</v>
      </c>
      <c r="H281" s="93">
        <f>G292*25%*75%</f>
        <v/>
      </c>
    </row>
    <row r="282" hidden="1" ht="15.75" customHeight="1" s="248">
      <c r="A282" s="92" t="n">
        <v>277</v>
      </c>
      <c r="B282" s="139" t="inlineStr">
        <is>
          <t>2026/06/05 07:00</t>
        </is>
      </c>
      <c r="C282" s="139" t="inlineStr">
        <is>
          <t>NGUYỄN THỊ NGÂN</t>
        </is>
      </c>
      <c r="D282" s="139" t="inlineStr">
        <is>
          <t>01/01/1954</t>
        </is>
      </c>
      <c r="E282" s="139" t="inlineStr">
        <is>
          <t>Thay băng, cắt chỉ vết mổ [chiều dài ≤ 15cm]</t>
        </is>
      </c>
      <c r="F282" s="260" t="n">
        <v>1</v>
      </c>
      <c r="G282" s="260" t="n">
        <v>100000</v>
      </c>
      <c r="H282" s="93">
        <f>G293*25%*75%</f>
        <v/>
      </c>
    </row>
    <row r="283" hidden="1" ht="15.75" customHeight="1" s="248">
      <c r="A283" s="92" t="n">
        <v>278</v>
      </c>
      <c r="B283" s="139" t="inlineStr">
        <is>
          <t>2026/06/05 07:00</t>
        </is>
      </c>
      <c r="C283" s="139" t="inlineStr">
        <is>
          <t>NGUYỄN THỊ NGÂN</t>
        </is>
      </c>
      <c r="D283" s="139" t="inlineStr">
        <is>
          <t>01/01/1954</t>
        </is>
      </c>
      <c r="E283" s="139" t="inlineStr">
        <is>
          <t>Thay băng, cắt chỉ vết mổ [chiều dài ≤ 15cm]</t>
        </is>
      </c>
      <c r="F283" s="260" t="n">
        <v>1</v>
      </c>
      <c r="G283" s="260" t="n">
        <v>100000</v>
      </c>
      <c r="H283" s="93">
        <f>G294*25%*75%</f>
        <v/>
      </c>
    </row>
    <row r="284" hidden="1" ht="15.75" customHeight="1" s="248">
      <c r="A284" s="92" t="n">
        <v>279</v>
      </c>
      <c r="B284" s="139" t="inlineStr">
        <is>
          <t>2026/06/05 07:00</t>
        </is>
      </c>
      <c r="C284" s="139" t="inlineStr">
        <is>
          <t>NGUYỄN VĂN CẤP</t>
        </is>
      </c>
      <c r="D284" s="139" t="inlineStr">
        <is>
          <t>01/01/1957</t>
        </is>
      </c>
      <c r="E284" s="139" t="inlineStr">
        <is>
          <t>Thay băng, cắt chỉ vết mổ [chiều dài ≤ 15cm]</t>
        </is>
      </c>
      <c r="F284" s="260" t="n">
        <v>1</v>
      </c>
      <c r="G284" s="260" t="n">
        <v>100000</v>
      </c>
      <c r="H284" s="93">
        <f>G295*25%*75%</f>
        <v/>
      </c>
    </row>
    <row r="285" hidden="1" ht="15.75" customHeight="1" s="248">
      <c r="A285" s="92" t="n">
        <v>280</v>
      </c>
      <c r="B285" s="139" t="inlineStr">
        <is>
          <t>2026/06/05 07:00</t>
        </is>
      </c>
      <c r="C285" s="139" t="inlineStr">
        <is>
          <t>NGUYỄN VĂN PHỤNG</t>
        </is>
      </c>
      <c r="D285" s="139" t="inlineStr">
        <is>
          <t>01/01/1938</t>
        </is>
      </c>
      <c r="E285" s="139" t="inlineStr">
        <is>
          <t>Thay băng, cắt chỉ vết mổ [chiều dài ≤ 15cm]</t>
        </is>
      </c>
      <c r="F285" s="260" t="n">
        <v>1</v>
      </c>
      <c r="G285" s="260" t="n">
        <v>100000</v>
      </c>
      <c r="H285" s="93">
        <f>G296*25%*75%</f>
        <v/>
      </c>
    </row>
    <row r="286" hidden="1" ht="15.75" customHeight="1" s="248">
      <c r="A286" s="92" t="n">
        <v>281</v>
      </c>
      <c r="B286" s="139" t="inlineStr">
        <is>
          <t>2026/06/05 07:00</t>
        </is>
      </c>
      <c r="C286" s="139" t="inlineStr">
        <is>
          <t>UNG HUỲNH TÂM</t>
        </is>
      </c>
      <c r="D286" s="139" t="inlineStr">
        <is>
          <t>15/05/1984</t>
        </is>
      </c>
      <c r="E286" s="139" t="inlineStr">
        <is>
          <t>Thay băng, cắt chỉ vết mổ [chiều dài ≤ 15cm]</t>
        </is>
      </c>
      <c r="F286" s="260" t="n">
        <v>1</v>
      </c>
      <c r="G286" s="260" t="n">
        <v>100000</v>
      </c>
      <c r="H286" s="93">
        <f>G297*25%*75%</f>
        <v/>
      </c>
    </row>
    <row r="287" hidden="1" ht="15.75" customHeight="1" s="248">
      <c r="A287" s="92" t="n">
        <v>282</v>
      </c>
      <c r="B287" s="139" t="inlineStr">
        <is>
          <t>2026/06/05 07:00</t>
        </is>
      </c>
      <c r="C287" s="139" t="inlineStr">
        <is>
          <t>VÕ TẤN HƯNG</t>
        </is>
      </c>
      <c r="D287" s="139" t="inlineStr">
        <is>
          <t>19/09/1963</t>
        </is>
      </c>
      <c r="E287" s="139" t="inlineStr">
        <is>
          <t>Thay băng, cắt chỉ vết mổ [chiều dài ≤ 15cm]</t>
        </is>
      </c>
      <c r="F287" s="260" t="n">
        <v>1</v>
      </c>
      <c r="G287" s="260" t="n">
        <v>100000</v>
      </c>
      <c r="H287" s="93">
        <f>G298*25%*75%</f>
        <v/>
      </c>
    </row>
    <row r="288" hidden="1" ht="15.75" customHeight="1" s="248">
      <c r="A288" s="92" t="n">
        <v>283</v>
      </c>
      <c r="B288" s="139" t="inlineStr">
        <is>
          <t>2026/06/05 07:17</t>
        </is>
      </c>
      <c r="C288" s="139" t="inlineStr">
        <is>
          <t>TRẦN VĂN ĐỆ</t>
        </is>
      </c>
      <c r="D288" s="139" t="inlineStr">
        <is>
          <t>15/06/1979</t>
        </is>
      </c>
      <c r="E288" s="139" t="inlineStr">
        <is>
          <t>Cắt chỉ sau phẫu thuật</t>
        </is>
      </c>
      <c r="F288" s="260" t="n">
        <v>1</v>
      </c>
      <c r="G288" s="260" t="n">
        <v>40300</v>
      </c>
      <c r="H288" s="93">
        <f>G299*25%*75%</f>
        <v/>
      </c>
    </row>
    <row r="289" hidden="1" ht="15.75" customHeight="1" s="248">
      <c r="A289" s="92" t="n">
        <v>284</v>
      </c>
      <c r="B289" s="139" t="inlineStr">
        <is>
          <t>2026/06/05 07:35</t>
        </is>
      </c>
      <c r="C289" s="139" t="inlineStr">
        <is>
          <t>LÊ THỊ Y BÌNH</t>
        </is>
      </c>
      <c r="D289" s="139" t="inlineStr">
        <is>
          <t>06/08/1995</t>
        </is>
      </c>
      <c r="E289" s="139" t="inlineStr">
        <is>
          <t>Thay băng, cắt chỉ vết mổ [chiều dài ≤ 15cm]</t>
        </is>
      </c>
      <c r="F289" s="260" t="n">
        <v>1</v>
      </c>
      <c r="G289" s="260" t="n">
        <v>100000</v>
      </c>
      <c r="H289" s="93">
        <f>G301*25%*75%</f>
        <v/>
      </c>
    </row>
    <row r="290" hidden="1" ht="15.75" customHeight="1" s="248">
      <c r="A290" s="92" t="n">
        <v>285</v>
      </c>
      <c r="B290" s="139" t="inlineStr">
        <is>
          <t>2026/06/05 07:35</t>
        </is>
      </c>
      <c r="C290" s="139" t="inlineStr">
        <is>
          <t>NGUYỄN HOÀNG SƠN GIANG</t>
        </is>
      </c>
      <c r="D290" s="139" t="inlineStr">
        <is>
          <t>25/01/1976</t>
        </is>
      </c>
      <c r="E290" s="139" t="inlineStr">
        <is>
          <t>Thay băng, cắt chỉ vết mổ [chiều dài ≤ 15cm]</t>
        </is>
      </c>
      <c r="F290" s="260" t="n">
        <v>1</v>
      </c>
      <c r="G290" s="260" t="n">
        <v>100000</v>
      </c>
      <c r="H290" s="93">
        <f>G302*25%*75%</f>
        <v/>
      </c>
    </row>
    <row r="291" hidden="1" ht="15.75" customHeight="1" s="248">
      <c r="A291" s="92" t="n">
        <v>286</v>
      </c>
      <c r="B291" s="139" t="inlineStr">
        <is>
          <t>2026/06/05 07:35</t>
        </is>
      </c>
      <c r="C291" s="139" t="inlineStr">
        <is>
          <t>NGUYỄN HOÀNG SƠN GIANG</t>
        </is>
      </c>
      <c r="D291" s="139" t="inlineStr">
        <is>
          <t>25/01/1976</t>
        </is>
      </c>
      <c r="E291" s="139" t="inlineStr">
        <is>
          <t>Thay băng, cắt chỉ vết mổ [chiều dài ≤ 15cm]</t>
        </is>
      </c>
      <c r="F291" s="260" t="n">
        <v>1</v>
      </c>
      <c r="G291" s="260" t="n">
        <v>100000</v>
      </c>
      <c r="H291" s="93">
        <f>G303*25%*75%</f>
        <v/>
      </c>
    </row>
    <row r="292" hidden="1" ht="15.75" customHeight="1" s="248">
      <c r="A292" s="92" t="n">
        <v>287</v>
      </c>
      <c r="B292" s="139" t="inlineStr">
        <is>
          <t>2026/06/05 07:36</t>
        </is>
      </c>
      <c r="C292" s="139" t="inlineStr">
        <is>
          <t>NGUYỄN HOÀNG SƠN GIANG</t>
        </is>
      </c>
      <c r="D292" s="139" t="inlineStr">
        <is>
          <t>25/01/1976</t>
        </is>
      </c>
      <c r="E292" s="139" t="inlineStr">
        <is>
          <t>Thay băng, cắt chỉ vết mổ [chiều dài ≤ 15cm]</t>
        </is>
      </c>
      <c r="F292" s="260" t="n">
        <v>1</v>
      </c>
      <c r="G292" s="260" t="n">
        <v>100000</v>
      </c>
      <c r="H292" s="93">
        <f>G304*25%*75%</f>
        <v/>
      </c>
    </row>
    <row r="293" hidden="1" ht="15.75" customHeight="1" s="248">
      <c r="A293" s="92" t="n">
        <v>288</v>
      </c>
      <c r="B293" s="139" t="inlineStr">
        <is>
          <t>2026/06/05 07:37</t>
        </is>
      </c>
      <c r="C293" s="139" t="inlineStr">
        <is>
          <t>NGUYỄN HOÀNG SƠN GIANG</t>
        </is>
      </c>
      <c r="D293" s="139" t="inlineStr">
        <is>
          <t>25/01/1976</t>
        </is>
      </c>
      <c r="E293" s="139" t="inlineStr">
        <is>
          <t>Thay băng, cắt chỉ vết mổ [chiều dài ≤ 15cm]</t>
        </is>
      </c>
      <c r="F293" s="260" t="n">
        <v>1</v>
      </c>
      <c r="G293" s="260" t="n">
        <v>100000</v>
      </c>
      <c r="H293" s="93">
        <f>G305*25%*75%</f>
        <v/>
      </c>
    </row>
    <row r="294" hidden="1" ht="15.75" customHeight="1" s="248">
      <c r="A294" s="92" t="n">
        <v>289</v>
      </c>
      <c r="B294" s="139" t="inlineStr">
        <is>
          <t>2026/06/05 07:40</t>
        </is>
      </c>
      <c r="C294" s="139" t="inlineStr">
        <is>
          <t>LÊ THỊ Y BÌNH</t>
        </is>
      </c>
      <c r="D294" s="139" t="inlineStr">
        <is>
          <t>06/08/1995</t>
        </is>
      </c>
      <c r="E294" s="139" t="inlineStr">
        <is>
          <t>Thay băng, cắt chỉ vết mổ [chiều dài ≤ 15cm]</t>
        </is>
      </c>
      <c r="F294" s="260" t="n">
        <v>1</v>
      </c>
      <c r="G294" s="260" t="n">
        <v>100000</v>
      </c>
      <c r="H294" s="93">
        <f>G306*25%*75%</f>
        <v/>
      </c>
    </row>
    <row r="295" hidden="1" ht="15.75" customHeight="1" s="248">
      <c r="A295" s="92" t="n">
        <v>290</v>
      </c>
      <c r="B295" s="139" t="inlineStr">
        <is>
          <t>2026/06/05 07:40</t>
        </is>
      </c>
      <c r="C295" s="139" t="inlineStr">
        <is>
          <t>TRẦN VĂN LÂM</t>
        </is>
      </c>
      <c r="D295" s="139" t="inlineStr">
        <is>
          <t>27/09/1964</t>
        </is>
      </c>
      <c r="E295" s="139" t="inlineStr">
        <is>
          <t>Thay băng, cắt chỉ vết mổ [chiều dài ≤ 15cm]</t>
        </is>
      </c>
      <c r="F295" s="260" t="n">
        <v>1</v>
      </c>
      <c r="G295" s="260" t="n">
        <v>100000</v>
      </c>
      <c r="H295" s="93">
        <f>G307*25%*75%</f>
        <v/>
      </c>
    </row>
    <row r="296" hidden="1" ht="15.75" customHeight="1" s="248">
      <c r="A296" s="92" t="n">
        <v>291</v>
      </c>
      <c r="B296" s="139" t="inlineStr">
        <is>
          <t>2026/06/05 07:41</t>
        </is>
      </c>
      <c r="C296" s="139" t="inlineStr">
        <is>
          <t>LÊ THỊ Y BÌNH</t>
        </is>
      </c>
      <c r="D296" s="139" t="inlineStr">
        <is>
          <t>06/08/1995</t>
        </is>
      </c>
      <c r="E296" s="139" t="inlineStr">
        <is>
          <t>Thay băng, cắt chỉ vết mổ [chiều dài ≤ 15cm]</t>
        </is>
      </c>
      <c r="F296" s="260" t="n">
        <v>1</v>
      </c>
      <c r="G296" s="260" t="n">
        <v>100000</v>
      </c>
      <c r="H296" s="93">
        <f>G308*25%*75%</f>
        <v/>
      </c>
    </row>
    <row r="297" hidden="1" ht="15.75" customHeight="1" s="248">
      <c r="A297" s="92" t="n">
        <v>292</v>
      </c>
      <c r="B297" s="139" t="inlineStr">
        <is>
          <t>2026/06/05 07:41</t>
        </is>
      </c>
      <c r="C297" s="139" t="inlineStr">
        <is>
          <t>TRẦN VĂN LÂM</t>
        </is>
      </c>
      <c r="D297" s="139" t="inlineStr">
        <is>
          <t>27/09/1964</t>
        </is>
      </c>
      <c r="E297" s="139" t="inlineStr">
        <is>
          <t>Thay băng, cắt chỉ vết mổ [chiều dài ≤ 15cm]</t>
        </is>
      </c>
      <c r="F297" s="260" t="n">
        <v>1</v>
      </c>
      <c r="G297" s="260" t="n">
        <v>100000</v>
      </c>
      <c r="H297" s="93">
        <f>G309*25%*75%</f>
        <v/>
      </c>
    </row>
    <row r="298" hidden="1" ht="15.75" customHeight="1" s="248">
      <c r="A298" s="92" t="n">
        <v>293</v>
      </c>
      <c r="B298" s="139" t="inlineStr">
        <is>
          <t>2026/06/05 07:43</t>
        </is>
      </c>
      <c r="C298" s="139" t="inlineStr">
        <is>
          <t>LÊ THỊ Y BÌNH</t>
        </is>
      </c>
      <c r="D298" s="139" t="inlineStr">
        <is>
          <t>06/08/1995</t>
        </is>
      </c>
      <c r="E298" s="139" t="inlineStr">
        <is>
          <t>Thay băng, cắt chỉ vết mổ [chiều dài ≤ 15cm]</t>
        </is>
      </c>
      <c r="F298" s="260" t="n">
        <v>1</v>
      </c>
      <c r="G298" s="260" t="n">
        <v>100000</v>
      </c>
      <c r="H298" s="93">
        <f>G310*25%*75%</f>
        <v/>
      </c>
    </row>
    <row r="299" hidden="1" ht="15.75" customHeight="1" s="248">
      <c r="A299" s="92" t="n">
        <v>294</v>
      </c>
      <c r="B299" s="139" t="inlineStr">
        <is>
          <t>2026/06/05 07:45</t>
        </is>
      </c>
      <c r="C299" s="139" t="inlineStr">
        <is>
          <t>PHAN HUỲNH BẢO TRÂN</t>
        </is>
      </c>
      <c r="D299" s="139" t="inlineStr">
        <is>
          <t>15/12/2009</t>
        </is>
      </c>
      <c r="E299" s="139" t="inlineStr">
        <is>
          <t>Thay băng, cắt chỉ vết mổ [chiều dài ≤ 15cm]</t>
        </is>
      </c>
      <c r="F299" s="260" t="n">
        <v>1</v>
      </c>
      <c r="G299" s="260" t="n">
        <v>100000</v>
      </c>
      <c r="H299" s="93">
        <f>G311*25%*75%</f>
        <v/>
      </c>
    </row>
    <row r="300" hidden="1" ht="15.75" customHeight="1" s="248">
      <c r="A300" s="92" t="n">
        <v>295</v>
      </c>
      <c r="B300" s="139" t="inlineStr">
        <is>
          <t>2026/06/05 08:05</t>
        </is>
      </c>
      <c r="C300" s="139" t="inlineStr">
        <is>
          <t>PHẠM THỊ ANH THƯ</t>
        </is>
      </c>
      <c r="D300" s="139" t="inlineStr">
        <is>
          <t>19/03/2007</t>
        </is>
      </c>
      <c r="E300" s="139" t="inlineStr">
        <is>
          <t>Thay băng, cắt chỉ vết mổ [chiều dài ≤ 15cm]</t>
        </is>
      </c>
      <c r="F300" s="260" t="n">
        <v>1</v>
      </c>
      <c r="G300" s="260" t="n">
        <v>100000</v>
      </c>
      <c r="H300" s="93">
        <f>G312*25%*75%</f>
        <v/>
      </c>
    </row>
    <row r="301" hidden="1" ht="15.75" customHeight="1" s="248">
      <c r="A301" s="92" t="n">
        <v>296</v>
      </c>
      <c r="B301" s="139" t="inlineStr">
        <is>
          <t>2026/06/05 08:06</t>
        </is>
      </c>
      <c r="C301" s="139" t="inlineStr">
        <is>
          <t>PHẠM THU THẢO</t>
        </is>
      </c>
      <c r="D301" s="139" t="inlineStr">
        <is>
          <t>01/01/1970</t>
        </is>
      </c>
      <c r="E301" s="139" t="inlineStr">
        <is>
          <t>Cắt chỉ sau phẫu thuật</t>
        </is>
      </c>
      <c r="F301" s="260" t="n">
        <v>1</v>
      </c>
      <c r="G301" s="260" t="n">
        <v>100000</v>
      </c>
      <c r="H301" s="93">
        <f>G313*25%*75%</f>
        <v/>
      </c>
    </row>
    <row r="302" hidden="1" ht="15.75" customHeight="1" s="248">
      <c r="A302" s="92" t="n">
        <v>297</v>
      </c>
      <c r="B302" s="139" t="inlineStr">
        <is>
          <t>2026/06/05 08:10</t>
        </is>
      </c>
      <c r="C302" s="139" t="inlineStr">
        <is>
          <t>PHẠM THỊ ANH THƯ</t>
        </is>
      </c>
      <c r="D302" s="139" t="inlineStr">
        <is>
          <t>19/03/2007</t>
        </is>
      </c>
      <c r="E302" s="139" t="inlineStr">
        <is>
          <t>Thay băng, cắt chỉ vết mổ [chiều dài ≤ 15cm]</t>
        </is>
      </c>
      <c r="F302" s="260" t="n">
        <v>1</v>
      </c>
      <c r="G302" s="260" t="n">
        <v>100000</v>
      </c>
      <c r="H302" s="93">
        <f>G314*25%*75%</f>
        <v/>
      </c>
    </row>
    <row r="303" hidden="1" ht="15.75" customHeight="1" s="248">
      <c r="A303" s="92" t="n">
        <v>298</v>
      </c>
      <c r="B303" s="139" t="inlineStr">
        <is>
          <t>2026/06/05 08:37</t>
        </is>
      </c>
      <c r="C303" s="139" t="inlineStr">
        <is>
          <t>TRẦN THỊ KIỀU HẠNH</t>
        </is>
      </c>
      <c r="D303" s="139" t="inlineStr">
        <is>
          <t>10/05/1986</t>
        </is>
      </c>
      <c r="E303" s="139" t="inlineStr">
        <is>
          <t>Tháo bột (nhỏ)</t>
        </is>
      </c>
      <c r="F303" s="260" t="n">
        <v>1</v>
      </c>
      <c r="G303" s="260" t="n">
        <v>100000</v>
      </c>
      <c r="H303" s="93">
        <f>G315*25%*75%</f>
        <v/>
      </c>
    </row>
    <row r="304" hidden="1" ht="15.75" customHeight="1" s="248">
      <c r="A304" s="92" t="n">
        <v>299</v>
      </c>
      <c r="B304" s="139" t="inlineStr">
        <is>
          <t>2026/06/05 08:54</t>
        </is>
      </c>
      <c r="C304" s="139" t="inlineStr">
        <is>
          <t>HUỲNH NGỌC SƯƠNG</t>
        </is>
      </c>
      <c r="D304" s="139" t="inlineStr">
        <is>
          <t>05/05/1954</t>
        </is>
      </c>
      <c r="E304" s="139" t="inlineStr">
        <is>
          <t>Thông bàng quang</t>
        </is>
      </c>
      <c r="F304" s="260" t="n">
        <v>1</v>
      </c>
      <c r="G304" s="260" t="n">
        <v>101800</v>
      </c>
      <c r="H304" s="93">
        <f>G316*25%*75%</f>
        <v/>
      </c>
    </row>
    <row r="305" ht="15.75" customHeight="1" s="248">
      <c r="A305" s="92" t="n">
        <v>300</v>
      </c>
      <c r="B305" s="139" t="inlineStr">
        <is>
          <t>2026/06/05 08:59</t>
        </is>
      </c>
      <c r="C305" s="139" t="inlineStr">
        <is>
          <t>PHAN KIM RÔ</t>
        </is>
      </c>
      <c r="D305" s="139" t="inlineStr">
        <is>
          <t>10/03/1963</t>
        </is>
      </c>
      <c r="E305" s="139" t="inlineStr">
        <is>
          <t>Tiêm khớp vai</t>
        </is>
      </c>
      <c r="F305" s="260" t="n">
        <v>1</v>
      </c>
      <c r="G305" s="260" t="n">
        <v>104400</v>
      </c>
      <c r="H305" s="93">
        <f>G317*25%*75%</f>
        <v/>
      </c>
    </row>
    <row r="306" hidden="1" ht="15.75" customHeight="1" s="248">
      <c r="A306" s="92" t="n">
        <v>301</v>
      </c>
      <c r="B306" s="139" t="inlineStr">
        <is>
          <t>2026/06/05 14:12</t>
        </is>
      </c>
      <c r="C306" s="139" t="inlineStr">
        <is>
          <t>NGUYỄN VĂN CƯỜNG</t>
        </is>
      </c>
      <c r="D306" s="139" t="inlineStr">
        <is>
          <t>12/06/1999</t>
        </is>
      </c>
      <c r="E306" s="139" t="inlineStr">
        <is>
          <t>Cắt chỉ sau phẫu thuật</t>
        </is>
      </c>
      <c r="F306" s="260" t="n">
        <v>1</v>
      </c>
      <c r="G306" s="260" t="n">
        <v>100000</v>
      </c>
      <c r="H306" s="93">
        <f>G320*25%*75%</f>
        <v/>
      </c>
    </row>
    <row r="307" hidden="1" ht="15.75" customHeight="1" s="248">
      <c r="A307" s="92" t="n">
        <v>302</v>
      </c>
      <c r="B307" s="139" t="inlineStr">
        <is>
          <t>2026/06/05 15:17</t>
        </is>
      </c>
      <c r="C307" s="139" t="inlineStr">
        <is>
          <t>NGUYỄN THỊ ÚT</t>
        </is>
      </c>
      <c r="D307" s="139" t="inlineStr">
        <is>
          <t>01/01/1967</t>
        </is>
      </c>
      <c r="E307" s="139" t="inlineStr">
        <is>
          <t>Nắn, bó bột gãy 1/3 dưới hai xương cẳng tay [bột liền]</t>
        </is>
      </c>
      <c r="F307" s="260" t="n">
        <v>1</v>
      </c>
      <c r="G307" s="260" t="n">
        <v>500000</v>
      </c>
      <c r="H307" s="93">
        <f>G321*25%*75%</f>
        <v/>
      </c>
    </row>
    <row r="308" hidden="1" ht="15.75" customHeight="1" s="248">
      <c r="A308" s="92" t="n">
        <v>303</v>
      </c>
      <c r="B308" s="139" t="inlineStr">
        <is>
          <t>2026/06/06 05:00</t>
        </is>
      </c>
      <c r="C308" s="139" t="inlineStr">
        <is>
          <t>KHUẤT HÙNG</t>
        </is>
      </c>
      <c r="D308" s="139" t="inlineStr">
        <is>
          <t>01/01/1948</t>
        </is>
      </c>
      <c r="E308" s="139" t="inlineStr">
        <is>
          <t>Thay băng, cắt chỉ vết mổ [chiều dài ≤ 15cm]</t>
        </is>
      </c>
      <c r="F308" s="260" t="n">
        <v>1</v>
      </c>
      <c r="G308" s="260" t="n">
        <v>100000</v>
      </c>
      <c r="H308" s="93">
        <f>G322*25%*75%</f>
        <v/>
      </c>
    </row>
    <row r="309" hidden="1" ht="15.75" customHeight="1" s="248">
      <c r="A309" s="92" t="n">
        <v>304</v>
      </c>
      <c r="B309" s="139" t="inlineStr">
        <is>
          <t>2026/06/06 05:00</t>
        </is>
      </c>
      <c r="C309" s="139" t="inlineStr">
        <is>
          <t>LÂM THỊ MỘNG TRINH</t>
        </is>
      </c>
      <c r="D309" s="139" t="inlineStr">
        <is>
          <t>01/01/1983</t>
        </is>
      </c>
      <c r="E309" s="139" t="inlineStr">
        <is>
          <t>Thay băng, cắt chỉ vết mổ [chiều dài ≤ 15cm]</t>
        </is>
      </c>
      <c r="F309" s="260" t="n">
        <v>1</v>
      </c>
      <c r="G309" s="260" t="n">
        <v>100000</v>
      </c>
      <c r="H309" s="93">
        <f>G323*25%*75%</f>
        <v/>
      </c>
    </row>
    <row r="310" hidden="1" ht="15.75" customHeight="1" s="248">
      <c r="A310" s="92" t="n">
        <v>305</v>
      </c>
      <c r="B310" s="139" t="inlineStr">
        <is>
          <t>2026/06/06 05:00</t>
        </is>
      </c>
      <c r="C310" s="139" t="inlineStr">
        <is>
          <t>LƯƠNG THỊ PHƯỢNG</t>
        </is>
      </c>
      <c r="D310" s="139" t="inlineStr">
        <is>
          <t>13/07/1965</t>
        </is>
      </c>
      <c r="E310" s="139" t="inlineStr">
        <is>
          <t>Thay băng, cắt chỉ vết mổ [chiều dài ≤ 15cm]</t>
        </is>
      </c>
      <c r="F310" s="260" t="n">
        <v>1</v>
      </c>
      <c r="G310" s="260" t="n">
        <v>100000</v>
      </c>
      <c r="H310" s="93">
        <f>G324*25%*75%</f>
        <v/>
      </c>
    </row>
    <row r="311" hidden="1" ht="15.75" customHeight="1" s="248">
      <c r="A311" s="92" t="n">
        <v>306</v>
      </c>
      <c r="B311" s="139" t="inlineStr">
        <is>
          <t>2026/06/06 05:00</t>
        </is>
      </c>
      <c r="C311" s="139" t="inlineStr">
        <is>
          <t>MAI THÀNH DƯƠNG</t>
        </is>
      </c>
      <c r="D311" s="139" t="inlineStr">
        <is>
          <t>10/04/1964</t>
        </is>
      </c>
      <c r="E311" s="139" t="inlineStr">
        <is>
          <t>Thay băng, cắt chỉ vết mổ [chiều dài ≤ 15cm]</t>
        </is>
      </c>
      <c r="F311" s="260" t="n">
        <v>1</v>
      </c>
      <c r="G311" s="260" t="n">
        <v>100000</v>
      </c>
      <c r="H311" s="93">
        <f>G325*25%*75%</f>
        <v/>
      </c>
    </row>
    <row r="312" hidden="1" ht="15.75" customHeight="1" s="248">
      <c r="A312" s="92" t="n">
        <v>307</v>
      </c>
      <c r="B312" s="139" t="inlineStr">
        <is>
          <t>2026/06/06 05:00</t>
        </is>
      </c>
      <c r="C312" s="139" t="inlineStr">
        <is>
          <t>NGUYỄN THANH SẮC</t>
        </is>
      </c>
      <c r="D312" s="139" t="inlineStr">
        <is>
          <t>15/01/1987</t>
        </is>
      </c>
      <c r="E312" s="139" t="inlineStr">
        <is>
          <t>Thay băng, cắt chỉ vết mổ [chiều dài ≤ 15cm]</t>
        </is>
      </c>
      <c r="F312" s="260" t="n">
        <v>1</v>
      </c>
      <c r="G312" s="260" t="n">
        <v>100000</v>
      </c>
      <c r="H312" s="93">
        <f>G326*25%*75%</f>
        <v/>
      </c>
    </row>
    <row r="313" hidden="1" ht="15.75" customHeight="1" s="248">
      <c r="A313" s="92" t="n">
        <v>308</v>
      </c>
      <c r="B313" s="139" t="inlineStr">
        <is>
          <t>2026/06/06 05:00</t>
        </is>
      </c>
      <c r="C313" s="139" t="inlineStr">
        <is>
          <t>NGUYỄN THỊ CHUỐI</t>
        </is>
      </c>
      <c r="D313" s="139" t="inlineStr">
        <is>
          <t>06/08/1952</t>
        </is>
      </c>
      <c r="E313" s="139" t="inlineStr">
        <is>
          <t>Thay băng, cắt chỉ vết mổ [chiều dài ≤ 15cm]</t>
        </is>
      </c>
      <c r="F313" s="260" t="n">
        <v>1</v>
      </c>
      <c r="G313" s="260" t="n">
        <v>100000</v>
      </c>
      <c r="H313" s="93">
        <f>G327*25%*75%</f>
        <v/>
      </c>
    </row>
    <row r="314" hidden="1" ht="15.75" customHeight="1" s="248">
      <c r="A314" s="92" t="n">
        <v>309</v>
      </c>
      <c r="B314" s="139" t="inlineStr">
        <is>
          <t>2026/06/06 05:00</t>
        </is>
      </c>
      <c r="C314" s="139" t="inlineStr">
        <is>
          <t>NGUYỄN THỊ KỶ</t>
        </is>
      </c>
      <c r="D314" s="139" t="inlineStr">
        <is>
          <t>01/01/1949</t>
        </is>
      </c>
      <c r="E314" s="139" t="inlineStr">
        <is>
          <t>Thay băng, cắt chỉ vết mổ [chiều dài ≤ 15cm]</t>
        </is>
      </c>
      <c r="F314" s="260" t="n">
        <v>1</v>
      </c>
      <c r="G314" s="260" t="n">
        <v>100000</v>
      </c>
      <c r="H314" s="93">
        <f>G328*25%*75%</f>
        <v/>
      </c>
    </row>
    <row r="315" hidden="1" ht="15.75" customHeight="1" s="248">
      <c r="A315" s="92" t="n">
        <v>310</v>
      </c>
      <c r="B315" s="139" t="inlineStr">
        <is>
          <t>2026/06/06 05:00</t>
        </is>
      </c>
      <c r="C315" s="139" t="inlineStr">
        <is>
          <t>NGUYỄN THỊ NGÂN</t>
        </is>
      </c>
      <c r="D315" s="139" t="inlineStr">
        <is>
          <t>01/01/1954</t>
        </is>
      </c>
      <c r="E315" s="139" t="inlineStr">
        <is>
          <t>Thay băng, cắt chỉ vết mổ [chiều dài ≤ 15cm]</t>
        </is>
      </c>
      <c r="F315" s="260" t="n">
        <v>1</v>
      </c>
      <c r="G315" s="260" t="n">
        <v>100000</v>
      </c>
      <c r="H315" s="93">
        <f>G329*25%*75%</f>
        <v/>
      </c>
    </row>
    <row r="316" hidden="1" ht="15.75" customHeight="1" s="248">
      <c r="A316" s="92" t="n">
        <v>311</v>
      </c>
      <c r="B316" s="139" t="inlineStr">
        <is>
          <t>2026/06/06 05:00</t>
        </is>
      </c>
      <c r="C316" s="139" t="inlineStr">
        <is>
          <t>NGUYỄN THỊ THỦY</t>
        </is>
      </c>
      <c r="D316" s="139" t="inlineStr">
        <is>
          <t>01/01/1963</t>
        </is>
      </c>
      <c r="E316" s="139" t="inlineStr">
        <is>
          <t>Thay băng, cắt chỉ vết mổ [chiều dài ≤ 15cm]</t>
        </is>
      </c>
      <c r="F316" s="260" t="n">
        <v>1</v>
      </c>
      <c r="G316" s="260" t="n">
        <v>100000</v>
      </c>
      <c r="H316" s="93">
        <f>G330*25%*75%</f>
        <v/>
      </c>
    </row>
    <row r="317" hidden="1" ht="15.75" customHeight="1" s="248">
      <c r="A317" s="92" t="n">
        <v>312</v>
      </c>
      <c r="B317" s="139" t="inlineStr">
        <is>
          <t>2026/06/06 05:00</t>
        </is>
      </c>
      <c r="C317" s="139" t="inlineStr">
        <is>
          <t>NGUYỄN VĂN CẤP</t>
        </is>
      </c>
      <c r="D317" s="139" t="inlineStr">
        <is>
          <t>01/01/1957</t>
        </is>
      </c>
      <c r="E317" s="139" t="inlineStr">
        <is>
          <t>Thay băng, cắt chỉ vết mổ [chiều dài ≤ 15cm]</t>
        </is>
      </c>
      <c r="F317" s="260" t="n">
        <v>1</v>
      </c>
      <c r="G317" s="260" t="n">
        <v>100000</v>
      </c>
      <c r="H317" s="93">
        <f>G331*25%*75%</f>
        <v/>
      </c>
    </row>
    <row r="318" hidden="1" ht="15.75" customHeight="1" s="248">
      <c r="A318" s="92" t="n">
        <v>313</v>
      </c>
      <c r="B318" s="139" t="inlineStr">
        <is>
          <t>2026/06/06 05:00</t>
        </is>
      </c>
      <c r="C318" s="139" t="inlineStr">
        <is>
          <t>PHAN TUẤN GIỚI</t>
        </is>
      </c>
      <c r="D318" s="139" t="inlineStr">
        <is>
          <t>15/02/1965</t>
        </is>
      </c>
      <c r="E318" s="139" t="inlineStr">
        <is>
          <t>Thay băng, cắt chỉ vết mổ [chiều dài ≤ 15cm]</t>
        </is>
      </c>
      <c r="F318" s="260" t="n">
        <v>1</v>
      </c>
      <c r="G318" s="260" t="n">
        <v>100000</v>
      </c>
      <c r="H318" s="93">
        <f>G332*25%*75%</f>
        <v/>
      </c>
    </row>
    <row r="319" hidden="1" ht="15.75" customHeight="1" s="248">
      <c r="A319" s="92" t="n">
        <v>314</v>
      </c>
      <c r="B319" s="139" t="inlineStr">
        <is>
          <t>2026/06/06 05:00</t>
        </is>
      </c>
      <c r="C319" s="139" t="inlineStr">
        <is>
          <t>UNG HUỲNH TÂM</t>
        </is>
      </c>
      <c r="D319" s="139" t="inlineStr">
        <is>
          <t>15/05/1984</t>
        </is>
      </c>
      <c r="E319" s="139" t="inlineStr">
        <is>
          <t>Thay băng, cắt chỉ vết mổ [chiều dài ≤ 15cm]</t>
        </is>
      </c>
      <c r="F319" s="260" t="n">
        <v>1</v>
      </c>
      <c r="G319" s="260" t="n">
        <v>100000</v>
      </c>
      <c r="H319" s="93">
        <f>G333*25%*75%</f>
        <v/>
      </c>
    </row>
    <row r="320" hidden="1" ht="15.75" customHeight="1" s="248">
      <c r="A320" s="92" t="n">
        <v>315</v>
      </c>
      <c r="B320" s="139" t="inlineStr">
        <is>
          <t>2026/06/06 05:00</t>
        </is>
      </c>
      <c r="C320" s="139" t="inlineStr">
        <is>
          <t>VÕ TẤN HƯNG</t>
        </is>
      </c>
      <c r="D320" s="139" t="inlineStr">
        <is>
          <t>19/09/1963</t>
        </is>
      </c>
      <c r="E320" s="139" t="inlineStr">
        <is>
          <t>Thay băng, cắt chỉ vết mổ [chiều dài ≤ 15cm]</t>
        </is>
      </c>
      <c r="F320" s="260" t="n">
        <v>1</v>
      </c>
      <c r="G320" s="260" t="n">
        <v>100000</v>
      </c>
      <c r="H320" s="93">
        <f>G334*25%*75%</f>
        <v/>
      </c>
    </row>
    <row r="321" hidden="1" ht="15.75" customHeight="1" s="248">
      <c r="A321" s="92" t="n">
        <v>316</v>
      </c>
      <c r="B321" s="139" t="inlineStr">
        <is>
          <t>2026/06/06 05:00</t>
        </is>
      </c>
      <c r="C321" s="139" t="inlineStr">
        <is>
          <t>VŨ THÀNH ĐẠT</t>
        </is>
      </c>
      <c r="D321" s="139" t="inlineStr">
        <is>
          <t>01/02/1955</t>
        </is>
      </c>
      <c r="E321" s="139" t="inlineStr">
        <is>
          <t>Thay băng, cắt chỉ vết mổ [chiều dài ≤ 15cm]</t>
        </is>
      </c>
      <c r="F321" s="260" t="n">
        <v>1</v>
      </c>
      <c r="G321" s="260" t="n">
        <v>100000</v>
      </c>
      <c r="H321" s="93">
        <f>G335*25%*75%</f>
        <v/>
      </c>
    </row>
    <row r="322" hidden="1" ht="15.75" customHeight="1" s="248">
      <c r="A322" s="92" t="n">
        <v>317</v>
      </c>
      <c r="B322" s="139" t="inlineStr">
        <is>
          <t>2026/06/06 06:10</t>
        </is>
      </c>
      <c r="C322" s="139" t="inlineStr">
        <is>
          <t>DƯƠNG VIỆT ĐA</t>
        </is>
      </c>
      <c r="D322" s="139" t="inlineStr">
        <is>
          <t>30/08/1986</t>
        </is>
      </c>
      <c r="E322" s="139" t="inlineStr">
        <is>
          <t>Thay băng, cắt chỉ vết mổ [chiều dài ≤ 15cm]</t>
        </is>
      </c>
      <c r="F322" s="260" t="n">
        <v>1</v>
      </c>
      <c r="G322" s="260" t="n">
        <v>100000</v>
      </c>
      <c r="H322" s="93">
        <f>G336*25%*75%</f>
        <v/>
      </c>
    </row>
    <row r="323" hidden="1" ht="15.75" customHeight="1" s="248">
      <c r="A323" s="92" t="n">
        <v>318</v>
      </c>
      <c r="B323" s="139" t="inlineStr">
        <is>
          <t>2026/06/06 06:40</t>
        </is>
      </c>
      <c r="C323" s="139" t="inlineStr">
        <is>
          <t>PHẠM THỊ HỒNG GẤM</t>
        </is>
      </c>
      <c r="D323" s="139" t="inlineStr">
        <is>
          <t>01/01/1979</t>
        </is>
      </c>
      <c r="E323" s="139" t="inlineStr">
        <is>
          <t>Thay băng, cắt chỉ vết mổ [chiều dài ≤ 15cm]</t>
        </is>
      </c>
      <c r="F323" s="260" t="n">
        <v>1</v>
      </c>
      <c r="G323" s="260" t="n">
        <v>100000</v>
      </c>
      <c r="H323" s="93">
        <f>G337*25%*75%</f>
        <v/>
      </c>
    </row>
    <row r="324" hidden="1" ht="15.75" customHeight="1" s="248">
      <c r="A324" s="92" t="n">
        <v>319</v>
      </c>
      <c r="B324" s="139" t="inlineStr">
        <is>
          <t>2026/06/06 07:41</t>
        </is>
      </c>
      <c r="C324" s="139" t="inlineStr">
        <is>
          <t>TRẦN VĂN LÂM</t>
        </is>
      </c>
      <c r="D324" s="139" t="inlineStr">
        <is>
          <t>27/09/1964</t>
        </is>
      </c>
      <c r="E324" s="139" t="inlineStr">
        <is>
          <t>Thay băng, cắt chỉ vết mổ [chiều dài ≤ 15cm]</t>
        </is>
      </c>
      <c r="F324" s="260" t="n">
        <v>1</v>
      </c>
      <c r="G324" s="260" t="n">
        <v>100000</v>
      </c>
      <c r="H324" s="93">
        <f>G338*25%*75%</f>
        <v/>
      </c>
    </row>
    <row r="325" hidden="1" ht="15.75" customHeight="1" s="248">
      <c r="A325" s="92" t="n">
        <v>320</v>
      </c>
      <c r="B325" s="139" t="inlineStr">
        <is>
          <t>2026/06/06 08:10</t>
        </is>
      </c>
      <c r="C325" s="139" t="inlineStr">
        <is>
          <t>PHẠM THỊ ANH THƯ</t>
        </is>
      </c>
      <c r="D325" s="139" t="inlineStr">
        <is>
          <t>19/03/2007</t>
        </is>
      </c>
      <c r="E325" s="139" t="inlineStr">
        <is>
          <t>Thay băng, cắt chỉ vết mổ [chiều dài ≤ 15cm]</t>
        </is>
      </c>
      <c r="F325" s="260" t="n">
        <v>1</v>
      </c>
      <c r="G325" s="260" t="n">
        <v>100000</v>
      </c>
      <c r="H325" s="93">
        <f>G339*25%*75%</f>
        <v/>
      </c>
    </row>
    <row r="326" hidden="1" ht="15.75" customHeight="1" s="248">
      <c r="A326" s="92" t="n">
        <v>321</v>
      </c>
      <c r="B326" s="139" t="inlineStr">
        <is>
          <t>2026/06/06 16:52</t>
        </is>
      </c>
      <c r="C326" s="139" t="inlineStr">
        <is>
          <t>NITHYANANDAM TINA TRISHA</t>
        </is>
      </c>
      <c r="D326" s="139" t="inlineStr">
        <is>
          <t>20/12/2003</t>
        </is>
      </c>
      <c r="E326" s="139" t="inlineStr">
        <is>
          <t>Nắn, bó bột gãy 1/3 dưới hai xương cẳng chân [bột liền]</t>
        </is>
      </c>
      <c r="F326" s="260" t="n">
        <v>1</v>
      </c>
      <c r="G326" s="260" t="n">
        <v>600000</v>
      </c>
      <c r="H326" s="93">
        <f>G340*25%*75%</f>
        <v/>
      </c>
    </row>
    <row r="327" hidden="1" ht="15.75" customHeight="1" s="248">
      <c r="A327" s="92" t="n">
        <v>322</v>
      </c>
      <c r="B327" s="139" t="inlineStr">
        <is>
          <t>2026/06/07 05:00</t>
        </is>
      </c>
      <c r="C327" s="139" t="inlineStr">
        <is>
          <t>KHUẤT HÙNG</t>
        </is>
      </c>
      <c r="D327" s="139" t="inlineStr">
        <is>
          <t>01/01/1948</t>
        </is>
      </c>
      <c r="E327" s="139" t="inlineStr">
        <is>
          <t>Thay băng, cắt chỉ vết mổ [chiều dài ≤ 15cm]</t>
        </is>
      </c>
      <c r="F327" s="260" t="n">
        <v>1</v>
      </c>
      <c r="G327" s="260" t="n">
        <v>100000</v>
      </c>
      <c r="H327" s="93">
        <f>G341*25%*75%</f>
        <v/>
      </c>
    </row>
    <row r="328" hidden="1" ht="15.75" customHeight="1" s="248">
      <c r="A328" s="92" t="n">
        <v>323</v>
      </c>
      <c r="B328" s="139" t="inlineStr">
        <is>
          <t>2026/06/07 05:00</t>
        </is>
      </c>
      <c r="C328" s="139" t="inlineStr">
        <is>
          <t>LÂM THỊ MỘNG TRINH</t>
        </is>
      </c>
      <c r="D328" s="139" t="inlineStr">
        <is>
          <t>01/01/1983</t>
        </is>
      </c>
      <c r="E328" s="139" t="inlineStr">
        <is>
          <t>Thay băng, cắt chỉ vết mổ [chiều dài ≤ 15cm]</t>
        </is>
      </c>
      <c r="F328" s="260" t="n">
        <v>1</v>
      </c>
      <c r="G328" s="260" t="n">
        <v>100000</v>
      </c>
      <c r="H328" s="93">
        <f>G342*25%*75%</f>
        <v/>
      </c>
    </row>
    <row r="329" hidden="1" ht="15.75" customHeight="1" s="248">
      <c r="A329" s="92" t="n">
        <v>324</v>
      </c>
      <c r="B329" s="139" t="inlineStr">
        <is>
          <t>2026/06/07 05:00</t>
        </is>
      </c>
      <c r="C329" s="139" t="inlineStr">
        <is>
          <t>LÊ THỊ NGỌC BÍCH</t>
        </is>
      </c>
      <c r="D329" s="139" t="inlineStr">
        <is>
          <t>01/01/1956</t>
        </is>
      </c>
      <c r="E329" s="139" t="inlineStr">
        <is>
          <t>Thay băng, cắt chỉ vết mổ [chiều dài ≤ 15cm]</t>
        </is>
      </c>
      <c r="F329" s="260" t="n">
        <v>1</v>
      </c>
      <c r="G329" s="260" t="n">
        <v>100000</v>
      </c>
      <c r="H329" s="93">
        <f>G343*25%*75%</f>
        <v/>
      </c>
    </row>
    <row r="330" hidden="1" ht="15.75" customHeight="1" s="248">
      <c r="A330" s="92" t="n">
        <v>325</v>
      </c>
      <c r="B330" s="139" t="inlineStr">
        <is>
          <t>2026/06/07 05:00</t>
        </is>
      </c>
      <c r="C330" s="139" t="inlineStr">
        <is>
          <t>LƯƠNG THỊ PHƯỢNG</t>
        </is>
      </c>
      <c r="D330" s="139" t="inlineStr">
        <is>
          <t>13/07/1965</t>
        </is>
      </c>
      <c r="E330" s="139" t="inlineStr">
        <is>
          <t>Thay băng, cắt chỉ vết mổ [chiều dài ≤ 15cm]</t>
        </is>
      </c>
      <c r="F330" s="260" t="n">
        <v>1</v>
      </c>
      <c r="G330" s="260" t="n">
        <v>100000</v>
      </c>
      <c r="H330" s="93">
        <f>G344*25%*75%</f>
        <v/>
      </c>
    </row>
    <row r="331" hidden="1" ht="15.75" customHeight="1" s="248">
      <c r="A331" s="92" t="n">
        <v>326</v>
      </c>
      <c r="B331" s="139" t="inlineStr">
        <is>
          <t>2026/06/07 05:00</t>
        </is>
      </c>
      <c r="C331" s="139" t="inlineStr">
        <is>
          <t>MAI THÀNH DƯƠNG</t>
        </is>
      </c>
      <c r="D331" s="139" t="inlineStr">
        <is>
          <t>10/04/1964</t>
        </is>
      </c>
      <c r="E331" s="139" t="inlineStr">
        <is>
          <t>Thay băng, cắt chỉ vết mổ [chiều dài ≤ 15cm]</t>
        </is>
      </c>
      <c r="F331" s="260" t="n">
        <v>1</v>
      </c>
      <c r="G331" s="260" t="n">
        <v>100000</v>
      </c>
      <c r="H331" s="93">
        <f>G345*25%*75%</f>
        <v/>
      </c>
    </row>
    <row r="332" hidden="1" ht="15.75" customHeight="1" s="248">
      <c r="A332" s="92" t="n">
        <v>327</v>
      </c>
      <c r="B332" s="139" t="inlineStr">
        <is>
          <t>2026/06/07 05:00</t>
        </is>
      </c>
      <c r="C332" s="139" t="inlineStr">
        <is>
          <t>NGUYỄN THANH SẮC</t>
        </is>
      </c>
      <c r="D332" s="139" t="inlineStr">
        <is>
          <t>15/01/1987</t>
        </is>
      </c>
      <c r="E332" s="139" t="inlineStr">
        <is>
          <t>Thay băng, cắt chỉ vết mổ [chiều dài ≤ 15cm]</t>
        </is>
      </c>
      <c r="F332" s="260" t="n">
        <v>1</v>
      </c>
      <c r="G332" s="260" t="n">
        <v>100000</v>
      </c>
      <c r="H332" s="93">
        <f>G346*25%*75%</f>
        <v/>
      </c>
    </row>
    <row r="333" hidden="1" ht="15.75" customHeight="1" s="248">
      <c r="A333" s="92" t="n">
        <v>328</v>
      </c>
      <c r="B333" s="139" t="inlineStr">
        <is>
          <t>2026/06/07 05:00</t>
        </is>
      </c>
      <c r="C333" s="139" t="inlineStr">
        <is>
          <t>NGUYỄN THỊ CHUỐI</t>
        </is>
      </c>
      <c r="D333" s="139" t="inlineStr">
        <is>
          <t>06/08/1952</t>
        </is>
      </c>
      <c r="E333" s="139" t="inlineStr">
        <is>
          <t>Thay băng, cắt chỉ vết mổ [chiều dài ≤ 15cm]</t>
        </is>
      </c>
      <c r="F333" s="260" t="n">
        <v>1</v>
      </c>
      <c r="G333" s="260" t="n">
        <v>100000</v>
      </c>
      <c r="H333" s="93">
        <f>G347*25%*75%</f>
        <v/>
      </c>
    </row>
    <row r="334" hidden="1" ht="15.75" customHeight="1" s="248">
      <c r="A334" s="92" t="n">
        <v>329</v>
      </c>
      <c r="B334" s="139" t="inlineStr">
        <is>
          <t>2026/06/07 05:00</t>
        </is>
      </c>
      <c r="C334" s="139" t="inlineStr">
        <is>
          <t>NGUYỄN THỊ KỶ</t>
        </is>
      </c>
      <c r="D334" s="139" t="inlineStr">
        <is>
          <t>01/01/1949</t>
        </is>
      </c>
      <c r="E334" s="139" t="inlineStr">
        <is>
          <t>Thay băng, cắt chỉ vết mổ [chiều dài ≤ 15cm]</t>
        </is>
      </c>
      <c r="F334" s="260" t="n">
        <v>1</v>
      </c>
      <c r="G334" s="260" t="n">
        <v>100000</v>
      </c>
      <c r="H334" s="93">
        <f>G348*25%*75%</f>
        <v/>
      </c>
    </row>
    <row r="335" hidden="1" ht="15.75" customHeight="1" s="248">
      <c r="A335" s="92" t="n">
        <v>330</v>
      </c>
      <c r="B335" s="139" t="inlineStr">
        <is>
          <t>2026/06/07 05:00</t>
        </is>
      </c>
      <c r="C335" s="139" t="inlineStr">
        <is>
          <t>NGUYỄN THỊ THỦY</t>
        </is>
      </c>
      <c r="D335" s="139" t="inlineStr">
        <is>
          <t>01/01/1963</t>
        </is>
      </c>
      <c r="E335" s="139" t="inlineStr">
        <is>
          <t>Thay băng, cắt chỉ vết mổ [chiều dài ≤ 15cm]</t>
        </is>
      </c>
      <c r="F335" s="260" t="n">
        <v>1</v>
      </c>
      <c r="G335" s="260" t="n">
        <v>100000</v>
      </c>
      <c r="H335" s="93">
        <f>G349*25%*75%</f>
        <v/>
      </c>
    </row>
    <row r="336" hidden="1" ht="15.75" customHeight="1" s="248">
      <c r="A336" s="92" t="n">
        <v>331</v>
      </c>
      <c r="B336" s="139" t="inlineStr">
        <is>
          <t>2026/06/07 05:00</t>
        </is>
      </c>
      <c r="C336" s="139" t="inlineStr">
        <is>
          <t>NGUYỄN VĂN CẤP</t>
        </is>
      </c>
      <c r="D336" s="139" t="inlineStr">
        <is>
          <t>01/01/1957</t>
        </is>
      </c>
      <c r="E336" s="139" t="inlineStr">
        <is>
          <t>Thay băng, cắt chỉ vết mổ [chiều dài ≤ 15cm]</t>
        </is>
      </c>
      <c r="F336" s="260" t="n">
        <v>1</v>
      </c>
      <c r="G336" s="260" t="n">
        <v>100000</v>
      </c>
      <c r="H336" s="93">
        <f>G350*25%*75%</f>
        <v/>
      </c>
    </row>
    <row r="337" hidden="1" ht="15.75" customHeight="1" s="248">
      <c r="A337" s="92" t="n">
        <v>332</v>
      </c>
      <c r="B337" s="139" t="inlineStr">
        <is>
          <t>2026/06/07 05:00</t>
        </is>
      </c>
      <c r="C337" s="139" t="inlineStr">
        <is>
          <t>PHAN TUẤN GIỚI</t>
        </is>
      </c>
      <c r="D337" s="139" t="inlineStr">
        <is>
          <t>15/02/1965</t>
        </is>
      </c>
      <c r="E337" s="139" t="inlineStr">
        <is>
          <t>Thay băng, cắt chỉ vết mổ [chiều dài ≤ 15cm]</t>
        </is>
      </c>
      <c r="F337" s="260" t="n">
        <v>1</v>
      </c>
      <c r="G337" s="260" t="n">
        <v>100000</v>
      </c>
      <c r="H337" s="93">
        <f>G351*25%*75%</f>
        <v/>
      </c>
    </row>
    <row r="338" hidden="1" ht="15.75" customHeight="1" s="248">
      <c r="A338" s="92" t="n">
        <v>333</v>
      </c>
      <c r="B338" s="139" t="inlineStr">
        <is>
          <t>2026/06/07 05:00</t>
        </is>
      </c>
      <c r="C338" s="139" t="inlineStr">
        <is>
          <t>TẠ VĂN DƯ</t>
        </is>
      </c>
      <c r="D338" s="139" t="inlineStr">
        <is>
          <t>01/01/1989</t>
        </is>
      </c>
      <c r="E338" s="139" t="inlineStr">
        <is>
          <t>Thay băng, cắt chỉ vết mổ [chiều dài ≤ 15cm]</t>
        </is>
      </c>
      <c r="F338" s="260" t="n">
        <v>1</v>
      </c>
      <c r="G338" s="260" t="n">
        <v>100000</v>
      </c>
      <c r="H338" s="93">
        <f>G352*25%*75%</f>
        <v/>
      </c>
    </row>
    <row r="339" hidden="1" ht="15.75" customHeight="1" s="248">
      <c r="A339" s="92" t="n">
        <v>334</v>
      </c>
      <c r="B339" s="139" t="inlineStr">
        <is>
          <t>2026/06/07 05:00</t>
        </is>
      </c>
      <c r="C339" s="139" t="inlineStr">
        <is>
          <t>VŨ THÀNH ĐẠT</t>
        </is>
      </c>
      <c r="D339" s="139" t="inlineStr">
        <is>
          <t>01/02/1955</t>
        </is>
      </c>
      <c r="E339" s="139" t="inlineStr">
        <is>
          <t>Thay băng, cắt chỉ vết mổ [chiều dài ≤ 15cm]</t>
        </is>
      </c>
      <c r="F339" s="260" t="n">
        <v>1</v>
      </c>
      <c r="G339" s="260" t="n">
        <v>100000</v>
      </c>
      <c r="H339" s="93">
        <f>G353*25%*75%</f>
        <v/>
      </c>
    </row>
    <row r="340" hidden="1" ht="15.75" customHeight="1" s="248">
      <c r="A340" s="92" t="n">
        <v>335</v>
      </c>
      <c r="B340" s="139" t="inlineStr">
        <is>
          <t>2026/06/08 05:00</t>
        </is>
      </c>
      <c r="C340" s="139" t="inlineStr">
        <is>
          <t>KHUẤT HÙNG</t>
        </is>
      </c>
      <c r="D340" s="139" t="inlineStr">
        <is>
          <t>01/01/1948</t>
        </is>
      </c>
      <c r="E340" s="139" t="inlineStr">
        <is>
          <t>Thay băng, cắt chỉ vết mổ [chiều dài ≤ 15cm]</t>
        </is>
      </c>
      <c r="F340" s="260" t="n">
        <v>1</v>
      </c>
      <c r="G340" s="260" t="n">
        <v>100000</v>
      </c>
      <c r="H340" s="93">
        <f>G354*25%*75%</f>
        <v/>
      </c>
    </row>
    <row r="341" hidden="1" ht="15.75" customHeight="1" s="248">
      <c r="A341" s="92" t="n">
        <v>336</v>
      </c>
      <c r="B341" s="139" t="inlineStr">
        <is>
          <t>2026/06/08 05:00</t>
        </is>
      </c>
      <c r="C341" s="139" t="inlineStr">
        <is>
          <t>LÊ THỊ NGỌC BÍCH</t>
        </is>
      </c>
      <c r="D341" s="139" t="inlineStr">
        <is>
          <t>01/01/1956</t>
        </is>
      </c>
      <c r="E341" s="139" t="inlineStr">
        <is>
          <t>Thay băng, cắt chỉ vết mổ [chiều dài ≤ 15cm]</t>
        </is>
      </c>
      <c r="F341" s="260" t="n">
        <v>1</v>
      </c>
      <c r="G341" s="260" t="n">
        <v>100000</v>
      </c>
      <c r="H341" s="93">
        <f>G355*25%*75%</f>
        <v/>
      </c>
    </row>
    <row r="342" hidden="1" ht="15.75" customHeight="1" s="248">
      <c r="A342" s="92" t="n">
        <v>337</v>
      </c>
      <c r="B342" s="139" t="inlineStr">
        <is>
          <t>2026/06/08 05:00</t>
        </is>
      </c>
      <c r="C342" s="139" t="inlineStr">
        <is>
          <t>MAI THÀNH DƯƠNG</t>
        </is>
      </c>
      <c r="D342" s="139" t="inlineStr">
        <is>
          <t>10/04/1964</t>
        </is>
      </c>
      <c r="E342" s="139" t="inlineStr">
        <is>
          <t>Thay băng, cắt chỉ vết mổ [chiều dài ≤ 15cm]</t>
        </is>
      </c>
      <c r="F342" s="260" t="n">
        <v>1</v>
      </c>
      <c r="G342" s="260" t="n">
        <v>100000</v>
      </c>
      <c r="H342" s="93">
        <f>G356*25%*75%</f>
        <v/>
      </c>
    </row>
    <row r="343" hidden="1" ht="15.75" customHeight="1" s="248">
      <c r="A343" s="92" t="n">
        <v>338</v>
      </c>
      <c r="B343" s="139" t="inlineStr">
        <is>
          <t>2026/06/08 05:00</t>
        </is>
      </c>
      <c r="C343" s="139" t="inlineStr">
        <is>
          <t>NGUYỄN THỊ CHUỐI</t>
        </is>
      </c>
      <c r="D343" s="139" t="inlineStr">
        <is>
          <t>06/08/1952</t>
        </is>
      </c>
      <c r="E343" s="139" t="inlineStr">
        <is>
          <t>Thay băng, cắt chỉ vết mổ [chiều dài ≤ 15cm]</t>
        </is>
      </c>
      <c r="F343" s="260" t="n">
        <v>1</v>
      </c>
      <c r="G343" s="260" t="n">
        <v>100000</v>
      </c>
      <c r="H343" s="93">
        <f>G357*25%*75%</f>
        <v/>
      </c>
    </row>
    <row r="344" hidden="1" ht="15.75" customHeight="1" s="248">
      <c r="A344" s="92" t="n">
        <v>339</v>
      </c>
      <c r="B344" s="139" t="inlineStr">
        <is>
          <t>2026/06/08 05:00</t>
        </is>
      </c>
      <c r="C344" s="139" t="inlineStr">
        <is>
          <t>NGUYỄN THỊ KỶ</t>
        </is>
      </c>
      <c r="D344" s="139" t="inlineStr">
        <is>
          <t>01/01/1949</t>
        </is>
      </c>
      <c r="E344" s="139" t="inlineStr">
        <is>
          <t>Thay băng, cắt chỉ vết mổ [chiều dài ≤ 15cm]</t>
        </is>
      </c>
      <c r="F344" s="260" t="n">
        <v>1</v>
      </c>
      <c r="G344" s="260" t="n">
        <v>100000</v>
      </c>
      <c r="H344" s="93">
        <f>G358*25%*75%</f>
        <v/>
      </c>
    </row>
    <row r="345" hidden="1" ht="15.75" customHeight="1" s="248">
      <c r="A345" s="92" t="n">
        <v>340</v>
      </c>
      <c r="B345" s="139" t="inlineStr">
        <is>
          <t>2026/06/08 05:00</t>
        </is>
      </c>
      <c r="C345" s="139" t="inlineStr">
        <is>
          <t>NGUYỄN THỊ THỦY</t>
        </is>
      </c>
      <c r="D345" s="139" t="inlineStr">
        <is>
          <t>01/01/1963</t>
        </is>
      </c>
      <c r="E345" s="139" t="inlineStr">
        <is>
          <t>Thay băng, cắt chỉ vết mổ [chiều dài ≤ 15cm]</t>
        </is>
      </c>
      <c r="F345" s="260" t="n">
        <v>1</v>
      </c>
      <c r="G345" s="260" t="n">
        <v>100000</v>
      </c>
      <c r="H345" s="93">
        <f>G359*25%*75%</f>
        <v/>
      </c>
    </row>
    <row r="346" hidden="1" ht="15.75" customHeight="1" s="248">
      <c r="A346" s="92" t="n">
        <v>341</v>
      </c>
      <c r="B346" s="139" t="inlineStr">
        <is>
          <t>2026/06/08 05:00</t>
        </is>
      </c>
      <c r="C346" s="139" t="inlineStr">
        <is>
          <t>NGUYỄN VĂN CẤP</t>
        </is>
      </c>
      <c r="D346" s="139" t="inlineStr">
        <is>
          <t>01/01/1957</t>
        </is>
      </c>
      <c r="E346" s="139" t="inlineStr">
        <is>
          <t>Thay băng, cắt chỉ vết mổ [chiều dài ≤ 15cm]</t>
        </is>
      </c>
      <c r="F346" s="260" t="n">
        <v>1</v>
      </c>
      <c r="G346" s="260" t="n">
        <v>100000</v>
      </c>
      <c r="H346" s="93">
        <f>G360*25%*75%</f>
        <v/>
      </c>
    </row>
    <row r="347" hidden="1" ht="15.75" customHeight="1" s="248">
      <c r="A347" s="92" t="n">
        <v>342</v>
      </c>
      <c r="B347" s="139" t="inlineStr">
        <is>
          <t>2026/06/08 05:00</t>
        </is>
      </c>
      <c r="C347" s="139" t="inlineStr">
        <is>
          <t>PHAN TUẤN GIỚI</t>
        </is>
      </c>
      <c r="D347" s="139" t="inlineStr">
        <is>
          <t>15/02/1965</t>
        </is>
      </c>
      <c r="E347" s="139" t="inlineStr">
        <is>
          <t>Thay băng, cắt chỉ vết mổ [chiều dài ≤ 15cm]</t>
        </is>
      </c>
      <c r="F347" s="260" t="n">
        <v>1</v>
      </c>
      <c r="G347" s="260" t="n">
        <v>100000</v>
      </c>
      <c r="H347" s="93">
        <f>G361*25%*75%</f>
        <v/>
      </c>
    </row>
    <row r="348" hidden="1" ht="15.75" customHeight="1" s="248">
      <c r="A348" s="92" t="n">
        <v>343</v>
      </c>
      <c r="B348" s="139" t="inlineStr">
        <is>
          <t>2026/06/08 05:00</t>
        </is>
      </c>
      <c r="C348" s="139" t="inlineStr">
        <is>
          <t>TẠ VĂN DƯ</t>
        </is>
      </c>
      <c r="D348" s="139" t="inlineStr">
        <is>
          <t>01/01/1989</t>
        </is>
      </c>
      <c r="E348" s="139" t="inlineStr">
        <is>
          <t>Thay băng, cắt chỉ vết mổ [chiều dài ≤ 15cm]</t>
        </is>
      </c>
      <c r="F348" s="260" t="n">
        <v>1</v>
      </c>
      <c r="G348" s="260" t="n">
        <v>100000</v>
      </c>
      <c r="H348" s="93">
        <f>G362*25%*75%</f>
        <v/>
      </c>
    </row>
    <row r="349" hidden="1" ht="15.75" customHeight="1" s="248">
      <c r="A349" s="92" t="n">
        <v>344</v>
      </c>
      <c r="B349" s="139" t="inlineStr">
        <is>
          <t>2026/06/08 05:00</t>
        </is>
      </c>
      <c r="C349" s="139" t="inlineStr">
        <is>
          <t>VŨ THÀNH ĐẠT</t>
        </is>
      </c>
      <c r="D349" s="139" t="inlineStr">
        <is>
          <t>01/02/1955</t>
        </is>
      </c>
      <c r="E349" s="139" t="inlineStr">
        <is>
          <t>Thay băng, cắt chỉ vết mổ [chiều dài ≤ 15cm]</t>
        </is>
      </c>
      <c r="F349" s="260" t="n">
        <v>1</v>
      </c>
      <c r="G349" s="260" t="n">
        <v>100000</v>
      </c>
      <c r="H349" s="93">
        <f>G363*25%*75%</f>
        <v/>
      </c>
    </row>
    <row r="350" hidden="1" ht="15.75" customHeight="1" s="248">
      <c r="A350" s="92" t="n">
        <v>345</v>
      </c>
      <c r="B350" s="139" t="inlineStr">
        <is>
          <t>2026/06/08 06:32</t>
        </is>
      </c>
      <c r="C350" s="139" t="inlineStr">
        <is>
          <t>NGUYỄN THANH SẮC</t>
        </is>
      </c>
      <c r="D350" s="139" t="inlineStr">
        <is>
          <t>15/01/1987</t>
        </is>
      </c>
      <c r="E350" s="139" t="inlineStr">
        <is>
          <t>Thay băng, cắt chỉ vết mổ [chiều dài ≤ 15cm]</t>
        </is>
      </c>
      <c r="F350" s="260" t="n">
        <v>1</v>
      </c>
      <c r="G350" s="260" t="n">
        <v>100000</v>
      </c>
      <c r="H350" s="93">
        <f>G364*25%*75%</f>
        <v/>
      </c>
    </row>
    <row r="351" hidden="1" ht="15.75" customHeight="1" s="248">
      <c r="A351" s="92" t="n">
        <v>346</v>
      </c>
      <c r="B351" s="139" t="inlineStr">
        <is>
          <t>2026/06/08 06:45</t>
        </is>
      </c>
      <c r="C351" s="139" t="inlineStr">
        <is>
          <t>LÂM THỊ MỘNG TRINH</t>
        </is>
      </c>
      <c r="D351" s="139" t="inlineStr">
        <is>
          <t>01/01/1983</t>
        </is>
      </c>
      <c r="E351" s="139" t="inlineStr">
        <is>
          <t>Thay băng, cắt chỉ vết mổ [chiều dài ≤ 15cm]</t>
        </is>
      </c>
      <c r="F351" s="260" t="n">
        <v>1</v>
      </c>
      <c r="G351" s="260" t="n">
        <v>100000</v>
      </c>
      <c r="H351" s="93">
        <f>G365*25%*75%</f>
        <v/>
      </c>
    </row>
    <row r="352" hidden="1" ht="15.75" customHeight="1" s="248">
      <c r="A352" s="92" t="n">
        <v>347</v>
      </c>
      <c r="B352" s="139" t="inlineStr">
        <is>
          <t>2026/06/08 06:48</t>
        </is>
      </c>
      <c r="C352" s="139" t="inlineStr">
        <is>
          <t>LƯƠNG THỊ PHƯỢNG</t>
        </is>
      </c>
      <c r="D352" s="139" t="inlineStr">
        <is>
          <t>13/07/1965</t>
        </is>
      </c>
      <c r="E352" s="139" t="inlineStr">
        <is>
          <t>Thay băng, cắt chỉ vết mổ [chiều dài ≤ 15cm]</t>
        </is>
      </c>
      <c r="F352" s="260" t="n">
        <v>1</v>
      </c>
      <c r="G352" s="260" t="n">
        <v>100000</v>
      </c>
      <c r="H352" s="93">
        <f>G366*25%*75%</f>
        <v/>
      </c>
    </row>
    <row r="353" hidden="1" ht="15.75" customHeight="1" s="248">
      <c r="A353" s="92" t="n">
        <v>348</v>
      </c>
      <c r="B353" s="139" t="inlineStr">
        <is>
          <t>2026/06/08 07:00</t>
        </is>
      </c>
      <c r="C353" s="139" t="inlineStr">
        <is>
          <t>NGUYỄN THỊ NGÂN</t>
        </is>
      </c>
      <c r="D353" s="139" t="inlineStr">
        <is>
          <t>01/01/1954</t>
        </is>
      </c>
      <c r="E353" s="139" t="inlineStr">
        <is>
          <t>Thay băng, cắt chỉ vết mổ [chiều dài ≤ 15cm]</t>
        </is>
      </c>
      <c r="F353" s="260" t="n">
        <v>1</v>
      </c>
      <c r="G353" s="260" t="n">
        <v>100000</v>
      </c>
      <c r="H353" s="93">
        <f>G367*25%*75%</f>
        <v/>
      </c>
    </row>
    <row r="354" hidden="1" ht="15.75" customHeight="1" s="248">
      <c r="A354" s="92" t="n">
        <v>349</v>
      </c>
      <c r="B354" s="139" t="inlineStr">
        <is>
          <t>2026/06/08 07:00</t>
        </is>
      </c>
      <c r="C354" s="139" t="inlineStr">
        <is>
          <t>NGUYỄN THỊ NGÂN</t>
        </is>
      </c>
      <c r="D354" s="139" t="inlineStr">
        <is>
          <t>01/01/1954</t>
        </is>
      </c>
      <c r="E354" s="139" t="inlineStr">
        <is>
          <t>Thay băng, cắt chỉ vết mổ [chiều dài ≤ 15cm]</t>
        </is>
      </c>
      <c r="F354" s="260" t="n">
        <v>1</v>
      </c>
      <c r="G354" s="260" t="n">
        <v>100000</v>
      </c>
      <c r="H354" s="93">
        <f>G368*25%*75%</f>
        <v/>
      </c>
    </row>
    <row r="355" hidden="1" ht="15.75" customHeight="1" s="248">
      <c r="A355" s="92" t="n">
        <v>350</v>
      </c>
      <c r="B355" s="139" t="inlineStr">
        <is>
          <t>2026/06/08 07:30</t>
        </is>
      </c>
      <c r="C355" s="139" t="inlineStr">
        <is>
          <t>UNG HUỲNH TÂM</t>
        </is>
      </c>
      <c r="D355" s="139" t="inlineStr">
        <is>
          <t>15/05/1984</t>
        </is>
      </c>
      <c r="E355" s="139" t="inlineStr">
        <is>
          <t>Thay băng, cắt chỉ vết mổ [chiều dài ≤ 15cm]</t>
        </is>
      </c>
      <c r="F355" s="260" t="n">
        <v>1</v>
      </c>
      <c r="G355" s="260" t="n">
        <v>100000</v>
      </c>
      <c r="H355" s="93">
        <f>G369*25%*75%</f>
        <v/>
      </c>
    </row>
    <row r="356" hidden="1" ht="15.75" customHeight="1" s="248">
      <c r="A356" s="92" t="n">
        <v>351</v>
      </c>
      <c r="B356" s="139" t="inlineStr">
        <is>
          <t>2026/06/08 07:30</t>
        </is>
      </c>
      <c r="C356" s="139" t="inlineStr">
        <is>
          <t>VÕ TẤN HƯNG</t>
        </is>
      </c>
      <c r="D356" s="139" t="inlineStr">
        <is>
          <t>19/09/1963</t>
        </is>
      </c>
      <c r="E356" s="139" t="inlineStr">
        <is>
          <t>Thay băng, cắt chỉ vết mổ [chiều dài ≤ 15cm]</t>
        </is>
      </c>
      <c r="F356" s="260" t="n">
        <v>1</v>
      </c>
      <c r="G356" s="260" t="n">
        <v>100000</v>
      </c>
      <c r="H356" s="93">
        <f>G370*25%*75%</f>
        <v/>
      </c>
    </row>
    <row r="357" hidden="1" ht="15.75" customHeight="1" s="248">
      <c r="A357" s="92" t="n">
        <v>352</v>
      </c>
      <c r="B357" s="139" t="inlineStr">
        <is>
          <t>2026/06/08 07:50</t>
        </is>
      </c>
      <c r="C357" s="139" t="inlineStr">
        <is>
          <t>CAO HOÀNG KHANG</t>
        </is>
      </c>
      <c r="D357" s="139" t="inlineStr">
        <is>
          <t>05/02/2005</t>
        </is>
      </c>
      <c r="E357" s="139" t="inlineStr">
        <is>
          <t>Tháo bột (nhỏ)</t>
        </is>
      </c>
      <c r="F357" s="260" t="n">
        <v>1</v>
      </c>
      <c r="G357" s="260" t="n">
        <v>100000</v>
      </c>
      <c r="H357" s="93">
        <f>G372*25%*75%</f>
        <v/>
      </c>
    </row>
    <row r="358" hidden="1" ht="15.75" customHeight="1" s="248">
      <c r="A358" s="92" t="n">
        <v>353</v>
      </c>
      <c r="B358" s="139" t="inlineStr">
        <is>
          <t>2026/06/08 08:15</t>
        </is>
      </c>
      <c r="C358" s="139" t="inlineStr">
        <is>
          <t>VÕ THỊ XUÂN</t>
        </is>
      </c>
      <c r="D358" s="139" t="inlineStr">
        <is>
          <t>12/09/1937</t>
        </is>
      </c>
      <c r="E358" s="139" t="inlineStr">
        <is>
          <t>Thay băng, cắt chỉ vết mổ [chiều dài ≤ 15cm]</t>
        </is>
      </c>
      <c r="F358" s="260" t="n">
        <v>1</v>
      </c>
      <c r="G358" s="260" t="n">
        <v>64300</v>
      </c>
      <c r="H358" s="93">
        <f>G373*25%*75%</f>
        <v/>
      </c>
    </row>
    <row r="359" hidden="1" ht="15.75" customHeight="1" s="248">
      <c r="A359" s="92" t="n">
        <v>354</v>
      </c>
      <c r="B359" s="139" t="inlineStr">
        <is>
          <t>2026/06/08 08:41</t>
        </is>
      </c>
      <c r="C359" s="139" t="inlineStr">
        <is>
          <t>HỒ THANH VŨ</t>
        </is>
      </c>
      <c r="D359" s="139" t="inlineStr">
        <is>
          <t>26/07/1982</t>
        </is>
      </c>
      <c r="E359" s="139" t="inlineStr">
        <is>
          <t>Thay băng, cắt chỉ vết mổ [chiều dài ≤ 15cm]</t>
        </is>
      </c>
      <c r="F359" s="260" t="n">
        <v>1</v>
      </c>
      <c r="G359" s="260" t="n">
        <v>100000</v>
      </c>
      <c r="H359" s="93">
        <f>G374*25%*75%</f>
        <v/>
      </c>
    </row>
    <row r="360" hidden="1" ht="15.75" customHeight="1" s="248">
      <c r="A360" s="92" t="n">
        <v>355</v>
      </c>
      <c r="B360" s="139" t="inlineStr">
        <is>
          <t>2026/06/08 08:58</t>
        </is>
      </c>
      <c r="C360" s="139" t="inlineStr">
        <is>
          <t>LÊ TRỌNG NGHĨA</t>
        </is>
      </c>
      <c r="D360" s="139" t="inlineStr">
        <is>
          <t>01/01/1951</t>
        </is>
      </c>
      <c r="E360" s="139" t="inlineStr">
        <is>
          <t>Thay băng, cắt chỉ vết mổ [chiều dài ≤ 15cm]</t>
        </is>
      </c>
      <c r="F360" s="260" t="n">
        <v>1</v>
      </c>
      <c r="G360" s="260" t="n">
        <v>100000</v>
      </c>
      <c r="H360" s="93">
        <f>G375*25%*75%</f>
        <v/>
      </c>
    </row>
    <row r="361" hidden="1" ht="15.75" customHeight="1" s="248">
      <c r="A361" s="92" t="n">
        <v>356</v>
      </c>
      <c r="B361" s="139" t="inlineStr">
        <is>
          <t>2026/06/08 09:12</t>
        </is>
      </c>
      <c r="C361" s="139" t="inlineStr">
        <is>
          <t>VÕ THỊ TĨNH</t>
        </is>
      </c>
      <c r="D361" s="139" t="inlineStr">
        <is>
          <t>01/01/1962</t>
        </is>
      </c>
      <c r="E361" s="139" t="inlineStr">
        <is>
          <t>Thay băng, cắt chỉ vết mổ [chiều dài ≤ 15cm]</t>
        </is>
      </c>
      <c r="F361" s="260" t="n">
        <v>1</v>
      </c>
      <c r="G361" s="260" t="n">
        <v>64300</v>
      </c>
      <c r="H361" s="93">
        <f>G377*25%*75%</f>
        <v/>
      </c>
    </row>
    <row r="362" hidden="1" ht="15.75" customHeight="1" s="248">
      <c r="A362" s="92" t="n">
        <v>357</v>
      </c>
      <c r="B362" s="139" t="inlineStr">
        <is>
          <t>2026/06/08 13:20</t>
        </is>
      </c>
      <c r="C362" s="139" t="inlineStr">
        <is>
          <t>TỐNG MỸ DUNG</t>
        </is>
      </c>
      <c r="D362" s="139" t="inlineStr">
        <is>
          <t>03/04/2009</t>
        </is>
      </c>
      <c r="E362" s="139" t="inlineStr">
        <is>
          <t>Thay băng, cắt chỉ vết mổ [chiều dài ≤ 15cm]</t>
        </is>
      </c>
      <c r="F362" s="260" t="n">
        <v>1</v>
      </c>
      <c r="G362" s="260" t="n">
        <v>100000</v>
      </c>
      <c r="H362" s="93">
        <f>G378*25%*75%</f>
        <v/>
      </c>
    </row>
    <row r="363" hidden="1" ht="15.75" customHeight="1" s="248">
      <c r="A363" s="92" t="n">
        <v>358</v>
      </c>
      <c r="B363" s="139" t="inlineStr">
        <is>
          <t>2026/06/08 15:23</t>
        </is>
      </c>
      <c r="C363" s="139" t="inlineStr">
        <is>
          <t>PHẠM TRÚT THÙY</t>
        </is>
      </c>
      <c r="D363" s="139" t="inlineStr">
        <is>
          <t>03/08/1990</t>
        </is>
      </c>
      <c r="E363" s="139" t="inlineStr">
        <is>
          <t>Thay băng, cắt chỉ vết mổ [chiều dài ≤ 15cm]</t>
        </is>
      </c>
      <c r="F363" s="260" t="n">
        <v>1</v>
      </c>
      <c r="G363" s="260" t="n">
        <v>100000</v>
      </c>
      <c r="H363" s="93">
        <f>G380*25%*75%</f>
        <v/>
      </c>
    </row>
    <row r="364" hidden="1" ht="15.75" customHeight="1" s="248">
      <c r="A364" s="92" t="n">
        <v>359</v>
      </c>
      <c r="B364" s="139" t="inlineStr">
        <is>
          <t>2026/06/08 16:39</t>
        </is>
      </c>
      <c r="C364" s="139" t="inlineStr">
        <is>
          <t>LÊ TIẾN ĐẠT</t>
        </is>
      </c>
      <c r="D364" s="139" t="inlineStr">
        <is>
          <t>20/08/2004</t>
        </is>
      </c>
      <c r="E364" s="139" t="inlineStr">
        <is>
          <t>Thay băng, cắt chỉ vết mổ [chiều dài ≤ 15cm]</t>
        </is>
      </c>
      <c r="F364" s="260" t="n">
        <v>1</v>
      </c>
      <c r="G364" s="260" t="n">
        <v>64300</v>
      </c>
      <c r="H364" s="93">
        <f>G381*25%*75%</f>
        <v/>
      </c>
    </row>
    <row r="365" hidden="1" ht="15.75" customHeight="1" s="248">
      <c r="A365" s="92" t="n">
        <v>360</v>
      </c>
      <c r="B365" s="139" t="inlineStr">
        <is>
          <t>2026/06/09 05:00</t>
        </is>
      </c>
      <c r="C365" s="139" t="inlineStr">
        <is>
          <t>KHUẤT HÙNG</t>
        </is>
      </c>
      <c r="D365" s="139" t="inlineStr">
        <is>
          <t>01/01/1948</t>
        </is>
      </c>
      <c r="E365" s="139" t="inlineStr">
        <is>
          <t>Thay băng, cắt chỉ vết mổ [chiều dài ≤ 15cm]</t>
        </is>
      </c>
      <c r="F365" s="260" t="n">
        <v>1</v>
      </c>
      <c r="G365" s="260" t="n">
        <v>100000</v>
      </c>
      <c r="H365" s="93">
        <f>G383*25%*75%</f>
        <v/>
      </c>
    </row>
    <row r="366" hidden="1" ht="15.75" customHeight="1" s="248">
      <c r="A366" s="92" t="n">
        <v>361</v>
      </c>
      <c r="B366" s="139" t="inlineStr">
        <is>
          <t>2026/06/09 05:00</t>
        </is>
      </c>
      <c r="C366" s="139" t="inlineStr">
        <is>
          <t>LÊ THỊ Y BÌNH</t>
        </is>
      </c>
      <c r="D366" s="139" t="inlineStr">
        <is>
          <t>06/08/1995</t>
        </is>
      </c>
      <c r="E366" s="139" t="inlineStr">
        <is>
          <t>Thay băng, cắt chỉ vết mổ [chiều dài ≤ 15cm]</t>
        </is>
      </c>
      <c r="F366" s="260" t="n">
        <v>1</v>
      </c>
      <c r="G366" s="260" t="n">
        <v>100000</v>
      </c>
      <c r="H366" s="93">
        <f>G384*25%*75%</f>
        <v/>
      </c>
    </row>
    <row r="367" hidden="1" ht="15.75" customHeight="1" s="248">
      <c r="A367" s="92" t="n">
        <v>362</v>
      </c>
      <c r="B367" s="139" t="inlineStr">
        <is>
          <t>2026/06/09 05:00</t>
        </is>
      </c>
      <c r="C367" s="139" t="inlineStr">
        <is>
          <t>MAI THÀNH DƯƠNG</t>
        </is>
      </c>
      <c r="D367" s="139" t="inlineStr">
        <is>
          <t>10/04/1964</t>
        </is>
      </c>
      <c r="E367" s="139" t="inlineStr">
        <is>
          <t>Thay băng, cắt chỉ vết mổ [chiều dài ≤ 15cm]</t>
        </is>
      </c>
      <c r="F367" s="260" t="n">
        <v>1</v>
      </c>
      <c r="G367" s="260" t="n">
        <v>100000</v>
      </c>
      <c r="H367" s="93">
        <f>G385*25%*75%</f>
        <v/>
      </c>
    </row>
    <row r="368" hidden="1" ht="15.75" customHeight="1" s="248">
      <c r="A368" s="92" t="n">
        <v>363</v>
      </c>
      <c r="B368" s="139" t="inlineStr">
        <is>
          <t>2026/06/09 05:00</t>
        </is>
      </c>
      <c r="C368" s="139" t="inlineStr">
        <is>
          <t>NGUYỄN THỊ CHUỐI</t>
        </is>
      </c>
      <c r="D368" s="139" t="inlineStr">
        <is>
          <t>06/08/1952</t>
        </is>
      </c>
      <c r="E368" s="139" t="inlineStr">
        <is>
          <t>Thay băng, cắt chỉ vết mổ [chiều dài ≤ 15cm]</t>
        </is>
      </c>
      <c r="F368" s="260" t="n">
        <v>1</v>
      </c>
      <c r="G368" s="260" t="n">
        <v>100000</v>
      </c>
      <c r="H368" s="93">
        <f>G386*25%*75%</f>
        <v/>
      </c>
    </row>
    <row r="369" hidden="1" ht="15.75" customHeight="1" s="248">
      <c r="A369" s="92" t="n">
        <v>364</v>
      </c>
      <c r="B369" s="139" t="inlineStr">
        <is>
          <t>2026/06/09 05:00</t>
        </is>
      </c>
      <c r="C369" s="139" t="inlineStr">
        <is>
          <t>NGUYỄN VĂN CẤP</t>
        </is>
      </c>
      <c r="D369" s="139" t="inlineStr">
        <is>
          <t>01/01/1957</t>
        </is>
      </c>
      <c r="E369" s="139" t="inlineStr">
        <is>
          <t>Thay băng, cắt chỉ vết mổ [chiều dài ≤ 15cm]</t>
        </is>
      </c>
      <c r="F369" s="260" t="n">
        <v>1</v>
      </c>
      <c r="G369" s="260" t="n">
        <v>64300</v>
      </c>
      <c r="H369" s="93">
        <f>G387*25%*75%</f>
        <v/>
      </c>
    </row>
    <row r="370" hidden="1" ht="15.75" customHeight="1" s="248">
      <c r="A370" s="92" t="n">
        <v>365</v>
      </c>
      <c r="B370" s="139" t="inlineStr">
        <is>
          <t>2026/06/09 05:00</t>
        </is>
      </c>
      <c r="C370" s="139" t="inlineStr">
        <is>
          <t>PHAN TUẤN GIỚI</t>
        </is>
      </c>
      <c r="D370" s="139" t="inlineStr">
        <is>
          <t>15/02/1965</t>
        </is>
      </c>
      <c r="E370" s="139" t="inlineStr">
        <is>
          <t>Thay băng, cắt chỉ vết mổ [chiều dài ≤ 15cm]</t>
        </is>
      </c>
      <c r="F370" s="260" t="n">
        <v>1</v>
      </c>
      <c r="G370" s="260" t="n">
        <v>100000</v>
      </c>
      <c r="H370" s="93">
        <f>G388*25%*75%</f>
        <v/>
      </c>
    </row>
    <row r="371" hidden="1" ht="15.75" customHeight="1" s="248">
      <c r="A371" s="92" t="n">
        <v>366</v>
      </c>
      <c r="B371" s="139" t="inlineStr">
        <is>
          <t>2026/06/09 05:00</t>
        </is>
      </c>
      <c r="C371" s="139" t="inlineStr">
        <is>
          <t>VŨ THÀNH ĐẠT</t>
        </is>
      </c>
      <c r="D371" s="139" t="inlineStr">
        <is>
          <t>01/02/1955</t>
        </is>
      </c>
      <c r="E371" s="139" t="inlineStr">
        <is>
          <t>Thay băng, cắt chỉ vết mổ [chiều dài ≤ 15cm]</t>
        </is>
      </c>
      <c r="F371" s="260" t="n">
        <v>1</v>
      </c>
      <c r="G371" s="260" t="n">
        <v>100000</v>
      </c>
      <c r="H371" s="93">
        <f>G389*25%*75%</f>
        <v/>
      </c>
    </row>
    <row r="372" hidden="1" ht="15.75" customHeight="1" s="248">
      <c r="A372" s="92" t="n">
        <v>367</v>
      </c>
      <c r="B372" s="139" t="inlineStr">
        <is>
          <t>2026/06/09 06:35</t>
        </is>
      </c>
      <c r="C372" s="139" t="inlineStr">
        <is>
          <t>LÊ THỊ NGỌC BÍCH</t>
        </is>
      </c>
      <c r="D372" s="139" t="inlineStr">
        <is>
          <t>01/01/1956</t>
        </is>
      </c>
      <c r="E372" s="139" t="inlineStr">
        <is>
          <t>Thay băng, cắt chỉ vết mổ [chiều dài ≤ 15cm]</t>
        </is>
      </c>
      <c r="F372" s="260" t="n">
        <v>1</v>
      </c>
      <c r="G372" s="260" t="n">
        <v>100000</v>
      </c>
      <c r="H372" s="93">
        <f>G390*25%*75%</f>
        <v/>
      </c>
    </row>
    <row r="373" hidden="1" ht="15.75" customHeight="1" s="248">
      <c r="A373" s="92" t="n">
        <v>368</v>
      </c>
      <c r="B373" s="139" t="inlineStr">
        <is>
          <t>2026/06/09 06:45</t>
        </is>
      </c>
      <c r="C373" s="139" t="inlineStr">
        <is>
          <t>LƯƠNG THỊ PHƯỢNG</t>
        </is>
      </c>
      <c r="D373" s="139" t="inlineStr">
        <is>
          <t>13/07/1965</t>
        </is>
      </c>
      <c r="E373" s="139" t="inlineStr">
        <is>
          <t>Thay băng, cắt chỉ vết mổ [chiều dài ≤ 15cm]</t>
        </is>
      </c>
      <c r="F373" s="260" t="n">
        <v>1</v>
      </c>
      <c r="G373" s="260" t="n">
        <v>100000</v>
      </c>
      <c r="H373" s="93">
        <f>G391*25%*75%</f>
        <v/>
      </c>
    </row>
    <row r="374" hidden="1" ht="15.75" customHeight="1" s="248">
      <c r="A374" s="92" t="n">
        <v>369</v>
      </c>
      <c r="B374" s="139" t="inlineStr">
        <is>
          <t>2026/06/09 07:00</t>
        </is>
      </c>
      <c r="C374" s="139" t="inlineStr">
        <is>
          <t>HUỲNH THANH HÙNG</t>
        </is>
      </c>
      <c r="D374" s="139" t="inlineStr">
        <is>
          <t>01/01/1945</t>
        </is>
      </c>
      <c r="E374" s="139" t="inlineStr">
        <is>
          <t>Thay băng, cắt chỉ vết mổ [chiều dài ≤ 15cm]</t>
        </is>
      </c>
      <c r="F374" s="260" t="n">
        <v>1</v>
      </c>
      <c r="G374" s="260" t="n">
        <v>100000</v>
      </c>
      <c r="H374" s="93">
        <f>G392*25%*75%</f>
        <v/>
      </c>
    </row>
    <row r="375" hidden="1" ht="15.75" customHeight="1" s="248">
      <c r="A375" s="92" t="n">
        <v>370</v>
      </c>
      <c r="B375" s="139" t="inlineStr">
        <is>
          <t>2026/06/09 07:00</t>
        </is>
      </c>
      <c r="C375" s="139" t="inlineStr">
        <is>
          <t>NGUYỄN THỊ KỶ</t>
        </is>
      </c>
      <c r="D375" s="139" t="inlineStr">
        <is>
          <t>01/01/1949</t>
        </is>
      </c>
      <c r="E375" s="139" t="inlineStr">
        <is>
          <t>Thay băng, cắt chỉ vết mổ [chiều dài ≤ 15cm]</t>
        </is>
      </c>
      <c r="F375" s="260" t="n">
        <v>1</v>
      </c>
      <c r="G375" s="260" t="n">
        <v>100000</v>
      </c>
      <c r="H375" s="93">
        <f>G393*25%*75%</f>
        <v/>
      </c>
    </row>
    <row r="376" hidden="1" ht="15.75" customHeight="1" s="248">
      <c r="A376" s="92" t="n">
        <v>371</v>
      </c>
      <c r="B376" s="139" t="inlineStr">
        <is>
          <t>2026/06/09 07:00</t>
        </is>
      </c>
      <c r="C376" s="139" t="inlineStr">
        <is>
          <t>NGUYỄN THỊ NGÂN</t>
        </is>
      </c>
      <c r="D376" s="139" t="inlineStr">
        <is>
          <t>01/01/1954</t>
        </is>
      </c>
      <c r="E376" s="139" t="inlineStr">
        <is>
          <t>Thay băng, cắt chỉ vết mổ [chiều dài ≤ 15cm]</t>
        </is>
      </c>
      <c r="F376" s="260" t="n">
        <v>1</v>
      </c>
      <c r="G376" s="260" t="n">
        <v>100000</v>
      </c>
      <c r="H376" s="93">
        <f>G394*25%*75%</f>
        <v/>
      </c>
    </row>
    <row r="377" hidden="1" ht="15.75" customHeight="1" s="248">
      <c r="A377" s="92" t="n">
        <v>372</v>
      </c>
      <c r="B377" s="139" t="inlineStr">
        <is>
          <t>2026/06/09 07:00</t>
        </is>
      </c>
      <c r="C377" s="139" t="inlineStr">
        <is>
          <t>NGUYỄN THỊ NGÂN</t>
        </is>
      </c>
      <c r="D377" s="139" t="inlineStr">
        <is>
          <t>01/01/1954</t>
        </is>
      </c>
      <c r="E377" s="139" t="inlineStr">
        <is>
          <t>Thay băng, cắt chỉ vết mổ [chiều dài ≤ 15cm]</t>
        </is>
      </c>
      <c r="F377" s="260" t="n">
        <v>1</v>
      </c>
      <c r="G377" s="260" t="n">
        <v>100000</v>
      </c>
      <c r="H377" s="93">
        <f>G395*25%*75%</f>
        <v/>
      </c>
    </row>
    <row r="378" hidden="1" ht="15.75" customHeight="1" s="248">
      <c r="A378" s="92" t="n">
        <v>373</v>
      </c>
      <c r="B378" s="139" t="inlineStr">
        <is>
          <t>2026/06/09 07:00</t>
        </is>
      </c>
      <c r="C378" s="139" t="inlineStr">
        <is>
          <t>PHẠM THỊ HOA</t>
        </is>
      </c>
      <c r="D378" s="139" t="inlineStr">
        <is>
          <t>01/01/1946</t>
        </is>
      </c>
      <c r="E378" s="139" t="inlineStr">
        <is>
          <t>Thay băng, cắt chỉ vết mổ [chiều dài ≤ 15cm]</t>
        </is>
      </c>
      <c r="F378" s="260" t="n">
        <v>1</v>
      </c>
      <c r="G378" s="260" t="n">
        <v>100000</v>
      </c>
      <c r="H378" s="93">
        <f>G396*25%*75%</f>
        <v/>
      </c>
    </row>
    <row r="379" hidden="1" ht="15.75" customHeight="1" s="248">
      <c r="A379" s="92" t="n">
        <v>374</v>
      </c>
      <c r="B379" s="139" t="inlineStr">
        <is>
          <t>2026/06/09 08:15</t>
        </is>
      </c>
      <c r="C379" s="139" t="inlineStr">
        <is>
          <t>TRẦN NGỌC ÁNH</t>
        </is>
      </c>
      <c r="D379" s="139" t="inlineStr">
        <is>
          <t>15/05/1961</t>
        </is>
      </c>
      <c r="E379" s="139" t="inlineStr">
        <is>
          <t>Cắt chỉ sau phẫu thuật</t>
        </is>
      </c>
      <c r="F379" s="260" t="n">
        <v>1</v>
      </c>
      <c r="G379" s="260" t="n">
        <v>100000</v>
      </c>
      <c r="H379" s="93">
        <f>G397*25%*75%</f>
        <v/>
      </c>
    </row>
    <row r="380" hidden="1" ht="15.75" customHeight="1" s="248">
      <c r="A380" s="92" t="n">
        <v>375</v>
      </c>
      <c r="B380" s="139" t="inlineStr">
        <is>
          <t>2026/06/09 09:56</t>
        </is>
      </c>
      <c r="C380" s="139" t="inlineStr">
        <is>
          <t>VÕ VĂN BÉ BA</t>
        </is>
      </c>
      <c r="D380" s="139" t="inlineStr">
        <is>
          <t>12/12/1964</t>
        </is>
      </c>
      <c r="E380" s="139" t="inlineStr">
        <is>
          <t>Cắt chỉ sau phẫu thuật</t>
        </is>
      </c>
      <c r="F380" s="260" t="n">
        <v>1</v>
      </c>
      <c r="G380" s="260" t="n">
        <v>100000</v>
      </c>
      <c r="H380" s="93">
        <f>G398*25%*75%</f>
        <v/>
      </c>
    </row>
    <row r="381" hidden="1" ht="15.75" customHeight="1" s="248">
      <c r="A381" s="92" t="n">
        <v>376</v>
      </c>
      <c r="B381" s="139" t="inlineStr">
        <is>
          <t>2026/06/09 13:14</t>
        </is>
      </c>
      <c r="C381" s="139" t="inlineStr">
        <is>
          <t>NGUYỄN THỊ KIỀU OANH</t>
        </is>
      </c>
      <c r="D381" s="139" t="inlineStr">
        <is>
          <t>10/11/1967</t>
        </is>
      </c>
      <c r="E381" s="139" t="inlineStr">
        <is>
          <t>Thay băng, cắt chỉ vết mổ [chiều dài ≤ 15cm]</t>
        </is>
      </c>
      <c r="F381" s="260" t="n">
        <v>1</v>
      </c>
      <c r="G381" s="260" t="n">
        <v>64300</v>
      </c>
      <c r="H381" s="93">
        <f>G402*25%*75%</f>
        <v/>
      </c>
    </row>
    <row r="382" hidden="1" ht="15.75" customHeight="1" s="248">
      <c r="A382" s="92" t="n">
        <v>377</v>
      </c>
      <c r="B382" s="139" t="inlineStr">
        <is>
          <t>2026/06/09 16:54</t>
        </is>
      </c>
      <c r="C382" s="139" t="inlineStr">
        <is>
          <t>PHAN TẤN HOÀNG</t>
        </is>
      </c>
      <c r="D382" s="139" t="inlineStr">
        <is>
          <t>30/07/1963</t>
        </is>
      </c>
      <c r="E382" s="139" t="inlineStr">
        <is>
          <t>Nẹp bột các loại, không nắn (loại 2)</t>
        </is>
      </c>
      <c r="F382" s="260" t="n">
        <v>1</v>
      </c>
      <c r="G382" s="260" t="n">
        <v>300000</v>
      </c>
      <c r="H382" s="93">
        <f>G404*25%*75%</f>
        <v/>
      </c>
    </row>
    <row r="383" hidden="1" ht="15.75" customHeight="1" s="248">
      <c r="A383" s="92" t="n">
        <v>378</v>
      </c>
      <c r="B383" s="139" t="inlineStr">
        <is>
          <t>2026/06/10 05:00</t>
        </is>
      </c>
      <c r="C383" s="139" t="inlineStr">
        <is>
          <t>CHÂU THỊ ĐỦ</t>
        </is>
      </c>
      <c r="D383" s="139" t="inlineStr">
        <is>
          <t>01/01/1963</t>
        </is>
      </c>
      <c r="E383" s="139" t="inlineStr">
        <is>
          <t>Thay băng, cắt chỉ vết mổ [chiều dài ≤ 15cm]</t>
        </is>
      </c>
      <c r="F383" s="260" t="n">
        <v>1</v>
      </c>
      <c r="G383" s="260" t="n">
        <v>100000</v>
      </c>
      <c r="H383" s="93">
        <f>G405*25%*75%</f>
        <v/>
      </c>
    </row>
    <row r="384" hidden="1" ht="15.75" customHeight="1" s="248">
      <c r="A384" s="92" t="n">
        <v>379</v>
      </c>
      <c r="B384" s="139" t="inlineStr">
        <is>
          <t>2026/06/10 05:00</t>
        </is>
      </c>
      <c r="C384" s="139" t="inlineStr">
        <is>
          <t>KHUẤT HÙNG</t>
        </is>
      </c>
      <c r="D384" s="139" t="inlineStr">
        <is>
          <t>01/01/1948</t>
        </is>
      </c>
      <c r="E384" s="139" t="inlineStr">
        <is>
          <t>Thay băng, cắt chỉ vết mổ [chiều dài ≤ 15cm]</t>
        </is>
      </c>
      <c r="F384" s="260" t="n">
        <v>1</v>
      </c>
      <c r="G384" s="260" t="n">
        <v>100000</v>
      </c>
      <c r="H384" s="93">
        <f>G406*25%*75%</f>
        <v/>
      </c>
    </row>
    <row r="385" hidden="1" ht="15.75" customHeight="1" s="248">
      <c r="A385" s="92" t="n">
        <v>380</v>
      </c>
      <c r="B385" s="139" t="inlineStr">
        <is>
          <t>2026/06/10 06:10</t>
        </is>
      </c>
      <c r="C385" s="139" t="inlineStr">
        <is>
          <t>CAO THỊ CAM</t>
        </is>
      </c>
      <c r="D385" s="139" t="inlineStr">
        <is>
          <t>01/01/1946</t>
        </is>
      </c>
      <c r="E385" s="139" t="inlineStr">
        <is>
          <t>Truyền hóa chất tĩnh mạch [nội trú]</t>
        </is>
      </c>
      <c r="F385" s="260" t="n">
        <v>1</v>
      </c>
      <c r="G385" s="260" t="n">
        <v>400000</v>
      </c>
      <c r="H385" s="93">
        <f>G407*25%*75%</f>
        <v/>
      </c>
    </row>
    <row r="386" hidden="1" ht="15.75" customHeight="1" s="248">
      <c r="A386" s="92" t="n">
        <v>381</v>
      </c>
      <c r="B386" s="139" t="inlineStr">
        <is>
          <t>2026/06/10 06:20</t>
        </is>
      </c>
      <c r="C386" s="139" t="inlineStr">
        <is>
          <t>VÕ KIM ANH</t>
        </is>
      </c>
      <c r="D386" s="139" t="inlineStr">
        <is>
          <t>31/12/1939</t>
        </is>
      </c>
      <c r="E386" s="139" t="inlineStr">
        <is>
          <t>Truyền hóa chất tĩnh mạch [nội trú]</t>
        </is>
      </c>
      <c r="F386" s="260" t="n">
        <v>1</v>
      </c>
      <c r="G386" s="260" t="n">
        <v>400000</v>
      </c>
      <c r="H386" s="93">
        <f>G408*25%*75%</f>
        <v/>
      </c>
    </row>
    <row r="387" hidden="1" ht="15.75" customHeight="1" s="248">
      <c r="A387" s="92" t="n">
        <v>382</v>
      </c>
      <c r="B387" s="139" t="inlineStr">
        <is>
          <t>2026/06/10 06:34</t>
        </is>
      </c>
      <c r="C387" s="139" t="inlineStr">
        <is>
          <t>NGUYỄN THỊ TRÚC LINH</t>
        </is>
      </c>
      <c r="D387" s="139" t="inlineStr">
        <is>
          <t>26/12/1991</t>
        </is>
      </c>
      <c r="E387" s="139" t="inlineStr">
        <is>
          <t>Thay băng, cắt chỉ vết mổ [chiều dài ≤ 15cm]</t>
        </is>
      </c>
      <c r="F387" s="260" t="n">
        <v>1</v>
      </c>
      <c r="G387" s="260" t="n">
        <v>100000</v>
      </c>
      <c r="H387" s="93">
        <f>G409*25%*75%</f>
        <v/>
      </c>
    </row>
    <row r="388" hidden="1" ht="15.75" customHeight="1" s="248">
      <c r="A388" s="92" t="n">
        <v>383</v>
      </c>
      <c r="B388" s="139" t="inlineStr">
        <is>
          <t>2026/06/10 06:47</t>
        </is>
      </c>
      <c r="C388" s="139" t="inlineStr">
        <is>
          <t>LÊ THỊ NGỌC BÍCH</t>
        </is>
      </c>
      <c r="D388" s="139" t="inlineStr">
        <is>
          <t>01/01/1956</t>
        </is>
      </c>
      <c r="E388" s="139" t="inlineStr">
        <is>
          <t>Thay băng, cắt chỉ vết mổ [chiều dài ≤ 15cm]</t>
        </is>
      </c>
      <c r="F388" s="260" t="n">
        <v>1</v>
      </c>
      <c r="G388" s="260" t="n">
        <v>100000</v>
      </c>
      <c r="H388" s="93">
        <f>G410*25%*75%</f>
        <v/>
      </c>
    </row>
    <row r="389" hidden="1" ht="15.75" customHeight="1" s="248">
      <c r="A389" s="92" t="n">
        <v>384</v>
      </c>
      <c r="B389" s="139" t="inlineStr">
        <is>
          <t>2026/06/10 07:00</t>
        </is>
      </c>
      <c r="C389" s="139" t="inlineStr">
        <is>
          <t>NGUYỄN THỊ KỶ</t>
        </is>
      </c>
      <c r="D389" s="139" t="inlineStr">
        <is>
          <t>01/01/1949</t>
        </is>
      </c>
      <c r="E389" s="139" t="inlineStr">
        <is>
          <t>Thay băng, cắt chỉ vết mổ [chiều dài ≤ 15cm]</t>
        </is>
      </c>
      <c r="F389" s="260" t="n">
        <v>1</v>
      </c>
      <c r="G389" s="260" t="n">
        <v>100000</v>
      </c>
      <c r="H389" s="93">
        <f>G411*25%*75%</f>
        <v/>
      </c>
    </row>
    <row r="390" hidden="1" ht="15.75" customHeight="1" s="248">
      <c r="A390" s="92" t="n">
        <v>385</v>
      </c>
      <c r="B390" s="139" t="inlineStr">
        <is>
          <t>2026/06/10 07:00</t>
        </is>
      </c>
      <c r="C390" s="139" t="inlineStr">
        <is>
          <t>NGUYỄN THỊ NGÂN</t>
        </is>
      </c>
      <c r="D390" s="139" t="inlineStr">
        <is>
          <t>01/01/1954</t>
        </is>
      </c>
      <c r="E390" s="139" t="inlineStr">
        <is>
          <t>Thay băng, cắt chỉ vết mổ [chiều dài ≤ 15cm]</t>
        </is>
      </c>
      <c r="F390" s="260" t="n">
        <v>1</v>
      </c>
      <c r="G390" s="260" t="n">
        <v>100000</v>
      </c>
      <c r="H390" s="93">
        <f>G412*25%*75%</f>
        <v/>
      </c>
    </row>
    <row r="391" hidden="1" ht="15.75" customHeight="1" s="248">
      <c r="A391" s="92" t="n">
        <v>386</v>
      </c>
      <c r="B391" s="139" t="inlineStr">
        <is>
          <t>2026/06/10 07:00</t>
        </is>
      </c>
      <c r="C391" s="139" t="inlineStr">
        <is>
          <t>NGUYỄN THỊ NGÂN</t>
        </is>
      </c>
      <c r="D391" s="139" t="inlineStr">
        <is>
          <t>01/01/1954</t>
        </is>
      </c>
      <c r="E391" s="139" t="inlineStr">
        <is>
          <t>Thay băng, cắt chỉ vết mổ [chiều dài ≤ 15cm]</t>
        </is>
      </c>
      <c r="F391" s="260" t="n">
        <v>1</v>
      </c>
      <c r="G391" s="260" t="n">
        <v>100000</v>
      </c>
      <c r="H391" s="93">
        <f>G413*25%*75%</f>
        <v/>
      </c>
    </row>
    <row r="392" hidden="1" ht="15.75" customHeight="1" s="248">
      <c r="A392" s="92" t="n">
        <v>387</v>
      </c>
      <c r="B392" s="139" t="inlineStr">
        <is>
          <t>2026/06/10 07:00</t>
        </is>
      </c>
      <c r="C392" s="139" t="inlineStr">
        <is>
          <t>TÔN VĂN PHƯỚC</t>
        </is>
      </c>
      <c r="D392" s="139" t="inlineStr">
        <is>
          <t>01/01/1970</t>
        </is>
      </c>
      <c r="E392" s="139" t="inlineStr">
        <is>
          <t>Thay băng, cắt chỉ vết mổ [chiều dài ≤ 15cm]</t>
        </is>
      </c>
      <c r="F392" s="260" t="n">
        <v>1</v>
      </c>
      <c r="G392" s="260" t="n">
        <v>100000</v>
      </c>
      <c r="H392" s="93">
        <f>G414*25%*75%</f>
        <v/>
      </c>
    </row>
    <row r="393" hidden="1" ht="15.75" customHeight="1" s="248">
      <c r="A393" s="92" t="n">
        <v>388</v>
      </c>
      <c r="B393" s="139" t="inlineStr">
        <is>
          <t>2026/06/10 07:00</t>
        </is>
      </c>
      <c r="C393" s="139" t="inlineStr">
        <is>
          <t>VÕ THỊ KIẾU</t>
        </is>
      </c>
      <c r="D393" s="139" t="inlineStr">
        <is>
          <t>01/01/1955</t>
        </is>
      </c>
      <c r="E393" s="139" t="inlineStr">
        <is>
          <t>Thay băng, cắt chỉ vết mổ [chiều dài ≤ 15cm]</t>
        </is>
      </c>
      <c r="F393" s="260" t="n">
        <v>1</v>
      </c>
      <c r="G393" s="260" t="n">
        <v>100000</v>
      </c>
      <c r="H393" s="93">
        <f>G415*25%*75%</f>
        <v/>
      </c>
    </row>
    <row r="394" hidden="1" ht="15.75" customHeight="1" s="248">
      <c r="A394" s="92" t="n">
        <v>389</v>
      </c>
      <c r="B394" s="139" t="inlineStr">
        <is>
          <t>2026/06/10 07:00</t>
        </is>
      </c>
      <c r="C394" s="139" t="inlineStr">
        <is>
          <t>VÕ THỊ ÚT</t>
        </is>
      </c>
      <c r="D394" s="139" t="inlineStr">
        <is>
          <t>10/09/1974</t>
        </is>
      </c>
      <c r="E394" s="139" t="inlineStr">
        <is>
          <t>Thay băng, cắt chỉ vết mổ [chiều dài ≤ 15cm]</t>
        </is>
      </c>
      <c r="F394" s="260" t="n">
        <v>1</v>
      </c>
      <c r="G394" s="260" t="n">
        <v>100000</v>
      </c>
      <c r="H394" s="93">
        <f>G416*25%*75%</f>
        <v/>
      </c>
    </row>
    <row r="395" hidden="1" ht="15.75" customHeight="1" s="248">
      <c r="A395" s="92" t="n">
        <v>390</v>
      </c>
      <c r="B395" s="139" t="inlineStr">
        <is>
          <t>2026/06/10 07:30</t>
        </is>
      </c>
      <c r="C395" s="139" t="inlineStr">
        <is>
          <t>THÁI THỊ THỦY</t>
        </is>
      </c>
      <c r="D395" s="139" t="inlineStr">
        <is>
          <t>01/01/1957</t>
        </is>
      </c>
      <c r="E395" s="139" t="inlineStr">
        <is>
          <t>Thay băng, cắt chỉ vết mổ [chiều dài ≤ 15cm]</t>
        </is>
      </c>
      <c r="F395" s="260" t="n">
        <v>1</v>
      </c>
      <c r="G395" s="260" t="n">
        <v>100000</v>
      </c>
      <c r="H395" s="93">
        <f>G417*25%*75%</f>
        <v/>
      </c>
    </row>
    <row r="396" hidden="1" ht="15.75" customHeight="1" s="248">
      <c r="A396" s="92" t="n">
        <v>391</v>
      </c>
      <c r="B396" s="139" t="inlineStr">
        <is>
          <t>2026/06/10 07:30</t>
        </is>
      </c>
      <c r="C396" s="139" t="inlineStr">
        <is>
          <t>VÕ TẤN HƯNG</t>
        </is>
      </c>
      <c r="D396" s="139" t="inlineStr">
        <is>
          <t>19/09/1963</t>
        </is>
      </c>
      <c r="E396" s="139" t="inlineStr">
        <is>
          <t>Thay băng, cắt chỉ vết mổ [chiều dài ≤ 15cm]</t>
        </is>
      </c>
      <c r="F396" s="260" t="n">
        <v>1</v>
      </c>
      <c r="G396" s="260" t="n">
        <v>100000</v>
      </c>
      <c r="H396" s="93">
        <f>G418*25%*75%</f>
        <v/>
      </c>
    </row>
    <row r="397" hidden="1" ht="15.75" customHeight="1" s="248">
      <c r="A397" s="92" t="n">
        <v>392</v>
      </c>
      <c r="B397" s="139" t="inlineStr">
        <is>
          <t>2026/06/10 07:51</t>
        </is>
      </c>
      <c r="C397" s="139" t="inlineStr">
        <is>
          <t>NGUYỄN DUY LINH</t>
        </is>
      </c>
      <c r="D397" s="139" t="inlineStr">
        <is>
          <t>15/01/1964</t>
        </is>
      </c>
      <c r="E397" s="139" t="inlineStr">
        <is>
          <t>Thay băng, cắt chỉ vết mổ</t>
        </is>
      </c>
      <c r="F397" s="260" t="n">
        <v>1</v>
      </c>
      <c r="G397" s="260" t="n">
        <v>40300</v>
      </c>
      <c r="H397" s="93">
        <f>G419*25%*75%</f>
        <v/>
      </c>
    </row>
    <row r="398" hidden="1" ht="15.75" customHeight="1" s="248">
      <c r="A398" s="92" t="n">
        <v>393</v>
      </c>
      <c r="B398" s="139" t="inlineStr">
        <is>
          <t>2026/06/10 07:58</t>
        </is>
      </c>
      <c r="C398" s="139" t="inlineStr">
        <is>
          <t>PHAN THỊ NỠ</t>
        </is>
      </c>
      <c r="D398" s="139" t="inlineStr">
        <is>
          <t>01/01/1957</t>
        </is>
      </c>
      <c r="E398" s="139" t="inlineStr">
        <is>
          <t>Thay băng, cắt chỉ vết mổ</t>
        </is>
      </c>
      <c r="F398" s="260" t="n">
        <v>1</v>
      </c>
      <c r="G398" s="260" t="n">
        <v>100000</v>
      </c>
      <c r="H398" s="93">
        <f>G420*25%*75%</f>
        <v/>
      </c>
    </row>
    <row r="399" hidden="1" ht="15.75" customHeight="1" s="248">
      <c r="A399" s="92" t="n">
        <v>394</v>
      </c>
      <c r="B399" s="139" t="inlineStr">
        <is>
          <t>2026/06/10 08:31</t>
        </is>
      </c>
      <c r="C399" s="139" t="inlineStr">
        <is>
          <t>NGUYỄN VĂN TÁM</t>
        </is>
      </c>
      <c r="D399" s="139" t="inlineStr">
        <is>
          <t>01/01/1964</t>
        </is>
      </c>
      <c r="E399" s="139" t="inlineStr">
        <is>
          <t>Nắn, bó bột trật khớp vai [bột liền]</t>
        </is>
      </c>
      <c r="F399" s="260" t="n">
        <v>1</v>
      </c>
      <c r="G399" s="260" t="n">
        <v>600000</v>
      </c>
      <c r="H399" s="93">
        <f>G421*25%*75%</f>
        <v/>
      </c>
    </row>
    <row r="400" hidden="1" ht="15.75" customHeight="1" s="248">
      <c r="A400" s="92" t="n">
        <v>395</v>
      </c>
      <c r="B400" s="139" t="inlineStr">
        <is>
          <t>2026/06/10 10:27</t>
        </is>
      </c>
      <c r="C400" s="139" t="inlineStr">
        <is>
          <t>HUỲNH THỊ NHƯ</t>
        </is>
      </c>
      <c r="D400" s="139" t="inlineStr">
        <is>
          <t>01/02/1991</t>
        </is>
      </c>
      <c r="E400" s="139" t="inlineStr">
        <is>
          <t>Tháo bột (trung bình)</t>
        </is>
      </c>
      <c r="F400" s="260" t="n">
        <v>1</v>
      </c>
      <c r="G400" s="260" t="n">
        <v>200000</v>
      </c>
      <c r="H400" s="93">
        <f>G422*25%*75%</f>
        <v/>
      </c>
    </row>
    <row r="401" hidden="1" ht="15.75" customHeight="1" s="248">
      <c r="A401" s="92" t="n">
        <v>396</v>
      </c>
      <c r="B401" s="139" t="inlineStr">
        <is>
          <t>2026/06/10 13:05</t>
        </is>
      </c>
      <c r="C401" s="139" t="inlineStr">
        <is>
          <t>LÊ THỊ TRÚC LY</t>
        </is>
      </c>
      <c r="D401" s="139" t="inlineStr">
        <is>
          <t>05/04/2010</t>
        </is>
      </c>
      <c r="E401" s="139" t="inlineStr">
        <is>
          <t>Nẹp bột các loại, không nắn (loại 2)</t>
        </is>
      </c>
      <c r="F401" s="260" t="n">
        <v>1</v>
      </c>
      <c r="G401" s="260" t="n">
        <v>300000</v>
      </c>
      <c r="H401" s="93">
        <f>G423*25%*75%</f>
        <v/>
      </c>
    </row>
    <row r="402" ht="15.75" customHeight="1" s="248">
      <c r="A402" s="92" t="n">
        <v>397</v>
      </c>
      <c r="B402" s="139" t="inlineStr">
        <is>
          <t>2026/06/10 13:53</t>
        </is>
      </c>
      <c r="C402" s="139" t="inlineStr">
        <is>
          <t>LÊ THỊ NGHĨA</t>
        </is>
      </c>
      <c r="D402" s="139" t="inlineStr">
        <is>
          <t>01/01/1969</t>
        </is>
      </c>
      <c r="E402" s="139" t="inlineStr">
        <is>
          <t>Tiêm khớp vai</t>
        </is>
      </c>
      <c r="F402" s="260" t="n">
        <v>1</v>
      </c>
      <c r="G402" s="260" t="n">
        <v>104400</v>
      </c>
      <c r="H402" s="93">
        <f>G424*25%*75%</f>
        <v/>
      </c>
    </row>
    <row r="403" hidden="1" ht="15.75" customHeight="1" s="248">
      <c r="A403" s="92" t="n">
        <v>398</v>
      </c>
      <c r="B403" s="139" t="inlineStr">
        <is>
          <t>2026/06/10 14:55</t>
        </is>
      </c>
      <c r="C403" s="139" t="inlineStr">
        <is>
          <t>TRẦN VĂN XIÊN</t>
        </is>
      </c>
      <c r="D403" s="139" t="inlineStr">
        <is>
          <t>01/01/1964</t>
        </is>
      </c>
      <c r="E403" s="139" t="inlineStr">
        <is>
          <t>Thay băng, cắt chỉ vết mổ [chiều dài ≤ 15cm]</t>
        </is>
      </c>
      <c r="F403" s="260" t="n">
        <v>1</v>
      </c>
      <c r="G403" s="260" t="n">
        <v>100000</v>
      </c>
      <c r="H403" s="93">
        <f>G425*25%*75%</f>
        <v/>
      </c>
    </row>
    <row r="404" hidden="1" ht="15.75" customHeight="1" s="248">
      <c r="A404" s="92" t="n">
        <v>399</v>
      </c>
      <c r="B404" s="139" t="inlineStr">
        <is>
          <t>2026/06/10 15:57</t>
        </is>
      </c>
      <c r="C404" s="139" t="inlineStr">
        <is>
          <t>PHAN THỊ HỒNG NHUNG</t>
        </is>
      </c>
      <c r="D404" s="139" t="inlineStr">
        <is>
          <t>01/01/1960</t>
        </is>
      </c>
      <c r="E404" s="139" t="inlineStr">
        <is>
          <t>Tháo bột (nhỏ)</t>
        </is>
      </c>
      <c r="F404" s="260" t="n">
        <v>1</v>
      </c>
      <c r="G404" s="260" t="n">
        <v>100000</v>
      </c>
      <c r="H404" s="93">
        <f>G426*25%*75%</f>
        <v/>
      </c>
    </row>
    <row r="405" hidden="1" ht="15.75" customHeight="1" s="248">
      <c r="A405" s="92" t="n">
        <v>400</v>
      </c>
      <c r="B405" s="139" t="inlineStr">
        <is>
          <t>2026/06/10 19:15</t>
        </is>
      </c>
      <c r="C405" s="139" t="inlineStr">
        <is>
          <t>LÂM THỦY TIÊN</t>
        </is>
      </c>
      <c r="D405" s="139" t="inlineStr">
        <is>
          <t>17/04/2005</t>
        </is>
      </c>
      <c r="E405" s="139" t="inlineStr">
        <is>
          <t>Nẹp bột các loại, không nắn (loại 1)</t>
        </is>
      </c>
      <c r="F405" s="260" t="n">
        <v>1</v>
      </c>
      <c r="G405" s="260" t="n">
        <v>200000</v>
      </c>
      <c r="H405" s="93">
        <f>G427*25%*75%</f>
        <v/>
      </c>
    </row>
    <row r="406" hidden="1" ht="15.75" customHeight="1" s="248">
      <c r="A406" s="92" t="n">
        <v>401</v>
      </c>
      <c r="B406" s="139" t="inlineStr">
        <is>
          <t>2026/06/11 05:00</t>
        </is>
      </c>
      <c r="C406" s="139" t="inlineStr">
        <is>
          <t>CHÂU THỊ ĐỦ</t>
        </is>
      </c>
      <c r="D406" s="139" t="inlineStr">
        <is>
          <t>01/01/1963</t>
        </is>
      </c>
      <c r="E406" s="139" t="inlineStr">
        <is>
          <t>Thay băng, cắt chỉ vết mổ [chiều dài ≤ 15cm]</t>
        </is>
      </c>
      <c r="F406" s="260" t="n">
        <v>1</v>
      </c>
      <c r="G406" s="260" t="n">
        <v>100000</v>
      </c>
      <c r="H406" s="93">
        <f>G428*25%*75%</f>
        <v/>
      </c>
    </row>
    <row r="407" hidden="1" ht="15.75" customHeight="1" s="248">
      <c r="A407" s="92" t="n">
        <v>402</v>
      </c>
      <c r="B407" s="139" t="inlineStr">
        <is>
          <t>2026/06/11 05:00</t>
        </is>
      </c>
      <c r="C407" s="139" t="inlineStr">
        <is>
          <t>KHUẤT HÙNG</t>
        </is>
      </c>
      <c r="D407" s="139" t="inlineStr">
        <is>
          <t>01/01/1948</t>
        </is>
      </c>
      <c r="E407" s="139" t="inlineStr">
        <is>
          <t>Thay băng, cắt chỉ vết mổ [chiều dài ≤ 15cm]</t>
        </is>
      </c>
      <c r="F407" s="260" t="n">
        <v>1</v>
      </c>
      <c r="G407" s="260" t="n">
        <v>100000</v>
      </c>
      <c r="H407" s="93">
        <f>G429*25%*75%</f>
        <v/>
      </c>
    </row>
    <row r="408" hidden="1" ht="15.75" customHeight="1" s="248">
      <c r="A408" s="92" t="n">
        <v>403</v>
      </c>
      <c r="B408" s="139" t="inlineStr">
        <is>
          <t>2026/06/11 05:00</t>
        </is>
      </c>
      <c r="C408" s="139" t="inlineStr">
        <is>
          <t>THÁI THỊ THỦY</t>
        </is>
      </c>
      <c r="D408" s="139" t="inlineStr">
        <is>
          <t>01/01/1957</t>
        </is>
      </c>
      <c r="E408" s="139" t="inlineStr">
        <is>
          <t>Thay băng, cắt chỉ vết mổ [chiều dài ≤ 15cm]</t>
        </is>
      </c>
      <c r="F408" s="260" t="n">
        <v>1</v>
      </c>
      <c r="G408" s="260" t="n">
        <v>100000</v>
      </c>
      <c r="H408" s="93">
        <f>G430*25%*75%</f>
        <v/>
      </c>
    </row>
    <row r="409" hidden="1" ht="15.75" customHeight="1" s="248">
      <c r="A409" s="92" t="n">
        <v>404</v>
      </c>
      <c r="B409" s="139" t="inlineStr">
        <is>
          <t>2026/06/11 05:00</t>
        </is>
      </c>
      <c r="C409" s="139" t="inlineStr">
        <is>
          <t>TÔN VĂN PHƯỚC</t>
        </is>
      </c>
      <c r="D409" s="139" t="inlineStr">
        <is>
          <t>01/01/1970</t>
        </is>
      </c>
      <c r="E409" s="139" t="inlineStr">
        <is>
          <t>Thay băng, cắt chỉ vết mổ [chiều dài ≤ 15cm]</t>
        </is>
      </c>
      <c r="F409" s="260" t="n">
        <v>1</v>
      </c>
      <c r="G409" s="260" t="n">
        <v>100000</v>
      </c>
      <c r="H409" s="93">
        <f>G431*25%*75%</f>
        <v/>
      </c>
    </row>
    <row r="410" hidden="1" ht="15.75" customHeight="1" s="248">
      <c r="A410" s="92" t="n">
        <v>405</v>
      </c>
      <c r="B410" s="139" t="inlineStr">
        <is>
          <t>2026/06/11 05:00</t>
        </is>
      </c>
      <c r="C410" s="139" t="inlineStr">
        <is>
          <t>VÕ THỊ ÚT</t>
        </is>
      </c>
      <c r="D410" s="139" t="inlineStr">
        <is>
          <t>10/09/1974</t>
        </is>
      </c>
      <c r="E410" s="139" t="inlineStr">
        <is>
          <t>Thay băng, cắt chỉ vết mổ [chiều dài ≤ 15cm]</t>
        </is>
      </c>
      <c r="F410" s="260" t="n">
        <v>1</v>
      </c>
      <c r="G410" s="260" t="n">
        <v>100000</v>
      </c>
      <c r="H410" s="93">
        <f>G432*25%*75%</f>
        <v/>
      </c>
    </row>
    <row r="411" hidden="1" ht="15.75" customHeight="1" s="248">
      <c r="A411" s="92" t="n">
        <v>406</v>
      </c>
      <c r="B411" s="139" t="inlineStr">
        <is>
          <t>2026/06/11 06:15</t>
        </is>
      </c>
      <c r="C411" s="139" t="inlineStr">
        <is>
          <t>LÊ THỊ KIM ĐIỂU</t>
        </is>
      </c>
      <c r="D411" s="139" t="inlineStr">
        <is>
          <t>12/12/1958</t>
        </is>
      </c>
      <c r="E411" s="139" t="inlineStr">
        <is>
          <t>Thay băng, cắt chỉ vết mổ [chiều dài ≤ 15cm]</t>
        </is>
      </c>
      <c r="F411" s="260" t="n">
        <v>1</v>
      </c>
      <c r="G411" s="260" t="n">
        <v>100000</v>
      </c>
      <c r="H411" s="93">
        <f>G433*25%*75%</f>
        <v/>
      </c>
    </row>
    <row r="412" hidden="1" ht="15.75" customHeight="1" s="248">
      <c r="A412" s="92" t="n">
        <v>407</v>
      </c>
      <c r="B412" s="139" t="inlineStr">
        <is>
          <t>2026/06/11 06:15</t>
        </is>
      </c>
      <c r="C412" s="139" t="inlineStr">
        <is>
          <t>LÊ THỊ KIM ĐIỂU</t>
        </is>
      </c>
      <c r="D412" s="139" t="inlineStr">
        <is>
          <t>12/12/1958</t>
        </is>
      </c>
      <c r="E412" s="139" t="inlineStr">
        <is>
          <t>Thay băng, cắt chỉ vết mổ [chiều dài ≤ 15cm]</t>
        </is>
      </c>
      <c r="F412" s="260" t="n">
        <v>1</v>
      </c>
      <c r="G412" s="260" t="n">
        <v>100000</v>
      </c>
      <c r="H412" s="93">
        <f>G434*25%*75%</f>
        <v/>
      </c>
    </row>
    <row r="413" hidden="1" ht="15.75" customHeight="1" s="248">
      <c r="A413" s="92" t="n">
        <v>408</v>
      </c>
      <c r="B413" s="139" t="inlineStr">
        <is>
          <t>2026/06/11 06:42</t>
        </is>
      </c>
      <c r="C413" s="139" t="inlineStr">
        <is>
          <t>NGUYỄN VĂN DŨNG</t>
        </is>
      </c>
      <c r="D413" s="139" t="inlineStr">
        <is>
          <t>01/01/1954</t>
        </is>
      </c>
      <c r="E413" s="139" t="inlineStr">
        <is>
          <t>Thay băng, cắt chỉ vết mổ [chiều dài ≤ 15cm]</t>
        </is>
      </c>
      <c r="F413" s="260" t="n">
        <v>1</v>
      </c>
      <c r="G413" s="260" t="n">
        <v>100000</v>
      </c>
      <c r="H413" s="93">
        <f>G435*25%*75%</f>
        <v/>
      </c>
    </row>
    <row r="414" hidden="1" ht="15.75" customHeight="1" s="248">
      <c r="A414" s="92" t="n">
        <v>409</v>
      </c>
      <c r="B414" s="139" t="inlineStr">
        <is>
          <t>2026/06/11 06:49</t>
        </is>
      </c>
      <c r="C414" s="139" t="inlineStr">
        <is>
          <t>VÕ KIM THU</t>
        </is>
      </c>
      <c r="D414" s="139" t="inlineStr">
        <is>
          <t>01/01/1958</t>
        </is>
      </c>
      <c r="E414" s="139" t="inlineStr">
        <is>
          <t>Thay băng, cắt chỉ vết mổ [chiều dài ≤ 15cm]</t>
        </is>
      </c>
      <c r="F414" s="260" t="n">
        <v>1</v>
      </c>
      <c r="G414" s="260" t="n">
        <v>100000</v>
      </c>
      <c r="H414" s="93">
        <f>G436*25%*75%</f>
        <v/>
      </c>
    </row>
    <row r="415" hidden="1" ht="15.75" customHeight="1" s="248">
      <c r="A415" s="92" t="n">
        <v>410</v>
      </c>
      <c r="B415" s="139" t="inlineStr">
        <is>
          <t>2026/06/11 07:00</t>
        </is>
      </c>
      <c r="C415" s="139" t="inlineStr">
        <is>
          <t>CAO HÙNG PHONG</t>
        </is>
      </c>
      <c r="D415" s="139" t="inlineStr">
        <is>
          <t>15/04/1969</t>
        </is>
      </c>
      <c r="E415" s="139" t="inlineStr">
        <is>
          <t>Thay băng, cắt chỉ vết mổ [chiều dài ≤ 15cm]</t>
        </is>
      </c>
      <c r="F415" s="260" t="n">
        <v>1</v>
      </c>
      <c r="G415" s="260" t="n">
        <v>100000</v>
      </c>
      <c r="H415" s="93">
        <f>G437*25%*75%</f>
        <v/>
      </c>
    </row>
    <row r="416" hidden="1" ht="15.75" customHeight="1" s="248">
      <c r="A416" s="92" t="n">
        <v>411</v>
      </c>
      <c r="B416" s="139" t="inlineStr">
        <is>
          <t>2026/06/11 07:00</t>
        </is>
      </c>
      <c r="C416" s="139" t="inlineStr">
        <is>
          <t>MAI THÀNH DƯƠNG</t>
        </is>
      </c>
      <c r="D416" s="139" t="inlineStr">
        <is>
          <t>10/04/1964</t>
        </is>
      </c>
      <c r="E416" s="139" t="inlineStr">
        <is>
          <t>Thay băng, cắt chỉ vết mổ [chiều dài ≤ 15cm]</t>
        </is>
      </c>
      <c r="F416" s="260" t="n">
        <v>1</v>
      </c>
      <c r="G416" s="260" t="n">
        <v>100000</v>
      </c>
      <c r="H416" s="93">
        <f>G438*25%*75%</f>
        <v/>
      </c>
    </row>
    <row r="417" hidden="1" ht="15.75" customHeight="1" s="248">
      <c r="A417" s="92" t="n">
        <v>412</v>
      </c>
      <c r="B417" s="139" t="inlineStr">
        <is>
          <t>2026/06/11 07:00</t>
        </is>
      </c>
      <c r="C417" s="139" t="inlineStr">
        <is>
          <t>NGUYỄN HỒNG NHIÊN</t>
        </is>
      </c>
      <c r="D417" s="139" t="inlineStr">
        <is>
          <t>01/01/1968</t>
        </is>
      </c>
      <c r="E417" s="139" t="inlineStr">
        <is>
          <t>Thay băng, cắt chỉ vết mổ [chiều dài ≤ 15cm]</t>
        </is>
      </c>
      <c r="F417" s="260" t="n">
        <v>1</v>
      </c>
      <c r="G417" s="260" t="n">
        <v>100000</v>
      </c>
      <c r="H417" s="93">
        <f>G439*25%*75%</f>
        <v/>
      </c>
    </row>
    <row r="418" hidden="1" ht="15.75" customHeight="1" s="248">
      <c r="A418" s="92" t="n">
        <v>413</v>
      </c>
      <c r="B418" s="139" t="inlineStr">
        <is>
          <t>2026/06/11 07:00</t>
        </is>
      </c>
      <c r="C418" s="139" t="inlineStr">
        <is>
          <t>NGUYỄN THỊ KỶ</t>
        </is>
      </c>
      <c r="D418" s="139" t="inlineStr">
        <is>
          <t>01/01/1949</t>
        </is>
      </c>
      <c r="E418" s="139" t="inlineStr">
        <is>
          <t>Thay băng, cắt chỉ vết mổ [chiều dài ≤ 15cm]</t>
        </is>
      </c>
      <c r="F418" s="260" t="n">
        <v>1</v>
      </c>
      <c r="G418" s="260" t="n">
        <v>100000</v>
      </c>
      <c r="H418" s="93">
        <f>G440*25%*75%</f>
        <v/>
      </c>
    </row>
    <row r="419" hidden="1" ht="15.75" customHeight="1" s="248">
      <c r="A419" s="92" t="n">
        <v>414</v>
      </c>
      <c r="B419" s="139" t="inlineStr">
        <is>
          <t>2026/06/11 07:00</t>
        </is>
      </c>
      <c r="C419" s="139" t="inlineStr">
        <is>
          <t>NGUYỄN THỊ NGÂN</t>
        </is>
      </c>
      <c r="D419" s="139" t="inlineStr">
        <is>
          <t>01/01/1954</t>
        </is>
      </c>
      <c r="E419" s="139" t="inlineStr">
        <is>
          <t>Thay băng, cắt chỉ vết mổ [chiều dài ≤ 15cm]</t>
        </is>
      </c>
      <c r="F419" s="260" t="n">
        <v>1</v>
      </c>
      <c r="G419" s="260" t="n">
        <v>100000</v>
      </c>
      <c r="H419" s="93">
        <f>G441*25%*75%</f>
        <v/>
      </c>
    </row>
    <row r="420" hidden="1" ht="15.75" customHeight="1" s="248">
      <c r="A420" s="92" t="n">
        <v>415</v>
      </c>
      <c r="B420" s="139" t="inlineStr">
        <is>
          <t>2026/06/11 07:00</t>
        </is>
      </c>
      <c r="C420" s="139" t="inlineStr">
        <is>
          <t>NGUYỄN THỊ NGÂN</t>
        </is>
      </c>
      <c r="D420" s="139" t="inlineStr">
        <is>
          <t>01/01/1954</t>
        </is>
      </c>
      <c r="E420" s="139" t="inlineStr">
        <is>
          <t>Thay băng, cắt chỉ vết mổ [chiều dài ≤ 15cm]</t>
        </is>
      </c>
      <c r="F420" s="260" t="n">
        <v>1</v>
      </c>
      <c r="G420" s="260" t="n">
        <v>100000</v>
      </c>
      <c r="H420" s="93">
        <f>G442*25%*75%</f>
        <v/>
      </c>
    </row>
    <row r="421" hidden="1" ht="15.75" customHeight="1" s="248">
      <c r="A421" s="92" t="n">
        <v>416</v>
      </c>
      <c r="B421" s="139" t="inlineStr">
        <is>
          <t>2026/06/11 07:00</t>
        </is>
      </c>
      <c r="C421" s="139" t="inlineStr">
        <is>
          <t>TRẦN BÉ HIỀN</t>
        </is>
      </c>
      <c r="D421" s="139" t="inlineStr">
        <is>
          <t>22/06/1994</t>
        </is>
      </c>
      <c r="E421" s="139" t="inlineStr">
        <is>
          <t>Thay băng, cắt chỉ vết mổ [chiều dài ≤ 15cm]</t>
        </is>
      </c>
      <c r="F421" s="260" t="n">
        <v>1</v>
      </c>
      <c r="G421" s="260" t="n">
        <v>100000</v>
      </c>
      <c r="H421" s="93">
        <f>G443*25%*75%</f>
        <v/>
      </c>
    </row>
    <row r="422" hidden="1" ht="15.75" customHeight="1" s="248">
      <c r="A422" s="92" t="n">
        <v>417</v>
      </c>
      <c r="B422" s="139" t="inlineStr">
        <is>
          <t>2026/06/11 07:00</t>
        </is>
      </c>
      <c r="C422" s="139" t="inlineStr">
        <is>
          <t>VÕ THỊ KIẾU</t>
        </is>
      </c>
      <c r="D422" s="139" t="inlineStr">
        <is>
          <t>01/01/1955</t>
        </is>
      </c>
      <c r="E422" s="139" t="inlineStr">
        <is>
          <t>Thay băng, cắt chỉ vết mổ [chiều dài ≤ 15cm]</t>
        </is>
      </c>
      <c r="F422" s="260" t="n">
        <v>1</v>
      </c>
      <c r="G422" s="260" t="n">
        <v>100000</v>
      </c>
      <c r="H422" s="93">
        <f>G444*25%*75%</f>
        <v/>
      </c>
    </row>
    <row r="423" hidden="1" ht="15.75" customHeight="1" s="248">
      <c r="A423" s="92" t="n">
        <v>418</v>
      </c>
      <c r="B423" s="139" t="inlineStr">
        <is>
          <t>2026/06/11 07:00</t>
        </is>
      </c>
      <c r="C423" s="139" t="inlineStr">
        <is>
          <t>VÕ THỊ ÚT</t>
        </is>
      </c>
      <c r="D423" s="139" t="inlineStr">
        <is>
          <t>10/09/1974</t>
        </is>
      </c>
      <c r="E423" s="139" t="inlineStr">
        <is>
          <t>Thay băng, cắt chỉ vết mổ [chiều dài ≤ 15cm]</t>
        </is>
      </c>
      <c r="F423" s="260" t="n">
        <v>1</v>
      </c>
      <c r="G423" s="260" t="n">
        <v>100000</v>
      </c>
      <c r="H423" s="93">
        <f>G445*25%*75%</f>
        <v/>
      </c>
    </row>
    <row r="424" hidden="1" ht="15.75" customHeight="1" s="248">
      <c r="A424" s="92" t="n">
        <v>419</v>
      </c>
      <c r="B424" s="139" t="inlineStr">
        <is>
          <t>2026/06/11 07:00</t>
        </is>
      </c>
      <c r="C424" s="139" t="inlineStr">
        <is>
          <t>ĐẶNG THÀNH THÁI</t>
        </is>
      </c>
      <c r="D424" s="139" t="inlineStr">
        <is>
          <t>01/01/1980</t>
        </is>
      </c>
      <c r="E424" s="139" t="inlineStr">
        <is>
          <t>Thay băng, cắt chỉ vết mổ [chiều dài ≤ 15cm]</t>
        </is>
      </c>
      <c r="F424" s="260" t="n">
        <v>1</v>
      </c>
      <c r="G424" s="260" t="n">
        <v>100000</v>
      </c>
      <c r="H424" s="93">
        <f>G446*25%*75%</f>
        <v/>
      </c>
    </row>
    <row r="425" hidden="1" ht="15.75" customHeight="1" s="248">
      <c r="A425" s="92" t="n">
        <v>420</v>
      </c>
      <c r="B425" s="139" t="inlineStr">
        <is>
          <t>2026/06/11 07:13</t>
        </is>
      </c>
      <c r="C425" s="139" t="inlineStr">
        <is>
          <t>HUỲNH NGỌC SƯƠNG</t>
        </is>
      </c>
      <c r="D425" s="139" t="inlineStr">
        <is>
          <t>05/05/1954</t>
        </is>
      </c>
      <c r="E425" s="139" t="inlineStr">
        <is>
          <t>Thay băng, cắt chỉ vết mổ [chiều dài ≤ 15cm]</t>
        </is>
      </c>
      <c r="F425" s="260" t="n">
        <v>1</v>
      </c>
      <c r="G425" s="260" t="n">
        <v>100000</v>
      </c>
      <c r="H425" s="93">
        <f>G447*25%*75%</f>
        <v/>
      </c>
    </row>
    <row r="426" hidden="1" ht="15.75" customHeight="1" s="248">
      <c r="A426" s="92" t="n">
        <v>421</v>
      </c>
      <c r="B426" s="139" t="inlineStr">
        <is>
          <t>2026/06/11 07:30</t>
        </is>
      </c>
      <c r="C426" s="139" t="inlineStr">
        <is>
          <t>VÕ TẤN HƯNG</t>
        </is>
      </c>
      <c r="D426" s="139" t="inlineStr">
        <is>
          <t>19/09/1963</t>
        </is>
      </c>
      <c r="E426" s="139" t="inlineStr">
        <is>
          <t>Thay băng, cắt chỉ vết mổ [chiều dài ≤ 15cm]</t>
        </is>
      </c>
      <c r="F426" s="260" t="n">
        <v>1</v>
      </c>
      <c r="G426" s="260" t="n">
        <v>100000</v>
      </c>
      <c r="H426" s="93">
        <f>G448*25%*75%</f>
        <v/>
      </c>
    </row>
    <row r="427" hidden="1" ht="15.75" customHeight="1" s="248">
      <c r="A427" s="92" t="n">
        <v>422</v>
      </c>
      <c r="B427" s="139" t="inlineStr">
        <is>
          <t>2026/06/11 07:39</t>
        </is>
      </c>
      <c r="C427" s="139" t="inlineStr">
        <is>
          <t>ĐẶNG KIM OANH</t>
        </is>
      </c>
      <c r="D427" s="139" t="inlineStr">
        <is>
          <t>16/10/1986</t>
        </is>
      </c>
      <c r="E427" s="139" t="inlineStr">
        <is>
          <t>Thay băng, cắt chỉ vết mổ [chiều dài ≤ 15cm]</t>
        </is>
      </c>
      <c r="F427" s="260" t="n">
        <v>1</v>
      </c>
      <c r="G427" s="260" t="n">
        <v>100000</v>
      </c>
      <c r="H427" s="93">
        <f>G449*25%*75%</f>
        <v/>
      </c>
    </row>
    <row r="428" hidden="1" ht="15.75" customHeight="1" s="248">
      <c r="A428" s="92" t="n">
        <v>423</v>
      </c>
      <c r="B428" s="139" t="inlineStr">
        <is>
          <t>2026/06/11 09:17</t>
        </is>
      </c>
      <c r="C428" s="139" t="inlineStr">
        <is>
          <t>NGUYỄN THỊ LÝ</t>
        </is>
      </c>
      <c r="D428" s="139" t="inlineStr">
        <is>
          <t>01/01/1944</t>
        </is>
      </c>
      <c r="E428" s="139" t="inlineStr">
        <is>
          <t>Thay băng, cắt chỉ vết mổ</t>
        </is>
      </c>
      <c r="F428" s="260" t="n">
        <v>1</v>
      </c>
      <c r="G428" s="260" t="n">
        <v>40300</v>
      </c>
      <c r="H428" s="93">
        <f>G450*25%*75%</f>
        <v/>
      </c>
    </row>
    <row r="429" hidden="1" ht="15.75" customHeight="1" s="248">
      <c r="A429" s="92" t="n">
        <v>424</v>
      </c>
      <c r="B429" s="139" t="inlineStr">
        <is>
          <t>2026/06/11 09:20</t>
        </is>
      </c>
      <c r="C429" s="139" t="inlineStr">
        <is>
          <t>TRẦN THỊ QUẮN</t>
        </is>
      </c>
      <c r="D429" s="139" t="inlineStr">
        <is>
          <t>01/01/1934</t>
        </is>
      </c>
      <c r="E429" s="139" t="inlineStr">
        <is>
          <t>Thay băng, cắt chỉ vết mổ</t>
        </is>
      </c>
      <c r="F429" s="260" t="n">
        <v>1</v>
      </c>
      <c r="G429" s="260" t="n">
        <v>40300</v>
      </c>
      <c r="H429" s="93">
        <f>G451*25%*75%</f>
        <v/>
      </c>
    </row>
    <row r="430" hidden="1" ht="15.75" customHeight="1" s="248">
      <c r="A430" s="92" t="n">
        <v>425</v>
      </c>
      <c r="B430" s="139" t="inlineStr">
        <is>
          <t>2026/06/11 13:16</t>
        </is>
      </c>
      <c r="C430" s="139" t="inlineStr">
        <is>
          <t>TRƯƠNG THỊ LỆ THỦY</t>
        </is>
      </c>
      <c r="D430" s="139" t="inlineStr">
        <is>
          <t>01/01/1963</t>
        </is>
      </c>
      <c r="E430" s="139" t="inlineStr">
        <is>
          <t>Nắn, bó bột gãy 1/3 dưới hai xương cẳng chân [bột liền]</t>
        </is>
      </c>
      <c r="F430" s="260" t="n">
        <v>1</v>
      </c>
      <c r="G430" s="260" t="n">
        <v>600000</v>
      </c>
      <c r="H430" s="93">
        <f>G452*25%*75%</f>
        <v/>
      </c>
    </row>
    <row r="431" ht="15.75" customHeight="1" s="248">
      <c r="A431" s="92" t="n">
        <v>426</v>
      </c>
      <c r="B431" s="139" t="inlineStr">
        <is>
          <t>2026/06/11 15:10</t>
        </is>
      </c>
      <c r="C431" s="139" t="inlineStr">
        <is>
          <t>LÊ THỊ MỸ HẰNG</t>
        </is>
      </c>
      <c r="D431" s="139" t="inlineStr">
        <is>
          <t>24/01/1990</t>
        </is>
      </c>
      <c r="E431" s="139" t="inlineStr">
        <is>
          <t>Điều trị thoái hóa khớp bằng huyết tương giàu tiểu cầu</t>
        </is>
      </c>
      <c r="F431" s="260" t="n">
        <v>1</v>
      </c>
      <c r="G431" s="260" t="n">
        <v>5500000</v>
      </c>
      <c r="H431" s="93">
        <f>G453*25%*75%</f>
        <v/>
      </c>
    </row>
    <row r="432" ht="15.75" customHeight="1" s="248">
      <c r="A432" s="92" t="n">
        <v>427</v>
      </c>
      <c r="B432" s="139" t="inlineStr">
        <is>
          <t>2026/06/11 15:10</t>
        </is>
      </c>
      <c r="C432" s="139" t="inlineStr">
        <is>
          <t>LÊ THỊ MỸ HẰNG</t>
        </is>
      </c>
      <c r="D432" s="139" t="inlineStr">
        <is>
          <t>24/01/1990</t>
        </is>
      </c>
      <c r="E432" s="139" t="inlineStr">
        <is>
          <t>Điều trị thoái hóa khớp bằng huyết tương giàu tiểu cầu</t>
        </is>
      </c>
      <c r="F432" s="260" t="n">
        <v>1</v>
      </c>
      <c r="G432" s="260" t="n">
        <v>5500000</v>
      </c>
      <c r="H432" s="93">
        <f>G454*25%*75%</f>
        <v/>
      </c>
    </row>
    <row r="433" hidden="1" ht="15.75" customHeight="1" s="248">
      <c r="A433" s="92" t="n">
        <v>428</v>
      </c>
      <c r="B433" s="139" t="inlineStr">
        <is>
          <t>2026/06/11 15:26</t>
        </is>
      </c>
      <c r="C433" s="139" t="inlineStr">
        <is>
          <t>PHAN HUỲNH BẢO TRÂN</t>
        </is>
      </c>
      <c r="D433" s="139" t="inlineStr">
        <is>
          <t>15/12/2009</t>
        </is>
      </c>
      <c r="E433" s="139" t="inlineStr">
        <is>
          <t>Thay băng, cắt chỉ vết mổ [chiều dài ≤ 15cm]</t>
        </is>
      </c>
      <c r="F433" s="260" t="n">
        <v>1</v>
      </c>
      <c r="G433" s="260" t="n">
        <v>100000</v>
      </c>
      <c r="H433" s="93">
        <f>G455*25%*75%</f>
        <v/>
      </c>
    </row>
    <row r="434" hidden="1" ht="15.75" customHeight="1" s="248">
      <c r="A434" s="92" t="n">
        <v>429</v>
      </c>
      <c r="B434" s="139" t="inlineStr">
        <is>
          <t>2026/06/11 15:42</t>
        </is>
      </c>
      <c r="C434" s="139" t="inlineStr">
        <is>
          <t>NGUYỄN THANH HÒA</t>
        </is>
      </c>
      <c r="D434" s="139" t="inlineStr">
        <is>
          <t>10/11/1970</t>
        </is>
      </c>
      <c r="E434" s="139" t="inlineStr">
        <is>
          <t>Thay băng, cắt chỉ vết mổ [chiều dài ≤ 15cm]</t>
        </is>
      </c>
      <c r="F434" s="260" t="n">
        <v>1</v>
      </c>
      <c r="G434" s="260" t="n">
        <v>100000</v>
      </c>
      <c r="H434" s="93">
        <f>G456*25%*75%</f>
        <v/>
      </c>
    </row>
    <row r="435" hidden="1" ht="15.75" customHeight="1" s="248">
      <c r="A435" s="92" t="n">
        <v>430</v>
      </c>
      <c r="B435" s="139" t="inlineStr">
        <is>
          <t>2026/06/11 16:02</t>
        </is>
      </c>
      <c r="C435" s="139" t="inlineStr">
        <is>
          <t>LÝ NGỌC TÙNG</t>
        </is>
      </c>
      <c r="D435" s="139" t="inlineStr">
        <is>
          <t>19/10/1981</t>
        </is>
      </c>
      <c r="E435" s="139" t="inlineStr">
        <is>
          <t>Thay băng, cắt chỉ vết mổ [chiều dài ≤ 15cm]</t>
        </is>
      </c>
      <c r="F435" s="260" t="n">
        <v>1</v>
      </c>
      <c r="G435" s="260" t="n">
        <v>100000</v>
      </c>
      <c r="H435" s="93">
        <f>G457*25%*75%</f>
        <v/>
      </c>
    </row>
    <row r="436" hidden="1" ht="15.75" customHeight="1" s="248">
      <c r="A436" s="92" t="n">
        <v>431</v>
      </c>
      <c r="B436" s="139" t="inlineStr">
        <is>
          <t>2026/06/12 05:00</t>
        </is>
      </c>
      <c r="C436" s="139" t="inlineStr">
        <is>
          <t>CAO HÙNG PHONG</t>
        </is>
      </c>
      <c r="D436" s="139" t="inlineStr">
        <is>
          <t>15/04/1969</t>
        </is>
      </c>
      <c r="E436" s="139" t="inlineStr">
        <is>
          <t>Thay băng, cắt chỉ vết mổ [chiều dài ≤ 15cm]</t>
        </is>
      </c>
      <c r="F436" s="260" t="n">
        <v>1</v>
      </c>
      <c r="G436" s="260" t="n">
        <v>100000</v>
      </c>
      <c r="H436" s="93">
        <f>G459*25%*75%</f>
        <v/>
      </c>
    </row>
    <row r="437" hidden="1" ht="15.75" customHeight="1" s="248">
      <c r="A437" s="92" t="n">
        <v>432</v>
      </c>
      <c r="B437" s="139" t="inlineStr">
        <is>
          <t>2026/06/12 05:00</t>
        </is>
      </c>
      <c r="C437" s="139" t="inlineStr">
        <is>
          <t>CHÂU THỊ ĐỦ</t>
        </is>
      </c>
      <c r="D437" s="139" t="inlineStr">
        <is>
          <t>01/01/1963</t>
        </is>
      </c>
      <c r="E437" s="139" t="inlineStr">
        <is>
          <t>Thay băng, cắt chỉ vết mổ [chiều dài ≤ 15cm]</t>
        </is>
      </c>
      <c r="F437" s="260" t="n">
        <v>1</v>
      </c>
      <c r="G437" s="260" t="n">
        <v>100000</v>
      </c>
      <c r="H437" s="93">
        <f>G460*25%*75%</f>
        <v/>
      </c>
    </row>
    <row r="438" hidden="1" ht="15.75" customHeight="1" s="248">
      <c r="A438" s="92" t="n">
        <v>433</v>
      </c>
      <c r="B438" s="139" t="inlineStr">
        <is>
          <t>2026/06/12 05:00</t>
        </is>
      </c>
      <c r="C438" s="139" t="inlineStr">
        <is>
          <t>HUỲNH NGỌC SƯƠNG</t>
        </is>
      </c>
      <c r="D438" s="139" t="inlineStr">
        <is>
          <t>05/05/1954</t>
        </is>
      </c>
      <c r="E438" s="139" t="inlineStr">
        <is>
          <t>Thay băng, cắt chỉ vết mổ [chiều dài ≤ 15cm]</t>
        </is>
      </c>
      <c r="F438" s="260" t="n">
        <v>1</v>
      </c>
      <c r="G438" s="260" t="n">
        <v>100000</v>
      </c>
      <c r="H438" s="93">
        <f>G461*25%*75%</f>
        <v/>
      </c>
    </row>
    <row r="439" hidden="1" ht="15.75" customHeight="1" s="248">
      <c r="A439" s="92" t="n">
        <v>434</v>
      </c>
      <c r="B439" s="139" t="inlineStr">
        <is>
          <t>2026/06/12 05:00</t>
        </is>
      </c>
      <c r="C439" s="139" t="inlineStr">
        <is>
          <t>KHUẤT HÙNG</t>
        </is>
      </c>
      <c r="D439" s="139" t="inlineStr">
        <is>
          <t>01/01/1948</t>
        </is>
      </c>
      <c r="E439" s="139" t="inlineStr">
        <is>
          <t>Thay băng, cắt chỉ vết mổ [chiều dài ≤ 15cm]</t>
        </is>
      </c>
      <c r="F439" s="260" t="n">
        <v>1</v>
      </c>
      <c r="G439" s="260" t="n">
        <v>100000</v>
      </c>
      <c r="H439" s="93">
        <f>G462*25%*75%</f>
        <v/>
      </c>
    </row>
    <row r="440" hidden="1" ht="15.75" customHeight="1" s="248">
      <c r="A440" s="92" t="n">
        <v>435</v>
      </c>
      <c r="B440" s="139" t="inlineStr">
        <is>
          <t>2026/06/12 05:00</t>
        </is>
      </c>
      <c r="C440" s="139" t="inlineStr">
        <is>
          <t>THÁI THỊ THỦY</t>
        </is>
      </c>
      <c r="D440" s="139" t="inlineStr">
        <is>
          <t>01/01/1957</t>
        </is>
      </c>
      <c r="E440" s="139" t="inlineStr">
        <is>
          <t>Thay băng, cắt chỉ vết mổ [chiều dài ≤ 15cm]</t>
        </is>
      </c>
      <c r="F440" s="260" t="n">
        <v>1</v>
      </c>
      <c r="G440" s="260" t="n">
        <v>100000</v>
      </c>
      <c r="H440" s="93">
        <f>G463*25%*75%</f>
        <v/>
      </c>
    </row>
    <row r="441" hidden="1" ht="15.75" customHeight="1" s="248">
      <c r="A441" s="92" t="n">
        <v>436</v>
      </c>
      <c r="B441" s="139" t="inlineStr">
        <is>
          <t>2026/06/12 05:00</t>
        </is>
      </c>
      <c r="C441" s="139" t="inlineStr">
        <is>
          <t>TÔN VĂN PHƯỚC</t>
        </is>
      </c>
      <c r="D441" s="139" t="inlineStr">
        <is>
          <t>01/01/1970</t>
        </is>
      </c>
      <c r="E441" s="139" t="inlineStr">
        <is>
          <t>Thay băng, cắt chỉ vết mổ [chiều dài ≤ 15cm]</t>
        </is>
      </c>
      <c r="F441" s="260" t="n">
        <v>1</v>
      </c>
      <c r="G441" s="260" t="n">
        <v>100000</v>
      </c>
      <c r="H441" s="93">
        <f>G464*25%*75%</f>
        <v/>
      </c>
    </row>
    <row r="442" hidden="1" ht="15.75" customHeight="1" s="248">
      <c r="A442" s="92" t="n">
        <v>437</v>
      </c>
      <c r="B442" s="139" t="inlineStr">
        <is>
          <t>2026/06/12 05:00</t>
        </is>
      </c>
      <c r="C442" s="139" t="inlineStr">
        <is>
          <t>VÕ THỊ ÚT</t>
        </is>
      </c>
      <c r="D442" s="139" t="inlineStr">
        <is>
          <t>10/09/1974</t>
        </is>
      </c>
      <c r="E442" s="139" t="inlineStr">
        <is>
          <t>Thay băng, cắt chỉ vết mổ [chiều dài ≤ 15cm]</t>
        </is>
      </c>
      <c r="F442" s="260" t="n">
        <v>1</v>
      </c>
      <c r="G442" s="260" t="n">
        <v>100000</v>
      </c>
      <c r="H442" s="93">
        <f>G465*25%*75%</f>
        <v/>
      </c>
    </row>
    <row r="443" hidden="1" ht="15.75" customHeight="1" s="248">
      <c r="A443" s="92" t="n">
        <v>438</v>
      </c>
      <c r="B443" s="139" t="inlineStr">
        <is>
          <t>2026/06/12 05:00</t>
        </is>
      </c>
      <c r="C443" s="139" t="inlineStr">
        <is>
          <t>VÕ THỊ ÚT</t>
        </is>
      </c>
      <c r="D443" s="139" t="inlineStr">
        <is>
          <t>10/09/1974</t>
        </is>
      </c>
      <c r="E443" s="139" t="inlineStr">
        <is>
          <t>Thay băng, cắt chỉ vết mổ [chiều dài ≤ 15cm]</t>
        </is>
      </c>
      <c r="F443" s="260" t="n">
        <v>1</v>
      </c>
      <c r="G443" s="260" t="n">
        <v>100000</v>
      </c>
      <c r="H443" s="93">
        <f>G466*25%*75%</f>
        <v/>
      </c>
    </row>
    <row r="444" hidden="1" ht="15.75" customHeight="1" s="248">
      <c r="A444" s="92" t="n">
        <v>439</v>
      </c>
      <c r="B444" s="139" t="inlineStr">
        <is>
          <t>2026/06/12 06:15</t>
        </is>
      </c>
      <c r="C444" s="139" t="inlineStr">
        <is>
          <t>TRIỆU HOÀNG LONG</t>
        </is>
      </c>
      <c r="D444" s="139" t="inlineStr">
        <is>
          <t>01/01/1963</t>
        </is>
      </c>
      <c r="E444" s="139" t="inlineStr">
        <is>
          <t>Thay băng, cắt chỉ vết mổ [chiều dài ≤ 15cm]</t>
        </is>
      </c>
      <c r="F444" s="260" t="n">
        <v>1</v>
      </c>
      <c r="G444" s="260" t="n">
        <v>100000</v>
      </c>
      <c r="H444" s="93">
        <f>G467*25%*75%</f>
        <v/>
      </c>
    </row>
    <row r="445" hidden="1" ht="15.75" customHeight="1" s="248">
      <c r="A445" s="92" t="n">
        <v>440</v>
      </c>
      <c r="B445" s="139" t="inlineStr">
        <is>
          <t>2026/06/12 06:15</t>
        </is>
      </c>
      <c r="C445" s="139" t="inlineStr">
        <is>
          <t>VÕ KIM THU</t>
        </is>
      </c>
      <c r="D445" s="139" t="inlineStr">
        <is>
          <t>01/01/1958</t>
        </is>
      </c>
      <c r="E445" s="139" t="inlineStr">
        <is>
          <t>Thay băng, cắt chỉ vết mổ [chiều dài ≤ 15cm]</t>
        </is>
      </c>
      <c r="F445" s="260" t="n">
        <v>1</v>
      </c>
      <c r="G445" s="260" t="n">
        <v>100000</v>
      </c>
      <c r="H445" s="93">
        <f>G468*25%*75%</f>
        <v/>
      </c>
    </row>
    <row r="446" hidden="1" ht="15.75" customHeight="1" s="248">
      <c r="A446" s="92" t="n">
        <v>441</v>
      </c>
      <c r="B446" s="139" t="inlineStr">
        <is>
          <t>2026/06/12 06:25</t>
        </is>
      </c>
      <c r="C446" s="139" t="inlineStr">
        <is>
          <t>TRIỆU HOÀNG LONG</t>
        </is>
      </c>
      <c r="D446" s="139" t="inlineStr">
        <is>
          <t>01/01/1963</t>
        </is>
      </c>
      <c r="E446" s="139" t="inlineStr">
        <is>
          <t>Thay băng, cắt chỉ vết mổ [chiều dài ≤ 15cm]</t>
        </is>
      </c>
      <c r="F446" s="260" t="n">
        <v>1</v>
      </c>
      <c r="G446" s="260" t="n">
        <v>100000</v>
      </c>
      <c r="H446" s="93">
        <f>G469*25%*75%</f>
        <v/>
      </c>
    </row>
    <row r="447" hidden="1" ht="15.75" customHeight="1" s="248">
      <c r="A447" s="92" t="n">
        <v>442</v>
      </c>
      <c r="B447" s="139" t="inlineStr">
        <is>
          <t>2026/06/12 06:26</t>
        </is>
      </c>
      <c r="C447" s="139" t="inlineStr">
        <is>
          <t>TRIỆU HOÀNG LONG</t>
        </is>
      </c>
      <c r="D447" s="139" t="inlineStr">
        <is>
          <t>01/01/1963</t>
        </is>
      </c>
      <c r="E447" s="139" t="inlineStr">
        <is>
          <t>Thay băng, cắt chỉ vết mổ [chiều dài ≤ 15cm]</t>
        </is>
      </c>
      <c r="F447" s="260" t="n">
        <v>1</v>
      </c>
      <c r="G447" s="260" t="n">
        <v>100000</v>
      </c>
      <c r="H447" s="93">
        <f>G470*25%*75%</f>
        <v/>
      </c>
    </row>
    <row r="448" hidden="1" ht="15.75" customHeight="1" s="248">
      <c r="A448" s="92" t="n">
        <v>443</v>
      </c>
      <c r="B448" s="139" t="inlineStr">
        <is>
          <t>2026/06/12 06:30</t>
        </is>
      </c>
      <c r="C448" s="139" t="inlineStr">
        <is>
          <t>TRIỆU HOÀNG LONG</t>
        </is>
      </c>
      <c r="D448" s="139" t="inlineStr">
        <is>
          <t>01/01/1963</t>
        </is>
      </c>
      <c r="E448" s="139" t="inlineStr">
        <is>
          <t>Thay băng, cắt chỉ vết mổ [chiều dài ≤ 15cm]</t>
        </is>
      </c>
      <c r="F448" s="260" t="n">
        <v>1</v>
      </c>
      <c r="G448" s="260" t="n">
        <v>100000</v>
      </c>
      <c r="H448" s="93">
        <f>G471*25%*75%</f>
        <v/>
      </c>
    </row>
    <row r="449" hidden="1" ht="15.75" customHeight="1" s="248">
      <c r="A449" s="92" t="n">
        <v>444</v>
      </c>
      <c r="B449" s="139" t="inlineStr">
        <is>
          <t>2026/06/12 06:43</t>
        </is>
      </c>
      <c r="C449" s="139" t="inlineStr">
        <is>
          <t>LÊ THỊ KIM ĐIỂU</t>
        </is>
      </c>
      <c r="D449" s="139" t="inlineStr">
        <is>
          <t>12/12/1958</t>
        </is>
      </c>
      <c r="E449" s="139" t="inlineStr">
        <is>
          <t>Thay băng, cắt chỉ vết mổ [chiều dài ≤ 15cm]</t>
        </is>
      </c>
      <c r="F449" s="260" t="n">
        <v>1</v>
      </c>
      <c r="G449" s="260" t="n">
        <v>100000</v>
      </c>
      <c r="H449" s="93">
        <f>G472*25%*75%</f>
        <v/>
      </c>
    </row>
    <row r="450" hidden="1" ht="15.75" customHeight="1" s="248">
      <c r="A450" s="92" t="n">
        <v>445</v>
      </c>
      <c r="B450" s="139" t="inlineStr">
        <is>
          <t>2026/06/12 06:50</t>
        </is>
      </c>
      <c r="C450" s="139" t="inlineStr">
        <is>
          <t>LÊ THỊ KIM ĐIỂU</t>
        </is>
      </c>
      <c r="D450" s="139" t="inlineStr">
        <is>
          <t>12/12/1958</t>
        </is>
      </c>
      <c r="E450" s="139" t="inlineStr">
        <is>
          <t>Thay băng, cắt chỉ vết mổ [chiều dài ≤ 15cm]</t>
        </is>
      </c>
      <c r="F450" s="260" t="n">
        <v>1</v>
      </c>
      <c r="G450" s="260" t="n">
        <v>100000</v>
      </c>
      <c r="H450" s="93">
        <f>G473*25%*75%</f>
        <v/>
      </c>
    </row>
    <row r="451" hidden="1" ht="15.75" customHeight="1" s="248">
      <c r="A451" s="92" t="n">
        <v>446</v>
      </c>
      <c r="B451" s="139" t="inlineStr">
        <is>
          <t>2026/06/12 06:50</t>
        </is>
      </c>
      <c r="C451" s="139" t="inlineStr">
        <is>
          <t>VÕ KIM THU</t>
        </is>
      </c>
      <c r="D451" s="139" t="inlineStr">
        <is>
          <t>01/01/1958</t>
        </is>
      </c>
      <c r="E451" s="139" t="inlineStr">
        <is>
          <t>Thay băng, cắt chỉ vết mổ [chiều dài ≤ 15cm]</t>
        </is>
      </c>
      <c r="F451" s="260" t="n">
        <v>1</v>
      </c>
      <c r="G451" s="260" t="n">
        <v>100000</v>
      </c>
      <c r="H451" s="93">
        <f>G474*25%*75%</f>
        <v/>
      </c>
    </row>
    <row r="452" hidden="1" ht="15.75" customHeight="1" s="248">
      <c r="A452" s="92" t="n">
        <v>447</v>
      </c>
      <c r="B452" s="139" t="inlineStr">
        <is>
          <t>2026/06/12 06:55</t>
        </is>
      </c>
      <c r="C452" s="139" t="inlineStr">
        <is>
          <t>LÊ THỊ KIM ĐIỂU</t>
        </is>
      </c>
      <c r="D452" s="139" t="inlineStr">
        <is>
          <t>12/12/1958</t>
        </is>
      </c>
      <c r="E452" s="139" t="inlineStr">
        <is>
          <t>Thay băng, cắt chỉ vết mổ [chiều dài ≤ 15cm]</t>
        </is>
      </c>
      <c r="F452" s="260" t="n">
        <v>1</v>
      </c>
      <c r="G452" s="260" t="n">
        <v>100000</v>
      </c>
      <c r="H452" s="93">
        <f>G475*25%*75%</f>
        <v/>
      </c>
    </row>
    <row r="453" hidden="1" ht="15.75" customHeight="1" s="248">
      <c r="A453" s="92" t="n">
        <v>448</v>
      </c>
      <c r="B453" s="139" t="inlineStr">
        <is>
          <t>2026/06/12 06:58</t>
        </is>
      </c>
      <c r="C453" s="139" t="inlineStr">
        <is>
          <t>VÕ KIM THU</t>
        </is>
      </c>
      <c r="D453" s="139" t="inlineStr">
        <is>
          <t>01/01/1958</t>
        </is>
      </c>
      <c r="E453" s="139" t="inlineStr">
        <is>
          <t>Thay băng, cắt chỉ vết mổ [chiều dài ≤ 15cm]</t>
        </is>
      </c>
      <c r="F453" s="260" t="n">
        <v>1</v>
      </c>
      <c r="G453" s="260" t="n">
        <v>100000</v>
      </c>
      <c r="H453" s="93">
        <f>G476*25%*75%</f>
        <v/>
      </c>
    </row>
    <row r="454" hidden="1" ht="15.75" customHeight="1" s="248">
      <c r="A454" s="92" t="n">
        <v>449</v>
      </c>
      <c r="B454" s="139" t="inlineStr">
        <is>
          <t>2026/06/12 07:00</t>
        </is>
      </c>
      <c r="C454" s="139" t="inlineStr">
        <is>
          <t>CAO THIỆN VŨ</t>
        </is>
      </c>
      <c r="D454" s="139" t="inlineStr">
        <is>
          <t>01/01/1977</t>
        </is>
      </c>
      <c r="E454" s="139" t="inlineStr">
        <is>
          <t>Thay băng, cắt chỉ vết mổ [chiều dài ≤ 15cm]</t>
        </is>
      </c>
      <c r="F454" s="260" t="n">
        <v>1</v>
      </c>
      <c r="G454" s="260" t="n">
        <v>100000</v>
      </c>
      <c r="H454" s="93">
        <f>G477*25%*75%</f>
        <v/>
      </c>
    </row>
    <row r="455" hidden="1" ht="15.75" customHeight="1" s="248">
      <c r="A455" s="92" t="n">
        <v>450</v>
      </c>
      <c r="B455" s="139" t="inlineStr">
        <is>
          <t>2026/06/12 07:00</t>
        </is>
      </c>
      <c r="C455" s="139" t="inlineStr">
        <is>
          <t>LÊ THỊ HOA</t>
        </is>
      </c>
      <c r="D455" s="139" t="inlineStr">
        <is>
          <t>12/08/1948</t>
        </is>
      </c>
      <c r="E455" s="139" t="inlineStr">
        <is>
          <t>Truyền hóa chất tĩnh mạch [nội trú]</t>
        </is>
      </c>
      <c r="F455" s="260" t="n">
        <v>1</v>
      </c>
      <c r="G455" s="260" t="n">
        <v>400000</v>
      </c>
      <c r="H455" s="93">
        <f>G478*25%*75%</f>
        <v/>
      </c>
    </row>
    <row r="456" hidden="1" ht="15.75" customHeight="1" s="248">
      <c r="A456" s="92" t="n">
        <v>451</v>
      </c>
      <c r="B456" s="139" t="inlineStr">
        <is>
          <t>2026/06/12 07:00</t>
        </is>
      </c>
      <c r="C456" s="139" t="inlineStr">
        <is>
          <t>MAI THÀNH DƯƠNG</t>
        </is>
      </c>
      <c r="D456" s="139" t="inlineStr">
        <is>
          <t>10/04/1964</t>
        </is>
      </c>
      <c r="E456" s="139" t="inlineStr">
        <is>
          <t>Thay băng, cắt chỉ vết mổ [chiều dài ≤ 15cm]</t>
        </is>
      </c>
      <c r="F456" s="260" t="n">
        <v>1</v>
      </c>
      <c r="G456" s="260" t="n">
        <v>100000</v>
      </c>
      <c r="H456" s="93">
        <f>G479*25%*75%</f>
        <v/>
      </c>
    </row>
    <row r="457" hidden="1" ht="15.75" customHeight="1" s="248">
      <c r="A457" s="92" t="n">
        <v>452</v>
      </c>
      <c r="B457" s="139" t="inlineStr">
        <is>
          <t>2026/06/12 07:00</t>
        </is>
      </c>
      <c r="C457" s="139" t="inlineStr">
        <is>
          <t>NGUYỄN HỒNG NHIÊN</t>
        </is>
      </c>
      <c r="D457" s="139" t="inlineStr">
        <is>
          <t>01/01/1968</t>
        </is>
      </c>
      <c r="E457" s="139" t="inlineStr">
        <is>
          <t>Thay băng, cắt chỉ vết mổ [chiều dài ≤ 15cm]</t>
        </is>
      </c>
      <c r="F457" s="260" t="n">
        <v>1</v>
      </c>
      <c r="G457" s="260" t="n">
        <v>100000</v>
      </c>
      <c r="H457" s="93">
        <f>G480*25%*75%</f>
        <v/>
      </c>
    </row>
    <row r="458" hidden="1" ht="15.75" customHeight="1" s="248">
      <c r="A458" s="92" t="n">
        <v>453</v>
      </c>
      <c r="B458" s="139" t="inlineStr">
        <is>
          <t>2026/06/12 07:00</t>
        </is>
      </c>
      <c r="C458" s="139" t="inlineStr">
        <is>
          <t>NGUYỄN THỊ KỶ</t>
        </is>
      </c>
      <c r="D458" s="139" t="inlineStr">
        <is>
          <t>01/01/1949</t>
        </is>
      </c>
      <c r="E458" s="139" t="inlineStr">
        <is>
          <t>Thay băng, cắt chỉ vết mổ [chiều dài ≤ 15cm]</t>
        </is>
      </c>
      <c r="F458" s="260" t="n">
        <v>1</v>
      </c>
      <c r="G458" s="260" t="n">
        <v>100000</v>
      </c>
      <c r="H458" s="93">
        <f>G481*25%*75%</f>
        <v/>
      </c>
    </row>
    <row r="459" hidden="1" ht="15.75" customHeight="1" s="248">
      <c r="A459" s="92" t="n">
        <v>454</v>
      </c>
      <c r="B459" s="139" t="inlineStr">
        <is>
          <t>2026/06/12 07:00</t>
        </is>
      </c>
      <c r="C459" s="139" t="inlineStr">
        <is>
          <t>NGUYỄN THỊ NGÂN</t>
        </is>
      </c>
      <c r="D459" s="139" t="inlineStr">
        <is>
          <t>01/01/1954</t>
        </is>
      </c>
      <c r="E459" s="139" t="inlineStr">
        <is>
          <t>Thay băng, cắt chỉ vết mổ [chiều dài ≤ 15cm]</t>
        </is>
      </c>
      <c r="F459" s="260" t="n">
        <v>1</v>
      </c>
      <c r="G459" s="260" t="n">
        <v>100000</v>
      </c>
      <c r="H459" s="93">
        <f>G482*25%*75%</f>
        <v/>
      </c>
    </row>
    <row r="460" hidden="1" ht="15.75" customHeight="1" s="248">
      <c r="A460" s="92" t="n">
        <v>455</v>
      </c>
      <c r="B460" s="139" t="inlineStr">
        <is>
          <t>2026/06/12 07:00</t>
        </is>
      </c>
      <c r="C460" s="139" t="inlineStr">
        <is>
          <t>NGÔ HÒA THUẬN</t>
        </is>
      </c>
      <c r="D460" s="139" t="inlineStr">
        <is>
          <t>28/04/1979</t>
        </is>
      </c>
      <c r="E460" s="139" t="inlineStr">
        <is>
          <t>Thay băng, cắt chỉ vết mổ [chiều dài ≤ 15cm]</t>
        </is>
      </c>
      <c r="F460" s="260" t="n">
        <v>1</v>
      </c>
      <c r="G460" s="260" t="n">
        <v>100000</v>
      </c>
      <c r="H460" s="93">
        <f>G483*25%*75%</f>
        <v/>
      </c>
    </row>
    <row r="461" hidden="1" ht="15.75" customHeight="1" s="248">
      <c r="A461" s="92" t="n">
        <v>456</v>
      </c>
      <c r="B461" s="139" t="inlineStr">
        <is>
          <t>2026/06/12 07:00</t>
        </is>
      </c>
      <c r="C461" s="139" t="inlineStr">
        <is>
          <t>TRẦN BÉ HIỀN</t>
        </is>
      </c>
      <c r="D461" s="139" t="inlineStr">
        <is>
          <t>22/06/1994</t>
        </is>
      </c>
      <c r="E461" s="139" t="inlineStr">
        <is>
          <t>Thay băng, cắt chỉ vết mổ [chiều dài ≤ 15cm]</t>
        </is>
      </c>
      <c r="F461" s="260" t="n">
        <v>1</v>
      </c>
      <c r="G461" s="260" t="n">
        <v>100000</v>
      </c>
      <c r="H461" s="93">
        <f>G484*25%*75%</f>
        <v/>
      </c>
    </row>
    <row r="462" hidden="1" ht="15.75" customHeight="1" s="248">
      <c r="A462" s="92" t="n">
        <v>457</v>
      </c>
      <c r="B462" s="139" t="inlineStr">
        <is>
          <t>2026/06/12 07:00</t>
        </is>
      </c>
      <c r="C462" s="139" t="inlineStr">
        <is>
          <t>VÕ THỊ KIẾU</t>
        </is>
      </c>
      <c r="D462" s="139" t="inlineStr">
        <is>
          <t>01/01/1955</t>
        </is>
      </c>
      <c r="E462" s="139" t="inlineStr">
        <is>
          <t>Thay băng, cắt chỉ vết mổ [chiều dài ≤ 15cm]</t>
        </is>
      </c>
      <c r="F462" s="260" t="n">
        <v>1</v>
      </c>
      <c r="G462" s="260" t="n">
        <v>100000</v>
      </c>
      <c r="H462" s="93">
        <f>G485*25%*75%</f>
        <v/>
      </c>
    </row>
    <row r="463" hidden="1" ht="15.75" customHeight="1" s="248">
      <c r="A463" s="92" t="n">
        <v>458</v>
      </c>
      <c r="B463" s="139" t="inlineStr">
        <is>
          <t>2026/06/12 07:00</t>
        </is>
      </c>
      <c r="C463" s="139" t="inlineStr">
        <is>
          <t>ĐẶNG THÀNH THÁI</t>
        </is>
      </c>
      <c r="D463" s="139" t="inlineStr">
        <is>
          <t>01/01/1980</t>
        </is>
      </c>
      <c r="E463" s="139" t="inlineStr">
        <is>
          <t>Thay băng, cắt chỉ vết mổ [chiều dài ≤ 15cm]</t>
        </is>
      </c>
      <c r="F463" s="260" t="n">
        <v>1</v>
      </c>
      <c r="G463" s="260" t="n">
        <v>100000</v>
      </c>
      <c r="H463" s="93">
        <f>G486*25%*75%</f>
        <v/>
      </c>
    </row>
    <row r="464" hidden="1" ht="15.75" customHeight="1" s="248">
      <c r="A464" s="92" t="n">
        <v>459</v>
      </c>
      <c r="B464" s="139" t="inlineStr">
        <is>
          <t>2026/06/12 07:21</t>
        </is>
      </c>
      <c r="C464" s="139" t="inlineStr">
        <is>
          <t>TRƯƠNG THỊ XINH</t>
        </is>
      </c>
      <c r="D464" s="139" t="inlineStr">
        <is>
          <t>01/01/1957</t>
        </is>
      </c>
      <c r="E464" s="139" t="inlineStr">
        <is>
          <t>Thay băng, cắt chỉ vết mổ [chiều dài ≤ 15cm]</t>
        </is>
      </c>
      <c r="F464" s="260" t="n">
        <v>1</v>
      </c>
      <c r="G464" s="260" t="n">
        <v>100000</v>
      </c>
      <c r="H464" s="93">
        <f>G487*25%*75%</f>
        <v/>
      </c>
    </row>
    <row r="465" hidden="1" ht="15.75" customHeight="1" s="248">
      <c r="A465" s="92" t="n">
        <v>460</v>
      </c>
      <c r="B465" s="139" t="inlineStr">
        <is>
          <t>2026/06/12 07:30</t>
        </is>
      </c>
      <c r="C465" s="139" t="inlineStr">
        <is>
          <t>VÕ TẤN HƯNG</t>
        </is>
      </c>
      <c r="D465" s="139" t="inlineStr">
        <is>
          <t>19/09/1963</t>
        </is>
      </c>
      <c r="E465" s="139" t="inlineStr">
        <is>
          <t>Thay băng, cắt chỉ vết mổ [chiều dài ≤ 15cm]</t>
        </is>
      </c>
      <c r="F465" s="260" t="n">
        <v>1</v>
      </c>
      <c r="G465" s="260" t="n">
        <v>100000</v>
      </c>
      <c r="H465" s="93">
        <f>G488*25%*75%</f>
        <v/>
      </c>
    </row>
    <row r="466" hidden="1" ht="15.75" customHeight="1" s="248">
      <c r="A466" s="92" t="n">
        <v>461</v>
      </c>
      <c r="B466" s="139" t="inlineStr">
        <is>
          <t>2026/06/12 07:31</t>
        </is>
      </c>
      <c r="C466" s="139" t="inlineStr">
        <is>
          <t>NGUYỄN HỮU THANH</t>
        </is>
      </c>
      <c r="D466" s="139" t="inlineStr">
        <is>
          <t>22/10/1976</t>
        </is>
      </c>
      <c r="E466" s="139" t="inlineStr">
        <is>
          <t>Cắt chỉ sau phẫu thuật</t>
        </is>
      </c>
      <c r="F466" s="260" t="n">
        <v>1</v>
      </c>
      <c r="G466" s="260" t="n">
        <v>100000</v>
      </c>
      <c r="H466" s="93">
        <f>G489*25%*75%</f>
        <v/>
      </c>
    </row>
    <row r="467" hidden="1" ht="15.75" customHeight="1" s="248">
      <c r="A467" s="92" t="n">
        <v>462</v>
      </c>
      <c r="B467" s="139" t="inlineStr">
        <is>
          <t>2026/06/12 07:35</t>
        </is>
      </c>
      <c r="C467" s="139" t="inlineStr">
        <is>
          <t>NGUYỄN THỊ NGÂN</t>
        </is>
      </c>
      <c r="D467" s="139" t="inlineStr">
        <is>
          <t>01/01/1954</t>
        </is>
      </c>
      <c r="E467" s="139" t="inlineStr">
        <is>
          <t>Thay băng, cắt chỉ vết mổ [chiều dài ≤ 15cm]</t>
        </is>
      </c>
      <c r="F467" s="260" t="n">
        <v>1</v>
      </c>
      <c r="G467" s="260" t="n">
        <v>100000</v>
      </c>
      <c r="H467" s="93">
        <f>G490*25%*75%</f>
        <v/>
      </c>
    </row>
    <row r="468" hidden="1" ht="15.75" customHeight="1" s="248">
      <c r="A468" s="92" t="n">
        <v>463</v>
      </c>
      <c r="B468" s="139" t="inlineStr">
        <is>
          <t>2026/06/12 07:36</t>
        </is>
      </c>
      <c r="C468" s="139" t="inlineStr">
        <is>
          <t>NGUYỄN THỊ NGÂN</t>
        </is>
      </c>
      <c r="D468" s="139" t="inlineStr">
        <is>
          <t>01/01/1954</t>
        </is>
      </c>
      <c r="E468" s="139" t="inlineStr">
        <is>
          <t>Thay băng, cắt chỉ vết mổ [chiều dài ≤ 15cm]</t>
        </is>
      </c>
      <c r="F468" s="260" t="n">
        <v>1</v>
      </c>
      <c r="G468" s="260" t="n">
        <v>100000</v>
      </c>
      <c r="H468" s="93">
        <f>G491*25%*75%</f>
        <v/>
      </c>
    </row>
    <row r="469" hidden="1" ht="15.75" customHeight="1" s="248">
      <c r="A469" s="92" t="n">
        <v>464</v>
      </c>
      <c r="B469" s="139" t="inlineStr">
        <is>
          <t>2026/06/12 07:39</t>
        </is>
      </c>
      <c r="C469" s="139" t="inlineStr">
        <is>
          <t>ĐẶNG KIM OANH</t>
        </is>
      </c>
      <c r="D469" s="139" t="inlineStr">
        <is>
          <t>16/10/1986</t>
        </is>
      </c>
      <c r="E469" s="139" t="inlineStr">
        <is>
          <t>Thay băng, cắt chỉ vết mổ [chiều dài ≤ 15cm]</t>
        </is>
      </c>
      <c r="F469" s="260" t="n">
        <v>1</v>
      </c>
      <c r="G469" s="260" t="n">
        <v>100000</v>
      </c>
      <c r="H469" s="93">
        <f>G492*25%*75%</f>
        <v/>
      </c>
    </row>
    <row r="470" hidden="1" ht="15.75" customHeight="1" s="248">
      <c r="A470" s="92" t="n">
        <v>465</v>
      </c>
      <c r="B470" s="139" t="inlineStr">
        <is>
          <t>2026/06/12 07:40</t>
        </is>
      </c>
      <c r="C470" s="139" t="inlineStr">
        <is>
          <t>VÕ TẤN HƯNG</t>
        </is>
      </c>
      <c r="D470" s="139" t="inlineStr">
        <is>
          <t>19/09/1963</t>
        </is>
      </c>
      <c r="E470" s="139" t="inlineStr">
        <is>
          <t>Thay băng, cắt chỉ vết mổ [chiều dài ≤ 15cm]</t>
        </is>
      </c>
      <c r="F470" s="260" t="n">
        <v>1</v>
      </c>
      <c r="G470" s="260" t="n">
        <v>100000</v>
      </c>
      <c r="H470" s="93">
        <f>G493*25%*75%</f>
        <v/>
      </c>
    </row>
    <row r="471" hidden="1" ht="15.75" customHeight="1" s="248">
      <c r="A471" s="92" t="n">
        <v>466</v>
      </c>
      <c r="B471" s="139" t="inlineStr">
        <is>
          <t>2026/06/12 07:57</t>
        </is>
      </c>
      <c r="C471" s="139" t="inlineStr">
        <is>
          <t>NGUYỄN THANH SẮC</t>
        </is>
      </c>
      <c r="D471" s="139" t="inlineStr">
        <is>
          <t>15/01/1987</t>
        </is>
      </c>
      <c r="E471" s="139" t="inlineStr">
        <is>
          <t>Cắt chỉ sau phẫu thuật</t>
        </is>
      </c>
      <c r="F471" s="260" t="n">
        <v>1</v>
      </c>
      <c r="G471" s="260" t="n">
        <v>40300</v>
      </c>
      <c r="H471" s="93">
        <f>G494*25%*75%</f>
        <v/>
      </c>
    </row>
    <row r="472" hidden="1" ht="15.75" customHeight="1" s="248">
      <c r="A472" s="92" t="n">
        <v>467</v>
      </c>
      <c r="B472" s="139" t="inlineStr">
        <is>
          <t>2026/06/12 10:42</t>
        </is>
      </c>
      <c r="C472" s="139" t="inlineStr">
        <is>
          <t>NGUYỄN THỊ NHƯ TRÚC</t>
        </is>
      </c>
      <c r="D472" s="139" t="inlineStr">
        <is>
          <t>30/03/2006</t>
        </is>
      </c>
      <c r="E472" s="139" t="inlineStr">
        <is>
          <t>Thay băng, cắt chỉ vết mổ [chiều dài ≤ 15cm]</t>
        </is>
      </c>
      <c r="F472" s="260" t="n">
        <v>1</v>
      </c>
      <c r="G472" s="260" t="n">
        <v>100000</v>
      </c>
      <c r="H472" s="93">
        <f>G497*25%*75%</f>
        <v/>
      </c>
    </row>
    <row r="473" hidden="1" ht="15.75" customHeight="1" s="248">
      <c r="A473" s="92" t="n">
        <v>468</v>
      </c>
      <c r="B473" s="139" t="inlineStr">
        <is>
          <t>2026/06/12 15:03</t>
        </is>
      </c>
      <c r="C473" s="139" t="inlineStr">
        <is>
          <t>TRẦN THỊ MỘNG THẮM</t>
        </is>
      </c>
      <c r="D473" s="139" t="inlineStr">
        <is>
          <t>01/01/1970</t>
        </is>
      </c>
      <c r="E473" s="139" t="inlineStr">
        <is>
          <t>Thay băng, cắt chỉ vết mổ [chiều dài ≤ 15cm]</t>
        </is>
      </c>
      <c r="F473" s="260" t="n">
        <v>1</v>
      </c>
      <c r="G473" s="260" t="n">
        <v>100000</v>
      </c>
      <c r="H473" s="93">
        <f>G498*25%*75%</f>
        <v/>
      </c>
    </row>
    <row r="474" hidden="1" ht="15.75" customHeight="1" s="248">
      <c r="A474" s="92" t="n">
        <v>469</v>
      </c>
      <c r="B474" s="139" t="inlineStr">
        <is>
          <t>2026/06/12 15:31</t>
        </is>
      </c>
      <c r="C474" s="139" t="inlineStr">
        <is>
          <t>ĐẶNG KIM BÍCH</t>
        </is>
      </c>
      <c r="D474" s="139" t="inlineStr">
        <is>
          <t>01/01/1972</t>
        </is>
      </c>
      <c r="E474" s="139" t="inlineStr">
        <is>
          <t>Thay băng, cắt chỉ vết mổ [chiều dài ≤ 15cm]</t>
        </is>
      </c>
      <c r="F474" s="260" t="n">
        <v>1</v>
      </c>
      <c r="G474" s="260" t="n">
        <v>100000</v>
      </c>
      <c r="H474" s="93">
        <f>G499*25%*75%</f>
        <v/>
      </c>
    </row>
    <row r="475" hidden="1" ht="15.75" customHeight="1" s="248">
      <c r="A475" s="92" t="n">
        <v>470</v>
      </c>
      <c r="B475" s="139" t="inlineStr">
        <is>
          <t>2026/06/12 16:03</t>
        </is>
      </c>
      <c r="C475" s="139" t="inlineStr">
        <is>
          <t>HOÀNG TUẤN ANH</t>
        </is>
      </c>
      <c r="D475" s="139" t="inlineStr">
        <is>
          <t>07/12/1982</t>
        </is>
      </c>
      <c r="E475" s="139" t="inlineStr">
        <is>
          <t>Thay băng, cắt chỉ vết mổ [chiều dài ≤ 15cm]</t>
        </is>
      </c>
      <c r="F475" s="260" t="n">
        <v>1</v>
      </c>
      <c r="G475" s="260" t="n">
        <v>100000</v>
      </c>
      <c r="H475" s="93">
        <f>G500*25%*75%</f>
        <v/>
      </c>
    </row>
    <row r="476" hidden="1" ht="15.75" customHeight="1" s="248">
      <c r="A476" s="92" t="n">
        <v>471</v>
      </c>
      <c r="B476" s="139" t="inlineStr">
        <is>
          <t>2026/06/12 16:05</t>
        </is>
      </c>
      <c r="C476" s="139" t="inlineStr">
        <is>
          <t>HOÀNG TUẤN ANH</t>
        </is>
      </c>
      <c r="D476" s="139" t="inlineStr">
        <is>
          <t>07/12/1982</t>
        </is>
      </c>
      <c r="E476" s="139" t="inlineStr">
        <is>
          <t>Thay băng, cắt chỉ vết mổ [chiều dài ≤ 15cm]</t>
        </is>
      </c>
      <c r="F476" s="260" t="n">
        <v>1</v>
      </c>
      <c r="G476" s="260" t="n">
        <v>100000</v>
      </c>
      <c r="H476" s="93">
        <f>G501*25%*75%</f>
        <v/>
      </c>
    </row>
    <row r="477" hidden="1" ht="15.75" customHeight="1" s="248">
      <c r="A477" s="92" t="n">
        <v>472</v>
      </c>
      <c r="B477" s="139" t="inlineStr">
        <is>
          <t>2026/06/12 16:07</t>
        </is>
      </c>
      <c r="C477" s="139" t="inlineStr">
        <is>
          <t>HOÀNG TUẤN ANH</t>
        </is>
      </c>
      <c r="D477" s="139" t="inlineStr">
        <is>
          <t>07/12/1982</t>
        </is>
      </c>
      <c r="E477" s="139" t="inlineStr">
        <is>
          <t>Thay băng, cắt chỉ vết mổ [chiều dài ≤ 15cm]</t>
        </is>
      </c>
      <c r="F477" s="260" t="n">
        <v>1</v>
      </c>
      <c r="G477" s="260" t="n">
        <v>100000</v>
      </c>
      <c r="H477" s="93">
        <f>G502*25%*75%</f>
        <v/>
      </c>
    </row>
    <row r="478" hidden="1" ht="15.75" customHeight="1" s="248">
      <c r="A478" s="92" t="n">
        <v>473</v>
      </c>
      <c r="B478" s="139" t="inlineStr">
        <is>
          <t>2026/06/13 05:00</t>
        </is>
      </c>
      <c r="C478" s="139" t="inlineStr">
        <is>
          <t>CAO HÙNG PHONG</t>
        </is>
      </c>
      <c r="D478" s="139" t="inlineStr">
        <is>
          <t>15/04/1969</t>
        </is>
      </c>
      <c r="E478" s="139" t="inlineStr">
        <is>
          <t>Thay băng, cắt chỉ vết mổ [chiều dài ≤ 15cm]</t>
        </is>
      </c>
      <c r="F478" s="260" t="n">
        <v>1</v>
      </c>
      <c r="G478" s="260" t="n">
        <v>100000</v>
      </c>
      <c r="H478" s="93">
        <f>G503*25%*75%</f>
        <v/>
      </c>
    </row>
    <row r="479" hidden="1" ht="15.75" customHeight="1" s="248">
      <c r="A479" s="92" t="n">
        <v>474</v>
      </c>
      <c r="B479" s="139" t="inlineStr">
        <is>
          <t>2026/06/13 05:00</t>
        </is>
      </c>
      <c r="C479" s="139" t="inlineStr">
        <is>
          <t>CAO THIỆN VŨ</t>
        </is>
      </c>
      <c r="D479" s="139" t="inlineStr">
        <is>
          <t>01/01/1977</t>
        </is>
      </c>
      <c r="E479" s="139" t="inlineStr">
        <is>
          <t>Thay băng, cắt chỉ vết mổ [chiều dài ≤ 15cm]</t>
        </is>
      </c>
      <c r="F479" s="260" t="n">
        <v>1</v>
      </c>
      <c r="G479" s="260" t="n">
        <v>100000</v>
      </c>
      <c r="H479" s="93">
        <f>G504*25%*75%</f>
        <v/>
      </c>
    </row>
    <row r="480" hidden="1" ht="15.75" customHeight="1" s="248">
      <c r="A480" s="92" t="n">
        <v>475</v>
      </c>
      <c r="B480" s="139" t="inlineStr">
        <is>
          <t>2026/06/13 05:00</t>
        </is>
      </c>
      <c r="C480" s="139" t="inlineStr">
        <is>
          <t>CHÂU THỊ ĐỦ</t>
        </is>
      </c>
      <c r="D480" s="139" t="inlineStr">
        <is>
          <t>01/01/1963</t>
        </is>
      </c>
      <c r="E480" s="139" t="inlineStr">
        <is>
          <t>Thay băng, cắt chỉ vết mổ [chiều dài ≤ 15cm]</t>
        </is>
      </c>
      <c r="F480" s="260" t="n">
        <v>1</v>
      </c>
      <c r="G480" s="260" t="n">
        <v>100000</v>
      </c>
      <c r="H480" s="93">
        <f>G505*25%*75%</f>
        <v/>
      </c>
    </row>
    <row r="481" hidden="1" ht="15.75" customHeight="1" s="248">
      <c r="A481" s="92" t="n">
        <v>476</v>
      </c>
      <c r="B481" s="139" t="inlineStr">
        <is>
          <t>2026/06/13 05:00</t>
        </is>
      </c>
      <c r="C481" s="139" t="inlineStr">
        <is>
          <t>HUỲNH NGỌC SƯƠNG</t>
        </is>
      </c>
      <c r="D481" s="139" t="inlineStr">
        <is>
          <t>05/05/1954</t>
        </is>
      </c>
      <c r="E481" s="139" t="inlineStr">
        <is>
          <t>Thay băng, cắt chỉ vết mổ [chiều dài ≤ 15cm]</t>
        </is>
      </c>
      <c r="F481" s="260" t="n">
        <v>1</v>
      </c>
      <c r="G481" s="260" t="n">
        <v>100000</v>
      </c>
      <c r="H481" s="93">
        <f>G506*25%*75%</f>
        <v/>
      </c>
    </row>
    <row r="482" hidden="1" ht="15.75" customHeight="1" s="248">
      <c r="A482" s="92" t="n">
        <v>477</v>
      </c>
      <c r="B482" s="139" t="inlineStr">
        <is>
          <t>2026/06/13 05:00</t>
        </is>
      </c>
      <c r="C482" s="139" t="inlineStr">
        <is>
          <t>LÊ VĂN MẠNH</t>
        </is>
      </c>
      <c r="D482" s="139" t="inlineStr">
        <is>
          <t>01/01/1967</t>
        </is>
      </c>
      <c r="E482" s="139" t="inlineStr">
        <is>
          <t>Thay băng, cắt chỉ vết mổ [chiều dài ≤ 15cm]</t>
        </is>
      </c>
      <c r="F482" s="260" t="n">
        <v>1</v>
      </c>
      <c r="G482" s="260" t="n">
        <v>100000</v>
      </c>
      <c r="H482" s="93">
        <f>G507*25%*75%</f>
        <v/>
      </c>
    </row>
    <row r="483" hidden="1" ht="15.75" customHeight="1" s="248">
      <c r="A483" s="92" t="n">
        <v>478</v>
      </c>
      <c r="B483" s="139" t="inlineStr">
        <is>
          <t>2026/06/13 05:00</t>
        </is>
      </c>
      <c r="C483" s="139" t="inlineStr">
        <is>
          <t>MAI THÀNH DƯƠNG</t>
        </is>
      </c>
      <c r="D483" s="139" t="inlineStr">
        <is>
          <t>10/04/1964</t>
        </is>
      </c>
      <c r="E483" s="139" t="inlineStr">
        <is>
          <t>Thay băng, cắt chỉ vết mổ [chiều dài ≤ 15cm]</t>
        </is>
      </c>
      <c r="F483" s="260" t="n">
        <v>1</v>
      </c>
      <c r="G483" s="260" t="n">
        <v>100000</v>
      </c>
      <c r="H483" s="93">
        <f>G508*25%*75%</f>
        <v/>
      </c>
    </row>
    <row r="484" hidden="1" ht="15.75" customHeight="1" s="248">
      <c r="A484" s="92" t="n">
        <v>479</v>
      </c>
      <c r="B484" s="139" t="inlineStr">
        <is>
          <t>2026/06/13 05:00</t>
        </is>
      </c>
      <c r="C484" s="139" t="inlineStr">
        <is>
          <t>NGUYỄN HỒNG NHIÊN</t>
        </is>
      </c>
      <c r="D484" s="139" t="inlineStr">
        <is>
          <t>01/01/1968</t>
        </is>
      </c>
      <c r="E484" s="139" t="inlineStr">
        <is>
          <t>Thay băng, cắt chỉ vết mổ [chiều dài ≤ 15cm]</t>
        </is>
      </c>
      <c r="F484" s="260" t="n">
        <v>1</v>
      </c>
      <c r="G484" s="260" t="n">
        <v>100000</v>
      </c>
      <c r="H484" s="93">
        <f>G509*25%*75%</f>
        <v/>
      </c>
    </row>
    <row r="485" hidden="1" ht="15.75" customHeight="1" s="248">
      <c r="A485" s="92" t="n">
        <v>480</v>
      </c>
      <c r="B485" s="139" t="inlineStr">
        <is>
          <t>2026/06/13 05:00</t>
        </is>
      </c>
      <c r="C485" s="139" t="inlineStr">
        <is>
          <t>NGÔ HÒA THUẬN</t>
        </is>
      </c>
      <c r="D485" s="139" t="inlineStr">
        <is>
          <t>28/04/1979</t>
        </is>
      </c>
      <c r="E485" s="139" t="inlineStr">
        <is>
          <t>Thay băng, cắt chỉ vết mổ [chiều dài ≤ 15cm]</t>
        </is>
      </c>
      <c r="F485" s="260" t="n">
        <v>1</v>
      </c>
      <c r="G485" s="260" t="n">
        <v>100000</v>
      </c>
      <c r="H485" s="93">
        <f>G510*25%*75%</f>
        <v/>
      </c>
    </row>
    <row r="486" hidden="1" ht="15.75" customHeight="1" s="248">
      <c r="A486" s="92" t="n">
        <v>481</v>
      </c>
      <c r="B486" s="139" t="inlineStr">
        <is>
          <t>2026/06/13 05:00</t>
        </is>
      </c>
      <c r="C486" s="139" t="inlineStr">
        <is>
          <t>THÁI THỊ THỦY</t>
        </is>
      </c>
      <c r="D486" s="139" t="inlineStr">
        <is>
          <t>01/01/1957</t>
        </is>
      </c>
      <c r="E486" s="139" t="inlineStr">
        <is>
          <t>Thay băng, cắt chỉ vết mổ [chiều dài ≤ 15cm]</t>
        </is>
      </c>
      <c r="F486" s="260" t="n">
        <v>1</v>
      </c>
      <c r="G486" s="260" t="n">
        <v>100000</v>
      </c>
      <c r="H486" s="93">
        <f>G511*25%*75%</f>
        <v/>
      </c>
    </row>
    <row r="487" hidden="1" ht="15.75" customHeight="1" s="248">
      <c r="A487" s="92" t="n">
        <v>482</v>
      </c>
      <c r="B487" s="139" t="inlineStr">
        <is>
          <t>2026/06/13 05:00</t>
        </is>
      </c>
      <c r="C487" s="139" t="inlineStr">
        <is>
          <t>TRẦN BÉ HIỀN</t>
        </is>
      </c>
      <c r="D487" s="139" t="inlineStr">
        <is>
          <t>22/06/1994</t>
        </is>
      </c>
      <c r="E487" s="139" t="inlineStr">
        <is>
          <t>Thay băng, cắt chỉ vết mổ [chiều dài ≤ 15cm]</t>
        </is>
      </c>
      <c r="F487" s="260" t="n">
        <v>1</v>
      </c>
      <c r="G487" s="260" t="n">
        <v>100000</v>
      </c>
      <c r="H487" s="93">
        <f>G512*25%*75%</f>
        <v/>
      </c>
    </row>
    <row r="488" hidden="1" ht="15.75" customHeight="1" s="248">
      <c r="A488" s="92" t="n">
        <v>483</v>
      </c>
      <c r="B488" s="139" t="inlineStr">
        <is>
          <t>2026/06/13 05:00</t>
        </is>
      </c>
      <c r="C488" s="139" t="inlineStr">
        <is>
          <t>TRẦN ĐẶNG NHƠN</t>
        </is>
      </c>
      <c r="D488" s="139" t="inlineStr">
        <is>
          <t>14/03/1991</t>
        </is>
      </c>
      <c r="E488" s="139" t="inlineStr">
        <is>
          <t>Thay băng, cắt chỉ vết mổ [chiều dài ≤ 15cm]</t>
        </is>
      </c>
      <c r="F488" s="260" t="n">
        <v>1</v>
      </c>
      <c r="G488" s="260" t="n">
        <v>100000</v>
      </c>
      <c r="H488" s="93">
        <f>G513*25%*75%</f>
        <v/>
      </c>
    </row>
    <row r="489" hidden="1" ht="15.75" customHeight="1" s="248">
      <c r="A489" s="92" t="n">
        <v>484</v>
      </c>
      <c r="B489" s="139" t="inlineStr">
        <is>
          <t>2026/06/13 05:00</t>
        </is>
      </c>
      <c r="C489" s="139" t="inlineStr">
        <is>
          <t>TÔN VĂN PHƯỚC</t>
        </is>
      </c>
      <c r="D489" s="139" t="inlineStr">
        <is>
          <t>01/01/1970</t>
        </is>
      </c>
      <c r="E489" s="139" t="inlineStr">
        <is>
          <t>Thay băng, cắt chỉ vết mổ [chiều dài ≤ 15cm]</t>
        </is>
      </c>
      <c r="F489" s="260" t="n">
        <v>1</v>
      </c>
      <c r="G489" s="260" t="n">
        <v>100000</v>
      </c>
      <c r="H489" s="93">
        <f>G514*25%*75%</f>
        <v/>
      </c>
    </row>
    <row r="490" hidden="1" ht="15.75" customHeight="1" s="248">
      <c r="A490" s="92" t="n">
        <v>485</v>
      </c>
      <c r="B490" s="139" t="inlineStr">
        <is>
          <t>2026/06/13 05:00</t>
        </is>
      </c>
      <c r="C490" s="139" t="inlineStr">
        <is>
          <t>VÕ THỊ KIẾU</t>
        </is>
      </c>
      <c r="D490" s="139" t="inlineStr">
        <is>
          <t>01/01/1955</t>
        </is>
      </c>
      <c r="E490" s="139" t="inlineStr">
        <is>
          <t>Thay băng, cắt chỉ vết mổ [chiều dài ≤ 15cm]</t>
        </is>
      </c>
      <c r="F490" s="260" t="n">
        <v>1</v>
      </c>
      <c r="G490" s="260" t="n">
        <v>100000</v>
      </c>
      <c r="H490" s="93">
        <f>G515*25%*75%</f>
        <v/>
      </c>
    </row>
    <row r="491" hidden="1" ht="15.75" customHeight="1" s="248">
      <c r="A491" s="92" t="n">
        <v>486</v>
      </c>
      <c r="B491" s="139" t="inlineStr">
        <is>
          <t>2026/06/13 05:00</t>
        </is>
      </c>
      <c r="C491" s="139" t="inlineStr">
        <is>
          <t>VÕ THỊ ÚT</t>
        </is>
      </c>
      <c r="D491" s="139" t="inlineStr">
        <is>
          <t>10/09/1974</t>
        </is>
      </c>
      <c r="E491" s="139" t="inlineStr">
        <is>
          <t>Thay băng, cắt chỉ vết mổ [chiều dài ≤ 15cm]</t>
        </is>
      </c>
      <c r="F491" s="260" t="n">
        <v>1</v>
      </c>
      <c r="G491" s="260" t="n">
        <v>100000</v>
      </c>
      <c r="H491" s="93">
        <f>G516*25%*75%</f>
        <v/>
      </c>
    </row>
    <row r="492" hidden="1" ht="15.75" customHeight="1" s="248">
      <c r="A492" s="92" t="n">
        <v>487</v>
      </c>
      <c r="B492" s="139" t="inlineStr">
        <is>
          <t>2026/06/13 05:00</t>
        </is>
      </c>
      <c r="C492" s="139" t="inlineStr">
        <is>
          <t>VÕ THỊ ÚT</t>
        </is>
      </c>
      <c r="D492" s="139" t="inlineStr">
        <is>
          <t>10/09/1974</t>
        </is>
      </c>
      <c r="E492" s="139" t="inlineStr">
        <is>
          <t>Thay băng, cắt chỉ vết mổ [chiều dài ≤ 15cm]</t>
        </is>
      </c>
      <c r="F492" s="260" t="n">
        <v>1</v>
      </c>
      <c r="G492" s="260" t="n">
        <v>100000</v>
      </c>
      <c r="H492" s="93">
        <f>G517*25%*75%</f>
        <v/>
      </c>
    </row>
    <row r="493" hidden="1" ht="15.75" customHeight="1" s="248">
      <c r="A493" s="92" t="n">
        <v>488</v>
      </c>
      <c r="B493" s="139" t="inlineStr">
        <is>
          <t>2026/06/13 05:00</t>
        </is>
      </c>
      <c r="C493" s="139" t="inlineStr">
        <is>
          <t>ĐẶNG KIM OANH</t>
        </is>
      </c>
      <c r="D493" s="139" t="inlineStr">
        <is>
          <t>16/10/1986</t>
        </is>
      </c>
      <c r="E493" s="139" t="inlineStr">
        <is>
          <t>Thay băng, cắt chỉ vết mổ [chiều dài ≤ 15cm]</t>
        </is>
      </c>
      <c r="F493" s="260" t="n">
        <v>1</v>
      </c>
      <c r="G493" s="260" t="n">
        <v>100000</v>
      </c>
      <c r="H493" s="93">
        <f>G518*25%*75%</f>
        <v/>
      </c>
    </row>
    <row r="494" hidden="1" ht="15.75" customHeight="1" s="248">
      <c r="A494" s="92" t="n">
        <v>489</v>
      </c>
      <c r="B494" s="139" t="inlineStr">
        <is>
          <t>2026/06/13 07:36</t>
        </is>
      </c>
      <c r="C494" s="139" t="inlineStr">
        <is>
          <t>NGUYỄN THỊ NGÂN</t>
        </is>
      </c>
      <c r="D494" s="139" t="inlineStr">
        <is>
          <t>01/01/1954</t>
        </is>
      </c>
      <c r="E494" s="139" t="inlineStr">
        <is>
          <t>Thay băng, cắt chỉ vết mổ [chiều dài ≤ 15cm]</t>
        </is>
      </c>
      <c r="F494" s="260" t="n">
        <v>1</v>
      </c>
      <c r="G494" s="260" t="n">
        <v>100000</v>
      </c>
      <c r="H494" s="93">
        <f>G519*25%*75%</f>
        <v/>
      </c>
    </row>
    <row r="495" hidden="1" ht="15.75" customHeight="1" s="248">
      <c r="A495" s="92" t="n">
        <v>490</v>
      </c>
      <c r="B495" s="139" t="inlineStr">
        <is>
          <t>2026/06/13 07:41</t>
        </is>
      </c>
      <c r="C495" s="139" t="inlineStr">
        <is>
          <t>VÕ TẤN HƯNG</t>
        </is>
      </c>
      <c r="D495" s="139" t="inlineStr">
        <is>
          <t>19/09/1963</t>
        </is>
      </c>
      <c r="E495" s="139" t="inlineStr">
        <is>
          <t>Thay băng, cắt chỉ vết mổ [chiều dài ≤ 15cm]</t>
        </is>
      </c>
      <c r="F495" s="260" t="n">
        <v>1</v>
      </c>
      <c r="G495" s="260" t="n">
        <v>100000</v>
      </c>
      <c r="H495" s="93">
        <f>G520*25%*75%</f>
        <v/>
      </c>
    </row>
    <row r="496" hidden="1" ht="15.75" customHeight="1" s="248">
      <c r="A496" s="92" t="n">
        <v>491</v>
      </c>
      <c r="B496" s="139" t="inlineStr">
        <is>
          <t>2026/06/13 20:45</t>
        </is>
      </c>
      <c r="C496" s="139" t="inlineStr">
        <is>
          <t>CAO THỊ BẢY</t>
        </is>
      </c>
      <c r="D496" s="139" t="inlineStr">
        <is>
          <t>09/10/1941</t>
        </is>
      </c>
      <c r="E496" s="139" t="inlineStr">
        <is>
          <t>Thay băng, cắt chỉ vết mổ [chiều dài ≤ 15cm]</t>
        </is>
      </c>
      <c r="F496" s="260" t="n">
        <v>1</v>
      </c>
      <c r="G496" s="260" t="n">
        <v>100000</v>
      </c>
      <c r="H496" s="93">
        <f>G521*25%*75%</f>
        <v/>
      </c>
    </row>
    <row r="497" hidden="1" ht="15.75" customHeight="1" s="248">
      <c r="A497" s="92" t="n">
        <v>492</v>
      </c>
      <c r="B497" s="139" t="inlineStr">
        <is>
          <t>2026/06/13 20:50</t>
        </is>
      </c>
      <c r="C497" s="139" t="inlineStr">
        <is>
          <t>CAO THỊ BẢY</t>
        </is>
      </c>
      <c r="D497" s="139" t="inlineStr">
        <is>
          <t>09/10/1941</t>
        </is>
      </c>
      <c r="E497" s="139" t="inlineStr">
        <is>
          <t>Thay băng, cắt chỉ vết mổ [chiều dài ≤ 15cm]</t>
        </is>
      </c>
      <c r="F497" s="260" t="n">
        <v>1</v>
      </c>
      <c r="G497" s="260" t="n">
        <v>100000</v>
      </c>
      <c r="H497" s="93">
        <f>G522*25%*75%</f>
        <v/>
      </c>
    </row>
    <row r="498" hidden="1" ht="15.75" customHeight="1" s="248">
      <c r="A498" s="92" t="n">
        <v>493</v>
      </c>
      <c r="B498" s="139" t="inlineStr">
        <is>
          <t>2026/06/14 05:00</t>
        </is>
      </c>
      <c r="C498" s="139" t="inlineStr">
        <is>
          <t>CAO HÙNG PHONG</t>
        </is>
      </c>
      <c r="D498" s="139" t="inlineStr">
        <is>
          <t>15/04/1969</t>
        </is>
      </c>
      <c r="E498" s="139" t="inlineStr">
        <is>
          <t>Thay băng, cắt chỉ vết mổ [chiều dài ≤ 15cm]</t>
        </is>
      </c>
      <c r="F498" s="260" t="n">
        <v>1</v>
      </c>
      <c r="G498" s="260" t="n">
        <v>100000</v>
      </c>
      <c r="H498" s="93">
        <f>G523*25%*75%</f>
        <v/>
      </c>
    </row>
    <row r="499" hidden="1" ht="15.75" customHeight="1" s="248">
      <c r="A499" s="92" t="n">
        <v>494</v>
      </c>
      <c r="B499" s="139" t="inlineStr">
        <is>
          <t>2026/06/14 05:00</t>
        </is>
      </c>
      <c r="C499" s="139" t="inlineStr">
        <is>
          <t>CAO THIỆN VŨ</t>
        </is>
      </c>
      <c r="D499" s="139" t="inlineStr">
        <is>
          <t>01/01/1977</t>
        </is>
      </c>
      <c r="E499" s="139" t="inlineStr">
        <is>
          <t>Thay băng, cắt chỉ vết mổ [chiều dài ≤ 15cm]</t>
        </is>
      </c>
      <c r="F499" s="260" t="n">
        <v>1</v>
      </c>
      <c r="G499" s="260" t="n">
        <v>100000</v>
      </c>
      <c r="H499" s="93">
        <f>G524*25%*75%</f>
        <v/>
      </c>
    </row>
    <row r="500" hidden="1" ht="15.75" customHeight="1" s="248">
      <c r="A500" s="92" t="n">
        <v>495</v>
      </c>
      <c r="B500" s="139" t="inlineStr">
        <is>
          <t>2026/06/14 05:00</t>
        </is>
      </c>
      <c r="C500" s="139" t="inlineStr">
        <is>
          <t>CHIÊM THỊ NHÀN</t>
        </is>
      </c>
      <c r="D500" s="139" t="inlineStr">
        <is>
          <t>01/01/1953</t>
        </is>
      </c>
      <c r="E500" s="139" t="inlineStr">
        <is>
          <t>Thay băng, cắt chỉ vết mổ [chiều dài ≤ 15cm]</t>
        </is>
      </c>
      <c r="F500" s="260" t="n">
        <v>1</v>
      </c>
      <c r="G500" s="260" t="n">
        <v>100000</v>
      </c>
      <c r="H500" s="93">
        <f>G525*25%*75%</f>
        <v/>
      </c>
    </row>
    <row r="501" hidden="1" ht="15.75" customHeight="1" s="248">
      <c r="A501" s="92" t="n">
        <v>496</v>
      </c>
      <c r="B501" s="139" t="inlineStr">
        <is>
          <t>2026/06/14 05:00</t>
        </is>
      </c>
      <c r="C501" s="139" t="inlineStr">
        <is>
          <t>LÊ VĂN MẠNH</t>
        </is>
      </c>
      <c r="D501" s="139" t="inlineStr">
        <is>
          <t>01/01/1967</t>
        </is>
      </c>
      <c r="E501" s="139" t="inlineStr">
        <is>
          <t>Thay băng, cắt chỉ vết mổ [chiều dài ≤ 15cm]</t>
        </is>
      </c>
      <c r="F501" s="260" t="n">
        <v>1</v>
      </c>
      <c r="G501" s="260" t="n">
        <v>100000</v>
      </c>
      <c r="H501" s="93">
        <f>G526*25%*75%</f>
        <v/>
      </c>
    </row>
    <row r="502" hidden="1" ht="15.75" customHeight="1" s="248">
      <c r="A502" s="92" t="n">
        <v>497</v>
      </c>
      <c r="B502" s="139" t="inlineStr">
        <is>
          <t>2026/06/14 05:00</t>
        </is>
      </c>
      <c r="C502" s="139" t="inlineStr">
        <is>
          <t>MAI THÀNH DƯƠNG</t>
        </is>
      </c>
      <c r="D502" s="139" t="inlineStr">
        <is>
          <t>10/04/1964</t>
        </is>
      </c>
      <c r="E502" s="139" t="inlineStr">
        <is>
          <t>Thay băng, cắt chỉ vết mổ [chiều dài ≤ 15cm]</t>
        </is>
      </c>
      <c r="F502" s="260" t="n">
        <v>1</v>
      </c>
      <c r="G502" s="260" t="n">
        <v>100000</v>
      </c>
      <c r="H502" s="93">
        <f>G527*25%*75%</f>
        <v/>
      </c>
    </row>
    <row r="503" hidden="1" ht="15.75" customHeight="1" s="248">
      <c r="A503" s="92" t="n">
        <v>498</v>
      </c>
      <c r="B503" s="139" t="inlineStr">
        <is>
          <t>2026/06/14 05:00</t>
        </is>
      </c>
      <c r="C503" s="139" t="inlineStr">
        <is>
          <t>NGÔ HÒA THUẬN</t>
        </is>
      </c>
      <c r="D503" s="139" t="inlineStr">
        <is>
          <t>28/04/1979</t>
        </is>
      </c>
      <c r="E503" s="139" t="inlineStr">
        <is>
          <t>Thay băng, cắt chỉ vết mổ [chiều dài ≤ 15cm]</t>
        </is>
      </c>
      <c r="F503" s="260" t="n">
        <v>1</v>
      </c>
      <c r="G503" s="260" t="n">
        <v>100000</v>
      </c>
      <c r="H503" s="93">
        <f>G528*25%*75%</f>
        <v/>
      </c>
    </row>
    <row r="504" hidden="1" ht="15.75" customHeight="1" s="248">
      <c r="A504" s="92" t="n">
        <v>499</v>
      </c>
      <c r="B504" s="139" t="inlineStr">
        <is>
          <t>2026/06/14 05:00</t>
        </is>
      </c>
      <c r="C504" s="139" t="inlineStr">
        <is>
          <t>THÁI THỊ THỦY</t>
        </is>
      </c>
      <c r="D504" s="139" t="inlineStr">
        <is>
          <t>01/01/1957</t>
        </is>
      </c>
      <c r="E504" s="139" t="inlineStr">
        <is>
          <t>Thay băng, cắt chỉ vết mổ [chiều dài ≤ 15cm]</t>
        </is>
      </c>
      <c r="F504" s="260" t="n">
        <v>1</v>
      </c>
      <c r="G504" s="260" t="n">
        <v>100000</v>
      </c>
      <c r="H504" s="93">
        <f>G529*25%*75%</f>
        <v/>
      </c>
    </row>
    <row r="505" hidden="1" ht="15.75" customHeight="1" s="248">
      <c r="A505" s="92" t="n">
        <v>500</v>
      </c>
      <c r="B505" s="139" t="inlineStr">
        <is>
          <t>2026/06/14 05:00</t>
        </is>
      </c>
      <c r="C505" s="139" t="inlineStr">
        <is>
          <t>TRẦN BÉ HIỀN</t>
        </is>
      </c>
      <c r="D505" s="139" t="inlineStr">
        <is>
          <t>22/06/1994</t>
        </is>
      </c>
      <c r="E505" s="139" t="inlineStr">
        <is>
          <t>Thay băng, cắt chỉ vết mổ [chiều dài ≤ 15cm]</t>
        </is>
      </c>
      <c r="F505" s="260" t="n">
        <v>1</v>
      </c>
      <c r="G505" s="260" t="n">
        <v>100000</v>
      </c>
      <c r="H505" s="93">
        <f>G530*25%*75%</f>
        <v/>
      </c>
    </row>
    <row r="506" hidden="1" ht="15.75" customHeight="1" s="248">
      <c r="A506" s="92" t="n">
        <v>501</v>
      </c>
      <c r="B506" s="139" t="inlineStr">
        <is>
          <t>2026/06/14 05:00</t>
        </is>
      </c>
      <c r="C506" s="139" t="inlineStr">
        <is>
          <t>TRẦN ĐẶNG NHƠN</t>
        </is>
      </c>
      <c r="D506" s="139" t="inlineStr">
        <is>
          <t>14/03/1991</t>
        </is>
      </c>
      <c r="E506" s="139" t="inlineStr">
        <is>
          <t>Thay băng, cắt chỉ vết mổ [chiều dài ≤ 15cm]</t>
        </is>
      </c>
      <c r="F506" s="260" t="n">
        <v>1</v>
      </c>
      <c r="G506" s="260" t="n">
        <v>100000</v>
      </c>
      <c r="H506" s="93">
        <f>G531*25%*75%</f>
        <v/>
      </c>
    </row>
    <row r="507" hidden="1" ht="15.75" customHeight="1" s="248">
      <c r="A507" s="92" t="n">
        <v>502</v>
      </c>
      <c r="B507" s="139" t="inlineStr">
        <is>
          <t>2026/06/14 05:00</t>
        </is>
      </c>
      <c r="C507" s="139" t="inlineStr">
        <is>
          <t>VÕ THỊ ÚT</t>
        </is>
      </c>
      <c r="D507" s="139" t="inlineStr">
        <is>
          <t>10/09/1974</t>
        </is>
      </c>
      <c r="E507" s="139" t="inlineStr">
        <is>
          <t>Thay băng, cắt chỉ vết mổ [chiều dài ≤ 15cm]</t>
        </is>
      </c>
      <c r="F507" s="260" t="n">
        <v>1</v>
      </c>
      <c r="G507" s="260" t="n">
        <v>100000</v>
      </c>
      <c r="H507" s="93">
        <f>G532*25%*75%</f>
        <v/>
      </c>
    </row>
    <row r="508" hidden="1" ht="15.75" customHeight="1" s="248">
      <c r="A508" s="92" t="n">
        <v>503</v>
      </c>
      <c r="B508" s="139" t="inlineStr">
        <is>
          <t>2026/06/14 05:00</t>
        </is>
      </c>
      <c r="C508" s="139" t="inlineStr">
        <is>
          <t>VÕ THỊ ÚT</t>
        </is>
      </c>
      <c r="D508" s="139" t="inlineStr">
        <is>
          <t>10/09/1974</t>
        </is>
      </c>
      <c r="E508" s="139" t="inlineStr">
        <is>
          <t>Thay băng, cắt chỉ vết mổ [chiều dài ≤ 15cm]</t>
        </is>
      </c>
      <c r="F508" s="260" t="n">
        <v>1</v>
      </c>
      <c r="G508" s="260" t="n">
        <v>100000</v>
      </c>
      <c r="H508" s="93">
        <f>G533*25%*75%</f>
        <v/>
      </c>
    </row>
    <row r="509" hidden="1" ht="15.75" customHeight="1" s="248">
      <c r="A509" s="92" t="n">
        <v>504</v>
      </c>
      <c r="B509" s="139" t="inlineStr">
        <is>
          <t>2026/06/14 05:00</t>
        </is>
      </c>
      <c r="C509" s="139" t="inlineStr">
        <is>
          <t>ĐINH THỊ THI</t>
        </is>
      </c>
      <c r="D509" s="139" t="inlineStr">
        <is>
          <t>01/01/1971</t>
        </is>
      </c>
      <c r="E509" s="139" t="inlineStr">
        <is>
          <t>Thay băng, cắt chỉ vết mổ [chiều dài ≤ 15cm]</t>
        </is>
      </c>
      <c r="F509" s="260" t="n">
        <v>1</v>
      </c>
      <c r="G509" s="260" t="n">
        <v>100000</v>
      </c>
      <c r="H509" s="93">
        <f>G534*25%*75%</f>
        <v/>
      </c>
    </row>
    <row r="510" hidden="1" ht="15.75" customHeight="1" s="248">
      <c r="A510" s="92" t="n">
        <v>505</v>
      </c>
      <c r="B510" s="139" t="inlineStr">
        <is>
          <t>2026/06/14 07:42</t>
        </is>
      </c>
      <c r="C510" s="139" t="inlineStr">
        <is>
          <t>VÕ TẤN HƯNG</t>
        </is>
      </c>
      <c r="D510" s="139" t="inlineStr">
        <is>
          <t>19/09/1963</t>
        </is>
      </c>
      <c r="E510" s="139" t="inlineStr">
        <is>
          <t>Thay băng, cắt chỉ vết mổ [chiều dài ≤ 15cm]</t>
        </is>
      </c>
      <c r="F510" s="260" t="n">
        <v>1</v>
      </c>
      <c r="G510" s="260" t="n">
        <v>100000</v>
      </c>
      <c r="H510" s="93">
        <f>G535*25%*75%</f>
        <v/>
      </c>
    </row>
    <row r="511" hidden="1" ht="15.75" customHeight="1" s="248">
      <c r="A511" s="92" t="n">
        <v>506</v>
      </c>
      <c r="B511" s="139" t="inlineStr">
        <is>
          <t>2026/06/14 15:31</t>
        </is>
      </c>
      <c r="C511" s="139" t="inlineStr">
        <is>
          <t>ĐẶNG KIM BÍCH</t>
        </is>
      </c>
      <c r="D511" s="139" t="inlineStr">
        <is>
          <t>01/01/1972</t>
        </is>
      </c>
      <c r="E511" s="139" t="inlineStr">
        <is>
          <t>Thay băng, cắt chỉ vết mổ [chiều dài ≤ 15cm]</t>
        </is>
      </c>
      <c r="F511" s="260" t="n">
        <v>1</v>
      </c>
      <c r="G511" s="260" t="n">
        <v>100000</v>
      </c>
      <c r="H511" s="93">
        <f>G536*25%*75%</f>
        <v/>
      </c>
    </row>
    <row r="512" hidden="1" ht="15.75" customHeight="1" s="248">
      <c r="A512" s="92" t="n">
        <v>507</v>
      </c>
      <c r="B512" s="139" t="inlineStr">
        <is>
          <t>2026/06/15 05:00</t>
        </is>
      </c>
      <c r="C512" s="139" t="inlineStr">
        <is>
          <t>CAO HÙNG PHONG</t>
        </is>
      </c>
      <c r="D512" s="139" t="inlineStr">
        <is>
          <t>15/04/1969</t>
        </is>
      </c>
      <c r="E512" s="139" t="inlineStr">
        <is>
          <t>Thay băng, cắt chỉ vết mổ [chiều dài ≤ 15cm]</t>
        </is>
      </c>
      <c r="F512" s="260" t="n">
        <v>1</v>
      </c>
      <c r="G512" s="260" t="n">
        <v>100000</v>
      </c>
      <c r="H512" s="93">
        <f>G537*25%*75%</f>
        <v/>
      </c>
    </row>
    <row r="513" hidden="1" ht="15.75" customHeight="1" s="248">
      <c r="A513" s="92" t="n">
        <v>508</v>
      </c>
      <c r="B513" s="139" t="inlineStr">
        <is>
          <t>2026/06/15 05:00</t>
        </is>
      </c>
      <c r="C513" s="139" t="inlineStr">
        <is>
          <t>CAO THIỆN VŨ</t>
        </is>
      </c>
      <c r="D513" s="139" t="inlineStr">
        <is>
          <t>01/01/1977</t>
        </is>
      </c>
      <c r="E513" s="139" t="inlineStr">
        <is>
          <t>Thay băng, cắt chỉ vết mổ [chiều dài ≤ 15cm]</t>
        </is>
      </c>
      <c r="F513" s="260" t="n">
        <v>1</v>
      </c>
      <c r="G513" s="260" t="n">
        <v>100000</v>
      </c>
      <c r="H513" s="93">
        <f>G538*25%*75%</f>
        <v/>
      </c>
    </row>
    <row r="514" hidden="1" ht="15.75" customHeight="1" s="248">
      <c r="A514" s="92" t="n">
        <v>509</v>
      </c>
      <c r="B514" s="139" t="inlineStr">
        <is>
          <t>2026/06/15 05:00</t>
        </is>
      </c>
      <c r="C514" s="139" t="inlineStr">
        <is>
          <t>CHÂU THỊ ĐỦ</t>
        </is>
      </c>
      <c r="D514" s="139" t="inlineStr">
        <is>
          <t>01/01/1963</t>
        </is>
      </c>
      <c r="E514" s="139" t="inlineStr">
        <is>
          <t>Thay băng, cắt chỉ vết mổ [chiều dài ≤ 15cm]</t>
        </is>
      </c>
      <c r="F514" s="260" t="n">
        <v>1</v>
      </c>
      <c r="G514" s="260" t="n">
        <v>100000</v>
      </c>
      <c r="H514" s="93">
        <f>G539*25%*75%</f>
        <v/>
      </c>
    </row>
    <row r="515" hidden="1" ht="15.75" customHeight="1" s="248">
      <c r="A515" s="92" t="n">
        <v>510</v>
      </c>
      <c r="B515" s="139" t="inlineStr">
        <is>
          <t>2026/06/15 05:00</t>
        </is>
      </c>
      <c r="C515" s="139" t="inlineStr">
        <is>
          <t>HUỲNH NGỌC SƯƠNG</t>
        </is>
      </c>
      <c r="D515" s="139" t="inlineStr">
        <is>
          <t>05/05/1954</t>
        </is>
      </c>
      <c r="E515" s="139" t="inlineStr">
        <is>
          <t>Thay băng, cắt chỉ vết mổ [chiều dài ≤ 15cm]</t>
        </is>
      </c>
      <c r="F515" s="260" t="n">
        <v>1</v>
      </c>
      <c r="G515" s="260" t="n">
        <v>100000</v>
      </c>
      <c r="H515" s="93">
        <f>G540*25%*75%</f>
        <v/>
      </c>
    </row>
    <row r="516" hidden="1" ht="15.75" customHeight="1" s="248">
      <c r="A516" s="92" t="n">
        <v>511</v>
      </c>
      <c r="B516" s="139" t="inlineStr">
        <is>
          <t>2026/06/15 05:00</t>
        </is>
      </c>
      <c r="C516" s="139" t="inlineStr">
        <is>
          <t>LÊ VĂN MẠNH</t>
        </is>
      </c>
      <c r="D516" s="139" t="inlineStr">
        <is>
          <t>01/01/1967</t>
        </is>
      </c>
      <c r="E516" s="139" t="inlineStr">
        <is>
          <t>Thay băng, cắt chỉ vết mổ [chiều dài ≤ 15cm]</t>
        </is>
      </c>
      <c r="F516" s="260" t="n">
        <v>1</v>
      </c>
      <c r="G516" s="260" t="n">
        <v>100000</v>
      </c>
      <c r="H516" s="93">
        <f>G541*25%*75%</f>
        <v/>
      </c>
    </row>
    <row r="517" hidden="1" ht="15.75" customHeight="1" s="248">
      <c r="A517" s="92" t="n">
        <v>512</v>
      </c>
      <c r="B517" s="139" t="inlineStr">
        <is>
          <t>2026/06/15 05:00</t>
        </is>
      </c>
      <c r="C517" s="139" t="inlineStr">
        <is>
          <t>NGÔ HÒA THUẬN</t>
        </is>
      </c>
      <c r="D517" s="139" t="inlineStr">
        <is>
          <t>28/04/1979</t>
        </is>
      </c>
      <c r="E517" s="139" t="inlineStr">
        <is>
          <t>Thay băng, cắt chỉ vết mổ [chiều dài ≤ 15cm]</t>
        </is>
      </c>
      <c r="F517" s="260" t="n">
        <v>1</v>
      </c>
      <c r="G517" s="260" t="n">
        <v>100000</v>
      </c>
      <c r="H517" s="93">
        <f>G542*25%*75%</f>
        <v/>
      </c>
    </row>
    <row r="518" hidden="1" ht="15.75" customHeight="1" s="248">
      <c r="A518" s="92" t="n">
        <v>513</v>
      </c>
      <c r="B518" s="139" t="inlineStr">
        <is>
          <t>2026/06/15 05:00</t>
        </is>
      </c>
      <c r="C518" s="139" t="inlineStr">
        <is>
          <t>THÁI THỊ THỦY</t>
        </is>
      </c>
      <c r="D518" s="139" t="inlineStr">
        <is>
          <t>01/01/1957</t>
        </is>
      </c>
      <c r="E518" s="139" t="inlineStr">
        <is>
          <t>Thay băng, cắt chỉ vết mổ [chiều dài ≤ 15cm]</t>
        </is>
      </c>
      <c r="F518" s="260" t="n">
        <v>1</v>
      </c>
      <c r="G518" s="260" t="n">
        <v>100000</v>
      </c>
      <c r="H518" s="93">
        <f>G543*25%*75%</f>
        <v/>
      </c>
    </row>
    <row r="519" hidden="1" ht="15.75" customHeight="1" s="248">
      <c r="A519" s="92" t="n">
        <v>514</v>
      </c>
      <c r="B519" s="139" t="inlineStr">
        <is>
          <t>2026/06/15 05:00</t>
        </is>
      </c>
      <c r="C519" s="139" t="inlineStr">
        <is>
          <t>TRẦN ĐẶNG NHƠN</t>
        </is>
      </c>
      <c r="D519" s="139" t="inlineStr">
        <is>
          <t>14/03/1991</t>
        </is>
      </c>
      <c r="E519" s="139" t="inlineStr">
        <is>
          <t>Thay băng, cắt chỉ vết mổ [chiều dài ≤ 15cm]</t>
        </is>
      </c>
      <c r="F519" s="260" t="n">
        <v>1</v>
      </c>
      <c r="G519" s="260" t="n">
        <v>100000</v>
      </c>
      <c r="H519" s="93">
        <f>G544*25%*75%</f>
        <v/>
      </c>
    </row>
    <row r="520" hidden="1" ht="15.75" customHeight="1" s="248">
      <c r="A520" s="92" t="n">
        <v>515</v>
      </c>
      <c r="B520" s="139" t="inlineStr">
        <is>
          <t>2026/06/15 05:00</t>
        </is>
      </c>
      <c r="C520" s="139" t="inlineStr">
        <is>
          <t>TÔN VĂN PHƯỚC</t>
        </is>
      </c>
      <c r="D520" s="139" t="inlineStr">
        <is>
          <t>01/01/1970</t>
        </is>
      </c>
      <c r="E520" s="139" t="inlineStr">
        <is>
          <t>Thay băng, cắt chỉ vết mổ [chiều dài ≤ 15cm]</t>
        </is>
      </c>
      <c r="F520" s="260" t="n">
        <v>1</v>
      </c>
      <c r="G520" s="260" t="n">
        <v>100000</v>
      </c>
      <c r="H520" s="93">
        <f>G545*25%*75%</f>
        <v/>
      </c>
    </row>
    <row r="521" hidden="1" ht="15.75" customHeight="1" s="248">
      <c r="A521" s="92" t="n">
        <v>516</v>
      </c>
      <c r="B521" s="139" t="inlineStr">
        <is>
          <t>2026/06/15 05:00</t>
        </is>
      </c>
      <c r="C521" s="139" t="inlineStr">
        <is>
          <t>VÕ THỊ ÚT</t>
        </is>
      </c>
      <c r="D521" s="139" t="inlineStr">
        <is>
          <t>10/09/1974</t>
        </is>
      </c>
      <c r="E521" s="139" t="inlineStr">
        <is>
          <t>Thay băng, cắt chỉ vết mổ [chiều dài ≤ 15cm]</t>
        </is>
      </c>
      <c r="F521" s="260" t="n">
        <v>1</v>
      </c>
      <c r="G521" s="260" t="n">
        <v>100000</v>
      </c>
      <c r="H521" s="93">
        <f>G546*25%*75%</f>
        <v/>
      </c>
    </row>
    <row r="522" hidden="1" ht="15.75" customHeight="1" s="248">
      <c r="A522" s="92" t="n">
        <v>517</v>
      </c>
      <c r="B522" s="139" t="inlineStr">
        <is>
          <t>2026/06/15 05:00</t>
        </is>
      </c>
      <c r="C522" s="139" t="inlineStr">
        <is>
          <t>ĐINH THỊ THI</t>
        </is>
      </c>
      <c r="D522" s="139" t="inlineStr">
        <is>
          <t>01/01/1971</t>
        </is>
      </c>
      <c r="E522" s="139" t="inlineStr">
        <is>
          <t>Thay băng, cắt chỉ vết mổ [chiều dài ≤ 15cm]</t>
        </is>
      </c>
      <c r="F522" s="260" t="n">
        <v>1</v>
      </c>
      <c r="G522" s="260" t="n">
        <v>100000</v>
      </c>
      <c r="H522" s="93">
        <f>G547*25%*75%</f>
        <v/>
      </c>
    </row>
    <row r="523" hidden="1" ht="15.75" customHeight="1" s="248">
      <c r="A523" s="92" t="n">
        <v>518</v>
      </c>
      <c r="B523" s="139" t="inlineStr">
        <is>
          <t>2026/06/15 05:00</t>
        </is>
      </c>
      <c r="C523" s="139" t="inlineStr">
        <is>
          <t>ĐẶNG KIM OANH</t>
        </is>
      </c>
      <c r="D523" s="139" t="inlineStr">
        <is>
          <t>16/10/1986</t>
        </is>
      </c>
      <c r="E523" s="139" t="inlineStr">
        <is>
          <t>Thay băng, cắt chỉ vết mổ [chiều dài ≤ 15cm]</t>
        </is>
      </c>
      <c r="F523" s="260" t="n">
        <v>1</v>
      </c>
      <c r="G523" s="260" t="n">
        <v>100000</v>
      </c>
      <c r="H523" s="93">
        <f>G548*25%*75%</f>
        <v/>
      </c>
    </row>
    <row r="524" hidden="1" ht="15.75" customHeight="1" s="248">
      <c r="A524" s="92" t="n">
        <v>519</v>
      </c>
      <c r="B524" s="139" t="inlineStr">
        <is>
          <t>2026/06/15 06:33</t>
        </is>
      </c>
      <c r="C524" s="139" t="inlineStr">
        <is>
          <t>CHIÊM THỊ NHÀN</t>
        </is>
      </c>
      <c r="D524" s="139" t="inlineStr">
        <is>
          <t>01/01/1953</t>
        </is>
      </c>
      <c r="E524" s="139" t="inlineStr">
        <is>
          <t>Thay băng, cắt chỉ vết mổ [chiều dài ≤ 15cm]</t>
        </is>
      </c>
      <c r="F524" s="260" t="n">
        <v>1</v>
      </c>
      <c r="G524" s="260" t="n">
        <v>100000</v>
      </c>
      <c r="H524" s="93">
        <f>G549*25%*75%</f>
        <v/>
      </c>
    </row>
    <row r="525" hidden="1" ht="15.75" customHeight="1" s="248">
      <c r="A525" s="92" t="n">
        <v>520</v>
      </c>
      <c r="B525" s="139" t="inlineStr">
        <is>
          <t>2026/06/15 06:50</t>
        </is>
      </c>
      <c r="C525" s="139" t="inlineStr">
        <is>
          <t>TRẦN THỊ MỘNG THẮM</t>
        </is>
      </c>
      <c r="D525" s="139" t="inlineStr">
        <is>
          <t>01/01/1970</t>
        </is>
      </c>
      <c r="E525" s="139" t="inlineStr">
        <is>
          <t>Thay băng, cắt chỉ vết mổ [chiều dài ≤ 15cm]</t>
        </is>
      </c>
      <c r="F525" s="260" t="n">
        <v>1</v>
      </c>
      <c r="G525" s="260" t="n">
        <v>100000</v>
      </c>
      <c r="H525" s="93">
        <f>G550*25%*75%</f>
        <v/>
      </c>
    </row>
    <row r="526" hidden="1" ht="15.75" customHeight="1" s="248">
      <c r="A526" s="92" t="n">
        <v>521</v>
      </c>
      <c r="B526" s="139" t="inlineStr">
        <is>
          <t>2026/06/15 07:00</t>
        </is>
      </c>
      <c r="C526" s="139" t="inlineStr">
        <is>
          <t>CAO KIỀU DUYÊN</t>
        </is>
      </c>
      <c r="D526" s="139" t="inlineStr">
        <is>
          <t>12/06/1991</t>
        </is>
      </c>
      <c r="E526" s="139" t="inlineStr">
        <is>
          <t>Thay băng, cắt chỉ vết mổ [chiều dài ≤ 15cm]</t>
        </is>
      </c>
      <c r="F526" s="260" t="n">
        <v>1</v>
      </c>
      <c r="G526" s="260" t="n">
        <v>100000</v>
      </c>
      <c r="H526" s="93">
        <f>G551*25%*75%</f>
        <v/>
      </c>
    </row>
    <row r="527" hidden="1" ht="15.75" customHeight="1" s="248">
      <c r="A527" s="92" t="n">
        <v>522</v>
      </c>
      <c r="B527" s="139" t="inlineStr">
        <is>
          <t>2026/06/15 07:00</t>
        </is>
      </c>
      <c r="C527" s="139" t="inlineStr">
        <is>
          <t>MAI THÀNH DƯƠNG</t>
        </is>
      </c>
      <c r="D527" s="139" t="inlineStr">
        <is>
          <t>10/04/1964</t>
        </is>
      </c>
      <c r="E527" s="139" t="inlineStr">
        <is>
          <t>Thay băng, cắt chỉ vết mổ [chiều dài ≤ 15cm]</t>
        </is>
      </c>
      <c r="F527" s="260" t="n">
        <v>1</v>
      </c>
      <c r="G527" s="260" t="n">
        <v>100000</v>
      </c>
      <c r="H527" s="93">
        <f>G552*25%*75%</f>
        <v/>
      </c>
    </row>
    <row r="528" hidden="1" ht="15.75" customHeight="1" s="248">
      <c r="A528" s="92" t="n">
        <v>523</v>
      </c>
      <c r="B528" s="139" t="inlineStr">
        <is>
          <t>2026/06/15 07:00</t>
        </is>
      </c>
      <c r="C528" s="139" t="inlineStr">
        <is>
          <t>NGUYỄN HỒNG NHIÊN</t>
        </is>
      </c>
      <c r="D528" s="139" t="inlineStr">
        <is>
          <t>01/01/1968</t>
        </is>
      </c>
      <c r="E528" s="139" t="inlineStr">
        <is>
          <t>Thay băng, cắt chỉ vết mổ [chiều dài ≤ 15cm]</t>
        </is>
      </c>
      <c r="F528" s="260" t="n">
        <v>1</v>
      </c>
      <c r="G528" s="260" t="n">
        <v>100000</v>
      </c>
      <c r="H528" s="93">
        <f>G553*25%*75%</f>
        <v/>
      </c>
    </row>
    <row r="529" hidden="1" ht="15.75" customHeight="1" s="248">
      <c r="A529" s="92" t="n">
        <v>524</v>
      </c>
      <c r="B529" s="139" t="inlineStr">
        <is>
          <t>2026/06/15 07:00</t>
        </is>
      </c>
      <c r="C529" s="139" t="inlineStr">
        <is>
          <t>NGUYỄN THỊ NHƯ TRÚC</t>
        </is>
      </c>
      <c r="D529" s="139" t="inlineStr">
        <is>
          <t>30/03/2006</t>
        </is>
      </c>
      <c r="E529" s="139" t="inlineStr">
        <is>
          <t>Thay băng, cắt chỉ vết mổ [chiều dài ≤ 15cm]</t>
        </is>
      </c>
      <c r="F529" s="260" t="n">
        <v>1</v>
      </c>
      <c r="G529" s="260" t="n">
        <v>100000</v>
      </c>
      <c r="H529" s="93">
        <f>G554*25%*75%</f>
        <v/>
      </c>
    </row>
    <row r="530" hidden="1" ht="15.75" customHeight="1" s="248">
      <c r="A530" s="92" t="n">
        <v>525</v>
      </c>
      <c r="B530" s="139" t="inlineStr">
        <is>
          <t>2026/06/15 07:00</t>
        </is>
      </c>
      <c r="C530" s="139" t="inlineStr">
        <is>
          <t>TRẦN BÉ HIỀN</t>
        </is>
      </c>
      <c r="D530" s="139" t="inlineStr">
        <is>
          <t>22/06/1994</t>
        </is>
      </c>
      <c r="E530" s="139" t="inlineStr">
        <is>
          <t>Thay băng, cắt chỉ vết mổ [chiều dài ≤ 15cm]</t>
        </is>
      </c>
      <c r="F530" s="260" t="n">
        <v>1</v>
      </c>
      <c r="G530" s="260" t="n">
        <v>100000</v>
      </c>
      <c r="H530" s="93">
        <f>G555*25%*75%</f>
        <v/>
      </c>
    </row>
    <row r="531" hidden="1" ht="15.75" customHeight="1" s="248">
      <c r="A531" s="92" t="n">
        <v>526</v>
      </c>
      <c r="B531" s="139" t="inlineStr">
        <is>
          <t>2026/06/15 07:00</t>
        </is>
      </c>
      <c r="C531" s="139" t="inlineStr">
        <is>
          <t>VÕ THỊ KIẾU</t>
        </is>
      </c>
      <c r="D531" s="139" t="inlineStr">
        <is>
          <t>01/01/1955</t>
        </is>
      </c>
      <c r="E531" s="139" t="inlineStr">
        <is>
          <t>Thay băng, cắt chỉ vết mổ [chiều dài ≤ 15cm]</t>
        </is>
      </c>
      <c r="F531" s="260" t="n">
        <v>1</v>
      </c>
      <c r="G531" s="260" t="n">
        <v>100000</v>
      </c>
      <c r="H531" s="93">
        <f>G556*25%*75%</f>
        <v/>
      </c>
    </row>
    <row r="532" hidden="1" ht="15.75" customHeight="1" s="248">
      <c r="A532" s="92" t="n">
        <v>527</v>
      </c>
      <c r="B532" s="139" t="inlineStr">
        <is>
          <t>2026/06/15 07:38</t>
        </is>
      </c>
      <c r="C532" s="139" t="inlineStr">
        <is>
          <t>NGUYỄN THỊ THỦY</t>
        </is>
      </c>
      <c r="D532" s="139" t="inlineStr">
        <is>
          <t>01/01/1963</t>
        </is>
      </c>
      <c r="E532" s="139" t="inlineStr">
        <is>
          <t>Thay băng, cắt chỉ vết mổ [chiều dài ≤ 15cm]</t>
        </is>
      </c>
      <c r="F532" s="260" t="n">
        <v>1</v>
      </c>
      <c r="G532" s="260" t="n">
        <v>100000</v>
      </c>
      <c r="H532" s="93">
        <f>G557*25%*75%</f>
        <v/>
      </c>
    </row>
    <row r="533" hidden="1" ht="15.75" customHeight="1" s="248">
      <c r="A533" s="92" t="n">
        <v>528</v>
      </c>
      <c r="B533" s="139" t="inlineStr">
        <is>
          <t>2026/06/15 08:39</t>
        </is>
      </c>
      <c r="C533" s="139" t="inlineStr">
        <is>
          <t>LÊ THỊ MỸ HỒNG</t>
        </is>
      </c>
      <c r="D533" s="139" t="inlineStr">
        <is>
          <t>01/01/1950</t>
        </is>
      </c>
      <c r="E533" s="139" t="inlineStr">
        <is>
          <t>Tháo bột (nhỏ)</t>
        </is>
      </c>
      <c r="F533" s="260" t="n">
        <v>1</v>
      </c>
      <c r="G533" s="260" t="n">
        <v>100000</v>
      </c>
      <c r="H533" s="93">
        <f>G559*25%*75%</f>
        <v/>
      </c>
    </row>
    <row r="534" hidden="1" ht="15.75" customHeight="1" s="248">
      <c r="A534" s="92" t="n">
        <v>529</v>
      </c>
      <c r="B534" s="139" t="inlineStr">
        <is>
          <t>2026/06/15 08:50</t>
        </is>
      </c>
      <c r="C534" s="139" t="inlineStr">
        <is>
          <t>LÊ THỊ NHUNG</t>
        </is>
      </c>
      <c r="D534" s="139" t="inlineStr">
        <is>
          <t>19/10/1978</t>
        </is>
      </c>
      <c r="E534" s="139" t="inlineStr">
        <is>
          <t>Thay băng, cắt chỉ vết mổ [chiều dài ≤ 15cm]</t>
        </is>
      </c>
      <c r="F534" s="260" t="n">
        <v>1</v>
      </c>
      <c r="G534" s="260" t="n">
        <v>100000</v>
      </c>
      <c r="H534" s="93">
        <f>G560*25%*75%</f>
        <v/>
      </c>
    </row>
    <row r="535" hidden="1" ht="15.75" customHeight="1" s="248">
      <c r="A535" s="92" t="n">
        <v>530</v>
      </c>
      <c r="B535" s="139" t="inlineStr">
        <is>
          <t>2026/06/15 09:24</t>
        </is>
      </c>
      <c r="C535" s="139" t="inlineStr">
        <is>
          <t>LÊ THỊ THU HÀ</t>
        </is>
      </c>
      <c r="D535" s="139" t="inlineStr">
        <is>
          <t>20/10/1996</t>
        </is>
      </c>
      <c r="E535" s="139" t="inlineStr">
        <is>
          <t>Thay băng, cắt chỉ vết mổ [chiều dài ≤ 15cm]</t>
        </is>
      </c>
      <c r="F535" s="260" t="n">
        <v>1</v>
      </c>
      <c r="G535" s="260" t="n">
        <v>100000</v>
      </c>
      <c r="H535" s="93">
        <f>G561*25%*75%</f>
        <v/>
      </c>
    </row>
    <row r="536" hidden="1" ht="15.75" customHeight="1" s="248">
      <c r="A536" s="92" t="n">
        <v>531</v>
      </c>
      <c r="B536" s="139" t="inlineStr">
        <is>
          <t>2026/06/15 09:58</t>
        </is>
      </c>
      <c r="C536" s="139" t="inlineStr">
        <is>
          <t>HUỲNH THỊ ÚT</t>
        </is>
      </c>
      <c r="D536" s="139" t="inlineStr">
        <is>
          <t>01/01/1971</t>
        </is>
      </c>
      <c r="E536" s="139" t="inlineStr">
        <is>
          <t>Nắn, bó bột trật khớp vai [bột liền]</t>
        </is>
      </c>
      <c r="F536" s="260" t="n">
        <v>1</v>
      </c>
      <c r="G536" s="260" t="n">
        <v>342000</v>
      </c>
      <c r="H536" s="93">
        <f>G562*25%*75%</f>
        <v/>
      </c>
    </row>
    <row r="537" hidden="1" ht="15.75" customHeight="1" s="248">
      <c r="A537" s="92" t="n">
        <v>532</v>
      </c>
      <c r="B537" s="139" t="inlineStr">
        <is>
          <t>2026/06/15 13:47</t>
        </is>
      </c>
      <c r="C537" s="139" t="inlineStr">
        <is>
          <t>NGUYỄN THANH LIÊM</t>
        </is>
      </c>
      <c r="D537" s="139" t="inlineStr">
        <is>
          <t>13/08/1994</t>
        </is>
      </c>
      <c r="E537" s="139" t="inlineStr">
        <is>
          <t>Thay băng, cắt chỉ vết mổ [chiều dài ≤ 15cm]</t>
        </is>
      </c>
      <c r="F537" s="260" t="n">
        <v>1</v>
      </c>
      <c r="G537" s="260" t="n">
        <v>64300</v>
      </c>
      <c r="H537" s="93">
        <f>G563*25%*75%</f>
        <v/>
      </c>
    </row>
    <row r="538" hidden="1" ht="15.75" customHeight="1" s="248">
      <c r="A538" s="92" t="n">
        <v>533</v>
      </c>
      <c r="B538" s="139" t="inlineStr">
        <is>
          <t>2026/06/15 14:26</t>
        </is>
      </c>
      <c r="C538" s="139" t="inlineStr">
        <is>
          <t>PHẠM THỊ ANH THƯ</t>
        </is>
      </c>
      <c r="D538" s="139" t="inlineStr">
        <is>
          <t>19/03/2007</t>
        </is>
      </c>
      <c r="E538" s="139" t="inlineStr">
        <is>
          <t>Thay băng, cắt chỉ vết mổ [chiều dài ≤ 15cm]</t>
        </is>
      </c>
      <c r="F538" s="260" t="n">
        <v>1</v>
      </c>
      <c r="G538" s="260" t="n">
        <v>64300</v>
      </c>
      <c r="H538" s="93">
        <f>G564*25%*75%</f>
        <v/>
      </c>
    </row>
    <row r="539" hidden="1" ht="15.75" customHeight="1" s="248">
      <c r="A539" s="92" t="n">
        <v>534</v>
      </c>
      <c r="B539" s="139" t="inlineStr">
        <is>
          <t>2026/06/15 14:30</t>
        </is>
      </c>
      <c r="C539" s="139" t="inlineStr">
        <is>
          <t>LÊ HUỲNH THIỆN PHÚC</t>
        </is>
      </c>
      <c r="D539" s="139" t="inlineStr">
        <is>
          <t>30/06/2006</t>
        </is>
      </c>
      <c r="E539" s="139" t="inlineStr">
        <is>
          <t>Tháo bột (trung bình)</t>
        </is>
      </c>
      <c r="F539" s="260" t="n">
        <v>1</v>
      </c>
      <c r="G539" s="260" t="n">
        <v>200000</v>
      </c>
      <c r="H539" s="93">
        <f>G565*25%*75%</f>
        <v/>
      </c>
    </row>
    <row r="540" hidden="1" ht="15.75" customHeight="1" s="248">
      <c r="A540" s="92" t="n">
        <v>535</v>
      </c>
      <c r="B540" s="139" t="inlineStr">
        <is>
          <t>2026/06/15 15:04</t>
        </is>
      </c>
      <c r="C540" s="139" t="inlineStr">
        <is>
          <t>HUỲNH THỊ HIỆP</t>
        </is>
      </c>
      <c r="D540" s="139" t="inlineStr">
        <is>
          <t>01/01/1969</t>
        </is>
      </c>
      <c r="E540" s="139" t="inlineStr">
        <is>
          <t>Thay băng, cắt chỉ vết mổ [chiều dài ≤ 15cm]</t>
        </is>
      </c>
      <c r="F540" s="260" t="n">
        <v>1</v>
      </c>
      <c r="G540" s="260" t="n">
        <v>100000</v>
      </c>
      <c r="H540" s="93">
        <f>G566*25%*75%</f>
        <v/>
      </c>
    </row>
    <row r="541" hidden="1" ht="15.75" customHeight="1" s="248">
      <c r="A541" s="92" t="n">
        <v>536</v>
      </c>
      <c r="B541" s="139" t="inlineStr">
        <is>
          <t>2026/06/15 15:45</t>
        </is>
      </c>
      <c r="C541" s="139" t="inlineStr">
        <is>
          <t>NGUYỄN THỊ HẤN</t>
        </is>
      </c>
      <c r="D541" s="139" t="inlineStr">
        <is>
          <t>01/01/1959</t>
        </is>
      </c>
      <c r="E541" s="139" t="inlineStr">
        <is>
          <t>Thay băng, cắt chỉ vết mổ [chiều dài ≤ 15cm]</t>
        </is>
      </c>
      <c r="F541" s="260" t="n">
        <v>1</v>
      </c>
      <c r="G541" s="260" t="n">
        <v>64300</v>
      </c>
      <c r="H541" s="93">
        <f>G567*25%*75%</f>
        <v/>
      </c>
    </row>
    <row r="542" hidden="1" ht="15.75" customHeight="1" s="248">
      <c r="A542" s="92" t="n">
        <v>537</v>
      </c>
      <c r="B542" s="139" t="inlineStr">
        <is>
          <t>2026/06/15 16:01</t>
        </is>
      </c>
      <c r="C542" s="139" t="inlineStr">
        <is>
          <t>DƯƠNG VIỆT ĐA</t>
        </is>
      </c>
      <c r="D542" s="139" t="inlineStr">
        <is>
          <t>30/08/1986</t>
        </is>
      </c>
      <c r="E542" s="139" t="inlineStr">
        <is>
          <t>Thay băng, cắt chỉ vết mổ [chiều dài ≤ 15cm]</t>
        </is>
      </c>
      <c r="F542" s="260" t="n">
        <v>1</v>
      </c>
      <c r="G542" s="260" t="n">
        <v>64300</v>
      </c>
      <c r="H542" s="93">
        <f>G568*25%*75%</f>
        <v/>
      </c>
    </row>
    <row r="543" hidden="1" ht="15.75" customHeight="1" s="248">
      <c r="A543" s="92" t="n">
        <v>538</v>
      </c>
      <c r="B543" s="139" t="inlineStr">
        <is>
          <t>2026/06/15 16:15</t>
        </is>
      </c>
      <c r="C543" s="139" t="inlineStr">
        <is>
          <t>UNG HUỲNH TÂM</t>
        </is>
      </c>
      <c r="D543" s="139" t="inlineStr">
        <is>
          <t>15/05/1984</t>
        </is>
      </c>
      <c r="E543" s="139" t="inlineStr">
        <is>
          <t>Thay băng, cắt chỉ vết mổ [chiều dài ≤ 15cm]</t>
        </is>
      </c>
      <c r="F543" s="260" t="n">
        <v>1</v>
      </c>
      <c r="G543" s="260" t="n">
        <v>100000</v>
      </c>
      <c r="H543" s="93">
        <f>G569*25%*75%</f>
        <v/>
      </c>
    </row>
    <row r="544" hidden="1" ht="15.75" customHeight="1" s="248">
      <c r="A544" s="92" t="n">
        <v>539</v>
      </c>
      <c r="B544" s="139" t="inlineStr">
        <is>
          <t>2026/06/16 05:00</t>
        </is>
      </c>
      <c r="C544" s="139" t="inlineStr">
        <is>
          <t>CAO HÙNG PHONG</t>
        </is>
      </c>
      <c r="D544" s="139" t="inlineStr">
        <is>
          <t>15/04/1969</t>
        </is>
      </c>
      <c r="E544" s="139" t="inlineStr">
        <is>
          <t>Thay băng, cắt chỉ vết mổ [chiều dài ≤ 15cm]</t>
        </is>
      </c>
      <c r="F544" s="260" t="n">
        <v>1</v>
      </c>
      <c r="G544" s="260" t="n">
        <v>100000</v>
      </c>
      <c r="H544" s="93">
        <f>G570*25%*75%</f>
        <v/>
      </c>
    </row>
    <row r="545" hidden="1" ht="15.75" customHeight="1" s="248">
      <c r="A545" s="92" t="n">
        <v>540</v>
      </c>
      <c r="B545" s="139" t="inlineStr">
        <is>
          <t>2026/06/16 05:00</t>
        </is>
      </c>
      <c r="C545" s="139" t="inlineStr">
        <is>
          <t>HUỲNH NGỌC SƯƠNG</t>
        </is>
      </c>
      <c r="D545" s="139" t="inlineStr">
        <is>
          <t>05/05/1954</t>
        </is>
      </c>
      <c r="E545" s="139" t="inlineStr">
        <is>
          <t>Thay băng, cắt chỉ vết mổ [chiều dài ≤ 15cm]</t>
        </is>
      </c>
      <c r="F545" s="260" t="n">
        <v>1</v>
      </c>
      <c r="G545" s="260" t="n">
        <v>100000</v>
      </c>
      <c r="H545" s="93">
        <f>G571*25%*75%</f>
        <v/>
      </c>
    </row>
    <row r="546" hidden="1" ht="15.75" customHeight="1" s="248">
      <c r="A546" s="92" t="n">
        <v>541</v>
      </c>
      <c r="B546" s="139" t="inlineStr">
        <is>
          <t>2026/06/16 05:00</t>
        </is>
      </c>
      <c r="C546" s="139" t="inlineStr">
        <is>
          <t>ĐINH THỊ THI</t>
        </is>
      </c>
      <c r="D546" s="139" t="inlineStr">
        <is>
          <t>01/01/1971</t>
        </is>
      </c>
      <c r="E546" s="139" t="inlineStr">
        <is>
          <t>Thay băng, cắt chỉ vết mổ [chiều dài ≤ 15cm]</t>
        </is>
      </c>
      <c r="F546" s="260" t="n">
        <v>1</v>
      </c>
      <c r="G546" s="260" t="n">
        <v>100000</v>
      </c>
      <c r="H546" s="93">
        <f>G572*25%*75%</f>
        <v/>
      </c>
    </row>
    <row r="547" hidden="1" ht="15.75" customHeight="1" s="248">
      <c r="A547" s="92" t="n">
        <v>542</v>
      </c>
      <c r="B547" s="139" t="inlineStr">
        <is>
          <t>2026/06/16 06:26</t>
        </is>
      </c>
      <c r="C547" s="139" t="inlineStr">
        <is>
          <t>CAO THỊ BẢY</t>
        </is>
      </c>
      <c r="D547" s="139" t="inlineStr">
        <is>
          <t>09/10/1941</t>
        </is>
      </c>
      <c r="E547" s="139" t="inlineStr">
        <is>
          <t>Thay băng, cắt chỉ vết mổ [chiều dài ≤ 15cm]</t>
        </is>
      </c>
      <c r="F547" s="260" t="n">
        <v>1</v>
      </c>
      <c r="G547" s="260" t="n">
        <v>100000</v>
      </c>
      <c r="H547" s="93">
        <f>G573*25%*75%</f>
        <v/>
      </c>
    </row>
    <row r="548" hidden="1" ht="15.75" customHeight="1" s="248">
      <c r="A548" s="92" t="n">
        <v>543</v>
      </c>
      <c r="B548" s="139" t="inlineStr">
        <is>
          <t>2026/06/16 06:33</t>
        </is>
      </c>
      <c r="C548" s="139" t="inlineStr">
        <is>
          <t>CHIÊM THỊ NHÀN</t>
        </is>
      </c>
      <c r="D548" s="139" t="inlineStr">
        <is>
          <t>01/01/1953</t>
        </is>
      </c>
      <c r="E548" s="139" t="inlineStr">
        <is>
          <t>Thay băng, cắt chỉ vết mổ [chiều dài ≤ 15cm]</t>
        </is>
      </c>
      <c r="F548" s="260" t="n">
        <v>1</v>
      </c>
      <c r="G548" s="260" t="n">
        <v>100000</v>
      </c>
      <c r="H548" s="93">
        <f>G574*25%*75%</f>
        <v/>
      </c>
    </row>
    <row r="549" hidden="1" ht="15.75" customHeight="1" s="248">
      <c r="A549" s="92" t="n">
        <v>544</v>
      </c>
      <c r="B549" s="139" t="inlineStr">
        <is>
          <t>2026/06/16 06:33</t>
        </is>
      </c>
      <c r="C549" s="139" t="inlineStr">
        <is>
          <t>CHIÊM THỊ NHÀN</t>
        </is>
      </c>
      <c r="D549" s="139" t="inlineStr">
        <is>
          <t>01/01/1953</t>
        </is>
      </c>
      <c r="E549" s="139" t="inlineStr">
        <is>
          <t>Thay băng, cắt chỉ vết mổ [chiều dài ≤ 15cm]</t>
        </is>
      </c>
      <c r="F549" s="260" t="n">
        <v>1</v>
      </c>
      <c r="G549" s="260" t="n">
        <v>100000</v>
      </c>
      <c r="H549" s="93">
        <f>G575*25%*75%</f>
        <v/>
      </c>
    </row>
    <row r="550" hidden="1" ht="15.75" customHeight="1" s="248">
      <c r="A550" s="92" t="n">
        <v>545</v>
      </c>
      <c r="B550" s="139" t="inlineStr">
        <is>
          <t>2026/06/16 06:35</t>
        </is>
      </c>
      <c r="C550" s="139" t="inlineStr">
        <is>
          <t>ĐẶNG THỊ XOE</t>
        </is>
      </c>
      <c r="D550" s="139" t="inlineStr">
        <is>
          <t>01/01/1936</t>
        </is>
      </c>
      <c r="E550" s="139" t="inlineStr">
        <is>
          <t>Thay băng, cắt chỉ vết mổ [chiều dài ≤ 15cm]</t>
        </is>
      </c>
      <c r="F550" s="260" t="n">
        <v>1</v>
      </c>
      <c r="G550" s="260" t="n">
        <v>100000</v>
      </c>
      <c r="H550" s="93">
        <f>G576*25%*75%</f>
        <v/>
      </c>
    </row>
    <row r="551" hidden="1" ht="15.75" customHeight="1" s="248">
      <c r="A551" s="92" t="n">
        <v>546</v>
      </c>
      <c r="B551" s="139" t="inlineStr">
        <is>
          <t>2026/06/16 06:40</t>
        </is>
      </c>
      <c r="C551" s="139" t="inlineStr">
        <is>
          <t>TRẦN THỊ MỘNG THẮM</t>
        </is>
      </c>
      <c r="D551" s="139" t="inlineStr">
        <is>
          <t>01/01/1970</t>
        </is>
      </c>
      <c r="E551" s="139" t="inlineStr">
        <is>
          <t>Thay băng, cắt chỉ vết mổ [chiều dài ≤ 15cm]</t>
        </is>
      </c>
      <c r="F551" s="260" t="n">
        <v>1</v>
      </c>
      <c r="G551" s="260" t="n">
        <v>100000</v>
      </c>
      <c r="H551" s="93">
        <f>G577*25%*75%</f>
        <v/>
      </c>
    </row>
    <row r="552" hidden="1" ht="15.75" customHeight="1" s="248">
      <c r="A552" s="92" t="n">
        <v>547</v>
      </c>
      <c r="B552" s="139" t="inlineStr">
        <is>
          <t>2026/06/16 06:58</t>
        </is>
      </c>
      <c r="C552" s="139" t="inlineStr">
        <is>
          <t>VÕ KIM THU</t>
        </is>
      </c>
      <c r="D552" s="139" t="inlineStr">
        <is>
          <t>01/01/1958</t>
        </is>
      </c>
      <c r="E552" s="139" t="inlineStr">
        <is>
          <t>Thay băng, cắt chỉ vết mổ [chiều dài ≤ 15cm]</t>
        </is>
      </c>
      <c r="F552" s="260" t="n">
        <v>1</v>
      </c>
      <c r="G552" s="260" t="n">
        <v>100000</v>
      </c>
      <c r="H552" s="93">
        <f>G578*25%*75%</f>
        <v/>
      </c>
    </row>
    <row r="553" hidden="1" ht="15.75" customHeight="1" s="248">
      <c r="A553" s="92" t="n">
        <v>548</v>
      </c>
      <c r="B553" s="139" t="inlineStr">
        <is>
          <t>2026/06/16 07:00</t>
        </is>
      </c>
      <c r="C553" s="139" t="inlineStr">
        <is>
          <t>HOÀNG TUẤN ANH</t>
        </is>
      </c>
      <c r="D553" s="139" t="inlineStr">
        <is>
          <t>07/12/1982</t>
        </is>
      </c>
      <c r="E553" s="139" t="inlineStr">
        <is>
          <t>Thay băng, cắt chỉ vết mổ [chiều dài ≤ 15cm]</t>
        </is>
      </c>
      <c r="F553" s="260" t="n">
        <v>1</v>
      </c>
      <c r="G553" s="260" t="n">
        <v>100000</v>
      </c>
      <c r="H553" s="93">
        <f>G579*25%*75%</f>
        <v/>
      </c>
    </row>
    <row r="554" hidden="1" ht="15.75" customHeight="1" s="248">
      <c r="A554" s="92" t="n">
        <v>549</v>
      </c>
      <c r="B554" s="139" t="inlineStr">
        <is>
          <t>2026/06/16 07:00</t>
        </is>
      </c>
      <c r="C554" s="139" t="inlineStr">
        <is>
          <t>HUỲNH KIM ĐỒNG</t>
        </is>
      </c>
      <c r="D554" s="139" t="inlineStr">
        <is>
          <t>01/01/1944</t>
        </is>
      </c>
      <c r="E554" s="139" t="inlineStr">
        <is>
          <t>Thay băng, cắt chỉ vết mổ [chiều dài ≤ 15cm]</t>
        </is>
      </c>
      <c r="F554" s="260" t="n">
        <v>1</v>
      </c>
      <c r="G554" s="260" t="n">
        <v>100000</v>
      </c>
      <c r="H554" s="93">
        <f>G580*25%*75%</f>
        <v/>
      </c>
    </row>
    <row r="555" hidden="1" ht="15.75" customHeight="1" s="248">
      <c r="A555" s="92" t="n">
        <v>550</v>
      </c>
      <c r="B555" s="139" t="inlineStr">
        <is>
          <t>2026/06/16 07:00</t>
        </is>
      </c>
      <c r="C555" s="139" t="inlineStr">
        <is>
          <t>LÊ THÀNH ĐẠT</t>
        </is>
      </c>
      <c r="D555" s="139" t="inlineStr">
        <is>
          <t>06/11/1975</t>
        </is>
      </c>
      <c r="E555" s="139" t="inlineStr">
        <is>
          <t>Thay băng, cắt chỉ vết mổ [chiều dài ≤ 15cm]</t>
        </is>
      </c>
      <c r="F555" s="260" t="n">
        <v>1</v>
      </c>
      <c r="G555" s="260" t="n">
        <v>100000</v>
      </c>
      <c r="H555" s="93">
        <f>G581*25%*75%</f>
        <v/>
      </c>
    </row>
    <row r="556" hidden="1" ht="15.75" customHeight="1" s="248">
      <c r="A556" s="92" t="n">
        <v>551</v>
      </c>
      <c r="B556" s="139" t="inlineStr">
        <is>
          <t>2026/06/16 07:00</t>
        </is>
      </c>
      <c r="C556" s="139" t="inlineStr">
        <is>
          <t>MAI THÀNH DƯƠNG</t>
        </is>
      </c>
      <c r="D556" s="139" t="inlineStr">
        <is>
          <t>10/04/1964</t>
        </is>
      </c>
      <c r="E556" s="139" t="inlineStr">
        <is>
          <t>Thay băng, cắt chỉ vết mổ [chiều dài ≤ 15cm]</t>
        </is>
      </c>
      <c r="F556" s="260" t="n">
        <v>1</v>
      </c>
      <c r="G556" s="260" t="n">
        <v>100000</v>
      </c>
      <c r="H556" s="93">
        <f>G582*25%*75%</f>
        <v/>
      </c>
    </row>
    <row r="557" hidden="1" ht="15.75" customHeight="1" s="248">
      <c r="A557" s="92" t="n">
        <v>552</v>
      </c>
      <c r="B557" s="139" t="inlineStr">
        <is>
          <t>2026/06/16 07:00</t>
        </is>
      </c>
      <c r="C557" s="139" t="inlineStr">
        <is>
          <t>NGUYỄN THỊ MƯỜI</t>
        </is>
      </c>
      <c r="D557" s="139" t="inlineStr">
        <is>
          <t>01/01/1951</t>
        </is>
      </c>
      <c r="E557" s="139" t="inlineStr">
        <is>
          <t>Thay băng, cắt chỉ vết mổ [chiều dài ≤ 15cm]</t>
        </is>
      </c>
      <c r="F557" s="260" t="n">
        <v>1</v>
      </c>
      <c r="G557" s="260" t="n">
        <v>100000</v>
      </c>
      <c r="H557" s="93">
        <f>G583*25%*75%</f>
        <v/>
      </c>
    </row>
    <row r="558" hidden="1" ht="15.75" customHeight="1" s="248">
      <c r="A558" s="92" t="n">
        <v>553</v>
      </c>
      <c r="B558" s="139" t="inlineStr">
        <is>
          <t>2026/06/16 07:00</t>
        </is>
      </c>
      <c r="C558" s="139" t="inlineStr">
        <is>
          <t>TRẦN ĐẶNG NHƠN</t>
        </is>
      </c>
      <c r="D558" s="139" t="inlineStr">
        <is>
          <t>14/03/1991</t>
        </is>
      </c>
      <c r="E558" s="139" t="inlineStr">
        <is>
          <t>Thay băng, cắt chỉ vết mổ [chiều dài ≤ 15cm]</t>
        </is>
      </c>
      <c r="F558" s="260" t="n">
        <v>1</v>
      </c>
      <c r="G558" s="260" t="n">
        <v>100000</v>
      </c>
      <c r="H558" s="93">
        <f>G584*25%*75%</f>
        <v/>
      </c>
    </row>
    <row r="559" hidden="1" ht="15.75" customHeight="1" s="248">
      <c r="A559" s="92" t="n">
        <v>554</v>
      </c>
      <c r="B559" s="139" t="inlineStr">
        <is>
          <t>2026/06/16 07:00</t>
        </is>
      </c>
      <c r="C559" s="139" t="inlineStr">
        <is>
          <t>VÕ THANH SANG</t>
        </is>
      </c>
      <c r="D559" s="139" t="inlineStr">
        <is>
          <t>03/12/2003</t>
        </is>
      </c>
      <c r="E559" s="139" t="inlineStr">
        <is>
          <t>Thay băng, cắt chỉ vết mổ [chiều dài ≤ 15cm]</t>
        </is>
      </c>
      <c r="F559" s="260" t="n">
        <v>1</v>
      </c>
      <c r="G559" s="260" t="n">
        <v>100000</v>
      </c>
      <c r="H559" s="93">
        <f>G585*25%*75%</f>
        <v/>
      </c>
    </row>
    <row r="560" hidden="1" ht="15.75" customHeight="1" s="248">
      <c r="A560" s="92" t="n">
        <v>555</v>
      </c>
      <c r="B560" s="139" t="inlineStr">
        <is>
          <t>2026/06/16 07:00</t>
        </is>
      </c>
      <c r="C560" s="139" t="inlineStr">
        <is>
          <t>ĐẶNG TÔN THỊNH</t>
        </is>
      </c>
      <c r="D560" s="139" t="inlineStr">
        <is>
          <t>03/02/1983</t>
        </is>
      </c>
      <c r="E560" s="139" t="inlineStr">
        <is>
          <t>Thay băng, cắt chỉ vết mổ [chiều dài ≤ 15cm]</t>
        </is>
      </c>
      <c r="F560" s="260" t="n">
        <v>1</v>
      </c>
      <c r="G560" s="260" t="n">
        <v>100000</v>
      </c>
      <c r="H560" s="93">
        <f>G586*25%*75%</f>
        <v/>
      </c>
    </row>
    <row r="561" hidden="1" ht="15.75" customHeight="1" s="248">
      <c r="A561" s="92" t="n">
        <v>556</v>
      </c>
      <c r="B561" s="139" t="inlineStr">
        <is>
          <t>2026/06/16 07:29</t>
        </is>
      </c>
      <c r="C561" s="139" t="inlineStr">
        <is>
          <t>BẠCH THỊ HỒNG THANH</t>
        </is>
      </c>
      <c r="D561" s="139" t="inlineStr">
        <is>
          <t>25/05/1953</t>
        </is>
      </c>
      <c r="E561" s="139" t="inlineStr">
        <is>
          <t>Tháo bột (nhỏ)</t>
        </is>
      </c>
      <c r="F561" s="260" t="n">
        <v>1</v>
      </c>
      <c r="G561" s="260" t="n">
        <v>100000</v>
      </c>
      <c r="H561" s="93">
        <f>G587*25%*75%</f>
        <v/>
      </c>
    </row>
    <row r="562" hidden="1" ht="15.75" customHeight="1" s="248">
      <c r="A562" s="92" t="n">
        <v>557</v>
      </c>
      <c r="B562" s="139" t="inlineStr">
        <is>
          <t>2026/06/16 07:30</t>
        </is>
      </c>
      <c r="C562" s="139" t="inlineStr">
        <is>
          <t>CAO KIỀU DUYÊN</t>
        </is>
      </c>
      <c r="D562" s="139" t="inlineStr">
        <is>
          <t>12/06/1991</t>
        </is>
      </c>
      <c r="E562" s="139" t="inlineStr">
        <is>
          <t>Thay băng, cắt chỉ vết mổ [chiều dài ≤ 15cm]</t>
        </is>
      </c>
      <c r="F562" s="260" t="n">
        <v>1</v>
      </c>
      <c r="G562" s="260" t="n">
        <v>100000</v>
      </c>
      <c r="H562" s="93">
        <f>G588*25%*75%</f>
        <v/>
      </c>
    </row>
    <row r="563" hidden="1" ht="15.75" customHeight="1" s="248">
      <c r="A563" s="92" t="n">
        <v>558</v>
      </c>
      <c r="B563" s="139" t="inlineStr">
        <is>
          <t>2026/06/16 07:30</t>
        </is>
      </c>
      <c r="C563" s="139" t="inlineStr">
        <is>
          <t>PHAN THANH TUYỀN</t>
        </is>
      </c>
      <c r="D563" s="139" t="inlineStr">
        <is>
          <t>01/01/1975</t>
        </is>
      </c>
      <c r="E563" s="139" t="inlineStr">
        <is>
          <t>Điều trị bằng sóng xung kích</t>
        </is>
      </c>
      <c r="F563" s="260" t="n">
        <v>1</v>
      </c>
      <c r="G563" s="260" t="n">
        <v>162000</v>
      </c>
      <c r="H563" s="93">
        <f>G589*25%*75%</f>
        <v/>
      </c>
    </row>
    <row r="564" hidden="1" ht="15.75" customHeight="1" s="248">
      <c r="A564" s="92" t="n">
        <v>559</v>
      </c>
      <c r="B564" s="139" t="inlineStr">
        <is>
          <t>2026/06/16 07:30</t>
        </is>
      </c>
      <c r="C564" s="139" t="inlineStr">
        <is>
          <t>PHAN THANH TUYỀN</t>
        </is>
      </c>
      <c r="D564" s="139" t="inlineStr">
        <is>
          <t>01/01/1975</t>
        </is>
      </c>
      <c r="E564" s="139" t="inlineStr">
        <is>
          <t>Điều trị bằng sóng xung kích</t>
        </is>
      </c>
      <c r="F564" s="260" t="n">
        <v>1</v>
      </c>
      <c r="G564" s="260" t="n">
        <v>162000</v>
      </c>
      <c r="H564" s="93">
        <f>G590*25%*75%</f>
        <v/>
      </c>
    </row>
    <row r="565" hidden="1" ht="15.75" customHeight="1" s="248">
      <c r="A565" s="92" t="n">
        <v>560</v>
      </c>
      <c r="B565" s="139" t="inlineStr">
        <is>
          <t>2026/06/16 07:30</t>
        </is>
      </c>
      <c r="C565" s="139" t="inlineStr">
        <is>
          <t>TRIỆU CẨM THU</t>
        </is>
      </c>
      <c r="D565" s="139" t="inlineStr">
        <is>
          <t>27/03/1973</t>
        </is>
      </c>
      <c r="E565" s="139" t="inlineStr">
        <is>
          <t>Thay băng, cắt chỉ vết mổ [chiều dài ≤ 15cm]</t>
        </is>
      </c>
      <c r="F565" s="260" t="n">
        <v>1</v>
      </c>
      <c r="G565" s="260" t="n">
        <v>100000</v>
      </c>
      <c r="H565" s="93">
        <f>G591*25%*75%</f>
        <v/>
      </c>
    </row>
    <row r="566" hidden="1" ht="15.75" customHeight="1" s="248">
      <c r="A566" s="92" t="n">
        <v>561</v>
      </c>
      <c r="B566" s="139" t="inlineStr">
        <is>
          <t>2026/06/16 07:41</t>
        </is>
      </c>
      <c r="C566" s="139" t="inlineStr">
        <is>
          <t>NGUYỄN TRƯỜNG THỌ</t>
        </is>
      </c>
      <c r="D566" s="139" t="inlineStr">
        <is>
          <t>12/08/2007</t>
        </is>
      </c>
      <c r="E566" s="139" t="inlineStr">
        <is>
          <t>Nắn, bó bột gãy xương gót</t>
        </is>
      </c>
      <c r="F566" s="260" t="n">
        <v>1</v>
      </c>
      <c r="G566" s="260" t="n">
        <v>400000</v>
      </c>
      <c r="H566" s="93">
        <f>G592*25%*75%</f>
        <v/>
      </c>
    </row>
    <row r="567" hidden="1" ht="15.75" customHeight="1" s="248">
      <c r="A567" s="92" t="n">
        <v>562</v>
      </c>
      <c r="B567" s="139" t="inlineStr">
        <is>
          <t>2026/06/16 08:00</t>
        </is>
      </c>
      <c r="C567" s="139" t="inlineStr">
        <is>
          <t>LƯU THỊ MỸ</t>
        </is>
      </c>
      <c r="D567" s="139" t="inlineStr">
        <is>
          <t>01/01/1962</t>
        </is>
      </c>
      <c r="E567" s="139" t="inlineStr">
        <is>
          <t>Truyền hóa chất tĩnh mạch [nội trú]</t>
        </is>
      </c>
      <c r="F567" s="260" t="n">
        <v>1</v>
      </c>
      <c r="G567" s="260" t="n">
        <v>400000</v>
      </c>
      <c r="H567" s="93">
        <f>G594*25%*75%</f>
        <v/>
      </c>
    </row>
    <row r="568" hidden="1" ht="15.75" customHeight="1" s="248">
      <c r="A568" s="92" t="n">
        <v>563</v>
      </c>
      <c r="B568" s="139" t="inlineStr">
        <is>
          <t>2026/06/16 08:34</t>
        </is>
      </c>
      <c r="C568" s="139" t="inlineStr">
        <is>
          <t>PHẠM THỊ HỒNG GẤM</t>
        </is>
      </c>
      <c r="D568" s="139" t="inlineStr">
        <is>
          <t>01/01/1979</t>
        </is>
      </c>
      <c r="E568" s="139" t="inlineStr">
        <is>
          <t>Cắt chỉ sau phẫu thuật</t>
        </is>
      </c>
      <c r="F568" s="260" t="n">
        <v>1</v>
      </c>
      <c r="G568" s="260" t="n">
        <v>100000</v>
      </c>
      <c r="H568" s="93">
        <f>G596*25%*75%</f>
        <v/>
      </c>
    </row>
    <row r="569" hidden="1" ht="15.75" customHeight="1" s="248">
      <c r="A569" s="92" t="n">
        <v>564</v>
      </c>
      <c r="B569" s="139" t="inlineStr">
        <is>
          <t>2026/06/16 13:59</t>
        </is>
      </c>
      <c r="C569" s="139" t="inlineStr">
        <is>
          <t>TRẦN VĂN XIÊN</t>
        </is>
      </c>
      <c r="D569" s="139" t="inlineStr">
        <is>
          <t>01/01/1964</t>
        </is>
      </c>
      <c r="E569" s="139" t="inlineStr">
        <is>
          <t>Thay băng, cắt chỉ vết mổ [chiều dài ≤ 15cm]</t>
        </is>
      </c>
      <c r="F569" s="260" t="n">
        <v>1</v>
      </c>
      <c r="G569" s="260" t="n">
        <v>100000</v>
      </c>
      <c r="H569" s="93">
        <f>G598*25%*75%</f>
        <v/>
      </c>
    </row>
    <row r="570" hidden="1" ht="15.75" customHeight="1" s="248">
      <c r="A570" s="92" t="n">
        <v>565</v>
      </c>
      <c r="B570" s="139" t="inlineStr">
        <is>
          <t>2026/06/17 05:00</t>
        </is>
      </c>
      <c r="C570" s="139" t="inlineStr">
        <is>
          <t>BÙI THỊ THU BA</t>
        </is>
      </c>
      <c r="D570" s="139" t="inlineStr">
        <is>
          <t>01/01/1960</t>
        </is>
      </c>
      <c r="E570" s="139" t="inlineStr">
        <is>
          <t>Thay băng, cắt chỉ vết mổ [chiều dài ≤ 15cm]</t>
        </is>
      </c>
      <c r="F570" s="260" t="n">
        <v>1</v>
      </c>
      <c r="G570" s="260" t="n">
        <v>100000</v>
      </c>
      <c r="H570" s="93">
        <f>G599*25%*75%</f>
        <v/>
      </c>
    </row>
    <row r="571" hidden="1" ht="15.75" customHeight="1" s="248">
      <c r="A571" s="92" t="n">
        <v>566</v>
      </c>
      <c r="B571" s="139" t="inlineStr">
        <is>
          <t>2026/06/17 05:00</t>
        </is>
      </c>
      <c r="C571" s="139" t="inlineStr">
        <is>
          <t>CAO HÙNG PHONG</t>
        </is>
      </c>
      <c r="D571" s="139" t="inlineStr">
        <is>
          <t>15/04/1969</t>
        </is>
      </c>
      <c r="E571" s="139" t="inlineStr">
        <is>
          <t>Thay băng, cắt chỉ vết mổ [chiều dài ≤ 15cm]</t>
        </is>
      </c>
      <c r="F571" s="260" t="n">
        <v>1</v>
      </c>
      <c r="G571" s="260" t="n">
        <v>100000</v>
      </c>
      <c r="H571" s="93">
        <f>G600*25%*75%</f>
        <v/>
      </c>
    </row>
    <row r="572" hidden="1" ht="15.75" customHeight="1" s="248">
      <c r="A572" s="92" t="n">
        <v>567</v>
      </c>
      <c r="B572" s="139" t="inlineStr">
        <is>
          <t>2026/06/17 05:00</t>
        </is>
      </c>
      <c r="C572" s="139" t="inlineStr">
        <is>
          <t>CHÂU THỊ A</t>
        </is>
      </c>
      <c r="D572" s="139" t="inlineStr">
        <is>
          <t>01/01/1958</t>
        </is>
      </c>
      <c r="E572" s="139" t="inlineStr">
        <is>
          <t>Thay băng, cắt chỉ vết mổ [chiều dài ≤ 15cm]</t>
        </is>
      </c>
      <c r="F572" s="260" t="n">
        <v>1</v>
      </c>
      <c r="G572" s="260" t="n">
        <v>64300</v>
      </c>
      <c r="H572" s="93">
        <f>G601*25%*75%</f>
        <v/>
      </c>
    </row>
    <row r="573" hidden="1" ht="15.75" customHeight="1" s="248">
      <c r="A573" s="92" t="n">
        <v>568</v>
      </c>
      <c r="B573" s="139" t="inlineStr">
        <is>
          <t>2026/06/17 05:00</t>
        </is>
      </c>
      <c r="C573" s="139" t="inlineStr">
        <is>
          <t>CHÂU THỊ A</t>
        </is>
      </c>
      <c r="D573" s="139" t="inlineStr">
        <is>
          <t>01/01/1958</t>
        </is>
      </c>
      <c r="E573" s="139" t="inlineStr">
        <is>
          <t>Thay băng, cắt chỉ vết mổ [chiều dài ≤ 15cm]</t>
        </is>
      </c>
      <c r="F573" s="260" t="n">
        <v>1</v>
      </c>
      <c r="G573" s="260" t="n">
        <v>64300</v>
      </c>
      <c r="H573" s="93">
        <f>G602*25%*75%</f>
        <v/>
      </c>
    </row>
    <row r="574" hidden="1" ht="15.75" customHeight="1" s="248">
      <c r="A574" s="92" t="n">
        <v>569</v>
      </c>
      <c r="B574" s="139" t="inlineStr">
        <is>
          <t>2026/06/17 05:00</t>
        </is>
      </c>
      <c r="C574" s="139" t="inlineStr">
        <is>
          <t>HUỲNH NGỌC SƯƠNG</t>
        </is>
      </c>
      <c r="D574" s="139" t="inlineStr">
        <is>
          <t>05/05/1954</t>
        </is>
      </c>
      <c r="E574" s="139" t="inlineStr">
        <is>
          <t>Thay băng, cắt chỉ vết mổ [chiều dài ≤ 15cm]</t>
        </is>
      </c>
      <c r="F574" s="260" t="n">
        <v>1</v>
      </c>
      <c r="G574" s="260" t="n">
        <v>100000</v>
      </c>
      <c r="H574" s="93">
        <f>G603*25%*75%</f>
        <v/>
      </c>
    </row>
    <row r="575" hidden="1" ht="15.75" customHeight="1" s="248">
      <c r="A575" s="92" t="n">
        <v>570</v>
      </c>
      <c r="B575" s="139" t="inlineStr">
        <is>
          <t>2026/06/17 05:00</t>
        </is>
      </c>
      <c r="C575" s="139" t="inlineStr">
        <is>
          <t>HUỲNH VĂN CỨ</t>
        </is>
      </c>
      <c r="D575" s="139" t="inlineStr">
        <is>
          <t>01/01/1967</t>
        </is>
      </c>
      <c r="E575" s="139" t="inlineStr">
        <is>
          <t>Thay băng, cắt chỉ vết mổ [chiều dài ≤ 15cm]</t>
        </is>
      </c>
      <c r="F575" s="260" t="n">
        <v>1</v>
      </c>
      <c r="G575" s="260" t="n">
        <v>100000</v>
      </c>
      <c r="H575" s="93">
        <f>G604*25%*75%</f>
        <v/>
      </c>
    </row>
    <row r="576" hidden="1" ht="15.75" customHeight="1" s="248">
      <c r="A576" s="92" t="n">
        <v>571</v>
      </c>
      <c r="B576" s="139" t="inlineStr">
        <is>
          <t>2026/06/17 05:00</t>
        </is>
      </c>
      <c r="C576" s="139" t="inlineStr">
        <is>
          <t>HUỲNH VĂN CỨ</t>
        </is>
      </c>
      <c r="D576" s="139" t="inlineStr">
        <is>
          <t>01/01/1967</t>
        </is>
      </c>
      <c r="E576" s="139" t="inlineStr">
        <is>
          <t>Thay băng, cắt chỉ vết mổ [chiều dài ≤ 15cm]</t>
        </is>
      </c>
      <c r="F576" s="260" t="n">
        <v>1</v>
      </c>
      <c r="G576" s="260" t="n">
        <v>100000</v>
      </c>
      <c r="H576" s="93">
        <f>G605*25%*75%</f>
        <v/>
      </c>
    </row>
    <row r="577" hidden="1" ht="15.75" customHeight="1" s="248">
      <c r="A577" s="92" t="n">
        <v>572</v>
      </c>
      <c r="B577" s="139" t="inlineStr">
        <is>
          <t>2026/06/17 05:00</t>
        </is>
      </c>
      <c r="C577" s="139" t="inlineStr">
        <is>
          <t>NGUYỄN THỊ NGỌC DUYÊN</t>
        </is>
      </c>
      <c r="D577" s="139" t="inlineStr">
        <is>
          <t>01/02/1971</t>
        </is>
      </c>
      <c r="E577" s="139" t="inlineStr">
        <is>
          <t>Thay băng, cắt chỉ vết mổ [chiều dài ≤ 15cm]</t>
        </is>
      </c>
      <c r="F577" s="260" t="n">
        <v>1</v>
      </c>
      <c r="G577" s="260" t="n">
        <v>100000</v>
      </c>
      <c r="H577" s="93">
        <f>G606*25%*75%</f>
        <v/>
      </c>
    </row>
    <row r="578" hidden="1" ht="15.75" customHeight="1" s="248">
      <c r="A578" s="92" t="n">
        <v>573</v>
      </c>
      <c r="B578" s="139" t="inlineStr">
        <is>
          <t>2026/06/17 05:00</t>
        </is>
      </c>
      <c r="C578" s="139" t="inlineStr">
        <is>
          <t>NGUYỄN THỊ NGỌC ĐIỆP</t>
        </is>
      </c>
      <c r="D578" s="139" t="inlineStr">
        <is>
          <t>20/08/1973</t>
        </is>
      </c>
      <c r="E578" s="139" t="inlineStr">
        <is>
          <t>Thay băng, cắt chỉ vết mổ [chiều dài ≤ 15cm]</t>
        </is>
      </c>
      <c r="F578" s="260" t="n">
        <v>1</v>
      </c>
      <c r="G578" s="260" t="n">
        <v>100000</v>
      </c>
      <c r="H578" s="93">
        <f>G607*25%*75%</f>
        <v/>
      </c>
    </row>
    <row r="579" hidden="1" ht="15.75" customHeight="1" s="248">
      <c r="A579" s="92" t="n">
        <v>574</v>
      </c>
      <c r="B579" s="139" t="inlineStr">
        <is>
          <t>2026/06/17 05:00</t>
        </is>
      </c>
      <c r="C579" s="139" t="inlineStr">
        <is>
          <t>PHAN KIỀU TIÊN</t>
        </is>
      </c>
      <c r="D579" s="139" t="inlineStr">
        <is>
          <t>01/01/1973</t>
        </is>
      </c>
      <c r="E579" s="139" t="inlineStr">
        <is>
          <t>Thay băng, cắt chỉ vết mổ [chiều dài ≤ 15cm]</t>
        </is>
      </c>
      <c r="F579" s="260" t="n">
        <v>1</v>
      </c>
      <c r="G579" s="260" t="n">
        <v>100000</v>
      </c>
      <c r="H579" s="93">
        <f>G608*25%*75%</f>
        <v/>
      </c>
    </row>
    <row r="580" hidden="1" ht="15.75" customHeight="1" s="248">
      <c r="A580" s="92" t="n">
        <v>575</v>
      </c>
      <c r="B580" s="139" t="inlineStr">
        <is>
          <t>2026/06/17 05:00</t>
        </is>
      </c>
      <c r="C580" s="139" t="inlineStr">
        <is>
          <t>TIÊU QUỐC TOÀN</t>
        </is>
      </c>
      <c r="D580" s="139" t="inlineStr">
        <is>
          <t>29/12/2004</t>
        </is>
      </c>
      <c r="E580" s="139" t="inlineStr">
        <is>
          <t>Thay băng, cắt chỉ vết mổ [chiều dài ≤ 15cm]</t>
        </is>
      </c>
      <c r="F580" s="260" t="n">
        <v>1</v>
      </c>
      <c r="G580" s="260" t="n">
        <v>100000</v>
      </c>
      <c r="H580" s="93">
        <f>G609*25%*75%</f>
        <v/>
      </c>
    </row>
    <row r="581" hidden="1" ht="15.75" customHeight="1" s="248">
      <c r="A581" s="92" t="n">
        <v>576</v>
      </c>
      <c r="B581" s="139" t="inlineStr">
        <is>
          <t>2026/06/17 05:00</t>
        </is>
      </c>
      <c r="C581" s="139" t="inlineStr">
        <is>
          <t>VÕ THANH SANG</t>
        </is>
      </c>
      <c r="D581" s="139" t="inlineStr">
        <is>
          <t>03/12/2003</t>
        </is>
      </c>
      <c r="E581" s="139" t="inlineStr">
        <is>
          <t>Thay băng, cắt chỉ vết mổ [chiều dài ≤ 15cm]</t>
        </is>
      </c>
      <c r="F581" s="260" t="n">
        <v>1</v>
      </c>
      <c r="G581" s="260" t="n">
        <v>100000</v>
      </c>
      <c r="H581" s="93">
        <f>G610*25%*75%</f>
        <v/>
      </c>
    </row>
    <row r="582" hidden="1" ht="15.75" customHeight="1" s="248">
      <c r="A582" s="92" t="n">
        <v>577</v>
      </c>
      <c r="B582" s="139" t="inlineStr">
        <is>
          <t>2026/06/17 05:00</t>
        </is>
      </c>
      <c r="C582" s="139" t="inlineStr">
        <is>
          <t>ĐỖ THỊ PHƯƠNG MAI</t>
        </is>
      </c>
      <c r="D582" s="139" t="inlineStr">
        <is>
          <t>23/04/1980</t>
        </is>
      </c>
      <c r="E582" s="139" t="inlineStr">
        <is>
          <t>Thay băng, cắt chỉ vết mổ [chiều dài ≤ 15cm]</t>
        </is>
      </c>
      <c r="F582" s="260" t="n">
        <v>1</v>
      </c>
      <c r="G582" s="260" t="n">
        <v>100000</v>
      </c>
      <c r="H582" s="93">
        <f>G611*25%*75%</f>
        <v/>
      </c>
    </row>
    <row r="583" hidden="1" ht="15.75" customHeight="1" s="248">
      <c r="A583" s="92" t="n">
        <v>578</v>
      </c>
      <c r="B583" s="139" t="inlineStr">
        <is>
          <t>2026/06/17 06:20</t>
        </is>
      </c>
      <c r="C583" s="139" t="inlineStr">
        <is>
          <t>TRẦN THỊ MỘNG THẮM</t>
        </is>
      </c>
      <c r="D583" s="139" t="inlineStr">
        <is>
          <t>01/01/1970</t>
        </is>
      </c>
      <c r="E583" s="139" t="inlineStr">
        <is>
          <t>Thay băng, cắt chỉ vết mổ [chiều dài ≤ 15cm]</t>
        </is>
      </c>
      <c r="F583" s="260" t="n">
        <v>1</v>
      </c>
      <c r="G583" s="260" t="n">
        <v>100000</v>
      </c>
      <c r="H583" s="93">
        <f>G612*25%*75%</f>
        <v/>
      </c>
    </row>
    <row r="584" hidden="1" ht="15.75" customHeight="1" s="248">
      <c r="A584" s="92" t="n">
        <v>579</v>
      </c>
      <c r="B584" s="139" t="inlineStr">
        <is>
          <t>2026/06/17 06:20</t>
        </is>
      </c>
      <c r="C584" s="139" t="inlineStr">
        <is>
          <t>TRẦN THỊ MỘNG THẮM</t>
        </is>
      </c>
      <c r="D584" s="139" t="inlineStr">
        <is>
          <t>01/01/1970</t>
        </is>
      </c>
      <c r="E584" s="139" t="inlineStr">
        <is>
          <t>Thay băng, cắt chỉ vết mổ [chiều dài ≤ 15cm]</t>
        </is>
      </c>
      <c r="F584" s="260" t="n">
        <v>1</v>
      </c>
      <c r="G584" s="260" t="n">
        <v>100000</v>
      </c>
      <c r="H584" s="93">
        <f>G613*25%*75%</f>
        <v/>
      </c>
    </row>
    <row r="585" hidden="1" ht="15.75" customHeight="1" s="248">
      <c r="A585" s="92" t="n">
        <v>580</v>
      </c>
      <c r="B585" s="139" t="inlineStr">
        <is>
          <t>2026/06/17 06:35</t>
        </is>
      </c>
      <c r="C585" s="139" t="inlineStr">
        <is>
          <t>CHIÊM THỊ NHÀN</t>
        </is>
      </c>
      <c r="D585" s="139" t="inlineStr">
        <is>
          <t>01/01/1953</t>
        </is>
      </c>
      <c r="E585" s="139" t="inlineStr">
        <is>
          <t>Thay băng, cắt chỉ vết mổ [chiều dài ≤ 15cm]</t>
        </is>
      </c>
      <c r="F585" s="260" t="n">
        <v>1</v>
      </c>
      <c r="G585" s="260" t="n">
        <v>100000</v>
      </c>
      <c r="H585" s="93">
        <f>G614*25%*75%</f>
        <v/>
      </c>
    </row>
    <row r="586" hidden="1" ht="15.75" customHeight="1" s="248">
      <c r="A586" s="92" t="n">
        <v>581</v>
      </c>
      <c r="B586" s="139" t="inlineStr">
        <is>
          <t>2026/06/17 06:35</t>
        </is>
      </c>
      <c r="C586" s="139" t="inlineStr">
        <is>
          <t>CHIÊM THỊ NHÀN</t>
        </is>
      </c>
      <c r="D586" s="139" t="inlineStr">
        <is>
          <t>01/01/1953</t>
        </is>
      </c>
      <c r="E586" s="139" t="inlineStr">
        <is>
          <t>Thay băng, cắt chỉ vết mổ [chiều dài ≤ 15cm]</t>
        </is>
      </c>
      <c r="F586" s="260" t="n">
        <v>1</v>
      </c>
      <c r="G586" s="260" t="n">
        <v>100000</v>
      </c>
      <c r="H586" s="93">
        <f>G615*25%*75%</f>
        <v/>
      </c>
    </row>
    <row r="587" hidden="1" ht="15.75" customHeight="1" s="248">
      <c r="A587" s="92" t="n">
        <v>582</v>
      </c>
      <c r="B587" s="139" t="inlineStr">
        <is>
          <t>2026/06/17 06:50</t>
        </is>
      </c>
      <c r="C587" s="139" t="inlineStr">
        <is>
          <t>CAO THỊ BẢY</t>
        </is>
      </c>
      <c r="D587" s="139" t="inlineStr">
        <is>
          <t>09/10/1941</t>
        </is>
      </c>
      <c r="E587" s="139" t="inlineStr">
        <is>
          <t>Thay băng, cắt chỉ vết mổ [chiều dài ≤ 15cm]</t>
        </is>
      </c>
      <c r="F587" s="260" t="n">
        <v>1</v>
      </c>
      <c r="G587" s="260" t="n">
        <v>100000</v>
      </c>
      <c r="H587" s="93">
        <f>G616*25%*75%</f>
        <v/>
      </c>
    </row>
    <row r="588" hidden="1" ht="15.75" customHeight="1" s="248">
      <c r="A588" s="92" t="n">
        <v>583</v>
      </c>
      <c r="B588" s="139" t="inlineStr">
        <is>
          <t>2026/06/17 06:57</t>
        </is>
      </c>
      <c r="C588" s="139" t="inlineStr">
        <is>
          <t>ĐẶNG THỊ XOE</t>
        </is>
      </c>
      <c r="D588" s="139" t="inlineStr">
        <is>
          <t>01/01/1936</t>
        </is>
      </c>
      <c r="E588" s="139" t="inlineStr">
        <is>
          <t>Thay băng, cắt chỉ vết mổ [chiều dài ≤ 15cm]</t>
        </is>
      </c>
      <c r="F588" s="260" t="n">
        <v>1</v>
      </c>
      <c r="G588" s="260" t="n">
        <v>100000</v>
      </c>
      <c r="H588" s="93">
        <f>G617*25%*75%</f>
        <v/>
      </c>
    </row>
    <row r="589" hidden="1" ht="15.75" customHeight="1" s="248">
      <c r="A589" s="92" t="n">
        <v>584</v>
      </c>
      <c r="B589" s="139" t="inlineStr">
        <is>
          <t>2026/06/17 07:00</t>
        </is>
      </c>
      <c r="C589" s="139" t="inlineStr">
        <is>
          <t>HOÀNG TUẤN ANH</t>
        </is>
      </c>
      <c r="D589" s="139" t="inlineStr">
        <is>
          <t>07/12/1982</t>
        </is>
      </c>
      <c r="E589" s="139" t="inlineStr">
        <is>
          <t>Thay băng, cắt chỉ vết mổ [chiều dài ≤ 15cm]</t>
        </is>
      </c>
      <c r="F589" s="260" t="n">
        <v>1</v>
      </c>
      <c r="G589" s="260" t="n">
        <v>100000</v>
      </c>
      <c r="H589" s="93">
        <f>G618*25%*75%</f>
        <v/>
      </c>
    </row>
    <row r="590" hidden="1" ht="15.75" customHeight="1" s="248">
      <c r="A590" s="92" t="n">
        <v>585</v>
      </c>
      <c r="B590" s="139" t="inlineStr">
        <is>
          <t>2026/06/17 07:00</t>
        </is>
      </c>
      <c r="C590" s="139" t="inlineStr">
        <is>
          <t>HUỲNH KIM ĐỒNG</t>
        </is>
      </c>
      <c r="D590" s="139" t="inlineStr">
        <is>
          <t>01/01/1944</t>
        </is>
      </c>
      <c r="E590" s="139" t="inlineStr">
        <is>
          <t>Thay băng, cắt chỉ vết mổ [chiều dài ≤ 15cm]</t>
        </is>
      </c>
      <c r="F590" s="260" t="n">
        <v>1</v>
      </c>
      <c r="G590" s="260" t="n">
        <v>100000</v>
      </c>
      <c r="H590" s="93">
        <f>G619*25%*75%</f>
        <v/>
      </c>
    </row>
    <row r="591" hidden="1" ht="15.75" customHeight="1" s="248">
      <c r="A591" s="92" t="n">
        <v>586</v>
      </c>
      <c r="B591" s="139" t="inlineStr">
        <is>
          <t>2026/06/17 07:00</t>
        </is>
      </c>
      <c r="C591" s="139" t="inlineStr">
        <is>
          <t>HỒ VĂN DÃ</t>
        </is>
      </c>
      <c r="D591" s="139" t="inlineStr">
        <is>
          <t>21/12/1976</t>
        </is>
      </c>
      <c r="E591" s="139" t="inlineStr">
        <is>
          <t>Thay băng, cắt chỉ vết mổ [chiều dài ≤ 15cm]</t>
        </is>
      </c>
      <c r="F591" s="260" t="n">
        <v>1</v>
      </c>
      <c r="G591" s="260" t="n">
        <v>100000</v>
      </c>
      <c r="H591" s="93">
        <f>G620*25%*75%</f>
        <v/>
      </c>
    </row>
    <row r="592" hidden="1" ht="15.75" customHeight="1" s="248">
      <c r="A592" s="92" t="n">
        <v>587</v>
      </c>
      <c r="B592" s="139" t="inlineStr">
        <is>
          <t>2026/06/17 07:00</t>
        </is>
      </c>
      <c r="C592" s="139" t="inlineStr">
        <is>
          <t>LÊ THÀNH ĐẠT</t>
        </is>
      </c>
      <c r="D592" s="139" t="inlineStr">
        <is>
          <t>06/11/1975</t>
        </is>
      </c>
      <c r="E592" s="139" t="inlineStr">
        <is>
          <t>Thay băng, cắt chỉ vết mổ [chiều dài ≤ 15cm]</t>
        </is>
      </c>
      <c r="F592" s="260" t="n">
        <v>1</v>
      </c>
      <c r="G592" s="260" t="n">
        <v>100000</v>
      </c>
      <c r="H592" s="93">
        <f>G621*25%*75%</f>
        <v/>
      </c>
    </row>
    <row r="593" hidden="1" ht="15.75" customHeight="1" s="248">
      <c r="A593" s="92" t="n">
        <v>588</v>
      </c>
      <c r="B593" s="139" t="inlineStr">
        <is>
          <t>2026/06/17 07:00</t>
        </is>
      </c>
      <c r="C593" s="139" t="inlineStr">
        <is>
          <t>MAI THÀNH DƯƠNG</t>
        </is>
      </c>
      <c r="D593" s="139" t="inlineStr">
        <is>
          <t>10/04/1964</t>
        </is>
      </c>
      <c r="E593" s="139" t="inlineStr">
        <is>
          <t>Thay băng, cắt chỉ vết mổ [chiều dài ≤ 15cm]</t>
        </is>
      </c>
      <c r="F593" s="260" t="n">
        <v>1</v>
      </c>
      <c r="G593" s="260" t="n">
        <v>100000</v>
      </c>
      <c r="H593" s="93">
        <f>G622*25%*75%</f>
        <v/>
      </c>
    </row>
    <row r="594" hidden="1" ht="15.75" customHeight="1" s="248">
      <c r="A594" s="92" t="n">
        <v>589</v>
      </c>
      <c r="B594" s="139" t="inlineStr">
        <is>
          <t>2026/06/17 07:00</t>
        </is>
      </c>
      <c r="C594" s="139" t="inlineStr">
        <is>
          <t>NGUYỄN THỊ MƯỜI</t>
        </is>
      </c>
      <c r="D594" s="139" t="inlineStr">
        <is>
          <t>01/01/1951</t>
        </is>
      </c>
      <c r="E594" s="139" t="inlineStr">
        <is>
          <t>Thay băng, cắt chỉ vết mổ [chiều dài ≤ 15cm]</t>
        </is>
      </c>
      <c r="F594" s="260" t="n">
        <v>1</v>
      </c>
      <c r="G594" s="260" t="n">
        <v>100000</v>
      </c>
      <c r="H594" s="93">
        <f>G623*25%*75%</f>
        <v/>
      </c>
    </row>
    <row r="595" hidden="1" ht="15.75" customHeight="1" s="248">
      <c r="A595" s="92" t="n">
        <v>590</v>
      </c>
      <c r="B595" s="139" t="inlineStr">
        <is>
          <t>2026/06/17 07:00</t>
        </is>
      </c>
      <c r="C595" s="139" t="inlineStr">
        <is>
          <t>TÔ VĂN THIỆN</t>
        </is>
      </c>
      <c r="D595" s="139" t="inlineStr">
        <is>
          <t>01/01/1963</t>
        </is>
      </c>
      <c r="E595" s="139" t="inlineStr">
        <is>
          <t>Thay băng, cắt chỉ vết mổ [chiều dài ≤ 15cm]</t>
        </is>
      </c>
      <c r="F595" s="260" t="n">
        <v>1</v>
      </c>
      <c r="G595" s="260" t="n">
        <v>100000</v>
      </c>
      <c r="H595" s="93">
        <f>G624*25%*75%</f>
        <v/>
      </c>
    </row>
    <row r="596" hidden="1" ht="15.75" customHeight="1" s="248">
      <c r="A596" s="92" t="n">
        <v>591</v>
      </c>
      <c r="B596" s="139" t="inlineStr">
        <is>
          <t>2026/06/17 07:00</t>
        </is>
      </c>
      <c r="C596" s="139" t="inlineStr">
        <is>
          <t>ĐẶNG TÔN THỊNH</t>
        </is>
      </c>
      <c r="D596" s="139" t="inlineStr">
        <is>
          <t>03/02/1983</t>
        </is>
      </c>
      <c r="E596" s="139" t="inlineStr">
        <is>
          <t>Thay băng, cắt chỉ vết mổ [chiều dài ≤ 15cm]</t>
        </is>
      </c>
      <c r="F596" s="260" t="n">
        <v>1</v>
      </c>
      <c r="G596" s="260" t="n">
        <v>100000</v>
      </c>
      <c r="H596" s="93">
        <f>G625*25%*75%</f>
        <v/>
      </c>
    </row>
    <row r="597" hidden="1" ht="15.75" customHeight="1" s="248">
      <c r="A597" s="92" t="n">
        <v>592</v>
      </c>
      <c r="B597" s="139" t="inlineStr">
        <is>
          <t>2026/06/17 07:30</t>
        </is>
      </c>
      <c r="C597" s="139" t="inlineStr">
        <is>
          <t>CAO KIỀU DUYÊN</t>
        </is>
      </c>
      <c r="D597" s="139" t="inlineStr">
        <is>
          <t>12/06/1991</t>
        </is>
      </c>
      <c r="E597" s="139" t="inlineStr">
        <is>
          <t>Thay băng, cắt chỉ vết mổ [chiều dài ≤ 15cm]</t>
        </is>
      </c>
      <c r="F597" s="260" t="n">
        <v>1</v>
      </c>
      <c r="G597" s="260" t="n">
        <v>100000</v>
      </c>
      <c r="H597" s="93">
        <f>G626*25%*75%</f>
        <v/>
      </c>
    </row>
    <row r="598" hidden="1" ht="15.75" customHeight="1" s="248">
      <c r="A598" s="92" t="n">
        <v>593</v>
      </c>
      <c r="B598" s="139" t="inlineStr">
        <is>
          <t>2026/06/17 07:30</t>
        </is>
      </c>
      <c r="C598" s="139" t="inlineStr">
        <is>
          <t>TRIỆU CẨM THU</t>
        </is>
      </c>
      <c r="D598" s="139" t="inlineStr">
        <is>
          <t>27/03/1973</t>
        </is>
      </c>
      <c r="E598" s="139" t="inlineStr">
        <is>
          <t>Thay băng, cắt chỉ vết mổ [chiều dài ≤ 15cm]</t>
        </is>
      </c>
      <c r="F598" s="260" t="n">
        <v>1</v>
      </c>
      <c r="G598" s="260" t="n">
        <v>100000</v>
      </c>
      <c r="H598" s="93">
        <f>G627*25%*75%</f>
        <v/>
      </c>
    </row>
    <row r="599" hidden="1" ht="15.75" customHeight="1" s="248">
      <c r="A599" s="92" t="n">
        <v>594</v>
      </c>
      <c r="B599" s="139" t="inlineStr">
        <is>
          <t>2026/06/17 07:58</t>
        </is>
      </c>
      <c r="C599" s="139" t="inlineStr">
        <is>
          <t>NGUYỄN THỊ KIM CHI</t>
        </is>
      </c>
      <c r="D599" s="139" t="inlineStr">
        <is>
          <t>01/10/1951</t>
        </is>
      </c>
      <c r="E599" s="139" t="inlineStr">
        <is>
          <t>Cắt móng quặm 1 ngón</t>
        </is>
      </c>
      <c r="F599" s="260" t="n">
        <v>1</v>
      </c>
      <c r="G599" s="260" t="n">
        <v>800000</v>
      </c>
      <c r="H599" s="93">
        <f>G629*25%*75%</f>
        <v/>
      </c>
    </row>
    <row r="600" hidden="1" ht="15.75" customHeight="1" s="248">
      <c r="A600" s="92" t="n">
        <v>595</v>
      </c>
      <c r="B600" s="139" t="inlineStr">
        <is>
          <t>2026/06/17 08:38</t>
        </is>
      </c>
      <c r="C600" s="139" t="inlineStr">
        <is>
          <t>PHAN TUẤN GIỚI</t>
        </is>
      </c>
      <c r="D600" s="139" t="inlineStr">
        <is>
          <t>15/02/1965</t>
        </is>
      </c>
      <c r="E600" s="139" t="inlineStr">
        <is>
          <t>Cắt chỉ sau phẫu thuật</t>
        </is>
      </c>
      <c r="F600" s="260" t="n">
        <v>1</v>
      </c>
      <c r="G600" s="260" t="n">
        <v>100000</v>
      </c>
      <c r="H600" s="93">
        <f>G630*25%*75%</f>
        <v/>
      </c>
    </row>
    <row r="601" hidden="1" ht="15.75" customHeight="1" s="248">
      <c r="A601" s="92" t="n">
        <v>596</v>
      </c>
      <c r="B601" s="139" t="inlineStr">
        <is>
          <t>2026/06/17 08:52</t>
        </is>
      </c>
      <c r="C601" s="139" t="inlineStr">
        <is>
          <t>NGUYỄN ĐINH CÔNG TIẾN</t>
        </is>
      </c>
      <c r="D601" s="139" t="inlineStr">
        <is>
          <t>24/06/2007</t>
        </is>
      </c>
      <c r="E601" s="139" t="inlineStr">
        <is>
          <t>Cắt móng quặm 1 ngón</t>
        </is>
      </c>
      <c r="F601" s="260" t="n">
        <v>1</v>
      </c>
      <c r="G601" s="260" t="n">
        <v>800000</v>
      </c>
      <c r="H601" s="93">
        <f>G631*25%*75%</f>
        <v/>
      </c>
    </row>
    <row r="602" hidden="1" ht="15.75" customHeight="1" s="248">
      <c r="A602" s="92" t="n">
        <v>597</v>
      </c>
      <c r="B602" s="139" t="inlineStr">
        <is>
          <t>2026/06/17 09:00</t>
        </is>
      </c>
      <c r="C602" s="139" t="inlineStr">
        <is>
          <t>NGUYỄN DUY LINH</t>
        </is>
      </c>
      <c r="D602" s="139" t="inlineStr">
        <is>
          <t>15/01/1964</t>
        </is>
      </c>
      <c r="E602" s="139" t="inlineStr">
        <is>
          <t>Cắt chỉ sau phẫu thuật</t>
        </is>
      </c>
      <c r="F602" s="260" t="n">
        <v>1</v>
      </c>
      <c r="G602" s="260" t="n">
        <v>40300</v>
      </c>
      <c r="H602" s="93">
        <f>G632*25%*75%</f>
        <v/>
      </c>
    </row>
    <row r="603" hidden="1" ht="15.75" customHeight="1" s="248">
      <c r="A603" s="92" t="n">
        <v>598</v>
      </c>
      <c r="B603" s="139" t="inlineStr">
        <is>
          <t>2026/06/17 16:47</t>
        </is>
      </c>
      <c r="C603" s="139" t="inlineStr">
        <is>
          <t>ĐẶNG THỊ XOE</t>
        </is>
      </c>
      <c r="D603" s="139" t="inlineStr">
        <is>
          <t>01/01/1936</t>
        </is>
      </c>
      <c r="E603" s="139" t="inlineStr">
        <is>
          <t>Thay băng, cắt chỉ vết mổ [chiều dài ≤ 15cm]</t>
        </is>
      </c>
      <c r="F603" s="260" t="n">
        <v>1</v>
      </c>
      <c r="G603" s="260" t="n">
        <v>100000</v>
      </c>
      <c r="H603" s="93">
        <f>G638*25%*75%</f>
        <v/>
      </c>
    </row>
    <row r="604" hidden="1" ht="15.75" customHeight="1" s="248">
      <c r="A604" s="92" t="n">
        <v>599</v>
      </c>
      <c r="B604" s="139" t="inlineStr">
        <is>
          <t>2026/06/18 05:00</t>
        </is>
      </c>
      <c r="C604" s="139" t="inlineStr">
        <is>
          <t>BÙI THỊ THU BA</t>
        </is>
      </c>
      <c r="D604" s="139" t="inlineStr">
        <is>
          <t>01/01/1960</t>
        </is>
      </c>
      <c r="E604" s="139" t="inlineStr">
        <is>
          <t>Thay băng, cắt chỉ vết mổ [chiều dài ≤ 15cm]</t>
        </is>
      </c>
      <c r="F604" s="260" t="n">
        <v>1</v>
      </c>
      <c r="G604" s="260" t="n">
        <v>100000</v>
      </c>
      <c r="H604" s="93">
        <f>G639*25%*75%</f>
        <v/>
      </c>
    </row>
    <row r="605" hidden="1" ht="15.75" customHeight="1" s="248">
      <c r="A605" s="92" t="n">
        <v>600</v>
      </c>
      <c r="B605" s="139" t="inlineStr">
        <is>
          <t>2026/06/18 05:00</t>
        </is>
      </c>
      <c r="C605" s="139" t="inlineStr">
        <is>
          <t>CAO HÙNG PHONG</t>
        </is>
      </c>
      <c r="D605" s="139" t="inlineStr">
        <is>
          <t>15/04/1969</t>
        </is>
      </c>
      <c r="E605" s="139" t="inlineStr">
        <is>
          <t>Thay băng, cắt chỉ vết mổ [chiều dài ≤ 15cm]</t>
        </is>
      </c>
      <c r="F605" s="260" t="n">
        <v>1</v>
      </c>
      <c r="G605" s="260" t="n">
        <v>100000</v>
      </c>
      <c r="H605" s="93">
        <f>G640*25%*75%</f>
        <v/>
      </c>
    </row>
    <row r="606" hidden="1" ht="15.75" customHeight="1" s="248">
      <c r="A606" s="92" t="n">
        <v>601</v>
      </c>
      <c r="B606" s="139" t="inlineStr">
        <is>
          <t>2026/06/18 05:00</t>
        </is>
      </c>
      <c r="C606" s="139" t="inlineStr">
        <is>
          <t>CAO KIỀU DUYÊN</t>
        </is>
      </c>
      <c r="D606" s="139" t="inlineStr">
        <is>
          <t>12/06/1991</t>
        </is>
      </c>
      <c r="E606" s="139" t="inlineStr">
        <is>
          <t>Thay băng, cắt chỉ vết mổ [chiều dài ≤ 15cm]</t>
        </is>
      </c>
      <c r="F606" s="260" t="n">
        <v>1</v>
      </c>
      <c r="G606" s="260" t="n">
        <v>100000</v>
      </c>
      <c r="H606" s="93">
        <f>G641*25%*75%</f>
        <v/>
      </c>
    </row>
    <row r="607" hidden="1" ht="15.75" customHeight="1" s="248">
      <c r="A607" s="92" t="n">
        <v>602</v>
      </c>
      <c r="B607" s="139" t="inlineStr">
        <is>
          <t>2026/06/18 05:00</t>
        </is>
      </c>
      <c r="C607" s="139" t="inlineStr">
        <is>
          <t>HUỲNH THANH TÚ</t>
        </is>
      </c>
      <c r="D607" s="139" t="inlineStr">
        <is>
          <t>25/05/1995</t>
        </is>
      </c>
      <c r="E607" s="139" t="inlineStr">
        <is>
          <t>Thay băng, cắt chỉ vết mổ [chiều dài ≤ 15cm]</t>
        </is>
      </c>
      <c r="F607" s="260" t="n">
        <v>1</v>
      </c>
      <c r="G607" s="260" t="n">
        <v>100000</v>
      </c>
      <c r="H607" s="93">
        <f>G642*25%*75%</f>
        <v/>
      </c>
    </row>
    <row r="608" hidden="1" ht="15.75" customHeight="1" s="248">
      <c r="A608" s="92" t="n">
        <v>603</v>
      </c>
      <c r="B608" s="139" t="inlineStr">
        <is>
          <t>2026/06/18 05:00</t>
        </is>
      </c>
      <c r="C608" s="139" t="inlineStr">
        <is>
          <t>HUỲNH VĂN CỨ</t>
        </is>
      </c>
      <c r="D608" s="139" t="inlineStr">
        <is>
          <t>01/01/1967</t>
        </is>
      </c>
      <c r="E608" s="139" t="inlineStr">
        <is>
          <t>Thay băng, cắt chỉ vết mổ [chiều dài ≤ 15cm]</t>
        </is>
      </c>
      <c r="F608" s="260" t="n">
        <v>1</v>
      </c>
      <c r="G608" s="260" t="n">
        <v>100000</v>
      </c>
      <c r="H608" s="93">
        <f>G643*25%*75%</f>
        <v/>
      </c>
    </row>
    <row r="609" hidden="1" ht="15.75" customHeight="1" s="248">
      <c r="A609" s="92" t="n">
        <v>604</v>
      </c>
      <c r="B609" s="139" t="inlineStr">
        <is>
          <t>2026/06/18 05:00</t>
        </is>
      </c>
      <c r="C609" s="139" t="inlineStr">
        <is>
          <t>HUỲNH VĂN CỨ</t>
        </is>
      </c>
      <c r="D609" s="139" t="inlineStr">
        <is>
          <t>01/01/1967</t>
        </is>
      </c>
      <c r="E609" s="139" t="inlineStr">
        <is>
          <t>Thay băng, cắt chỉ vết mổ [chiều dài ≤ 15cm]</t>
        </is>
      </c>
      <c r="F609" s="260" t="n">
        <v>1</v>
      </c>
      <c r="G609" s="260" t="n">
        <v>100000</v>
      </c>
      <c r="H609" s="93">
        <f>G644*25%*75%</f>
        <v/>
      </c>
    </row>
    <row r="610" hidden="1" ht="15.75" customHeight="1" s="248">
      <c r="A610" s="92" t="n">
        <v>605</v>
      </c>
      <c r="B610" s="139" t="inlineStr">
        <is>
          <t>2026/06/18 05:00</t>
        </is>
      </c>
      <c r="C610" s="139" t="inlineStr">
        <is>
          <t>HỒ VĂN DÃ</t>
        </is>
      </c>
      <c r="D610" s="139" t="inlineStr">
        <is>
          <t>21/12/1976</t>
        </is>
      </c>
      <c r="E610" s="139" t="inlineStr">
        <is>
          <t>Thay băng, cắt chỉ vết mổ [chiều dài ≤ 15cm]</t>
        </is>
      </c>
      <c r="F610" s="260" t="n">
        <v>1</v>
      </c>
      <c r="G610" s="260" t="n">
        <v>100000</v>
      </c>
      <c r="H610" s="93">
        <f>G645*25%*75%</f>
        <v/>
      </c>
    </row>
    <row r="611" hidden="1" ht="15.75" customHeight="1" s="248">
      <c r="A611" s="92" t="n">
        <v>606</v>
      </c>
      <c r="B611" s="139" t="inlineStr">
        <is>
          <t>2026/06/18 05:00</t>
        </is>
      </c>
      <c r="C611" s="139" t="inlineStr">
        <is>
          <t>LÊ DUY HÙNG</t>
        </is>
      </c>
      <c r="D611" s="139" t="inlineStr">
        <is>
          <t>19/05/1978</t>
        </is>
      </c>
      <c r="E611" s="139" t="inlineStr">
        <is>
          <t>Thay băng, cắt chỉ vết mổ [chiều dài ≤ 15cm]</t>
        </is>
      </c>
      <c r="F611" s="260" t="n">
        <v>1</v>
      </c>
      <c r="G611" s="260" t="n">
        <v>100000</v>
      </c>
      <c r="H611" s="93">
        <f>G646*25%*75%</f>
        <v/>
      </c>
    </row>
    <row r="612" hidden="1" ht="15.75" customHeight="1" s="248">
      <c r="A612" s="92" t="n">
        <v>607</v>
      </c>
      <c r="B612" s="139" t="inlineStr">
        <is>
          <t>2026/06/18 05:00</t>
        </is>
      </c>
      <c r="C612" s="139" t="inlineStr">
        <is>
          <t>PHAN KIỀU TIÊN</t>
        </is>
      </c>
      <c r="D612" s="139" t="inlineStr">
        <is>
          <t>01/01/1973</t>
        </is>
      </c>
      <c r="E612" s="139" t="inlineStr">
        <is>
          <t>Thay băng, cắt chỉ vết mổ [chiều dài ≤ 15cm]</t>
        </is>
      </c>
      <c r="F612" s="260" t="n">
        <v>1</v>
      </c>
      <c r="G612" s="260" t="n">
        <v>100000</v>
      </c>
      <c r="H612" s="93">
        <f>G647*25%*75%</f>
        <v/>
      </c>
    </row>
    <row r="613" hidden="1" ht="15.75" customHeight="1" s="248">
      <c r="A613" s="92" t="n">
        <v>608</v>
      </c>
      <c r="B613" s="139" t="inlineStr">
        <is>
          <t>2026/06/18 05:00</t>
        </is>
      </c>
      <c r="C613" s="139" t="inlineStr">
        <is>
          <t>VÕ THANH SANG</t>
        </is>
      </c>
      <c r="D613" s="139" t="inlineStr">
        <is>
          <t>03/12/2003</t>
        </is>
      </c>
      <c r="E613" s="139" t="inlineStr">
        <is>
          <t>Thay băng, cắt chỉ vết mổ [chiều dài ≤ 15cm]</t>
        </is>
      </c>
      <c r="F613" s="260" t="n">
        <v>1</v>
      </c>
      <c r="G613" s="260" t="n">
        <v>100000</v>
      </c>
      <c r="H613" s="93">
        <f>G648*25%*75%</f>
        <v/>
      </c>
    </row>
    <row r="614" hidden="1" ht="15.75" customHeight="1" s="248">
      <c r="A614" s="92" t="n">
        <v>609</v>
      </c>
      <c r="B614" s="139" t="inlineStr">
        <is>
          <t>2026/06/18 05:00</t>
        </is>
      </c>
      <c r="C614" s="139" t="inlineStr">
        <is>
          <t>VÕ THỊ TUYẾT PHƯƠNG</t>
        </is>
      </c>
      <c r="D614" s="139" t="inlineStr">
        <is>
          <t>20/01/1994</t>
        </is>
      </c>
      <c r="E614" s="139" t="inlineStr">
        <is>
          <t>Thay băng, cắt chỉ vết mổ [chiều dài ≤ 15cm]</t>
        </is>
      </c>
      <c r="F614" s="260" t="n">
        <v>1</v>
      </c>
      <c r="G614" s="260" t="n">
        <v>100000</v>
      </c>
      <c r="H614" s="93">
        <f>G649*25%*75%</f>
        <v/>
      </c>
    </row>
    <row r="615" hidden="1" ht="15.75" customHeight="1" s="248">
      <c r="A615" s="92" t="n">
        <v>610</v>
      </c>
      <c r="B615" s="139" t="inlineStr">
        <is>
          <t>2026/06/18 05:00</t>
        </is>
      </c>
      <c r="C615" s="139" t="inlineStr">
        <is>
          <t>CHÂU THỊ A</t>
        </is>
      </c>
      <c r="D615" s="139" t="inlineStr">
        <is>
          <t>01/01/1958</t>
        </is>
      </c>
      <c r="E615" s="139" t="inlineStr">
        <is>
          <t>Thay băng, cắt chỉ vết mổ [chiều dài ≤ 15cm]</t>
        </is>
      </c>
      <c r="F615" s="260" t="n">
        <v>1</v>
      </c>
      <c r="G615" s="260" t="n">
        <v>64300</v>
      </c>
      <c r="H615" s="93">
        <f>G650*25%*75%</f>
        <v/>
      </c>
    </row>
    <row r="616" hidden="1" ht="15.75" customHeight="1" s="248">
      <c r="A616" s="92" t="n">
        <v>611</v>
      </c>
      <c r="B616" s="139" t="inlineStr">
        <is>
          <t>2026/06/18 06:00</t>
        </is>
      </c>
      <c r="C616" s="139" t="inlineStr">
        <is>
          <t>CAO THỊ BẢY</t>
        </is>
      </c>
      <c r="D616" s="139" t="inlineStr">
        <is>
          <t>09/10/1941</t>
        </is>
      </c>
      <c r="E616" s="139" t="inlineStr">
        <is>
          <t>Thay băng, cắt chỉ vết mổ [chiều dài ≤ 15cm]</t>
        </is>
      </c>
      <c r="F616" s="260" t="n">
        <v>1</v>
      </c>
      <c r="G616" s="260" t="n">
        <v>100000</v>
      </c>
      <c r="H616" s="93">
        <f>G651*25%*75%</f>
        <v/>
      </c>
    </row>
    <row r="617" hidden="1" ht="15.75" customHeight="1" s="248">
      <c r="A617" s="92" t="n">
        <v>612</v>
      </c>
      <c r="B617" s="139" t="inlineStr">
        <is>
          <t>2026/06/18 06:10</t>
        </is>
      </c>
      <c r="C617" s="139" t="inlineStr">
        <is>
          <t>TIÊU QUỐC TOÀN</t>
        </is>
      </c>
      <c r="D617" s="139" t="inlineStr">
        <is>
          <t>29/12/2004</t>
        </is>
      </c>
      <c r="E617" s="139" t="inlineStr">
        <is>
          <t>Thay băng, cắt chỉ vết mổ [chiều dài ≤ 15cm]</t>
        </is>
      </c>
      <c r="F617" s="260" t="n">
        <v>1</v>
      </c>
      <c r="G617" s="260" t="n">
        <v>100000</v>
      </c>
      <c r="H617" s="93">
        <f>G652*25%*75%</f>
        <v/>
      </c>
    </row>
    <row r="618" hidden="1" ht="15.75" customHeight="1" s="248">
      <c r="A618" s="92" t="n">
        <v>613</v>
      </c>
      <c r="B618" s="139" t="inlineStr">
        <is>
          <t>2026/06/18 06:15</t>
        </is>
      </c>
      <c r="C618" s="139" t="inlineStr">
        <is>
          <t>ĐẶNG THỊ XOE</t>
        </is>
      </c>
      <c r="D618" s="139" t="inlineStr">
        <is>
          <t>01/01/1936</t>
        </is>
      </c>
      <c r="E618" s="139" t="inlineStr">
        <is>
          <t>Thay băng, cắt chỉ vết mổ [chiều dài ≤ 15cm]</t>
        </is>
      </c>
      <c r="F618" s="260" t="n">
        <v>1</v>
      </c>
      <c r="G618" s="260" t="n">
        <v>100000</v>
      </c>
      <c r="H618" s="93">
        <f>G653*25%*75%</f>
        <v/>
      </c>
    </row>
    <row r="619" hidden="1" ht="15.75" customHeight="1" s="248">
      <c r="A619" s="92" t="n">
        <v>614</v>
      </c>
      <c r="B619" s="139" t="inlineStr">
        <is>
          <t>2026/06/18 06:24</t>
        </is>
      </c>
      <c r="C619" s="139" t="inlineStr">
        <is>
          <t>TRẦN THỊ MỘNG THẮM</t>
        </is>
      </c>
      <c r="D619" s="139" t="inlineStr">
        <is>
          <t>01/01/1970</t>
        </is>
      </c>
      <c r="E619" s="139" t="inlineStr">
        <is>
          <t>Thay băng, cắt chỉ vết mổ [chiều dài ≤ 15cm]</t>
        </is>
      </c>
      <c r="F619" s="260" t="n">
        <v>1</v>
      </c>
      <c r="G619" s="260" t="n">
        <v>100000</v>
      </c>
      <c r="H619" s="93">
        <f>G654*25%*75%</f>
        <v/>
      </c>
    </row>
    <row r="620" hidden="1" ht="15.75" customHeight="1" s="248">
      <c r="A620" s="92" t="n">
        <v>615</v>
      </c>
      <c r="B620" s="139" t="inlineStr">
        <is>
          <t>2026/06/18 06:24</t>
        </is>
      </c>
      <c r="C620" s="139" t="inlineStr">
        <is>
          <t>TRẦN THỊ MỘNG THẮM</t>
        </is>
      </c>
      <c r="D620" s="139" t="inlineStr">
        <is>
          <t>01/01/1970</t>
        </is>
      </c>
      <c r="E620" s="139" t="inlineStr">
        <is>
          <t>Thay băng, cắt chỉ vết mổ [chiều dài ≤ 15cm]</t>
        </is>
      </c>
      <c r="F620" s="260" t="n">
        <v>1</v>
      </c>
      <c r="G620" s="260" t="n">
        <v>100000</v>
      </c>
      <c r="H620" s="93">
        <f>G655*25%*75%</f>
        <v/>
      </c>
    </row>
    <row r="621" hidden="1" ht="15.75" customHeight="1" s="248">
      <c r="A621" s="92" t="n">
        <v>616</v>
      </c>
      <c r="B621" s="139" t="inlineStr">
        <is>
          <t>2026/06/18 06:30</t>
        </is>
      </c>
      <c r="C621" s="139" t="inlineStr">
        <is>
          <t>CHIÊM THỊ NHÀN</t>
        </is>
      </c>
      <c r="D621" s="139" t="inlineStr">
        <is>
          <t>01/01/1953</t>
        </is>
      </c>
      <c r="E621" s="139" t="inlineStr">
        <is>
          <t>Thay băng, cắt chỉ vết mổ [chiều dài ≤ 15cm]</t>
        </is>
      </c>
      <c r="F621" s="260" t="n">
        <v>1</v>
      </c>
      <c r="G621" s="260" t="n">
        <v>100000</v>
      </c>
      <c r="H621" s="93">
        <f>G656*25%*75%</f>
        <v/>
      </c>
    </row>
    <row r="622" hidden="1" ht="15.75" customHeight="1" s="248">
      <c r="A622" s="92" t="n">
        <v>617</v>
      </c>
      <c r="B622" s="139" t="inlineStr">
        <is>
          <t>2026/06/18 06:36</t>
        </is>
      </c>
      <c r="C622" s="139" t="inlineStr">
        <is>
          <t>NGUYỄN THỊ NGỌC DUYÊN</t>
        </is>
      </c>
      <c r="D622" s="139" t="inlineStr">
        <is>
          <t>01/02/1971</t>
        </is>
      </c>
      <c r="E622" s="139" t="inlineStr">
        <is>
          <t>Thay băng, cắt chỉ vết mổ [chiều dài ≤ 15cm]</t>
        </is>
      </c>
      <c r="F622" s="260" t="n">
        <v>1</v>
      </c>
      <c r="G622" s="260" t="n">
        <v>100000</v>
      </c>
      <c r="H622" s="93">
        <f>G657*25%*75%</f>
        <v/>
      </c>
    </row>
    <row r="623" hidden="1" ht="15.75" customHeight="1" s="248">
      <c r="A623" s="92" t="n">
        <v>618</v>
      </c>
      <c r="B623" s="139" t="inlineStr">
        <is>
          <t>2026/06/18 06:42</t>
        </is>
      </c>
      <c r="C623" s="139" t="inlineStr">
        <is>
          <t>LÊ THỊ CẨM VÂN</t>
        </is>
      </c>
      <c r="D623" s="139" t="inlineStr">
        <is>
          <t>20/05/1985</t>
        </is>
      </c>
      <c r="E623" s="139" t="inlineStr">
        <is>
          <t>Thay băng, cắt chỉ vết mổ [chiều dài ≤ 15cm]</t>
        </is>
      </c>
      <c r="F623" s="260" t="n">
        <v>1</v>
      </c>
      <c r="G623" s="260" t="n">
        <v>100000</v>
      </c>
      <c r="H623" s="93">
        <f>G658*25%*75%</f>
        <v/>
      </c>
    </row>
    <row r="624" hidden="1" ht="15.75" customHeight="1" s="248">
      <c r="A624" s="92" t="n">
        <v>619</v>
      </c>
      <c r="B624" s="139" t="inlineStr">
        <is>
          <t>2026/06/18 06:45</t>
        </is>
      </c>
      <c r="C624" s="139" t="inlineStr">
        <is>
          <t>NGUYỄN THỊ NGỌC ĐIỆP</t>
        </is>
      </c>
      <c r="D624" s="139" t="inlineStr">
        <is>
          <t>20/08/1973</t>
        </is>
      </c>
      <c r="E624" s="139" t="inlineStr">
        <is>
          <t>Thay băng, cắt chỉ vết mổ [chiều dài ≤ 15cm]</t>
        </is>
      </c>
      <c r="F624" s="260" t="n">
        <v>1</v>
      </c>
      <c r="G624" s="260" t="n">
        <v>100000</v>
      </c>
      <c r="H624" s="93">
        <f>G659*25%*75%</f>
        <v/>
      </c>
    </row>
    <row r="625" hidden="1" ht="15.75" customHeight="1" s="248">
      <c r="A625" s="92" t="n">
        <v>620</v>
      </c>
      <c r="B625" s="139" t="inlineStr">
        <is>
          <t>2026/06/18 06:50</t>
        </is>
      </c>
      <c r="C625" s="139" t="inlineStr">
        <is>
          <t>CHIÊM THỊ NHÀN</t>
        </is>
      </c>
      <c r="D625" s="139" t="inlineStr">
        <is>
          <t>01/01/1953</t>
        </is>
      </c>
      <c r="E625" s="139" t="inlineStr">
        <is>
          <t>Thay băng, cắt chỉ vết mổ [chiều dài ≤ 15cm]</t>
        </is>
      </c>
      <c r="F625" s="260" t="n">
        <v>1</v>
      </c>
      <c r="G625" s="260" t="n">
        <v>100000</v>
      </c>
      <c r="H625" s="93">
        <f>G660*25%*75%</f>
        <v/>
      </c>
    </row>
    <row r="626" hidden="1" ht="15.75" customHeight="1" s="248">
      <c r="A626" s="92" t="n">
        <v>621</v>
      </c>
      <c r="B626" s="139" t="inlineStr">
        <is>
          <t>2026/06/18 07:00</t>
        </is>
      </c>
      <c r="C626" s="139" t="inlineStr">
        <is>
          <t>HUỲNH KIM ĐỒNG</t>
        </is>
      </c>
      <c r="D626" s="139" t="inlineStr">
        <is>
          <t>01/01/1944</t>
        </is>
      </c>
      <c r="E626" s="139" t="inlineStr">
        <is>
          <t>Thay băng, cắt chỉ vết mổ [chiều dài ≤ 15cm]</t>
        </is>
      </c>
      <c r="F626" s="260" t="n">
        <v>1</v>
      </c>
      <c r="G626" s="260" t="n">
        <v>100000</v>
      </c>
      <c r="H626" s="93">
        <f>G661*25%*75%</f>
        <v/>
      </c>
    </row>
    <row r="627" hidden="1" ht="15.75" customHeight="1" s="248">
      <c r="A627" s="92" t="n">
        <v>622</v>
      </c>
      <c r="B627" s="139" t="inlineStr">
        <is>
          <t>2026/06/18 07:00</t>
        </is>
      </c>
      <c r="C627" s="139" t="inlineStr">
        <is>
          <t>LÊ THÀNH ĐẠT</t>
        </is>
      </c>
      <c r="D627" s="139" t="inlineStr">
        <is>
          <t>06/11/1975</t>
        </is>
      </c>
      <c r="E627" s="139" t="inlineStr">
        <is>
          <t>Thay băng, cắt chỉ vết mổ [chiều dài ≤ 15cm]</t>
        </is>
      </c>
      <c r="F627" s="260" t="n">
        <v>1</v>
      </c>
      <c r="G627" s="260" t="n">
        <v>100000</v>
      </c>
      <c r="H627" s="93">
        <f>G662*25%*75%</f>
        <v/>
      </c>
    </row>
    <row r="628" hidden="1" ht="15.75" customHeight="1" s="248">
      <c r="A628" s="92" t="n">
        <v>623</v>
      </c>
      <c r="B628" s="139" t="inlineStr">
        <is>
          <t>2026/06/18 07:00</t>
        </is>
      </c>
      <c r="C628" s="139" t="inlineStr">
        <is>
          <t>MAI THÀNH DƯƠNG</t>
        </is>
      </c>
      <c r="D628" s="139" t="inlineStr">
        <is>
          <t>10/04/1964</t>
        </is>
      </c>
      <c r="E628" s="139" t="inlineStr">
        <is>
          <t>Thay băng, cắt chỉ vết mổ [chiều dài ≤ 15cm]</t>
        </is>
      </c>
      <c r="F628" s="260" t="n">
        <v>1</v>
      </c>
      <c r="G628" s="260" t="n">
        <v>100000</v>
      </c>
      <c r="H628" s="93">
        <f>G663*25%*75%</f>
        <v/>
      </c>
    </row>
    <row r="629" hidden="1" ht="15.75" customHeight="1" s="248">
      <c r="A629" s="92" t="n">
        <v>624</v>
      </c>
      <c r="B629" s="139" t="inlineStr">
        <is>
          <t>2026/06/18 07:00</t>
        </is>
      </c>
      <c r="C629" s="139" t="inlineStr">
        <is>
          <t>NGUYỄN MINH NHỰT</t>
        </is>
      </c>
      <c r="D629" s="139" t="inlineStr">
        <is>
          <t>10/06/1988</t>
        </is>
      </c>
      <c r="E629" s="139" t="inlineStr">
        <is>
          <t>Thay băng, cắt chỉ vết mổ [chiều dài ≤ 15cm]</t>
        </is>
      </c>
      <c r="F629" s="260" t="n">
        <v>1</v>
      </c>
      <c r="G629" s="260" t="n">
        <v>100000</v>
      </c>
      <c r="H629" s="93">
        <f>G664*25%*75%</f>
        <v/>
      </c>
    </row>
    <row r="630" hidden="1" ht="15.75" customHeight="1" s="248">
      <c r="A630" s="92" t="n">
        <v>625</v>
      </c>
      <c r="B630" s="139" t="inlineStr">
        <is>
          <t>2026/06/18 07:00</t>
        </is>
      </c>
      <c r="C630" s="139" t="inlineStr">
        <is>
          <t>NGUYỄN THỊ KIỀU LOAN</t>
        </is>
      </c>
      <c r="D630" s="139" t="inlineStr">
        <is>
          <t>01/01/1970</t>
        </is>
      </c>
      <c r="E630" s="139" t="inlineStr">
        <is>
          <t>Thay băng, cắt chỉ vết mổ [chiều dài ≤ 15cm]</t>
        </is>
      </c>
      <c r="F630" s="260" t="n">
        <v>1</v>
      </c>
      <c r="G630" s="260" t="n">
        <v>100000</v>
      </c>
      <c r="H630" s="93">
        <f>G665*25%*75%</f>
        <v/>
      </c>
    </row>
    <row r="631" hidden="1" ht="15.75" customHeight="1" s="248">
      <c r="A631" s="92" t="n">
        <v>626</v>
      </c>
      <c r="B631" s="139" t="inlineStr">
        <is>
          <t>2026/06/18 07:00</t>
        </is>
      </c>
      <c r="C631" s="139" t="inlineStr">
        <is>
          <t>NGUYỄN THỊ MƯỜI</t>
        </is>
      </c>
      <c r="D631" s="139" t="inlineStr">
        <is>
          <t>01/01/1951</t>
        </is>
      </c>
      <c r="E631" s="139" t="inlineStr">
        <is>
          <t>Thay băng, cắt chỉ vết mổ [chiều dài ≤ 15cm]</t>
        </is>
      </c>
      <c r="F631" s="260" t="n">
        <v>1</v>
      </c>
      <c r="G631" s="260" t="n">
        <v>100000</v>
      </c>
      <c r="H631" s="93">
        <f>G666*25%*75%</f>
        <v/>
      </c>
    </row>
    <row r="632" hidden="1" ht="15.75" customHeight="1" s="248">
      <c r="A632" s="92" t="n">
        <v>627</v>
      </c>
      <c r="B632" s="139" t="inlineStr">
        <is>
          <t>2026/06/18 07:00</t>
        </is>
      </c>
      <c r="C632" s="139" t="inlineStr">
        <is>
          <t>TRIỆU CẨM THU</t>
        </is>
      </c>
      <c r="D632" s="139" t="inlineStr">
        <is>
          <t>27/03/1973</t>
        </is>
      </c>
      <c r="E632" s="139" t="inlineStr">
        <is>
          <t>Thay băng, cắt chỉ vết mổ [chiều dài ≤ 15cm]</t>
        </is>
      </c>
      <c r="F632" s="260" t="n">
        <v>1</v>
      </c>
      <c r="G632" s="260" t="n">
        <v>100000</v>
      </c>
      <c r="H632" s="93">
        <f>G667*25%*75%</f>
        <v/>
      </c>
    </row>
    <row r="633" hidden="1" ht="15.75" customHeight="1" s="248">
      <c r="A633" s="92" t="n">
        <v>628</v>
      </c>
      <c r="B633" s="139" t="inlineStr">
        <is>
          <t>2026/06/18 07:00</t>
        </is>
      </c>
      <c r="C633" s="139" t="inlineStr">
        <is>
          <t>TRẦN THỊ BÉ BA</t>
        </is>
      </c>
      <c r="D633" s="139" t="inlineStr">
        <is>
          <t>01/01/1966</t>
        </is>
      </c>
      <c r="E633" s="139" t="inlineStr">
        <is>
          <t>Thay băng, cắt chỉ vết mổ [chiều dài ≤ 15cm]</t>
        </is>
      </c>
      <c r="F633" s="260" t="n">
        <v>1</v>
      </c>
      <c r="G633" s="260" t="n">
        <v>100000</v>
      </c>
      <c r="H633" s="93">
        <f>G668*25%*75%</f>
        <v/>
      </c>
    </row>
    <row r="634" hidden="1" ht="15.75" customHeight="1" s="248">
      <c r="A634" s="92" t="n">
        <v>629</v>
      </c>
      <c r="B634" s="139" t="inlineStr">
        <is>
          <t>2026/06/18 07:00</t>
        </is>
      </c>
      <c r="C634" s="139" t="inlineStr">
        <is>
          <t>TÔ VĂN THIỆN</t>
        </is>
      </c>
      <c r="D634" s="139" t="inlineStr">
        <is>
          <t>01/01/1963</t>
        </is>
      </c>
      <c r="E634" s="139" t="inlineStr">
        <is>
          <t>Thay băng, cắt chỉ vết mổ [chiều dài ≤ 15cm]</t>
        </is>
      </c>
      <c r="F634" s="260" t="n">
        <v>1</v>
      </c>
      <c r="G634" s="260" t="n">
        <v>100000</v>
      </c>
      <c r="H634" s="93">
        <f>G669*25%*75%</f>
        <v/>
      </c>
    </row>
    <row r="635" hidden="1" ht="15.75" customHeight="1" s="248">
      <c r="A635" s="92" t="n">
        <v>630</v>
      </c>
      <c r="B635" s="139" t="inlineStr">
        <is>
          <t>2026/06/18 07:48</t>
        </is>
      </c>
      <c r="C635" s="139" t="inlineStr">
        <is>
          <t>PHẠM THỊ PHƯƠNG THẢO</t>
        </is>
      </c>
      <c r="D635" s="139" t="inlineStr">
        <is>
          <t>03/06/1998</t>
        </is>
      </c>
      <c r="E635" s="139" t="inlineStr">
        <is>
          <t>Thay băng, cắt chỉ vết mổ [chiều dài ≤ 15cm]</t>
        </is>
      </c>
      <c r="F635" s="260" t="n">
        <v>1</v>
      </c>
      <c r="G635" s="260" t="n">
        <v>100000</v>
      </c>
      <c r="H635" s="93">
        <f>G670*25%*75%</f>
        <v/>
      </c>
    </row>
    <row r="636" hidden="1" ht="15.75" customHeight="1" s="248">
      <c r="A636" s="92" t="n">
        <v>631</v>
      </c>
      <c r="B636" s="139" t="inlineStr">
        <is>
          <t>2026/06/18 08:30</t>
        </is>
      </c>
      <c r="C636" s="139" t="inlineStr">
        <is>
          <t>LÊ VĂN NỮA</t>
        </is>
      </c>
      <c r="D636" s="139" t="inlineStr">
        <is>
          <t>05/01/1959</t>
        </is>
      </c>
      <c r="E636" s="139" t="inlineStr">
        <is>
          <t>Nẹp bột các loại, không nắn (loại 1)</t>
        </is>
      </c>
      <c r="F636" s="260" t="n">
        <v>1</v>
      </c>
      <c r="G636" s="260" t="n">
        <v>200000</v>
      </c>
      <c r="H636" s="93">
        <f>G671*25%*75%</f>
        <v/>
      </c>
    </row>
    <row r="637" hidden="1" ht="15.75" customHeight="1" s="248">
      <c r="A637" s="92" t="n">
        <v>632</v>
      </c>
      <c r="B637" s="139" t="inlineStr">
        <is>
          <t>2026/06/18 10:26</t>
        </is>
      </c>
      <c r="C637" s="139" t="inlineStr">
        <is>
          <t>NGUYỄN VĂN CẤP</t>
        </is>
      </c>
      <c r="D637" s="139" t="inlineStr">
        <is>
          <t>01/01/1957</t>
        </is>
      </c>
      <c r="E637" s="139" t="inlineStr">
        <is>
          <t>Thay băng, cắt chỉ vết mổ</t>
        </is>
      </c>
      <c r="F637" s="260" t="n">
        <v>1</v>
      </c>
      <c r="G637" s="260" t="n">
        <v>40300</v>
      </c>
      <c r="H637" s="93">
        <f>G672*25%*75%</f>
        <v/>
      </c>
    </row>
    <row r="638" hidden="1" ht="15.75" customHeight="1" s="248">
      <c r="A638" s="92" t="n">
        <v>633</v>
      </c>
      <c r="B638" s="139" t="inlineStr">
        <is>
          <t>2026/06/18 11:31</t>
        </is>
      </c>
      <c r="C638" s="139" t="inlineStr">
        <is>
          <t>NGUYỄN CÔNG THÀNH</t>
        </is>
      </c>
      <c r="D638" s="139" t="inlineStr">
        <is>
          <t>04/02/1999</t>
        </is>
      </c>
      <c r="E638" s="139" t="inlineStr">
        <is>
          <t>Nắn, bó bột gãy xương bàn, ngón tay [bột liền]</t>
        </is>
      </c>
      <c r="F638" s="260" t="n">
        <v>1</v>
      </c>
      <c r="G638" s="260" t="n">
        <v>400000</v>
      </c>
      <c r="H638" s="93">
        <f>G674*25%*75%</f>
        <v/>
      </c>
    </row>
    <row r="639" hidden="1" ht="15.75" customHeight="1" s="248">
      <c r="A639" s="92" t="n">
        <v>634</v>
      </c>
      <c r="B639" s="139" t="inlineStr">
        <is>
          <t>2026/06/18 13:31</t>
        </is>
      </c>
      <c r="C639" s="139" t="inlineStr">
        <is>
          <t>LÊ THỊ Y BÌNH</t>
        </is>
      </c>
      <c r="D639" s="139" t="inlineStr">
        <is>
          <t>06/08/1995</t>
        </is>
      </c>
      <c r="E639" s="139" t="inlineStr">
        <is>
          <t>Cắt chỉ kim loại</t>
        </is>
      </c>
      <c r="F639" s="260" t="n">
        <v>1</v>
      </c>
      <c r="G639" s="260" t="n">
        <v>120000</v>
      </c>
      <c r="H639" s="93">
        <f>G675*25%*75%</f>
        <v/>
      </c>
    </row>
    <row r="640" hidden="1" ht="15.75" customHeight="1" s="248">
      <c r="A640" s="92" t="n">
        <v>635</v>
      </c>
      <c r="B640" s="139" t="inlineStr">
        <is>
          <t>2026/06/18 13:43</t>
        </is>
      </c>
      <c r="C640" s="139" t="inlineStr">
        <is>
          <t>LÊ THỊ NGỌC BÍCH</t>
        </is>
      </c>
      <c r="D640" s="139" t="inlineStr">
        <is>
          <t>01/01/1956</t>
        </is>
      </c>
      <c r="E640" s="139" t="inlineStr">
        <is>
          <t>Cắt chỉ kim loại</t>
        </is>
      </c>
      <c r="F640" s="260" t="n">
        <v>1</v>
      </c>
      <c r="G640" s="260" t="n">
        <v>120000</v>
      </c>
      <c r="H640" s="93">
        <f>G676*25%*75%</f>
        <v/>
      </c>
    </row>
    <row r="641" hidden="1" ht="15.75" customHeight="1" s="248">
      <c r="A641" s="92" t="n">
        <v>636</v>
      </c>
      <c r="B641" s="139" t="inlineStr">
        <is>
          <t>2026/06/18 16:11</t>
        </is>
      </c>
      <c r="C641" s="139" t="inlineStr">
        <is>
          <t>TRẦN THỊ TRÚC LINH</t>
        </is>
      </c>
      <c r="D641" s="139" t="inlineStr">
        <is>
          <t>03/03/2014</t>
        </is>
      </c>
      <c r="E641" s="139" t="inlineStr">
        <is>
          <t>Thay băng, cắt chỉ vết mổ [chiều dài ≤ 15cm]</t>
        </is>
      </c>
      <c r="F641" s="260" t="n">
        <v>1</v>
      </c>
      <c r="G641" s="260" t="n">
        <v>100000</v>
      </c>
      <c r="H641" s="93">
        <f>G677*25%*75%</f>
        <v/>
      </c>
    </row>
    <row r="642" hidden="1" ht="15.75" customHeight="1" s="248">
      <c r="A642" s="92" t="n">
        <v>637</v>
      </c>
      <c r="B642" s="139" t="inlineStr">
        <is>
          <t>2026/06/19 05:00</t>
        </is>
      </c>
      <c r="C642" s="139" t="inlineStr">
        <is>
          <t>CAO HÙNG PHONG</t>
        </is>
      </c>
      <c r="D642" s="139" t="inlineStr">
        <is>
          <t>15/04/1969</t>
        </is>
      </c>
      <c r="E642" s="139" t="inlineStr">
        <is>
          <t>Thay băng, cắt chỉ vết mổ [chiều dài ≤ 15cm]</t>
        </is>
      </c>
      <c r="F642" s="260" t="n">
        <v>1</v>
      </c>
      <c r="G642" s="260" t="n">
        <v>100000</v>
      </c>
      <c r="H642" s="93">
        <f>G678*25%*75%</f>
        <v/>
      </c>
    </row>
    <row r="643" hidden="1" ht="15.75" customHeight="1" s="248">
      <c r="A643" s="92" t="n">
        <v>638</v>
      </c>
      <c r="B643" s="139" t="inlineStr">
        <is>
          <t>2026/06/19 05:00</t>
        </is>
      </c>
      <c r="C643" s="139" t="inlineStr">
        <is>
          <t>CAO KIỀU DUYÊN</t>
        </is>
      </c>
      <c r="D643" s="139" t="inlineStr">
        <is>
          <t>12/06/1991</t>
        </is>
      </c>
      <c r="E643" s="139" t="inlineStr">
        <is>
          <t>Thay băng, cắt chỉ vết mổ [chiều dài ≤ 15cm]</t>
        </is>
      </c>
      <c r="F643" s="260" t="n">
        <v>1</v>
      </c>
      <c r="G643" s="260" t="n">
        <v>100000</v>
      </c>
      <c r="H643" s="93">
        <f>G679*25%*75%</f>
        <v/>
      </c>
    </row>
    <row r="644" hidden="1" ht="15.75" customHeight="1" s="248">
      <c r="A644" s="92" t="n">
        <v>639</v>
      </c>
      <c r="B644" s="139" t="inlineStr">
        <is>
          <t>2026/06/19 05:00</t>
        </is>
      </c>
      <c r="C644" s="139" t="inlineStr">
        <is>
          <t>HUỲNH VĂN CỨ</t>
        </is>
      </c>
      <c r="D644" s="139" t="inlineStr">
        <is>
          <t>01/01/1967</t>
        </is>
      </c>
      <c r="E644" s="139" t="inlineStr">
        <is>
          <t>Thay băng, cắt chỉ vết mổ [chiều dài ≤ 15cm]</t>
        </is>
      </c>
      <c r="F644" s="260" t="n">
        <v>1</v>
      </c>
      <c r="G644" s="260" t="n">
        <v>100000</v>
      </c>
      <c r="H644" s="93">
        <f>G680*25%*75%</f>
        <v/>
      </c>
    </row>
    <row r="645" hidden="1" ht="15.75" customHeight="1" s="248">
      <c r="A645" s="92" t="n">
        <v>640</v>
      </c>
      <c r="B645" s="139" t="inlineStr">
        <is>
          <t>2026/06/19 05:00</t>
        </is>
      </c>
      <c r="C645" s="139" t="inlineStr">
        <is>
          <t>HUỲNH VĂN CỨ</t>
        </is>
      </c>
      <c r="D645" s="139" t="inlineStr">
        <is>
          <t>01/01/1967</t>
        </is>
      </c>
      <c r="E645" s="139" t="inlineStr">
        <is>
          <t>Thay băng, cắt chỉ vết mổ [chiều dài ≤ 15cm]</t>
        </is>
      </c>
      <c r="F645" s="260" t="n">
        <v>1</v>
      </c>
      <c r="G645" s="260" t="n">
        <v>100000</v>
      </c>
      <c r="H645" s="93">
        <f>G681*25%*75%</f>
        <v/>
      </c>
    </row>
    <row r="646" hidden="1" ht="15.75" customHeight="1" s="248">
      <c r="A646" s="92" t="n">
        <v>641</v>
      </c>
      <c r="B646" s="139" t="inlineStr">
        <is>
          <t>2026/06/19 05:00</t>
        </is>
      </c>
      <c r="C646" s="139" t="inlineStr">
        <is>
          <t>HỒ VĂN DÃ</t>
        </is>
      </c>
      <c r="D646" s="139" t="inlineStr">
        <is>
          <t>21/12/1976</t>
        </is>
      </c>
      <c r="E646" s="139" t="inlineStr">
        <is>
          <t>Thay băng, cắt chỉ vết mổ [chiều dài ≤ 15cm]</t>
        </is>
      </c>
      <c r="F646" s="260" t="n">
        <v>1</v>
      </c>
      <c r="G646" s="260" t="n">
        <v>100000</v>
      </c>
      <c r="H646" s="93">
        <f>G682*25%*75%</f>
        <v/>
      </c>
    </row>
    <row r="647" hidden="1" ht="15.75" customHeight="1" s="248">
      <c r="A647" s="92" t="n">
        <v>642</v>
      </c>
      <c r="B647" s="139" t="inlineStr">
        <is>
          <t>2026/06/19 05:00</t>
        </is>
      </c>
      <c r="C647" s="139" t="inlineStr">
        <is>
          <t>NGUYỄN MINH NHỰT</t>
        </is>
      </c>
      <c r="D647" s="139" t="inlineStr">
        <is>
          <t>10/06/1988</t>
        </is>
      </c>
      <c r="E647" s="139" t="inlineStr">
        <is>
          <t>Thay băng, cắt chỉ vết mổ [chiều dài ≤ 15cm]</t>
        </is>
      </c>
      <c r="F647" s="260" t="n">
        <v>1</v>
      </c>
      <c r="G647" s="260" t="n">
        <v>100000</v>
      </c>
      <c r="H647" s="93">
        <f>G683*25%*75%</f>
        <v/>
      </c>
    </row>
    <row r="648" hidden="1" ht="15.75" customHeight="1" s="248">
      <c r="A648" s="92" t="n">
        <v>643</v>
      </c>
      <c r="B648" s="139" t="inlineStr">
        <is>
          <t>2026/06/19 05:00</t>
        </is>
      </c>
      <c r="C648" s="139" t="inlineStr">
        <is>
          <t>NGUYỄN THỊ KIỀU LOAN</t>
        </is>
      </c>
      <c r="D648" s="139" t="inlineStr">
        <is>
          <t>01/01/1970</t>
        </is>
      </c>
      <c r="E648" s="139" t="inlineStr">
        <is>
          <t>Thay băng, cắt chỉ vết mổ [chiều dài ≤ 15cm]</t>
        </is>
      </c>
      <c r="F648" s="260" t="n">
        <v>1</v>
      </c>
      <c r="G648" s="260" t="n">
        <v>100000</v>
      </c>
      <c r="H648" s="93">
        <f>G684*25%*75%</f>
        <v/>
      </c>
    </row>
    <row r="649" hidden="1" ht="15.75" customHeight="1" s="248">
      <c r="A649" s="92" t="n">
        <v>644</v>
      </c>
      <c r="B649" s="139" t="inlineStr">
        <is>
          <t>2026/06/19 05:00</t>
        </is>
      </c>
      <c r="C649" s="139" t="inlineStr">
        <is>
          <t>PHAN KIỀU TIÊN</t>
        </is>
      </c>
      <c r="D649" s="139" t="inlineStr">
        <is>
          <t>01/01/1973</t>
        </is>
      </c>
      <c r="E649" s="139" t="inlineStr">
        <is>
          <t>Thay băng, cắt chỉ vết mổ [chiều dài ≤ 15cm]</t>
        </is>
      </c>
      <c r="F649" s="260" t="n">
        <v>1</v>
      </c>
      <c r="G649" s="260" t="n">
        <v>100000</v>
      </c>
      <c r="H649" s="93">
        <f>G685*25%*75%</f>
        <v/>
      </c>
    </row>
    <row r="650" hidden="1" ht="15.75" customHeight="1" s="248">
      <c r="A650" s="92" t="n">
        <v>645</v>
      </c>
      <c r="B650" s="139" t="inlineStr">
        <is>
          <t>2026/06/19 05:00</t>
        </is>
      </c>
      <c r="C650" s="139" t="inlineStr">
        <is>
          <t>PHẠM THỊ PHƯƠNG THẢO</t>
        </is>
      </c>
      <c r="D650" s="139" t="inlineStr">
        <is>
          <t>03/06/1998</t>
        </is>
      </c>
      <c r="E650" s="139" t="inlineStr">
        <is>
          <t>Thay băng, cắt chỉ vết mổ [chiều dài ≤ 15cm]</t>
        </is>
      </c>
      <c r="F650" s="260" t="n">
        <v>1</v>
      </c>
      <c r="G650" s="260" t="n">
        <v>100000</v>
      </c>
      <c r="H650" s="93">
        <f>G686*25%*75%</f>
        <v/>
      </c>
    </row>
    <row r="651" hidden="1" ht="15.75" customHeight="1" s="248">
      <c r="A651" s="92" t="n">
        <v>646</v>
      </c>
      <c r="B651" s="139" t="inlineStr">
        <is>
          <t>2026/06/19 05:00</t>
        </is>
      </c>
      <c r="C651" s="139" t="inlineStr">
        <is>
          <t>CHÂU THỊ A</t>
        </is>
      </c>
      <c r="D651" s="139" t="inlineStr">
        <is>
          <t>01/01/1958</t>
        </is>
      </c>
      <c r="E651" s="139" t="inlineStr">
        <is>
          <t>Thay băng, cắt chỉ vết mổ [chiều dài ≤ 15cm]</t>
        </is>
      </c>
      <c r="F651" s="260" t="n">
        <v>1</v>
      </c>
      <c r="G651" s="260" t="n">
        <v>64300</v>
      </c>
      <c r="H651" s="93">
        <f>G687*25%*75%</f>
        <v/>
      </c>
    </row>
    <row r="652" hidden="1" ht="15.75" customHeight="1" s="248">
      <c r="A652" s="92" t="n">
        <v>647</v>
      </c>
      <c r="B652" s="139" t="inlineStr">
        <is>
          <t>2026/06/19 06:00</t>
        </is>
      </c>
      <c r="C652" s="139" t="inlineStr">
        <is>
          <t>NGUYỄN THỊ NGỌC ĐIỆP</t>
        </is>
      </c>
      <c r="D652" s="139" t="inlineStr">
        <is>
          <t>20/08/1973</t>
        </is>
      </c>
      <c r="E652" s="139" t="inlineStr">
        <is>
          <t>Thay băng, cắt chỉ vết mổ [chiều dài ≤ 15cm]</t>
        </is>
      </c>
      <c r="F652" s="260" t="n">
        <v>1</v>
      </c>
      <c r="G652" s="260" t="n">
        <v>100000</v>
      </c>
      <c r="H652" s="93">
        <f>G688*25%*75%</f>
        <v/>
      </c>
    </row>
    <row r="653" hidden="1" ht="15.75" customHeight="1" s="248">
      <c r="A653" s="92" t="n">
        <v>648</v>
      </c>
      <c r="B653" s="139" t="inlineStr">
        <is>
          <t>2026/06/19 06:10</t>
        </is>
      </c>
      <c r="C653" s="139" t="inlineStr">
        <is>
          <t>ĐẶNG THỊ XOE</t>
        </is>
      </c>
      <c r="D653" s="139" t="inlineStr">
        <is>
          <t>01/01/1936</t>
        </is>
      </c>
      <c r="E653" s="139" t="inlineStr">
        <is>
          <t>Thay băng, cắt chỉ vết mổ [chiều dài ≤ 15cm]</t>
        </is>
      </c>
      <c r="F653" s="260" t="n">
        <v>1</v>
      </c>
      <c r="G653" s="260" t="n">
        <v>100000</v>
      </c>
      <c r="H653" s="93">
        <f>G689*25%*75%</f>
        <v/>
      </c>
    </row>
    <row r="654" hidden="1" ht="15.75" customHeight="1" s="248">
      <c r="A654" s="92" t="n">
        <v>649</v>
      </c>
      <c r="B654" s="139" t="inlineStr">
        <is>
          <t>2026/06/19 06:20</t>
        </is>
      </c>
      <c r="C654" s="139" t="inlineStr">
        <is>
          <t>TIÊU QUỐC TOÀN</t>
        </is>
      </c>
      <c r="D654" s="139" t="inlineStr">
        <is>
          <t>29/12/2004</t>
        </is>
      </c>
      <c r="E654" s="139" t="inlineStr">
        <is>
          <t>Thay băng, cắt chỉ vết mổ [chiều dài ≤ 15cm]</t>
        </is>
      </c>
      <c r="F654" s="260" t="n">
        <v>1</v>
      </c>
      <c r="G654" s="260" t="n">
        <v>100000</v>
      </c>
      <c r="H654" s="93">
        <f>G690*25%*75%</f>
        <v/>
      </c>
    </row>
    <row r="655" hidden="1" ht="15.75" customHeight="1" s="248">
      <c r="A655" s="92" t="n">
        <v>650</v>
      </c>
      <c r="B655" s="139" t="inlineStr">
        <is>
          <t>2026/06/19 06:28</t>
        </is>
      </c>
      <c r="C655" s="139" t="inlineStr">
        <is>
          <t>TRẦN THỊ MỘNG THẮM</t>
        </is>
      </c>
      <c r="D655" s="139" t="inlineStr">
        <is>
          <t>01/01/1970</t>
        </is>
      </c>
      <c r="E655" s="139" t="inlineStr">
        <is>
          <t>Thay băng, cắt chỉ vết mổ [chiều dài ≤ 15cm]</t>
        </is>
      </c>
      <c r="F655" s="260" t="n">
        <v>1</v>
      </c>
      <c r="G655" s="260" t="n">
        <v>100000</v>
      </c>
      <c r="H655" s="93">
        <f>G691*25%*75%</f>
        <v/>
      </c>
    </row>
    <row r="656" hidden="1" ht="15.75" customHeight="1" s="248">
      <c r="A656" s="92" t="n">
        <v>651</v>
      </c>
      <c r="B656" s="139" t="inlineStr">
        <is>
          <t>2026/06/19 06:30</t>
        </is>
      </c>
      <c r="C656" s="139" t="inlineStr">
        <is>
          <t>LÊ THỊ CẨM VÂN</t>
        </is>
      </c>
      <c r="D656" s="139" t="inlineStr">
        <is>
          <t>20/05/1985</t>
        </is>
      </c>
      <c r="E656" s="139" t="inlineStr">
        <is>
          <t>Thay băng, cắt chỉ vết mổ [chiều dài ≤ 15cm]</t>
        </is>
      </c>
      <c r="F656" s="260" t="n">
        <v>1</v>
      </c>
      <c r="G656" s="260" t="n">
        <v>100000</v>
      </c>
      <c r="H656" s="93">
        <f>G692*25%*75%</f>
        <v/>
      </c>
    </row>
    <row r="657" hidden="1" ht="15.75" customHeight="1" s="248">
      <c r="A657" s="92" t="n">
        <v>652</v>
      </c>
      <c r="B657" s="139" t="inlineStr">
        <is>
          <t>2026/06/19 06:40</t>
        </is>
      </c>
      <c r="C657" s="139" t="inlineStr">
        <is>
          <t>NGUYỄN THỊ NGỌC DUYÊN</t>
        </is>
      </c>
      <c r="D657" s="139" t="inlineStr">
        <is>
          <t>01/02/1971</t>
        </is>
      </c>
      <c r="E657" s="139" t="inlineStr">
        <is>
          <t>Thay băng, cắt chỉ vết mổ [chiều dài ≤ 15cm]</t>
        </is>
      </c>
      <c r="F657" s="260" t="n">
        <v>1</v>
      </c>
      <c r="G657" s="260" t="n">
        <v>100000</v>
      </c>
      <c r="H657" s="93">
        <f>G693*25%*75%</f>
        <v/>
      </c>
    </row>
    <row r="658" hidden="1" ht="15.75" customHeight="1" s="248">
      <c r="A658" s="92" t="n">
        <v>653</v>
      </c>
      <c r="B658" s="139" t="inlineStr">
        <is>
          <t>2026/06/19 06:50</t>
        </is>
      </c>
      <c r="C658" s="139" t="inlineStr">
        <is>
          <t>NGUYỄN THỊ NGỌC DUYÊN</t>
        </is>
      </c>
      <c r="D658" s="139" t="inlineStr">
        <is>
          <t>01/02/1971</t>
        </is>
      </c>
      <c r="E658" s="139" t="inlineStr">
        <is>
          <t>Thay băng, cắt chỉ vết mổ [chiều dài ≤ 15cm]</t>
        </is>
      </c>
      <c r="F658" s="260" t="n">
        <v>1</v>
      </c>
      <c r="G658" s="260" t="n">
        <v>100000</v>
      </c>
      <c r="H658" s="93">
        <f>G694*25%*75%</f>
        <v/>
      </c>
    </row>
    <row r="659" hidden="1" ht="15.75" customHeight="1" s="248">
      <c r="A659" s="92" t="n">
        <v>654</v>
      </c>
      <c r="B659" s="139" t="inlineStr">
        <is>
          <t>2026/06/19 06:52</t>
        </is>
      </c>
      <c r="C659" s="139" t="inlineStr">
        <is>
          <t>CHIÊM THỊ NHÀN</t>
        </is>
      </c>
      <c r="D659" s="139" t="inlineStr">
        <is>
          <t>01/01/1953</t>
        </is>
      </c>
      <c r="E659" s="139" t="inlineStr">
        <is>
          <t>Thay băng, cắt chỉ vết mổ [chiều dài ≤ 15cm]</t>
        </is>
      </c>
      <c r="F659" s="260" t="n">
        <v>1</v>
      </c>
      <c r="G659" s="260" t="n">
        <v>100000</v>
      </c>
      <c r="H659" s="93">
        <f>G695*25%*75%</f>
        <v/>
      </c>
    </row>
    <row r="660" hidden="1" ht="15.75" customHeight="1" s="248">
      <c r="A660" s="92" t="n">
        <v>655</v>
      </c>
      <c r="B660" s="139" t="inlineStr">
        <is>
          <t>2026/06/19 06:55</t>
        </is>
      </c>
      <c r="C660" s="139" t="inlineStr">
        <is>
          <t>NGUYỄN THỊ NGỌC DUYÊN</t>
        </is>
      </c>
      <c r="D660" s="139" t="inlineStr">
        <is>
          <t>01/02/1971</t>
        </is>
      </c>
      <c r="E660" s="139" t="inlineStr">
        <is>
          <t>Thay băng, cắt chỉ vết mổ [chiều dài ≤ 15cm]</t>
        </is>
      </c>
      <c r="F660" s="260" t="n">
        <v>1</v>
      </c>
      <c r="G660" s="260" t="n">
        <v>100000</v>
      </c>
      <c r="H660" s="93">
        <f>G696*25%*75%</f>
        <v/>
      </c>
    </row>
    <row r="661" hidden="1" ht="15.75" customHeight="1" s="248">
      <c r="A661" s="92" t="n">
        <v>656</v>
      </c>
      <c r="B661" s="139" t="inlineStr">
        <is>
          <t>2026/06/19 06:55</t>
        </is>
      </c>
      <c r="C661" s="139" t="inlineStr">
        <is>
          <t>ĐẶNG THỊ XOE</t>
        </is>
      </c>
      <c r="D661" s="139" t="inlineStr">
        <is>
          <t>01/01/1936</t>
        </is>
      </c>
      <c r="E661" s="139" t="inlineStr">
        <is>
          <t>Thay băng, cắt chỉ vết mổ [chiều dài ≤ 15cm]</t>
        </is>
      </c>
      <c r="F661" s="260" t="n">
        <v>1</v>
      </c>
      <c r="G661" s="260" t="n">
        <v>100000</v>
      </c>
      <c r="H661" s="93">
        <f>G697*25%*75%</f>
        <v/>
      </c>
    </row>
    <row r="662" hidden="1" ht="15.75" customHeight="1" s="248">
      <c r="A662" s="92" t="n">
        <v>657</v>
      </c>
      <c r="B662" s="139" t="inlineStr">
        <is>
          <t>2026/06/19 06:58</t>
        </is>
      </c>
      <c r="C662" s="139" t="inlineStr">
        <is>
          <t>ĐẶNG THỊ XOE</t>
        </is>
      </c>
      <c r="D662" s="139" t="inlineStr">
        <is>
          <t>01/01/1936</t>
        </is>
      </c>
      <c r="E662" s="139" t="inlineStr">
        <is>
          <t>Thay băng, cắt chỉ vết mổ [chiều dài ≤ 15cm]</t>
        </is>
      </c>
      <c r="F662" s="260" t="n">
        <v>1</v>
      </c>
      <c r="G662" s="260" t="n">
        <v>100000</v>
      </c>
      <c r="H662" s="93">
        <f>G698*25%*75%</f>
        <v/>
      </c>
    </row>
    <row r="663" hidden="1" ht="15.75" customHeight="1" s="248">
      <c r="A663" s="92" t="n">
        <v>658</v>
      </c>
      <c r="B663" s="139" t="inlineStr">
        <is>
          <t>2026/06/19 07:00</t>
        </is>
      </c>
      <c r="C663" s="139" t="inlineStr">
        <is>
          <t>HUỲNH KIM ĐỒNG</t>
        </is>
      </c>
      <c r="D663" s="139" t="inlineStr">
        <is>
          <t>01/01/1944</t>
        </is>
      </c>
      <c r="E663" s="139" t="inlineStr">
        <is>
          <t>Thay băng, cắt chỉ vết mổ [chiều dài ≤ 15cm]</t>
        </is>
      </c>
      <c r="F663" s="260" t="n">
        <v>1</v>
      </c>
      <c r="G663" s="260" t="n">
        <v>100000</v>
      </c>
      <c r="H663" s="93">
        <f>G699*25%*75%</f>
        <v/>
      </c>
    </row>
    <row r="664" hidden="1" ht="15.75" customHeight="1" s="248">
      <c r="A664" s="92" t="n">
        <v>659</v>
      </c>
      <c r="B664" s="139" t="inlineStr">
        <is>
          <t>2026/06/19 07:00</t>
        </is>
      </c>
      <c r="C664" s="139" t="inlineStr">
        <is>
          <t>LÊ THÀNH ĐẠT</t>
        </is>
      </c>
      <c r="D664" s="139" t="inlineStr">
        <is>
          <t>06/11/1975</t>
        </is>
      </c>
      <c r="E664" s="139" t="inlineStr">
        <is>
          <t>Thay băng, cắt chỉ vết mổ [chiều dài ≤ 15cm]</t>
        </is>
      </c>
      <c r="F664" s="260" t="n">
        <v>1</v>
      </c>
      <c r="G664" s="260" t="n">
        <v>100000</v>
      </c>
      <c r="H664" s="93">
        <f>G700*25%*75%</f>
        <v/>
      </c>
    </row>
    <row r="665" hidden="1" ht="15.75" customHeight="1" s="248">
      <c r="A665" s="92" t="n">
        <v>660</v>
      </c>
      <c r="B665" s="139" t="inlineStr">
        <is>
          <t>2026/06/19 07:00</t>
        </is>
      </c>
      <c r="C665" s="139" t="inlineStr">
        <is>
          <t>MAI THÀNH DƯƠNG</t>
        </is>
      </c>
      <c r="D665" s="139" t="inlineStr">
        <is>
          <t>10/04/1964</t>
        </is>
      </c>
      <c r="E665" s="139" t="inlineStr">
        <is>
          <t>Thay băng, cắt chỉ vết mổ [chiều dài ≤ 15cm]</t>
        </is>
      </c>
      <c r="F665" s="260" t="n">
        <v>1</v>
      </c>
      <c r="G665" s="260" t="n">
        <v>100000</v>
      </c>
      <c r="H665" s="93">
        <f>G701*25%*75%</f>
        <v/>
      </c>
    </row>
    <row r="666" hidden="1" ht="15.75" customHeight="1" s="248">
      <c r="A666" s="92" t="n">
        <v>661</v>
      </c>
      <c r="B666" s="139" t="inlineStr">
        <is>
          <t>2026/06/19 07:00</t>
        </is>
      </c>
      <c r="C666" s="139" t="inlineStr">
        <is>
          <t>NGUYỄN THỊ MƯỜI</t>
        </is>
      </c>
      <c r="D666" s="139" t="inlineStr">
        <is>
          <t>01/01/1951</t>
        </is>
      </c>
      <c r="E666" s="139" t="inlineStr">
        <is>
          <t>Thay băng, cắt chỉ vết mổ [chiều dài ≤ 15cm]</t>
        </is>
      </c>
      <c r="F666" s="260" t="n">
        <v>1</v>
      </c>
      <c r="G666" s="260" t="n">
        <v>100000</v>
      </c>
      <c r="H666" s="93">
        <f>G702*25%*75%</f>
        <v/>
      </c>
    </row>
    <row r="667" hidden="1" ht="15.75" customHeight="1" s="248">
      <c r="A667" s="92" t="n">
        <v>662</v>
      </c>
      <c r="B667" s="139" t="inlineStr">
        <is>
          <t>2026/06/19 07:00</t>
        </is>
      </c>
      <c r="C667" s="139" t="inlineStr">
        <is>
          <t>TRẦN THỊ BÉ BA</t>
        </is>
      </c>
      <c r="D667" s="139" t="inlineStr">
        <is>
          <t>01/01/1966</t>
        </is>
      </c>
      <c r="E667" s="139" t="inlineStr">
        <is>
          <t>Thay băng, cắt chỉ vết mổ [chiều dài ≤ 15cm]</t>
        </is>
      </c>
      <c r="F667" s="260" t="n">
        <v>1</v>
      </c>
      <c r="G667" s="260" t="n">
        <v>100000</v>
      </c>
      <c r="H667" s="93">
        <f>G703*25%*75%</f>
        <v/>
      </c>
    </row>
    <row r="668" hidden="1" ht="15.75" customHeight="1" s="248">
      <c r="A668" s="92" t="n">
        <v>663</v>
      </c>
      <c r="B668" s="139" t="inlineStr">
        <is>
          <t>2026/06/19 07:00</t>
        </is>
      </c>
      <c r="C668" s="139" t="inlineStr">
        <is>
          <t>TRẦN THỊ THÚY NGÂN</t>
        </is>
      </c>
      <c r="D668" s="139" t="inlineStr">
        <is>
          <t>01/01/1978</t>
        </is>
      </c>
      <c r="E668" s="139" t="inlineStr">
        <is>
          <t>Thay băng, cắt chỉ vết mổ [chiều dài ≤ 15cm]</t>
        </is>
      </c>
      <c r="F668" s="260" t="n">
        <v>1</v>
      </c>
      <c r="G668" s="260" t="n">
        <v>100000</v>
      </c>
      <c r="H668" s="93">
        <f>G704*25%*75%</f>
        <v/>
      </c>
    </row>
    <row r="669" hidden="1" ht="15.75" customHeight="1" s="248">
      <c r="A669" s="92" t="n">
        <v>664</v>
      </c>
      <c r="B669" s="139" t="inlineStr">
        <is>
          <t>2026/06/19 07:30</t>
        </is>
      </c>
      <c r="C669" s="139" t="inlineStr">
        <is>
          <t>HUỲNH KIM NHO</t>
        </is>
      </c>
      <c r="D669" s="139" t="inlineStr">
        <is>
          <t>03/03/1953</t>
        </is>
      </c>
      <c r="E669" s="139" t="inlineStr">
        <is>
          <t>Nắn, bó bột gãy 1/3 trên hai xương cẳng tay [bột liền]</t>
        </is>
      </c>
      <c r="F669" s="260" t="n">
        <v>1</v>
      </c>
      <c r="G669" s="260" t="n">
        <v>372700</v>
      </c>
      <c r="H669" s="93">
        <f>G705*25%*75%</f>
        <v/>
      </c>
    </row>
    <row r="670" hidden="1" ht="15.75" customHeight="1" s="248">
      <c r="A670" s="92" t="n">
        <v>665</v>
      </c>
      <c r="B670" s="139" t="inlineStr">
        <is>
          <t>2026/06/19 07:35</t>
        </is>
      </c>
      <c r="C670" s="139" t="inlineStr">
        <is>
          <t>HUỲNH VĂN CỨ</t>
        </is>
      </c>
      <c r="D670" s="139" t="inlineStr">
        <is>
          <t>01/01/1967</t>
        </is>
      </c>
      <c r="E670" s="139" t="inlineStr">
        <is>
          <t>Thay băng, cắt chỉ vết mổ [chiều dài ≤ 15cm]</t>
        </is>
      </c>
      <c r="F670" s="260" t="n">
        <v>1</v>
      </c>
      <c r="G670" s="260" t="n">
        <v>100000</v>
      </c>
      <c r="H670" s="93">
        <f>G706*25%*75%</f>
        <v/>
      </c>
    </row>
    <row r="671" hidden="1" ht="15.75" customHeight="1" s="248">
      <c r="A671" s="92" t="n">
        <v>666</v>
      </c>
      <c r="B671" s="139" t="inlineStr">
        <is>
          <t>2026/06/19 07:35</t>
        </is>
      </c>
      <c r="C671" s="139" t="inlineStr">
        <is>
          <t>HUỲNH VĂN CỨ</t>
        </is>
      </c>
      <c r="D671" s="139" t="inlineStr">
        <is>
          <t>01/01/1967</t>
        </is>
      </c>
      <c r="E671" s="139" t="inlineStr">
        <is>
          <t>Thay băng, cắt chỉ vết mổ [chiều dài ≤ 15cm]</t>
        </is>
      </c>
      <c r="F671" s="260" t="n">
        <v>1</v>
      </c>
      <c r="G671" s="260" t="n">
        <v>100000</v>
      </c>
      <c r="H671" s="93">
        <f>G707*25%*75%</f>
        <v/>
      </c>
    </row>
    <row r="672" hidden="1" ht="15.75" customHeight="1" s="248">
      <c r="A672" s="92" t="n">
        <v>667</v>
      </c>
      <c r="B672" s="139" t="inlineStr">
        <is>
          <t>2026/06/19 07:35</t>
        </is>
      </c>
      <c r="C672" s="139" t="inlineStr">
        <is>
          <t>CHÂU THỊ A</t>
        </is>
      </c>
      <c r="D672" s="139" t="inlineStr">
        <is>
          <t>01/01/1958</t>
        </is>
      </c>
      <c r="E672" s="139" t="inlineStr">
        <is>
          <t>Thay băng, cắt chỉ vết mổ [chiều dài ≤ 15cm]</t>
        </is>
      </c>
      <c r="F672" s="260" t="n">
        <v>1</v>
      </c>
      <c r="G672" s="260" t="n">
        <v>64300</v>
      </c>
      <c r="H672" s="93">
        <f>G708*25%*75%</f>
        <v/>
      </c>
    </row>
    <row r="673" hidden="1" ht="15.75" customHeight="1" s="248">
      <c r="A673" s="92" t="n">
        <v>668</v>
      </c>
      <c r="B673" s="139" t="inlineStr">
        <is>
          <t>2026/06/19 07:36</t>
        </is>
      </c>
      <c r="C673" s="139" t="inlineStr">
        <is>
          <t>HUỲNH VĂN CỨ</t>
        </is>
      </c>
      <c r="D673" s="139" t="inlineStr">
        <is>
          <t>01/01/1967</t>
        </is>
      </c>
      <c r="E673" s="139" t="inlineStr">
        <is>
          <t>Thay băng, cắt chỉ vết mổ [chiều dài ≤ 15cm]</t>
        </is>
      </c>
      <c r="F673" s="260" t="n">
        <v>1</v>
      </c>
      <c r="G673" s="260" t="n">
        <v>100000</v>
      </c>
      <c r="H673" s="93">
        <f>G709*25%*75%</f>
        <v/>
      </c>
    </row>
    <row r="674" hidden="1" ht="15.75" customHeight="1" s="248">
      <c r="A674" s="92" t="n">
        <v>669</v>
      </c>
      <c r="B674" s="139" t="inlineStr">
        <is>
          <t>2026/06/19 07:36</t>
        </is>
      </c>
      <c r="C674" s="139" t="inlineStr">
        <is>
          <t>CHÂU THỊ A</t>
        </is>
      </c>
      <c r="D674" s="139" t="inlineStr">
        <is>
          <t>01/01/1958</t>
        </is>
      </c>
      <c r="E674" s="139" t="inlineStr">
        <is>
          <t>Thay băng, cắt chỉ vết mổ [chiều dài ≤ 15cm]</t>
        </is>
      </c>
      <c r="F674" s="260" t="n">
        <v>1</v>
      </c>
      <c r="G674" s="260" t="n">
        <v>64300</v>
      </c>
      <c r="H674" s="93">
        <f>G710*25%*75%</f>
        <v/>
      </c>
    </row>
    <row r="675" hidden="1" ht="15.75" customHeight="1" s="248">
      <c r="A675" s="92" t="n">
        <v>670</v>
      </c>
      <c r="B675" s="139" t="inlineStr">
        <is>
          <t>2026/06/19 07:37</t>
        </is>
      </c>
      <c r="C675" s="139" t="inlineStr">
        <is>
          <t>HUỲNH VĂN CỨ</t>
        </is>
      </c>
      <c r="D675" s="139" t="inlineStr">
        <is>
          <t>01/01/1967</t>
        </is>
      </c>
      <c r="E675" s="139" t="inlineStr">
        <is>
          <t>Thay băng, cắt chỉ vết mổ [chiều dài ≤ 15cm]</t>
        </is>
      </c>
      <c r="F675" s="260" t="n">
        <v>1</v>
      </c>
      <c r="G675" s="260" t="n">
        <v>100000</v>
      </c>
      <c r="H675" s="93">
        <f>G711*25%*75%</f>
        <v/>
      </c>
    </row>
    <row r="676" hidden="1" ht="15.75" customHeight="1" s="248">
      <c r="A676" s="92" t="n">
        <v>671</v>
      </c>
      <c r="B676" s="139" t="inlineStr">
        <is>
          <t>2026/06/19 07:37</t>
        </is>
      </c>
      <c r="C676" s="139" t="inlineStr">
        <is>
          <t>HUỲNH VĂN CỨ</t>
        </is>
      </c>
      <c r="D676" s="139" t="inlineStr">
        <is>
          <t>01/01/1967</t>
        </is>
      </c>
      <c r="E676" s="139" t="inlineStr">
        <is>
          <t>Thay băng, cắt chỉ vết mổ [chiều dài ≤ 15cm]</t>
        </is>
      </c>
      <c r="F676" s="260" t="n">
        <v>1</v>
      </c>
      <c r="G676" s="260" t="n">
        <v>100000</v>
      </c>
      <c r="H676" s="93">
        <f>G712*25%*75%</f>
        <v/>
      </c>
    </row>
    <row r="677" hidden="1" ht="15.75" customHeight="1" s="248">
      <c r="A677" s="92" t="n">
        <v>672</v>
      </c>
      <c r="B677" s="139" t="inlineStr">
        <is>
          <t>2026/06/19 07:37</t>
        </is>
      </c>
      <c r="C677" s="139" t="inlineStr">
        <is>
          <t>CHÂU THỊ A</t>
        </is>
      </c>
      <c r="D677" s="139" t="inlineStr">
        <is>
          <t>01/01/1958</t>
        </is>
      </c>
      <c r="E677" s="139" t="inlineStr">
        <is>
          <t>Thay băng, cắt chỉ vết mổ [chiều dài ≤ 15cm]</t>
        </is>
      </c>
      <c r="F677" s="260" t="n">
        <v>1</v>
      </c>
      <c r="G677" s="260" t="n">
        <v>64300</v>
      </c>
      <c r="H677" s="93">
        <f>G713*25%*75%</f>
        <v/>
      </c>
    </row>
    <row r="678" hidden="1" ht="15.75" customHeight="1" s="248">
      <c r="A678" s="92" t="n">
        <v>673</v>
      </c>
      <c r="B678" s="139" t="inlineStr">
        <is>
          <t>2026/06/19 13:31</t>
        </is>
      </c>
      <c r="C678" s="139" t="inlineStr">
        <is>
          <t>TRANG THỊ THÚY DUYÊN</t>
        </is>
      </c>
      <c r="D678" s="139" t="inlineStr">
        <is>
          <t>28/08/2004</t>
        </is>
      </c>
      <c r="E678" s="139" t="inlineStr">
        <is>
          <t>Cắt chỉ sau phẫu thuật</t>
        </is>
      </c>
      <c r="F678" s="260" t="n">
        <v>1</v>
      </c>
      <c r="G678" s="260" t="n">
        <v>100000</v>
      </c>
      <c r="H678" s="93">
        <f>G714*25%*75%</f>
        <v/>
      </c>
    </row>
    <row r="679" hidden="1" ht="15.75" customHeight="1" s="248">
      <c r="A679" s="92" t="n">
        <v>674</v>
      </c>
      <c r="B679" s="139" t="inlineStr">
        <is>
          <t>2026/06/19 13:48</t>
        </is>
      </c>
      <c r="C679" s="139" t="inlineStr">
        <is>
          <t>CHÂU THỊ ĐỦ</t>
        </is>
      </c>
      <c r="D679" s="139" t="inlineStr">
        <is>
          <t>01/01/1963</t>
        </is>
      </c>
      <c r="E679" s="139" t="inlineStr">
        <is>
          <t>Cắt chỉ sau phẫu thuật</t>
        </is>
      </c>
      <c r="F679" s="260" t="n">
        <v>1</v>
      </c>
      <c r="G679" s="260" t="n">
        <v>100000</v>
      </c>
      <c r="H679" s="93">
        <f>G715*25%*75%</f>
        <v/>
      </c>
    </row>
    <row r="680" hidden="1" ht="15.75" customHeight="1" s="248">
      <c r="A680" s="92" t="n">
        <v>675</v>
      </c>
      <c r="B680" s="139" t="inlineStr">
        <is>
          <t>2026/06/19 14:44</t>
        </is>
      </c>
      <c r="C680" s="139" t="inlineStr">
        <is>
          <t>TRỊNH THANH THẢO</t>
        </is>
      </c>
      <c r="D680" s="139" t="inlineStr">
        <is>
          <t>23/06/1971</t>
        </is>
      </c>
      <c r="E680" s="139" t="inlineStr">
        <is>
          <t>Nắn, bó bột gãy một xương cẳng tay [bột liền]</t>
        </is>
      </c>
      <c r="F680" s="260" t="n">
        <v>1</v>
      </c>
      <c r="G680" s="260" t="n">
        <v>500000</v>
      </c>
      <c r="H680" s="93">
        <f>G716*25%*75%</f>
        <v/>
      </c>
    </row>
    <row r="681" hidden="1" ht="15.75" customHeight="1" s="248">
      <c r="A681" s="92" t="n">
        <v>676</v>
      </c>
      <c r="B681" s="139" t="inlineStr">
        <is>
          <t>2026/06/19 22:15</t>
        </is>
      </c>
      <c r="C681" s="139" t="inlineStr">
        <is>
          <t>TRẦN KIM NHẠN</t>
        </is>
      </c>
      <c r="D681" s="139" t="inlineStr">
        <is>
          <t>10/05/1954</t>
        </is>
      </c>
      <c r="E681" s="139" t="inlineStr">
        <is>
          <t>Nắn, bó bột gãy một xương cẳng tay [bột liền]</t>
        </is>
      </c>
      <c r="F681" s="260" t="n">
        <v>1</v>
      </c>
      <c r="G681" s="260" t="n">
        <v>372700</v>
      </c>
      <c r="H681" s="93">
        <f>G718*25%*75%</f>
        <v/>
      </c>
    </row>
    <row r="682" hidden="1" ht="15.75" customHeight="1" s="248">
      <c r="A682" s="92" t="n">
        <v>677</v>
      </c>
      <c r="B682" s="139" t="inlineStr">
        <is>
          <t>2026/06/20 05:00</t>
        </is>
      </c>
      <c r="C682" s="139" t="inlineStr">
        <is>
          <t>BÙI THỊ THU BA</t>
        </is>
      </c>
      <c r="D682" s="139" t="inlineStr">
        <is>
          <t>01/01/1960</t>
        </is>
      </c>
      <c r="E682" s="139" t="inlineStr">
        <is>
          <t>Thay băng, cắt chỉ vết mổ [chiều dài ≤ 15cm]</t>
        </is>
      </c>
      <c r="F682" s="260" t="n">
        <v>1</v>
      </c>
      <c r="G682" s="260" t="n">
        <v>100000</v>
      </c>
      <c r="H682" s="93">
        <f>G719*25%*75%</f>
        <v/>
      </c>
    </row>
    <row r="683" hidden="1" ht="15.75" customHeight="1" s="248">
      <c r="A683" s="92" t="n">
        <v>678</v>
      </c>
      <c r="B683" s="139" t="inlineStr">
        <is>
          <t>2026/06/20 05:00</t>
        </is>
      </c>
      <c r="C683" s="139" t="inlineStr">
        <is>
          <t>HUỲNH THỊ THANH HƯỜNG</t>
        </is>
      </c>
      <c r="D683" s="139" t="inlineStr">
        <is>
          <t>01/01/1984</t>
        </is>
      </c>
      <c r="E683" s="139" t="inlineStr">
        <is>
          <t>Thay băng, cắt chỉ vết mổ [chiều dài ≤ 15cm]</t>
        </is>
      </c>
      <c r="F683" s="260" t="n">
        <v>1</v>
      </c>
      <c r="G683" s="260" t="n">
        <v>100000</v>
      </c>
      <c r="H683" s="93">
        <f>G720*25%*75%</f>
        <v/>
      </c>
    </row>
    <row r="684" hidden="1" ht="15.75" customHeight="1" s="248">
      <c r="A684" s="92" t="n">
        <v>679</v>
      </c>
      <c r="B684" s="139" t="inlineStr">
        <is>
          <t>2026/06/20 05:00</t>
        </is>
      </c>
      <c r="C684" s="139" t="inlineStr">
        <is>
          <t>NGUYỄN THỊ KIỀU LOAN</t>
        </is>
      </c>
      <c r="D684" s="139" t="inlineStr">
        <is>
          <t>01/01/1970</t>
        </is>
      </c>
      <c r="E684" s="139" t="inlineStr">
        <is>
          <t>Thay băng, cắt chỉ vết mổ [chiều dài ≤ 15cm]</t>
        </is>
      </c>
      <c r="F684" s="260" t="n">
        <v>1</v>
      </c>
      <c r="G684" s="260" t="n">
        <v>100000</v>
      </c>
      <c r="H684" s="93">
        <f>G721*25%*75%</f>
        <v/>
      </c>
    </row>
    <row r="685" hidden="1" ht="15.75" customHeight="1" s="248">
      <c r="A685" s="92" t="n">
        <v>680</v>
      </c>
      <c r="B685" s="139" t="inlineStr">
        <is>
          <t>2026/06/20 05:00</t>
        </is>
      </c>
      <c r="C685" s="139" t="inlineStr">
        <is>
          <t>NGUYỄN THỊ MƯỜI</t>
        </is>
      </c>
      <c r="D685" s="139" t="inlineStr">
        <is>
          <t>01/01/1951</t>
        </is>
      </c>
      <c r="E685" s="139" t="inlineStr">
        <is>
          <t>Thay băng, cắt chỉ vết mổ [chiều dài ≤ 15cm]</t>
        </is>
      </c>
      <c r="F685" s="260" t="n">
        <v>1</v>
      </c>
      <c r="G685" s="260" t="n">
        <v>100000</v>
      </c>
      <c r="H685" s="93">
        <f>G722*25%*75%</f>
        <v/>
      </c>
    </row>
    <row r="686" hidden="1" ht="15.75" customHeight="1" s="248">
      <c r="A686" s="92" t="n">
        <v>681</v>
      </c>
      <c r="B686" s="139" t="inlineStr">
        <is>
          <t>2026/06/20 05:00</t>
        </is>
      </c>
      <c r="C686" s="139" t="inlineStr">
        <is>
          <t>NGUYỄN VĂN MƯỜI</t>
        </is>
      </c>
      <c r="D686" s="139" t="inlineStr">
        <is>
          <t>26/10/1964</t>
        </is>
      </c>
      <c r="E686" s="139" t="inlineStr">
        <is>
          <t>Thay băng, cắt chỉ vết mổ [chiều dài ≤ 15cm]</t>
        </is>
      </c>
      <c r="F686" s="260" t="n">
        <v>1</v>
      </c>
      <c r="G686" s="260" t="n">
        <v>100000</v>
      </c>
      <c r="H686" s="93">
        <f>G723*25%*75%</f>
        <v/>
      </c>
    </row>
    <row r="687" hidden="1" ht="15.75" customHeight="1" s="248">
      <c r="A687" s="92" t="n">
        <v>682</v>
      </c>
      <c r="B687" s="139" t="inlineStr">
        <is>
          <t>2026/06/20 05:00</t>
        </is>
      </c>
      <c r="C687" s="139" t="inlineStr">
        <is>
          <t>TRƯƠNG HOÀNG DIỄM THÚY</t>
        </is>
      </c>
      <c r="D687" s="139" t="inlineStr">
        <is>
          <t>01/01/1985</t>
        </is>
      </c>
      <c r="E687" s="139" t="inlineStr">
        <is>
          <t>Thay băng, cắt chỉ vết mổ [chiều dài ≤ 15cm]</t>
        </is>
      </c>
      <c r="F687" s="260" t="n">
        <v>1</v>
      </c>
      <c r="G687" s="260" t="n">
        <v>100000</v>
      </c>
      <c r="H687" s="93">
        <f>G724*25%*75%</f>
        <v/>
      </c>
    </row>
    <row r="688" hidden="1" ht="15.75" customHeight="1" s="248">
      <c r="A688" s="92" t="n">
        <v>683</v>
      </c>
      <c r="B688" s="139" t="inlineStr">
        <is>
          <t>2026/06/20 05:00</t>
        </is>
      </c>
      <c r="C688" s="139" t="inlineStr">
        <is>
          <t>TRẦN THỊ THÚY NGÂN</t>
        </is>
      </c>
      <c r="D688" s="139" t="inlineStr">
        <is>
          <t>01/01/1978</t>
        </is>
      </c>
      <c r="E688" s="139" t="inlineStr">
        <is>
          <t>Thay băng, cắt chỉ vết mổ [chiều dài ≤ 15cm]</t>
        </is>
      </c>
      <c r="F688" s="260" t="n">
        <v>1</v>
      </c>
      <c r="G688" s="260" t="n">
        <v>100000</v>
      </c>
      <c r="H688" s="93">
        <f>G725*25%*75%</f>
        <v/>
      </c>
    </row>
    <row r="689" hidden="1" ht="15.75" customHeight="1" s="248">
      <c r="A689" s="92" t="n">
        <v>684</v>
      </c>
      <c r="B689" s="139" t="inlineStr">
        <is>
          <t>2026/06/20 05:00</t>
        </is>
      </c>
      <c r="C689" s="139" t="inlineStr">
        <is>
          <t>VÕ THỊ THE</t>
        </is>
      </c>
      <c r="D689" s="139" t="inlineStr">
        <is>
          <t>01/01/1963</t>
        </is>
      </c>
      <c r="E689" s="139" t="inlineStr">
        <is>
          <t>Thay băng, cắt chỉ vết mổ [chiều dài ≤ 15cm]</t>
        </is>
      </c>
      <c r="F689" s="260" t="n">
        <v>1</v>
      </c>
      <c r="G689" s="260" t="n">
        <v>100000</v>
      </c>
      <c r="H689" s="93">
        <f>G726*25%*75%</f>
        <v/>
      </c>
    </row>
    <row r="690" hidden="1" ht="15.75" customHeight="1" s="248">
      <c r="A690" s="92" t="n">
        <v>685</v>
      </c>
      <c r="B690" s="139" t="inlineStr">
        <is>
          <t>2026/06/20 05:00</t>
        </is>
      </c>
      <c r="C690" s="139" t="inlineStr">
        <is>
          <t>VÕ VĂN HƠN</t>
        </is>
      </c>
      <c r="D690" s="139" t="inlineStr">
        <is>
          <t>26/04/1989</t>
        </is>
      </c>
      <c r="E690" s="139" t="inlineStr">
        <is>
          <t>Thay băng, cắt chỉ vết mổ [chiều dài ≤ 15cm]</t>
        </is>
      </c>
      <c r="F690" s="260" t="n">
        <v>1</v>
      </c>
      <c r="G690" s="260" t="n">
        <v>100000</v>
      </c>
      <c r="H690" s="93">
        <f>G727*25%*75%</f>
        <v/>
      </c>
    </row>
    <row r="691" hidden="1" ht="15.75" customHeight="1" s="248">
      <c r="A691" s="92" t="n">
        <v>686</v>
      </c>
      <c r="B691" s="139" t="inlineStr">
        <is>
          <t>2026/06/20 05:30</t>
        </is>
      </c>
      <c r="C691" s="139" t="inlineStr">
        <is>
          <t>BÙI THỊ THU BA</t>
        </is>
      </c>
      <c r="D691" s="139" t="inlineStr">
        <is>
          <t>01/01/1960</t>
        </is>
      </c>
      <c r="E691" s="139" t="inlineStr">
        <is>
          <t>Thông bàng quang</t>
        </is>
      </c>
      <c r="F691" s="260" t="n">
        <v>1</v>
      </c>
      <c r="G691" s="260" t="n">
        <v>101800</v>
      </c>
      <c r="H691" s="93">
        <f>G728*25%*75%</f>
        <v/>
      </c>
    </row>
    <row r="692" hidden="1" ht="15.75" customHeight="1" s="248">
      <c r="A692" s="92" t="n">
        <v>687</v>
      </c>
      <c r="B692" s="139" t="inlineStr">
        <is>
          <t>2026/06/20 07:00</t>
        </is>
      </c>
      <c r="C692" s="139" t="inlineStr">
        <is>
          <t>TRẦN THỊ BÉ BA</t>
        </is>
      </c>
      <c r="D692" s="139" t="inlineStr">
        <is>
          <t>01/01/1966</t>
        </is>
      </c>
      <c r="E692" s="139" t="inlineStr">
        <is>
          <t>Thay băng, cắt chỉ vết mổ [chiều dài ≤ 15cm]</t>
        </is>
      </c>
      <c r="F692" s="260" t="n">
        <v>1</v>
      </c>
      <c r="G692" s="260" t="n">
        <v>100000</v>
      </c>
      <c r="H692" s="93">
        <f>G729*25%*75%</f>
        <v/>
      </c>
    </row>
    <row r="693" hidden="1" ht="15.75" customHeight="1" s="248">
      <c r="A693" s="92" t="n">
        <v>688</v>
      </c>
      <c r="B693" s="139" t="inlineStr">
        <is>
          <t>2026/06/20 09:26</t>
        </is>
      </c>
      <c r="C693" s="139" t="inlineStr">
        <is>
          <t>HUỲNH BẢO TRÂM</t>
        </is>
      </c>
      <c r="D693" s="139" t="inlineStr">
        <is>
          <t>09/06/2006</t>
        </is>
      </c>
      <c r="E693" s="139" t="inlineStr">
        <is>
          <t>Nắn, bó bột gãy xương bàn chân [bột liền]</t>
        </is>
      </c>
      <c r="F693" s="260" t="n">
        <v>1</v>
      </c>
      <c r="G693" s="260" t="n">
        <v>257000</v>
      </c>
      <c r="H693" s="93">
        <f>G730*25%*75%</f>
        <v/>
      </c>
    </row>
    <row r="694" hidden="1" ht="15.75" customHeight="1" s="248">
      <c r="A694" s="92" t="n">
        <v>689</v>
      </c>
      <c r="B694" s="139" t="inlineStr">
        <is>
          <t>2026/06/20 16:46</t>
        </is>
      </c>
      <c r="C694" s="139" t="inlineStr">
        <is>
          <t>VĂN MINH TRIẾT</t>
        </is>
      </c>
      <c r="D694" s="139" t="inlineStr">
        <is>
          <t>24/03/2016</t>
        </is>
      </c>
      <c r="E694" s="139" t="inlineStr">
        <is>
          <t>Nắn, bó bột gãy 1/3 dưới hai xương cẳng tay [bột liền]</t>
        </is>
      </c>
      <c r="F694" s="260" t="n">
        <v>1</v>
      </c>
      <c r="G694" s="260" t="n">
        <v>500000</v>
      </c>
      <c r="H694" s="93">
        <f>G731*25%*75%</f>
        <v/>
      </c>
    </row>
    <row r="695" hidden="1" ht="15.75" customHeight="1" s="248">
      <c r="A695" s="92" t="n">
        <v>690</v>
      </c>
      <c r="B695" s="139" t="inlineStr">
        <is>
          <t>2026/06/20 19:45</t>
        </is>
      </c>
      <c r="C695" s="139" t="inlineStr">
        <is>
          <t>TRẦN THỊ DIỆP</t>
        </is>
      </c>
      <c r="D695" s="139" t="inlineStr">
        <is>
          <t>01/01/1964</t>
        </is>
      </c>
      <c r="E695" s="139" t="inlineStr">
        <is>
          <t>Nắn, bó bột gãy xương bàn chân [bột liền]</t>
        </is>
      </c>
      <c r="F695" s="260" t="n">
        <v>1</v>
      </c>
      <c r="G695" s="260" t="n">
        <v>257000</v>
      </c>
      <c r="H695" s="93">
        <f>G732*25%*75%</f>
        <v/>
      </c>
    </row>
    <row r="696" hidden="1" ht="15.75" customHeight="1" s="248">
      <c r="A696" s="92" t="n">
        <v>691</v>
      </c>
      <c r="B696" s="139" t="inlineStr">
        <is>
          <t>2026/06/21 05:00</t>
        </is>
      </c>
      <c r="C696" s="139" t="inlineStr">
        <is>
          <t>BÙI THỊ THU BA</t>
        </is>
      </c>
      <c r="D696" s="139" t="inlineStr">
        <is>
          <t>01/01/1960</t>
        </is>
      </c>
      <c r="E696" s="139" t="inlineStr">
        <is>
          <t>Thay băng, cắt chỉ vết mổ [chiều dài ≤ 15cm]</t>
        </is>
      </c>
      <c r="F696" s="260" t="n">
        <v>1</v>
      </c>
      <c r="G696" s="260" t="n">
        <v>100000</v>
      </c>
      <c r="H696" s="93">
        <f>G733*25%*75%</f>
        <v/>
      </c>
    </row>
    <row r="697" hidden="1" ht="15.75" customHeight="1" s="248">
      <c r="A697" s="92" t="n">
        <v>692</v>
      </c>
      <c r="B697" s="139" t="inlineStr">
        <is>
          <t>2026/06/21 05:00</t>
        </is>
      </c>
      <c r="C697" s="139" t="inlineStr">
        <is>
          <t>HUỲNH THỊ THANH HƯỜNG</t>
        </is>
      </c>
      <c r="D697" s="139" t="inlineStr">
        <is>
          <t>01/01/1984</t>
        </is>
      </c>
      <c r="E697" s="139" t="inlineStr">
        <is>
          <t>Thay băng, cắt chỉ vết mổ [chiều dài ≤ 15cm]</t>
        </is>
      </c>
      <c r="F697" s="260" t="n">
        <v>1</v>
      </c>
      <c r="G697" s="260" t="n">
        <v>100000</v>
      </c>
      <c r="H697" s="93">
        <f>G734*25%*75%</f>
        <v/>
      </c>
    </row>
    <row r="698" hidden="1" ht="15.75" customHeight="1" s="248">
      <c r="A698" s="92" t="n">
        <v>693</v>
      </c>
      <c r="B698" s="139" t="inlineStr">
        <is>
          <t>2026/06/21 05:00</t>
        </is>
      </c>
      <c r="C698" s="139" t="inlineStr">
        <is>
          <t>MAI THÀNH DƯƠNG</t>
        </is>
      </c>
      <c r="D698" s="139" t="inlineStr">
        <is>
          <t>10/04/1964</t>
        </is>
      </c>
      <c r="E698" s="139" t="inlineStr">
        <is>
          <t>Thay băng, cắt chỉ vết mổ [chiều dài ≤ 15cm]</t>
        </is>
      </c>
      <c r="F698" s="260" t="n">
        <v>1</v>
      </c>
      <c r="G698" s="260" t="n">
        <v>100000</v>
      </c>
      <c r="H698" s="93">
        <f>G735*25%*75%</f>
        <v/>
      </c>
    </row>
    <row r="699" hidden="1" ht="15.75" customHeight="1" s="248">
      <c r="A699" s="92" t="n">
        <v>694</v>
      </c>
      <c r="B699" s="139" t="inlineStr">
        <is>
          <t>2026/06/21 05:00</t>
        </is>
      </c>
      <c r="C699" s="139" t="inlineStr">
        <is>
          <t>NGUYỄN THỊ KIỀU LOAN</t>
        </is>
      </c>
      <c r="D699" s="139" t="inlineStr">
        <is>
          <t>01/01/1970</t>
        </is>
      </c>
      <c r="E699" s="139" t="inlineStr">
        <is>
          <t>Thay băng, cắt chỉ vết mổ [chiều dài ≤ 15cm]</t>
        </is>
      </c>
      <c r="F699" s="260" t="n">
        <v>1</v>
      </c>
      <c r="G699" s="260" t="n">
        <v>100000</v>
      </c>
      <c r="H699" s="93">
        <f>G736*25%*75%</f>
        <v/>
      </c>
    </row>
    <row r="700" hidden="1" ht="15.75" customHeight="1" s="248">
      <c r="A700" s="92" t="n">
        <v>695</v>
      </c>
      <c r="B700" s="139" t="inlineStr">
        <is>
          <t>2026/06/21 05:00</t>
        </is>
      </c>
      <c r="C700" s="139" t="inlineStr">
        <is>
          <t>NGUYỄN THỊ MƯỜI</t>
        </is>
      </c>
      <c r="D700" s="139" t="inlineStr">
        <is>
          <t>01/01/1951</t>
        </is>
      </c>
      <c r="E700" s="139" t="inlineStr">
        <is>
          <t>Thay băng, cắt chỉ vết mổ [chiều dài ≤ 15cm]</t>
        </is>
      </c>
      <c r="F700" s="260" t="n">
        <v>1</v>
      </c>
      <c r="G700" s="260" t="n">
        <v>100000</v>
      </c>
      <c r="H700" s="93">
        <f>G737*25%*75%</f>
        <v/>
      </c>
    </row>
    <row r="701" hidden="1" ht="15.75" customHeight="1" s="248">
      <c r="A701" s="92" t="n">
        <v>696</v>
      </c>
      <c r="B701" s="139" t="inlineStr">
        <is>
          <t>2026/06/21 05:00</t>
        </is>
      </c>
      <c r="C701" s="139" t="inlineStr">
        <is>
          <t>NGUYỄN VĂN MƯỜI</t>
        </is>
      </c>
      <c r="D701" s="139" t="inlineStr">
        <is>
          <t>26/10/1964</t>
        </is>
      </c>
      <c r="E701" s="139" t="inlineStr">
        <is>
          <t>Thay băng, cắt chỉ vết mổ [chiều dài ≤ 15cm]</t>
        </is>
      </c>
      <c r="F701" s="260" t="n">
        <v>1</v>
      </c>
      <c r="G701" s="260" t="n">
        <v>100000</v>
      </c>
      <c r="H701" s="93">
        <f>G738*25%*75%</f>
        <v/>
      </c>
    </row>
    <row r="702" hidden="1" ht="15.75" customHeight="1" s="248">
      <c r="A702" s="92" t="n">
        <v>697</v>
      </c>
      <c r="B702" s="139" t="inlineStr">
        <is>
          <t>2026/06/21 05:00</t>
        </is>
      </c>
      <c r="C702" s="139" t="inlineStr">
        <is>
          <t>NGUYỄN VĂN QUANG</t>
        </is>
      </c>
      <c r="D702" s="139" t="inlineStr">
        <is>
          <t>22/12/1981</t>
        </is>
      </c>
      <c r="E702" s="139" t="inlineStr">
        <is>
          <t>Thay băng, cắt chỉ vết mổ [chiều dài ≤ 15cm]</t>
        </is>
      </c>
      <c r="F702" s="260" t="n">
        <v>1</v>
      </c>
      <c r="G702" s="260" t="n">
        <v>100000</v>
      </c>
      <c r="H702" s="93">
        <f>G739*25%*75%</f>
        <v/>
      </c>
    </row>
    <row r="703" hidden="1" ht="15.75" customHeight="1" s="248">
      <c r="A703" s="92" t="n">
        <v>698</v>
      </c>
      <c r="B703" s="139" t="inlineStr">
        <is>
          <t>2026/06/21 05:00</t>
        </is>
      </c>
      <c r="C703" s="139" t="inlineStr">
        <is>
          <t>PHẠM THỊ DUNG</t>
        </is>
      </c>
      <c r="D703" s="139" t="inlineStr">
        <is>
          <t>01/01/1968</t>
        </is>
      </c>
      <c r="E703" s="139" t="inlineStr">
        <is>
          <t>Thay băng, cắt chỉ vết mổ [chiều dài ≤ 15cm]</t>
        </is>
      </c>
      <c r="F703" s="260" t="n">
        <v>1</v>
      </c>
      <c r="G703" s="260" t="n">
        <v>100000</v>
      </c>
      <c r="H703" s="93">
        <f>G740*25%*75%</f>
        <v/>
      </c>
    </row>
    <row r="704" hidden="1" ht="15.75" customHeight="1" s="248">
      <c r="A704" s="92" t="n">
        <v>699</v>
      </c>
      <c r="B704" s="139" t="inlineStr">
        <is>
          <t>2026/06/21 05:00</t>
        </is>
      </c>
      <c r="C704" s="139" t="inlineStr">
        <is>
          <t>PHẠM THỊ PHƯƠNG THẢO</t>
        </is>
      </c>
      <c r="D704" s="139" t="inlineStr">
        <is>
          <t>03/06/1998</t>
        </is>
      </c>
      <c r="E704" s="139" t="inlineStr">
        <is>
          <t>Thay băng, cắt chỉ vết mổ [chiều dài ≤ 15cm]</t>
        </is>
      </c>
      <c r="F704" s="260" t="n">
        <v>1</v>
      </c>
      <c r="G704" s="260" t="n">
        <v>100000</v>
      </c>
      <c r="H704" s="93">
        <f>G741*25%*75%</f>
        <v/>
      </c>
    </row>
    <row r="705" hidden="1" ht="15.75" customHeight="1" s="248">
      <c r="A705" s="92" t="n">
        <v>700</v>
      </c>
      <c r="B705" s="139" t="inlineStr">
        <is>
          <t>2026/06/21 05:00</t>
        </is>
      </c>
      <c r="C705" s="139" t="inlineStr">
        <is>
          <t>TRƯƠNG HOÀNG DIỄM THÚY</t>
        </is>
      </c>
      <c r="D705" s="139" t="inlineStr">
        <is>
          <t>01/01/1985</t>
        </is>
      </c>
      <c r="E705" s="139" t="inlineStr">
        <is>
          <t>Thay băng, cắt chỉ vết mổ [chiều dài ≤ 15cm]</t>
        </is>
      </c>
      <c r="F705" s="260" t="n">
        <v>1</v>
      </c>
      <c r="G705" s="260" t="n">
        <v>100000</v>
      </c>
      <c r="H705" s="93">
        <f>G742*25%*75%</f>
        <v/>
      </c>
    </row>
    <row r="706" hidden="1" ht="15.75" customHeight="1" s="248">
      <c r="A706" s="92" t="n">
        <v>701</v>
      </c>
      <c r="B706" s="139" t="inlineStr">
        <is>
          <t>2026/06/21 05:00</t>
        </is>
      </c>
      <c r="C706" s="139" t="inlineStr">
        <is>
          <t>TRƯƠNG THỊ CẨM CHÂU</t>
        </is>
      </c>
      <c r="D706" s="139" t="inlineStr">
        <is>
          <t>09/10/1968</t>
        </is>
      </c>
      <c r="E706" s="139" t="inlineStr">
        <is>
          <t>Thay băng, cắt chỉ vết mổ [chiều dài ≤ 15cm]</t>
        </is>
      </c>
      <c r="F706" s="260" t="n">
        <v>1</v>
      </c>
      <c r="G706" s="260" t="n">
        <v>100000</v>
      </c>
      <c r="H706" s="93">
        <f>G743*25%*75%</f>
        <v/>
      </c>
    </row>
    <row r="707" hidden="1" ht="15.75" customHeight="1" s="248">
      <c r="A707" s="92" t="n">
        <v>702</v>
      </c>
      <c r="B707" s="139" t="inlineStr">
        <is>
          <t>2026/06/21 05:00</t>
        </is>
      </c>
      <c r="C707" s="139" t="inlineStr">
        <is>
          <t>TRẦN THỊ THÚY NGÂN</t>
        </is>
      </c>
      <c r="D707" s="139" t="inlineStr">
        <is>
          <t>01/01/1978</t>
        </is>
      </c>
      <c r="E707" s="139" t="inlineStr">
        <is>
          <t>Thay băng, cắt chỉ vết mổ [chiều dài ≤ 15cm]</t>
        </is>
      </c>
      <c r="F707" s="260" t="n">
        <v>1</v>
      </c>
      <c r="G707" s="260" t="n">
        <v>100000</v>
      </c>
      <c r="H707" s="93">
        <f>G744*25%*75%</f>
        <v/>
      </c>
    </row>
    <row r="708" hidden="1" ht="15.75" customHeight="1" s="248">
      <c r="A708" s="92" t="n">
        <v>703</v>
      </c>
      <c r="B708" s="139" t="inlineStr">
        <is>
          <t>2026/06/21 05:00</t>
        </is>
      </c>
      <c r="C708" s="139" t="inlineStr">
        <is>
          <t>VÕ THỊ THE</t>
        </is>
      </c>
      <c r="D708" s="139" t="inlineStr">
        <is>
          <t>01/01/1963</t>
        </is>
      </c>
      <c r="E708" s="139" t="inlineStr">
        <is>
          <t>Thay băng, cắt chỉ vết mổ [chiều dài ≤ 15cm]</t>
        </is>
      </c>
      <c r="F708" s="260" t="n">
        <v>1</v>
      </c>
      <c r="G708" s="260" t="n">
        <v>100000</v>
      </c>
      <c r="H708" s="93">
        <f>G745*25%*75%</f>
        <v/>
      </c>
    </row>
    <row r="709" hidden="1" ht="15.75" customHeight="1" s="248">
      <c r="A709" s="92" t="n">
        <v>704</v>
      </c>
      <c r="B709" s="139" t="inlineStr">
        <is>
          <t>2026/06/21 05:00</t>
        </is>
      </c>
      <c r="C709" s="139" t="inlineStr">
        <is>
          <t>VÕ VĂN HƠN</t>
        </is>
      </c>
      <c r="D709" s="139" t="inlineStr">
        <is>
          <t>26/04/1989</t>
        </is>
      </c>
      <c r="E709" s="139" t="inlineStr">
        <is>
          <t>Thay băng, cắt chỉ vết mổ [chiều dài ≤ 15cm]</t>
        </is>
      </c>
      <c r="F709" s="260" t="n">
        <v>1</v>
      </c>
      <c r="G709" s="260" t="n">
        <v>100000</v>
      </c>
      <c r="H709" s="93">
        <f>G746*25%*75%</f>
        <v/>
      </c>
    </row>
    <row r="710" hidden="1" ht="15.75" customHeight="1" s="248">
      <c r="A710" s="92" t="n">
        <v>705</v>
      </c>
      <c r="B710" s="139" t="inlineStr">
        <is>
          <t>2026/06/21 07:00</t>
        </is>
      </c>
      <c r="C710" s="139" t="inlineStr">
        <is>
          <t>TRẦN THỊ BÉ BA</t>
        </is>
      </c>
      <c r="D710" s="139" t="inlineStr">
        <is>
          <t>01/01/1966</t>
        </is>
      </c>
      <c r="E710" s="139" t="inlineStr">
        <is>
          <t>Thay băng, cắt chỉ vết mổ [chiều dài ≤ 15cm]</t>
        </is>
      </c>
      <c r="F710" s="260" t="n">
        <v>1</v>
      </c>
      <c r="G710" s="260" t="n">
        <v>100000</v>
      </c>
      <c r="H710" s="93">
        <f>G747*25%*75%</f>
        <v/>
      </c>
    </row>
    <row r="711" hidden="1" ht="15.75" customHeight="1" s="248">
      <c r="A711" s="92" t="n">
        <v>706</v>
      </c>
      <c r="B711" s="139" t="inlineStr">
        <is>
          <t>2026/06/21 07:00</t>
        </is>
      </c>
      <c r="C711" s="139" t="inlineStr">
        <is>
          <t>TRỊNH THÚY NGA</t>
        </is>
      </c>
      <c r="D711" s="139" t="inlineStr">
        <is>
          <t>01/01/1965</t>
        </is>
      </c>
      <c r="E711" s="139" t="inlineStr">
        <is>
          <t>Thay băng, cắt chỉ vết mổ [chiều dài ≤ 15cm]</t>
        </is>
      </c>
      <c r="F711" s="260" t="n">
        <v>1</v>
      </c>
      <c r="G711" s="260" t="n">
        <v>100000</v>
      </c>
      <c r="H711" s="93">
        <f>G748*25%*75%</f>
        <v/>
      </c>
    </row>
    <row r="712" hidden="1" ht="15.75" customHeight="1" s="248">
      <c r="A712" s="92" t="n">
        <v>707</v>
      </c>
      <c r="B712" s="139" t="inlineStr">
        <is>
          <t>2026/06/21 10:56</t>
        </is>
      </c>
      <c r="C712" s="139" t="inlineStr">
        <is>
          <t>NGUYỄN LÊ KHẢ VY</t>
        </is>
      </c>
      <c r="D712" s="139" t="inlineStr">
        <is>
          <t>01/01/2018</t>
        </is>
      </c>
      <c r="E712" s="139" t="inlineStr">
        <is>
          <t>Nắn, bó bột gãy 1/3 trên hai xương cẳng tay [bột liền]</t>
        </is>
      </c>
      <c r="F712" s="260" t="n">
        <v>1</v>
      </c>
      <c r="G712" s="260" t="n">
        <v>500000</v>
      </c>
      <c r="H712" s="93">
        <f>G749*25%*75%</f>
        <v/>
      </c>
    </row>
    <row r="713" hidden="1" ht="15.75" customHeight="1" s="248">
      <c r="A713" s="92" t="n">
        <v>708</v>
      </c>
      <c r="B713" s="139" t="inlineStr">
        <is>
          <t>2026/06/21 14:07</t>
        </is>
      </c>
      <c r="C713" s="139" t="inlineStr">
        <is>
          <t>LƯƠNG THỊ THAO</t>
        </is>
      </c>
      <c r="D713" s="139" t="inlineStr">
        <is>
          <t>20/08/1978</t>
        </is>
      </c>
      <c r="E713" s="139" t="inlineStr">
        <is>
          <t>Nẹp bột các loại, không nắn (loại 1)</t>
        </is>
      </c>
      <c r="F713" s="260" t="n">
        <v>1</v>
      </c>
      <c r="G713" s="260" t="n">
        <v>200000</v>
      </c>
      <c r="H713" s="93">
        <f>G750*25%*75%</f>
        <v/>
      </c>
    </row>
    <row r="714" hidden="1" ht="15.75" customHeight="1" s="248">
      <c r="A714" s="92" t="n">
        <v>709</v>
      </c>
      <c r="B714" s="139" t="inlineStr">
        <is>
          <t>2026/06/21 16:44</t>
        </is>
      </c>
      <c r="C714" s="139" t="inlineStr">
        <is>
          <t>PHAN TRƯỜNG VŨ</t>
        </is>
      </c>
      <c r="D714" s="139" t="inlineStr">
        <is>
          <t>30/10/1974</t>
        </is>
      </c>
      <c r="E714" s="139" t="inlineStr">
        <is>
          <t>Nắn, bó bột gãy một xương cẳng tay [bột liền]</t>
        </is>
      </c>
      <c r="F714" s="260" t="n">
        <v>1</v>
      </c>
      <c r="G714" s="260" t="n">
        <v>500000</v>
      </c>
      <c r="H714" s="93">
        <f>G751*25%*75%</f>
        <v/>
      </c>
    </row>
    <row r="715" hidden="1" ht="15.75" customHeight="1" s="248">
      <c r="A715" s="92" t="n">
        <v>710</v>
      </c>
      <c r="B715" s="139" t="inlineStr">
        <is>
          <t>2026/06/22 05:00</t>
        </is>
      </c>
      <c r="C715" s="139" t="inlineStr">
        <is>
          <t>BÙI THỊ THU BA</t>
        </is>
      </c>
      <c r="D715" s="139" t="inlineStr">
        <is>
          <t>01/01/1960</t>
        </is>
      </c>
      <c r="E715" s="139" t="inlineStr">
        <is>
          <t>Thay băng, cắt chỉ vết mổ [chiều dài ≤ 15cm]</t>
        </is>
      </c>
      <c r="F715" s="260" t="n">
        <v>1</v>
      </c>
      <c r="G715" s="260" t="n">
        <v>100000</v>
      </c>
      <c r="H715" s="93">
        <f>G752*25%*75%</f>
        <v/>
      </c>
    </row>
    <row r="716" hidden="1" ht="15.75" customHeight="1" s="248">
      <c r="A716" s="92" t="n">
        <v>711</v>
      </c>
      <c r="B716" s="139" t="inlineStr">
        <is>
          <t>2026/06/22 05:00</t>
        </is>
      </c>
      <c r="C716" s="139" t="inlineStr">
        <is>
          <t>HUỲNH THỊ THANH HƯỜNG</t>
        </is>
      </c>
      <c r="D716" s="139" t="inlineStr">
        <is>
          <t>01/01/1984</t>
        </is>
      </c>
      <c r="E716" s="139" t="inlineStr">
        <is>
          <t>Thay băng, cắt chỉ vết mổ [chiều dài ≤ 15cm]</t>
        </is>
      </c>
      <c r="F716" s="260" t="n">
        <v>1</v>
      </c>
      <c r="G716" s="260" t="n">
        <v>100000</v>
      </c>
      <c r="H716" s="93">
        <f>G753*25%*75%</f>
        <v/>
      </c>
    </row>
    <row r="717" hidden="1" ht="15.75" customHeight="1" s="248">
      <c r="A717" s="92" t="n">
        <v>712</v>
      </c>
      <c r="B717" s="139" t="inlineStr">
        <is>
          <t>2026/06/22 05:00</t>
        </is>
      </c>
      <c r="C717" s="139" t="inlineStr">
        <is>
          <t>NGUYỄN THỊ KIỀU LOAN</t>
        </is>
      </c>
      <c r="D717" s="139" t="inlineStr">
        <is>
          <t>01/01/1970</t>
        </is>
      </c>
      <c r="E717" s="139" t="inlineStr">
        <is>
          <t>Thay băng, cắt chỉ vết mổ [chiều dài ≤ 15cm]</t>
        </is>
      </c>
      <c r="F717" s="260" t="n">
        <v>1</v>
      </c>
      <c r="G717" s="260" t="n">
        <v>100000</v>
      </c>
      <c r="H717" s="93">
        <f>G754*25%*75%</f>
        <v/>
      </c>
    </row>
    <row r="718" hidden="1" ht="15.75" customHeight="1" s="248">
      <c r="A718" s="92" t="n">
        <v>713</v>
      </c>
      <c r="B718" s="139" t="inlineStr">
        <is>
          <t>2026/06/22 05:00</t>
        </is>
      </c>
      <c r="C718" s="139" t="inlineStr">
        <is>
          <t>NGUYỄN VĂN MƯỜI</t>
        </is>
      </c>
      <c r="D718" s="139" t="inlineStr">
        <is>
          <t>26/10/1964</t>
        </is>
      </c>
      <c r="E718" s="139" t="inlineStr">
        <is>
          <t>Thay băng, cắt chỉ vết mổ [chiều dài ≤ 15cm]</t>
        </is>
      </c>
      <c r="F718" s="260" t="n">
        <v>1</v>
      </c>
      <c r="G718" s="260" t="n">
        <v>100000</v>
      </c>
      <c r="H718" s="93">
        <f>G755*25%*75%</f>
        <v/>
      </c>
    </row>
    <row r="719" hidden="1" ht="15.75" customHeight="1" s="248">
      <c r="A719" s="92" t="n">
        <v>714</v>
      </c>
      <c r="B719" s="139" t="inlineStr">
        <is>
          <t>2026/06/22 05:00</t>
        </is>
      </c>
      <c r="C719" s="139" t="inlineStr">
        <is>
          <t>NGUYỄN VĂN QUANG</t>
        </is>
      </c>
      <c r="D719" s="139" t="inlineStr">
        <is>
          <t>22/12/1981</t>
        </is>
      </c>
      <c r="E719" s="139" t="inlineStr">
        <is>
          <t>Thay băng, cắt chỉ vết mổ [chiều dài ≤ 15cm]</t>
        </is>
      </c>
      <c r="F719" s="260" t="n">
        <v>1</v>
      </c>
      <c r="G719" s="260" t="n">
        <v>100000</v>
      </c>
      <c r="H719" s="93">
        <f>G756*25%*75%</f>
        <v/>
      </c>
    </row>
    <row r="720" hidden="1" ht="15.75" customHeight="1" s="248">
      <c r="A720" s="92" t="n">
        <v>715</v>
      </c>
      <c r="B720" s="139" t="inlineStr">
        <is>
          <t>2026/06/22 05:00</t>
        </is>
      </c>
      <c r="C720" s="139" t="inlineStr">
        <is>
          <t>PHẠM THỊ PHƯƠNG THẢO</t>
        </is>
      </c>
      <c r="D720" s="139" t="inlineStr">
        <is>
          <t>03/06/1998</t>
        </is>
      </c>
      <c r="E720" s="139" t="inlineStr">
        <is>
          <t>Thay băng, cắt chỉ vết mổ [chiều dài ≤ 15cm]</t>
        </is>
      </c>
      <c r="F720" s="260" t="n">
        <v>1</v>
      </c>
      <c r="G720" s="260" t="n">
        <v>100000</v>
      </c>
      <c r="H720" s="93">
        <f>G757*25%*75%</f>
        <v/>
      </c>
    </row>
    <row r="721" hidden="1" ht="15.75" customHeight="1" s="248">
      <c r="A721" s="92" t="n">
        <v>716</v>
      </c>
      <c r="B721" s="139" t="inlineStr">
        <is>
          <t>2026/06/22 05:00</t>
        </is>
      </c>
      <c r="C721" s="139" t="inlineStr">
        <is>
          <t>TRƯƠNG HOÀNG DIỄM THÚY</t>
        </is>
      </c>
      <c r="D721" s="139" t="inlineStr">
        <is>
          <t>01/01/1985</t>
        </is>
      </c>
      <c r="E721" s="139" t="inlineStr">
        <is>
          <t>Thay băng, cắt chỉ vết mổ [chiều dài ≤ 15cm]</t>
        </is>
      </c>
      <c r="F721" s="260" t="n">
        <v>1</v>
      </c>
      <c r="G721" s="260" t="n">
        <v>100000</v>
      </c>
      <c r="H721" s="93">
        <f>G758*25%*75%</f>
        <v/>
      </c>
    </row>
    <row r="722" hidden="1" ht="15.75" customHeight="1" s="248">
      <c r="A722" s="92" t="n">
        <v>717</v>
      </c>
      <c r="B722" s="139" t="inlineStr">
        <is>
          <t>2026/06/22 05:00</t>
        </is>
      </c>
      <c r="C722" s="139" t="inlineStr">
        <is>
          <t>TRƯƠNG THỊ CẨM CHÂU</t>
        </is>
      </c>
      <c r="D722" s="139" t="inlineStr">
        <is>
          <t>09/10/1968</t>
        </is>
      </c>
      <c r="E722" s="139" t="inlineStr">
        <is>
          <t>Thay băng, cắt chỉ vết mổ [chiều dài ≤ 15cm]</t>
        </is>
      </c>
      <c r="F722" s="260" t="n">
        <v>1</v>
      </c>
      <c r="G722" s="260" t="n">
        <v>100000</v>
      </c>
      <c r="H722" s="93">
        <f>G759*25%*75%</f>
        <v/>
      </c>
    </row>
    <row r="723" hidden="1" ht="15.75" customHeight="1" s="248">
      <c r="A723" s="92" t="n">
        <v>718</v>
      </c>
      <c r="B723" s="139" t="inlineStr">
        <is>
          <t>2026/06/22 05:00</t>
        </is>
      </c>
      <c r="C723" s="139" t="inlineStr">
        <is>
          <t>TRẦN THỊ THÚY NGÂN</t>
        </is>
      </c>
      <c r="D723" s="139" t="inlineStr">
        <is>
          <t>01/01/1978</t>
        </is>
      </c>
      <c r="E723" s="139" t="inlineStr">
        <is>
          <t>Thay băng, cắt chỉ vết mổ [chiều dài ≤ 15cm]</t>
        </is>
      </c>
      <c r="F723" s="260" t="n">
        <v>1</v>
      </c>
      <c r="G723" s="260" t="n">
        <v>100000</v>
      </c>
      <c r="H723" s="93">
        <f>G760*25%*75%</f>
        <v/>
      </c>
    </row>
    <row r="724" hidden="1" ht="15.75" customHeight="1" s="248">
      <c r="A724" s="92" t="n">
        <v>719</v>
      </c>
      <c r="B724" s="139" t="inlineStr">
        <is>
          <t>2026/06/22 05:00</t>
        </is>
      </c>
      <c r="C724" s="139" t="inlineStr">
        <is>
          <t>VÕ THỊ THE</t>
        </is>
      </c>
      <c r="D724" s="139" t="inlineStr">
        <is>
          <t>01/01/1963</t>
        </is>
      </c>
      <c r="E724" s="139" t="inlineStr">
        <is>
          <t>Thay băng, cắt chỉ vết mổ [chiều dài ≤ 15cm]</t>
        </is>
      </c>
      <c r="F724" s="260" t="n">
        <v>1</v>
      </c>
      <c r="G724" s="260" t="n">
        <v>100000</v>
      </c>
      <c r="H724" s="93">
        <f>G761*25%*75%</f>
        <v/>
      </c>
    </row>
    <row r="725" hidden="1" ht="15.75" customHeight="1" s="248">
      <c r="A725" s="92" t="n">
        <v>720</v>
      </c>
      <c r="B725" s="139" t="inlineStr">
        <is>
          <t>2026/06/22 05:00</t>
        </is>
      </c>
      <c r="C725" s="139" t="inlineStr">
        <is>
          <t>VÕ VĂN HƠN</t>
        </is>
      </c>
      <c r="D725" s="139" t="inlineStr">
        <is>
          <t>26/04/1989</t>
        </is>
      </c>
      <c r="E725" s="139" t="inlineStr">
        <is>
          <t>Thay băng, cắt chỉ vết mổ [chiều dài ≤ 15cm]</t>
        </is>
      </c>
      <c r="F725" s="260" t="n">
        <v>1</v>
      </c>
      <c r="G725" s="260" t="n">
        <v>100000</v>
      </c>
      <c r="H725" s="93">
        <f>G762*25%*75%</f>
        <v/>
      </c>
    </row>
    <row r="726" hidden="1" ht="15.75" customHeight="1" s="248">
      <c r="A726" s="92" t="n">
        <v>721</v>
      </c>
      <c r="B726" s="139" t="inlineStr">
        <is>
          <t>2026/06/22 06:38</t>
        </is>
      </c>
      <c r="C726" s="139" t="inlineStr">
        <is>
          <t>CHIÊM THỊ NHÀN</t>
        </is>
      </c>
      <c r="D726" s="139" t="inlineStr">
        <is>
          <t>01/01/1953</t>
        </is>
      </c>
      <c r="E726" s="139" t="inlineStr">
        <is>
          <t>Thay băng, cắt chỉ vết mổ [chiều dài ≤ 15cm]</t>
        </is>
      </c>
      <c r="F726" s="260" t="n">
        <v>1</v>
      </c>
      <c r="G726" s="260" t="n">
        <v>100000</v>
      </c>
      <c r="H726" s="93">
        <f>G763*25%*75%</f>
        <v/>
      </c>
    </row>
    <row r="727" hidden="1" ht="15.75" customHeight="1" s="248">
      <c r="A727" s="92" t="n">
        <v>722</v>
      </c>
      <c r="B727" s="139" t="inlineStr">
        <is>
          <t>2026/06/22 07:00</t>
        </is>
      </c>
      <c r="C727" s="139" t="inlineStr">
        <is>
          <t>BÙI VĂN DŨNG</t>
        </is>
      </c>
      <c r="D727" s="139" t="inlineStr">
        <is>
          <t>10/11/1976</t>
        </is>
      </c>
      <c r="E727" s="139" t="inlineStr">
        <is>
          <t>Thay băng, cắt chỉ vết mổ [chiều dài ≤ 15cm]</t>
        </is>
      </c>
      <c r="F727" s="260" t="n">
        <v>1</v>
      </c>
      <c r="G727" s="260" t="n">
        <v>100000</v>
      </c>
      <c r="H727" s="93">
        <f>G764*25%*75%</f>
        <v/>
      </c>
    </row>
    <row r="728" hidden="1" ht="15.75" customHeight="1" s="248">
      <c r="A728" s="92" t="n">
        <v>723</v>
      </c>
      <c r="B728" s="139" t="inlineStr">
        <is>
          <t>2026/06/22 07:00</t>
        </is>
      </c>
      <c r="C728" s="139" t="inlineStr">
        <is>
          <t>MAI THÀNH DƯƠNG</t>
        </is>
      </c>
      <c r="D728" s="139" t="inlineStr">
        <is>
          <t>10/04/1964</t>
        </is>
      </c>
      <c r="E728" s="139" t="inlineStr">
        <is>
          <t>Thay băng, cắt chỉ vết mổ [chiều dài ≤ 15cm]</t>
        </is>
      </c>
      <c r="F728" s="260" t="n">
        <v>1</v>
      </c>
      <c r="G728" s="260" t="n">
        <v>100000</v>
      </c>
      <c r="H728" s="93">
        <f>G765*25%*75%</f>
        <v/>
      </c>
    </row>
    <row r="729" hidden="1" ht="15.75" customHeight="1" s="248">
      <c r="A729" s="92" t="n">
        <v>724</v>
      </c>
      <c r="B729" s="139" t="inlineStr">
        <is>
          <t>2026/06/22 07:00</t>
        </is>
      </c>
      <c r="C729" s="139" t="inlineStr">
        <is>
          <t>NGUYỄN THỊ MƯỜI</t>
        </is>
      </c>
      <c r="D729" s="139" t="inlineStr">
        <is>
          <t>01/01/1951</t>
        </is>
      </c>
      <c r="E729" s="139" t="inlineStr">
        <is>
          <t>Thay băng, cắt chỉ vết mổ [chiều dài ≤ 15cm]</t>
        </is>
      </c>
      <c r="F729" s="260" t="n">
        <v>1</v>
      </c>
      <c r="G729" s="260" t="n">
        <v>100000</v>
      </c>
      <c r="H729" s="93">
        <f>G766*25%*75%</f>
        <v/>
      </c>
    </row>
    <row r="730" hidden="1" ht="15.75" customHeight="1" s="248">
      <c r="A730" s="92" t="n">
        <v>725</v>
      </c>
      <c r="B730" s="139" t="inlineStr">
        <is>
          <t>2026/06/22 07:00</t>
        </is>
      </c>
      <c r="C730" s="139" t="inlineStr">
        <is>
          <t>TRẦN THỊ BÉ BA</t>
        </is>
      </c>
      <c r="D730" s="139" t="inlineStr">
        <is>
          <t>01/01/1966</t>
        </is>
      </c>
      <c r="E730" s="139" t="inlineStr">
        <is>
          <t>Thay băng, cắt chỉ vết mổ [chiều dài ≤ 15cm]</t>
        </is>
      </c>
      <c r="F730" s="260" t="n">
        <v>1</v>
      </c>
      <c r="G730" s="260" t="n">
        <v>100000</v>
      </c>
      <c r="H730" s="93">
        <f>G767*25%*75%</f>
        <v/>
      </c>
    </row>
    <row r="731" hidden="1" ht="15.75" customHeight="1" s="248">
      <c r="A731" s="92" t="n">
        <v>726</v>
      </c>
      <c r="B731" s="139" t="inlineStr">
        <is>
          <t>2026/06/22 08:00</t>
        </is>
      </c>
      <c r="C731" s="139" t="inlineStr">
        <is>
          <t>LÊ THỊ KIM ĐIỂU</t>
        </is>
      </c>
      <c r="D731" s="139" t="inlineStr">
        <is>
          <t>12/12/1958</t>
        </is>
      </c>
      <c r="E731" s="139" t="inlineStr">
        <is>
          <t>Thay băng, cắt chỉ vết mổ [chiều dài ≤ 15cm]</t>
        </is>
      </c>
      <c r="F731" s="260" t="n">
        <v>1</v>
      </c>
      <c r="G731" s="260" t="n">
        <v>100000</v>
      </c>
      <c r="H731" s="93">
        <f>G768*25%*75%</f>
        <v/>
      </c>
    </row>
    <row r="732" hidden="1" ht="15.75" customHeight="1" s="248">
      <c r="A732" s="92" t="n">
        <v>727</v>
      </c>
      <c r="B732" s="139" t="inlineStr">
        <is>
          <t>2026/06/22 08:00</t>
        </is>
      </c>
      <c r="C732" s="139" t="inlineStr">
        <is>
          <t>TRỊNH THÚY NGA</t>
        </is>
      </c>
      <c r="D732" s="139" t="inlineStr">
        <is>
          <t>01/01/1965</t>
        </is>
      </c>
      <c r="E732" s="139" t="inlineStr">
        <is>
          <t>Thay băng, cắt chỉ vết mổ [chiều dài ≤ 15cm]</t>
        </is>
      </c>
      <c r="F732" s="260" t="n">
        <v>1</v>
      </c>
      <c r="G732" s="260" t="n">
        <v>100000</v>
      </c>
      <c r="H732" s="93">
        <f>G769*25%*75%</f>
        <v/>
      </c>
    </row>
    <row r="733" hidden="1" ht="15.75" customHeight="1" s="248">
      <c r="A733" s="92" t="n">
        <v>728</v>
      </c>
      <c r="B733" s="139" t="inlineStr">
        <is>
          <t>2026/06/22 08:07</t>
        </is>
      </c>
      <c r="C733" s="139" t="inlineStr">
        <is>
          <t>ĐẶNG KIM BÍCH</t>
        </is>
      </c>
      <c r="D733" s="139" t="inlineStr">
        <is>
          <t>01/01/1972</t>
        </is>
      </c>
      <c r="E733" s="139" t="inlineStr">
        <is>
          <t>Thay băng, cắt chỉ vết mổ [chiều dài ≤ 15cm]</t>
        </is>
      </c>
      <c r="F733" s="260" t="n">
        <v>1</v>
      </c>
      <c r="G733" s="260" t="n">
        <v>100000</v>
      </c>
      <c r="H733" s="93">
        <f>G770*25%*75%</f>
        <v/>
      </c>
    </row>
    <row r="734" hidden="1" ht="15.75" customHeight="1" s="248">
      <c r="A734" s="92" t="n">
        <v>729</v>
      </c>
      <c r="B734" s="139" t="inlineStr">
        <is>
          <t>2026/06/22 08:27</t>
        </is>
      </c>
      <c r="C734" s="139" t="inlineStr">
        <is>
          <t>CAO THIỆN VŨ</t>
        </is>
      </c>
      <c r="D734" s="139" t="inlineStr">
        <is>
          <t>01/01/1977</t>
        </is>
      </c>
      <c r="E734" s="139" t="inlineStr">
        <is>
          <t>Thay băng, cắt chỉ vết mổ [chiều dài ≤ 15cm]</t>
        </is>
      </c>
      <c r="F734" s="260" t="n">
        <v>1</v>
      </c>
      <c r="G734" s="260" t="n">
        <v>100000</v>
      </c>
      <c r="H734" s="93">
        <f>G771*25%*75%</f>
        <v/>
      </c>
    </row>
    <row r="735" hidden="1" ht="15.75" customHeight="1" s="248">
      <c r="A735" s="92" t="n">
        <v>730</v>
      </c>
      <c r="B735" s="139" t="inlineStr">
        <is>
          <t>2026/06/22 08:57</t>
        </is>
      </c>
      <c r="C735" s="139" t="inlineStr">
        <is>
          <t>VÕ TẤN HƯNG</t>
        </is>
      </c>
      <c r="D735" s="139" t="inlineStr">
        <is>
          <t>19/09/1963</t>
        </is>
      </c>
      <c r="E735" s="139" t="inlineStr">
        <is>
          <t>Thay băng, cắt chỉ vết mổ [chiều dài ≤ 15cm]</t>
        </is>
      </c>
      <c r="F735" s="260" t="n">
        <v>1</v>
      </c>
      <c r="G735" s="260" t="n">
        <v>64300</v>
      </c>
      <c r="H735" s="93">
        <f>G772*25%*75%</f>
        <v/>
      </c>
    </row>
    <row r="736" hidden="1" ht="15.75" customHeight="1" s="248">
      <c r="A736" s="92" t="n">
        <v>731</v>
      </c>
      <c r="B736" s="139" t="inlineStr">
        <is>
          <t>2026/06/22 09:59</t>
        </is>
      </c>
      <c r="C736" s="139" t="inlineStr">
        <is>
          <t>LƯƠNG THỊ NGUYỆT</t>
        </is>
      </c>
      <c r="D736" s="139" t="inlineStr">
        <is>
          <t>15/11/1958</t>
        </is>
      </c>
      <c r="E736" s="139" t="inlineStr">
        <is>
          <t>Tháo bột (lớn)</t>
        </is>
      </c>
      <c r="F736" s="260" t="n">
        <v>1</v>
      </c>
      <c r="G736" s="260" t="n">
        <v>300000</v>
      </c>
      <c r="H736" s="93">
        <f>G773*25%*75%</f>
        <v/>
      </c>
    </row>
    <row r="737" hidden="1" ht="15.75" customHeight="1" s="248">
      <c r="A737" s="92" t="n">
        <v>732</v>
      </c>
      <c r="B737" s="139" t="inlineStr">
        <is>
          <t>2026/06/22 10:33</t>
        </is>
      </c>
      <c r="C737" s="139" t="inlineStr">
        <is>
          <t>HUỲNH THỊ ÚT TƯ</t>
        </is>
      </c>
      <c r="D737" s="139" t="inlineStr">
        <is>
          <t>01/01/1977</t>
        </is>
      </c>
      <c r="E737" s="139" t="inlineStr">
        <is>
          <t>Thay băng, cắt chỉ vết mổ [chiều dài ≤ 15cm]</t>
        </is>
      </c>
      <c r="F737" s="260" t="n">
        <v>1</v>
      </c>
      <c r="G737" s="260" t="n">
        <v>100000</v>
      </c>
      <c r="H737" s="93">
        <f>G774*25%*75%</f>
        <v/>
      </c>
    </row>
    <row r="738" hidden="1" ht="15.75" customHeight="1" s="248">
      <c r="A738" s="92" t="n">
        <v>733</v>
      </c>
      <c r="B738" s="139" t="inlineStr">
        <is>
          <t>2026/06/22 10:35</t>
        </is>
      </c>
      <c r="C738" s="139" t="inlineStr">
        <is>
          <t>TRẦN THỊ THU HƯỜNG</t>
        </is>
      </c>
      <c r="D738" s="139" t="inlineStr">
        <is>
          <t>01/01/1958</t>
        </is>
      </c>
      <c r="E738" s="139" t="inlineStr">
        <is>
          <t>Điều trị bằng sóng xung kích</t>
        </is>
      </c>
      <c r="F738" s="260" t="n">
        <v>1</v>
      </c>
      <c r="G738" s="260" t="n">
        <v>162000</v>
      </c>
      <c r="H738" s="93">
        <f>G775*25%*75%</f>
        <v/>
      </c>
    </row>
    <row r="739" hidden="1" ht="15.75" customHeight="1" s="248">
      <c r="A739" s="92" t="n">
        <v>734</v>
      </c>
      <c r="B739" s="139" t="inlineStr">
        <is>
          <t>2026/06/22 10:35</t>
        </is>
      </c>
      <c r="C739" s="139" t="inlineStr">
        <is>
          <t>TRẦN THỊ THU HƯỜNG</t>
        </is>
      </c>
      <c r="D739" s="139" t="inlineStr">
        <is>
          <t>01/01/1958</t>
        </is>
      </c>
      <c r="E739" s="139" t="inlineStr">
        <is>
          <t>Điều trị bằng sóng xung kích</t>
        </is>
      </c>
      <c r="F739" s="260" t="n">
        <v>1</v>
      </c>
      <c r="G739" s="260" t="n">
        <v>162000</v>
      </c>
      <c r="H739" s="93">
        <f>G776*25%*75%</f>
        <v/>
      </c>
    </row>
    <row r="740" hidden="1" ht="15.75" customHeight="1" s="248">
      <c r="A740" s="92" t="n">
        <v>735</v>
      </c>
      <c r="B740" s="139" t="inlineStr">
        <is>
          <t>2026/06/22 10:50</t>
        </is>
      </c>
      <c r="C740" s="139" t="inlineStr">
        <is>
          <t>NGUYỄN THỊ ĐIỀN</t>
        </is>
      </c>
      <c r="D740" s="139" t="inlineStr">
        <is>
          <t>25/10/1945</t>
        </is>
      </c>
      <c r="E740" s="139" t="inlineStr">
        <is>
          <t>Nắn bột cẳng bàn chân trong gãy xương bàn chân, ngón chân</t>
        </is>
      </c>
      <c r="F740" s="260" t="n">
        <v>1</v>
      </c>
      <c r="G740" s="260" t="n">
        <v>400000</v>
      </c>
      <c r="H740" s="93">
        <f>G777*25%*75%</f>
        <v/>
      </c>
    </row>
    <row r="741" hidden="1" ht="15.75" customHeight="1" s="248">
      <c r="A741" s="92" t="n">
        <v>736</v>
      </c>
      <c r="B741" s="139" t="inlineStr">
        <is>
          <t>2026/06/22 10:52</t>
        </is>
      </c>
      <c r="C741" s="139" t="inlineStr">
        <is>
          <t>TRẦN THỊ THU HƯỜNG</t>
        </is>
      </c>
      <c r="D741" s="139" t="inlineStr">
        <is>
          <t>01/01/1958</t>
        </is>
      </c>
      <c r="E741" s="139" t="inlineStr">
        <is>
          <t>Điều trị bằng sóng xung kích</t>
        </is>
      </c>
      <c r="F741" s="260" t="n">
        <v>1</v>
      </c>
      <c r="G741" s="260" t="n">
        <v>162000</v>
      </c>
      <c r="H741" s="93">
        <f>G778*25%*75%</f>
        <v/>
      </c>
    </row>
    <row r="742" hidden="1" ht="15.75" customHeight="1" s="248">
      <c r="A742" s="92" t="n">
        <v>737</v>
      </c>
      <c r="B742" s="139" t="inlineStr">
        <is>
          <t>2026/06/22 10:52</t>
        </is>
      </c>
      <c r="C742" s="139" t="inlineStr">
        <is>
          <t>TRẦN THỊ THU HƯỜNG</t>
        </is>
      </c>
      <c r="D742" s="139" t="inlineStr">
        <is>
          <t>01/01/1958</t>
        </is>
      </c>
      <c r="E742" s="139" t="inlineStr">
        <is>
          <t>Điều trị bằng sóng xung kích</t>
        </is>
      </c>
      <c r="F742" s="260" t="n">
        <v>1</v>
      </c>
      <c r="G742" s="260" t="n">
        <v>162000</v>
      </c>
      <c r="H742" s="93">
        <f>G779*25%*75%</f>
        <v/>
      </c>
    </row>
    <row r="743" hidden="1" ht="15.75" customHeight="1" s="248">
      <c r="A743" s="92" t="n">
        <v>738</v>
      </c>
      <c r="B743" s="139" t="inlineStr">
        <is>
          <t>2026/06/22 10:52</t>
        </is>
      </c>
      <c r="C743" s="139" t="inlineStr">
        <is>
          <t>TRẦN THỊ THU HƯỜNG</t>
        </is>
      </c>
      <c r="D743" s="139" t="inlineStr">
        <is>
          <t>01/01/1958</t>
        </is>
      </c>
      <c r="E743" s="139" t="inlineStr">
        <is>
          <t>Điều trị bằng sóng xung kích</t>
        </is>
      </c>
      <c r="F743" s="260" t="n">
        <v>1</v>
      </c>
      <c r="G743" s="260" t="n">
        <v>162000</v>
      </c>
      <c r="H743" s="93">
        <f>G780*25%*75%</f>
        <v/>
      </c>
    </row>
    <row r="744" hidden="1" ht="15.75" customHeight="1" s="248">
      <c r="A744" s="92" t="n">
        <v>739</v>
      </c>
      <c r="B744" s="139" t="inlineStr">
        <is>
          <t>2026/06/22 10:52</t>
        </is>
      </c>
      <c r="C744" s="139" t="inlineStr">
        <is>
          <t>TRẦN THỊ THU HƯỜNG</t>
        </is>
      </c>
      <c r="D744" s="139" t="inlineStr">
        <is>
          <t>01/01/1958</t>
        </is>
      </c>
      <c r="E744" s="139" t="inlineStr">
        <is>
          <t>Điều trị bằng sóng xung kích</t>
        </is>
      </c>
      <c r="F744" s="260" t="n">
        <v>1</v>
      </c>
      <c r="G744" s="260" t="n">
        <v>162000</v>
      </c>
      <c r="H744" s="93">
        <f>G781*25%*75%</f>
        <v/>
      </c>
    </row>
    <row r="745" hidden="1" ht="15.75" customHeight="1" s="248">
      <c r="A745" s="92" t="n">
        <v>740</v>
      </c>
      <c r="B745" s="139" t="inlineStr">
        <is>
          <t>2026/06/22 10:52</t>
        </is>
      </c>
      <c r="C745" s="139" t="inlineStr">
        <is>
          <t>TRẦN THỊ THU HƯỜNG</t>
        </is>
      </c>
      <c r="D745" s="139" t="inlineStr">
        <is>
          <t>01/01/1958</t>
        </is>
      </c>
      <c r="E745" s="139" t="inlineStr">
        <is>
          <t>Điều trị bằng sóng xung kích</t>
        </is>
      </c>
      <c r="F745" s="260" t="n">
        <v>1</v>
      </c>
      <c r="G745" s="260" t="n">
        <v>162000</v>
      </c>
      <c r="H745" s="93">
        <f>G782*25%*75%</f>
        <v/>
      </c>
    </row>
    <row r="746" hidden="1" ht="15.75" customHeight="1" s="248">
      <c r="A746" s="92" t="n">
        <v>741</v>
      </c>
      <c r="B746" s="139" t="inlineStr">
        <is>
          <t>2026/06/22 10:52</t>
        </is>
      </c>
      <c r="C746" s="139" t="inlineStr">
        <is>
          <t>TRẦN THỊ THU HƯỜNG</t>
        </is>
      </c>
      <c r="D746" s="139" t="inlineStr">
        <is>
          <t>01/01/1958</t>
        </is>
      </c>
      <c r="E746" s="139" t="inlineStr">
        <is>
          <t>Điều trị bằng sóng xung kích</t>
        </is>
      </c>
      <c r="F746" s="260" t="n">
        <v>1</v>
      </c>
      <c r="G746" s="260" t="n">
        <v>162000</v>
      </c>
      <c r="H746" s="93">
        <f>G783*25%*75%</f>
        <v/>
      </c>
    </row>
    <row r="747" hidden="1" ht="15.75" customHeight="1" s="248">
      <c r="A747" s="92" t="n">
        <v>742</v>
      </c>
      <c r="B747" s="139" t="inlineStr">
        <is>
          <t>2026/06/22 10:52</t>
        </is>
      </c>
      <c r="C747" s="139" t="inlineStr">
        <is>
          <t>TRẦN THỊ THU HƯỜNG</t>
        </is>
      </c>
      <c r="D747" s="139" t="inlineStr">
        <is>
          <t>01/01/1958</t>
        </is>
      </c>
      <c r="E747" s="139" t="inlineStr">
        <is>
          <t>Điều trị bằng sóng xung kích</t>
        </is>
      </c>
      <c r="F747" s="260" t="n">
        <v>1</v>
      </c>
      <c r="G747" s="260" t="n">
        <v>162000</v>
      </c>
      <c r="H747" s="93">
        <f>G784*25%*75%</f>
        <v/>
      </c>
    </row>
    <row r="748" hidden="1" ht="15.75" customHeight="1" s="248">
      <c r="A748" s="92" t="n">
        <v>743</v>
      </c>
      <c r="B748" s="139" t="inlineStr">
        <is>
          <t>2026/06/22 10:52</t>
        </is>
      </c>
      <c r="C748" s="139" t="inlineStr">
        <is>
          <t>TRẦN THỊ THU HƯỜNG</t>
        </is>
      </c>
      <c r="D748" s="139" t="inlineStr">
        <is>
          <t>01/01/1958</t>
        </is>
      </c>
      <c r="E748" s="139" t="inlineStr">
        <is>
          <t>Điều trị bằng sóng xung kích</t>
        </is>
      </c>
      <c r="F748" s="260" t="n">
        <v>1</v>
      </c>
      <c r="G748" s="260" t="n">
        <v>162000</v>
      </c>
      <c r="H748" s="93">
        <f>G785*25%*75%</f>
        <v/>
      </c>
    </row>
    <row r="749" hidden="1" ht="15.75" customHeight="1" s="248">
      <c r="A749" s="92" t="n">
        <v>744</v>
      </c>
      <c r="B749" s="139" t="inlineStr">
        <is>
          <t>2026/06/22 10:52</t>
        </is>
      </c>
      <c r="C749" s="139" t="inlineStr">
        <is>
          <t>TRẦN THỊ THU HƯỜNG</t>
        </is>
      </c>
      <c r="D749" s="139" t="inlineStr">
        <is>
          <t>01/01/1958</t>
        </is>
      </c>
      <c r="E749" s="139" t="inlineStr">
        <is>
          <t>Điều trị bằng sóng xung kích</t>
        </is>
      </c>
      <c r="F749" s="260" t="n">
        <v>1</v>
      </c>
      <c r="G749" s="260" t="n">
        <v>162000</v>
      </c>
      <c r="H749" s="93">
        <f>G786*25%*75%</f>
        <v/>
      </c>
    </row>
    <row r="750" hidden="1" ht="15.75" customHeight="1" s="248">
      <c r="A750" s="92" t="n">
        <v>745</v>
      </c>
      <c r="B750" s="139" t="inlineStr">
        <is>
          <t>2026/06/22 10:52</t>
        </is>
      </c>
      <c r="C750" s="139" t="inlineStr">
        <is>
          <t>TRẦN THỊ THU HƯỜNG</t>
        </is>
      </c>
      <c r="D750" s="139" t="inlineStr">
        <is>
          <t>01/01/1958</t>
        </is>
      </c>
      <c r="E750" s="139" t="inlineStr">
        <is>
          <t>Điều trị bằng sóng xung kích</t>
        </is>
      </c>
      <c r="F750" s="260" t="n">
        <v>1</v>
      </c>
      <c r="G750" s="260" t="n">
        <v>162000</v>
      </c>
      <c r="H750" s="93">
        <f>G787*25%*75%</f>
        <v/>
      </c>
    </row>
    <row r="751" hidden="1" ht="15.75" customHeight="1" s="248">
      <c r="A751" s="92" t="n">
        <v>746</v>
      </c>
      <c r="B751" s="139" t="inlineStr">
        <is>
          <t>2026/06/22 11:08</t>
        </is>
      </c>
      <c r="C751" s="139" t="inlineStr">
        <is>
          <t>NGUYỄN THỊ KỶ</t>
        </is>
      </c>
      <c r="D751" s="139" t="inlineStr">
        <is>
          <t>01/01/1949</t>
        </is>
      </c>
      <c r="E751" s="139" t="inlineStr">
        <is>
          <t>Thay băng, cắt chỉ vết mổ [chiều dài ≤ 15cm]</t>
        </is>
      </c>
      <c r="F751" s="260" t="n">
        <v>1</v>
      </c>
      <c r="G751" s="260" t="n">
        <v>64300</v>
      </c>
      <c r="H751" s="93">
        <f>G788*25%*75%</f>
        <v/>
      </c>
    </row>
    <row r="752" hidden="1" ht="15.75" customHeight="1" s="248">
      <c r="A752" s="92" t="n">
        <v>747</v>
      </c>
      <c r="B752" s="139" t="inlineStr">
        <is>
          <t>2026/06/22 11:20</t>
        </is>
      </c>
      <c r="C752" s="139" t="inlineStr">
        <is>
          <t>NGUYỄN THỊ MỘNG LINH</t>
        </is>
      </c>
      <c r="D752" s="139" t="inlineStr">
        <is>
          <t>18/08/1978</t>
        </is>
      </c>
      <c r="E752" s="139" t="inlineStr">
        <is>
          <t>Thay băng, cắt chỉ vết mổ [chiều dài ≤ 15cm]</t>
        </is>
      </c>
      <c r="F752" s="260" t="n">
        <v>1</v>
      </c>
      <c r="G752" s="260" t="n">
        <v>100000</v>
      </c>
      <c r="H752" s="93">
        <f>G789*25%*75%</f>
        <v/>
      </c>
    </row>
    <row r="753" hidden="1" ht="15.75" customHeight="1" s="248">
      <c r="A753" s="92" t="n">
        <v>748</v>
      </c>
      <c r="B753" s="139" t="inlineStr">
        <is>
          <t>2026/06/22 14:56</t>
        </is>
      </c>
      <c r="C753" s="139" t="inlineStr">
        <is>
          <t>LÂM THANH HÙNG</t>
        </is>
      </c>
      <c r="D753" s="139" t="inlineStr">
        <is>
          <t>01/01/1954</t>
        </is>
      </c>
      <c r="E753" s="139" t="inlineStr">
        <is>
          <t>Tháo bột (nhỏ)</t>
        </is>
      </c>
      <c r="F753" s="260" t="n">
        <v>1</v>
      </c>
      <c r="G753" s="260" t="n">
        <v>100000</v>
      </c>
      <c r="H753" s="93">
        <f>G792*25%*75%</f>
        <v/>
      </c>
    </row>
    <row r="754" hidden="1" ht="15.75" customHeight="1" s="248">
      <c r="A754" s="92" t="n">
        <v>749</v>
      </c>
      <c r="B754" s="139" t="inlineStr">
        <is>
          <t>2026/06/22 16:16</t>
        </is>
      </c>
      <c r="C754" s="139" t="inlineStr">
        <is>
          <t>TRIỆU HOÀNG LONG</t>
        </is>
      </c>
      <c r="D754" s="139" t="inlineStr">
        <is>
          <t>01/01/1963</t>
        </is>
      </c>
      <c r="E754" s="139" t="inlineStr">
        <is>
          <t>Thay băng, cắt chỉ vết mổ [chiều dài ≤ 15cm]</t>
        </is>
      </c>
      <c r="F754" s="260" t="n">
        <v>1</v>
      </c>
      <c r="G754" s="260" t="n">
        <v>64300</v>
      </c>
      <c r="H754" s="93">
        <f>G795*25%*75%</f>
        <v/>
      </c>
    </row>
    <row r="755" hidden="1" ht="15.75" customHeight="1" s="248">
      <c r="A755" s="92" t="n">
        <v>750</v>
      </c>
      <c r="B755" s="139" t="inlineStr">
        <is>
          <t>2026/06/22 23:15</t>
        </is>
      </c>
      <c r="C755" s="139" t="inlineStr">
        <is>
          <t>BÙI THỊ THU BA</t>
        </is>
      </c>
      <c r="D755" s="139" t="inlineStr">
        <is>
          <t>01/01/1960</t>
        </is>
      </c>
      <c r="E755" s="139" t="inlineStr">
        <is>
          <t>Thông bàng quang</t>
        </is>
      </c>
      <c r="F755" s="260" t="n">
        <v>1</v>
      </c>
      <c r="G755" s="260" t="n">
        <v>101800</v>
      </c>
      <c r="H755" s="93">
        <f>G796*25%*75%</f>
        <v/>
      </c>
    </row>
    <row r="756" hidden="1" ht="15.75" customHeight="1" s="248">
      <c r="A756" s="92" t="n">
        <v>751</v>
      </c>
      <c r="B756" s="139" t="inlineStr">
        <is>
          <t>2026/06/23 00:59</t>
        </is>
      </c>
      <c r="C756" s="139" t="inlineStr">
        <is>
          <t>NGUYỄN AN KHANG</t>
        </is>
      </c>
      <c r="D756" s="139" t="inlineStr">
        <is>
          <t>01/01/2006</t>
        </is>
      </c>
      <c r="E756" s="139" t="inlineStr">
        <is>
          <t>Nắn, bó bột gãy xương bàn, ngón tay [bột liền]</t>
        </is>
      </c>
      <c r="F756" s="260" t="n">
        <v>1</v>
      </c>
      <c r="G756" s="260" t="n">
        <v>400000</v>
      </c>
      <c r="H756" s="93">
        <f>G797*25%*75%</f>
        <v/>
      </c>
    </row>
    <row r="757" hidden="1" ht="15.75" customHeight="1" s="248">
      <c r="A757" s="92" t="n">
        <v>752</v>
      </c>
      <c r="B757" s="139" t="inlineStr">
        <is>
          <t>2026/06/23 05:00</t>
        </is>
      </c>
      <c r="C757" s="139" t="inlineStr">
        <is>
          <t>BÙI THỊ THU BA</t>
        </is>
      </c>
      <c r="D757" s="139" t="inlineStr">
        <is>
          <t>01/01/1960</t>
        </is>
      </c>
      <c r="E757" s="139" t="inlineStr">
        <is>
          <t>Thay băng, cắt chỉ vết mổ [chiều dài ≤ 15cm]</t>
        </is>
      </c>
      <c r="F757" s="260" t="n">
        <v>1</v>
      </c>
      <c r="G757" s="260" t="n">
        <v>100000</v>
      </c>
      <c r="H757" s="93">
        <f>G798*25%*75%</f>
        <v/>
      </c>
    </row>
    <row r="758" hidden="1" ht="15.75" customHeight="1" s="248">
      <c r="A758" s="92" t="n">
        <v>753</v>
      </c>
      <c r="B758" s="139" t="inlineStr">
        <is>
          <t>2026/06/23 05:00</t>
        </is>
      </c>
      <c r="C758" s="139" t="inlineStr">
        <is>
          <t>HUỲNH VĂN CỨ</t>
        </is>
      </c>
      <c r="D758" s="139" t="inlineStr">
        <is>
          <t>01/01/1967</t>
        </is>
      </c>
      <c r="E758" s="139" t="inlineStr">
        <is>
          <t>Thay băng, cắt chỉ vết mổ [chiều dài ≤ 15cm]</t>
        </is>
      </c>
      <c r="F758" s="260" t="n">
        <v>1</v>
      </c>
      <c r="G758" s="260" t="n">
        <v>100000</v>
      </c>
      <c r="H758" s="93">
        <f>G799*25%*75%</f>
        <v/>
      </c>
    </row>
    <row r="759" hidden="1" ht="15.75" customHeight="1" s="248">
      <c r="A759" s="92" t="n">
        <v>754</v>
      </c>
      <c r="B759" s="139" t="inlineStr">
        <is>
          <t>2026/06/23 05:00</t>
        </is>
      </c>
      <c r="C759" s="139" t="inlineStr">
        <is>
          <t>HUỲNH VĂN CỨ</t>
        </is>
      </c>
      <c r="D759" s="139" t="inlineStr">
        <is>
          <t>01/01/1967</t>
        </is>
      </c>
      <c r="E759" s="139" t="inlineStr">
        <is>
          <t>Thay băng, cắt chỉ vết mổ [chiều dài ≤ 15cm]</t>
        </is>
      </c>
      <c r="F759" s="260" t="n">
        <v>1</v>
      </c>
      <c r="G759" s="260" t="n">
        <v>100000</v>
      </c>
      <c r="H759" s="93">
        <f>G800*25%*75%</f>
        <v/>
      </c>
    </row>
    <row r="760" hidden="1" ht="15.75" customHeight="1" s="248">
      <c r="A760" s="92" t="n">
        <v>755</v>
      </c>
      <c r="B760" s="139" t="inlineStr">
        <is>
          <t>2026/06/23 05:00</t>
        </is>
      </c>
      <c r="C760" s="139" t="inlineStr">
        <is>
          <t>LÊ THỊ KIM ĐIỂU</t>
        </is>
      </c>
      <c r="D760" s="139" t="inlineStr">
        <is>
          <t>12/12/1958</t>
        </is>
      </c>
      <c r="E760" s="139" t="inlineStr">
        <is>
          <t>Thay băng, cắt chỉ vết mổ [chiều dài ≤ 15cm]</t>
        </is>
      </c>
      <c r="F760" s="260" t="n">
        <v>1</v>
      </c>
      <c r="G760" s="260" t="n">
        <v>100000</v>
      </c>
      <c r="H760" s="93">
        <f>G801*25%*75%</f>
        <v/>
      </c>
    </row>
    <row r="761" hidden="1" ht="15.75" customHeight="1" s="248">
      <c r="A761" s="92" t="n">
        <v>756</v>
      </c>
      <c r="B761" s="139" t="inlineStr">
        <is>
          <t>2026/06/23 05:00</t>
        </is>
      </c>
      <c r="C761" s="139" t="inlineStr">
        <is>
          <t>TRƯƠNG THỊ CẨM CHÂU</t>
        </is>
      </c>
      <c r="D761" s="139" t="inlineStr">
        <is>
          <t>09/10/1968</t>
        </is>
      </c>
      <c r="E761" s="139" t="inlineStr">
        <is>
          <t>Thay băng, cắt chỉ vết mổ [chiều dài ≤ 15cm]</t>
        </is>
      </c>
      <c r="F761" s="260" t="n">
        <v>1</v>
      </c>
      <c r="G761" s="260" t="n">
        <v>100000</v>
      </c>
      <c r="H761" s="93">
        <f>G802*25%*75%</f>
        <v/>
      </c>
    </row>
    <row r="762" hidden="1" ht="15.75" customHeight="1" s="248">
      <c r="A762" s="92" t="n">
        <v>757</v>
      </c>
      <c r="B762" s="139" t="inlineStr">
        <is>
          <t>2026/06/23 05:00</t>
        </is>
      </c>
      <c r="C762" s="139" t="inlineStr">
        <is>
          <t>VÕ THỊ THE</t>
        </is>
      </c>
      <c r="D762" s="139" t="inlineStr">
        <is>
          <t>01/01/1963</t>
        </is>
      </c>
      <c r="E762" s="139" t="inlineStr">
        <is>
          <t>Thay băng, cắt chỉ vết mổ [chiều dài ≤ 15cm]</t>
        </is>
      </c>
      <c r="F762" s="260" t="n">
        <v>1</v>
      </c>
      <c r="G762" s="260" t="n">
        <v>100000</v>
      </c>
      <c r="H762" s="93">
        <f>G803*25%*75%</f>
        <v/>
      </c>
    </row>
    <row r="763" hidden="1" ht="15.75" customHeight="1" s="248">
      <c r="A763" s="92" t="n">
        <v>758</v>
      </c>
      <c r="B763" s="139" t="inlineStr">
        <is>
          <t>2026/06/23 06:15</t>
        </is>
      </c>
      <c r="C763" s="139" t="inlineStr">
        <is>
          <t>LÊ THỊ LỆ</t>
        </is>
      </c>
      <c r="D763" s="139" t="inlineStr">
        <is>
          <t>01/01/1957</t>
        </is>
      </c>
      <c r="E763" s="139" t="inlineStr">
        <is>
          <t>Thay băng, cắt chỉ vết mổ [chiều dài ≤ 15cm]</t>
        </is>
      </c>
      <c r="F763" s="260" t="n">
        <v>1</v>
      </c>
      <c r="G763" s="260" t="n">
        <v>100000</v>
      </c>
      <c r="H763" s="93">
        <f>G804*25%*75%</f>
        <v/>
      </c>
    </row>
    <row r="764" hidden="1" ht="15.75" customHeight="1" s="248">
      <c r="A764" s="92" t="n">
        <v>759</v>
      </c>
      <c r="B764" s="139" t="inlineStr">
        <is>
          <t>2026/06/23 06:20</t>
        </is>
      </c>
      <c r="C764" s="139" t="inlineStr">
        <is>
          <t>NGUYỄN THỊ NGỌC DUYÊN</t>
        </is>
      </c>
      <c r="D764" s="139" t="inlineStr">
        <is>
          <t>01/02/1971</t>
        </is>
      </c>
      <c r="E764" s="139" t="inlineStr">
        <is>
          <t>Thay băng, cắt chỉ vết mổ [chiều dài ≤ 15cm]</t>
        </is>
      </c>
      <c r="F764" s="260" t="n">
        <v>1</v>
      </c>
      <c r="G764" s="260" t="n">
        <v>100000</v>
      </c>
      <c r="H764" s="93">
        <f>G805*25%*75%</f>
        <v/>
      </c>
    </row>
    <row r="765" hidden="1" ht="15.75" customHeight="1" s="248">
      <c r="A765" s="92" t="n">
        <v>760</v>
      </c>
      <c r="B765" s="139" t="inlineStr">
        <is>
          <t>2026/06/23 06:45</t>
        </is>
      </c>
      <c r="C765" s="139" t="inlineStr">
        <is>
          <t>VÕ VĂN HƠN</t>
        </is>
      </c>
      <c r="D765" s="139" t="inlineStr">
        <is>
          <t>26/04/1989</t>
        </is>
      </c>
      <c r="E765" s="139" t="inlineStr">
        <is>
          <t>Thay băng, cắt chỉ vết mổ [chiều dài ≤ 15cm]</t>
        </is>
      </c>
      <c r="F765" s="260" t="n">
        <v>1</v>
      </c>
      <c r="G765" s="260" t="n">
        <v>100000</v>
      </c>
      <c r="H765" s="93">
        <f>G806*25%*75%</f>
        <v/>
      </c>
    </row>
    <row r="766" hidden="1" ht="15.75" customHeight="1" s="248">
      <c r="A766" s="92" t="n">
        <v>761</v>
      </c>
      <c r="B766" s="139" t="inlineStr">
        <is>
          <t>2026/06/23 06:50</t>
        </is>
      </c>
      <c r="C766" s="139" t="inlineStr">
        <is>
          <t>VÕ VĂN HƠN</t>
        </is>
      </c>
      <c r="D766" s="139" t="inlineStr">
        <is>
          <t>26/04/1989</t>
        </is>
      </c>
      <c r="E766" s="139" t="inlineStr">
        <is>
          <t>Thay băng, cắt chỉ vết mổ [chiều dài ≤ 15cm]</t>
        </is>
      </c>
      <c r="F766" s="260" t="n">
        <v>1</v>
      </c>
      <c r="G766" s="260" t="n">
        <v>100000</v>
      </c>
      <c r="H766" s="93">
        <f>G807*25%*75%</f>
        <v/>
      </c>
    </row>
    <row r="767" hidden="1" ht="15.75" customHeight="1" s="248">
      <c r="A767" s="92" t="n">
        <v>762</v>
      </c>
      <c r="B767" s="139" t="inlineStr">
        <is>
          <t>2026/06/23 06:55</t>
        </is>
      </c>
      <c r="C767" s="139" t="inlineStr">
        <is>
          <t>NGUYỄN THỊ NGỌC DUYÊN</t>
        </is>
      </c>
      <c r="D767" s="139" t="inlineStr">
        <is>
          <t>01/02/1971</t>
        </is>
      </c>
      <c r="E767" s="139" t="inlineStr">
        <is>
          <t>Thay băng, cắt chỉ vết mổ [chiều dài ≤ 15cm]</t>
        </is>
      </c>
      <c r="F767" s="260" t="n">
        <v>1</v>
      </c>
      <c r="G767" s="260" t="n">
        <v>100000</v>
      </c>
      <c r="H767" s="93">
        <f>G808*25%*75%</f>
        <v/>
      </c>
    </row>
    <row r="768" hidden="1" ht="15.75" customHeight="1" s="248">
      <c r="A768" s="92" t="n">
        <v>763</v>
      </c>
      <c r="B768" s="139" t="inlineStr">
        <is>
          <t>2026/06/23 07:00</t>
        </is>
      </c>
      <c r="C768" s="139" t="inlineStr">
        <is>
          <t>HUỲNH THỊ THANH HƯỜNG</t>
        </is>
      </c>
      <c r="D768" s="139" t="inlineStr">
        <is>
          <t>01/01/1984</t>
        </is>
      </c>
      <c r="E768" s="139" t="inlineStr">
        <is>
          <t>Thay băng, cắt chỉ vết mổ [chiều dài ≤ 15cm]</t>
        </is>
      </c>
      <c r="F768" s="260" t="n">
        <v>1</v>
      </c>
      <c r="G768" s="260" t="n">
        <v>100000</v>
      </c>
      <c r="H768" s="93">
        <f>G809*25%*75%</f>
        <v/>
      </c>
    </row>
    <row r="769" hidden="1" ht="15.75" customHeight="1" s="248">
      <c r="A769" s="92" t="n">
        <v>764</v>
      </c>
      <c r="B769" s="139" t="inlineStr">
        <is>
          <t>2026/06/23 07:00</t>
        </is>
      </c>
      <c r="C769" s="139" t="inlineStr">
        <is>
          <t>NGUYỄN VĂN QUANG</t>
        </is>
      </c>
      <c r="D769" s="139" t="inlineStr">
        <is>
          <t>22/12/1981</t>
        </is>
      </c>
      <c r="E769" s="139" t="inlineStr">
        <is>
          <t>Thay băng, cắt chỉ vết mổ [chiều dài ≤ 15cm]</t>
        </is>
      </c>
      <c r="F769" s="260" t="n">
        <v>1</v>
      </c>
      <c r="G769" s="260" t="n">
        <v>100000</v>
      </c>
      <c r="H769" s="93">
        <f>G810*25%*75%</f>
        <v/>
      </c>
    </row>
    <row r="770" hidden="1" ht="15.75" customHeight="1" s="248">
      <c r="A770" s="92" t="n">
        <v>765</v>
      </c>
      <c r="B770" s="139" t="inlineStr">
        <is>
          <t>2026/06/23 07:00</t>
        </is>
      </c>
      <c r="C770" s="139" t="inlineStr">
        <is>
          <t>PHAN VĂN ĐƯỢC</t>
        </is>
      </c>
      <c r="D770" s="139" t="inlineStr">
        <is>
          <t>01/01/1934</t>
        </is>
      </c>
      <c r="E770" s="139" t="inlineStr">
        <is>
          <t>Thay băng, cắt chỉ vết mổ [chiều dài ≤ 15cm]</t>
        </is>
      </c>
      <c r="F770" s="260" t="n">
        <v>1</v>
      </c>
      <c r="G770" s="260" t="n">
        <v>100000</v>
      </c>
      <c r="H770" s="93">
        <f>G811*25%*75%</f>
        <v/>
      </c>
    </row>
    <row r="771" hidden="1" ht="15.75" customHeight="1" s="248">
      <c r="A771" s="92" t="n">
        <v>766</v>
      </c>
      <c r="B771" s="139" t="inlineStr">
        <is>
          <t>2026/06/23 07:00</t>
        </is>
      </c>
      <c r="C771" s="139" t="inlineStr">
        <is>
          <t>PHẠM THỊ DUNG</t>
        </is>
      </c>
      <c r="D771" s="139" t="inlineStr">
        <is>
          <t>01/01/1968</t>
        </is>
      </c>
      <c r="E771" s="139" t="inlineStr">
        <is>
          <t>Thay băng, cắt chỉ vết mổ [chiều dài ≤ 15cm]</t>
        </is>
      </c>
      <c r="F771" s="260" t="n">
        <v>1</v>
      </c>
      <c r="G771" s="260" t="n">
        <v>100000</v>
      </c>
      <c r="H771" s="93">
        <f>G812*25%*75%</f>
        <v/>
      </c>
    </row>
    <row r="772" hidden="1" ht="15.75" customHeight="1" s="248">
      <c r="A772" s="92" t="n">
        <v>767</v>
      </c>
      <c r="B772" s="139" t="inlineStr">
        <is>
          <t>2026/06/23 07:00</t>
        </is>
      </c>
      <c r="C772" s="139" t="inlineStr">
        <is>
          <t>TRẦN ĐỨC HIẾU</t>
        </is>
      </c>
      <c r="D772" s="139" t="inlineStr">
        <is>
          <t>13/10/2007</t>
        </is>
      </c>
      <c r="E772" s="139" t="inlineStr">
        <is>
          <t>Thay băng, cắt chỉ vết mổ [chiều dài ≤ 15cm]</t>
        </is>
      </c>
      <c r="F772" s="260" t="n">
        <v>1</v>
      </c>
      <c r="G772" s="260" t="n">
        <v>100000</v>
      </c>
      <c r="H772" s="93">
        <f>G813*25%*75%</f>
        <v/>
      </c>
    </row>
    <row r="773" hidden="1" ht="15.75" customHeight="1" s="248">
      <c r="A773" s="92" t="n">
        <v>768</v>
      </c>
      <c r="B773" s="139" t="inlineStr">
        <is>
          <t>2026/06/23 07:00</t>
        </is>
      </c>
      <c r="C773" s="139" t="inlineStr">
        <is>
          <t>VÕ THỊ ĐIỆP</t>
        </is>
      </c>
      <c r="D773" s="139" t="inlineStr">
        <is>
          <t>01/01/1942</t>
        </is>
      </c>
      <c r="E773" s="139" t="inlineStr">
        <is>
          <t>Truyền hóa chất tĩnh mạch [nội trú]</t>
        </is>
      </c>
      <c r="F773" s="260" t="n">
        <v>1</v>
      </c>
      <c r="G773" s="260" t="n">
        <v>400000</v>
      </c>
      <c r="H773" s="93">
        <f>G814*25%*75%</f>
        <v/>
      </c>
    </row>
    <row r="774" hidden="1" ht="15.75" customHeight="1" s="248">
      <c r="A774" s="92" t="n">
        <v>769</v>
      </c>
      <c r="B774" s="139" t="inlineStr">
        <is>
          <t>2026/06/23 08:00</t>
        </is>
      </c>
      <c r="C774" s="139" t="inlineStr">
        <is>
          <t>TRỊNH THÚY NGA</t>
        </is>
      </c>
      <c r="D774" s="139" t="inlineStr">
        <is>
          <t>01/01/1965</t>
        </is>
      </c>
      <c r="E774" s="139" t="inlineStr">
        <is>
          <t>Thay băng, cắt chỉ vết mổ [chiều dài ≤ 15cm]</t>
        </is>
      </c>
      <c r="F774" s="260" t="n">
        <v>1</v>
      </c>
      <c r="G774" s="260" t="n">
        <v>100000</v>
      </c>
      <c r="H774" s="93">
        <f>G815*25%*75%</f>
        <v/>
      </c>
    </row>
    <row r="775" hidden="1" ht="15.75" customHeight="1" s="248">
      <c r="A775" s="92" t="n">
        <v>770</v>
      </c>
      <c r="B775" s="139" t="inlineStr">
        <is>
          <t>2026/06/23 08:58</t>
        </is>
      </c>
      <c r="C775" s="139" t="inlineStr">
        <is>
          <t>TRẦN THỊ KIỀU HẠNH</t>
        </is>
      </c>
      <c r="D775" s="139" t="inlineStr">
        <is>
          <t>10/05/1986</t>
        </is>
      </c>
      <c r="E775" s="139" t="inlineStr">
        <is>
          <t>Tháo bột (nhỏ)</t>
        </is>
      </c>
      <c r="F775" s="260" t="n">
        <v>1</v>
      </c>
      <c r="G775" s="260" t="n">
        <v>100000</v>
      </c>
      <c r="H775" s="93">
        <f>G817*25%*75%</f>
        <v/>
      </c>
    </row>
    <row r="776" hidden="1" ht="15.75" customHeight="1" s="248">
      <c r="A776" s="92" t="n">
        <v>771</v>
      </c>
      <c r="B776" s="139" t="inlineStr">
        <is>
          <t>2026/06/23 10:00</t>
        </is>
      </c>
      <c r="C776" s="139" t="inlineStr">
        <is>
          <t>NGUYỄN VĂN QUANG</t>
        </is>
      </c>
      <c r="D776" s="139" t="inlineStr">
        <is>
          <t>22/12/1981</t>
        </is>
      </c>
      <c r="E776" s="139" t="inlineStr">
        <is>
          <t>Đặt sonde bàng quang</t>
        </is>
      </c>
      <c r="F776" s="260" t="n">
        <v>1</v>
      </c>
      <c r="G776" s="260" t="n">
        <v>101800</v>
      </c>
      <c r="H776" s="93">
        <f>G820*25%*75%</f>
        <v/>
      </c>
    </row>
    <row r="777" hidden="1" ht="15.75" customHeight="1" s="248">
      <c r="A777" s="92" t="n">
        <v>772</v>
      </c>
      <c r="B777" s="139" t="inlineStr">
        <is>
          <t>2026/06/23 11:30</t>
        </is>
      </c>
      <c r="C777" s="139" t="inlineStr">
        <is>
          <t>ĐẶNG TÔN THỊNH</t>
        </is>
      </c>
      <c r="D777" s="139" t="inlineStr">
        <is>
          <t>03/02/1983</t>
        </is>
      </c>
      <c r="E777" s="139" t="inlineStr">
        <is>
          <t>Cắt chỉ sau phẫu thuật</t>
        </is>
      </c>
      <c r="F777" s="260" t="n">
        <v>1</v>
      </c>
      <c r="G777" s="260" t="n">
        <v>100000</v>
      </c>
      <c r="H777" s="93">
        <f>G821*25%*75%</f>
        <v/>
      </c>
    </row>
    <row r="778" hidden="1" ht="15.75" customHeight="1" s="248">
      <c r="A778" s="92" t="n">
        <v>773</v>
      </c>
      <c r="B778" s="139" t="inlineStr">
        <is>
          <t>2026/06/23 15:39</t>
        </is>
      </c>
      <c r="C778" s="139" t="inlineStr">
        <is>
          <t>NGUYỄN CHÍ TÂM</t>
        </is>
      </c>
      <c r="D778" s="139" t="inlineStr">
        <is>
          <t>21/02/2005</t>
        </is>
      </c>
      <c r="E778" s="139" t="inlineStr">
        <is>
          <t>Tháo bột (nhỏ)</t>
        </is>
      </c>
      <c r="F778" s="260" t="n">
        <v>1</v>
      </c>
      <c r="G778" s="260" t="n">
        <v>100000</v>
      </c>
      <c r="H778" s="93">
        <f>G826*25%*75%</f>
        <v/>
      </c>
    </row>
    <row r="779" hidden="1" ht="15.75" customHeight="1" s="248">
      <c r="A779" s="92" t="n">
        <v>774</v>
      </c>
      <c r="B779" s="139" t="inlineStr">
        <is>
          <t>2026/06/24 05:00</t>
        </is>
      </c>
      <c r="C779" s="139" t="inlineStr">
        <is>
          <t>BÙI THỊ THU BA</t>
        </is>
      </c>
      <c r="D779" s="139" t="inlineStr">
        <is>
          <t>01/01/1960</t>
        </is>
      </c>
      <c r="E779" s="139" t="inlineStr">
        <is>
          <t>Thay băng, cắt chỉ vết mổ [chiều dài ≤ 15cm]</t>
        </is>
      </c>
      <c r="F779" s="260" t="n">
        <v>1</v>
      </c>
      <c r="G779" s="260" t="n">
        <v>100000</v>
      </c>
      <c r="H779" s="93">
        <f>G827*25%*75%</f>
        <v/>
      </c>
    </row>
    <row r="780" hidden="1" ht="15.75" customHeight="1" s="248">
      <c r="A780" s="92" t="n">
        <v>775</v>
      </c>
      <c r="B780" s="139" t="inlineStr">
        <is>
          <t>2026/06/24 05:00</t>
        </is>
      </c>
      <c r="C780" s="139" t="inlineStr">
        <is>
          <t>HUỲNH VĂN CỨ</t>
        </is>
      </c>
      <c r="D780" s="139" t="inlineStr">
        <is>
          <t>01/01/1967</t>
        </is>
      </c>
      <c r="E780" s="139" t="inlineStr">
        <is>
          <t>Thay băng, cắt chỉ vết mổ [chiều dài ≤ 15cm]</t>
        </is>
      </c>
      <c r="F780" s="260" t="n">
        <v>1</v>
      </c>
      <c r="G780" s="260" t="n">
        <v>100000</v>
      </c>
      <c r="H780" s="93">
        <f>G828*25%*75%</f>
        <v/>
      </c>
    </row>
    <row r="781" hidden="1" ht="15.75" customHeight="1" s="248">
      <c r="A781" s="92" t="n">
        <v>776</v>
      </c>
      <c r="B781" s="139" t="inlineStr">
        <is>
          <t>2026/06/24 05:00</t>
        </is>
      </c>
      <c r="C781" s="139" t="inlineStr">
        <is>
          <t>HUỲNH VĂN CỨ</t>
        </is>
      </c>
      <c r="D781" s="139" t="inlineStr">
        <is>
          <t>01/01/1967</t>
        </is>
      </c>
      <c r="E781" s="139" t="inlineStr">
        <is>
          <t>Thay băng, cắt chỉ vết mổ [chiều dài ≤ 15cm]</t>
        </is>
      </c>
      <c r="F781" s="260" t="n">
        <v>1</v>
      </c>
      <c r="G781" s="260" t="n">
        <v>100000</v>
      </c>
      <c r="H781" s="93">
        <f>G829*25%*75%</f>
        <v/>
      </c>
    </row>
    <row r="782" hidden="1" ht="15.75" customHeight="1" s="248">
      <c r="A782" s="92" t="n">
        <v>777</v>
      </c>
      <c r="B782" s="139" t="inlineStr">
        <is>
          <t>2026/06/24 05:00</t>
        </is>
      </c>
      <c r="C782" s="139" t="inlineStr">
        <is>
          <t>LÊ THỊ KIM ĐIỂU</t>
        </is>
      </c>
      <c r="D782" s="139" t="inlineStr">
        <is>
          <t>12/12/1958</t>
        </is>
      </c>
      <c r="E782" s="139" t="inlineStr">
        <is>
          <t>Thay băng, cắt chỉ vết mổ [chiều dài ≤ 15cm]</t>
        </is>
      </c>
      <c r="F782" s="260" t="n">
        <v>1</v>
      </c>
      <c r="G782" s="260" t="n">
        <v>100000</v>
      </c>
      <c r="H782" s="93">
        <f>G830*25%*75%</f>
        <v/>
      </c>
    </row>
    <row r="783" hidden="1" ht="15.75" customHeight="1" s="248">
      <c r="A783" s="92" t="n">
        <v>778</v>
      </c>
      <c r="B783" s="139" t="inlineStr">
        <is>
          <t>2026/06/24 05:00</t>
        </is>
      </c>
      <c r="C783" s="139" t="inlineStr">
        <is>
          <t>TRƯƠNG THỊ CẨM CHÂU</t>
        </is>
      </c>
      <c r="D783" s="139" t="inlineStr">
        <is>
          <t>09/10/1968</t>
        </is>
      </c>
      <c r="E783" s="139" t="inlineStr">
        <is>
          <t>Thay băng, cắt chỉ vết mổ [chiều dài ≤ 15cm]</t>
        </is>
      </c>
      <c r="F783" s="260" t="n">
        <v>1</v>
      </c>
      <c r="G783" s="260" t="n">
        <v>100000</v>
      </c>
      <c r="H783" s="93">
        <f>G831*25%*75%</f>
        <v/>
      </c>
    </row>
    <row r="784" hidden="1" ht="15.75" customHeight="1" s="248">
      <c r="A784" s="92" t="n">
        <v>779</v>
      </c>
      <c r="B784" s="139" t="inlineStr">
        <is>
          <t>2026/06/24 05:00</t>
        </is>
      </c>
      <c r="C784" s="139" t="inlineStr">
        <is>
          <t>TRỊNH THÚY NGA</t>
        </is>
      </c>
      <c r="D784" s="139" t="inlineStr">
        <is>
          <t>01/01/1965</t>
        </is>
      </c>
      <c r="E784" s="139" t="inlineStr">
        <is>
          <t>Thay băng, cắt chỉ vết mổ [chiều dài ≤ 15cm]</t>
        </is>
      </c>
      <c r="F784" s="260" t="n">
        <v>1</v>
      </c>
      <c r="G784" s="260" t="n">
        <v>100000</v>
      </c>
      <c r="H784" s="93">
        <f>G832*25%*75%</f>
        <v/>
      </c>
    </row>
    <row r="785" hidden="1" ht="15.75" customHeight="1" s="248">
      <c r="A785" s="92" t="n">
        <v>780</v>
      </c>
      <c r="B785" s="139" t="inlineStr">
        <is>
          <t>2026/06/24 05:00</t>
        </is>
      </c>
      <c r="C785" s="139" t="inlineStr">
        <is>
          <t>VÕ THỊ THE</t>
        </is>
      </c>
      <c r="D785" s="139" t="inlineStr">
        <is>
          <t>01/01/1963</t>
        </is>
      </c>
      <c r="E785" s="139" t="inlineStr">
        <is>
          <t>Thay băng, cắt chỉ vết mổ [chiều dài ≤ 15cm]</t>
        </is>
      </c>
      <c r="F785" s="260" t="n">
        <v>1</v>
      </c>
      <c r="G785" s="260" t="n">
        <v>100000</v>
      </c>
      <c r="H785" s="93">
        <f>G833*25%*75%</f>
        <v/>
      </c>
    </row>
    <row r="786" hidden="1" ht="15.75" customHeight="1" s="248">
      <c r="A786" s="92" t="n">
        <v>781</v>
      </c>
      <c r="B786" s="139" t="inlineStr">
        <is>
          <t>2026/06/24 06:30</t>
        </is>
      </c>
      <c r="C786" s="139" t="inlineStr">
        <is>
          <t>NGUYỄN VĂN LÂM</t>
        </is>
      </c>
      <c r="D786" s="139" t="inlineStr">
        <is>
          <t>21/02/1951</t>
        </is>
      </c>
      <c r="E786" s="139" t="inlineStr">
        <is>
          <t>Thay băng, cắt chỉ vết mổ [chiều dài ≤ 15cm]</t>
        </is>
      </c>
      <c r="F786" s="260" t="n">
        <v>1</v>
      </c>
      <c r="G786" s="260" t="n">
        <v>100000</v>
      </c>
      <c r="H786" s="93">
        <f>G834*25%*75%</f>
        <v/>
      </c>
    </row>
    <row r="787" hidden="1" ht="15.75" customHeight="1" s="248">
      <c r="A787" s="92" t="n">
        <v>782</v>
      </c>
      <c r="B787" s="139" t="inlineStr">
        <is>
          <t>2026/06/24 06:30</t>
        </is>
      </c>
      <c r="C787" s="139" t="inlineStr">
        <is>
          <t>NGUYỄN VĂN QUANG</t>
        </is>
      </c>
      <c r="D787" s="139" t="inlineStr">
        <is>
          <t>22/12/1981</t>
        </is>
      </c>
      <c r="E787" s="139" t="inlineStr">
        <is>
          <t>Thay băng, cắt chỉ vết mổ [chiều dài ≤ 15cm]</t>
        </is>
      </c>
      <c r="F787" s="260" t="n">
        <v>1</v>
      </c>
      <c r="G787" s="260" t="n">
        <v>100000</v>
      </c>
      <c r="H787" s="93">
        <f>G835*25%*75%</f>
        <v/>
      </c>
    </row>
    <row r="788" hidden="1" ht="15.75" customHeight="1" s="248">
      <c r="A788" s="92" t="n">
        <v>783</v>
      </c>
      <c r="B788" s="139" t="inlineStr">
        <is>
          <t>2026/06/24 07:00</t>
        </is>
      </c>
      <c r="C788" s="139" t="inlineStr">
        <is>
          <t>HUỲNH THỊ SÁU</t>
        </is>
      </c>
      <c r="D788" s="139" t="inlineStr">
        <is>
          <t>05/02/1960</t>
        </is>
      </c>
      <c r="E788" s="139" t="inlineStr">
        <is>
          <t>Thay băng, cắt chỉ vết mổ [chiều dài ≤ 15cm]</t>
        </is>
      </c>
      <c r="F788" s="260" t="n">
        <v>1</v>
      </c>
      <c r="G788" s="260" t="n">
        <v>100000</v>
      </c>
      <c r="H788" s="93">
        <f>G836*25%*75%</f>
        <v/>
      </c>
    </row>
    <row r="789" hidden="1" ht="15.75" customHeight="1" s="248">
      <c r="A789" s="92" t="n">
        <v>784</v>
      </c>
      <c r="B789" s="139" t="inlineStr">
        <is>
          <t>2026/06/24 07:00</t>
        </is>
      </c>
      <c r="C789" s="139" t="inlineStr">
        <is>
          <t>LÊ TUẤN ĐẠT</t>
        </is>
      </c>
      <c r="D789" s="139" t="inlineStr">
        <is>
          <t>01/06/1991</t>
        </is>
      </c>
      <c r="E789" s="139" t="inlineStr">
        <is>
          <t>Thay băng, cắt chỉ vết mổ [chiều dài ≤ 15cm]</t>
        </is>
      </c>
      <c r="F789" s="260" t="n">
        <v>1</v>
      </c>
      <c r="G789" s="260" t="n">
        <v>100000</v>
      </c>
      <c r="H789" s="93">
        <f>G837*25%*75%</f>
        <v/>
      </c>
    </row>
    <row r="790" hidden="1" ht="15.75" customHeight="1" s="248">
      <c r="A790" s="92" t="n">
        <v>785</v>
      </c>
      <c r="B790" s="139" t="inlineStr">
        <is>
          <t>2026/06/24 07:00</t>
        </is>
      </c>
      <c r="C790" s="139" t="inlineStr">
        <is>
          <t>LÊ TUẤN ĐẠT</t>
        </is>
      </c>
      <c r="D790" s="139" t="inlineStr">
        <is>
          <t>01/06/1991</t>
        </is>
      </c>
      <c r="E790" s="139" t="inlineStr">
        <is>
          <t>Nẹp bột các loại, không nắn (loại 1)</t>
        </is>
      </c>
      <c r="F790" s="260" t="n">
        <v>1</v>
      </c>
      <c r="G790" s="260" t="n">
        <v>200000</v>
      </c>
      <c r="H790" s="93">
        <f>G838*25%*75%</f>
        <v/>
      </c>
    </row>
    <row r="791" hidden="1" ht="15.75" customHeight="1" s="248">
      <c r="A791" s="92" t="n">
        <v>786</v>
      </c>
      <c r="B791" s="139" t="inlineStr">
        <is>
          <t>2026/06/24 07:00</t>
        </is>
      </c>
      <c r="C791" s="139" t="inlineStr">
        <is>
          <t>PHAN VĂN ĐƯỢC</t>
        </is>
      </c>
      <c r="D791" s="139" t="inlineStr">
        <is>
          <t>01/01/1934</t>
        </is>
      </c>
      <c r="E791" s="139" t="inlineStr">
        <is>
          <t>Thay băng, cắt chỉ vết mổ [chiều dài ≤ 15cm]</t>
        </is>
      </c>
      <c r="F791" s="260" t="n">
        <v>1</v>
      </c>
      <c r="G791" s="260" t="n">
        <v>100000</v>
      </c>
      <c r="H791" s="93">
        <f>G839*25%*75%</f>
        <v/>
      </c>
    </row>
    <row r="792" hidden="1" ht="15.75" customHeight="1" s="248">
      <c r="A792" s="92" t="n">
        <v>787</v>
      </c>
      <c r="B792" s="139" t="inlineStr">
        <is>
          <t>2026/06/24 07:00</t>
        </is>
      </c>
      <c r="C792" s="139" t="inlineStr">
        <is>
          <t>PHẠM THỊ DUNG</t>
        </is>
      </c>
      <c r="D792" s="139" t="inlineStr">
        <is>
          <t>01/01/1968</t>
        </is>
      </c>
      <c r="E792" s="139" t="inlineStr">
        <is>
          <t>Thay băng, cắt chỉ vết mổ [chiều dài ≤ 15cm]</t>
        </is>
      </c>
      <c r="F792" s="260" t="n">
        <v>1</v>
      </c>
      <c r="G792" s="260" t="n">
        <v>100000</v>
      </c>
      <c r="H792" s="93">
        <f>G840*25%*75%</f>
        <v/>
      </c>
    </row>
    <row r="793" hidden="1" ht="15.75" customHeight="1" s="248">
      <c r="A793" s="92" t="n">
        <v>788</v>
      </c>
      <c r="B793" s="139" t="inlineStr">
        <is>
          <t>2026/06/24 07:00</t>
        </is>
      </c>
      <c r="C793" s="139" t="inlineStr">
        <is>
          <t>TRẦN ĐỨC HIẾU</t>
        </is>
      </c>
      <c r="D793" s="139" t="inlineStr">
        <is>
          <t>13/10/2007</t>
        </is>
      </c>
      <c r="E793" s="139" t="inlineStr">
        <is>
          <t>Thay băng, cắt chỉ vết mổ [chiều dài ≤ 15cm]</t>
        </is>
      </c>
      <c r="F793" s="260" t="n">
        <v>1</v>
      </c>
      <c r="G793" s="260" t="n">
        <v>100000</v>
      </c>
      <c r="H793" s="93">
        <f>G841*25%*75%</f>
        <v/>
      </c>
    </row>
    <row r="794" hidden="1" ht="15.75" customHeight="1" s="248">
      <c r="A794" s="92" t="n">
        <v>789</v>
      </c>
      <c r="B794" s="139" t="inlineStr">
        <is>
          <t>2026/06/24 07:00</t>
        </is>
      </c>
      <c r="C794" s="139" t="inlineStr">
        <is>
          <t>TRỊNH THÚY NGA</t>
        </is>
      </c>
      <c r="D794" s="139" t="inlineStr">
        <is>
          <t>01/01/1965</t>
        </is>
      </c>
      <c r="E794" s="139" t="inlineStr">
        <is>
          <t>Thay băng, cắt chỉ vết mổ [chiều dài ≤ 15cm]</t>
        </is>
      </c>
      <c r="F794" s="260" t="n">
        <v>1</v>
      </c>
      <c r="G794" s="260" t="n">
        <v>100000</v>
      </c>
      <c r="H794" s="93" t="n"/>
    </row>
    <row r="795" hidden="1" ht="15.75" customHeight="1" s="248">
      <c r="A795" s="92" t="n">
        <v>790</v>
      </c>
      <c r="B795" s="139" t="inlineStr">
        <is>
          <t>2026/06/24 07:00</t>
        </is>
      </c>
      <c r="C795" s="139" t="inlineStr">
        <is>
          <t>TÔ VĂN THIỆN</t>
        </is>
      </c>
      <c r="D795" s="139" t="inlineStr">
        <is>
          <t>01/01/1963</t>
        </is>
      </c>
      <c r="E795" s="139" t="inlineStr">
        <is>
          <t>Thay băng, cắt chỉ vết mổ [chiều dài ≤ 15cm]</t>
        </is>
      </c>
      <c r="F795" s="260" t="n">
        <v>1</v>
      </c>
      <c r="G795" s="260" t="n">
        <v>100000</v>
      </c>
      <c r="H795" s="93" t="n"/>
    </row>
    <row r="796" hidden="1" ht="15.75" customHeight="1" s="248">
      <c r="A796" s="92" t="n">
        <v>791</v>
      </c>
      <c r="B796" s="139" t="inlineStr">
        <is>
          <t>2026/06/24 07:38</t>
        </is>
      </c>
      <c r="C796" s="139" t="inlineStr">
        <is>
          <t>NGUYỄN THỊ HUỆ</t>
        </is>
      </c>
      <c r="D796" s="139" t="inlineStr">
        <is>
          <t>01/01/1957</t>
        </is>
      </c>
      <c r="E796" s="139" t="inlineStr">
        <is>
          <t>Cắt chỉ sau phẫu thuật sụp mi</t>
        </is>
      </c>
      <c r="F796" s="260" t="n">
        <v>1</v>
      </c>
      <c r="G796" s="260" t="n">
        <v>100000</v>
      </c>
      <c r="H796" s="93" t="n"/>
    </row>
    <row r="797" hidden="1" ht="15.75" customHeight="1" s="248">
      <c r="A797" s="92" t="n">
        <v>792</v>
      </c>
      <c r="B797" s="139" t="inlineStr">
        <is>
          <t>2026/06/24 07:54</t>
        </is>
      </c>
      <c r="C797" s="139" t="inlineStr">
        <is>
          <t>LÊ THỊ LỆ</t>
        </is>
      </c>
      <c r="D797" s="139" t="inlineStr">
        <is>
          <t>01/01/1957</t>
        </is>
      </c>
      <c r="E797" s="139" t="inlineStr">
        <is>
          <t>Thay băng, cắt chỉ vết mổ [chiều dài ≤ 15cm]</t>
        </is>
      </c>
      <c r="F797" s="260" t="n">
        <v>1</v>
      </c>
      <c r="G797" s="260" t="n">
        <v>100000</v>
      </c>
      <c r="H797" s="93" t="n"/>
    </row>
    <row r="798" hidden="1" ht="15.75" customHeight="1" s="248">
      <c r="A798" s="92" t="n">
        <v>793</v>
      </c>
      <c r="B798" s="139" t="inlineStr">
        <is>
          <t>2026/06/24 08:00</t>
        </is>
      </c>
      <c r="C798" s="139" t="inlineStr">
        <is>
          <t>LÊ NGỌC HỦI</t>
        </is>
      </c>
      <c r="D798" s="139" t="inlineStr">
        <is>
          <t>11/11/1989</t>
        </is>
      </c>
      <c r="E798" s="139" t="inlineStr">
        <is>
          <t>Thay băng, cắt chỉ vết mổ [chiều dài ≤ 15cm]</t>
        </is>
      </c>
      <c r="F798" s="260" t="n">
        <v>1</v>
      </c>
      <c r="G798" s="260" t="n">
        <v>100000</v>
      </c>
      <c r="H798" s="93" t="n"/>
    </row>
    <row r="799" hidden="1" ht="15.75" customHeight="1" s="248">
      <c r="A799" s="92" t="n">
        <v>794</v>
      </c>
      <c r="B799" s="139" t="inlineStr">
        <is>
          <t>2026/06/24 08:00</t>
        </is>
      </c>
      <c r="C799" s="139" t="inlineStr">
        <is>
          <t>NGUYỄN HOÀNG THANH</t>
        </is>
      </c>
      <c r="D799" s="139" t="inlineStr">
        <is>
          <t>26/11/2003</t>
        </is>
      </c>
      <c r="E799" s="139" t="inlineStr">
        <is>
          <t>Thay băng, cắt chỉ vết mổ [chiều dài ≤ 15cm]</t>
        </is>
      </c>
      <c r="F799" s="260" t="n">
        <v>1</v>
      </c>
      <c r="G799" s="260" t="n">
        <v>100000</v>
      </c>
      <c r="H799" s="93" t="n"/>
    </row>
    <row r="800" hidden="1" ht="15.75" customHeight="1" s="248">
      <c r="A800" s="92" t="n">
        <v>795</v>
      </c>
      <c r="B800" s="139" t="inlineStr">
        <is>
          <t>2026/06/24 08:00</t>
        </is>
      </c>
      <c r="C800" s="139" t="inlineStr">
        <is>
          <t>THẠCH HOÀNG DŨNG</t>
        </is>
      </c>
      <c r="D800" s="139" t="inlineStr">
        <is>
          <t>01/01/1976</t>
        </is>
      </c>
      <c r="E800" s="139" t="inlineStr">
        <is>
          <t>Thay băng, cắt chỉ vết mổ [chiều dài ≤ 15cm]</t>
        </is>
      </c>
      <c r="F800" s="260" t="n">
        <v>1</v>
      </c>
      <c r="G800" s="260" t="n">
        <v>100000</v>
      </c>
      <c r="H800" s="93" t="n"/>
    </row>
    <row r="801" hidden="1" ht="15.75" customHeight="1" s="248">
      <c r="A801" s="92" t="n">
        <v>796</v>
      </c>
      <c r="B801" s="139" t="inlineStr">
        <is>
          <t>2026/06/24 08:31</t>
        </is>
      </c>
      <c r="C801" s="139" t="inlineStr">
        <is>
          <t>DƯƠNG THỊ DIỄM HẰNG</t>
        </is>
      </c>
      <c r="D801" s="139" t="inlineStr">
        <is>
          <t>01/01/1980</t>
        </is>
      </c>
      <c r="E801" s="139" t="inlineStr">
        <is>
          <t>Thay băng, cắt chỉ vết mổ [chiều dài ≤ 15cm]</t>
        </is>
      </c>
      <c r="F801" s="260" t="n">
        <v>1</v>
      </c>
      <c r="G801" s="260" t="n">
        <v>100000</v>
      </c>
      <c r="H801" s="93" t="n"/>
    </row>
    <row r="802" ht="15.75" customHeight="1" s="248">
      <c r="A802" s="92" t="n">
        <v>797</v>
      </c>
      <c r="B802" s="139" t="inlineStr">
        <is>
          <t>2026/06/24 09:02</t>
        </is>
      </c>
      <c r="C802" s="139" t="inlineStr">
        <is>
          <t>NGUYỄN THỊ NGỌC GIÀU</t>
        </is>
      </c>
      <c r="D802" s="139" t="inlineStr">
        <is>
          <t>01/01/1966</t>
        </is>
      </c>
      <c r="E802" s="139" t="inlineStr">
        <is>
          <t>Mắt cá 3-4 thương tổn</t>
        </is>
      </c>
      <c r="F802" s="260" t="n">
        <v>1</v>
      </c>
      <c r="G802" s="260" t="n">
        <v>1000000</v>
      </c>
      <c r="H802" s="93" t="n"/>
    </row>
    <row r="803" hidden="1" ht="15.75" customHeight="1" s="248">
      <c r="A803" s="92" t="n">
        <v>798</v>
      </c>
      <c r="B803" s="139" t="inlineStr">
        <is>
          <t>2026/06/24 10:17</t>
        </is>
      </c>
      <c r="C803" s="139" t="inlineStr">
        <is>
          <t>NGUYỄN KHÁNH HỘI</t>
        </is>
      </c>
      <c r="D803" s="139" t="inlineStr">
        <is>
          <t>21/12/2008</t>
        </is>
      </c>
      <c r="E803" s="139" t="inlineStr">
        <is>
          <t>Thay băng, cắt chỉ vết mổ [chiều dài ≤ 15cm]</t>
        </is>
      </c>
      <c r="F803" s="260" t="n">
        <v>1</v>
      </c>
      <c r="G803" s="260" t="n">
        <v>100000</v>
      </c>
      <c r="H803" s="93" t="n"/>
    </row>
    <row r="804" hidden="1" ht="15.75" customHeight="1" s="248">
      <c r="A804" s="92" t="n">
        <v>799</v>
      </c>
      <c r="B804" s="139" t="inlineStr">
        <is>
          <t>2026/06/24 11:12</t>
        </is>
      </c>
      <c r="C804" s="139" t="inlineStr">
        <is>
          <t>NGUYỄN THỊ MẬN</t>
        </is>
      </c>
      <c r="D804" s="139" t="inlineStr">
        <is>
          <t>01/01/1968</t>
        </is>
      </c>
      <c r="E804" s="139" t="inlineStr">
        <is>
          <t>Thay băng, cắt chỉ vết mổ</t>
        </is>
      </c>
      <c r="F804" s="260" t="n">
        <v>1</v>
      </c>
      <c r="G804" s="260" t="n">
        <v>40300</v>
      </c>
      <c r="H804" s="93" t="n"/>
    </row>
    <row r="805" ht="15.75" customHeight="1" s="248">
      <c r="A805" s="92" t="n">
        <v>800</v>
      </c>
      <c r="B805" s="139" t="inlineStr">
        <is>
          <t>2026/06/24 11:33</t>
        </is>
      </c>
      <c r="C805" s="139" t="inlineStr">
        <is>
          <t>KIM THỊ SÓC PHOL</t>
        </is>
      </c>
      <c r="D805" s="139" t="inlineStr">
        <is>
          <t>01/01/1985</t>
        </is>
      </c>
      <c r="E805" s="139" t="inlineStr">
        <is>
          <t>Khâu vết thương phần mềm dài dưới 10 cm [tổn thương sâu]</t>
        </is>
      </c>
      <c r="F805" s="260" t="n">
        <v>1</v>
      </c>
      <c r="G805" s="260" t="n">
        <v>700000</v>
      </c>
      <c r="H805" s="93" t="n"/>
    </row>
    <row r="806" hidden="1" ht="15.75" customHeight="1" s="248">
      <c r="A806" s="92" t="n">
        <v>801</v>
      </c>
      <c r="B806" s="139" t="inlineStr">
        <is>
          <t>2026/06/24 11:45</t>
        </is>
      </c>
      <c r="C806" s="139" t="inlineStr">
        <is>
          <t>LÂM MINH</t>
        </is>
      </c>
      <c r="D806" s="139" t="inlineStr">
        <is>
          <t>05/03/2004</t>
        </is>
      </c>
      <c r="E806" s="139" t="inlineStr">
        <is>
          <t>Thay băng, cắt chỉ vết mổ</t>
        </is>
      </c>
      <c r="F806" s="260" t="n">
        <v>1</v>
      </c>
      <c r="G806" s="260" t="n">
        <v>40300</v>
      </c>
      <c r="H806" s="93" t="n"/>
    </row>
    <row r="807" hidden="1" ht="15.75" customHeight="1" s="248">
      <c r="A807" s="92" t="n">
        <v>802</v>
      </c>
      <c r="B807" s="139" t="inlineStr">
        <is>
          <t>2026/06/24 14:01</t>
        </is>
      </c>
      <c r="C807" s="139" t="inlineStr">
        <is>
          <t>HOÀNG TUẤN ANH</t>
        </is>
      </c>
      <c r="D807" s="139" t="inlineStr">
        <is>
          <t>07/12/1982</t>
        </is>
      </c>
      <c r="E807" s="139" t="inlineStr">
        <is>
          <t>Cắt chỉ sau phẫu thuật</t>
        </is>
      </c>
      <c r="F807" s="260" t="n">
        <v>1</v>
      </c>
      <c r="G807" s="260" t="n">
        <v>100000</v>
      </c>
      <c r="H807" s="93" t="n"/>
    </row>
    <row r="808" hidden="1" ht="15.75" customHeight="1" s="248">
      <c r="A808" s="92" t="n">
        <v>803</v>
      </c>
      <c r="B808" s="139" t="inlineStr">
        <is>
          <t>2026/06/24 14:39</t>
        </is>
      </c>
      <c r="C808" s="139" t="inlineStr">
        <is>
          <t>HUỲNH THANH TÚ</t>
        </is>
      </c>
      <c r="D808" s="139" t="inlineStr">
        <is>
          <t>25/05/1995</t>
        </is>
      </c>
      <c r="E808" s="139" t="inlineStr">
        <is>
          <t>Cắt chỉ sau phẫu thuật</t>
        </is>
      </c>
      <c r="F808" s="260" t="n">
        <v>1</v>
      </c>
      <c r="G808" s="260" t="n">
        <v>100000</v>
      </c>
      <c r="H808" s="93" t="n"/>
    </row>
    <row r="809" hidden="1" ht="15.75" customHeight="1" s="248">
      <c r="A809" s="92" t="n">
        <v>804</v>
      </c>
      <c r="B809" s="139" t="inlineStr">
        <is>
          <t>2026/06/24 14:57</t>
        </is>
      </c>
      <c r="C809" s="139" t="inlineStr">
        <is>
          <t>LÊ VĂN MẠNH</t>
        </is>
      </c>
      <c r="D809" s="139" t="inlineStr">
        <is>
          <t>01/01/1967</t>
        </is>
      </c>
      <c r="E809" s="139" t="inlineStr">
        <is>
          <t>Cắt chỉ sau phẫu thuật</t>
        </is>
      </c>
      <c r="F809" s="260" t="n">
        <v>1</v>
      </c>
      <c r="G809" s="260" t="n">
        <v>100000</v>
      </c>
      <c r="H809" s="93" t="n"/>
    </row>
    <row r="810" hidden="1" ht="15.75" customHeight="1" s="248">
      <c r="A810" s="92" t="n">
        <v>805</v>
      </c>
      <c r="B810" s="139" t="inlineStr">
        <is>
          <t>2026/06/24 15:08</t>
        </is>
      </c>
      <c r="C810" s="139" t="inlineStr">
        <is>
          <t>PHAN DUY KHANG</t>
        </is>
      </c>
      <c r="D810" s="139" t="inlineStr">
        <is>
          <t>24/09/2001</t>
        </is>
      </c>
      <c r="E810" s="139" t="inlineStr">
        <is>
          <t>Cắt chỉ sau phẫu thuật</t>
        </is>
      </c>
      <c r="F810" s="260" t="n">
        <v>1</v>
      </c>
      <c r="G810" s="260" t="n">
        <v>100000</v>
      </c>
      <c r="H810" s="93" t="n"/>
    </row>
    <row r="811" hidden="1" ht="15.75" customHeight="1" s="248">
      <c r="A811" s="92" t="n">
        <v>806</v>
      </c>
      <c r="B811" s="139" t="inlineStr">
        <is>
          <t>2026/06/24 16:23</t>
        </is>
      </c>
      <c r="C811" s="139" t="inlineStr">
        <is>
          <t>ĐẶNG THỊ PHÁP</t>
        </is>
      </c>
      <c r="D811" s="139" t="inlineStr">
        <is>
          <t>02/02/1980</t>
        </is>
      </c>
      <c r="E811" s="139" t="inlineStr">
        <is>
          <t>Bột cẳng bàn chân không kéo nắn</t>
        </is>
      </c>
      <c r="F811" s="260" t="n">
        <v>1</v>
      </c>
      <c r="G811" s="260" t="n">
        <v>400000</v>
      </c>
      <c r="H811" s="93" t="n"/>
    </row>
    <row r="812" hidden="1" ht="15.75" customHeight="1" s="248">
      <c r="A812" s="92" t="n">
        <v>807</v>
      </c>
      <c r="B812" s="139" t="inlineStr">
        <is>
          <t>2026/06/24 16:32</t>
        </is>
      </c>
      <c r="C812" s="139" t="inlineStr">
        <is>
          <t>PHẠM VĂN ĐÁNG</t>
        </is>
      </c>
      <c r="D812" s="139" t="inlineStr">
        <is>
          <t>01/01/1958</t>
        </is>
      </c>
      <c r="E812" s="139" t="inlineStr">
        <is>
          <t>Tháo bột (nhỏ)</t>
        </is>
      </c>
      <c r="F812" s="260" t="n">
        <v>1</v>
      </c>
      <c r="G812" s="260" t="n">
        <v>100000</v>
      </c>
      <c r="H812" s="93" t="n"/>
    </row>
    <row r="813" hidden="1" ht="15.75" customHeight="1" s="248">
      <c r="A813" s="92" t="n">
        <v>808</v>
      </c>
      <c r="B813" s="139" t="inlineStr">
        <is>
          <t>2026/06/24 16:48</t>
        </is>
      </c>
      <c r="C813" s="139" t="inlineStr">
        <is>
          <t>TIÊU QUỐC TOÀN</t>
        </is>
      </c>
      <c r="D813" s="139" t="inlineStr">
        <is>
          <t>29/12/2004</t>
        </is>
      </c>
      <c r="E813" s="139" t="inlineStr">
        <is>
          <t>Cắt chỉ sau phẫu thuật</t>
        </is>
      </c>
      <c r="F813" s="260" t="n">
        <v>1</v>
      </c>
      <c r="G813" s="260" t="n">
        <v>100000</v>
      </c>
      <c r="H813" s="93" t="n"/>
    </row>
    <row r="814" hidden="1" ht="15.75" customHeight="1" s="248">
      <c r="A814" s="92" t="n">
        <v>809</v>
      </c>
      <c r="B814" s="139" t="inlineStr">
        <is>
          <t>2026/06/24 17:25</t>
        </is>
      </c>
      <c r="C814" s="139" t="inlineStr">
        <is>
          <t>LÊ THỊ MỘNG XINH</t>
        </is>
      </c>
      <c r="D814" s="139" t="inlineStr">
        <is>
          <t>01/01/1964</t>
        </is>
      </c>
      <c r="E814" s="139" t="inlineStr">
        <is>
          <t>Nắn, bó bột gãy một xương cẳng tay [bột liền]</t>
        </is>
      </c>
      <c r="F814" s="260" t="n">
        <v>1</v>
      </c>
      <c r="G814" s="260" t="n">
        <v>372700</v>
      </c>
      <c r="H814" s="93" t="n"/>
    </row>
    <row r="815" hidden="1" ht="15.75" customHeight="1" s="248">
      <c r="A815" s="92" t="n">
        <v>810</v>
      </c>
      <c r="B815" s="139" t="inlineStr">
        <is>
          <t>2026/06/25 05:00</t>
        </is>
      </c>
      <c r="C815" s="139" t="inlineStr">
        <is>
          <t>BÙI THỊ THU BA</t>
        </is>
      </c>
      <c r="D815" s="139" t="inlineStr">
        <is>
          <t>01/01/1960</t>
        </is>
      </c>
      <c r="E815" s="139" t="inlineStr">
        <is>
          <t>Thay băng, cắt chỉ vết mổ [chiều dài ≤ 15cm]</t>
        </is>
      </c>
      <c r="F815" s="260" t="n">
        <v>1</v>
      </c>
      <c r="G815" s="260" t="n">
        <v>100000</v>
      </c>
      <c r="H815" s="93" t="n"/>
    </row>
    <row r="816" hidden="1" ht="15.75" customHeight="1" s="248">
      <c r="A816" s="92" t="n">
        <v>811</v>
      </c>
      <c r="B816" s="139" t="inlineStr">
        <is>
          <t>2026/06/25 05:00</t>
        </is>
      </c>
      <c r="C816" s="139" t="inlineStr">
        <is>
          <t>HUỲNH VĂN CỨ</t>
        </is>
      </c>
      <c r="D816" s="139" t="inlineStr">
        <is>
          <t>01/01/1967</t>
        </is>
      </c>
      <c r="E816" s="139" t="inlineStr">
        <is>
          <t>Thay băng, cắt chỉ vết mổ [chiều dài ≤ 15cm]</t>
        </is>
      </c>
      <c r="F816" s="260" t="n">
        <v>1</v>
      </c>
      <c r="G816" s="260" t="n">
        <v>100000</v>
      </c>
      <c r="H816" s="93" t="n"/>
    </row>
    <row r="817" hidden="1" ht="15.75" customHeight="1" s="248">
      <c r="A817" s="92" t="n">
        <v>812</v>
      </c>
      <c r="B817" s="139" t="inlineStr">
        <is>
          <t>2026/06/25 05:00</t>
        </is>
      </c>
      <c r="C817" s="139" t="inlineStr">
        <is>
          <t>HUỲNH VĂN CỨ</t>
        </is>
      </c>
      <c r="D817" s="139" t="inlineStr">
        <is>
          <t>01/01/1967</t>
        </is>
      </c>
      <c r="E817" s="139" t="inlineStr">
        <is>
          <t>Thay băng, cắt chỉ vết mổ [chiều dài ≤ 15cm]</t>
        </is>
      </c>
      <c r="F817" s="260" t="n">
        <v>1</v>
      </c>
      <c r="G817" s="260" t="n">
        <v>100000</v>
      </c>
      <c r="H817" s="93" t="n"/>
    </row>
    <row r="818" hidden="1" ht="15.75" customHeight="1" s="248">
      <c r="A818" s="92" t="n">
        <v>813</v>
      </c>
      <c r="B818" s="139" t="inlineStr">
        <is>
          <t>2026/06/25 05:00</t>
        </is>
      </c>
      <c r="C818" s="139" t="inlineStr">
        <is>
          <t>LÊ NGỌC HỦI</t>
        </is>
      </c>
      <c r="D818" s="139" t="inlineStr">
        <is>
          <t>11/11/1989</t>
        </is>
      </c>
      <c r="E818" s="139" t="inlineStr">
        <is>
          <t>Thay băng, cắt chỉ vết mổ [chiều dài ≤ 15cm]</t>
        </is>
      </c>
      <c r="F818" s="260" t="n">
        <v>1</v>
      </c>
      <c r="G818" s="260" t="n">
        <v>100000</v>
      </c>
      <c r="H818" s="93" t="n"/>
    </row>
    <row r="819" hidden="1" ht="15.75" customHeight="1" s="248">
      <c r="A819" s="92" t="n">
        <v>814</v>
      </c>
      <c r="B819" s="139" t="inlineStr">
        <is>
          <t>2026/06/25 05:00</t>
        </is>
      </c>
      <c r="C819" s="139" t="inlineStr">
        <is>
          <t>NGUYỄN HOÀNG THANH</t>
        </is>
      </c>
      <c r="D819" s="139" t="inlineStr">
        <is>
          <t>26/11/2003</t>
        </is>
      </c>
      <c r="E819" s="139" t="inlineStr">
        <is>
          <t>Thay băng, cắt chỉ vết mổ [chiều dài ≤ 15cm]</t>
        </is>
      </c>
      <c r="F819" s="260" t="n">
        <v>1</v>
      </c>
      <c r="G819" s="260" t="n">
        <v>100000</v>
      </c>
      <c r="H819" s="93" t="n"/>
    </row>
    <row r="820" hidden="1" ht="15.75" customHeight="1" s="248">
      <c r="A820" s="92" t="n">
        <v>815</v>
      </c>
      <c r="B820" s="139" t="inlineStr">
        <is>
          <t>2026/06/25 05:00</t>
        </is>
      </c>
      <c r="C820" s="139" t="inlineStr">
        <is>
          <t>NGUYỄN THỊ BỢ</t>
        </is>
      </c>
      <c r="D820" s="139" t="inlineStr">
        <is>
          <t>01/01/1963</t>
        </is>
      </c>
      <c r="E820" s="139" t="inlineStr">
        <is>
          <t>Thay băng, cắt chỉ vết mổ [chiều dài ≤ 15cm]</t>
        </is>
      </c>
      <c r="F820" s="260" t="n">
        <v>1</v>
      </c>
      <c r="G820" s="260" t="n">
        <v>100000</v>
      </c>
      <c r="H820" s="93" t="n"/>
    </row>
    <row r="821" hidden="1" ht="15.75" customHeight="1" s="248">
      <c r="A821" s="92" t="n">
        <v>816</v>
      </c>
      <c r="B821" s="139" t="inlineStr">
        <is>
          <t>2026/06/25 05:00</t>
        </is>
      </c>
      <c r="C821" s="139" t="inlineStr">
        <is>
          <t>NGUYỄN THỊ PHƯỢNG</t>
        </is>
      </c>
      <c r="D821" s="139" t="inlineStr">
        <is>
          <t>01/01/1968</t>
        </is>
      </c>
      <c r="E821" s="139" t="inlineStr">
        <is>
          <t>Thay băng, cắt chỉ vết mổ [chiều dài ≤ 15cm]</t>
        </is>
      </c>
      <c r="F821" s="260" t="n">
        <v>1</v>
      </c>
      <c r="G821" s="260" t="n">
        <v>100000</v>
      </c>
      <c r="H821" s="93" t="n"/>
    </row>
    <row r="822" hidden="1" ht="15.75" customHeight="1" s="248">
      <c r="A822" s="92" t="n">
        <v>817</v>
      </c>
      <c r="B822" s="139" t="inlineStr">
        <is>
          <t>2026/06/25 05:00</t>
        </is>
      </c>
      <c r="C822" s="139" t="inlineStr">
        <is>
          <t>THẠCH HOÀNG DŨNG</t>
        </is>
      </c>
      <c r="D822" s="139" t="inlineStr">
        <is>
          <t>01/01/1976</t>
        </is>
      </c>
      <c r="E822" s="139" t="inlineStr">
        <is>
          <t>Thay băng, cắt chỉ vết mổ [chiều dài ≤ 15cm]</t>
        </is>
      </c>
      <c r="F822" s="260" t="n">
        <v>1</v>
      </c>
      <c r="G822" s="260" t="n">
        <v>100000</v>
      </c>
      <c r="H822" s="93" t="n"/>
    </row>
    <row r="823" hidden="1" ht="15.75" customHeight="1" s="248">
      <c r="A823" s="92" t="n">
        <v>818</v>
      </c>
      <c r="B823" s="139" t="inlineStr">
        <is>
          <t>2026/06/25 05:00</t>
        </is>
      </c>
      <c r="C823" s="139" t="inlineStr">
        <is>
          <t>TRƯƠNG THỊ CẨM CHÂU</t>
        </is>
      </c>
      <c r="D823" s="139" t="inlineStr">
        <is>
          <t>09/10/1968</t>
        </is>
      </c>
      <c r="E823" s="139" t="inlineStr">
        <is>
          <t>Thay băng, cắt chỉ vết mổ [chiều dài ≤ 15cm]</t>
        </is>
      </c>
      <c r="F823" s="260" t="n">
        <v>1</v>
      </c>
      <c r="G823" s="260" t="n">
        <v>100000</v>
      </c>
      <c r="H823" s="93" t="n"/>
    </row>
    <row r="824" hidden="1" ht="15.75" customHeight="1" s="248">
      <c r="A824" s="92" t="n">
        <v>819</v>
      </c>
      <c r="B824" s="139" t="inlineStr">
        <is>
          <t>2026/06/25 06:20</t>
        </is>
      </c>
      <c r="C824" s="139" t="inlineStr">
        <is>
          <t>LÊ THỊ LỆ</t>
        </is>
      </c>
      <c r="D824" s="139" t="inlineStr">
        <is>
          <t>01/01/1957</t>
        </is>
      </c>
      <c r="E824" s="139" t="inlineStr">
        <is>
          <t>Thay băng, cắt chỉ vết mổ [chiều dài ≤ 15cm]</t>
        </is>
      </c>
      <c r="F824" s="260" t="n">
        <v>1</v>
      </c>
      <c r="G824" s="260" t="n">
        <v>100000</v>
      </c>
      <c r="H824" s="93" t="n"/>
    </row>
    <row r="825" hidden="1" ht="15.75" customHeight="1" s="248">
      <c r="A825" s="92" t="n">
        <v>820</v>
      </c>
      <c r="B825" s="139" t="inlineStr">
        <is>
          <t>2026/06/25 06:20</t>
        </is>
      </c>
      <c r="C825" s="139" t="inlineStr">
        <is>
          <t>NGUYỄN VĂN QUANG</t>
        </is>
      </c>
      <c r="D825" s="139" t="inlineStr">
        <is>
          <t>22/12/1981</t>
        </is>
      </c>
      <c r="E825" s="139" t="inlineStr">
        <is>
          <t>Thay băng, cắt chỉ vết mổ [chiều dài ≤ 15cm]</t>
        </is>
      </c>
      <c r="F825" s="260" t="n">
        <v>1</v>
      </c>
      <c r="G825" s="260" t="n">
        <v>100000</v>
      </c>
      <c r="H825" s="93" t="n"/>
    </row>
    <row r="826" hidden="1" ht="15.75" customHeight="1" s="248">
      <c r="A826" s="92" t="n">
        <v>821</v>
      </c>
      <c r="B826" s="139" t="inlineStr">
        <is>
          <t>2026/06/25 06:50</t>
        </is>
      </c>
      <c r="C826" s="139" t="inlineStr">
        <is>
          <t>NGUYỄN VĂN LÂM</t>
        </is>
      </c>
      <c r="D826" s="139" t="inlineStr">
        <is>
          <t>21/02/1951</t>
        </is>
      </c>
      <c r="E826" s="139" t="inlineStr">
        <is>
          <t>Thay băng, cắt chỉ vết mổ [chiều dài ≤ 15cm]</t>
        </is>
      </c>
      <c r="F826" s="260" t="n">
        <v>1</v>
      </c>
      <c r="G826" s="260" t="n">
        <v>100000</v>
      </c>
      <c r="H826" s="93" t="n"/>
    </row>
    <row r="827" hidden="1" ht="15.75" customHeight="1" s="248">
      <c r="A827" s="92" t="n">
        <v>822</v>
      </c>
      <c r="B827" s="139" t="inlineStr">
        <is>
          <t>2026/06/25 07:00</t>
        </is>
      </c>
      <c r="C827" s="139" t="inlineStr">
        <is>
          <t>HUỲNH THỊ SÁU</t>
        </is>
      </c>
      <c r="D827" s="139" t="inlineStr">
        <is>
          <t>05/02/1960</t>
        </is>
      </c>
      <c r="E827" s="139" t="inlineStr">
        <is>
          <t>Thay băng, cắt chỉ vết mổ [chiều dài ≤ 15cm]</t>
        </is>
      </c>
      <c r="F827" s="260" t="n">
        <v>1</v>
      </c>
      <c r="G827" s="260" t="n">
        <v>100000</v>
      </c>
      <c r="H827" s="93" t="n"/>
    </row>
    <row r="828" hidden="1" ht="15.75" customHeight="1" s="248">
      <c r="A828" s="92" t="n">
        <v>823</v>
      </c>
      <c r="B828" s="139" t="inlineStr">
        <is>
          <t>2026/06/25 07:00</t>
        </is>
      </c>
      <c r="C828" s="139" t="inlineStr">
        <is>
          <t>LÊ NGỌC HUYỀN</t>
        </is>
      </c>
      <c r="D828" s="139" t="inlineStr">
        <is>
          <t>16/05/1991</t>
        </is>
      </c>
      <c r="E828" s="139" t="inlineStr">
        <is>
          <t>Thay băng, cắt chỉ vết mổ [chiều dài ≤ 15cm]</t>
        </is>
      </c>
      <c r="F828" s="260" t="n">
        <v>1</v>
      </c>
      <c r="G828" s="260" t="n">
        <v>100000</v>
      </c>
      <c r="H828" s="93" t="n"/>
    </row>
    <row r="829" hidden="1" ht="15.75" customHeight="1" s="248">
      <c r="A829" s="92" t="n">
        <v>824</v>
      </c>
      <c r="B829" s="139" t="inlineStr">
        <is>
          <t>2026/06/25 07:00</t>
        </is>
      </c>
      <c r="C829" s="139" t="inlineStr">
        <is>
          <t>LÊ TUẤN ĐẠT</t>
        </is>
      </c>
      <c r="D829" s="139" t="inlineStr">
        <is>
          <t>01/06/1991</t>
        </is>
      </c>
      <c r="E829" s="139" t="inlineStr">
        <is>
          <t>Thay băng, cắt chỉ vết mổ [chiều dài ≤ 15cm]</t>
        </is>
      </c>
      <c r="F829" s="260" t="n">
        <v>1</v>
      </c>
      <c r="G829" s="260" t="n">
        <v>100000</v>
      </c>
      <c r="H829" s="93" t="n"/>
    </row>
    <row r="830" hidden="1" ht="15.75" customHeight="1" s="248">
      <c r="A830" s="92" t="n">
        <v>825</v>
      </c>
      <c r="B830" s="139" t="inlineStr">
        <is>
          <t>2026/06/25 07:00</t>
        </is>
      </c>
      <c r="C830" s="139" t="inlineStr">
        <is>
          <t>PHAN VĂN ĐƯỢC</t>
        </is>
      </c>
      <c r="D830" s="139" t="inlineStr">
        <is>
          <t>01/01/1934</t>
        </is>
      </c>
      <c r="E830" s="139" t="inlineStr">
        <is>
          <t>Thay băng, cắt chỉ vết mổ [chiều dài ≤ 15cm]</t>
        </is>
      </c>
      <c r="F830" s="260" t="n">
        <v>1</v>
      </c>
      <c r="G830" s="260" t="n">
        <v>100000</v>
      </c>
      <c r="H830" s="93" t="n"/>
    </row>
    <row r="831" hidden="1" ht="15.75" customHeight="1" s="248">
      <c r="A831" s="92" t="n">
        <v>826</v>
      </c>
      <c r="B831" s="139" t="inlineStr">
        <is>
          <t>2026/06/25 07:00</t>
        </is>
      </c>
      <c r="C831" s="139" t="inlineStr">
        <is>
          <t>THÁI THỊ THỦY</t>
        </is>
      </c>
      <c r="D831" s="139" t="inlineStr">
        <is>
          <t>01/01/1957</t>
        </is>
      </c>
      <c r="E831" s="139" t="inlineStr">
        <is>
          <t>Thay băng, cắt chỉ vết mổ [chiều dài ≤ 15cm]</t>
        </is>
      </c>
      <c r="F831" s="260" t="n">
        <v>1</v>
      </c>
      <c r="G831" s="260" t="n">
        <v>100000</v>
      </c>
      <c r="H831" s="93" t="n"/>
    </row>
    <row r="832" hidden="1" ht="15.75" customHeight="1" s="248">
      <c r="A832" s="92" t="n">
        <v>827</v>
      </c>
      <c r="B832" s="139" t="inlineStr">
        <is>
          <t>2026/06/25 07:00</t>
        </is>
      </c>
      <c r="C832" s="139" t="inlineStr">
        <is>
          <t>TRẦN ĐỨC HIẾU</t>
        </is>
      </c>
      <c r="D832" s="139" t="inlineStr">
        <is>
          <t>13/10/2007</t>
        </is>
      </c>
      <c r="E832" s="139" t="inlineStr">
        <is>
          <t>Thay băng, cắt chỉ vết mổ [chiều dài ≤ 15cm]</t>
        </is>
      </c>
      <c r="F832" s="260" t="n">
        <v>1</v>
      </c>
      <c r="G832" s="260" t="n">
        <v>100000</v>
      </c>
      <c r="H832" s="93" t="n"/>
    </row>
    <row r="833" hidden="1" ht="15.75" customHeight="1" s="248">
      <c r="A833" s="92" t="n">
        <v>828</v>
      </c>
      <c r="B833" s="139" t="inlineStr">
        <is>
          <t>2026/06/25 07:00</t>
        </is>
      </c>
      <c r="C833" s="139" t="inlineStr">
        <is>
          <t>TRỊNH THÚY NGA</t>
        </is>
      </c>
      <c r="D833" s="139" t="inlineStr">
        <is>
          <t>01/01/1965</t>
        </is>
      </c>
      <c r="E833" s="139" t="inlineStr">
        <is>
          <t>Thay băng, cắt chỉ vết mổ [chiều dài ≤ 15cm]</t>
        </is>
      </c>
      <c r="F833" s="260" t="n">
        <v>1</v>
      </c>
      <c r="G833" s="260" t="n">
        <v>100000</v>
      </c>
      <c r="H833" s="93" t="n"/>
    </row>
    <row r="834" hidden="1" ht="15.75" customHeight="1" s="248">
      <c r="A834" s="92" t="n">
        <v>829</v>
      </c>
      <c r="B834" s="139" t="inlineStr">
        <is>
          <t>2026/06/25 07:00</t>
        </is>
      </c>
      <c r="C834" s="139" t="inlineStr">
        <is>
          <t>TÔ VĂN THIỆN</t>
        </is>
      </c>
      <c r="D834" s="139" t="inlineStr">
        <is>
          <t>01/01/1963</t>
        </is>
      </c>
      <c r="E834" s="139" t="inlineStr">
        <is>
          <t>Thay băng, cắt chỉ vết mổ [chiều dài ≤ 15cm]</t>
        </is>
      </c>
      <c r="F834" s="260" t="n">
        <v>1</v>
      </c>
      <c r="G834" s="260" t="n">
        <v>100000</v>
      </c>
      <c r="H834" s="93" t="n"/>
    </row>
    <row r="835" hidden="1" ht="15.75" customHeight="1" s="248">
      <c r="A835" s="92" t="n">
        <v>830</v>
      </c>
      <c r="B835" s="139" t="inlineStr">
        <is>
          <t>2026/06/25 07:27</t>
        </is>
      </c>
      <c r="C835" s="139" t="inlineStr">
        <is>
          <t>DƯƠNG THỊ DIỄM HẰNG</t>
        </is>
      </c>
      <c r="D835" s="139" t="inlineStr">
        <is>
          <t>01/01/1980</t>
        </is>
      </c>
      <c r="E835" s="139" t="inlineStr">
        <is>
          <t>Thay băng, cắt chỉ vết mổ [chiều dài ≤ 15cm]</t>
        </is>
      </c>
      <c r="F835" s="260" t="n">
        <v>1</v>
      </c>
      <c r="G835" s="260" t="n">
        <v>100000</v>
      </c>
      <c r="H835" s="93" t="n"/>
    </row>
    <row r="836" hidden="1" ht="15.75" customHeight="1" s="248">
      <c r="A836" s="92" t="n">
        <v>831</v>
      </c>
      <c r="B836" s="139" t="inlineStr">
        <is>
          <t>2026/06/25 07:30</t>
        </is>
      </c>
      <c r="C836" s="139" t="inlineStr">
        <is>
          <t>NGUYỄN KHÁNH HỘI</t>
        </is>
      </c>
      <c r="D836" s="139" t="inlineStr">
        <is>
          <t>21/12/2008</t>
        </is>
      </c>
      <c r="E836" s="139" t="inlineStr">
        <is>
          <t>Thay băng, cắt chỉ vết mổ [chiều dài ≤ 15cm]</t>
        </is>
      </c>
      <c r="F836" s="260" t="n">
        <v>1</v>
      </c>
      <c r="G836" s="260" t="n">
        <v>100000</v>
      </c>
      <c r="H836" s="93" t="n"/>
    </row>
    <row r="837" hidden="1" ht="15.75" customHeight="1" s="248">
      <c r="A837" s="92" t="n">
        <v>832</v>
      </c>
      <c r="B837" s="139" t="inlineStr">
        <is>
          <t>2026/06/25 07:30</t>
        </is>
      </c>
      <c r="C837" s="139" t="inlineStr">
        <is>
          <t>NGUYỄN ĐỨC THỊNH</t>
        </is>
      </c>
      <c r="D837" s="139" t="inlineStr">
        <is>
          <t>16/12/1996</t>
        </is>
      </c>
      <c r="E837" s="139" t="inlineStr">
        <is>
          <t>Thay băng, cắt chỉ vết mổ [chiều dài ≤ 15cm]</t>
        </is>
      </c>
      <c r="F837" s="260" t="n">
        <v>1</v>
      </c>
      <c r="G837" s="260" t="n">
        <v>100000</v>
      </c>
      <c r="H837" s="93" t="n"/>
    </row>
    <row r="838" hidden="1" ht="15.75" customHeight="1" s="248">
      <c r="A838" s="92" t="n">
        <v>833</v>
      </c>
      <c r="B838" s="139" t="inlineStr">
        <is>
          <t>2026/06/25 07:35</t>
        </is>
      </c>
      <c r="C838" s="139" t="inlineStr">
        <is>
          <t>TRẦN THỊ MỘNG THẮM</t>
        </is>
      </c>
      <c r="D838" s="139" t="inlineStr">
        <is>
          <t>01/01/1970</t>
        </is>
      </c>
      <c r="E838" s="139" t="inlineStr">
        <is>
          <t>Thay băng, cắt chỉ vết mổ</t>
        </is>
      </c>
      <c r="F838" s="260" t="n">
        <v>1</v>
      </c>
      <c r="G838" s="260" t="n">
        <v>100000</v>
      </c>
      <c r="H838" s="93" t="n"/>
    </row>
    <row r="839" hidden="1" ht="15.75" customHeight="1" s="248">
      <c r="A839" s="92" t="n">
        <v>834</v>
      </c>
      <c r="B839" s="139" t="inlineStr">
        <is>
          <t>2026/06/25 07:44</t>
        </is>
      </c>
      <c r="C839" s="139" t="inlineStr">
        <is>
          <t>NGUYỄN THỊ NHƯ TRÚC</t>
        </is>
      </c>
      <c r="D839" s="139" t="inlineStr">
        <is>
          <t>30/03/2006</t>
        </is>
      </c>
      <c r="E839" s="139" t="inlineStr">
        <is>
          <t>Thay băng, cắt chỉ vết mổ</t>
        </is>
      </c>
      <c r="F839" s="260" t="n">
        <v>1</v>
      </c>
      <c r="G839" s="260" t="n">
        <v>100000</v>
      </c>
      <c r="H839" s="93" t="n"/>
    </row>
    <row r="840" hidden="1" ht="15.75" customHeight="1" s="248">
      <c r="A840" s="92" t="n">
        <v>835</v>
      </c>
      <c r="B840" s="139" t="inlineStr">
        <is>
          <t>2026/06/25 08:03</t>
        </is>
      </c>
      <c r="C840" s="139" t="inlineStr">
        <is>
          <t>HUỲNH NGỌC SƯƠNG</t>
        </is>
      </c>
      <c r="D840" s="139" t="inlineStr">
        <is>
          <t>05/05/1954</t>
        </is>
      </c>
      <c r="E840" s="139" t="inlineStr">
        <is>
          <t>Thay băng, cắt chỉ vết mổ</t>
        </is>
      </c>
      <c r="F840" s="260" t="n">
        <v>1</v>
      </c>
      <c r="G840" s="260" t="n">
        <v>100000</v>
      </c>
      <c r="H840" s="93" t="n"/>
    </row>
    <row r="841" hidden="1" ht="15.75" customHeight="1" s="248">
      <c r="A841" s="92" t="n">
        <v>836</v>
      </c>
      <c r="B841" s="139" t="inlineStr">
        <is>
          <t>2026/06/25 09:00</t>
        </is>
      </c>
      <c r="C841" s="139" t="inlineStr">
        <is>
          <t>TÔN VĂN PHƯỚC</t>
        </is>
      </c>
      <c r="D841" s="139" t="inlineStr">
        <is>
          <t>01/01/1970</t>
        </is>
      </c>
      <c r="E841" s="139" t="inlineStr">
        <is>
          <t>Thay băng, cắt chỉ vết mổ</t>
        </is>
      </c>
      <c r="F841" s="260" t="n">
        <v>1</v>
      </c>
      <c r="G841" s="260" t="n">
        <v>40300</v>
      </c>
      <c r="H841" s="93" t="n"/>
    </row>
    <row r="842" hidden="1" ht="15.75" customHeight="1" s="248">
      <c r="A842" s="92" t="n">
        <v>837</v>
      </c>
      <c r="B842" s="139" t="inlineStr">
        <is>
          <t>2026/06/25 09:08</t>
        </is>
      </c>
      <c r="C842" s="139" t="inlineStr">
        <is>
          <t>VÕ KIM THU</t>
        </is>
      </c>
      <c r="D842" s="139" t="inlineStr">
        <is>
          <t>01/01/1958</t>
        </is>
      </c>
      <c r="E842" s="139" t="inlineStr">
        <is>
          <t>Thay băng, cắt chỉ vết mổ</t>
        </is>
      </c>
      <c r="F842" s="260" t="n">
        <v>1</v>
      </c>
      <c r="G842" s="260" t="n">
        <v>100000</v>
      </c>
      <c r="H842" s="93" t="n"/>
    </row>
    <row r="843" hidden="1" ht="15.75" customHeight="1" s="248">
      <c r="A843" s="92" t="n">
        <v>838</v>
      </c>
      <c r="B843" s="139" t="inlineStr">
        <is>
          <t>2026/06/25 09:36</t>
        </is>
      </c>
      <c r="C843" s="139" t="inlineStr">
        <is>
          <t>PHẠM THỊ BÉ NĂM</t>
        </is>
      </c>
      <c r="D843" s="139" t="inlineStr">
        <is>
          <t>04/06/1977</t>
        </is>
      </c>
      <c r="E843" s="139" t="inlineStr">
        <is>
          <t>Thay băng, cắt chỉ vết mổ</t>
        </is>
      </c>
      <c r="F843" s="260" t="n">
        <v>1</v>
      </c>
      <c r="G843" s="260" t="n">
        <v>40300</v>
      </c>
      <c r="H843" s="93" t="n"/>
    </row>
    <row r="844" hidden="1" ht="15.75" customHeight="1" s="248">
      <c r="A844" s="92" t="n">
        <v>839</v>
      </c>
      <c r="B844" s="139" t="inlineStr">
        <is>
          <t>2026/06/25 09:40</t>
        </is>
      </c>
      <c r="C844" s="139" t="inlineStr">
        <is>
          <t>TRẦN THỊ BÉ BA</t>
        </is>
      </c>
      <c r="D844" s="139" t="inlineStr">
        <is>
          <t>01/01/1966</t>
        </is>
      </c>
      <c r="E844" s="139" t="inlineStr">
        <is>
          <t>Thay băng, cắt chỉ vết mổ</t>
        </is>
      </c>
      <c r="F844" s="260" t="n">
        <v>1</v>
      </c>
      <c r="G844" s="260" t="n">
        <v>100000</v>
      </c>
      <c r="H844" s="93" t="n"/>
    </row>
    <row r="845" hidden="1" ht="15.75" customHeight="1" s="248">
      <c r="A845" s="92" t="n">
        <v>840</v>
      </c>
      <c r="B845" s="139" t="inlineStr">
        <is>
          <t>2026/06/25 10:04</t>
        </is>
      </c>
      <c r="C845" s="139" t="inlineStr">
        <is>
          <t>LÊ THỊ PHƯỢNG</t>
        </is>
      </c>
      <c r="D845" s="139" t="inlineStr">
        <is>
          <t>01/01/1969</t>
        </is>
      </c>
      <c r="E845" s="139" t="inlineStr">
        <is>
          <t>Thay băng, cắt chỉ vết mổ</t>
        </is>
      </c>
      <c r="F845" s="260" t="n">
        <v>1</v>
      </c>
      <c r="G845" s="260" t="n">
        <v>100000</v>
      </c>
      <c r="H845" s="93" t="n"/>
    </row>
    <row r="846" hidden="1" ht="15.75" customHeight="1" s="248">
      <c r="A846" s="92" t="n">
        <v>841</v>
      </c>
      <c r="B846" s="139" t="inlineStr">
        <is>
          <t>2026/06/25 10:29</t>
        </is>
      </c>
      <c r="C846" s="139" t="inlineStr">
        <is>
          <t>CAO HÙNG PHONG</t>
        </is>
      </c>
      <c r="D846" s="139" t="inlineStr">
        <is>
          <t>15/04/1969</t>
        </is>
      </c>
      <c r="E846" s="139" t="inlineStr">
        <is>
          <t>Thay băng, cắt chỉ vết mổ</t>
        </is>
      </c>
      <c r="F846" s="260" t="n">
        <v>1</v>
      </c>
      <c r="G846" s="260" t="n">
        <v>100000</v>
      </c>
      <c r="H846" s="93" t="n"/>
    </row>
    <row r="847" hidden="1" ht="15.75" customHeight="1" s="248">
      <c r="A847" s="92" t="n">
        <v>842</v>
      </c>
      <c r="B847" s="139" t="inlineStr">
        <is>
          <t>2026/06/25 14:16</t>
        </is>
      </c>
      <c r="C847" s="139" t="inlineStr">
        <is>
          <t>LÊ NGỌC CHÂM</t>
        </is>
      </c>
      <c r="D847" s="139" t="inlineStr">
        <is>
          <t>28/11/2006</t>
        </is>
      </c>
      <c r="E847" s="139" t="inlineStr">
        <is>
          <t>Thay băng, cắt chỉ vết mổ [chiều dài ≤ 15cm]</t>
        </is>
      </c>
      <c r="F847" s="260" t="n">
        <v>1</v>
      </c>
      <c r="G847" s="260" t="n">
        <v>100000</v>
      </c>
      <c r="H847" s="93" t="n"/>
    </row>
    <row r="848" hidden="1" ht="15.75" customHeight="1" s="248">
      <c r="A848" s="92" t="n">
        <v>843</v>
      </c>
      <c r="B848" s="139" t="inlineStr">
        <is>
          <t>2026/06/25 16:08</t>
        </is>
      </c>
      <c r="C848" s="139" t="inlineStr">
        <is>
          <t>LÂM MINH</t>
        </is>
      </c>
      <c r="D848" s="139" t="inlineStr">
        <is>
          <t>05/03/2004</t>
        </is>
      </c>
      <c r="E848" s="139" t="inlineStr">
        <is>
          <t>Thay băng, cắt chỉ vết mổ [chiều dài ≤ 15cm]</t>
        </is>
      </c>
      <c r="F848" s="260" t="n">
        <v>1</v>
      </c>
      <c r="G848" s="260" t="n">
        <v>64300</v>
      </c>
      <c r="H848" s="93" t="n"/>
    </row>
    <row r="849" hidden="1" ht="15.75" customHeight="1" s="248">
      <c r="A849" s="92" t="n">
        <v>844</v>
      </c>
      <c r="B849" s="139" t="inlineStr">
        <is>
          <t>2026/06/25 21:30</t>
        </is>
      </c>
      <c r="C849" s="139" t="inlineStr">
        <is>
          <t>VÕ XUÂN GA</t>
        </is>
      </c>
      <c r="D849" s="139" t="inlineStr">
        <is>
          <t>16/01/1989</t>
        </is>
      </c>
      <c r="E849" s="139" t="inlineStr">
        <is>
          <t>Đặt sonde bàng quang</t>
        </is>
      </c>
      <c r="F849" s="260" t="n">
        <v>1</v>
      </c>
      <c r="G849" s="260" t="n">
        <v>101800</v>
      </c>
      <c r="H849" s="93" t="n"/>
    </row>
    <row r="850" hidden="1" ht="15.75" customHeight="1" s="248">
      <c r="A850" s="92" t="n">
        <v>845</v>
      </c>
      <c r="B850" s="139" t="inlineStr">
        <is>
          <t>2026/06/26 05:00</t>
        </is>
      </c>
      <c r="C850" s="139" t="inlineStr">
        <is>
          <t>HUỲNH VĂN CỨ</t>
        </is>
      </c>
      <c r="D850" s="139" t="inlineStr">
        <is>
          <t>01/01/1967</t>
        </is>
      </c>
      <c r="E850" s="139" t="inlineStr">
        <is>
          <t>Thay băng, cắt chỉ vết mổ [chiều dài ≤ 15cm]</t>
        </is>
      </c>
      <c r="F850" s="260" t="n">
        <v>1</v>
      </c>
      <c r="G850" s="260" t="n">
        <v>100000</v>
      </c>
      <c r="H850" s="93" t="n"/>
    </row>
    <row r="851" hidden="1" ht="15.75" customHeight="1" s="248">
      <c r="A851" s="92" t="n">
        <v>846</v>
      </c>
      <c r="B851" s="139" t="inlineStr">
        <is>
          <t>2026/06/26 05:00</t>
        </is>
      </c>
      <c r="C851" s="139" t="inlineStr">
        <is>
          <t>LÊ NGỌC HUYỀN</t>
        </is>
      </c>
      <c r="D851" s="139" t="inlineStr">
        <is>
          <t>16/05/1991</t>
        </is>
      </c>
      <c r="E851" s="139" t="inlineStr">
        <is>
          <t>Thay băng, cắt chỉ vết mổ [chiều dài ≤ 15cm]</t>
        </is>
      </c>
      <c r="F851" s="260" t="n">
        <v>1</v>
      </c>
      <c r="G851" s="260" t="n">
        <v>100000</v>
      </c>
      <c r="H851" s="93" t="n"/>
    </row>
    <row r="852" hidden="1" ht="15.75" customHeight="1" s="248">
      <c r="A852" s="92" t="n">
        <v>847</v>
      </c>
      <c r="B852" s="139" t="inlineStr">
        <is>
          <t>2026/06/26 05:00</t>
        </is>
      </c>
      <c r="C852" s="139" t="inlineStr">
        <is>
          <t>NGUYỄN THỊ BỢ</t>
        </is>
      </c>
      <c r="D852" s="139" t="inlineStr">
        <is>
          <t>01/01/1963</t>
        </is>
      </c>
      <c r="E852" s="139" t="inlineStr">
        <is>
          <t>Thay băng, cắt chỉ vết mổ [chiều dài ≤ 15cm]</t>
        </is>
      </c>
      <c r="F852" s="260" t="n">
        <v>1</v>
      </c>
      <c r="G852" s="260" t="n">
        <v>100000</v>
      </c>
      <c r="H852" s="93" t="n"/>
    </row>
    <row r="853" hidden="1" ht="15.75" customHeight="1" s="248">
      <c r="A853" s="92" t="n">
        <v>848</v>
      </c>
      <c r="B853" s="139" t="inlineStr">
        <is>
          <t>2026/06/26 05:00</t>
        </is>
      </c>
      <c r="C853" s="139" t="inlineStr">
        <is>
          <t>NGUYỄN THỊ PHƯỢNG</t>
        </is>
      </c>
      <c r="D853" s="139" t="inlineStr">
        <is>
          <t>01/01/1968</t>
        </is>
      </c>
      <c r="E853" s="139" t="inlineStr">
        <is>
          <t>Thay băng, cắt chỉ vết mổ [chiều dài ≤ 15cm]</t>
        </is>
      </c>
      <c r="F853" s="260" t="n">
        <v>1</v>
      </c>
      <c r="G853" s="260" t="n">
        <v>100000</v>
      </c>
      <c r="H853" s="93" t="n"/>
    </row>
    <row r="854" hidden="1" ht="15.75" customHeight="1" s="248">
      <c r="A854" s="92" t="n">
        <v>849</v>
      </c>
      <c r="B854" s="139" t="inlineStr">
        <is>
          <t>2026/06/26 05:00</t>
        </is>
      </c>
      <c r="C854" s="139" t="inlineStr">
        <is>
          <t>THẠCH HOÀNG DŨNG</t>
        </is>
      </c>
      <c r="D854" s="139" t="inlineStr">
        <is>
          <t>01/01/1976</t>
        </is>
      </c>
      <c r="E854" s="139" t="inlineStr">
        <is>
          <t>Thay băng, cắt chỉ vết mổ [chiều dài ≤ 15cm]</t>
        </is>
      </c>
      <c r="F854" s="260" t="n">
        <v>1</v>
      </c>
      <c r="G854" s="260" t="n">
        <v>100000</v>
      </c>
      <c r="H854" s="93" t="n"/>
    </row>
    <row r="855" hidden="1" ht="15.75" customHeight="1" s="248">
      <c r="A855" s="92" t="n">
        <v>850</v>
      </c>
      <c r="B855" s="139" t="inlineStr">
        <is>
          <t>2026/06/26 05:00</t>
        </is>
      </c>
      <c r="C855" s="139" t="inlineStr">
        <is>
          <t>TRƯƠNG THỊ CẨM CHÂU</t>
        </is>
      </c>
      <c r="D855" s="139" t="inlineStr">
        <is>
          <t>09/10/1968</t>
        </is>
      </c>
      <c r="E855" s="139" t="inlineStr">
        <is>
          <t>Thay băng, cắt chỉ vết mổ [chiều dài ≤ 15cm]</t>
        </is>
      </c>
      <c r="F855" s="260" t="n">
        <v>1</v>
      </c>
      <c r="G855" s="260" t="n">
        <v>100000</v>
      </c>
      <c r="H855" s="93" t="n"/>
    </row>
    <row r="856" hidden="1" ht="15.75" customHeight="1" s="248">
      <c r="A856" s="92" t="n">
        <v>851</v>
      </c>
      <c r="B856" s="139" t="inlineStr">
        <is>
          <t>2026/06/26 06:10</t>
        </is>
      </c>
      <c r="C856" s="139" t="inlineStr">
        <is>
          <t>LÊ THỊ LỆ</t>
        </is>
      </c>
      <c r="D856" s="139" t="inlineStr">
        <is>
          <t>01/01/1957</t>
        </is>
      </c>
      <c r="E856" s="139" t="inlineStr">
        <is>
          <t>Thay băng, cắt chỉ vết mổ [chiều dài ≤ 15cm]</t>
        </is>
      </c>
      <c r="F856" s="260" t="n">
        <v>1</v>
      </c>
      <c r="G856" s="260" t="n">
        <v>100000</v>
      </c>
      <c r="H856" s="93" t="n"/>
    </row>
    <row r="857" hidden="1" ht="15.75" customHeight="1" s="248">
      <c r="A857" s="92" t="n">
        <v>852</v>
      </c>
      <c r="B857" s="139" t="inlineStr">
        <is>
          <t>2026/06/26 06:30</t>
        </is>
      </c>
      <c r="C857" s="139" t="inlineStr">
        <is>
          <t>LÊ THỊ LỆ</t>
        </is>
      </c>
      <c r="D857" s="139" t="inlineStr">
        <is>
          <t>01/01/1957</t>
        </is>
      </c>
      <c r="E857" s="139" t="inlineStr">
        <is>
          <t>Thay băng, cắt chỉ vết mổ [chiều dài ≤ 15cm]</t>
        </is>
      </c>
      <c r="F857" s="260" t="n">
        <v>1</v>
      </c>
      <c r="G857" s="260" t="n">
        <v>100000</v>
      </c>
      <c r="H857" s="93" t="n"/>
    </row>
    <row r="858" hidden="1" ht="15.75" customHeight="1" s="248">
      <c r="A858" s="92" t="n">
        <v>853</v>
      </c>
      <c r="B858" s="139" t="inlineStr">
        <is>
          <t>2026/06/26 06:32</t>
        </is>
      </c>
      <c r="C858" s="139" t="inlineStr">
        <is>
          <t>HUỲNH THỊ SÁU</t>
        </is>
      </c>
      <c r="D858" s="139" t="inlineStr">
        <is>
          <t>05/02/1960</t>
        </is>
      </c>
      <c r="E858" s="139" t="inlineStr">
        <is>
          <t>Thay băng, cắt chỉ vết mổ [chiều dài ≤ 15cm]</t>
        </is>
      </c>
      <c r="F858" s="260" t="n">
        <v>1</v>
      </c>
      <c r="G858" s="260" t="n">
        <v>100000</v>
      </c>
      <c r="H858" s="93" t="n"/>
    </row>
    <row r="859" hidden="1" ht="15.75" customHeight="1" s="248">
      <c r="A859" s="92" t="n">
        <v>854</v>
      </c>
      <c r="B859" s="139" t="inlineStr">
        <is>
          <t>2026/06/26 06:35</t>
        </is>
      </c>
      <c r="C859" s="139" t="inlineStr">
        <is>
          <t>LÊ THỊ LỆ</t>
        </is>
      </c>
      <c r="D859" s="139" t="inlineStr">
        <is>
          <t>01/01/1957</t>
        </is>
      </c>
      <c r="E859" s="139" t="inlineStr">
        <is>
          <t>Thay băng, cắt chỉ vết mổ [chiều dài ≤ 15cm]</t>
        </is>
      </c>
      <c r="F859" s="260" t="n">
        <v>1</v>
      </c>
      <c r="G859" s="260" t="n">
        <v>100000</v>
      </c>
      <c r="H859" s="93" t="n"/>
    </row>
    <row r="860" hidden="1" ht="15.75" customHeight="1" s="248">
      <c r="A860" s="92" t="n">
        <v>855</v>
      </c>
      <c r="B860" s="139" t="inlineStr">
        <is>
          <t>2026/06/26 06:40</t>
        </is>
      </c>
      <c r="C860" s="139" t="inlineStr">
        <is>
          <t>NGUYỄN VĂN QUANG</t>
        </is>
      </c>
      <c r="D860" s="139" t="inlineStr">
        <is>
          <t>22/12/1981</t>
        </is>
      </c>
      <c r="E860" s="139" t="inlineStr">
        <is>
          <t>Thay băng, cắt chỉ vết mổ [chiều dài ≤ 15cm]</t>
        </is>
      </c>
      <c r="F860" s="260" t="n">
        <v>1</v>
      </c>
      <c r="G860" s="260" t="n">
        <v>100000</v>
      </c>
      <c r="H860" s="93" t="n"/>
    </row>
    <row r="861" hidden="1" ht="15.75" customHeight="1" s="248">
      <c r="A861" s="92" t="n">
        <v>856</v>
      </c>
      <c r="B861" s="139" t="inlineStr">
        <is>
          <t>2026/06/26 06:50</t>
        </is>
      </c>
      <c r="C861" s="139" t="inlineStr">
        <is>
          <t>VÕ XUÂN GA</t>
        </is>
      </c>
      <c r="D861" s="139" t="inlineStr">
        <is>
          <t>16/01/1989</t>
        </is>
      </c>
      <c r="E861" s="139" t="inlineStr">
        <is>
          <t>Thay băng, cắt chỉ vết mổ [chiều dài ≤ 15cm]</t>
        </is>
      </c>
      <c r="F861" s="260" t="n">
        <v>1</v>
      </c>
      <c r="G861" s="260" t="n">
        <v>100000</v>
      </c>
      <c r="H861" s="93" t="n"/>
    </row>
    <row r="862" hidden="1" ht="15.75" customHeight="1" s="248">
      <c r="A862" s="92" t="n">
        <v>857</v>
      </c>
      <c r="B862" s="139" t="inlineStr">
        <is>
          <t>2026/06/26 06:55</t>
        </is>
      </c>
      <c r="C862" s="139" t="inlineStr">
        <is>
          <t>NGUYỄN THỊ NGỌC DUYÊN</t>
        </is>
      </c>
      <c r="D862" s="139" t="inlineStr">
        <is>
          <t>01/02/1971</t>
        </is>
      </c>
      <c r="E862" s="139" t="inlineStr">
        <is>
          <t>Thay băng, cắt chỉ vết mổ [chiều dài ≤ 15cm]</t>
        </is>
      </c>
      <c r="F862" s="260" t="n">
        <v>1</v>
      </c>
      <c r="G862" s="260" t="n">
        <v>100000</v>
      </c>
      <c r="H862" s="93" t="n"/>
    </row>
    <row r="863" hidden="1" ht="15.75" customHeight="1" s="248">
      <c r="A863" s="92" t="n">
        <v>858</v>
      </c>
      <c r="B863" s="139" t="inlineStr">
        <is>
          <t>2026/06/26 07:00</t>
        </is>
      </c>
      <c r="C863" s="139" t="inlineStr">
        <is>
          <t>TRẦN ĐỨC HIẾU</t>
        </is>
      </c>
      <c r="D863" s="139" t="inlineStr">
        <is>
          <t>13/10/2007</t>
        </is>
      </c>
      <c r="E863" s="139" t="inlineStr">
        <is>
          <t>Thay băng, cắt chỉ vết mổ [chiều dài ≤ 15cm]</t>
        </is>
      </c>
      <c r="F863" s="260" t="n">
        <v>1</v>
      </c>
      <c r="G863" s="260" t="n">
        <v>100000</v>
      </c>
      <c r="H863" s="93" t="n"/>
    </row>
    <row r="864" hidden="1" ht="15.75" customHeight="1" s="248">
      <c r="A864" s="92" t="n">
        <v>859</v>
      </c>
      <c r="B864" s="139" t="inlineStr">
        <is>
          <t>2026/06/26 07:30</t>
        </is>
      </c>
      <c r="C864" s="139" t="inlineStr">
        <is>
          <t>LÂM VĂN TÀI</t>
        </is>
      </c>
      <c r="D864" s="139" t="inlineStr">
        <is>
          <t>15/12/1996</t>
        </is>
      </c>
      <c r="E864" s="139" t="inlineStr">
        <is>
          <t>Thay băng, cắt chỉ vết mổ [chiều dài ≤ 15cm]</t>
        </is>
      </c>
      <c r="F864" s="260" t="n">
        <v>1</v>
      </c>
      <c r="G864" s="260" t="n">
        <v>100000</v>
      </c>
      <c r="H864" s="93" t="n"/>
    </row>
    <row r="865" hidden="1" ht="15.75" customHeight="1" s="248">
      <c r="A865" s="92" t="n">
        <v>860</v>
      </c>
      <c r="B865" s="139" t="inlineStr">
        <is>
          <t>2026/06/26 07:30</t>
        </is>
      </c>
      <c r="C865" s="139" t="inlineStr">
        <is>
          <t>NGUYỄN KHÁNH HỘI</t>
        </is>
      </c>
      <c r="D865" s="139" t="inlineStr">
        <is>
          <t>21/12/2008</t>
        </is>
      </c>
      <c r="E865" s="139" t="inlineStr">
        <is>
          <t>Thay băng, cắt chỉ vết mổ [chiều dài ≤ 15cm]</t>
        </is>
      </c>
      <c r="F865" s="260" t="n">
        <v>1</v>
      </c>
      <c r="G865" s="260" t="n">
        <v>100000</v>
      </c>
      <c r="H865" s="93" t="n"/>
    </row>
    <row r="866" hidden="1" ht="15.75" customHeight="1" s="248">
      <c r="A866" s="92" t="n">
        <v>861</v>
      </c>
      <c r="B866" s="139" t="inlineStr">
        <is>
          <t>2026/06/26 07:30</t>
        </is>
      </c>
      <c r="C866" s="139" t="inlineStr">
        <is>
          <t>NGUYỄN ĐỨC THỊNH</t>
        </is>
      </c>
      <c r="D866" s="139" t="inlineStr">
        <is>
          <t>16/12/1996</t>
        </is>
      </c>
      <c r="E866" s="139" t="inlineStr">
        <is>
          <t>Thay băng, cắt chỉ vết mổ [chiều dài ≤ 15cm]</t>
        </is>
      </c>
      <c r="F866" s="260" t="n">
        <v>1</v>
      </c>
      <c r="G866" s="260" t="n">
        <v>100000</v>
      </c>
      <c r="H866" s="93" t="n"/>
    </row>
    <row r="867" hidden="1" ht="15.75" customHeight="1" s="248">
      <c r="A867" s="92" t="n">
        <v>862</v>
      </c>
      <c r="B867" s="139" t="inlineStr">
        <is>
          <t>2026/06/26 07:57</t>
        </is>
      </c>
      <c r="C867" s="139" t="inlineStr">
        <is>
          <t>PHAN KIỀU TIÊN</t>
        </is>
      </c>
      <c r="D867" s="139" t="inlineStr">
        <is>
          <t>01/01/1973</t>
        </is>
      </c>
      <c r="E867" s="139" t="inlineStr">
        <is>
          <t>Cắt chỉ sau phẫu thuật</t>
        </is>
      </c>
      <c r="F867" s="260" t="n">
        <v>1</v>
      </c>
      <c r="G867" s="260" t="n">
        <v>40300</v>
      </c>
      <c r="H867" s="93" t="n"/>
    </row>
    <row r="868" hidden="1" ht="15.75" customHeight="1" s="248">
      <c r="A868" s="92" t="n">
        <v>863</v>
      </c>
      <c r="B868" s="139" t="inlineStr">
        <is>
          <t>2026/06/26 11:40</t>
        </is>
      </c>
      <c r="C868" s="139" t="inlineStr">
        <is>
          <t>NGUYỄN HOÀNG PHÁT</t>
        </is>
      </c>
      <c r="D868" s="139" t="inlineStr">
        <is>
          <t>20/06/2014</t>
        </is>
      </c>
      <c r="E868" s="139" t="inlineStr">
        <is>
          <t>Nắn, bó bột gãy 1/3 dưới hai xương cẳng chân [bột liền]</t>
        </is>
      </c>
      <c r="F868" s="260" t="n">
        <v>1</v>
      </c>
      <c r="G868" s="260" t="n">
        <v>600000</v>
      </c>
      <c r="H868" s="93" t="n"/>
    </row>
    <row r="869" hidden="1" ht="15.75" customHeight="1" s="248">
      <c r="A869" s="92" t="n">
        <v>864</v>
      </c>
      <c r="B869" s="139" t="inlineStr">
        <is>
          <t>2026/06/26 13:11</t>
        </is>
      </c>
      <c r="C869" s="139" t="inlineStr">
        <is>
          <t>LÊ DUY HÙNG</t>
        </is>
      </c>
      <c r="D869" s="139" t="inlineStr">
        <is>
          <t>19/05/1978</t>
        </is>
      </c>
      <c r="E869" s="139" t="inlineStr">
        <is>
          <t>Thay băng, cắt chỉ vết mổ [chiều dài ≤ 15cm]</t>
        </is>
      </c>
      <c r="F869" s="260" t="n">
        <v>1</v>
      </c>
      <c r="G869" s="260" t="n">
        <v>100000</v>
      </c>
      <c r="H869" s="93" t="n"/>
    </row>
    <row r="870" hidden="1" ht="15.75" customHeight="1" s="248">
      <c r="A870" s="92" t="n">
        <v>865</v>
      </c>
      <c r="B870" s="139" t="inlineStr">
        <is>
          <t>2026/06/26 13:29</t>
        </is>
      </c>
      <c r="C870" s="139" t="inlineStr">
        <is>
          <t>LÊ THÀNH ĐẠT</t>
        </is>
      </c>
      <c r="D870" s="139" t="inlineStr">
        <is>
          <t>06/11/1975</t>
        </is>
      </c>
      <c r="E870" s="139" t="inlineStr">
        <is>
          <t>Thay băng, cắt chỉ vết mổ [chiều dài ≤ 15cm]</t>
        </is>
      </c>
      <c r="F870" s="260" t="n">
        <v>1</v>
      </c>
      <c r="G870" s="260" t="n">
        <v>64300</v>
      </c>
      <c r="H870" s="93" t="n"/>
    </row>
    <row r="871" hidden="1" ht="15.75" customHeight="1" s="248">
      <c r="A871" s="92" t="n">
        <v>866</v>
      </c>
      <c r="B871" s="139" t="inlineStr">
        <is>
          <t>2026/06/26 13:34</t>
        </is>
      </c>
      <c r="C871" s="139" t="inlineStr">
        <is>
          <t>VÕ THỊ KIẾU</t>
        </is>
      </c>
      <c r="D871" s="139" t="inlineStr">
        <is>
          <t>01/01/1955</t>
        </is>
      </c>
      <c r="E871" s="139" t="inlineStr">
        <is>
          <t>Thay băng, cắt chỉ vết mổ [chiều dài ≤ 15cm]</t>
        </is>
      </c>
      <c r="F871" s="260" t="n">
        <v>1</v>
      </c>
      <c r="G871" s="260" t="n">
        <v>64300</v>
      </c>
      <c r="H871" s="93" t="n"/>
    </row>
    <row r="872" hidden="1" ht="15.75" customHeight="1" s="248">
      <c r="A872" s="92" t="n">
        <v>867</v>
      </c>
      <c r="B872" s="139" t="inlineStr">
        <is>
          <t>2026/06/26 13:40</t>
        </is>
      </c>
      <c r="C872" s="139" t="inlineStr">
        <is>
          <t>NGUYỄN HỒNG NHIÊN</t>
        </is>
      </c>
      <c r="D872" s="139" t="inlineStr">
        <is>
          <t>01/01/1968</t>
        </is>
      </c>
      <c r="E872" s="139" t="inlineStr">
        <is>
          <t>Thay băng, cắt chỉ vết mổ [chiều dài ≤ 15cm]</t>
        </is>
      </c>
      <c r="F872" s="260" t="n">
        <v>1</v>
      </c>
      <c r="G872" s="260" t="n">
        <v>64300</v>
      </c>
      <c r="H872" s="93" t="n"/>
    </row>
    <row r="873" hidden="1" ht="15.75" customHeight="1" s="248">
      <c r="A873" s="92" t="n">
        <v>868</v>
      </c>
      <c r="B873" s="139" t="inlineStr">
        <is>
          <t>2026/06/26 13:53</t>
        </is>
      </c>
      <c r="C873" s="139" t="inlineStr">
        <is>
          <t>NGUYỄN MINH NHỰT</t>
        </is>
      </c>
      <c r="D873" s="139" t="inlineStr">
        <is>
          <t>10/06/1988</t>
        </is>
      </c>
      <c r="E873" s="139" t="inlineStr">
        <is>
          <t>Thay băng, cắt chỉ vết mổ [chiều dài ≤ 15cm]</t>
        </is>
      </c>
      <c r="F873" s="260" t="n">
        <v>1</v>
      </c>
      <c r="G873" s="260" t="n">
        <v>100000</v>
      </c>
      <c r="H873" s="93" t="n"/>
    </row>
    <row r="874" hidden="1" ht="15.75" customHeight="1" s="248">
      <c r="A874" s="92" t="n">
        <v>869</v>
      </c>
      <c r="B874" s="139" t="inlineStr">
        <is>
          <t>2026/06/26 14:55</t>
        </is>
      </c>
      <c r="C874" s="139" t="inlineStr">
        <is>
          <t>BÙI TRÚC LINH</t>
        </is>
      </c>
      <c r="D874" s="139" t="inlineStr">
        <is>
          <t>18/12/1974</t>
        </is>
      </c>
      <c r="E874" s="139" t="inlineStr">
        <is>
          <t>Thay băng, cắt chỉ vết mổ [chiều dài ≤ 15cm]</t>
        </is>
      </c>
      <c r="F874" s="260" t="n">
        <v>1</v>
      </c>
      <c r="G874" s="260" t="n">
        <v>100000</v>
      </c>
      <c r="H874" s="93" t="n"/>
    </row>
    <row r="875" hidden="1" ht="15.75" customHeight="1" s="248">
      <c r="A875" s="92" t="n">
        <v>870</v>
      </c>
      <c r="B875" s="139" t="inlineStr">
        <is>
          <t>2026/06/26 14:56</t>
        </is>
      </c>
      <c r="C875" s="139" t="inlineStr">
        <is>
          <t>BÙI TRÚC LINH</t>
        </is>
      </c>
      <c r="D875" s="139" t="inlineStr">
        <is>
          <t>18/12/1974</t>
        </is>
      </c>
      <c r="E875" s="139" t="inlineStr">
        <is>
          <t>Thay băng, cắt chỉ vết mổ [chiều dài ≤ 15cm]</t>
        </is>
      </c>
      <c r="F875" s="260" t="n">
        <v>1</v>
      </c>
      <c r="G875" s="260" t="n">
        <v>100000</v>
      </c>
      <c r="H875" s="93" t="n"/>
    </row>
    <row r="876" hidden="1" ht="15.75" customHeight="1" s="248">
      <c r="A876" s="92" t="n">
        <v>871</v>
      </c>
      <c r="B876" s="139" t="inlineStr">
        <is>
          <t>2026/06/26 14:58</t>
        </is>
      </c>
      <c r="C876" s="139" t="inlineStr">
        <is>
          <t>BÙI TRÚC LINH</t>
        </is>
      </c>
      <c r="D876" s="139" t="inlineStr">
        <is>
          <t>18/12/1974</t>
        </is>
      </c>
      <c r="E876" s="139" t="inlineStr">
        <is>
          <t>Thay băng, cắt chỉ vết mổ [chiều dài ≤ 15cm]</t>
        </is>
      </c>
      <c r="F876" s="260" t="n">
        <v>1</v>
      </c>
      <c r="G876" s="260" t="n">
        <v>100000</v>
      </c>
      <c r="H876" s="93" t="n"/>
    </row>
    <row r="877" hidden="1" ht="15.75" customHeight="1" s="248">
      <c r="A877" s="92" t="n">
        <v>872</v>
      </c>
      <c r="B877" s="139" t="inlineStr">
        <is>
          <t>2026/06/26 14:58</t>
        </is>
      </c>
      <c r="C877" s="139" t="inlineStr">
        <is>
          <t>HỒNG KIM BẰNG</t>
        </is>
      </c>
      <c r="D877" s="139" t="inlineStr">
        <is>
          <t>01/01/1974</t>
        </is>
      </c>
      <c r="E877" s="139" t="inlineStr">
        <is>
          <t>Thay băng, cắt chỉ vết mổ [chiều dài ≤ 15cm]</t>
        </is>
      </c>
      <c r="F877" s="260" t="n">
        <v>1</v>
      </c>
      <c r="G877" s="260" t="n">
        <v>100000</v>
      </c>
      <c r="H877" s="93" t="n"/>
    </row>
    <row r="878" hidden="1" ht="15.75" customHeight="1" s="248">
      <c r="A878" s="92" t="n">
        <v>873</v>
      </c>
      <c r="B878" s="139" t="inlineStr">
        <is>
          <t>2026/06/27 05:00</t>
        </is>
      </c>
      <c r="C878" s="139" t="inlineStr">
        <is>
          <t>LÂM VĂN TÀI</t>
        </is>
      </c>
      <c r="D878" s="139" t="inlineStr">
        <is>
          <t>15/12/1996</t>
        </is>
      </c>
      <c r="E878" s="139" t="inlineStr">
        <is>
          <t>Thay băng, cắt chỉ vết mổ [chiều dài ≤ 15cm]</t>
        </is>
      </c>
      <c r="F878" s="260" t="n">
        <v>1</v>
      </c>
      <c r="G878" s="260" t="n">
        <v>100000</v>
      </c>
      <c r="H878" s="93" t="n"/>
    </row>
    <row r="879" hidden="1" ht="15.75" customHeight="1" s="248">
      <c r="A879" s="92" t="n">
        <v>874</v>
      </c>
      <c r="B879" s="139" t="inlineStr">
        <is>
          <t>2026/06/27 05:00</t>
        </is>
      </c>
      <c r="C879" s="139" t="inlineStr">
        <is>
          <t>NGUYỄN KHÁNH HỘI</t>
        </is>
      </c>
      <c r="D879" s="139" t="inlineStr">
        <is>
          <t>21/12/2008</t>
        </is>
      </c>
      <c r="E879" s="139" t="inlineStr">
        <is>
          <t>Thay băng, cắt chỉ vết mổ [chiều dài ≤ 15cm]</t>
        </is>
      </c>
      <c r="F879" s="260" t="n">
        <v>1</v>
      </c>
      <c r="G879" s="260" t="n">
        <v>100000</v>
      </c>
      <c r="H879" s="93" t="n"/>
    </row>
    <row r="880" hidden="1" ht="15.75" customHeight="1" s="248">
      <c r="A880" s="92" t="n">
        <v>875</v>
      </c>
      <c r="B880" s="139" t="inlineStr">
        <is>
          <t>2026/06/27 05:00</t>
        </is>
      </c>
      <c r="C880" s="139" t="inlineStr">
        <is>
          <t>NGUYỄN THỊ BỢ</t>
        </is>
      </c>
      <c r="D880" s="139" t="inlineStr">
        <is>
          <t>01/01/1963</t>
        </is>
      </c>
      <c r="E880" s="139" t="inlineStr">
        <is>
          <t>Thay băng, cắt chỉ vết mổ [chiều dài ≤ 15cm]</t>
        </is>
      </c>
      <c r="F880" s="260" t="n">
        <v>1</v>
      </c>
      <c r="G880" s="260" t="n">
        <v>100000</v>
      </c>
      <c r="H880" s="93" t="n"/>
    </row>
    <row r="881" hidden="1" ht="15.75" customHeight="1" s="248">
      <c r="A881" s="92" t="n">
        <v>876</v>
      </c>
      <c r="B881" s="139" t="inlineStr">
        <is>
          <t>2026/06/27 05:00</t>
        </is>
      </c>
      <c r="C881" s="139" t="inlineStr">
        <is>
          <t>NGUYỄN THỊ PHƯỢNG</t>
        </is>
      </c>
      <c r="D881" s="139" t="inlineStr">
        <is>
          <t>01/01/1968</t>
        </is>
      </c>
      <c r="E881" s="139" t="inlineStr">
        <is>
          <t>Thay băng, cắt chỉ vết mổ [chiều dài ≤ 15cm]</t>
        </is>
      </c>
      <c r="F881" s="260" t="n">
        <v>1</v>
      </c>
      <c r="G881" s="260" t="n">
        <v>100000</v>
      </c>
      <c r="H881" s="93" t="n"/>
    </row>
    <row r="882" hidden="1" ht="15.75" customHeight="1" s="248">
      <c r="A882" s="92" t="n">
        <v>877</v>
      </c>
      <c r="B882" s="139" t="inlineStr">
        <is>
          <t>2026/06/27 05:00</t>
        </is>
      </c>
      <c r="C882" s="139" t="inlineStr">
        <is>
          <t>TRƯƠNG THỊ CẨM CHÂU</t>
        </is>
      </c>
      <c r="D882" s="139" t="inlineStr">
        <is>
          <t>09/10/1968</t>
        </is>
      </c>
      <c r="E882" s="139" t="inlineStr">
        <is>
          <t>Thay băng, cắt chỉ vết mổ [chiều dài ≤ 15cm]</t>
        </is>
      </c>
      <c r="F882" s="260" t="n">
        <v>1</v>
      </c>
      <c r="G882" s="260" t="n">
        <v>100000</v>
      </c>
      <c r="H882" s="93" t="n"/>
    </row>
    <row r="883" hidden="1" ht="15.75" customHeight="1" s="248">
      <c r="A883" s="92" t="n">
        <v>878</v>
      </c>
      <c r="B883" s="139" t="inlineStr">
        <is>
          <t>2026/06/28 05:00</t>
        </is>
      </c>
      <c r="C883" s="139" t="inlineStr">
        <is>
          <t>LÂM VĂN TÀI</t>
        </is>
      </c>
      <c r="D883" s="139" t="inlineStr">
        <is>
          <t>15/12/1996</t>
        </is>
      </c>
      <c r="E883" s="139" t="inlineStr">
        <is>
          <t>Thay băng, cắt chỉ vết mổ [chiều dài ≤ 15cm]</t>
        </is>
      </c>
      <c r="F883" s="260" t="n">
        <v>1</v>
      </c>
      <c r="G883" s="260" t="n">
        <v>100000</v>
      </c>
      <c r="H883" s="93" t="n"/>
    </row>
    <row r="884" hidden="1" ht="15.75" customHeight="1" s="248">
      <c r="A884" s="92" t="n">
        <v>879</v>
      </c>
      <c r="B884" s="139" t="inlineStr">
        <is>
          <t>2026/06/28 05:00</t>
        </is>
      </c>
      <c r="C884" s="139" t="inlineStr">
        <is>
          <t>NGUYỄN KHÁNH HỘI</t>
        </is>
      </c>
      <c r="D884" s="139" t="inlineStr">
        <is>
          <t>21/12/2008</t>
        </is>
      </c>
      <c r="E884" s="139" t="inlineStr">
        <is>
          <t>Thay băng, cắt chỉ vết mổ [chiều dài ≤ 15cm]</t>
        </is>
      </c>
      <c r="F884" s="260" t="n">
        <v>1</v>
      </c>
      <c r="G884" s="260" t="n">
        <v>100000</v>
      </c>
      <c r="H884" s="93" t="n"/>
    </row>
    <row r="885" hidden="1" ht="15.75" customHeight="1" s="248">
      <c r="A885" s="92" t="n">
        <v>880</v>
      </c>
      <c r="B885" s="139" t="inlineStr">
        <is>
          <t>2026/06/28 05:00</t>
        </is>
      </c>
      <c r="C885" s="139" t="inlineStr">
        <is>
          <t>NGUYỄN THỊ BỢ</t>
        </is>
      </c>
      <c r="D885" s="139" t="inlineStr">
        <is>
          <t>01/01/1963</t>
        </is>
      </c>
      <c r="E885" s="139" t="inlineStr">
        <is>
          <t>Thay băng, cắt chỉ vết mổ [chiều dài ≤ 15cm]</t>
        </is>
      </c>
      <c r="F885" s="260" t="n">
        <v>1</v>
      </c>
      <c r="G885" s="260" t="n">
        <v>100000</v>
      </c>
      <c r="H885" s="93" t="n"/>
    </row>
    <row r="886" hidden="1" ht="15.75" customHeight="1" s="248">
      <c r="A886" s="92" t="n">
        <v>881</v>
      </c>
      <c r="B886" s="139" t="inlineStr">
        <is>
          <t>2026/06/28 05:00</t>
        </is>
      </c>
      <c r="C886" s="139" t="inlineStr">
        <is>
          <t>NGUYỄN THỊ PHƯỢNG</t>
        </is>
      </c>
      <c r="D886" s="139" t="inlineStr">
        <is>
          <t>01/01/1968</t>
        </is>
      </c>
      <c r="E886" s="139" t="inlineStr">
        <is>
          <t>Thay băng, cắt chỉ vết mổ [chiều dài ≤ 15cm]</t>
        </is>
      </c>
      <c r="F886" s="260" t="n">
        <v>1</v>
      </c>
      <c r="G886" s="260" t="n">
        <v>100000</v>
      </c>
      <c r="H886" s="93" t="n"/>
    </row>
    <row r="887" hidden="1" ht="15.75" customHeight="1" s="248">
      <c r="A887" s="92" t="n">
        <v>882</v>
      </c>
      <c r="B887" s="139" t="inlineStr">
        <is>
          <t>2026/06/28 05:00</t>
        </is>
      </c>
      <c r="C887" s="139" t="inlineStr">
        <is>
          <t>TRƯƠNG THỊ CẨM CHÂU</t>
        </is>
      </c>
      <c r="D887" s="139" t="inlineStr">
        <is>
          <t>09/10/1968</t>
        </is>
      </c>
      <c r="E887" s="139" t="inlineStr">
        <is>
          <t>Thay băng, cắt chỉ vết mổ [chiều dài ≤ 15cm]</t>
        </is>
      </c>
      <c r="F887" s="260" t="n">
        <v>1</v>
      </c>
      <c r="G887" s="260" t="n">
        <v>100000</v>
      </c>
      <c r="H887" s="93" t="n"/>
    </row>
    <row r="888" hidden="1" ht="15.75" customHeight="1" s="248">
      <c r="A888" s="92" t="n">
        <v>883</v>
      </c>
      <c r="B888" s="139" t="inlineStr">
        <is>
          <t>2026/06/29 05:00</t>
        </is>
      </c>
      <c r="C888" s="139" t="inlineStr">
        <is>
          <t>LÂM VĂN TÀI</t>
        </is>
      </c>
      <c r="D888" s="139" t="inlineStr">
        <is>
          <t>15/12/1996</t>
        </is>
      </c>
      <c r="E888" s="139" t="inlineStr">
        <is>
          <t>Thay băng, cắt chỉ vết mổ [chiều dài ≤ 15cm]</t>
        </is>
      </c>
      <c r="F888" s="260" t="n">
        <v>1</v>
      </c>
      <c r="G888" s="260" t="n">
        <v>100000</v>
      </c>
      <c r="H888" s="93" t="n"/>
    </row>
    <row r="889" hidden="1" ht="15.75" customHeight="1" s="248">
      <c r="A889" s="92" t="n">
        <v>884</v>
      </c>
      <c r="B889" s="139" t="inlineStr">
        <is>
          <t>2026/06/29 05:00</t>
        </is>
      </c>
      <c r="C889" s="139" t="inlineStr">
        <is>
          <t>NGUYỄN KHÁNH HỘI</t>
        </is>
      </c>
      <c r="D889" s="139" t="inlineStr">
        <is>
          <t>21/12/2008</t>
        </is>
      </c>
      <c r="E889" s="139" t="inlineStr">
        <is>
          <t>Thay băng, cắt chỉ vết mổ [chiều dài ≤ 15cm]</t>
        </is>
      </c>
      <c r="F889" s="260" t="n">
        <v>1</v>
      </c>
      <c r="G889" s="260" t="n">
        <v>100000</v>
      </c>
      <c r="H889" s="93" t="n"/>
    </row>
    <row r="890" hidden="1" ht="15.75" customHeight="1" s="248">
      <c r="A890" s="92" t="n">
        <v>885</v>
      </c>
      <c r="B890" s="139" t="inlineStr">
        <is>
          <t>2026/06/29 05:00</t>
        </is>
      </c>
      <c r="C890" s="139" t="inlineStr">
        <is>
          <t>NGUYỄN THỊ BỢ</t>
        </is>
      </c>
      <c r="D890" s="139" t="inlineStr">
        <is>
          <t>01/01/1963</t>
        </is>
      </c>
      <c r="E890" s="139" t="inlineStr">
        <is>
          <t>Thay băng, cắt chỉ vết mổ [chiều dài ≤ 15cm]</t>
        </is>
      </c>
      <c r="F890" s="260" t="n">
        <v>1</v>
      </c>
      <c r="G890" s="260" t="n">
        <v>100000</v>
      </c>
      <c r="H890" s="93" t="n"/>
    </row>
    <row r="891" hidden="1" ht="15.75" customHeight="1" s="248">
      <c r="A891" s="92" t="n">
        <v>886</v>
      </c>
      <c r="B891" s="139" t="inlineStr">
        <is>
          <t>2026/06/29 05:00</t>
        </is>
      </c>
      <c r="C891" s="139" t="inlineStr">
        <is>
          <t>NGUYỄN THỊ PHƯỢNG</t>
        </is>
      </c>
      <c r="D891" s="139" t="inlineStr">
        <is>
          <t>01/01/1968</t>
        </is>
      </c>
      <c r="E891" s="139" t="inlineStr">
        <is>
          <t>Thay băng, cắt chỉ vết mổ [chiều dài ≤ 15cm]</t>
        </is>
      </c>
      <c r="F891" s="260" t="n">
        <v>1</v>
      </c>
      <c r="G891" s="260" t="n">
        <v>100000</v>
      </c>
      <c r="H891" s="93" t="n"/>
    </row>
    <row r="892" hidden="1" ht="15.75" customHeight="1" s="248">
      <c r="A892" s="92" t="n">
        <v>887</v>
      </c>
      <c r="B892" s="139" t="inlineStr">
        <is>
          <t>2026/06/29 06:27</t>
        </is>
      </c>
      <c r="C892" s="139" t="inlineStr">
        <is>
          <t>LÊ THỊ LỆ</t>
        </is>
      </c>
      <c r="D892" s="139" t="inlineStr">
        <is>
          <t>01/01/1957</t>
        </is>
      </c>
      <c r="E892" s="139" t="inlineStr">
        <is>
          <t>Thay băng, cắt chỉ vết mổ [chiều dài ≤ 15cm]</t>
        </is>
      </c>
      <c r="F892" s="260" t="n">
        <v>1</v>
      </c>
      <c r="G892" s="260" t="n">
        <v>100000</v>
      </c>
      <c r="H892" s="93" t="n"/>
    </row>
    <row r="893" hidden="1" ht="15.75" customHeight="1" s="248">
      <c r="A893" s="92" t="n">
        <v>888</v>
      </c>
      <c r="B893" s="139" t="inlineStr">
        <is>
          <t>2026/06/29 07:00</t>
        </is>
      </c>
      <c r="C893" s="139" t="inlineStr">
        <is>
          <t>NGUYỄN THỊ NGỌC DUYÊN</t>
        </is>
      </c>
      <c r="D893" s="139" t="inlineStr">
        <is>
          <t>01/02/1971</t>
        </is>
      </c>
      <c r="E893" s="139" t="inlineStr">
        <is>
          <t>Thay băng, cắt chỉ vết mổ [chiều dài ≤ 15cm]</t>
        </is>
      </c>
      <c r="F893" s="260" t="n">
        <v>1</v>
      </c>
      <c r="G893" s="260" t="n">
        <v>100000</v>
      </c>
      <c r="H893" s="93" t="n"/>
    </row>
    <row r="894" hidden="1" ht="15.75" customHeight="1" s="248">
      <c r="A894" s="92" t="n">
        <v>889</v>
      </c>
      <c r="B894" s="139" t="inlineStr">
        <is>
          <t>2026/06/29 07:10</t>
        </is>
      </c>
      <c r="C894" s="139" t="inlineStr">
        <is>
          <t>TRƯƠNG THỊ CẨM CHÂU</t>
        </is>
      </c>
      <c r="D894" s="139" t="inlineStr">
        <is>
          <t>09/10/1968</t>
        </is>
      </c>
      <c r="E894" s="139" t="inlineStr">
        <is>
          <t>Thay băng, cắt chỉ vết mổ [chiều dài ≤ 15cm]</t>
        </is>
      </c>
      <c r="F894" s="260" t="n">
        <v>1</v>
      </c>
      <c r="G894" s="260" t="n">
        <v>100000</v>
      </c>
      <c r="H894" s="93" t="n"/>
    </row>
    <row r="895" hidden="1" ht="15.75" customHeight="1" s="248">
      <c r="A895" s="92" t="n">
        <v>890</v>
      </c>
      <c r="B895" s="139" t="inlineStr">
        <is>
          <t>2026/06/29 07:46</t>
        </is>
      </c>
      <c r="C895" s="139" t="inlineStr">
        <is>
          <t>LÊ NGUYỄN GIA PHÚC</t>
        </is>
      </c>
      <c r="D895" s="139" t="inlineStr">
        <is>
          <t>16/08/2006</t>
        </is>
      </c>
      <c r="E895" s="139" t="inlineStr">
        <is>
          <t>Thay băng, cắt chỉ vết mổ [chiều dài ≤ 15cm]</t>
        </is>
      </c>
      <c r="F895" s="260" t="n">
        <v>1</v>
      </c>
      <c r="G895" s="260" t="n">
        <v>100000</v>
      </c>
      <c r="H895" s="93" t="n"/>
    </row>
    <row r="896" hidden="1" ht="15.75" customHeight="1" s="248">
      <c r="A896" s="92" t="n">
        <v>891</v>
      </c>
      <c r="B896" s="139" t="inlineStr">
        <is>
          <t>2026/06/29 07:58</t>
        </is>
      </c>
      <c r="C896" s="139" t="inlineStr">
        <is>
          <t>CAO THỊ BẢY</t>
        </is>
      </c>
      <c r="D896" s="139" t="inlineStr">
        <is>
          <t>09/10/1941</t>
        </is>
      </c>
      <c r="E896" s="139" t="inlineStr">
        <is>
          <t>Thay băng, cắt chỉ vết mổ [chiều dài ≤ 15cm]</t>
        </is>
      </c>
      <c r="F896" s="260" t="n">
        <v>1</v>
      </c>
      <c r="G896" s="260" t="n">
        <v>100000</v>
      </c>
      <c r="H896" s="93" t="n"/>
    </row>
    <row r="897" hidden="1" ht="15.75" customHeight="1" s="248">
      <c r="A897" s="92" t="n">
        <v>892</v>
      </c>
      <c r="B897" s="139" t="inlineStr">
        <is>
          <t>2026/06/29 08:07</t>
        </is>
      </c>
      <c r="C897" s="139" t="inlineStr">
        <is>
          <t>NGUYỄN THỊ NGỌC ĐIỆP</t>
        </is>
      </c>
      <c r="D897" s="139" t="inlineStr">
        <is>
          <t>20/08/1973</t>
        </is>
      </c>
      <c r="E897" s="139" t="inlineStr">
        <is>
          <t>Thay băng, cắt chỉ vết mổ [chiều dài ≤ 15cm]</t>
        </is>
      </c>
      <c r="F897" s="260" t="n">
        <v>1</v>
      </c>
      <c r="G897" s="260" t="n">
        <v>100000</v>
      </c>
      <c r="H897" s="93" t="n"/>
    </row>
    <row r="898" hidden="1" ht="15.75" customHeight="1" s="248">
      <c r="A898" s="92" t="n">
        <v>893</v>
      </c>
      <c r="B898" s="139" t="inlineStr">
        <is>
          <t>2026/06/29 08:13</t>
        </is>
      </c>
      <c r="C898" s="139" t="inlineStr">
        <is>
          <t>TRẦN ĐẶNG NHƠN</t>
        </is>
      </c>
      <c r="D898" s="139" t="inlineStr">
        <is>
          <t>14/03/1991</t>
        </is>
      </c>
      <c r="E898" s="139" t="inlineStr">
        <is>
          <t>Thay băng, cắt chỉ vết mổ [chiều dài ≤ 15cm]</t>
        </is>
      </c>
      <c r="F898" s="260" t="n">
        <v>1</v>
      </c>
      <c r="G898" s="260" t="n">
        <v>100000</v>
      </c>
      <c r="H898" s="93" t="n"/>
    </row>
    <row r="899" hidden="1" ht="15.75" customHeight="1" s="248">
      <c r="A899" s="92" t="n">
        <v>894</v>
      </c>
      <c r="B899" s="139" t="inlineStr">
        <is>
          <t>2026/06/29 08:28</t>
        </is>
      </c>
      <c r="C899" s="139" t="inlineStr">
        <is>
          <t>MAI THÀNH DƯƠNG</t>
        </is>
      </c>
      <c r="D899" s="139" t="inlineStr">
        <is>
          <t>10/04/1964</t>
        </is>
      </c>
      <c r="E899" s="139" t="inlineStr">
        <is>
          <t>Thay băng, cắt chỉ vết mổ [chiều dài ≤ 15cm]</t>
        </is>
      </c>
      <c r="F899" s="260" t="n">
        <v>1</v>
      </c>
      <c r="G899" s="260" t="n">
        <v>100000</v>
      </c>
      <c r="H899" s="93" t="n"/>
    </row>
    <row r="900" hidden="1" ht="15.75" customHeight="1" s="248">
      <c r="A900" s="92" t="n">
        <v>895</v>
      </c>
      <c r="B900" s="139" t="inlineStr">
        <is>
          <t>2026/06/29 08:39</t>
        </is>
      </c>
      <c r="C900" s="139" t="inlineStr">
        <is>
          <t>TRIỆU CẨM THU</t>
        </is>
      </c>
      <c r="D900" s="139" t="inlineStr">
        <is>
          <t>27/03/1973</t>
        </is>
      </c>
      <c r="E900" s="139" t="inlineStr">
        <is>
          <t>Thay băng, cắt chỉ vết mổ [chiều dài ≤ 15cm]</t>
        </is>
      </c>
      <c r="F900" s="260" t="n">
        <v>1</v>
      </c>
      <c r="G900" s="260" t="n">
        <v>64300</v>
      </c>
      <c r="H900" s="93" t="n"/>
    </row>
    <row r="901" hidden="1" ht="15.75" customHeight="1" s="248">
      <c r="A901" s="92" t="n">
        <v>896</v>
      </c>
      <c r="B901" s="139" t="inlineStr">
        <is>
          <t>2026/06/29 08:55</t>
        </is>
      </c>
      <c r="C901" s="139" t="inlineStr">
        <is>
          <t>VÕ THỊ TUYẾT PHƯƠNG</t>
        </is>
      </c>
      <c r="D901" s="139" t="inlineStr">
        <is>
          <t>20/01/1994</t>
        </is>
      </c>
      <c r="E901" s="139" t="inlineStr">
        <is>
          <t>Thay băng, cắt chỉ vết mổ [chiều dài ≤ 15cm]</t>
        </is>
      </c>
      <c r="F901" s="260" t="n">
        <v>1</v>
      </c>
      <c r="G901" s="260" t="n">
        <v>100000</v>
      </c>
      <c r="H901" s="93" t="n"/>
    </row>
    <row r="902" hidden="1" ht="15.75" customHeight="1" s="248">
      <c r="A902" s="92" t="n">
        <v>897</v>
      </c>
      <c r="B902" s="139" t="inlineStr">
        <is>
          <t>2026/06/29 13:39</t>
        </is>
      </c>
      <c r="C902" s="139" t="inlineStr">
        <is>
          <t>PHẠM THỊ PHƯƠNG THẢO</t>
        </is>
      </c>
      <c r="D902" s="139" t="inlineStr">
        <is>
          <t>03/06/1998</t>
        </is>
      </c>
      <c r="E902" s="139" t="inlineStr">
        <is>
          <t>Cắt chỉ sau phẫu thuật</t>
        </is>
      </c>
      <c r="F902" s="260" t="n">
        <v>1</v>
      </c>
      <c r="G902" s="260" t="n">
        <v>40300</v>
      </c>
      <c r="H902" s="93" t="n"/>
    </row>
    <row r="903" hidden="1" ht="15.75" customHeight="1" s="248">
      <c r="A903" s="92" t="n">
        <v>898</v>
      </c>
      <c r="B903" s="139" t="inlineStr">
        <is>
          <t>2026/06/29 13:45</t>
        </is>
      </c>
      <c r="C903" s="139" t="inlineStr">
        <is>
          <t>LƯƠNG THỊ THAO</t>
        </is>
      </c>
      <c r="D903" s="139" t="inlineStr">
        <is>
          <t>20/08/1978</t>
        </is>
      </c>
      <c r="E903" s="139" t="inlineStr">
        <is>
          <t>Nắn, bó bột trật khớp khuỷu [bột liền]</t>
        </is>
      </c>
      <c r="F903" s="260" t="n">
        <v>1</v>
      </c>
      <c r="G903" s="260" t="n">
        <v>434600</v>
      </c>
      <c r="H903" s="93" t="n"/>
    </row>
    <row r="904" hidden="1" ht="15.75" customHeight="1" s="248">
      <c r="A904" s="92" t="n">
        <v>899</v>
      </c>
      <c r="B904" s="139" t="inlineStr">
        <is>
          <t>2026/06/29 13:55</t>
        </is>
      </c>
      <c r="C904" s="139" t="inlineStr">
        <is>
          <t>HỒ VĂN DÃ</t>
        </is>
      </c>
      <c r="D904" s="139" t="inlineStr">
        <is>
          <t>21/12/1976</t>
        </is>
      </c>
      <c r="E904" s="139" t="inlineStr">
        <is>
          <t>Cắt chỉ sau phẫu thuật</t>
        </is>
      </c>
      <c r="F904" s="260" t="n">
        <v>1</v>
      </c>
      <c r="G904" s="260" t="n">
        <v>40300</v>
      </c>
      <c r="H904" s="93" t="n"/>
    </row>
    <row r="905" hidden="1" ht="15.75" customHeight="1" s="248">
      <c r="A905" s="92" t="n">
        <v>900</v>
      </c>
      <c r="B905" s="139" t="inlineStr">
        <is>
          <t>2026/06/29 15:00</t>
        </is>
      </c>
      <c r="C905" s="139" t="inlineStr">
        <is>
          <t>NGUYỄN THỊ MỘNG LINH</t>
        </is>
      </c>
      <c r="D905" s="139" t="inlineStr">
        <is>
          <t>18/08/1978</t>
        </is>
      </c>
      <c r="E905" s="139" t="inlineStr">
        <is>
          <t>Thay băng, cắt chỉ vết mổ [chiều dài ≤ 15cm]</t>
        </is>
      </c>
      <c r="F905" s="260" t="n">
        <v>1</v>
      </c>
      <c r="G905" s="260" t="n">
        <v>100000</v>
      </c>
      <c r="H905" s="93" t="n"/>
    </row>
    <row r="906" hidden="1" ht="15.75" customHeight="1" s="248">
      <c r="A906" s="92" t="n">
        <v>901</v>
      </c>
      <c r="B906" s="139" t="inlineStr">
        <is>
          <t>2026/06/29 15:33</t>
        </is>
      </c>
      <c r="C906" s="139" t="inlineStr">
        <is>
          <t>CAO KIỀU DUYÊN</t>
        </is>
      </c>
      <c r="D906" s="139" t="inlineStr">
        <is>
          <t>12/06/1991</t>
        </is>
      </c>
      <c r="E906" s="139" t="inlineStr">
        <is>
          <t>Thay băng, cắt chỉ vết mổ [chiều dài ≤ 15cm]</t>
        </is>
      </c>
      <c r="F906" s="260" t="n">
        <v>1</v>
      </c>
      <c r="G906" s="260" t="n">
        <v>64300</v>
      </c>
      <c r="H906" s="93" t="n"/>
    </row>
    <row r="907" hidden="1" ht="15.75" customHeight="1" s="248">
      <c r="A907" s="92" t="n">
        <v>902</v>
      </c>
      <c r="B907" s="139" t="inlineStr">
        <is>
          <t>2026/06/29 15:57</t>
        </is>
      </c>
      <c r="C907" s="139" t="inlineStr">
        <is>
          <t>TẠ HUỲNH NHƯ</t>
        </is>
      </c>
      <c r="D907" s="139" t="inlineStr">
        <is>
          <t>10/02/2010</t>
        </is>
      </c>
      <c r="E907" s="139" t="inlineStr">
        <is>
          <t>Thay băng, cắt chỉ vết mổ [chiều dài ≤ 15cm]</t>
        </is>
      </c>
      <c r="F907" s="260" t="n">
        <v>1</v>
      </c>
      <c r="G907" s="260" t="n">
        <v>100000</v>
      </c>
      <c r="H907" s="93" t="n"/>
    </row>
    <row r="908" hidden="1" ht="15.75" customHeight="1" s="248">
      <c r="A908" s="92" t="n">
        <v>903</v>
      </c>
      <c r="B908" s="139" t="inlineStr">
        <is>
          <t>2026/06/29 16:10</t>
        </is>
      </c>
      <c r="C908" s="139" t="inlineStr">
        <is>
          <t>LÂM MINH</t>
        </is>
      </c>
      <c r="D908" s="139" t="inlineStr">
        <is>
          <t>05/03/2004</t>
        </is>
      </c>
      <c r="E908" s="139" t="inlineStr">
        <is>
          <t>Thay băng, cắt chỉ vết mổ [chiều dài ≤ 15cm]</t>
        </is>
      </c>
      <c r="F908" s="260" t="n">
        <v>1</v>
      </c>
      <c r="G908" s="260" t="n">
        <v>64300</v>
      </c>
      <c r="H908" s="93" t="n"/>
    </row>
    <row r="909" hidden="1" ht="15.75" customHeight="1" s="248">
      <c r="A909" s="92" t="n">
        <v>904</v>
      </c>
      <c r="B909" s="139" t="inlineStr">
        <is>
          <t>2026/06/30 07:58</t>
        </is>
      </c>
      <c r="C909" s="139" t="inlineStr">
        <is>
          <t>TRẦN NGUYỄN ANH THƯ</t>
        </is>
      </c>
      <c r="D909" s="139" t="inlineStr">
        <is>
          <t>01/01/2006</t>
        </is>
      </c>
      <c r="E909" s="139" t="inlineStr">
        <is>
          <t>Điều trị bằng siêu âm</t>
        </is>
      </c>
      <c r="F909" s="260" t="n">
        <v>1</v>
      </c>
      <c r="G909" s="260" t="n">
        <v>70000</v>
      </c>
      <c r="H909" s="93" t="n"/>
    </row>
    <row r="910" hidden="1" ht="15.75" customHeight="1" s="248">
      <c r="A910" s="92" t="n">
        <v>905</v>
      </c>
      <c r="B910" s="139" t="inlineStr">
        <is>
          <t>2026/06/30 07:58</t>
        </is>
      </c>
      <c r="C910" s="139" t="inlineStr">
        <is>
          <t>TRẦN NGUYỄN ANH THƯ</t>
        </is>
      </c>
      <c r="D910" s="139" t="inlineStr">
        <is>
          <t>01/01/2006</t>
        </is>
      </c>
      <c r="E910" s="139" t="inlineStr">
        <is>
          <t>Điều trị bằng siêu âm</t>
        </is>
      </c>
      <c r="F910" s="260" t="n">
        <v>1</v>
      </c>
      <c r="G910" s="260" t="n">
        <v>70000</v>
      </c>
      <c r="H910" s="93" t="n"/>
    </row>
    <row r="911" hidden="1" ht="15.75" customHeight="1" s="248">
      <c r="A911" s="92" t="n">
        <v>906</v>
      </c>
      <c r="B911" s="139" t="inlineStr">
        <is>
          <t>2026/06/30 07:58</t>
        </is>
      </c>
      <c r="C911" s="139" t="inlineStr">
        <is>
          <t>TRẦN NGUYỄN ANH THƯ</t>
        </is>
      </c>
      <c r="D911" s="139" t="inlineStr">
        <is>
          <t>01/01/2006</t>
        </is>
      </c>
      <c r="E911" s="139" t="inlineStr">
        <is>
          <t>Điều trị bằng siêu âm</t>
        </is>
      </c>
      <c r="F911" s="260" t="n">
        <v>1</v>
      </c>
      <c r="G911" s="260" t="n">
        <v>70000</v>
      </c>
      <c r="H911" s="93" t="n"/>
    </row>
    <row r="912" hidden="1" ht="15.75" customHeight="1" s="248">
      <c r="A912" s="92" t="n">
        <v>907</v>
      </c>
      <c r="B912" s="139" t="inlineStr">
        <is>
          <t>2026/06/30 07:58</t>
        </is>
      </c>
      <c r="C912" s="139" t="inlineStr">
        <is>
          <t>TRẦN NGUYỄN ANH THƯ</t>
        </is>
      </c>
      <c r="D912" s="139" t="inlineStr">
        <is>
          <t>01/01/2006</t>
        </is>
      </c>
      <c r="E912" s="139" t="inlineStr">
        <is>
          <t>Điều trị bằng siêu âm</t>
        </is>
      </c>
      <c r="F912" s="260" t="n">
        <v>1</v>
      </c>
      <c r="G912" s="260" t="n">
        <v>70000</v>
      </c>
      <c r="H912" s="93" t="n"/>
    </row>
    <row r="913" hidden="1" ht="15.75" customHeight="1" s="248">
      <c r="A913" s="92" t="n">
        <v>908</v>
      </c>
      <c r="B913" s="139" t="inlineStr">
        <is>
          <t>2026/06/30 07:58</t>
        </is>
      </c>
      <c r="C913" s="139" t="inlineStr">
        <is>
          <t>TRẦN NGUYỄN ANH THƯ</t>
        </is>
      </c>
      <c r="D913" s="139" t="inlineStr">
        <is>
          <t>01/01/2006</t>
        </is>
      </c>
      <c r="E913" s="139" t="inlineStr">
        <is>
          <t>Điều trị bằng siêu âm</t>
        </is>
      </c>
      <c r="F913" s="260" t="n">
        <v>1</v>
      </c>
      <c r="G913" s="260" t="n">
        <v>70000</v>
      </c>
      <c r="H913" s="93" t="n"/>
    </row>
    <row r="914" hidden="1" ht="15.75" customHeight="1" s="248">
      <c r="A914" s="92" t="n">
        <v>909</v>
      </c>
      <c r="B914" s="139" t="inlineStr">
        <is>
          <t>2026/06/30 07:58</t>
        </is>
      </c>
      <c r="C914" s="139" t="inlineStr">
        <is>
          <t>TRẦN NGUYỄN ANH THƯ</t>
        </is>
      </c>
      <c r="D914" s="139" t="inlineStr">
        <is>
          <t>01/01/2006</t>
        </is>
      </c>
      <c r="E914" s="139" t="inlineStr">
        <is>
          <t>Điều trị bằng siêu âm</t>
        </is>
      </c>
      <c r="F914" s="260" t="n">
        <v>1</v>
      </c>
      <c r="G914" s="260" t="n">
        <v>70000</v>
      </c>
      <c r="H914" s="93" t="n"/>
    </row>
    <row r="915" hidden="1" ht="15.75" customHeight="1" s="248">
      <c r="A915" s="92" t="n">
        <v>910</v>
      </c>
      <c r="B915" s="139" t="inlineStr">
        <is>
          <t>2026/06/30 09:15</t>
        </is>
      </c>
      <c r="C915" s="139" t="inlineStr">
        <is>
          <t>NGUYỄN THỊ THU TRANG</t>
        </is>
      </c>
      <c r="D915" s="139" t="inlineStr">
        <is>
          <t>01/01/1979</t>
        </is>
      </c>
      <c r="E915" s="139" t="inlineStr">
        <is>
          <t>Kỹ thuật di động mô mềm</t>
        </is>
      </c>
      <c r="F915" s="260" t="n">
        <v>1</v>
      </c>
      <c r="G915" s="260" t="n">
        <v>70000</v>
      </c>
      <c r="H915" s="93" t="n"/>
    </row>
    <row r="916" hidden="1" ht="15.75" customHeight="1" s="248">
      <c r="A916" s="92" t="n">
        <v>911</v>
      </c>
      <c r="B916" s="139" t="inlineStr">
        <is>
          <t>2026/06/30 13:12</t>
        </is>
      </c>
      <c r="C916" s="139" t="inlineStr">
        <is>
          <t>NGUYỄN TRƯỜNG THỌ</t>
        </is>
      </c>
      <c r="D916" s="139" t="inlineStr">
        <is>
          <t>12/08/2007</t>
        </is>
      </c>
      <c r="E916" s="139" t="inlineStr">
        <is>
          <t>Tháo bột (nhỏ)</t>
        </is>
      </c>
      <c r="F916" s="260" t="n">
        <v>1</v>
      </c>
      <c r="G916" s="260" t="n">
        <v>100000</v>
      </c>
      <c r="H916" s="93" t="n"/>
    </row>
    <row r="917" hidden="1" ht="15.75" customHeight="1" s="248">
      <c r="A917" s="92" t="n">
        <v>912</v>
      </c>
      <c r="B917" s="139" t="inlineStr">
        <is>
          <t>2026/06/30 14:07</t>
        </is>
      </c>
      <c r="C917" s="139" t="inlineStr">
        <is>
          <t>HUỲNH THỊ THANH HƯỜNG</t>
        </is>
      </c>
      <c r="D917" s="139" t="inlineStr">
        <is>
          <t>01/01/1984</t>
        </is>
      </c>
      <c r="E917" s="139" t="inlineStr">
        <is>
          <t>Thay băng, cắt chỉ vết mổ [chiều dài ≤ 15cm]</t>
        </is>
      </c>
      <c r="F917" s="260" t="n">
        <v>1</v>
      </c>
      <c r="G917" s="260" t="n">
        <v>100000</v>
      </c>
      <c r="H917" s="93" t="n"/>
    </row>
    <row r="918" hidden="1" ht="15.75" customHeight="1" s="248">
      <c r="A918" s="92" t="n">
        <v>913</v>
      </c>
      <c r="B918" s="139" t="inlineStr">
        <is>
          <t>2026/06/30 14:31</t>
        </is>
      </c>
      <c r="C918" s="139" t="inlineStr">
        <is>
          <t>VÕ VĂN HƠN</t>
        </is>
      </c>
      <c r="D918" s="139" t="inlineStr">
        <is>
          <t>26/04/1989</t>
        </is>
      </c>
      <c r="E918" s="139" t="inlineStr">
        <is>
          <t>Thay băng, cắt chỉ vết mổ [chiều dài ≤ 15cm]</t>
        </is>
      </c>
      <c r="F918" s="260" t="n">
        <v>1</v>
      </c>
      <c r="G918" s="260" t="n">
        <v>100000</v>
      </c>
      <c r="H918" s="93" t="n"/>
    </row>
    <row r="919" hidden="1" ht="15.75" customHeight="1" s="248">
      <c r="A919" s="92" t="n">
        <v>914</v>
      </c>
      <c r="B919" s="139" t="inlineStr">
        <is>
          <t>2026/06/30 14:47</t>
        </is>
      </c>
      <c r="C919" s="139" t="inlineStr">
        <is>
          <t>LÂM THỊ MỘNG TRINH</t>
        </is>
      </c>
      <c r="D919" s="139" t="inlineStr">
        <is>
          <t>01/01/1983</t>
        </is>
      </c>
      <c r="E919" s="139" t="inlineStr">
        <is>
          <t>Thay băng, cắt chỉ vết mổ [chiều dài ≤ 15cm]</t>
        </is>
      </c>
      <c r="F919" s="260" t="n">
        <v>1</v>
      </c>
      <c r="G919" s="260" t="n">
        <v>100000</v>
      </c>
      <c r="H919" s="93" t="n"/>
    </row>
    <row r="920" hidden="1" ht="15.75" customHeight="1" s="248">
      <c r="A920" s="92" t="n">
        <v>915</v>
      </c>
      <c r="B920" s="139" t="inlineStr">
        <is>
          <t>2026/06/30 14:50</t>
        </is>
      </c>
      <c r="C920" s="139" t="inlineStr">
        <is>
          <t>TRẦN THỊ THÚY NGÂN</t>
        </is>
      </c>
      <c r="D920" s="139" t="inlineStr">
        <is>
          <t>01/01/1978</t>
        </is>
      </c>
      <c r="E920" s="139" t="inlineStr">
        <is>
          <t>Thay băng, cắt chỉ vết mổ [chiều dài ≤ 15cm]</t>
        </is>
      </c>
      <c r="F920" s="260" t="n">
        <v>1</v>
      </c>
      <c r="G920" s="260" t="n">
        <v>64300</v>
      </c>
      <c r="H920" s="93" t="n"/>
    </row>
    <row r="921" hidden="1" ht="15.75" customHeight="1" s="248">
      <c r="A921" s="92" t="n">
        <v>916</v>
      </c>
      <c r="B921" s="139" t="inlineStr">
        <is>
          <t>2026/06/30 16:13</t>
        </is>
      </c>
      <c r="C921" s="139" t="inlineStr">
        <is>
          <t>TRẦN VĂN KỀN</t>
        </is>
      </c>
      <c r="D921" s="139" t="inlineStr">
        <is>
          <t>01/01/1993</t>
        </is>
      </c>
      <c r="E921" s="139" t="inlineStr">
        <is>
          <t>Nắn, bó bột gãy xương bàn chân [bột liền]</t>
        </is>
      </c>
      <c r="F921" s="260" t="n">
        <v>1</v>
      </c>
      <c r="G921" s="260" t="n">
        <v>257000</v>
      </c>
      <c r="H921" s="93" t="n"/>
    </row>
    <row r="922" hidden="1" ht="15.75" customHeight="1" s="248">
      <c r="A922" s="92" t="n">
        <v>917</v>
      </c>
      <c r="B922" s="139" t="inlineStr">
        <is>
          <t>2026/05/18 05:00</t>
        </is>
      </c>
      <c r="C922" s="139" t="inlineStr">
        <is>
          <t>KHUẤT HÙNG</t>
        </is>
      </c>
      <c r="D922" s="139" t="inlineStr">
        <is>
          <t>01/01/1948</t>
        </is>
      </c>
      <c r="E922" s="139" t="inlineStr">
        <is>
          <t>Xét nghiệm đường máu mao mạch tại giường (một lần)[Nội trú]</t>
        </is>
      </c>
      <c r="F922" s="260" t="n">
        <v>1</v>
      </c>
      <c r="G922" s="261" t="n">
        <v>16000</v>
      </c>
      <c r="H922" s="93" t="n"/>
    </row>
    <row r="923" hidden="1" ht="15.75" customHeight="1" s="248">
      <c r="A923" s="92" t="n">
        <v>918</v>
      </c>
      <c r="B923" s="139" t="inlineStr">
        <is>
          <t>2026/05/18 16:00</t>
        </is>
      </c>
      <c r="C923" s="139" t="inlineStr">
        <is>
          <t>KHUẤT HÙNG</t>
        </is>
      </c>
      <c r="D923" s="139" t="inlineStr">
        <is>
          <t>01/01/1948</t>
        </is>
      </c>
      <c r="E923" s="139" t="inlineStr">
        <is>
          <t>Xét nghiệm đường máu mao mạch tại giường (một lần)[Nội trú]</t>
        </is>
      </c>
      <c r="F923" s="260" t="n">
        <v>1</v>
      </c>
      <c r="G923" s="261" t="n">
        <v>16000</v>
      </c>
      <c r="H923" s="93" t="n"/>
    </row>
    <row r="924" hidden="1" ht="15.75" customHeight="1" s="248">
      <c r="A924" s="92" t="n">
        <v>919</v>
      </c>
      <c r="B924" s="139" t="inlineStr">
        <is>
          <t>2026/05/18 16:01</t>
        </is>
      </c>
      <c r="C924" s="139" t="inlineStr">
        <is>
          <t>KHUẤT HÙNG</t>
        </is>
      </c>
      <c r="D924" s="139" t="inlineStr">
        <is>
          <t>01/01/1948</t>
        </is>
      </c>
      <c r="E924" s="139" t="inlineStr">
        <is>
          <t>Xét nghiệm đường máu mao mạch tại giường (một lần)[Nội trú]</t>
        </is>
      </c>
      <c r="F924" s="260" t="n">
        <v>1</v>
      </c>
      <c r="G924" s="261" t="n">
        <v>16000</v>
      </c>
      <c r="H924" s="93" t="n"/>
    </row>
    <row r="925" hidden="1" ht="15.75" customHeight="1" s="248">
      <c r="A925" s="92" t="n">
        <v>920</v>
      </c>
      <c r="B925" s="139" t="inlineStr">
        <is>
          <t>2026/05/19 05:00</t>
        </is>
      </c>
      <c r="C925" s="139" t="inlineStr">
        <is>
          <t>NGUYỄN THỊ ĐIỀN</t>
        </is>
      </c>
      <c r="D925" s="139" t="inlineStr">
        <is>
          <t>01/01/1963</t>
        </is>
      </c>
      <c r="E925" s="139" t="inlineStr">
        <is>
          <t>Xét nghiệm đường máu mao mạch tại giường (một lần)[Nội trú]</t>
        </is>
      </c>
      <c r="F925" s="260" t="n">
        <v>1</v>
      </c>
      <c r="G925" s="261" t="n">
        <v>35000</v>
      </c>
      <c r="H925" s="93" t="n"/>
    </row>
    <row r="926" hidden="1" ht="15.75" customHeight="1" s="248">
      <c r="A926" s="92" t="n">
        <v>921</v>
      </c>
      <c r="B926" s="139" t="inlineStr">
        <is>
          <t>2026/05/19 05:00</t>
        </is>
      </c>
      <c r="C926" s="139" t="inlineStr">
        <is>
          <t>KHUẤT HÙNG</t>
        </is>
      </c>
      <c r="D926" s="139" t="inlineStr">
        <is>
          <t>01/01/1948</t>
        </is>
      </c>
      <c r="E926" s="139" t="inlineStr">
        <is>
          <t>Xét nghiệm đường máu mao mạch tại giường (một lần)[Nội trú]</t>
        </is>
      </c>
      <c r="F926" s="260" t="n">
        <v>1</v>
      </c>
      <c r="G926" s="261" t="n">
        <v>16000</v>
      </c>
      <c r="H926" s="93" t="n"/>
    </row>
    <row r="927" hidden="1" ht="15.75" customHeight="1" s="248">
      <c r="A927" s="92" t="n">
        <v>922</v>
      </c>
      <c r="B927" s="139" t="inlineStr">
        <is>
          <t>2026/05/19 16:00</t>
        </is>
      </c>
      <c r="C927" s="139" t="inlineStr">
        <is>
          <t>BÙI VĂN LONG</t>
        </is>
      </c>
      <c r="D927" s="139" t="inlineStr">
        <is>
          <t>21/10/1961</t>
        </is>
      </c>
      <c r="E927" s="139" t="inlineStr">
        <is>
          <t>Xét nghiệm đường máu mao mạch tại giường (một lần)[Nội trú]</t>
        </is>
      </c>
      <c r="F927" s="260" t="n">
        <v>1</v>
      </c>
      <c r="G927" s="261" t="n">
        <v>35000</v>
      </c>
      <c r="H927" s="93" t="n"/>
    </row>
    <row r="928" hidden="1" ht="15.75" customHeight="1" s="248">
      <c r="A928" s="92" t="n">
        <v>923</v>
      </c>
      <c r="B928" s="139" t="inlineStr">
        <is>
          <t>2026/05/19 16:00</t>
        </is>
      </c>
      <c r="C928" s="139" t="inlineStr">
        <is>
          <t>NGUYỄN THỊ ĐIỀN</t>
        </is>
      </c>
      <c r="D928" s="139" t="inlineStr">
        <is>
          <t>01/01/1963</t>
        </is>
      </c>
      <c r="E928" s="139" t="inlineStr">
        <is>
          <t>Xét nghiệm đường máu mao mạch tại giường (một lần)[Nội trú]</t>
        </is>
      </c>
      <c r="F928" s="260" t="n">
        <v>1</v>
      </c>
      <c r="G928" s="261" t="n">
        <v>35000</v>
      </c>
      <c r="H928" s="93" t="n"/>
    </row>
    <row r="929" hidden="1" ht="15.75" customHeight="1" s="248">
      <c r="A929" s="92" t="n">
        <v>924</v>
      </c>
      <c r="B929" s="139" t="inlineStr">
        <is>
          <t>2026/05/19 16:00</t>
        </is>
      </c>
      <c r="C929" s="139" t="inlineStr">
        <is>
          <t>KHUẤT HÙNG</t>
        </is>
      </c>
      <c r="D929" s="139" t="inlineStr">
        <is>
          <t>01/01/1948</t>
        </is>
      </c>
      <c r="E929" s="139" t="inlineStr">
        <is>
          <t>Xét nghiệm đường máu mao mạch tại giường (một lần)[Nội trú]</t>
        </is>
      </c>
      <c r="F929" s="260" t="n">
        <v>1</v>
      </c>
      <c r="G929" s="261" t="n">
        <v>16000</v>
      </c>
      <c r="H929" s="93" t="n"/>
    </row>
    <row r="930" hidden="1" ht="15.75" customHeight="1" s="248">
      <c r="A930" s="92" t="n">
        <v>925</v>
      </c>
      <c r="B930" s="139" t="inlineStr">
        <is>
          <t>2026/05/20 05:00</t>
        </is>
      </c>
      <c r="C930" s="139" t="inlineStr">
        <is>
          <t>BÙI VĂN LONG</t>
        </is>
      </c>
      <c r="D930" s="139" t="inlineStr">
        <is>
          <t>21/10/1961</t>
        </is>
      </c>
      <c r="E930" s="139" t="inlineStr">
        <is>
          <t>Xét nghiệm đường máu mao mạch tại giường (một lần)[Nội trú]</t>
        </is>
      </c>
      <c r="F930" s="260" t="n">
        <v>1</v>
      </c>
      <c r="G930" s="261" t="n">
        <v>35000</v>
      </c>
      <c r="H930" s="93" t="n"/>
    </row>
    <row r="931" hidden="1" ht="15.75" customHeight="1" s="248">
      <c r="A931" s="92" t="n">
        <v>926</v>
      </c>
      <c r="B931" s="139" t="inlineStr">
        <is>
          <t>2026/05/20 05:00</t>
        </is>
      </c>
      <c r="C931" s="139" t="inlineStr">
        <is>
          <t>KHUẤT HÙNG</t>
        </is>
      </c>
      <c r="D931" s="139" t="inlineStr">
        <is>
          <t>01/01/1948</t>
        </is>
      </c>
      <c r="E931" s="139" t="inlineStr">
        <is>
          <t>Xét nghiệm đường máu mao mạch tại giường (một lần)[Nội trú]</t>
        </is>
      </c>
      <c r="F931" s="260" t="n">
        <v>1</v>
      </c>
      <c r="G931" s="261" t="n">
        <v>16000</v>
      </c>
      <c r="H931" s="93" t="n"/>
    </row>
    <row r="932" hidden="1" ht="15.75" customHeight="1" s="248">
      <c r="A932" s="92" t="n">
        <v>927</v>
      </c>
      <c r="B932" s="139" t="inlineStr">
        <is>
          <t>2026/05/20 05:00</t>
        </is>
      </c>
      <c r="C932" s="139" t="inlineStr">
        <is>
          <t>NGUYỄN THỊ ĐIỀN</t>
        </is>
      </c>
      <c r="D932" s="139" t="inlineStr">
        <is>
          <t>01/01/1963</t>
        </is>
      </c>
      <c r="E932" s="139" t="inlineStr">
        <is>
          <t>Xét nghiệm đường máu mao mạch tại giường (một lần)[Nội trú]</t>
        </is>
      </c>
      <c r="F932" s="260" t="n">
        <v>1</v>
      </c>
      <c r="G932" s="261" t="n">
        <v>16000</v>
      </c>
      <c r="H932" s="93" t="n"/>
    </row>
    <row r="933" hidden="1" ht="15.75" customHeight="1" s="248">
      <c r="A933" s="92" t="n">
        <v>928</v>
      </c>
      <c r="B933" s="139" t="inlineStr">
        <is>
          <t>2026/05/20 16:00</t>
        </is>
      </c>
      <c r="C933" s="139" t="inlineStr">
        <is>
          <t>BÙI VĂN LONG</t>
        </is>
      </c>
      <c r="D933" s="139" t="inlineStr">
        <is>
          <t>21/10/1961</t>
        </is>
      </c>
      <c r="E933" s="139" t="inlineStr">
        <is>
          <t>Xét nghiệm đường máu mao mạch tại giường (một lần)[Nội trú]</t>
        </is>
      </c>
      <c r="F933" s="260" t="n">
        <v>1</v>
      </c>
      <c r="G933" s="261" t="n">
        <v>35000</v>
      </c>
      <c r="H933" s="93" t="n"/>
    </row>
    <row r="934" hidden="1" ht="15.75" customHeight="1" s="248">
      <c r="A934" s="92" t="n">
        <v>929</v>
      </c>
      <c r="B934" s="139" t="inlineStr">
        <is>
          <t>2026/05/20 16:00</t>
        </is>
      </c>
      <c r="C934" s="139" t="inlineStr">
        <is>
          <t>KHUẤT HÙNG</t>
        </is>
      </c>
      <c r="D934" s="139" t="inlineStr">
        <is>
          <t>01/01/1948</t>
        </is>
      </c>
      <c r="E934" s="139" t="inlineStr">
        <is>
          <t>Xét nghiệm đường máu mao mạch tại giường (một lần)[Nội trú]</t>
        </is>
      </c>
      <c r="F934" s="260" t="n">
        <v>1</v>
      </c>
      <c r="G934" s="261" t="n">
        <v>16000</v>
      </c>
      <c r="H934" s="93" t="n"/>
    </row>
    <row r="935" hidden="1" ht="15.75" customHeight="1" s="248">
      <c r="A935" s="92" t="n">
        <v>930</v>
      </c>
      <c r="B935" s="139" t="inlineStr">
        <is>
          <t>2026/05/20 16:00</t>
        </is>
      </c>
      <c r="C935" s="139" t="inlineStr">
        <is>
          <t>NGUYỄN THỊ ĐIỀN</t>
        </is>
      </c>
      <c r="D935" s="139" t="inlineStr">
        <is>
          <t>01/01/1963</t>
        </is>
      </c>
      <c r="E935" s="139" t="inlineStr">
        <is>
          <t>Xét nghiệm đường máu mao mạch tại giường (một lần)[Nội trú]</t>
        </is>
      </c>
      <c r="F935" s="260" t="n">
        <v>1</v>
      </c>
      <c r="G935" s="261" t="n">
        <v>16000</v>
      </c>
      <c r="H935" s="93" t="n"/>
    </row>
    <row r="936" hidden="1" ht="15.75" customHeight="1" s="248">
      <c r="A936" s="92" t="n">
        <v>931</v>
      </c>
      <c r="B936" s="139" t="inlineStr">
        <is>
          <t>2026/05/21 05:00</t>
        </is>
      </c>
      <c r="C936" s="139" t="inlineStr">
        <is>
          <t>BÙI VĂN LONG</t>
        </is>
      </c>
      <c r="D936" s="139" t="inlineStr">
        <is>
          <t>21/10/1961</t>
        </is>
      </c>
      <c r="E936" s="139" t="inlineStr">
        <is>
          <t>Xét nghiệm đường máu mao mạch tại giường (một lần)[Nội trú]</t>
        </is>
      </c>
      <c r="F936" s="260" t="n">
        <v>1</v>
      </c>
      <c r="G936" s="261" t="n">
        <v>35000</v>
      </c>
      <c r="H936" s="93" t="n"/>
    </row>
    <row r="937" hidden="1" ht="15.75" customHeight="1" s="248">
      <c r="A937" s="92" t="n">
        <v>932</v>
      </c>
      <c r="B937" s="139" t="inlineStr">
        <is>
          <t>2026/05/21 05:00</t>
        </is>
      </c>
      <c r="C937" s="139" t="inlineStr">
        <is>
          <t>NGUYỄN THỊ BÉ TƯ</t>
        </is>
      </c>
      <c r="D937" s="139" t="inlineStr">
        <is>
          <t>01/01/1967</t>
        </is>
      </c>
      <c r="E937" s="139" t="inlineStr">
        <is>
          <t>Xét nghiệm đường máu mao mạch tại giường (một lần)[Nội trú]</t>
        </is>
      </c>
      <c r="F937" s="260" t="n">
        <v>1</v>
      </c>
      <c r="G937" s="261" t="n">
        <v>35000</v>
      </c>
      <c r="H937" s="93" t="n"/>
    </row>
    <row r="938" hidden="1" ht="15.75" customHeight="1" s="248">
      <c r="A938" s="92" t="n">
        <v>933</v>
      </c>
      <c r="B938" s="139" t="inlineStr">
        <is>
          <t>2026/05/21 05:00</t>
        </is>
      </c>
      <c r="C938" s="139" t="inlineStr">
        <is>
          <t>NGUYỄN THỊ ĐIỀN</t>
        </is>
      </c>
      <c r="D938" s="139" t="inlineStr">
        <is>
          <t>01/01/1963</t>
        </is>
      </c>
      <c r="E938" s="139" t="inlineStr">
        <is>
          <t>Xét nghiệm đường máu mao mạch tại giường (một lần)[Nội trú]</t>
        </is>
      </c>
      <c r="F938" s="260" t="n">
        <v>1</v>
      </c>
      <c r="G938" s="261" t="n">
        <v>35000</v>
      </c>
      <c r="H938" s="93" t="n"/>
    </row>
    <row r="939" hidden="1" ht="15.75" customHeight="1" s="248">
      <c r="A939" s="92" t="n">
        <v>934</v>
      </c>
      <c r="B939" s="139" t="inlineStr">
        <is>
          <t>2026/05/21 05:00</t>
        </is>
      </c>
      <c r="C939" s="139" t="inlineStr">
        <is>
          <t>KHUẤT HÙNG</t>
        </is>
      </c>
      <c r="D939" s="139" t="inlineStr">
        <is>
          <t>01/01/1948</t>
        </is>
      </c>
      <c r="E939" s="139" t="inlineStr">
        <is>
          <t>Xét nghiệm đường máu mao mạch tại giường (một lần)[Nội trú]</t>
        </is>
      </c>
      <c r="F939" s="260" t="n">
        <v>1</v>
      </c>
      <c r="G939" s="261" t="n">
        <v>16000</v>
      </c>
      <c r="H939" s="93" t="n"/>
    </row>
    <row r="940" hidden="1" ht="15.75" customHeight="1" s="248">
      <c r="A940" s="92" t="n">
        <v>935</v>
      </c>
      <c r="B940" s="139" t="inlineStr">
        <is>
          <t>2026/05/21 16:00</t>
        </is>
      </c>
      <c r="C940" s="139" t="inlineStr">
        <is>
          <t>BÙI VĂN LONG</t>
        </is>
      </c>
      <c r="D940" s="139" t="inlineStr">
        <is>
          <t>21/10/1961</t>
        </is>
      </c>
      <c r="E940" s="139" t="inlineStr">
        <is>
          <t>Xét nghiệm đường máu mao mạch tại giường (một lần)[Nội trú]</t>
        </is>
      </c>
      <c r="F940" s="260" t="n">
        <v>1</v>
      </c>
      <c r="G940" s="261" t="n">
        <v>35000</v>
      </c>
      <c r="H940" s="93" t="n"/>
    </row>
    <row r="941" hidden="1" ht="15.75" customHeight="1" s="248">
      <c r="A941" s="92" t="n">
        <v>936</v>
      </c>
      <c r="B941" s="139" t="inlineStr">
        <is>
          <t>2026/05/21 16:00</t>
        </is>
      </c>
      <c r="C941" s="139" t="inlineStr">
        <is>
          <t>NGUYỄN THỊ BÉ TƯ</t>
        </is>
      </c>
      <c r="D941" s="139" t="inlineStr">
        <is>
          <t>01/01/1967</t>
        </is>
      </c>
      <c r="E941" s="139" t="inlineStr">
        <is>
          <t>Xét nghiệm đường máu mao mạch tại giường (một lần)[Nội trú]</t>
        </is>
      </c>
      <c r="F941" s="260" t="n">
        <v>1</v>
      </c>
      <c r="G941" s="261" t="n">
        <v>35000</v>
      </c>
      <c r="H941" s="93" t="n"/>
    </row>
    <row r="942" hidden="1" ht="15.75" customHeight="1" s="248">
      <c r="A942" s="92" t="n">
        <v>937</v>
      </c>
      <c r="B942" s="139" t="inlineStr">
        <is>
          <t>2026/05/21 16:00</t>
        </is>
      </c>
      <c r="C942" s="139" t="inlineStr">
        <is>
          <t>NGUYỄN THỊ ĐIỀN</t>
        </is>
      </c>
      <c r="D942" s="139" t="inlineStr">
        <is>
          <t>01/01/1963</t>
        </is>
      </c>
      <c r="E942" s="139" t="inlineStr">
        <is>
          <t>Xét nghiệm đường máu mao mạch tại giường (một lần)[Nội trú]</t>
        </is>
      </c>
      <c r="F942" s="260" t="n">
        <v>1</v>
      </c>
      <c r="G942" s="261" t="n">
        <v>35000</v>
      </c>
      <c r="H942" s="93" t="n"/>
    </row>
    <row r="943" hidden="1" ht="15.75" customHeight="1" s="248">
      <c r="A943" s="92" t="n">
        <v>938</v>
      </c>
      <c r="B943" s="139" t="inlineStr">
        <is>
          <t>2026/05/21 16:00</t>
        </is>
      </c>
      <c r="C943" s="139" t="inlineStr">
        <is>
          <t>KHUẤT HÙNG</t>
        </is>
      </c>
      <c r="D943" s="139" t="inlineStr">
        <is>
          <t>01/01/1948</t>
        </is>
      </c>
      <c r="E943" s="139" t="inlineStr">
        <is>
          <t>Xét nghiệm đường máu mao mạch tại giường (một lần)[Nội trú]</t>
        </is>
      </c>
      <c r="F943" s="260" t="n">
        <v>1</v>
      </c>
      <c r="G943" s="261" t="n">
        <v>16000</v>
      </c>
      <c r="H943" s="93" t="n"/>
    </row>
    <row r="944" hidden="1" ht="15.75" customHeight="1" s="248">
      <c r="A944" s="92" t="n">
        <v>939</v>
      </c>
      <c r="B944" s="139" t="inlineStr">
        <is>
          <t>2026/05/22 05:00</t>
        </is>
      </c>
      <c r="C944" s="139" t="inlineStr">
        <is>
          <t>NGUYỄN THỊ BÉ TƯ</t>
        </is>
      </c>
      <c r="D944" s="139" t="inlineStr">
        <is>
          <t>01/01/1967</t>
        </is>
      </c>
      <c r="E944" s="139" t="inlineStr">
        <is>
          <t>Xét nghiệm đường máu mao mạch tại giường (một lần)[Nội trú]</t>
        </is>
      </c>
      <c r="F944" s="260" t="n">
        <v>1</v>
      </c>
      <c r="G944" s="261" t="n">
        <v>35000</v>
      </c>
      <c r="H944" s="93" t="n"/>
    </row>
    <row r="945" hidden="1" ht="15.75" customHeight="1" s="248">
      <c r="A945" s="92" t="n">
        <v>940</v>
      </c>
      <c r="B945" s="139" t="inlineStr">
        <is>
          <t>2026/05/22 05:00</t>
        </is>
      </c>
      <c r="C945" s="139" t="inlineStr">
        <is>
          <t>NGUYỄN THỊ CHUỐI</t>
        </is>
      </c>
      <c r="D945" s="139" t="inlineStr">
        <is>
          <t>06/08/1952</t>
        </is>
      </c>
      <c r="E945" s="139" t="inlineStr">
        <is>
          <t>Xét nghiệm đường máu mao mạch tại giường (một lần)[Nội trú]</t>
        </is>
      </c>
      <c r="F945" s="260" t="n">
        <v>1</v>
      </c>
      <c r="G945" s="261" t="n">
        <v>35000</v>
      </c>
      <c r="H945" s="93" t="n"/>
    </row>
    <row r="946" hidden="1" ht="15.75" customHeight="1" s="248">
      <c r="A946" s="92" t="n">
        <v>941</v>
      </c>
      <c r="B946" s="139" t="inlineStr">
        <is>
          <t>2026/05/22 05:00</t>
        </is>
      </c>
      <c r="C946" s="139" t="inlineStr">
        <is>
          <t>KHUẤT HÙNG</t>
        </is>
      </c>
      <c r="D946" s="139" t="inlineStr">
        <is>
          <t>01/01/1948</t>
        </is>
      </c>
      <c r="E946" s="139" t="inlineStr">
        <is>
          <t>Xét nghiệm đường máu mao mạch tại giường (một lần)[Nội trú]</t>
        </is>
      </c>
      <c r="F946" s="260" t="n">
        <v>1</v>
      </c>
      <c r="G946" s="261" t="n">
        <v>16000</v>
      </c>
      <c r="H946" s="93" t="n"/>
    </row>
    <row r="947" hidden="1" ht="15.75" customHeight="1" s="248">
      <c r="A947" s="92" t="n">
        <v>942</v>
      </c>
      <c r="B947" s="139" t="inlineStr">
        <is>
          <t>2026/05/23 05:00</t>
        </is>
      </c>
      <c r="C947" s="139" t="inlineStr">
        <is>
          <t>NGUYỄN THỊ BÉ TƯ</t>
        </is>
      </c>
      <c r="D947" s="139" t="inlineStr">
        <is>
          <t>01/01/1967</t>
        </is>
      </c>
      <c r="E947" s="139" t="inlineStr">
        <is>
          <t>Xét nghiệm đường máu mao mạch tại giường (một lần)[Nội trú]</t>
        </is>
      </c>
      <c r="F947" s="260" t="n">
        <v>1</v>
      </c>
      <c r="G947" s="261" t="n">
        <v>35000</v>
      </c>
      <c r="H947" s="93" t="n"/>
    </row>
    <row r="948" hidden="1" ht="15.75" customHeight="1" s="248">
      <c r="A948" s="92" t="n">
        <v>943</v>
      </c>
      <c r="B948" s="139" t="inlineStr">
        <is>
          <t>2026/05/23 05:00</t>
        </is>
      </c>
      <c r="C948" s="139" t="inlineStr">
        <is>
          <t>NGUYỄN THỊ CHUỐI</t>
        </is>
      </c>
      <c r="D948" s="139" t="inlineStr">
        <is>
          <t>06/08/1952</t>
        </is>
      </c>
      <c r="E948" s="139" t="inlineStr">
        <is>
          <t>Xét nghiệm đường máu mao mạch tại giường (một lần)[Nội trú]</t>
        </is>
      </c>
      <c r="F948" s="260" t="n">
        <v>1</v>
      </c>
      <c r="G948" s="261" t="n">
        <v>35000</v>
      </c>
      <c r="H948" s="93" t="n"/>
    </row>
    <row r="949" hidden="1" ht="15.75" customHeight="1" s="248">
      <c r="A949" s="92" t="n">
        <v>944</v>
      </c>
      <c r="B949" s="139" t="inlineStr">
        <is>
          <t>2026/05/23 05:00</t>
        </is>
      </c>
      <c r="C949" s="139" t="inlineStr">
        <is>
          <t>KHUẤT HÙNG</t>
        </is>
      </c>
      <c r="D949" s="139" t="inlineStr">
        <is>
          <t>01/01/1948</t>
        </is>
      </c>
      <c r="E949" s="139" t="inlineStr">
        <is>
          <t>Xét nghiệm đường máu mao mạch tại giường (một lần)[Nội trú]</t>
        </is>
      </c>
      <c r="F949" s="260" t="n">
        <v>1</v>
      </c>
      <c r="G949" s="261" t="n">
        <v>16000</v>
      </c>
      <c r="H949" s="93" t="n"/>
    </row>
    <row r="950" hidden="1" ht="15.75" customHeight="1" s="248">
      <c r="A950" s="92" t="n">
        <v>945</v>
      </c>
      <c r="B950" s="139" t="inlineStr">
        <is>
          <t>2026/05/23 16:00</t>
        </is>
      </c>
      <c r="C950" s="139" t="inlineStr">
        <is>
          <t>BÙI VĂN LONG</t>
        </is>
      </c>
      <c r="D950" s="139" t="inlineStr">
        <is>
          <t>21/10/1961</t>
        </is>
      </c>
      <c r="E950" s="139" t="inlineStr">
        <is>
          <t>Xét nghiệm đường máu mao mạch tại giường (một lần)[Nội trú]</t>
        </is>
      </c>
      <c r="F950" s="260" t="n">
        <v>1</v>
      </c>
      <c r="G950" s="261" t="n">
        <v>35000</v>
      </c>
      <c r="H950" s="93" t="n"/>
    </row>
    <row r="951" hidden="1" ht="15.75" customHeight="1" s="248">
      <c r="A951" s="92" t="n">
        <v>946</v>
      </c>
      <c r="B951" s="139" t="inlineStr">
        <is>
          <t>2026/05/23 16:00</t>
        </is>
      </c>
      <c r="C951" s="139" t="inlineStr">
        <is>
          <t>NGUYỄN THỊ BÉ TƯ</t>
        </is>
      </c>
      <c r="D951" s="139" t="inlineStr">
        <is>
          <t>01/01/1967</t>
        </is>
      </c>
      <c r="E951" s="139" t="inlineStr">
        <is>
          <t>Xét nghiệm đường máu mao mạch tại giường (một lần)[Nội trú]</t>
        </is>
      </c>
      <c r="F951" s="260" t="n">
        <v>1</v>
      </c>
      <c r="G951" s="261" t="n">
        <v>35000</v>
      </c>
      <c r="H951" s="93" t="n"/>
    </row>
    <row r="952" hidden="1" ht="15.75" customHeight="1" s="248">
      <c r="A952" s="92" t="n">
        <v>947</v>
      </c>
      <c r="B952" s="139" t="inlineStr">
        <is>
          <t>2026/05/23 16:00</t>
        </is>
      </c>
      <c r="C952" s="139" t="inlineStr">
        <is>
          <t>NGUYỄN THỊ CHUỐI</t>
        </is>
      </c>
      <c r="D952" s="139" t="inlineStr">
        <is>
          <t>06/08/1952</t>
        </is>
      </c>
      <c r="E952" s="139" t="inlineStr">
        <is>
          <t>Xét nghiệm đường máu mao mạch tại giường (một lần)[Nội trú]</t>
        </is>
      </c>
      <c r="F952" s="260" t="n">
        <v>1</v>
      </c>
      <c r="G952" s="261" t="n">
        <v>35000</v>
      </c>
      <c r="H952" s="93" t="n"/>
    </row>
    <row r="953" hidden="1" ht="15.75" customHeight="1" s="248">
      <c r="A953" s="92" t="n">
        <v>948</v>
      </c>
      <c r="B953" s="139" t="inlineStr">
        <is>
          <t>2026/05/23 16:00</t>
        </is>
      </c>
      <c r="C953" s="139" t="inlineStr">
        <is>
          <t>NGUYỄN THỊ ĐIỀN</t>
        </is>
      </c>
      <c r="D953" s="139" t="inlineStr">
        <is>
          <t>01/01/1963</t>
        </is>
      </c>
      <c r="E953" s="139" t="inlineStr">
        <is>
          <t>Xét nghiệm đường máu mao mạch tại giường (một lần)[Nội trú]</t>
        </is>
      </c>
      <c r="F953" s="260" t="n">
        <v>1</v>
      </c>
      <c r="G953" s="261" t="n">
        <v>35000</v>
      </c>
      <c r="H953" s="93" t="n"/>
    </row>
    <row r="954" hidden="1" ht="15.75" customHeight="1" s="248">
      <c r="A954" s="92" t="n">
        <v>949</v>
      </c>
      <c r="B954" s="139" t="inlineStr">
        <is>
          <t>2026/05/23 16:00</t>
        </is>
      </c>
      <c r="C954" s="139" t="inlineStr">
        <is>
          <t>KHUẤT HÙNG</t>
        </is>
      </c>
      <c r="D954" s="139" t="inlineStr">
        <is>
          <t>01/01/1948</t>
        </is>
      </c>
      <c r="E954" s="139" t="inlineStr">
        <is>
          <t>Xét nghiệm đường máu mao mạch tại giường (một lần)[Nội trú]</t>
        </is>
      </c>
      <c r="F954" s="260" t="n">
        <v>1</v>
      </c>
      <c r="G954" s="261" t="n">
        <v>16000</v>
      </c>
      <c r="H954" s="93" t="n"/>
    </row>
    <row r="955" hidden="1" ht="15.75" customHeight="1" s="248">
      <c r="A955" s="92" t="n">
        <v>950</v>
      </c>
      <c r="B955" s="139" t="inlineStr">
        <is>
          <t>2026/05/24 05:00</t>
        </is>
      </c>
      <c r="C955" s="139" t="inlineStr">
        <is>
          <t>BÙI VĂN LONG</t>
        </is>
      </c>
      <c r="D955" s="139" t="inlineStr">
        <is>
          <t>21/10/1961</t>
        </is>
      </c>
      <c r="E955" s="139" t="inlineStr">
        <is>
          <t>Xét nghiệm đường máu mao mạch tại giường (một lần)[Nội trú]</t>
        </is>
      </c>
      <c r="F955" s="260" t="n">
        <v>1</v>
      </c>
      <c r="G955" s="261" t="n">
        <v>35000</v>
      </c>
      <c r="H955" s="93" t="n"/>
    </row>
    <row r="956" hidden="1" ht="15.75" customHeight="1" s="248">
      <c r="A956" s="92" t="n">
        <v>951</v>
      </c>
      <c r="B956" s="139" t="inlineStr">
        <is>
          <t>2026/05/24 05:00</t>
        </is>
      </c>
      <c r="C956" s="139" t="inlineStr">
        <is>
          <t>NGUYỄN THỊ BÉ TƯ</t>
        </is>
      </c>
      <c r="D956" s="139" t="inlineStr">
        <is>
          <t>01/01/1967</t>
        </is>
      </c>
      <c r="E956" s="139" t="inlineStr">
        <is>
          <t>Xét nghiệm đường máu mao mạch tại giường (một lần)[Nội trú]</t>
        </is>
      </c>
      <c r="F956" s="260" t="n">
        <v>1</v>
      </c>
      <c r="G956" s="261" t="n">
        <v>35000</v>
      </c>
      <c r="H956" s="93" t="n"/>
    </row>
    <row r="957" hidden="1" ht="15.75" customHeight="1" s="248">
      <c r="A957" s="92" t="n">
        <v>952</v>
      </c>
      <c r="B957" s="139" t="inlineStr">
        <is>
          <t>2026/05/24 05:00</t>
        </is>
      </c>
      <c r="C957" s="139" t="inlineStr">
        <is>
          <t>NGUYỄN THỊ CHUỐI</t>
        </is>
      </c>
      <c r="D957" s="139" t="inlineStr">
        <is>
          <t>06/08/1952</t>
        </is>
      </c>
      <c r="E957" s="139" t="inlineStr">
        <is>
          <t>Xét nghiệm đường máu mao mạch tại giường (một lần)[Nội trú]</t>
        </is>
      </c>
      <c r="F957" s="260" t="n">
        <v>1</v>
      </c>
      <c r="G957" s="261" t="n">
        <v>35000</v>
      </c>
      <c r="H957" s="93" t="n"/>
    </row>
    <row r="958" hidden="1" ht="15.75" customHeight="1" s="248">
      <c r="A958" s="92" t="n">
        <v>953</v>
      </c>
      <c r="B958" s="139" t="inlineStr">
        <is>
          <t>2026/05/24 05:00</t>
        </is>
      </c>
      <c r="C958" s="139" t="inlineStr">
        <is>
          <t>NGUYỄN THỊ ĐIỀN</t>
        </is>
      </c>
      <c r="D958" s="139" t="inlineStr">
        <is>
          <t>01/01/1963</t>
        </is>
      </c>
      <c r="E958" s="139" t="inlineStr">
        <is>
          <t>Xét nghiệm đường máu mao mạch tại giường (một lần)[Nội trú]</t>
        </is>
      </c>
      <c r="F958" s="260" t="n">
        <v>1</v>
      </c>
      <c r="G958" s="261" t="n">
        <v>35000</v>
      </c>
      <c r="H958" s="93" t="n"/>
    </row>
    <row r="959" hidden="1" ht="15.75" customHeight="1" s="248">
      <c r="A959" s="92" t="n">
        <v>954</v>
      </c>
      <c r="B959" s="139" t="inlineStr">
        <is>
          <t>2026/05/24 05:00</t>
        </is>
      </c>
      <c r="C959" s="139" t="inlineStr">
        <is>
          <t>KHUẤT HÙNG</t>
        </is>
      </c>
      <c r="D959" s="139" t="inlineStr">
        <is>
          <t>01/01/1948</t>
        </is>
      </c>
      <c r="E959" s="139" t="inlineStr">
        <is>
          <t>Xét nghiệm đường máu mao mạch tại giường (một lần)[Nội trú]</t>
        </is>
      </c>
      <c r="F959" s="260" t="n">
        <v>1</v>
      </c>
      <c r="G959" s="261" t="n">
        <v>16000</v>
      </c>
      <c r="H959" s="93" t="n"/>
    </row>
    <row r="960" hidden="1" ht="15.75" customHeight="1" s="248">
      <c r="A960" s="92" t="n">
        <v>955</v>
      </c>
      <c r="B960" s="139" t="inlineStr">
        <is>
          <t>2026/05/24 16:00</t>
        </is>
      </c>
      <c r="C960" s="139" t="inlineStr">
        <is>
          <t>BÙI VĂN LONG</t>
        </is>
      </c>
      <c r="D960" s="139" t="inlineStr">
        <is>
          <t>21/10/1961</t>
        </is>
      </c>
      <c r="E960" s="139" t="inlineStr">
        <is>
          <t>Xét nghiệm đường máu mao mạch tại giường (một lần)[Nội trú]</t>
        </is>
      </c>
      <c r="F960" s="260" t="n">
        <v>1</v>
      </c>
      <c r="G960" s="261" t="n">
        <v>35000</v>
      </c>
      <c r="H960" s="93" t="n"/>
    </row>
    <row r="961" hidden="1" ht="15.75" customHeight="1" s="248">
      <c r="A961" s="92" t="n">
        <v>956</v>
      </c>
      <c r="B961" s="139" t="inlineStr">
        <is>
          <t>2026/05/24 16:00</t>
        </is>
      </c>
      <c r="C961" s="139" t="inlineStr">
        <is>
          <t>NGUYỄN THỊ BÉ TƯ</t>
        </is>
      </c>
      <c r="D961" s="139" t="inlineStr">
        <is>
          <t>01/01/1967</t>
        </is>
      </c>
      <c r="E961" s="139" t="inlineStr">
        <is>
          <t>Xét nghiệm đường máu mao mạch tại giường (một lần)[Nội trú]</t>
        </is>
      </c>
      <c r="F961" s="260" t="n">
        <v>1</v>
      </c>
      <c r="G961" s="261" t="n">
        <v>35000</v>
      </c>
      <c r="H961" s="93" t="n"/>
    </row>
    <row r="962" hidden="1" ht="15.75" customHeight="1" s="248">
      <c r="A962" s="92" t="n">
        <v>957</v>
      </c>
      <c r="B962" s="139" t="inlineStr">
        <is>
          <t>2026/05/24 16:00</t>
        </is>
      </c>
      <c r="C962" s="139" t="inlineStr">
        <is>
          <t>NGUYỄN THỊ ĐIỀN</t>
        </is>
      </c>
      <c r="D962" s="139" t="inlineStr">
        <is>
          <t>01/01/1963</t>
        </is>
      </c>
      <c r="E962" s="139" t="inlineStr">
        <is>
          <t>Xét nghiệm đường máu mao mạch tại giường (một lần)[Nội trú]</t>
        </is>
      </c>
      <c r="F962" s="260" t="n">
        <v>1</v>
      </c>
      <c r="G962" s="261" t="n">
        <v>35000</v>
      </c>
      <c r="H962" s="93" t="n"/>
    </row>
    <row r="963" hidden="1" ht="15.75" customHeight="1" s="248">
      <c r="A963" s="92" t="n">
        <v>958</v>
      </c>
      <c r="B963" s="139" t="inlineStr">
        <is>
          <t>2026/05/24 16:00</t>
        </is>
      </c>
      <c r="C963" s="139" t="inlineStr">
        <is>
          <t>KHUẤT HÙNG</t>
        </is>
      </c>
      <c r="D963" s="139" t="inlineStr">
        <is>
          <t>01/01/1948</t>
        </is>
      </c>
      <c r="E963" s="139" t="inlineStr">
        <is>
          <t>Xét nghiệm đường máu mao mạch tại giường (một lần)[Nội trú]</t>
        </is>
      </c>
      <c r="F963" s="260" t="n">
        <v>1</v>
      </c>
      <c r="G963" s="261" t="n">
        <v>16000</v>
      </c>
      <c r="H963" s="93" t="n"/>
    </row>
    <row r="964" hidden="1" ht="15.75" customHeight="1" s="248">
      <c r="A964" s="92" t="n">
        <v>959</v>
      </c>
      <c r="B964" s="139" t="inlineStr">
        <is>
          <t>2026/05/25 05:00</t>
        </is>
      </c>
      <c r="C964" s="139" t="inlineStr">
        <is>
          <t>KHUẤT HÙNG</t>
        </is>
      </c>
      <c r="D964" s="139" t="inlineStr">
        <is>
          <t>01/01/1948</t>
        </is>
      </c>
      <c r="E964" s="139" t="inlineStr">
        <is>
          <t>Xét nghiệm đường máu mao mạch tại giường (một lần)[Nội trú]</t>
        </is>
      </c>
      <c r="F964" s="260" t="n">
        <v>1</v>
      </c>
      <c r="G964" s="261" t="n">
        <v>16000</v>
      </c>
      <c r="H964" s="93" t="n"/>
    </row>
    <row r="965" hidden="1" ht="15.75" customHeight="1" s="248">
      <c r="A965" s="92" t="n">
        <v>960</v>
      </c>
      <c r="B965" s="139" t="inlineStr">
        <is>
          <t>2026/05/25 16:00</t>
        </is>
      </c>
      <c r="C965" s="139" t="inlineStr">
        <is>
          <t>KHUẤT HÙNG</t>
        </is>
      </c>
      <c r="D965" s="139" t="inlineStr">
        <is>
          <t>01/01/1948</t>
        </is>
      </c>
      <c r="E965" s="139" t="inlineStr">
        <is>
          <t>Xét nghiệm đường máu mao mạch tại giường (một lần)[Nội trú]</t>
        </is>
      </c>
      <c r="F965" s="260" t="n">
        <v>1</v>
      </c>
      <c r="G965" s="261" t="n">
        <v>35000</v>
      </c>
      <c r="H965" s="93" t="n"/>
    </row>
    <row r="966" hidden="1" ht="15.75" customHeight="1" s="248">
      <c r="A966" s="92" t="n">
        <v>961</v>
      </c>
      <c r="B966" s="139" t="inlineStr">
        <is>
          <t>2026/05/25 16:00</t>
        </is>
      </c>
      <c r="C966" s="139" t="inlineStr">
        <is>
          <t>PHAN THỊ NỠ</t>
        </is>
      </c>
      <c r="D966" s="139" t="inlineStr">
        <is>
          <t>01/01/1957</t>
        </is>
      </c>
      <c r="E966" s="139" t="inlineStr">
        <is>
          <t>Xét nghiệm đường máu mao mạch tại giường (một lần)[Nội trú]</t>
        </is>
      </c>
      <c r="F966" s="260" t="n">
        <v>1</v>
      </c>
      <c r="G966" s="261" t="n">
        <v>35000</v>
      </c>
      <c r="H966" s="93" t="n"/>
    </row>
    <row r="967" hidden="1" ht="15.75" customHeight="1" s="248">
      <c r="A967" s="92" t="n">
        <v>962</v>
      </c>
      <c r="B967" s="139" t="inlineStr">
        <is>
          <t>2026/05/26 05:00</t>
        </is>
      </c>
      <c r="C967" s="139" t="inlineStr">
        <is>
          <t>KHUẤT HÙNG</t>
        </is>
      </c>
      <c r="D967" s="139" t="inlineStr">
        <is>
          <t>01/01/1948</t>
        </is>
      </c>
      <c r="E967" s="139" t="inlineStr">
        <is>
          <t>Xét nghiệm đường máu mao mạch tại giường (một lần)[Nội trú]</t>
        </is>
      </c>
      <c r="F967" s="260" t="n">
        <v>1</v>
      </c>
      <c r="G967" s="261" t="n">
        <v>35000</v>
      </c>
      <c r="H967" s="93" t="n"/>
    </row>
    <row r="968" hidden="1" ht="15.75" customHeight="1" s="248">
      <c r="A968" s="92" t="n">
        <v>963</v>
      </c>
      <c r="B968" s="139" t="inlineStr">
        <is>
          <t>2026/05/26 05:00</t>
        </is>
      </c>
      <c r="C968" s="139" t="inlineStr">
        <is>
          <t>NGUYỄN THỊ CHUỐI</t>
        </is>
      </c>
      <c r="D968" s="139" t="inlineStr">
        <is>
          <t>06/08/1952</t>
        </is>
      </c>
      <c r="E968" s="139" t="inlineStr">
        <is>
          <t>Xét nghiệm đường máu mao mạch tại giường (một lần)[Nội trú]</t>
        </is>
      </c>
      <c r="F968" s="260" t="n">
        <v>1</v>
      </c>
      <c r="G968" s="261" t="n">
        <v>35000</v>
      </c>
      <c r="H968" s="93" t="n"/>
    </row>
    <row r="969" hidden="1" ht="15.75" customHeight="1" s="248">
      <c r="A969" s="92" t="n">
        <v>964</v>
      </c>
      <c r="B969" s="139" t="inlineStr">
        <is>
          <t>2026/05/26 05:00</t>
        </is>
      </c>
      <c r="C969" s="139" t="inlineStr">
        <is>
          <t>PHAN THỊ NỠ</t>
        </is>
      </c>
      <c r="D969" s="139" t="inlineStr">
        <is>
          <t>01/01/1957</t>
        </is>
      </c>
      <c r="E969" s="139" t="inlineStr">
        <is>
          <t>Xét nghiệm đường máu mao mạch tại giường (một lần)[Nội trú]</t>
        </is>
      </c>
      <c r="F969" s="260" t="n">
        <v>1</v>
      </c>
      <c r="G969" s="261" t="n">
        <v>16000</v>
      </c>
      <c r="H969" s="93" t="n"/>
    </row>
    <row r="970" hidden="1" ht="15.75" customHeight="1" s="248">
      <c r="A970" s="92" t="n">
        <v>965</v>
      </c>
      <c r="B970" s="139" t="inlineStr">
        <is>
          <t>2026/05/26 12:30</t>
        </is>
      </c>
      <c r="C970" s="139" t="inlineStr">
        <is>
          <t>KHUẤT HÙNG</t>
        </is>
      </c>
      <c r="D970" s="139" t="inlineStr">
        <is>
          <t>01/01/1948</t>
        </is>
      </c>
      <c r="E970" s="139" t="inlineStr">
        <is>
          <t>Xét nghiệm đường máu mao mạch tại giường (một lần)[Nội trú]</t>
        </is>
      </c>
      <c r="F970" s="260" t="n">
        <v>1</v>
      </c>
      <c r="G970" s="261" t="n">
        <v>35000</v>
      </c>
      <c r="H970" s="93" t="n"/>
    </row>
    <row r="971" hidden="1" ht="15.75" customHeight="1" s="248">
      <c r="A971" s="92" t="n">
        <v>966</v>
      </c>
      <c r="B971" s="139" t="inlineStr">
        <is>
          <t>2026/05/26 16:00</t>
        </is>
      </c>
      <c r="C971" s="139" t="inlineStr">
        <is>
          <t>BÙI VĂN LONG</t>
        </is>
      </c>
      <c r="D971" s="139" t="inlineStr">
        <is>
          <t>21/10/1961</t>
        </is>
      </c>
      <c r="E971" s="139" t="inlineStr">
        <is>
          <t>Xét nghiệm đường máu mao mạch tại giường (một lần)[Nội trú]</t>
        </is>
      </c>
      <c r="F971" s="260" t="n">
        <v>1</v>
      </c>
      <c r="G971" s="261" t="n">
        <v>35000</v>
      </c>
      <c r="H971" s="93" t="n"/>
    </row>
    <row r="972" hidden="1" ht="15.75" customHeight="1" s="248">
      <c r="A972" s="92" t="n">
        <v>967</v>
      </c>
      <c r="B972" s="139" t="inlineStr">
        <is>
          <t>2026/05/26 16:00</t>
        </is>
      </c>
      <c r="C972" s="139" t="inlineStr">
        <is>
          <t>NGUYỄN THỊ BÉ TƯ</t>
        </is>
      </c>
      <c r="D972" s="139" t="inlineStr">
        <is>
          <t>01/01/1967</t>
        </is>
      </c>
      <c r="E972" s="139" t="inlineStr">
        <is>
          <t>Xét nghiệm đường máu mao mạch tại giường (một lần)[Nội trú]</t>
        </is>
      </c>
      <c r="F972" s="260" t="n">
        <v>1</v>
      </c>
      <c r="G972" s="261" t="n">
        <v>35000</v>
      </c>
      <c r="H972" s="93" t="n"/>
    </row>
    <row r="973" hidden="1" ht="15.75" customHeight="1" s="248">
      <c r="A973" s="92" t="n">
        <v>968</v>
      </c>
      <c r="B973" s="139" t="inlineStr">
        <is>
          <t>2026/05/26 16:00</t>
        </is>
      </c>
      <c r="C973" s="139" t="inlineStr">
        <is>
          <t>NGUYỄN THỊ ĐIỀN</t>
        </is>
      </c>
      <c r="D973" s="139" t="inlineStr">
        <is>
          <t>01/01/1963</t>
        </is>
      </c>
      <c r="E973" s="139" t="inlineStr">
        <is>
          <t>Xét nghiệm đường máu mao mạch tại giường (một lần)[Nội trú]</t>
        </is>
      </c>
      <c r="F973" s="260" t="n">
        <v>1</v>
      </c>
      <c r="G973" s="261" t="n">
        <v>35000</v>
      </c>
      <c r="H973" s="93" t="n"/>
    </row>
    <row r="974" hidden="1" ht="15.75" customHeight="1" s="248">
      <c r="A974" s="92" t="n">
        <v>969</v>
      </c>
      <c r="B974" s="139" t="inlineStr">
        <is>
          <t>2026/05/26 16:00</t>
        </is>
      </c>
      <c r="C974" s="139" t="inlineStr">
        <is>
          <t>PHAN THỊ NỠ</t>
        </is>
      </c>
      <c r="D974" s="139" t="inlineStr">
        <is>
          <t>01/01/1957</t>
        </is>
      </c>
      <c r="E974" s="139" t="inlineStr">
        <is>
          <t>Xét nghiệm đường máu mao mạch tại giường (một lần)[Nội trú]</t>
        </is>
      </c>
      <c r="F974" s="260" t="n">
        <v>1</v>
      </c>
      <c r="G974" s="261" t="n">
        <v>35000</v>
      </c>
      <c r="H974" s="93" t="n"/>
    </row>
    <row r="975" hidden="1" ht="15.75" customHeight="1" s="248">
      <c r="A975" s="92" t="n">
        <v>970</v>
      </c>
      <c r="B975" s="139" t="inlineStr">
        <is>
          <t>2026/05/27 05:00</t>
        </is>
      </c>
      <c r="C975" s="139" t="inlineStr">
        <is>
          <t>KHUẤT HÙNG</t>
        </is>
      </c>
      <c r="D975" s="139" t="inlineStr">
        <is>
          <t>01/01/1948</t>
        </is>
      </c>
      <c r="E975" s="139" t="inlineStr">
        <is>
          <t>Xét nghiệm đường máu mao mạch tại giường (một lần)[Nội trú]</t>
        </is>
      </c>
      <c r="F975" s="260" t="n">
        <v>1</v>
      </c>
      <c r="G975" s="261" t="n">
        <v>35000</v>
      </c>
      <c r="H975" s="93" t="n"/>
    </row>
    <row r="976" hidden="1" ht="15.75" customHeight="1" s="248">
      <c r="A976" s="92" t="n">
        <v>971</v>
      </c>
      <c r="B976" s="139" t="inlineStr">
        <is>
          <t>2026/05/27 05:00</t>
        </is>
      </c>
      <c r="C976" s="139" t="inlineStr">
        <is>
          <t>NGUYỄN THỊ BÉ TƯ</t>
        </is>
      </c>
      <c r="D976" s="139" t="inlineStr">
        <is>
          <t>01/01/1967</t>
        </is>
      </c>
      <c r="E976" s="139" t="inlineStr">
        <is>
          <t>Xét nghiệm đường máu mao mạch tại giường (một lần)[Nội trú]</t>
        </is>
      </c>
      <c r="F976" s="260" t="n">
        <v>1</v>
      </c>
      <c r="G976" s="261" t="n">
        <v>16000</v>
      </c>
      <c r="H976" s="93" t="n"/>
    </row>
    <row r="977" hidden="1" ht="15.75" customHeight="1" s="248">
      <c r="A977" s="92" t="n">
        <v>972</v>
      </c>
      <c r="B977" s="139" t="inlineStr">
        <is>
          <t>2026/05/27 05:00</t>
        </is>
      </c>
      <c r="C977" s="139" t="inlineStr">
        <is>
          <t>PHAN THỊ NỠ</t>
        </is>
      </c>
      <c r="D977" s="139" t="inlineStr">
        <is>
          <t>01/01/1957</t>
        </is>
      </c>
      <c r="E977" s="139" t="inlineStr">
        <is>
          <t>Xét nghiệm đường máu mao mạch tại giường (một lần)[Nội trú]</t>
        </is>
      </c>
      <c r="F977" s="260" t="n">
        <v>1</v>
      </c>
      <c r="G977" s="261" t="n">
        <v>35000</v>
      </c>
      <c r="H977" s="93" t="n"/>
    </row>
    <row r="978" hidden="1" ht="15.75" customHeight="1" s="248">
      <c r="A978" s="92" t="n">
        <v>973</v>
      </c>
      <c r="B978" s="139" t="inlineStr">
        <is>
          <t>2026/05/27 05:00</t>
        </is>
      </c>
      <c r="C978" s="139" t="inlineStr">
        <is>
          <t>BÙI VĂN LONG</t>
        </is>
      </c>
      <c r="D978" s="139" t="inlineStr">
        <is>
          <t>21/10/1961</t>
        </is>
      </c>
      <c r="E978" s="139" t="inlineStr">
        <is>
          <t>Xét nghiệm đường máu mao mạch tại giường (một lần)[Nội trú]</t>
        </is>
      </c>
      <c r="F978" s="260" t="n">
        <v>1</v>
      </c>
      <c r="G978" s="261" t="n">
        <v>16000</v>
      </c>
      <c r="H978" s="93" t="n"/>
    </row>
    <row r="979" hidden="1" ht="15.75" customHeight="1" s="248">
      <c r="A979" s="92" t="n">
        <v>974</v>
      </c>
      <c r="B979" s="139" t="inlineStr">
        <is>
          <t>2026/05/27 16:00</t>
        </is>
      </c>
      <c r="C979" s="139" t="inlineStr">
        <is>
          <t>KHUẤT HÙNG</t>
        </is>
      </c>
      <c r="D979" s="139" t="inlineStr">
        <is>
          <t>01/01/1948</t>
        </is>
      </c>
      <c r="E979" s="139" t="inlineStr">
        <is>
          <t>Xét nghiệm đường máu mao mạch tại giường (một lần)[Nội trú]</t>
        </is>
      </c>
      <c r="F979" s="260" t="n">
        <v>1</v>
      </c>
      <c r="G979" s="261" t="n">
        <v>35000</v>
      </c>
      <c r="H979" s="93" t="n"/>
    </row>
    <row r="980" hidden="1" ht="15.75" customHeight="1" s="248">
      <c r="A980" s="92" t="n">
        <v>975</v>
      </c>
      <c r="B980" s="139" t="inlineStr">
        <is>
          <t>2026/05/27 16:00</t>
        </is>
      </c>
      <c r="C980" s="139" t="inlineStr">
        <is>
          <t>NGUYỄN THỊ BÉ TƯ</t>
        </is>
      </c>
      <c r="D980" s="139" t="inlineStr">
        <is>
          <t>01/01/1967</t>
        </is>
      </c>
      <c r="E980" s="139" t="inlineStr">
        <is>
          <t>Xét nghiệm đường máu mao mạch tại giường (một lần)[Nội trú]</t>
        </is>
      </c>
      <c r="F980" s="260" t="n">
        <v>1</v>
      </c>
      <c r="G980" s="261" t="n">
        <v>35000</v>
      </c>
      <c r="H980" s="93" t="n"/>
    </row>
    <row r="981" hidden="1" ht="15.75" customHeight="1" s="248">
      <c r="A981" s="92" t="n">
        <v>976</v>
      </c>
      <c r="B981" s="139" t="inlineStr">
        <is>
          <t>2026/05/27 16:00</t>
        </is>
      </c>
      <c r="C981" s="139" t="inlineStr">
        <is>
          <t>PHAN THỊ NỠ</t>
        </is>
      </c>
      <c r="D981" s="139" t="inlineStr">
        <is>
          <t>01/01/1957</t>
        </is>
      </c>
      <c r="E981" s="139" t="inlineStr">
        <is>
          <t>Xét nghiệm đường máu mao mạch tại giường (một lần)[Nội trú]</t>
        </is>
      </c>
      <c r="F981" s="260" t="n">
        <v>1</v>
      </c>
      <c r="G981" s="261" t="n">
        <v>35000</v>
      </c>
      <c r="H981" s="93" t="n"/>
    </row>
    <row r="982" hidden="1" ht="15.75" customHeight="1" s="248">
      <c r="A982" s="92" t="n">
        <v>977</v>
      </c>
      <c r="B982" s="139" t="inlineStr">
        <is>
          <t>2026/05/28 05:00</t>
        </is>
      </c>
      <c r="C982" s="139" t="inlineStr">
        <is>
          <t>BÙI VĂN LONG</t>
        </is>
      </c>
      <c r="D982" s="139" t="inlineStr">
        <is>
          <t>21/10/1961</t>
        </is>
      </c>
      <c r="E982" s="139" t="inlineStr">
        <is>
          <t>Xét nghiệm đường máu mao mạch tại giường (một lần)[Nội trú]</t>
        </is>
      </c>
      <c r="F982" s="260" t="n">
        <v>1</v>
      </c>
      <c r="G982" s="261" t="n">
        <v>35000</v>
      </c>
      <c r="H982" s="93" t="n"/>
    </row>
    <row r="983" hidden="1" ht="15.75" customHeight="1" s="248">
      <c r="A983" s="92" t="n">
        <v>978</v>
      </c>
      <c r="B983" s="139" t="inlineStr">
        <is>
          <t>2026/05/28 05:00</t>
        </is>
      </c>
      <c r="C983" s="139" t="inlineStr">
        <is>
          <t>KHUẤT HÙNG</t>
        </is>
      </c>
      <c r="D983" s="139" t="inlineStr">
        <is>
          <t>01/01/1948</t>
        </is>
      </c>
      <c r="E983" s="139" t="inlineStr">
        <is>
          <t>Xét nghiệm đường máu mao mạch tại giường (một lần)[Nội trú]</t>
        </is>
      </c>
      <c r="F983" s="260" t="n">
        <v>1</v>
      </c>
      <c r="G983" s="261" t="n">
        <v>35000</v>
      </c>
      <c r="H983" s="93" t="n"/>
    </row>
    <row r="984" hidden="1" ht="15.75" customHeight="1" s="248">
      <c r="A984" s="92" t="n">
        <v>979</v>
      </c>
      <c r="B984" s="139" t="inlineStr">
        <is>
          <t>2026/05/28 05:00</t>
        </is>
      </c>
      <c r="C984" s="139" t="inlineStr">
        <is>
          <t>NGUYỄN THỊ BÉ TƯ</t>
        </is>
      </c>
      <c r="D984" s="139" t="inlineStr">
        <is>
          <t>01/01/1967</t>
        </is>
      </c>
      <c r="E984" s="139" t="inlineStr">
        <is>
          <t>Xét nghiệm đường máu mao mạch tại giường (một lần)[Nội trú]</t>
        </is>
      </c>
      <c r="F984" s="260" t="n">
        <v>1</v>
      </c>
      <c r="G984" s="261" t="n">
        <v>35000</v>
      </c>
      <c r="H984" s="93" t="n"/>
    </row>
    <row r="985" hidden="1" ht="15.75" customHeight="1" s="248">
      <c r="A985" s="92" t="n">
        <v>980</v>
      </c>
      <c r="B985" s="139" t="inlineStr">
        <is>
          <t>2026/05/28 16:00</t>
        </is>
      </c>
      <c r="C985" s="139" t="inlineStr">
        <is>
          <t>BÙI VĂN LONG</t>
        </is>
      </c>
      <c r="D985" s="139" t="inlineStr">
        <is>
          <t>21/10/1961</t>
        </is>
      </c>
      <c r="E985" s="139" t="inlineStr">
        <is>
          <t>Xét nghiệm đường máu mao mạch tại giường (một lần)[Nội trú]</t>
        </is>
      </c>
      <c r="F985" s="260" t="n">
        <v>1</v>
      </c>
      <c r="G985" s="261" t="n">
        <v>35000</v>
      </c>
      <c r="H985" s="93" t="n"/>
    </row>
    <row r="986" hidden="1" ht="15.75" customHeight="1" s="248">
      <c r="A986" s="92" t="n">
        <v>981</v>
      </c>
      <c r="B986" s="139" t="inlineStr">
        <is>
          <t>2026/05/28 16:00</t>
        </is>
      </c>
      <c r="C986" s="139" t="inlineStr">
        <is>
          <t>DƯƠNG VĂN CHIẾN</t>
        </is>
      </c>
      <c r="D986" s="139" t="inlineStr">
        <is>
          <t>01/01/1949</t>
        </is>
      </c>
      <c r="E986" s="139" t="inlineStr">
        <is>
          <t>Xét nghiệm đường máu mao mạch tại giường (một lần)[Nội trú]</t>
        </is>
      </c>
      <c r="F986" s="260" t="n">
        <v>1</v>
      </c>
      <c r="G986" s="261" t="n">
        <v>35000</v>
      </c>
      <c r="H986" s="93" t="n"/>
    </row>
    <row r="987" hidden="1" ht="15.75" customHeight="1" s="248">
      <c r="A987" s="92" t="n">
        <v>982</v>
      </c>
      <c r="B987" s="139" t="inlineStr">
        <is>
          <t>2026/05/28 16:00</t>
        </is>
      </c>
      <c r="C987" s="139" t="inlineStr">
        <is>
          <t>KHUẤT HÙNG</t>
        </is>
      </c>
      <c r="D987" s="139" t="inlineStr">
        <is>
          <t>01/01/1948</t>
        </is>
      </c>
      <c r="E987" s="139" t="inlineStr">
        <is>
          <t>Xét nghiệm đường máu mao mạch tại giường (một lần)[Nội trú]</t>
        </is>
      </c>
      <c r="F987" s="260" t="n">
        <v>1</v>
      </c>
      <c r="G987" s="261" t="n">
        <v>35000</v>
      </c>
      <c r="H987" s="93" t="n"/>
    </row>
    <row r="988" hidden="1" ht="15.75" customHeight="1" s="248">
      <c r="A988" s="92" t="n">
        <v>983</v>
      </c>
      <c r="B988" s="139" t="inlineStr">
        <is>
          <t>2026/05/28 16:00</t>
        </is>
      </c>
      <c r="C988" s="139" t="inlineStr">
        <is>
          <t>NGUYỄN THỊ BÉ TƯ</t>
        </is>
      </c>
      <c r="D988" s="139" t="inlineStr">
        <is>
          <t>01/01/1967</t>
        </is>
      </c>
      <c r="E988" s="139" t="inlineStr">
        <is>
          <t>Xét nghiệm đường máu mao mạch tại giường (một lần)[Nội trú]</t>
        </is>
      </c>
      <c r="F988" s="260" t="n">
        <v>1</v>
      </c>
      <c r="G988" s="261" t="n">
        <v>35000</v>
      </c>
      <c r="H988" s="93" t="n"/>
    </row>
    <row r="989" hidden="1" ht="15.75" customHeight="1" s="248">
      <c r="A989" s="92" t="n">
        <v>984</v>
      </c>
      <c r="B989" s="139" t="inlineStr">
        <is>
          <t>2026/05/28 16:00</t>
        </is>
      </c>
      <c r="C989" s="139" t="inlineStr">
        <is>
          <t>NGUYỄN THỊ ĐIỀN</t>
        </is>
      </c>
      <c r="D989" s="139" t="inlineStr">
        <is>
          <t>01/01/1963</t>
        </is>
      </c>
      <c r="E989" s="139" t="inlineStr">
        <is>
          <t>Xét nghiệm đường máu mao mạch tại giường (một lần)[Nội trú]</t>
        </is>
      </c>
      <c r="F989" s="260" t="n">
        <v>1</v>
      </c>
      <c r="G989" s="261" t="n">
        <v>35000</v>
      </c>
      <c r="H989" s="93" t="n"/>
    </row>
    <row r="990" hidden="1" ht="15.75" customHeight="1" s="248">
      <c r="A990" s="92" t="n">
        <v>985</v>
      </c>
      <c r="B990" s="139" t="inlineStr">
        <is>
          <t>2026/05/28 16:00</t>
        </is>
      </c>
      <c r="C990" s="139" t="inlineStr">
        <is>
          <t>PHAN TUẤN GIỚI</t>
        </is>
      </c>
      <c r="D990" s="139" t="inlineStr">
        <is>
          <t>15/02/1965</t>
        </is>
      </c>
      <c r="E990" s="139" t="inlineStr">
        <is>
          <t>Xét nghiệm đường máu mao mạch tại giường (một lần)[Nội trú]</t>
        </is>
      </c>
      <c r="F990" s="260" t="n">
        <v>1</v>
      </c>
      <c r="G990" s="261" t="n">
        <v>35000</v>
      </c>
      <c r="H990" s="93" t="n"/>
    </row>
    <row r="991" hidden="1" ht="15.75" customHeight="1" s="248">
      <c r="A991" s="92" t="n">
        <v>986</v>
      </c>
      <c r="B991" s="139" t="inlineStr">
        <is>
          <t>2026/05/28 16:00</t>
        </is>
      </c>
      <c r="C991" s="139" t="inlineStr">
        <is>
          <t>ÂU CẨM NHUNG</t>
        </is>
      </c>
      <c r="D991" s="139" t="inlineStr">
        <is>
          <t>04/07/1974</t>
        </is>
      </c>
      <c r="E991" s="139" t="inlineStr">
        <is>
          <t>Xét nghiệm đường máu mao mạch tại giường (một lần)[Nội trú]</t>
        </is>
      </c>
      <c r="F991" s="260" t="n">
        <v>1</v>
      </c>
      <c r="G991" s="261" t="n">
        <v>35000</v>
      </c>
      <c r="H991" s="93" t="n"/>
    </row>
    <row r="992" hidden="1" ht="15.75" customHeight="1" s="248">
      <c r="A992" s="92" t="n">
        <v>987</v>
      </c>
      <c r="B992" s="139" t="inlineStr">
        <is>
          <t>2026/05/29 05:00</t>
        </is>
      </c>
      <c r="C992" s="139" t="inlineStr">
        <is>
          <t>BÙI VĂN LONG</t>
        </is>
      </c>
      <c r="D992" s="139" t="inlineStr">
        <is>
          <t>21/10/1961</t>
        </is>
      </c>
      <c r="E992" s="139" t="inlineStr">
        <is>
          <t>Xét nghiệm đường máu mao mạch tại giường (một lần)[Nội trú]</t>
        </is>
      </c>
      <c r="F992" s="260" t="n">
        <v>1</v>
      </c>
      <c r="G992" s="261" t="n">
        <v>35000</v>
      </c>
      <c r="H992" s="93" t="n"/>
    </row>
    <row r="993" hidden="1" ht="15.75" customHeight="1" s="248">
      <c r="A993" s="92" t="n">
        <v>988</v>
      </c>
      <c r="B993" s="139" t="inlineStr">
        <is>
          <t>2026/05/29 05:00</t>
        </is>
      </c>
      <c r="C993" s="139" t="inlineStr">
        <is>
          <t>DƯƠNG VĂN CHIẾN</t>
        </is>
      </c>
      <c r="D993" s="139" t="inlineStr">
        <is>
          <t>01/01/1949</t>
        </is>
      </c>
      <c r="E993" s="139" t="inlineStr">
        <is>
          <t>Xét nghiệm đường máu mao mạch tại giường (một lần)[Nội trú]</t>
        </is>
      </c>
      <c r="F993" s="260" t="n">
        <v>1</v>
      </c>
      <c r="G993" s="261" t="n">
        <v>35000</v>
      </c>
      <c r="H993" s="93" t="n"/>
    </row>
    <row r="994" hidden="1" ht="15.75" customHeight="1" s="248">
      <c r="A994" s="92" t="n">
        <v>989</v>
      </c>
      <c r="B994" s="139" t="inlineStr">
        <is>
          <t>2026/05/29 05:00</t>
        </is>
      </c>
      <c r="C994" s="139" t="inlineStr">
        <is>
          <t>KHUẤT HÙNG</t>
        </is>
      </c>
      <c r="D994" s="139" t="inlineStr">
        <is>
          <t>01/01/1948</t>
        </is>
      </c>
      <c r="E994" s="139" t="inlineStr">
        <is>
          <t>Xét nghiệm đường máu mao mạch tại giường (một lần)[Nội trú]</t>
        </is>
      </c>
      <c r="F994" s="260" t="n">
        <v>1</v>
      </c>
      <c r="G994" s="261" t="n">
        <v>35000</v>
      </c>
      <c r="H994" s="93" t="n"/>
    </row>
    <row r="995" hidden="1" ht="15.75" customHeight="1" s="248">
      <c r="A995" s="92" t="n">
        <v>990</v>
      </c>
      <c r="B995" s="139" t="inlineStr">
        <is>
          <t>2026/05/29 05:00</t>
        </is>
      </c>
      <c r="C995" s="139" t="inlineStr">
        <is>
          <t>NGUYỄN THỊ BÉ TƯ</t>
        </is>
      </c>
      <c r="D995" s="139" t="inlineStr">
        <is>
          <t>01/01/1967</t>
        </is>
      </c>
      <c r="E995" s="139" t="inlineStr">
        <is>
          <t>Xét nghiệm đường máu mao mạch tại giường (một lần)[Nội trú]</t>
        </is>
      </c>
      <c r="F995" s="260" t="n">
        <v>1</v>
      </c>
      <c r="G995" s="261" t="n">
        <v>35000</v>
      </c>
      <c r="H995" s="93" t="n"/>
    </row>
    <row r="996" hidden="1" ht="15.75" customHeight="1" s="248">
      <c r="A996" s="92" t="n">
        <v>991</v>
      </c>
      <c r="B996" s="139" t="inlineStr">
        <is>
          <t>2026/05/29 05:00</t>
        </is>
      </c>
      <c r="C996" s="139" t="inlineStr">
        <is>
          <t>NGUYỄN THỊ ĐIỀN</t>
        </is>
      </c>
      <c r="D996" s="139" t="inlineStr">
        <is>
          <t>01/01/1963</t>
        </is>
      </c>
      <c r="E996" s="139" t="inlineStr">
        <is>
          <t>Xét nghiệm đường máu mao mạch tại giường (một lần)[Nội trú]</t>
        </is>
      </c>
      <c r="F996" s="260" t="n">
        <v>1</v>
      </c>
      <c r="G996" s="261" t="n">
        <v>35000</v>
      </c>
      <c r="H996" s="93" t="n"/>
    </row>
    <row r="997" hidden="1" ht="15.75" customHeight="1" s="248">
      <c r="A997" s="92" t="n">
        <v>992</v>
      </c>
      <c r="B997" s="139" t="inlineStr">
        <is>
          <t>2026/05/29 05:00</t>
        </is>
      </c>
      <c r="C997" s="139" t="inlineStr">
        <is>
          <t>PHAN TUẤN GIỚI</t>
        </is>
      </c>
      <c r="D997" s="139" t="inlineStr">
        <is>
          <t>15/02/1965</t>
        </is>
      </c>
      <c r="E997" s="139" t="inlineStr">
        <is>
          <t>Xét nghiệm đường máu mao mạch tại giường (một lần)[Nội trú]</t>
        </is>
      </c>
      <c r="F997" s="260" t="n">
        <v>1</v>
      </c>
      <c r="G997" s="261" t="n">
        <v>35000</v>
      </c>
      <c r="H997" s="93" t="n"/>
    </row>
    <row r="998" hidden="1" ht="15.75" customHeight="1" s="248">
      <c r="A998" s="92" t="n">
        <v>993</v>
      </c>
      <c r="B998" s="139" t="inlineStr">
        <is>
          <t>2026/05/29 05:00</t>
        </is>
      </c>
      <c r="C998" s="139" t="inlineStr">
        <is>
          <t>VŨ THỊ THÚY</t>
        </is>
      </c>
      <c r="D998" s="139" t="inlineStr">
        <is>
          <t>02/08/1965</t>
        </is>
      </c>
      <c r="E998" s="139" t="inlineStr">
        <is>
          <t>Xét nghiệm đường máu mao mạch tại giường (một lần)[Nội trú]</t>
        </is>
      </c>
      <c r="F998" s="260" t="n">
        <v>1</v>
      </c>
      <c r="G998" s="261" t="n">
        <v>35000</v>
      </c>
      <c r="H998" s="93" t="n"/>
    </row>
    <row r="999" hidden="1" ht="15.75" customHeight="1" s="248">
      <c r="A999" s="92" t="n">
        <v>994</v>
      </c>
      <c r="B999" s="139" t="inlineStr">
        <is>
          <t>2026/05/29 05:00</t>
        </is>
      </c>
      <c r="C999" s="139" t="inlineStr">
        <is>
          <t>ÂU CẨM NHUNG</t>
        </is>
      </c>
      <c r="D999" s="139" t="inlineStr">
        <is>
          <t>04/07/1974</t>
        </is>
      </c>
      <c r="E999" s="139" t="inlineStr">
        <is>
          <t>Xét nghiệm đường máu mao mạch tại giường (một lần)[Nội trú]</t>
        </is>
      </c>
      <c r="F999" s="260" t="n">
        <v>1</v>
      </c>
      <c r="G999" s="261" t="n">
        <v>35000</v>
      </c>
      <c r="H999" s="93" t="n"/>
    </row>
    <row r="1000" hidden="1" ht="15.75" customHeight="1" s="248">
      <c r="A1000" s="92" t="n">
        <v>995</v>
      </c>
      <c r="B1000" s="139" t="inlineStr">
        <is>
          <t>2026/05/29 16:00</t>
        </is>
      </c>
      <c r="C1000" s="139" t="inlineStr">
        <is>
          <t>BÙI VĂN LONG</t>
        </is>
      </c>
      <c r="D1000" s="139" t="inlineStr">
        <is>
          <t>21/10/1961</t>
        </is>
      </c>
      <c r="E1000" s="139" t="inlineStr">
        <is>
          <t>Xét nghiệm đường máu mao mạch tại giường (một lần)[Nội trú]</t>
        </is>
      </c>
      <c r="F1000" s="260" t="n">
        <v>1</v>
      </c>
      <c r="G1000" s="261" t="n">
        <v>35000</v>
      </c>
      <c r="H1000" s="93" t="n"/>
    </row>
    <row r="1001" hidden="1" ht="15.75" customHeight="1" s="248">
      <c r="A1001" s="92" t="n">
        <v>996</v>
      </c>
      <c r="B1001" s="139" t="inlineStr">
        <is>
          <t>2026/05/29 16:00</t>
        </is>
      </c>
      <c r="C1001" s="139" t="inlineStr">
        <is>
          <t>DƯƠNG VĂN CHIẾN</t>
        </is>
      </c>
      <c r="D1001" s="139" t="inlineStr">
        <is>
          <t>01/01/1949</t>
        </is>
      </c>
      <c r="E1001" s="139" t="inlineStr">
        <is>
          <t>Xét nghiệm đường máu mao mạch tại giường (một lần)[Nội trú]</t>
        </is>
      </c>
      <c r="F1001" s="260" t="n">
        <v>1</v>
      </c>
      <c r="G1001" s="261" t="n">
        <v>35000</v>
      </c>
      <c r="H1001" s="93" t="n"/>
    </row>
    <row r="1002" hidden="1" ht="15.75" customHeight="1" s="248">
      <c r="A1002" s="92" t="n">
        <v>997</v>
      </c>
      <c r="B1002" s="139" t="inlineStr">
        <is>
          <t>2026/05/29 16:00</t>
        </is>
      </c>
      <c r="C1002" s="139" t="inlineStr">
        <is>
          <t>KHUẤT HÙNG</t>
        </is>
      </c>
      <c r="D1002" s="139" t="inlineStr">
        <is>
          <t>01/01/1948</t>
        </is>
      </c>
      <c r="E1002" s="139" t="inlineStr">
        <is>
          <t>Xét nghiệm đường máu mao mạch tại giường (một lần)[Nội trú]</t>
        </is>
      </c>
      <c r="F1002" s="260" t="n">
        <v>1</v>
      </c>
      <c r="G1002" s="261" t="n">
        <v>35000</v>
      </c>
      <c r="H1002" s="93" t="n"/>
    </row>
    <row r="1003" hidden="1" ht="15.75" customHeight="1" s="248">
      <c r="A1003" s="92" t="n">
        <v>998</v>
      </c>
      <c r="B1003" s="139" t="inlineStr">
        <is>
          <t>2026/05/29 16:00</t>
        </is>
      </c>
      <c r="C1003" s="139" t="inlineStr">
        <is>
          <t>NGUYỄN THỊ BÉ TƯ</t>
        </is>
      </c>
      <c r="D1003" s="139" t="inlineStr">
        <is>
          <t>01/01/1967</t>
        </is>
      </c>
      <c r="E1003" s="139" t="inlineStr">
        <is>
          <t>Xét nghiệm đường máu mao mạch tại giường (một lần)[Nội trú]</t>
        </is>
      </c>
      <c r="F1003" s="260" t="n">
        <v>1</v>
      </c>
      <c r="G1003" s="261" t="n">
        <v>35000</v>
      </c>
      <c r="H1003" s="93" t="n"/>
    </row>
    <row r="1004" hidden="1" ht="15.75" customHeight="1" s="248">
      <c r="A1004" s="92" t="n">
        <v>999</v>
      </c>
      <c r="B1004" s="139" t="inlineStr">
        <is>
          <t>2026/05/29 16:00</t>
        </is>
      </c>
      <c r="C1004" s="139" t="inlineStr">
        <is>
          <t>NGUYỄN THỊ ĐIỀN</t>
        </is>
      </c>
      <c r="D1004" s="139" t="inlineStr">
        <is>
          <t>01/01/1963</t>
        </is>
      </c>
      <c r="E1004" s="139" t="inlineStr">
        <is>
          <t>Xét nghiệm đường máu mao mạch tại giường (một lần)[Nội trú]</t>
        </is>
      </c>
      <c r="F1004" s="260" t="n">
        <v>1</v>
      </c>
      <c r="G1004" s="261" t="n">
        <v>35000</v>
      </c>
      <c r="H1004" s="93" t="n"/>
    </row>
    <row r="1005" hidden="1" ht="15.75" customHeight="1" s="248">
      <c r="A1005" s="92" t="n">
        <v>1000</v>
      </c>
      <c r="B1005" s="139" t="inlineStr">
        <is>
          <t>2026/05/29 16:00</t>
        </is>
      </c>
      <c r="C1005" s="139" t="inlineStr">
        <is>
          <t>PHAN TUẤN GIỚI</t>
        </is>
      </c>
      <c r="D1005" s="139" t="inlineStr">
        <is>
          <t>15/02/1965</t>
        </is>
      </c>
      <c r="E1005" s="139" t="inlineStr">
        <is>
          <t>Xét nghiệm đường máu mao mạch tại giường (một lần)[Nội trú]</t>
        </is>
      </c>
      <c r="F1005" s="260" t="n">
        <v>1</v>
      </c>
      <c r="G1005" s="261" t="n">
        <v>35000</v>
      </c>
      <c r="H1005" s="93" t="n"/>
    </row>
    <row r="1006" hidden="1" ht="15.75" customHeight="1" s="248">
      <c r="A1006" s="92" t="n">
        <v>1001</v>
      </c>
      <c r="B1006" s="139" t="inlineStr">
        <is>
          <t>2026/05/29 16:00</t>
        </is>
      </c>
      <c r="C1006" s="139" t="inlineStr">
        <is>
          <t>ÂU CẨM NHUNG</t>
        </is>
      </c>
      <c r="D1006" s="139" t="inlineStr">
        <is>
          <t>04/07/1974</t>
        </is>
      </c>
      <c r="E1006" s="139" t="inlineStr">
        <is>
          <t>Xét nghiệm đường máu mao mạch tại giường (một lần)[Nội trú]</t>
        </is>
      </c>
      <c r="F1006" s="260" t="n">
        <v>1</v>
      </c>
      <c r="G1006" s="261" t="n">
        <v>35000</v>
      </c>
      <c r="H1006" s="93" t="n"/>
    </row>
    <row r="1007" hidden="1" ht="15.75" customHeight="1" s="248">
      <c r="A1007" s="92" t="n">
        <v>1002</v>
      </c>
      <c r="B1007" s="139" t="inlineStr">
        <is>
          <t>2026/05/30 05:00</t>
        </is>
      </c>
      <c r="C1007" s="139" t="inlineStr">
        <is>
          <t>NGUYỄN THỊ BÉ TƯ</t>
        </is>
      </c>
      <c r="D1007" s="139" t="inlineStr">
        <is>
          <t>01/01/1967</t>
        </is>
      </c>
      <c r="E1007" s="139" t="inlineStr">
        <is>
          <t>Xét nghiệm đường máu mao mạch tại giường (một lần)[Nội trú]</t>
        </is>
      </c>
      <c r="F1007" s="260" t="n">
        <v>1</v>
      </c>
      <c r="G1007" s="261" t="n">
        <v>16000</v>
      </c>
      <c r="H1007" s="93" t="n"/>
    </row>
    <row r="1008" hidden="1" ht="15.75" customHeight="1" s="248">
      <c r="A1008" s="92" t="n">
        <v>1003</v>
      </c>
      <c r="B1008" s="139" t="inlineStr">
        <is>
          <t>2026/05/30 05:00</t>
        </is>
      </c>
      <c r="C1008" s="139" t="inlineStr">
        <is>
          <t>PHAN TUẤN GIỚI</t>
        </is>
      </c>
      <c r="D1008" s="139" t="inlineStr">
        <is>
          <t>15/02/1965</t>
        </is>
      </c>
      <c r="E1008" s="139" t="inlineStr">
        <is>
          <t>Xét nghiệm đường máu mao mạch tại giường (một lần)[Nội trú]</t>
        </is>
      </c>
      <c r="F1008" s="260" t="n">
        <v>1</v>
      </c>
      <c r="G1008" s="261" t="n">
        <v>16000</v>
      </c>
      <c r="H1008" s="93" t="n"/>
    </row>
    <row r="1009" hidden="1" ht="15.75" customHeight="1" s="248">
      <c r="A1009" s="92" t="n">
        <v>1004</v>
      </c>
      <c r="B1009" s="139" t="inlineStr">
        <is>
          <t>2026/05/30 05:00</t>
        </is>
      </c>
      <c r="C1009" s="139" t="inlineStr">
        <is>
          <t>BÙI VĂN LONG</t>
        </is>
      </c>
      <c r="D1009" s="139" t="inlineStr">
        <is>
          <t>21/10/1961</t>
        </is>
      </c>
      <c r="E1009" s="139" t="inlineStr">
        <is>
          <t>Xét nghiệm đường máu mao mạch tại giường (một lần)[Nội trú]</t>
        </is>
      </c>
      <c r="F1009" s="260" t="n">
        <v>1</v>
      </c>
      <c r="G1009" s="261" t="n">
        <v>16000</v>
      </c>
      <c r="H1009" s="93" t="n"/>
    </row>
    <row r="1010" hidden="1" ht="15.75" customHeight="1" s="248">
      <c r="A1010" s="92" t="n">
        <v>1005</v>
      </c>
      <c r="B1010" s="139" t="inlineStr">
        <is>
          <t>2026/05/30 05:00</t>
        </is>
      </c>
      <c r="C1010" s="139" t="inlineStr">
        <is>
          <t>NGUYỄN THỊ ĐIỀN</t>
        </is>
      </c>
      <c r="D1010" s="139" t="inlineStr">
        <is>
          <t>01/01/1963</t>
        </is>
      </c>
      <c r="E1010" s="139" t="inlineStr">
        <is>
          <t>Xét nghiệm đường máu mao mạch tại giường (một lần)[Nội trú]</t>
        </is>
      </c>
      <c r="F1010" s="260" t="n">
        <v>1</v>
      </c>
      <c r="G1010" s="261" t="n">
        <v>16000</v>
      </c>
      <c r="H1010" s="93" t="n"/>
    </row>
    <row r="1011" hidden="1" ht="15.75" customHeight="1" s="248">
      <c r="A1011" s="92" t="n">
        <v>1006</v>
      </c>
      <c r="B1011" s="139" t="inlineStr">
        <is>
          <t>2026/05/30 11:00</t>
        </is>
      </c>
      <c r="C1011" s="139" t="inlineStr">
        <is>
          <t>NGUYỄN THỊ BÉ TƯ</t>
        </is>
      </c>
      <c r="D1011" s="139" t="inlineStr">
        <is>
          <t>01/01/1967</t>
        </is>
      </c>
      <c r="E1011" s="139" t="inlineStr">
        <is>
          <t>Xét nghiệm đường máu mao mạch tại giường (một lần)[Nội trú]</t>
        </is>
      </c>
      <c r="F1011" s="260" t="n">
        <v>1</v>
      </c>
      <c r="G1011" s="261" t="n">
        <v>35000</v>
      </c>
      <c r="H1011" s="93" t="n"/>
    </row>
    <row r="1012" hidden="1" ht="15.75" customHeight="1" s="248">
      <c r="A1012" s="92" t="n">
        <v>1007</v>
      </c>
      <c r="B1012" s="139" t="inlineStr">
        <is>
          <t>2026/05/30 16:00</t>
        </is>
      </c>
      <c r="C1012" s="139" t="inlineStr">
        <is>
          <t>BÙI VĂN LONG</t>
        </is>
      </c>
      <c r="D1012" s="139" t="inlineStr">
        <is>
          <t>21/10/1961</t>
        </is>
      </c>
      <c r="E1012" s="139" t="inlineStr">
        <is>
          <t>Xét nghiệm đường máu mao mạch tại giường (một lần)[Nội trú]</t>
        </is>
      </c>
      <c r="F1012" s="260" t="n">
        <v>1</v>
      </c>
      <c r="G1012" s="261" t="n">
        <v>35000</v>
      </c>
      <c r="H1012" s="93" t="n"/>
    </row>
    <row r="1013" hidden="1" ht="15.75" customHeight="1" s="248">
      <c r="A1013" s="92" t="n">
        <v>1008</v>
      </c>
      <c r="B1013" s="139" t="inlineStr">
        <is>
          <t>2026/05/30 16:00</t>
        </is>
      </c>
      <c r="C1013" s="139" t="inlineStr">
        <is>
          <t>NGUYỄN THỊ BÉ TƯ</t>
        </is>
      </c>
      <c r="D1013" s="139" t="inlineStr">
        <is>
          <t>01/01/1967</t>
        </is>
      </c>
      <c r="E1013" s="139" t="inlineStr">
        <is>
          <t>Xét nghiệm đường máu mao mạch tại giường (một lần)[Nội trú]</t>
        </is>
      </c>
      <c r="F1013" s="260" t="n">
        <v>1</v>
      </c>
      <c r="G1013" s="261" t="n">
        <v>35000</v>
      </c>
      <c r="H1013" s="93" t="n"/>
    </row>
    <row r="1014" hidden="1" ht="15.75" customHeight="1" s="248">
      <c r="A1014" s="92" t="n">
        <v>1009</v>
      </c>
      <c r="B1014" s="139" t="inlineStr">
        <is>
          <t>2026/05/30 16:00</t>
        </is>
      </c>
      <c r="C1014" s="139" t="inlineStr">
        <is>
          <t>NGUYỄN THỊ ĐIỀN</t>
        </is>
      </c>
      <c r="D1014" s="139" t="inlineStr">
        <is>
          <t>01/01/1963</t>
        </is>
      </c>
      <c r="E1014" s="139" t="inlineStr">
        <is>
          <t>Xét nghiệm đường máu mao mạch tại giường (một lần)[Nội trú]</t>
        </is>
      </c>
      <c r="F1014" s="260" t="n">
        <v>1</v>
      </c>
      <c r="G1014" s="261" t="n">
        <v>35000</v>
      </c>
      <c r="H1014" s="93" t="n"/>
    </row>
    <row r="1015" hidden="1" ht="15.75" customHeight="1" s="248">
      <c r="A1015" s="92" t="n">
        <v>1010</v>
      </c>
      <c r="B1015" s="139" t="inlineStr">
        <is>
          <t>2026/05/30 16:00</t>
        </is>
      </c>
      <c r="C1015" s="139" t="inlineStr">
        <is>
          <t>PHAN TUẤN GIỚI</t>
        </is>
      </c>
      <c r="D1015" s="139" t="inlineStr">
        <is>
          <t>15/02/1965</t>
        </is>
      </c>
      <c r="E1015" s="139" t="inlineStr">
        <is>
          <t>Xét nghiệm đường máu mao mạch tại giường (một lần)[Nội trú]</t>
        </is>
      </c>
      <c r="F1015" s="260" t="n">
        <v>1</v>
      </c>
      <c r="G1015" s="261" t="n">
        <v>35000</v>
      </c>
      <c r="H1015" s="93" t="n"/>
    </row>
    <row r="1016" hidden="1" ht="15.75" customHeight="1" s="248">
      <c r="A1016" s="92" t="n">
        <v>1011</v>
      </c>
      <c r="B1016" s="139" t="inlineStr">
        <is>
          <t>2026/05/31 05:00</t>
        </is>
      </c>
      <c r="C1016" s="139" t="inlineStr">
        <is>
          <t>NGUYỄN THỊ BÉ TƯ</t>
        </is>
      </c>
      <c r="D1016" s="139" t="inlineStr">
        <is>
          <t>01/01/1967</t>
        </is>
      </c>
      <c r="E1016" s="139" t="inlineStr">
        <is>
          <t>Xét nghiệm đường máu mao mạch tại giường (một lần)[Nội trú]</t>
        </is>
      </c>
      <c r="F1016" s="260" t="n">
        <v>1</v>
      </c>
      <c r="G1016" s="261" t="n">
        <v>16000</v>
      </c>
      <c r="H1016" s="93" t="n"/>
    </row>
    <row r="1017" hidden="1" ht="15.75" customHeight="1" s="248">
      <c r="A1017" s="92" t="n">
        <v>1012</v>
      </c>
      <c r="B1017" s="139" t="inlineStr">
        <is>
          <t>2026/05/31 05:00</t>
        </is>
      </c>
      <c r="C1017" s="139" t="inlineStr">
        <is>
          <t>PHAN TUẤN GIỚI</t>
        </is>
      </c>
      <c r="D1017" s="139" t="inlineStr">
        <is>
          <t>15/02/1965</t>
        </is>
      </c>
      <c r="E1017" s="139" t="inlineStr">
        <is>
          <t>Xét nghiệm đường máu mao mạch tại giường (một lần)[Nội trú]</t>
        </is>
      </c>
      <c r="F1017" s="260" t="n">
        <v>1</v>
      </c>
      <c r="G1017" s="261" t="n">
        <v>16000</v>
      </c>
      <c r="H1017" s="93" t="n"/>
    </row>
    <row r="1018" hidden="1" ht="15.75" customHeight="1" s="248">
      <c r="A1018" s="92" t="n">
        <v>1013</v>
      </c>
      <c r="B1018" s="139" t="inlineStr">
        <is>
          <t>2026/05/31 05:00</t>
        </is>
      </c>
      <c r="C1018" s="139" t="inlineStr">
        <is>
          <t>VÕ THỊ HỒNG LIÊN</t>
        </is>
      </c>
      <c r="D1018" s="139" t="inlineStr">
        <is>
          <t>16/12/1948</t>
        </is>
      </c>
      <c r="E1018" s="139" t="inlineStr">
        <is>
          <t>Xét nghiệm đường máu mao mạch tại giường (một lần)[Nội trú]</t>
        </is>
      </c>
      <c r="F1018" s="260" t="n">
        <v>1</v>
      </c>
      <c r="G1018" s="261" t="n">
        <v>35000</v>
      </c>
      <c r="H1018" s="93" t="n"/>
    </row>
    <row r="1019" hidden="1" ht="15.75" customHeight="1" s="248">
      <c r="A1019" s="92" t="n">
        <v>1014</v>
      </c>
      <c r="B1019" s="139" t="inlineStr">
        <is>
          <t>2026/05/31 05:00</t>
        </is>
      </c>
      <c r="C1019" s="139" t="inlineStr">
        <is>
          <t>VŨ THỊ THÚY</t>
        </is>
      </c>
      <c r="D1019" s="139" t="inlineStr">
        <is>
          <t>02/08/1965</t>
        </is>
      </c>
      <c r="E1019" s="139" t="inlineStr">
        <is>
          <t>Xét nghiệm đường máu mao mạch tại giường (một lần)[Nội trú]</t>
        </is>
      </c>
      <c r="F1019" s="260" t="n">
        <v>1</v>
      </c>
      <c r="G1019" s="261" t="n">
        <v>35000</v>
      </c>
      <c r="H1019" s="93" t="n"/>
    </row>
    <row r="1020" hidden="1" ht="15.75" customHeight="1" s="248">
      <c r="A1020" s="92" t="n">
        <v>1015</v>
      </c>
      <c r="B1020" s="139" t="inlineStr">
        <is>
          <t>2026/05/31 05:00</t>
        </is>
      </c>
      <c r="C1020" s="139" t="inlineStr">
        <is>
          <t>BÙI VĂN LONG</t>
        </is>
      </c>
      <c r="D1020" s="139" t="inlineStr">
        <is>
          <t>21/10/1961</t>
        </is>
      </c>
      <c r="E1020" s="139" t="inlineStr">
        <is>
          <t>Xét nghiệm đường máu mao mạch tại giường (một lần)[Nội trú]</t>
        </is>
      </c>
      <c r="F1020" s="260" t="n">
        <v>1</v>
      </c>
      <c r="G1020" s="261" t="n">
        <v>16000</v>
      </c>
      <c r="H1020" s="93" t="n"/>
    </row>
    <row r="1021" hidden="1" ht="15.75" customHeight="1" s="248">
      <c r="A1021" s="92" t="n">
        <v>1016</v>
      </c>
      <c r="B1021" s="139" t="inlineStr">
        <is>
          <t>2026/05/31 05:00</t>
        </is>
      </c>
      <c r="C1021" s="139" t="inlineStr">
        <is>
          <t>NGUYỄN THỊ ĐIỀN</t>
        </is>
      </c>
      <c r="D1021" s="139" t="inlineStr">
        <is>
          <t>01/01/1963</t>
        </is>
      </c>
      <c r="E1021" s="139" t="inlineStr">
        <is>
          <t>Xét nghiệm đường máu mao mạch tại giường (một lần)[Nội trú]</t>
        </is>
      </c>
      <c r="F1021" s="260" t="n">
        <v>1</v>
      </c>
      <c r="G1021" s="261" t="n">
        <v>16000</v>
      </c>
      <c r="H1021" s="93" t="n"/>
    </row>
    <row r="1022" hidden="1" ht="15.75" customHeight="1" s="248">
      <c r="A1022" s="92" t="n">
        <v>1017</v>
      </c>
      <c r="B1022" s="139" t="inlineStr">
        <is>
          <t>2026/05/31 11:00</t>
        </is>
      </c>
      <c r="C1022" s="139" t="inlineStr">
        <is>
          <t>NGUYỄN THỊ BÉ TƯ</t>
        </is>
      </c>
      <c r="D1022" s="139" t="inlineStr">
        <is>
          <t>01/01/1967</t>
        </is>
      </c>
      <c r="E1022" s="139" t="inlineStr">
        <is>
          <t>Xét nghiệm đường máu mao mạch tại giường (một lần)[Nội trú]</t>
        </is>
      </c>
      <c r="F1022" s="260" t="n">
        <v>1</v>
      </c>
      <c r="G1022" s="261" t="n">
        <v>35000</v>
      </c>
      <c r="H1022" s="93" t="n"/>
    </row>
    <row r="1023" hidden="1" ht="15.75" customHeight="1" s="248">
      <c r="A1023" s="92" t="n">
        <v>1018</v>
      </c>
      <c r="B1023" s="139" t="inlineStr">
        <is>
          <t>2026/05/31 16:00</t>
        </is>
      </c>
      <c r="C1023" s="139" t="inlineStr">
        <is>
          <t>BÙI VĂN LONG</t>
        </is>
      </c>
      <c r="D1023" s="139" t="inlineStr">
        <is>
          <t>21/10/1961</t>
        </is>
      </c>
      <c r="E1023" s="139" t="inlineStr">
        <is>
          <t>Xét nghiệm đường máu mao mạch tại giường (một lần)[Nội trú]</t>
        </is>
      </c>
      <c r="F1023" s="260" t="n">
        <v>1</v>
      </c>
      <c r="G1023" s="261" t="n">
        <v>35000</v>
      </c>
      <c r="H1023" s="93" t="n"/>
    </row>
    <row r="1024" hidden="1" ht="15.75" customHeight="1" s="248">
      <c r="A1024" s="92" t="n">
        <v>1019</v>
      </c>
      <c r="B1024" s="139" t="inlineStr">
        <is>
          <t>2026/05/31 16:00</t>
        </is>
      </c>
      <c r="C1024" s="139" t="inlineStr">
        <is>
          <t>DƯƠNG VĂN CHIẾN</t>
        </is>
      </c>
      <c r="D1024" s="139" t="inlineStr">
        <is>
          <t>01/01/1949</t>
        </is>
      </c>
      <c r="E1024" s="139" t="inlineStr">
        <is>
          <t>Xét nghiệm đường máu mao mạch tại giường (một lần)[Nội trú]</t>
        </is>
      </c>
      <c r="F1024" s="260" t="n">
        <v>1</v>
      </c>
      <c r="G1024" s="261" t="n">
        <v>35000</v>
      </c>
      <c r="H1024" s="93" t="n"/>
    </row>
    <row r="1025" hidden="1" ht="15.75" customHeight="1" s="248">
      <c r="A1025" s="92" t="n">
        <v>1020</v>
      </c>
      <c r="B1025" s="139" t="inlineStr">
        <is>
          <t>2026/05/31 16:00</t>
        </is>
      </c>
      <c r="C1025" s="139" t="inlineStr">
        <is>
          <t>KHUẤT HÙNG</t>
        </is>
      </c>
      <c r="D1025" s="139" t="inlineStr">
        <is>
          <t>01/01/1948</t>
        </is>
      </c>
      <c r="E1025" s="139" t="inlineStr">
        <is>
          <t>Xét nghiệm đường máu mao mạch tại giường (một lần)[Nội trú]</t>
        </is>
      </c>
      <c r="F1025" s="260" t="n">
        <v>1</v>
      </c>
      <c r="G1025" s="261" t="n">
        <v>35000</v>
      </c>
      <c r="H1025" s="93" t="n"/>
    </row>
    <row r="1026" hidden="1" ht="15.75" customHeight="1" s="248">
      <c r="A1026" s="92" t="n">
        <v>1021</v>
      </c>
      <c r="B1026" s="139" t="inlineStr">
        <is>
          <t>2026/05/31 16:00</t>
        </is>
      </c>
      <c r="C1026" s="139" t="inlineStr">
        <is>
          <t>NGUYỄN THỊ BÉ TƯ</t>
        </is>
      </c>
      <c r="D1026" s="139" t="inlineStr">
        <is>
          <t>01/01/1967</t>
        </is>
      </c>
      <c r="E1026" s="139" t="inlineStr">
        <is>
          <t>Xét nghiệm đường máu mao mạch tại giường (một lần)[Nội trú]</t>
        </is>
      </c>
      <c r="F1026" s="260" t="n">
        <v>1</v>
      </c>
      <c r="G1026" s="261" t="n">
        <v>35000</v>
      </c>
      <c r="H1026" s="93" t="n"/>
    </row>
    <row r="1027" hidden="1" ht="15.75" customHeight="1" s="248">
      <c r="A1027" s="92" t="n">
        <v>1022</v>
      </c>
      <c r="B1027" s="139" t="inlineStr">
        <is>
          <t>2026/05/31 16:00</t>
        </is>
      </c>
      <c r="C1027" s="139" t="inlineStr">
        <is>
          <t>NGUYỄN THỊ ĐIỀN</t>
        </is>
      </c>
      <c r="D1027" s="139" t="inlineStr">
        <is>
          <t>01/01/1963</t>
        </is>
      </c>
      <c r="E1027" s="139" t="inlineStr">
        <is>
          <t>Xét nghiệm đường máu mao mạch tại giường (một lần)[Nội trú]</t>
        </is>
      </c>
      <c r="F1027" s="260" t="n">
        <v>1</v>
      </c>
      <c r="G1027" s="261" t="n">
        <v>35000</v>
      </c>
      <c r="H1027" s="93" t="n"/>
    </row>
    <row r="1028" hidden="1" ht="15.75" customHeight="1" s="248">
      <c r="A1028" s="92" t="n">
        <v>1023</v>
      </c>
      <c r="B1028" s="139" t="inlineStr">
        <is>
          <t>2026/05/31 16:00</t>
        </is>
      </c>
      <c r="C1028" s="139" t="inlineStr">
        <is>
          <t>PHAN TUẤN GIỚI</t>
        </is>
      </c>
      <c r="D1028" s="139" t="inlineStr">
        <is>
          <t>15/02/1965</t>
        </is>
      </c>
      <c r="E1028" s="139" t="inlineStr">
        <is>
          <t>Xét nghiệm đường máu mao mạch tại giường (một lần)[Nội trú]</t>
        </is>
      </c>
      <c r="F1028" s="260" t="n">
        <v>1</v>
      </c>
      <c r="G1028" s="261" t="n">
        <v>35000</v>
      </c>
      <c r="H1028" s="93" t="n"/>
    </row>
    <row r="1029" hidden="1" ht="15.75" customHeight="1" s="248">
      <c r="A1029" s="92" t="n">
        <v>1024</v>
      </c>
      <c r="B1029" s="139" t="inlineStr">
        <is>
          <t>2026/05/31 16:00</t>
        </is>
      </c>
      <c r="C1029" s="139" t="inlineStr">
        <is>
          <t>VÕ THỊ HỒNG LIÊN</t>
        </is>
      </c>
      <c r="D1029" s="139" t="inlineStr">
        <is>
          <t>16/12/1948</t>
        </is>
      </c>
      <c r="E1029" s="139" t="inlineStr">
        <is>
          <t>Xét nghiệm đường máu mao mạch tại giường (một lần)[Nội trú]</t>
        </is>
      </c>
      <c r="F1029" s="260" t="n">
        <v>1</v>
      </c>
      <c r="G1029" s="261" t="n">
        <v>35000</v>
      </c>
      <c r="H1029" s="93" t="n"/>
    </row>
    <row r="1030" hidden="1" ht="15.75" customHeight="1" s="248">
      <c r="A1030" s="92" t="n">
        <v>1025</v>
      </c>
      <c r="B1030" s="139" t="inlineStr">
        <is>
          <t>2026/06/01 05:00</t>
        </is>
      </c>
      <c r="C1030" s="139" t="inlineStr">
        <is>
          <t>BÙI VĂN LONG</t>
        </is>
      </c>
      <c r="D1030" s="139" t="inlineStr">
        <is>
          <t>21/10/1961</t>
        </is>
      </c>
      <c r="E1030" s="139" t="inlineStr">
        <is>
          <t>Xét nghiệm đường máu mao mạch tại giường (một lần)[Nội trú]</t>
        </is>
      </c>
      <c r="F1030" s="260" t="n">
        <v>1</v>
      </c>
      <c r="G1030" s="261" t="n">
        <v>35000</v>
      </c>
      <c r="H1030" s="93" t="n"/>
    </row>
    <row r="1031" hidden="1" ht="15.75" customHeight="1" s="248">
      <c r="A1031" s="92" t="n">
        <v>1026</v>
      </c>
      <c r="B1031" s="139" t="inlineStr">
        <is>
          <t>2026/06/01 05:00</t>
        </is>
      </c>
      <c r="C1031" s="139" t="inlineStr">
        <is>
          <t>DƯƠNG VĂN CHIẾN</t>
        </is>
      </c>
      <c r="D1031" s="139" t="inlineStr">
        <is>
          <t>01/01/1949</t>
        </is>
      </c>
      <c r="E1031" s="139" t="inlineStr">
        <is>
          <t>Xét nghiệm đường máu mao mạch tại giường (một lần)[Nội trú]</t>
        </is>
      </c>
      <c r="F1031" s="260" t="n">
        <v>1</v>
      </c>
      <c r="G1031" s="261" t="n">
        <v>35000</v>
      </c>
      <c r="H1031" s="93" t="n"/>
    </row>
    <row r="1032" hidden="1" ht="15.75" customHeight="1" s="248">
      <c r="A1032" s="92" t="n">
        <v>1027</v>
      </c>
      <c r="B1032" s="139" t="inlineStr">
        <is>
          <t>2026/06/01 05:00</t>
        </is>
      </c>
      <c r="C1032" s="139" t="inlineStr">
        <is>
          <t>NGUYỄN THỊ BÉ TƯ</t>
        </is>
      </c>
      <c r="D1032" s="139" t="inlineStr">
        <is>
          <t>01/01/1967</t>
        </is>
      </c>
      <c r="E1032" s="139" t="inlineStr">
        <is>
          <t>Xét nghiệm đường máu mao mạch tại giường (một lần)[Nội trú]</t>
        </is>
      </c>
      <c r="F1032" s="260" t="n">
        <v>1</v>
      </c>
      <c r="G1032" s="261" t="n">
        <v>35000</v>
      </c>
      <c r="H1032" s="93" t="n"/>
    </row>
    <row r="1033" hidden="1" ht="15.75" customHeight="1" s="248">
      <c r="A1033" s="92" t="n">
        <v>1028</v>
      </c>
      <c r="B1033" s="139" t="inlineStr">
        <is>
          <t>2026/06/01 05:00</t>
        </is>
      </c>
      <c r="C1033" s="139" t="inlineStr">
        <is>
          <t>NGUYỄN THỊ ĐIỀN</t>
        </is>
      </c>
      <c r="D1033" s="139" t="inlineStr">
        <is>
          <t>01/01/1963</t>
        </is>
      </c>
      <c r="E1033" s="139" t="inlineStr">
        <is>
          <t>Xét nghiệm đường máu mao mạch tại giường (một lần)[Nội trú]</t>
        </is>
      </c>
      <c r="F1033" s="260" t="n">
        <v>1</v>
      </c>
      <c r="G1033" s="261" t="n">
        <v>35000</v>
      </c>
      <c r="H1033" s="93" t="n"/>
    </row>
    <row r="1034" hidden="1" ht="15.75" customHeight="1" s="248">
      <c r="A1034" s="92" t="n">
        <v>1029</v>
      </c>
      <c r="B1034" s="139" t="inlineStr">
        <is>
          <t>2026/06/01 05:00</t>
        </is>
      </c>
      <c r="C1034" s="139" t="inlineStr">
        <is>
          <t>PHAN TUẤN GIỚI</t>
        </is>
      </c>
      <c r="D1034" s="139" t="inlineStr">
        <is>
          <t>15/02/1965</t>
        </is>
      </c>
      <c r="E1034" s="139" t="inlineStr">
        <is>
          <t>Xét nghiệm đường máu mao mạch tại giường (một lần)[Nội trú]</t>
        </is>
      </c>
      <c r="F1034" s="260" t="n">
        <v>1</v>
      </c>
      <c r="G1034" s="261" t="n">
        <v>35000</v>
      </c>
      <c r="H1034" s="93" t="n"/>
    </row>
    <row r="1035" hidden="1" ht="15.75" customHeight="1" s="248">
      <c r="A1035" s="92" t="n">
        <v>1030</v>
      </c>
      <c r="B1035" s="139" t="inlineStr">
        <is>
          <t>2026/06/01 05:00</t>
        </is>
      </c>
      <c r="C1035" s="139" t="inlineStr">
        <is>
          <t>VÕ THỊ HỒNG LIÊN</t>
        </is>
      </c>
      <c r="D1035" s="139" t="inlineStr">
        <is>
          <t>16/12/1948</t>
        </is>
      </c>
      <c r="E1035" s="139" t="inlineStr">
        <is>
          <t>Xét nghiệm đường máu mao mạch tại giường (một lần)[Nội trú]</t>
        </is>
      </c>
      <c r="F1035" s="260" t="n">
        <v>1</v>
      </c>
      <c r="G1035" s="261" t="n">
        <v>35000</v>
      </c>
      <c r="H1035" s="93" t="n"/>
    </row>
    <row r="1036" hidden="1" ht="15.75" customHeight="1" s="248">
      <c r="A1036" s="92" t="n">
        <v>1031</v>
      </c>
      <c r="B1036" s="139" t="inlineStr">
        <is>
          <t>2026/06/01 05:00</t>
        </is>
      </c>
      <c r="C1036" s="139" t="inlineStr">
        <is>
          <t>VŨ THỊ THÚY</t>
        </is>
      </c>
      <c r="D1036" s="139" t="inlineStr">
        <is>
          <t>02/08/1965</t>
        </is>
      </c>
      <c r="E1036" s="139" t="inlineStr">
        <is>
          <t>Xét nghiệm đường máu mao mạch tại giường (một lần)[Nội trú]</t>
        </is>
      </c>
      <c r="F1036" s="260" t="n">
        <v>1</v>
      </c>
      <c r="G1036" s="261" t="n">
        <v>35000</v>
      </c>
      <c r="H1036" s="93" t="n"/>
    </row>
    <row r="1037" hidden="1" ht="15.75" customHeight="1" s="248">
      <c r="A1037" s="92" t="n">
        <v>1032</v>
      </c>
      <c r="B1037" s="139" t="inlineStr">
        <is>
          <t>2026/06/01 16:00</t>
        </is>
      </c>
      <c r="C1037" s="139" t="inlineStr">
        <is>
          <t>DƯƠNG VĂN CHIẾN</t>
        </is>
      </c>
      <c r="D1037" s="139" t="inlineStr">
        <is>
          <t>01/01/1949</t>
        </is>
      </c>
      <c r="E1037" s="139" t="inlineStr">
        <is>
          <t>Xét nghiệm đường máu mao mạch tại giường (một lần)[Nội trú]</t>
        </is>
      </c>
      <c r="F1037" s="260" t="n">
        <v>1</v>
      </c>
      <c r="G1037" s="261" t="n">
        <v>35000</v>
      </c>
      <c r="H1037" s="93" t="n"/>
    </row>
    <row r="1038" hidden="1" ht="15.75" customHeight="1" s="248">
      <c r="A1038" s="92" t="n">
        <v>1033</v>
      </c>
      <c r="B1038" s="139" t="inlineStr">
        <is>
          <t>2026/06/01 16:00</t>
        </is>
      </c>
      <c r="C1038" s="139" t="inlineStr">
        <is>
          <t>NGUYỄN THỊ THỦY</t>
        </is>
      </c>
      <c r="D1038" s="139" t="inlineStr">
        <is>
          <t>01/01/1963</t>
        </is>
      </c>
      <c r="E1038" s="139" t="inlineStr">
        <is>
          <t>Xét nghiệm đường máu mao mạch tại giường (một lần)[Nội trú]</t>
        </is>
      </c>
      <c r="F1038" s="260" t="n">
        <v>1</v>
      </c>
      <c r="G1038" s="261" t="n">
        <v>35000</v>
      </c>
      <c r="H1038" s="93" t="n"/>
    </row>
    <row r="1039" hidden="1" ht="15.75" customHeight="1" s="248">
      <c r="A1039" s="92" t="n">
        <v>1034</v>
      </c>
      <c r="B1039" s="139" t="inlineStr">
        <is>
          <t>2026/06/01 16:00</t>
        </is>
      </c>
      <c r="C1039" s="139" t="inlineStr">
        <is>
          <t>NGUYỄN VĂN PHỤNG</t>
        </is>
      </c>
      <c r="D1039" s="139" t="inlineStr">
        <is>
          <t>01/01/1938</t>
        </is>
      </c>
      <c r="E1039" s="139" t="inlineStr">
        <is>
          <t>Xét nghiệm đường máu mao mạch tại giường (một lần)[Nội trú]</t>
        </is>
      </c>
      <c r="F1039" s="260" t="n">
        <v>1</v>
      </c>
      <c r="G1039" s="261" t="n">
        <v>35000</v>
      </c>
      <c r="H1039" s="93" t="n"/>
    </row>
    <row r="1040" hidden="1" ht="15.75" customHeight="1" s="248">
      <c r="A1040" s="92" t="n">
        <v>1035</v>
      </c>
      <c r="B1040" s="139" t="inlineStr">
        <is>
          <t>2026/06/01 16:00</t>
        </is>
      </c>
      <c r="C1040" s="139" t="inlineStr">
        <is>
          <t>VÕ THỊ HỒNG LIÊN</t>
        </is>
      </c>
      <c r="D1040" s="139" t="inlineStr">
        <is>
          <t>16/12/1948</t>
        </is>
      </c>
      <c r="E1040" s="139" t="inlineStr">
        <is>
          <t>Xét nghiệm đường máu mao mạch tại giường (một lần)[Nội trú]</t>
        </is>
      </c>
      <c r="F1040" s="260" t="n">
        <v>1</v>
      </c>
      <c r="G1040" s="261" t="n">
        <v>35000</v>
      </c>
      <c r="H1040" s="93" t="n"/>
    </row>
    <row r="1041" hidden="1" ht="15.75" customHeight="1" s="248">
      <c r="A1041" s="92" t="n">
        <v>1036</v>
      </c>
      <c r="B1041" s="139" t="inlineStr">
        <is>
          <t>2026/06/01 16:00</t>
        </is>
      </c>
      <c r="C1041" s="139" t="inlineStr">
        <is>
          <t>NGUYỄN THỊ THO</t>
        </is>
      </c>
      <c r="D1041" s="139" t="inlineStr">
        <is>
          <t>01/01/1949</t>
        </is>
      </c>
      <c r="E1041" s="139" t="inlineStr">
        <is>
          <t>Xét nghiệm đường máu mao mạch tại giường (một lần)[Nội trú]</t>
        </is>
      </c>
      <c r="F1041" s="260" t="n">
        <v>1</v>
      </c>
      <c r="G1041" s="261" t="n">
        <v>16000</v>
      </c>
      <c r="H1041" s="93" t="n"/>
    </row>
    <row r="1042" hidden="1" ht="15.75" customHeight="1" s="248">
      <c r="A1042" s="92" t="n">
        <v>1037</v>
      </c>
      <c r="B1042" s="139" t="inlineStr">
        <is>
          <t>2026/06/02 05:00</t>
        </is>
      </c>
      <c r="C1042" s="139" t="inlineStr">
        <is>
          <t>DƯƠNG VĂN CHIẾN</t>
        </is>
      </c>
      <c r="D1042" s="139" t="inlineStr">
        <is>
          <t>01/01/1949</t>
        </is>
      </c>
      <c r="E1042" s="139" t="inlineStr">
        <is>
          <t>Xét nghiệm đường máu mao mạch tại giường (một lần)[Nội trú]</t>
        </is>
      </c>
      <c r="F1042" s="260" t="n">
        <v>1</v>
      </c>
      <c r="G1042" s="261" t="n">
        <v>35000</v>
      </c>
      <c r="H1042" s="93" t="n"/>
    </row>
    <row r="1043" hidden="1" ht="15.75" customHeight="1" s="248">
      <c r="A1043" s="92" t="n">
        <v>1038</v>
      </c>
      <c r="B1043" s="139" t="inlineStr">
        <is>
          <t>2026/06/02 05:00</t>
        </is>
      </c>
      <c r="C1043" s="139" t="inlineStr">
        <is>
          <t>KHUẤT HÙNG</t>
        </is>
      </c>
      <c r="D1043" s="139" t="inlineStr">
        <is>
          <t>01/01/1948</t>
        </is>
      </c>
      <c r="E1043" s="139" t="inlineStr">
        <is>
          <t>Xét nghiệm đường máu mao mạch tại giường (một lần)[Nội trú]</t>
        </is>
      </c>
      <c r="F1043" s="260" t="n">
        <v>1</v>
      </c>
      <c r="G1043" s="261" t="n">
        <v>35000</v>
      </c>
      <c r="H1043" s="93" t="n"/>
    </row>
    <row r="1044" hidden="1" ht="15.75" customHeight="1" s="248">
      <c r="A1044" s="92" t="n">
        <v>1039</v>
      </c>
      <c r="B1044" s="139" t="inlineStr">
        <is>
          <t>2026/06/02 05:00</t>
        </is>
      </c>
      <c r="C1044" s="139" t="inlineStr">
        <is>
          <t>NGUYỄN THỊ THỦY</t>
        </is>
      </c>
      <c r="D1044" s="139" t="inlineStr">
        <is>
          <t>01/01/1963</t>
        </is>
      </c>
      <c r="E1044" s="139" t="inlineStr">
        <is>
          <t>Xét nghiệm đường máu mao mạch tại giường (một lần)[Nội trú]</t>
        </is>
      </c>
      <c r="F1044" s="260" t="n">
        <v>1</v>
      </c>
      <c r="G1044" s="261" t="n">
        <v>35000</v>
      </c>
      <c r="H1044" s="93" t="n"/>
    </row>
    <row r="1045" hidden="1" ht="15.75" customHeight="1" s="248">
      <c r="A1045" s="92" t="n">
        <v>1040</v>
      </c>
      <c r="B1045" s="139" t="inlineStr">
        <is>
          <t>2026/06/02 05:00</t>
        </is>
      </c>
      <c r="C1045" s="139" t="inlineStr">
        <is>
          <t>NGUYỄN VĂN CẤP</t>
        </is>
      </c>
      <c r="D1045" s="139" t="inlineStr">
        <is>
          <t>01/01/1957</t>
        </is>
      </c>
      <c r="E1045" s="139" t="inlineStr">
        <is>
          <t>Xét nghiệm đường máu mao mạch tại giường (một lần)[Nội trú]</t>
        </is>
      </c>
      <c r="F1045" s="260" t="n">
        <v>1</v>
      </c>
      <c r="G1045" s="261" t="n">
        <v>16000</v>
      </c>
      <c r="H1045" s="93" t="n"/>
    </row>
    <row r="1046" hidden="1" ht="15.75" customHeight="1" s="248">
      <c r="A1046" s="92" t="n">
        <v>1041</v>
      </c>
      <c r="B1046" s="139" t="inlineStr">
        <is>
          <t>2026/06/02 05:00</t>
        </is>
      </c>
      <c r="C1046" s="139" t="inlineStr">
        <is>
          <t>TRẦN KIM LIÊN</t>
        </is>
      </c>
      <c r="D1046" s="139" t="inlineStr">
        <is>
          <t>01/01/1943</t>
        </is>
      </c>
      <c r="E1046" s="139" t="inlineStr">
        <is>
          <t>Xét nghiệm đường máu mao mạch tại giường (một lần)[Nội trú]</t>
        </is>
      </c>
      <c r="F1046" s="260" t="n">
        <v>1</v>
      </c>
      <c r="G1046" s="261" t="n">
        <v>35000</v>
      </c>
      <c r="H1046" s="93" t="n"/>
    </row>
    <row r="1047" hidden="1" ht="15.75" customHeight="1" s="248">
      <c r="A1047" s="92" t="n">
        <v>1042</v>
      </c>
      <c r="B1047" s="139" t="inlineStr">
        <is>
          <t>2026/06/02 05:00</t>
        </is>
      </c>
      <c r="C1047" s="139" t="inlineStr">
        <is>
          <t>TRẦN VĂN LÂM</t>
        </is>
      </c>
      <c r="D1047" s="139" t="inlineStr">
        <is>
          <t>27/09/1964</t>
        </is>
      </c>
      <c r="E1047" s="139" t="inlineStr">
        <is>
          <t>Xét nghiệm đường máu mao mạch tại giường (một lần)[Nội trú]</t>
        </is>
      </c>
      <c r="F1047" s="260" t="n">
        <v>1</v>
      </c>
      <c r="G1047" s="261" t="n">
        <v>35000</v>
      </c>
      <c r="H1047" s="93" t="n"/>
    </row>
    <row r="1048" hidden="1" ht="15.75" customHeight="1" s="248">
      <c r="A1048" s="92" t="n">
        <v>1043</v>
      </c>
      <c r="B1048" s="139" t="inlineStr">
        <is>
          <t>2026/06/02 05:00</t>
        </is>
      </c>
      <c r="C1048" s="139" t="inlineStr">
        <is>
          <t>VÕ THỊ HỒNG LIÊN</t>
        </is>
      </c>
      <c r="D1048" s="139" t="inlineStr">
        <is>
          <t>16/12/1948</t>
        </is>
      </c>
      <c r="E1048" s="139" t="inlineStr">
        <is>
          <t>Xét nghiệm đường máu mao mạch tại giường (một lần)[Nội trú]</t>
        </is>
      </c>
      <c r="F1048" s="260" t="n">
        <v>1</v>
      </c>
      <c r="G1048" s="261" t="n">
        <v>35000</v>
      </c>
      <c r="H1048" s="93" t="n"/>
    </row>
    <row r="1049" hidden="1" ht="15.75" customHeight="1" s="248">
      <c r="A1049" s="92" t="n">
        <v>1044</v>
      </c>
      <c r="B1049" s="139" t="inlineStr">
        <is>
          <t>2026/06/02 05:00</t>
        </is>
      </c>
      <c r="C1049" s="139" t="inlineStr">
        <is>
          <t>NGUYỄN THỊ THO</t>
        </is>
      </c>
      <c r="D1049" s="139" t="inlineStr">
        <is>
          <t>01/01/1949</t>
        </is>
      </c>
      <c r="E1049" s="139" t="inlineStr">
        <is>
          <t>Xét nghiệm đường máu mao mạch tại giường (một lần)[Nội trú]</t>
        </is>
      </c>
      <c r="F1049" s="260" t="n">
        <v>1</v>
      </c>
      <c r="G1049" s="261" t="n">
        <v>16000</v>
      </c>
      <c r="H1049" s="93" t="n"/>
    </row>
    <row r="1050" hidden="1" ht="15.75" customHeight="1" s="248">
      <c r="A1050" s="92" t="n">
        <v>1045</v>
      </c>
      <c r="B1050" s="139" t="inlineStr">
        <is>
          <t>2026/06/02 16:00</t>
        </is>
      </c>
      <c r="C1050" s="139" t="inlineStr">
        <is>
          <t>DƯƠNG VĂN CHIẾN</t>
        </is>
      </c>
      <c r="D1050" s="139" t="inlineStr">
        <is>
          <t>01/01/1949</t>
        </is>
      </c>
      <c r="E1050" s="139" t="inlineStr">
        <is>
          <t>Xét nghiệm đường máu mao mạch tại giường (một lần)[Nội trú]</t>
        </is>
      </c>
      <c r="F1050" s="260" t="n">
        <v>1</v>
      </c>
      <c r="G1050" s="261" t="n">
        <v>35000</v>
      </c>
      <c r="H1050" s="93" t="n"/>
    </row>
    <row r="1051" hidden="1" ht="15.75" customHeight="1" s="248">
      <c r="A1051" s="92" t="n">
        <v>1046</v>
      </c>
      <c r="B1051" s="139" t="inlineStr">
        <is>
          <t>2026/06/02 16:00</t>
        </is>
      </c>
      <c r="C1051" s="139" t="inlineStr">
        <is>
          <t>NGUYỄN VĂN CẤP</t>
        </is>
      </c>
      <c r="D1051" s="139" t="inlineStr">
        <is>
          <t>01/01/1957</t>
        </is>
      </c>
      <c r="E1051" s="139" t="inlineStr">
        <is>
          <t>Xét nghiệm đường máu mao mạch tại giường (một lần)[Nội trú]</t>
        </is>
      </c>
      <c r="F1051" s="260" t="n">
        <v>1</v>
      </c>
      <c r="G1051" s="261" t="n">
        <v>16000</v>
      </c>
      <c r="H1051" s="93" t="n"/>
    </row>
    <row r="1052" hidden="1" ht="15.75" customHeight="1" s="248">
      <c r="A1052" s="92" t="n">
        <v>1047</v>
      </c>
      <c r="B1052" s="139" t="inlineStr">
        <is>
          <t>2026/06/02 16:00</t>
        </is>
      </c>
      <c r="C1052" s="139" t="inlineStr">
        <is>
          <t>PHAN TUẤN GIỚI</t>
        </is>
      </c>
      <c r="D1052" s="139" t="inlineStr">
        <is>
          <t>15/02/1965</t>
        </is>
      </c>
      <c r="E1052" s="139" t="inlineStr">
        <is>
          <t>Xét nghiệm đường máu mao mạch tại giường (một lần)[Nội trú]</t>
        </is>
      </c>
      <c r="F1052" s="260" t="n">
        <v>1</v>
      </c>
      <c r="G1052" s="261" t="n">
        <v>35000</v>
      </c>
      <c r="H1052" s="93" t="n"/>
    </row>
    <row r="1053" hidden="1" ht="15.75" customHeight="1" s="248">
      <c r="A1053" s="92" t="n">
        <v>1048</v>
      </c>
      <c r="B1053" s="139" t="inlineStr">
        <is>
          <t>2026/06/02 16:00</t>
        </is>
      </c>
      <c r="C1053" s="139" t="inlineStr">
        <is>
          <t>TRẦN VĂN LÂM</t>
        </is>
      </c>
      <c r="D1053" s="139" t="inlineStr">
        <is>
          <t>27/09/1964</t>
        </is>
      </c>
      <c r="E1053" s="139" t="inlineStr">
        <is>
          <t>Xét nghiệm đường máu mao mạch tại giường (một lần)[Nội trú]</t>
        </is>
      </c>
      <c r="F1053" s="260" t="n">
        <v>1</v>
      </c>
      <c r="G1053" s="261" t="n">
        <v>35000</v>
      </c>
      <c r="H1053" s="93" t="n"/>
    </row>
    <row r="1054" hidden="1" ht="15.75" customHeight="1" s="248">
      <c r="A1054" s="92" t="n">
        <v>1049</v>
      </c>
      <c r="B1054" s="139" t="inlineStr">
        <is>
          <t>2026/06/02 16:00</t>
        </is>
      </c>
      <c r="C1054" s="139" t="inlineStr">
        <is>
          <t>VÕ THỊ HỒNG LIÊN</t>
        </is>
      </c>
      <c r="D1054" s="139" t="inlineStr">
        <is>
          <t>16/12/1948</t>
        </is>
      </c>
      <c r="E1054" s="139" t="inlineStr">
        <is>
          <t>Xét nghiệm đường máu mao mạch tại giường (một lần)[Nội trú]</t>
        </is>
      </c>
      <c r="F1054" s="260" t="n">
        <v>1</v>
      </c>
      <c r="G1054" s="261" t="n">
        <v>35000</v>
      </c>
      <c r="H1054" s="93" t="n"/>
    </row>
    <row r="1055" hidden="1" ht="15.75" customHeight="1" s="248">
      <c r="A1055" s="92" t="n">
        <v>1050</v>
      </c>
      <c r="B1055" s="139" t="inlineStr">
        <is>
          <t>2026/06/02 16:00</t>
        </is>
      </c>
      <c r="C1055" s="139" t="inlineStr">
        <is>
          <t>KHUẤT HÙNG</t>
        </is>
      </c>
      <c r="D1055" s="139" t="inlineStr">
        <is>
          <t>01/01/1948</t>
        </is>
      </c>
      <c r="E1055" s="139" t="inlineStr">
        <is>
          <t>Xét nghiệm đường máu mao mạch tại giường (một lần)[Nội trú]</t>
        </is>
      </c>
      <c r="F1055" s="260" t="n">
        <v>1</v>
      </c>
      <c r="G1055" s="261" t="n">
        <v>16000</v>
      </c>
      <c r="H1055" s="93" t="n"/>
    </row>
    <row r="1056" hidden="1" ht="15.75" customHeight="1" s="248">
      <c r="A1056" s="92" t="n">
        <v>1051</v>
      </c>
      <c r="B1056" s="139" t="inlineStr">
        <is>
          <t>2026/06/03 05:00</t>
        </is>
      </c>
      <c r="C1056" s="139" t="inlineStr">
        <is>
          <t>NGUYỄN THỊ THỦY</t>
        </is>
      </c>
      <c r="D1056" s="139" t="inlineStr">
        <is>
          <t>01/01/1963</t>
        </is>
      </c>
      <c r="E1056" s="139" t="inlineStr">
        <is>
          <t>Xét nghiệm đường máu mao mạch tại giường (một lần)[Nội trú]</t>
        </is>
      </c>
      <c r="F1056" s="260" t="n">
        <v>1</v>
      </c>
      <c r="G1056" s="261" t="n">
        <v>35000</v>
      </c>
      <c r="H1056" s="93" t="n"/>
    </row>
    <row r="1057" hidden="1" ht="15.75" customHeight="1" s="248">
      <c r="A1057" s="92" t="n">
        <v>1052</v>
      </c>
      <c r="B1057" s="139" t="inlineStr">
        <is>
          <t>2026/06/03 05:00</t>
        </is>
      </c>
      <c r="C1057" s="139" t="inlineStr">
        <is>
          <t>NGUYỄN VĂN CẤP</t>
        </is>
      </c>
      <c r="D1057" s="139" t="inlineStr">
        <is>
          <t>01/01/1957</t>
        </is>
      </c>
      <c r="E1057" s="139" t="inlineStr">
        <is>
          <t>Xét nghiệm đường máu mao mạch tại giường (một lần)[Nội trú]</t>
        </is>
      </c>
      <c r="F1057" s="260" t="n">
        <v>1</v>
      </c>
      <c r="G1057" s="261" t="n">
        <v>16000</v>
      </c>
      <c r="H1057" s="93" t="n"/>
    </row>
    <row r="1058" hidden="1" ht="15.75" customHeight="1" s="248">
      <c r="A1058" s="92" t="n">
        <v>1053</v>
      </c>
      <c r="B1058" s="139" t="inlineStr">
        <is>
          <t>2026/06/03 05:00</t>
        </is>
      </c>
      <c r="C1058" s="139" t="inlineStr">
        <is>
          <t>PHAN TUẤN GIỚI</t>
        </is>
      </c>
      <c r="D1058" s="139" t="inlineStr">
        <is>
          <t>15/02/1965</t>
        </is>
      </c>
      <c r="E1058" s="139" t="inlineStr">
        <is>
          <t>Xét nghiệm đường máu mao mạch tại giường (một lần)[Nội trú]</t>
        </is>
      </c>
      <c r="F1058" s="260" t="n">
        <v>1</v>
      </c>
      <c r="G1058" s="261" t="n">
        <v>35000</v>
      </c>
      <c r="H1058" s="93" t="n"/>
    </row>
    <row r="1059" hidden="1" ht="15.75" customHeight="1" s="248">
      <c r="A1059" s="92" t="n">
        <v>1054</v>
      </c>
      <c r="B1059" s="139" t="inlineStr">
        <is>
          <t>2026/06/03 05:00</t>
        </is>
      </c>
      <c r="C1059" s="139" t="inlineStr">
        <is>
          <t>DƯƠNG VĂN CHIẾN</t>
        </is>
      </c>
      <c r="D1059" s="139" t="inlineStr">
        <is>
          <t>01/01/1949</t>
        </is>
      </c>
      <c r="E1059" s="139" t="inlineStr">
        <is>
          <t>Xét nghiệm đường máu mao mạch tại giường (một lần)[Nội trú]</t>
        </is>
      </c>
      <c r="F1059" s="260" t="n">
        <v>1</v>
      </c>
      <c r="G1059" s="261" t="n">
        <v>16000</v>
      </c>
      <c r="H1059" s="93" t="n"/>
    </row>
    <row r="1060" hidden="1" ht="15.75" customHeight="1" s="248">
      <c r="A1060" s="92" t="n">
        <v>1055</v>
      </c>
      <c r="B1060" s="139" t="inlineStr">
        <is>
          <t>2026/06/03 05:00</t>
        </is>
      </c>
      <c r="C1060" s="139" t="inlineStr">
        <is>
          <t>KHUẤT HÙNG</t>
        </is>
      </c>
      <c r="D1060" s="139" t="inlineStr">
        <is>
          <t>01/01/1948</t>
        </is>
      </c>
      <c r="E1060" s="139" t="inlineStr">
        <is>
          <t>Xét nghiệm đường máu mao mạch tại giường (một lần)[Nội trú]</t>
        </is>
      </c>
      <c r="F1060" s="260" t="n">
        <v>1</v>
      </c>
      <c r="G1060" s="261" t="n">
        <v>16000</v>
      </c>
      <c r="H1060" s="93" t="n"/>
    </row>
    <row r="1061" hidden="1" ht="15.75" customHeight="1" s="248">
      <c r="A1061" s="92" t="n">
        <v>1056</v>
      </c>
      <c r="B1061" s="139" t="inlineStr">
        <is>
          <t>2026/06/03 05:00</t>
        </is>
      </c>
      <c r="C1061" s="139" t="inlineStr">
        <is>
          <t>TRẦN VĂN LÂM</t>
        </is>
      </c>
      <c r="D1061" s="139" t="inlineStr">
        <is>
          <t>27/09/1964</t>
        </is>
      </c>
      <c r="E1061" s="139" t="inlineStr">
        <is>
          <t>Xét nghiệm đường máu mao mạch tại giường (một lần)[Nội trú]</t>
        </is>
      </c>
      <c r="F1061" s="260" t="n">
        <v>1</v>
      </c>
      <c r="G1061" s="261" t="n">
        <v>16000</v>
      </c>
      <c r="H1061" s="93" t="n"/>
    </row>
    <row r="1062" hidden="1" ht="15.75" customHeight="1" s="248">
      <c r="A1062" s="92" t="n">
        <v>1057</v>
      </c>
      <c r="B1062" s="139" t="inlineStr">
        <is>
          <t>2026/06/03 16:00</t>
        </is>
      </c>
      <c r="C1062" s="139" t="inlineStr">
        <is>
          <t>DƯƠNG VĂN CHIẾN</t>
        </is>
      </c>
      <c r="D1062" s="139" t="inlineStr">
        <is>
          <t>01/01/1949</t>
        </is>
      </c>
      <c r="E1062" s="139" t="inlineStr">
        <is>
          <t>Xét nghiệm đường máu mao mạch tại giường (một lần)[Nội trú]</t>
        </is>
      </c>
      <c r="F1062" s="260" t="n">
        <v>1</v>
      </c>
      <c r="G1062" s="261" t="n">
        <v>35000</v>
      </c>
      <c r="H1062" s="93" t="n"/>
    </row>
    <row r="1063" hidden="1" ht="15.75" customHeight="1" s="248">
      <c r="A1063" s="92" t="n">
        <v>1058</v>
      </c>
      <c r="B1063" s="139" t="inlineStr">
        <is>
          <t>2026/06/03 16:00</t>
        </is>
      </c>
      <c r="C1063" s="139" t="inlineStr">
        <is>
          <t>KHUẤT HÙNG</t>
        </is>
      </c>
      <c r="D1063" s="139" t="inlineStr">
        <is>
          <t>01/01/1948</t>
        </is>
      </c>
      <c r="E1063" s="139" t="inlineStr">
        <is>
          <t>Xét nghiệm đường máu mao mạch tại giường (một lần)[Nội trú]</t>
        </is>
      </c>
      <c r="F1063" s="260" t="n">
        <v>1</v>
      </c>
      <c r="G1063" s="261" t="n">
        <v>35000</v>
      </c>
      <c r="H1063" s="93" t="n"/>
    </row>
    <row r="1064" hidden="1" ht="15.75" customHeight="1" s="248">
      <c r="A1064" s="92" t="n">
        <v>1059</v>
      </c>
      <c r="B1064" s="139" t="inlineStr">
        <is>
          <t>2026/06/03 16:00</t>
        </is>
      </c>
      <c r="C1064" s="139" t="inlineStr">
        <is>
          <t>NGUYỄN THỊ NGÂN</t>
        </is>
      </c>
      <c r="D1064" s="139" t="inlineStr">
        <is>
          <t>01/01/1954</t>
        </is>
      </c>
      <c r="E1064" s="139" t="inlineStr">
        <is>
          <t>Xét nghiệm đường máu mao mạch tại giường (một lần)[Nội trú]</t>
        </is>
      </c>
      <c r="F1064" s="260" t="n">
        <v>1</v>
      </c>
      <c r="G1064" s="261" t="n">
        <v>35000</v>
      </c>
      <c r="H1064" s="93" t="n"/>
    </row>
    <row r="1065" hidden="1" ht="15.75" customHeight="1" s="248">
      <c r="A1065" s="92" t="n">
        <v>1060</v>
      </c>
      <c r="B1065" s="139" t="inlineStr">
        <is>
          <t>2026/06/03 16:00</t>
        </is>
      </c>
      <c r="C1065" s="139" t="inlineStr">
        <is>
          <t>NGUYỄN THỊ THỦY</t>
        </is>
      </c>
      <c r="D1065" s="139" t="inlineStr">
        <is>
          <t>01/01/1963</t>
        </is>
      </c>
      <c r="E1065" s="139" t="inlineStr">
        <is>
          <t>Xét nghiệm đường máu mao mạch tại giường (một lần)[Nội trú]</t>
        </is>
      </c>
      <c r="F1065" s="260" t="n">
        <v>1</v>
      </c>
      <c r="G1065" s="261" t="n">
        <v>35000</v>
      </c>
      <c r="H1065" s="93" t="n"/>
    </row>
    <row r="1066" hidden="1" ht="15.75" customHeight="1" s="248">
      <c r="A1066" s="92" t="n">
        <v>1061</v>
      </c>
      <c r="B1066" s="139" t="inlineStr">
        <is>
          <t>2026/06/03 16:00</t>
        </is>
      </c>
      <c r="C1066" s="139" t="inlineStr">
        <is>
          <t>PHAN TUẤN GIỚI</t>
        </is>
      </c>
      <c r="D1066" s="139" t="inlineStr">
        <is>
          <t>15/02/1965</t>
        </is>
      </c>
      <c r="E1066" s="139" t="inlineStr">
        <is>
          <t>Xét nghiệm đường máu mao mạch tại giường (một lần)[Nội trú]</t>
        </is>
      </c>
      <c r="F1066" s="260" t="n">
        <v>1</v>
      </c>
      <c r="G1066" s="261" t="n">
        <v>35000</v>
      </c>
      <c r="H1066" s="93" t="n"/>
    </row>
    <row r="1067" hidden="1" ht="15.75" customHeight="1" s="248">
      <c r="A1067" s="92" t="n">
        <v>1062</v>
      </c>
      <c r="B1067" s="139" t="inlineStr">
        <is>
          <t>2026/06/04 05:00</t>
        </is>
      </c>
      <c r="C1067" s="139" t="inlineStr">
        <is>
          <t>NGUYỄN THỊ NGÂN</t>
        </is>
      </c>
      <c r="D1067" s="139" t="inlineStr">
        <is>
          <t>01/01/1954</t>
        </is>
      </c>
      <c r="E1067" s="139" t="inlineStr">
        <is>
          <t>Xét nghiệm đường máu mao mạch tại giường (một lần)[Nội trú]</t>
        </is>
      </c>
      <c r="F1067" s="260" t="n">
        <v>1</v>
      </c>
      <c r="G1067" s="261" t="n">
        <v>35000</v>
      </c>
      <c r="H1067" s="93" t="n"/>
    </row>
    <row r="1068" hidden="1" ht="15.75" customHeight="1" s="248">
      <c r="A1068" s="92" t="n">
        <v>1063</v>
      </c>
      <c r="B1068" s="139" t="inlineStr">
        <is>
          <t>2026/06/04 05:00</t>
        </is>
      </c>
      <c r="C1068" s="139" t="inlineStr">
        <is>
          <t>NGUYỄN THỊ THỦY</t>
        </is>
      </c>
      <c r="D1068" s="139" t="inlineStr">
        <is>
          <t>01/01/1963</t>
        </is>
      </c>
      <c r="E1068" s="139" t="inlineStr">
        <is>
          <t>Xét nghiệm đường máu mao mạch tại giường (một lần)[Nội trú]</t>
        </is>
      </c>
      <c r="F1068" s="260" t="n">
        <v>1</v>
      </c>
      <c r="G1068" s="261" t="n">
        <v>35000</v>
      </c>
      <c r="H1068" s="93" t="n"/>
    </row>
    <row r="1069" hidden="1" ht="15.75" customHeight="1" s="248">
      <c r="A1069" s="92" t="n">
        <v>1064</v>
      </c>
      <c r="B1069" s="139" t="inlineStr">
        <is>
          <t>2026/06/04 05:00</t>
        </is>
      </c>
      <c r="C1069" s="139" t="inlineStr">
        <is>
          <t>PHAN TUẤN GIỚI</t>
        </is>
      </c>
      <c r="D1069" s="139" t="inlineStr">
        <is>
          <t>15/02/1965</t>
        </is>
      </c>
      <c r="E1069" s="139" t="inlineStr">
        <is>
          <t>Xét nghiệm đường máu mao mạch tại giường (một lần)[Nội trú]</t>
        </is>
      </c>
      <c r="F1069" s="260" t="n">
        <v>1</v>
      </c>
      <c r="G1069" s="261" t="n">
        <v>16000</v>
      </c>
      <c r="H1069" s="93" t="n"/>
    </row>
    <row r="1070" hidden="1" ht="15.75" customHeight="1" s="248">
      <c r="A1070" s="92" t="n">
        <v>1065</v>
      </c>
      <c r="B1070" s="139" t="inlineStr">
        <is>
          <t>2026/06/04 05:00</t>
        </is>
      </c>
      <c r="C1070" s="139" t="inlineStr">
        <is>
          <t>DƯƠNG VĂN CHIẾN</t>
        </is>
      </c>
      <c r="D1070" s="139" t="inlineStr">
        <is>
          <t>01/01/1949</t>
        </is>
      </c>
      <c r="E1070" s="139" t="inlineStr">
        <is>
          <t>Xét nghiệm đường máu mao mạch tại giường (một lần)[Nội trú]</t>
        </is>
      </c>
      <c r="F1070" s="260" t="n">
        <v>1</v>
      </c>
      <c r="G1070" s="261" t="n">
        <v>16000</v>
      </c>
      <c r="H1070" s="93" t="n"/>
    </row>
    <row r="1071" hidden="1" ht="15.75" customHeight="1" s="248">
      <c r="A1071" s="92" t="n">
        <v>1066</v>
      </c>
      <c r="B1071" s="139" t="inlineStr">
        <is>
          <t>2026/06/04 05:00</t>
        </is>
      </c>
      <c r="C1071" s="139" t="inlineStr">
        <is>
          <t>KHUẤT HÙNG</t>
        </is>
      </c>
      <c r="D1071" s="139" t="inlineStr">
        <is>
          <t>01/01/1948</t>
        </is>
      </c>
      <c r="E1071" s="139" t="inlineStr">
        <is>
          <t>Xét nghiệm đường máu mao mạch tại giường (một lần)[Nội trú]</t>
        </is>
      </c>
      <c r="F1071" s="260" t="n">
        <v>1</v>
      </c>
      <c r="G1071" s="261" t="n">
        <v>16000</v>
      </c>
      <c r="H1071" s="93" t="n"/>
    </row>
    <row r="1072" hidden="1" ht="15.75" customHeight="1" s="248">
      <c r="A1072" s="92" t="n">
        <v>1067</v>
      </c>
      <c r="B1072" s="139" t="inlineStr">
        <is>
          <t>2026/06/04 16:00</t>
        </is>
      </c>
      <c r="C1072" s="139" t="inlineStr">
        <is>
          <t>DƯƠNG VĂN CHIẾN</t>
        </is>
      </c>
      <c r="D1072" s="139" t="inlineStr">
        <is>
          <t>01/01/1949</t>
        </is>
      </c>
      <c r="E1072" s="139" t="inlineStr">
        <is>
          <t>Xét nghiệm đường máu mao mạch tại giường (một lần)[Nội trú]</t>
        </is>
      </c>
      <c r="F1072" s="260" t="n">
        <v>1</v>
      </c>
      <c r="G1072" s="261" t="n">
        <v>35000</v>
      </c>
      <c r="H1072" s="93" t="n"/>
    </row>
    <row r="1073" hidden="1" ht="15.75" customHeight="1" s="248">
      <c r="A1073" s="92" t="n">
        <v>1068</v>
      </c>
      <c r="B1073" s="139" t="inlineStr">
        <is>
          <t>2026/06/04 16:00</t>
        </is>
      </c>
      <c r="C1073" s="139" t="inlineStr">
        <is>
          <t>KHUẤT HÙNG</t>
        </is>
      </c>
      <c r="D1073" s="139" t="inlineStr">
        <is>
          <t>01/01/1948</t>
        </is>
      </c>
      <c r="E1073" s="139" t="inlineStr">
        <is>
          <t>Xét nghiệm đường máu mao mạch tại giường (một lần)[Nội trú]</t>
        </is>
      </c>
      <c r="F1073" s="260" t="n">
        <v>1</v>
      </c>
      <c r="G1073" s="261" t="n">
        <v>35000</v>
      </c>
      <c r="H1073" s="93" t="n"/>
    </row>
    <row r="1074" hidden="1" ht="15.75" customHeight="1" s="248">
      <c r="A1074" s="92" t="n">
        <v>1069</v>
      </c>
      <c r="B1074" s="139" t="inlineStr">
        <is>
          <t>2026/06/04 16:00</t>
        </is>
      </c>
      <c r="C1074" s="139" t="inlineStr">
        <is>
          <t>NGUYỄN HOÀNG SƠN GIANG</t>
        </is>
      </c>
      <c r="D1074" s="139" t="inlineStr">
        <is>
          <t>25/01/1976</t>
        </is>
      </c>
      <c r="E1074" s="139" t="inlineStr">
        <is>
          <t>Xét nghiệm đường máu mao mạch tại giường (một lần)[Nội trú]</t>
        </is>
      </c>
      <c r="F1074" s="260" t="n">
        <v>1</v>
      </c>
      <c r="G1074" s="261" t="n">
        <v>16000</v>
      </c>
      <c r="H1074" s="93" t="n"/>
    </row>
    <row r="1075" hidden="1" ht="15.75" customHeight="1" s="248">
      <c r="A1075" s="92" t="n">
        <v>1070</v>
      </c>
      <c r="B1075" s="139" t="inlineStr">
        <is>
          <t>2026/06/04 16:00</t>
        </is>
      </c>
      <c r="C1075" s="139" t="inlineStr">
        <is>
          <t>NGUYỄN THỊ NGÂN</t>
        </is>
      </c>
      <c r="D1075" s="139" t="inlineStr">
        <is>
          <t>01/01/1954</t>
        </is>
      </c>
      <c r="E1075" s="139" t="inlineStr">
        <is>
          <t>Xét nghiệm đường máu mao mạch tại giường (một lần)[Nội trú]</t>
        </is>
      </c>
      <c r="F1075" s="260" t="n">
        <v>1</v>
      </c>
      <c r="G1075" s="261" t="n">
        <v>35000</v>
      </c>
      <c r="H1075" s="93" t="n"/>
    </row>
    <row r="1076" hidden="1" ht="15.75" customHeight="1" s="248">
      <c r="A1076" s="92" t="n">
        <v>1071</v>
      </c>
      <c r="B1076" s="139" t="inlineStr">
        <is>
          <t>2026/06/04 16:00</t>
        </is>
      </c>
      <c r="C1076" s="139" t="inlineStr">
        <is>
          <t>NGUYỄN THỊ THỦY</t>
        </is>
      </c>
      <c r="D1076" s="139" t="inlineStr">
        <is>
          <t>01/01/1963</t>
        </is>
      </c>
      <c r="E1076" s="139" t="inlineStr">
        <is>
          <t>Xét nghiệm đường máu mao mạch tại giường (một lần)[Nội trú]</t>
        </is>
      </c>
      <c r="F1076" s="260" t="n">
        <v>1</v>
      </c>
      <c r="G1076" s="261" t="n">
        <v>35000</v>
      </c>
      <c r="H1076" s="93" t="n"/>
    </row>
    <row r="1077" hidden="1" ht="15.75" customHeight="1" s="248">
      <c r="A1077" s="92" t="n">
        <v>1072</v>
      </c>
      <c r="B1077" s="139" t="inlineStr">
        <is>
          <t>2026/06/04 16:00</t>
        </is>
      </c>
      <c r="C1077" s="139" t="inlineStr">
        <is>
          <t>PHAN TUẤN GIỚI</t>
        </is>
      </c>
      <c r="D1077" s="139" t="inlineStr">
        <is>
          <t>15/02/1965</t>
        </is>
      </c>
      <c r="E1077" s="139" t="inlineStr">
        <is>
          <t>Xét nghiệm đường máu mao mạch tại giường (một lần)[Nội trú]</t>
        </is>
      </c>
      <c r="F1077" s="260" t="n">
        <v>1</v>
      </c>
      <c r="G1077" s="261" t="n">
        <v>35000</v>
      </c>
      <c r="H1077" s="93" t="n"/>
    </row>
    <row r="1078" hidden="1" ht="15.75" customHeight="1" s="248">
      <c r="A1078" s="92" t="n">
        <v>1073</v>
      </c>
      <c r="B1078" s="139" t="inlineStr">
        <is>
          <t>2026/06/04 16:00</t>
        </is>
      </c>
      <c r="C1078" s="139" t="inlineStr">
        <is>
          <t>VÕ THỊ HỒNG LIÊN</t>
        </is>
      </c>
      <c r="D1078" s="139" t="inlineStr">
        <is>
          <t>16/12/1948</t>
        </is>
      </c>
      <c r="E1078" s="139" t="inlineStr">
        <is>
          <t>Xét nghiệm đường máu mao mạch tại giường (một lần)[Nội trú]</t>
        </is>
      </c>
      <c r="F1078" s="260" t="n">
        <v>1</v>
      </c>
      <c r="G1078" s="261" t="n">
        <v>35000</v>
      </c>
      <c r="H1078" s="93" t="n"/>
    </row>
    <row r="1079" hidden="1" ht="15.75" customHeight="1" s="248">
      <c r="A1079" s="92" t="n">
        <v>1074</v>
      </c>
      <c r="B1079" s="139" t="inlineStr">
        <is>
          <t>2026/06/05 05:00</t>
        </is>
      </c>
      <c r="C1079" s="139" t="inlineStr">
        <is>
          <t>DƯƠNG VĂN CHIẾN</t>
        </is>
      </c>
      <c r="D1079" s="139" t="inlineStr">
        <is>
          <t>01/01/1949</t>
        </is>
      </c>
      <c r="E1079" s="139" t="inlineStr">
        <is>
          <t>Xét nghiệm đường máu mao mạch tại giường (một lần)[Nội trú]</t>
        </is>
      </c>
      <c r="F1079" s="260" t="n">
        <v>1</v>
      </c>
      <c r="G1079" s="261" t="n">
        <v>35000</v>
      </c>
      <c r="H1079" s="93" t="n"/>
    </row>
    <row r="1080" hidden="1" ht="15.75" customHeight="1" s="248">
      <c r="A1080" s="92" t="n">
        <v>1075</v>
      </c>
      <c r="B1080" s="139" t="inlineStr">
        <is>
          <t>2026/06/05 05:00</t>
        </is>
      </c>
      <c r="C1080" s="139" t="inlineStr">
        <is>
          <t>HUỲNH NGỌC SƯƠNG</t>
        </is>
      </c>
      <c r="D1080" s="139" t="inlineStr">
        <is>
          <t>05/05/1954</t>
        </is>
      </c>
      <c r="E1080" s="139" t="inlineStr">
        <is>
          <t>Xét nghiệm đường máu mao mạch tại giường (một lần)[Nội trú]</t>
        </is>
      </c>
      <c r="F1080" s="260" t="n">
        <v>1</v>
      </c>
      <c r="G1080" s="261" t="n">
        <v>35000</v>
      </c>
      <c r="H1080" s="93" t="n"/>
    </row>
    <row r="1081" hidden="1" ht="15.75" customHeight="1" s="248">
      <c r="A1081" s="92" t="n">
        <v>1076</v>
      </c>
      <c r="B1081" s="139" t="inlineStr">
        <is>
          <t>2026/06/05 05:00</t>
        </is>
      </c>
      <c r="C1081" s="139" t="inlineStr">
        <is>
          <t>LÝ VĂN KHƯƠNG</t>
        </is>
      </c>
      <c r="D1081" s="139" t="inlineStr">
        <is>
          <t>05/06/1970</t>
        </is>
      </c>
      <c r="E1081" s="139" t="inlineStr">
        <is>
          <t>Xét nghiệm đường máu mao mạch tại giường (một lần)[Nội trú]</t>
        </is>
      </c>
      <c r="F1081" s="260" t="n">
        <v>1</v>
      </c>
      <c r="G1081" s="261" t="n">
        <v>35000</v>
      </c>
      <c r="H1081" s="93" t="n"/>
    </row>
    <row r="1082" hidden="1" ht="15.75" customHeight="1" s="248">
      <c r="A1082" s="92" t="n">
        <v>1077</v>
      </c>
      <c r="B1082" s="139" t="inlineStr">
        <is>
          <t>2026/06/05 05:00</t>
        </is>
      </c>
      <c r="C1082" s="139" t="inlineStr">
        <is>
          <t>NGUYỄN HOÀNG SƠN GIANG</t>
        </is>
      </c>
      <c r="D1082" s="139" t="inlineStr">
        <is>
          <t>25/01/1976</t>
        </is>
      </c>
      <c r="E1082" s="139" t="inlineStr">
        <is>
          <t>Xét nghiệm đường máu mao mạch tại giường (một lần)[Nội trú]</t>
        </is>
      </c>
      <c r="F1082" s="260" t="n">
        <v>1</v>
      </c>
      <c r="G1082" s="261" t="n">
        <v>16000</v>
      </c>
      <c r="H1082" s="93" t="n"/>
    </row>
    <row r="1083" hidden="1" ht="15.75" customHeight="1" s="248">
      <c r="A1083" s="92" t="n">
        <v>1078</v>
      </c>
      <c r="B1083" s="139" t="inlineStr">
        <is>
          <t>2026/06/05 05:00</t>
        </is>
      </c>
      <c r="C1083" s="139" t="inlineStr">
        <is>
          <t>NGUYỄN THỊ NGÂN</t>
        </is>
      </c>
      <c r="D1083" s="139" t="inlineStr">
        <is>
          <t>01/01/1954</t>
        </is>
      </c>
      <c r="E1083" s="139" t="inlineStr">
        <is>
          <t>Xét nghiệm đường máu mao mạch tại giường (một lần)[Nội trú]</t>
        </is>
      </c>
      <c r="F1083" s="260" t="n">
        <v>1</v>
      </c>
      <c r="G1083" s="261" t="n">
        <v>35000</v>
      </c>
      <c r="H1083" s="93" t="n"/>
    </row>
    <row r="1084" hidden="1" ht="15.75" customHeight="1" s="248">
      <c r="A1084" s="92" t="n">
        <v>1079</v>
      </c>
      <c r="B1084" s="139" t="inlineStr">
        <is>
          <t>2026/06/05 05:00</t>
        </is>
      </c>
      <c r="C1084" s="139" t="inlineStr">
        <is>
          <t>NGUYỄN THỊ THỦY</t>
        </is>
      </c>
      <c r="D1084" s="139" t="inlineStr">
        <is>
          <t>01/01/1963</t>
        </is>
      </c>
      <c r="E1084" s="139" t="inlineStr">
        <is>
          <t>Xét nghiệm đường máu mao mạch tại giường (một lần)[Nội trú]</t>
        </is>
      </c>
      <c r="F1084" s="260" t="n">
        <v>1</v>
      </c>
      <c r="G1084" s="261" t="n">
        <v>35000</v>
      </c>
      <c r="H1084" s="93" t="n"/>
    </row>
    <row r="1085" hidden="1" ht="15.75" customHeight="1" s="248">
      <c r="A1085" s="92" t="n">
        <v>1080</v>
      </c>
      <c r="B1085" s="139" t="inlineStr">
        <is>
          <t>2026/06/05 05:00</t>
        </is>
      </c>
      <c r="C1085" s="139" t="inlineStr">
        <is>
          <t>PHAN NGỌC ĐIỆP</t>
        </is>
      </c>
      <c r="D1085" s="139" t="inlineStr">
        <is>
          <t>19/05/1969</t>
        </is>
      </c>
      <c r="E1085" s="139" t="inlineStr">
        <is>
          <t>Xét nghiệm đường máu mao mạch tại giường (một lần)[Nội trú]</t>
        </is>
      </c>
      <c r="F1085" s="260" t="n">
        <v>1</v>
      </c>
      <c r="G1085" s="261" t="n">
        <v>16000</v>
      </c>
      <c r="H1085" s="93" t="n"/>
    </row>
    <row r="1086" hidden="1" ht="15.75" customHeight="1" s="248">
      <c r="A1086" s="92" t="n">
        <v>1081</v>
      </c>
      <c r="B1086" s="139" t="inlineStr">
        <is>
          <t>2026/06/05 05:00</t>
        </is>
      </c>
      <c r="C1086" s="139" t="inlineStr">
        <is>
          <t>PHAN TUẤN GIỚI</t>
        </is>
      </c>
      <c r="D1086" s="139" t="inlineStr">
        <is>
          <t>15/02/1965</t>
        </is>
      </c>
      <c r="E1086" s="139" t="inlineStr">
        <is>
          <t>Xét nghiệm đường máu mao mạch tại giường (một lần)[Nội trú]</t>
        </is>
      </c>
      <c r="F1086" s="260" t="n">
        <v>1</v>
      </c>
      <c r="G1086" s="261" t="n">
        <v>16000</v>
      </c>
      <c r="H1086" s="93" t="n"/>
    </row>
    <row r="1087" hidden="1" ht="15.75" customHeight="1" s="248">
      <c r="A1087" s="92" t="n">
        <v>1082</v>
      </c>
      <c r="B1087" s="139" t="inlineStr">
        <is>
          <t>2026/06/05 05:00</t>
        </is>
      </c>
      <c r="C1087" s="139" t="inlineStr">
        <is>
          <t>KHUẤT HÙNG</t>
        </is>
      </c>
      <c r="D1087" s="139" t="inlineStr">
        <is>
          <t>01/01/1948</t>
        </is>
      </c>
      <c r="E1087" s="139" t="inlineStr">
        <is>
          <t>Xét nghiệm đường máu mao mạch tại giường (một lần)[Nội trú]</t>
        </is>
      </c>
      <c r="F1087" s="260" t="n">
        <v>1</v>
      </c>
      <c r="G1087" s="261" t="n">
        <v>16000</v>
      </c>
      <c r="H1087" s="93" t="n"/>
    </row>
    <row r="1088" hidden="1" ht="15.75" customHeight="1" s="248">
      <c r="A1088" s="92" t="n">
        <v>1083</v>
      </c>
      <c r="B1088" s="139" t="inlineStr">
        <is>
          <t>2026/06/05 05:00</t>
        </is>
      </c>
      <c r="C1088" s="139" t="inlineStr">
        <is>
          <t>VÕ THỊ HỒNG LIÊN</t>
        </is>
      </c>
      <c r="D1088" s="139" t="inlineStr">
        <is>
          <t>16/12/1948</t>
        </is>
      </c>
      <c r="E1088" s="139" t="inlineStr">
        <is>
          <t>Xét nghiệm đường máu mao mạch tại giường (một lần)[Nội trú]</t>
        </is>
      </c>
      <c r="F1088" s="260" t="n">
        <v>1</v>
      </c>
      <c r="G1088" s="261" t="n">
        <v>16000</v>
      </c>
      <c r="H1088" s="93" t="n"/>
    </row>
    <row r="1089" hidden="1" ht="15.75" customHeight="1" s="248">
      <c r="A1089" s="92" t="n">
        <v>1084</v>
      </c>
      <c r="B1089" s="139" t="inlineStr">
        <is>
          <t>2026/06/05 16:00</t>
        </is>
      </c>
      <c r="C1089" s="139" t="inlineStr">
        <is>
          <t>HUỲNH NGỌC SƯƠNG</t>
        </is>
      </c>
      <c r="D1089" s="139" t="inlineStr">
        <is>
          <t>05/05/1954</t>
        </is>
      </c>
      <c r="E1089" s="139" t="inlineStr">
        <is>
          <t>Xét nghiệm đường máu mao mạch tại giường (một lần)[Nội trú]</t>
        </is>
      </c>
      <c r="F1089" s="260" t="n">
        <v>1</v>
      </c>
      <c r="G1089" s="261" t="n">
        <v>35000</v>
      </c>
      <c r="H1089" s="93" t="n"/>
    </row>
    <row r="1090" hidden="1" ht="15.75" customHeight="1" s="248">
      <c r="A1090" s="92" t="n">
        <v>1085</v>
      </c>
      <c r="B1090" s="139" t="inlineStr">
        <is>
          <t>2026/06/05 16:00</t>
        </is>
      </c>
      <c r="C1090" s="139" t="inlineStr">
        <is>
          <t>KHUẤT HÙNG</t>
        </is>
      </c>
      <c r="D1090" s="139" t="inlineStr">
        <is>
          <t>01/01/1948</t>
        </is>
      </c>
      <c r="E1090" s="139" t="inlineStr">
        <is>
          <t>Xét nghiệm đường máu mao mạch tại giường (một lần)[Nội trú]</t>
        </is>
      </c>
      <c r="F1090" s="260" t="n">
        <v>1</v>
      </c>
      <c r="G1090" s="261" t="n">
        <v>35000</v>
      </c>
      <c r="H1090" s="93" t="n"/>
    </row>
    <row r="1091" hidden="1" ht="15.75" customHeight="1" s="248">
      <c r="A1091" s="92" t="n">
        <v>1086</v>
      </c>
      <c r="B1091" s="139" t="inlineStr">
        <is>
          <t>2026/06/05 16:00</t>
        </is>
      </c>
      <c r="C1091" s="139" t="inlineStr">
        <is>
          <t>NGUYỄN HOÀNG SƠN GIANG</t>
        </is>
      </c>
      <c r="D1091" s="139" t="inlineStr">
        <is>
          <t>25/01/1976</t>
        </is>
      </c>
      <c r="E1091" s="139" t="inlineStr">
        <is>
          <t>Xét nghiệm đường máu mao mạch tại giường (một lần)[Nội trú]</t>
        </is>
      </c>
      <c r="F1091" s="260" t="n">
        <v>1</v>
      </c>
      <c r="G1091" s="261" t="n">
        <v>16000</v>
      </c>
      <c r="H1091" s="93" t="n"/>
    </row>
    <row r="1092" hidden="1" ht="15.75" customHeight="1" s="248">
      <c r="A1092" s="92" t="n">
        <v>1087</v>
      </c>
      <c r="B1092" s="139" t="inlineStr">
        <is>
          <t>2026/06/05 16:00</t>
        </is>
      </c>
      <c r="C1092" s="139" t="inlineStr">
        <is>
          <t>NGUYỄN THỊ NGÂN</t>
        </is>
      </c>
      <c r="D1092" s="139" t="inlineStr">
        <is>
          <t>01/01/1954</t>
        </is>
      </c>
      <c r="E1092" s="139" t="inlineStr">
        <is>
          <t>Xét nghiệm đường máu mao mạch tại giường (một lần)[Nội trú]</t>
        </is>
      </c>
      <c r="F1092" s="260" t="n">
        <v>1</v>
      </c>
      <c r="G1092" s="261" t="n">
        <v>35000</v>
      </c>
      <c r="H1092" s="93" t="n"/>
    </row>
    <row r="1093" hidden="1" ht="15.75" customHeight="1" s="248">
      <c r="A1093" s="92" t="n">
        <v>1088</v>
      </c>
      <c r="B1093" s="139" t="inlineStr">
        <is>
          <t>2026/06/05 16:00</t>
        </is>
      </c>
      <c r="C1093" s="139" t="inlineStr">
        <is>
          <t>NGUYỄN THỊ THỦY</t>
        </is>
      </c>
      <c r="D1093" s="139" t="inlineStr">
        <is>
          <t>01/01/1963</t>
        </is>
      </c>
      <c r="E1093" s="139" t="inlineStr">
        <is>
          <t>Xét nghiệm đường máu mao mạch tại giường (một lần)[Nội trú]</t>
        </is>
      </c>
      <c r="F1093" s="260" t="n">
        <v>1</v>
      </c>
      <c r="G1093" s="261" t="n">
        <v>35000</v>
      </c>
      <c r="H1093" s="93" t="n"/>
    </row>
    <row r="1094" hidden="1" ht="15.75" customHeight="1" s="248">
      <c r="A1094" s="92" t="n">
        <v>1089</v>
      </c>
      <c r="B1094" s="139" t="inlineStr">
        <is>
          <t>2026/06/05 16:00</t>
        </is>
      </c>
      <c r="C1094" s="139" t="inlineStr">
        <is>
          <t>NGUYỄN VĂN CẤP</t>
        </is>
      </c>
      <c r="D1094" s="139" t="inlineStr">
        <is>
          <t>01/01/1957</t>
        </is>
      </c>
      <c r="E1094" s="139" t="inlineStr">
        <is>
          <t>Xét nghiệm đường máu mao mạch tại giường (một lần)[Nội trú]</t>
        </is>
      </c>
      <c r="F1094" s="260" t="n">
        <v>1</v>
      </c>
      <c r="G1094" s="261" t="n">
        <v>16000</v>
      </c>
      <c r="H1094" s="93" t="n"/>
    </row>
    <row r="1095" hidden="1" ht="15.75" customHeight="1" s="248">
      <c r="A1095" s="92" t="n">
        <v>1090</v>
      </c>
      <c r="B1095" s="139" t="inlineStr">
        <is>
          <t>2026/06/05 16:00</t>
        </is>
      </c>
      <c r="C1095" s="139" t="inlineStr">
        <is>
          <t>PHAN TUẤN GIỚI</t>
        </is>
      </c>
      <c r="D1095" s="139" t="inlineStr">
        <is>
          <t>15/02/1965</t>
        </is>
      </c>
      <c r="E1095" s="139" t="inlineStr">
        <is>
          <t>Xét nghiệm đường máu mao mạch tại giường (một lần)[Nội trú]</t>
        </is>
      </c>
      <c r="F1095" s="260" t="n">
        <v>1</v>
      </c>
      <c r="G1095" s="261" t="n">
        <v>35000</v>
      </c>
      <c r="H1095" s="93" t="n"/>
    </row>
    <row r="1096" hidden="1" ht="15.75" customHeight="1" s="248">
      <c r="A1096" s="92" t="n">
        <v>1091</v>
      </c>
      <c r="B1096" s="139" t="inlineStr">
        <is>
          <t>2026/06/05 16:00</t>
        </is>
      </c>
      <c r="C1096" s="139" t="inlineStr">
        <is>
          <t>VÕ THỊ HỒNG LIÊN</t>
        </is>
      </c>
      <c r="D1096" s="139" t="inlineStr">
        <is>
          <t>16/12/1948</t>
        </is>
      </c>
      <c r="E1096" s="139" t="inlineStr">
        <is>
          <t>Xét nghiệm đường máu mao mạch tại giường (một lần)[Nội trú]</t>
        </is>
      </c>
      <c r="F1096" s="260" t="n">
        <v>1</v>
      </c>
      <c r="G1096" s="261" t="n">
        <v>35000</v>
      </c>
      <c r="H1096" s="93" t="n"/>
    </row>
    <row r="1097" hidden="1" ht="15.75" customHeight="1" s="248">
      <c r="A1097" s="92" t="n">
        <v>1092</v>
      </c>
      <c r="B1097" s="139" t="inlineStr">
        <is>
          <t>2026/06/06 05:00</t>
        </is>
      </c>
      <c r="C1097" s="139" t="inlineStr">
        <is>
          <t>HUỲNH NGỌC SƯƠNG</t>
        </is>
      </c>
      <c r="D1097" s="139" t="inlineStr">
        <is>
          <t>05/05/1954</t>
        </is>
      </c>
      <c r="E1097" s="139" t="inlineStr">
        <is>
          <t>Xét nghiệm đường máu mao mạch tại giường (một lần)[Nội trú]</t>
        </is>
      </c>
      <c r="F1097" s="260" t="n">
        <v>1</v>
      </c>
      <c r="G1097" s="261" t="n">
        <v>35000</v>
      </c>
      <c r="H1097" s="93" t="n"/>
    </row>
    <row r="1098" hidden="1" ht="15.75" customHeight="1" s="248">
      <c r="A1098" s="92" t="n">
        <v>1093</v>
      </c>
      <c r="B1098" s="139" t="inlineStr">
        <is>
          <t>2026/06/06 05:00</t>
        </is>
      </c>
      <c r="C1098" s="139" t="inlineStr">
        <is>
          <t>KHUẤT HÙNG</t>
        </is>
      </c>
      <c r="D1098" s="139" t="inlineStr">
        <is>
          <t>01/01/1948</t>
        </is>
      </c>
      <c r="E1098" s="139" t="inlineStr">
        <is>
          <t>Xét nghiệm đường máu mao mạch tại giường (một lần)[Nội trú]</t>
        </is>
      </c>
      <c r="F1098" s="260" t="n">
        <v>1</v>
      </c>
      <c r="G1098" s="261" t="n">
        <v>35000</v>
      </c>
      <c r="H1098" s="93" t="n"/>
    </row>
    <row r="1099" hidden="1" ht="15.75" customHeight="1" s="248">
      <c r="A1099" s="92" t="n">
        <v>1094</v>
      </c>
      <c r="B1099" s="139" t="inlineStr">
        <is>
          <t>2026/06/06 05:00</t>
        </is>
      </c>
      <c r="C1099" s="139" t="inlineStr">
        <is>
          <t>LÝ VĂN KHƯƠNG</t>
        </is>
      </c>
      <c r="D1099" s="139" t="inlineStr">
        <is>
          <t>05/06/1970</t>
        </is>
      </c>
      <c r="E1099" s="139" t="inlineStr">
        <is>
          <t>Xét nghiệm đường máu mao mạch tại giường (một lần)[Nội trú]</t>
        </is>
      </c>
      <c r="F1099" s="260" t="n">
        <v>1</v>
      </c>
      <c r="G1099" s="261" t="n">
        <v>35000</v>
      </c>
      <c r="H1099" s="93" t="n"/>
    </row>
    <row r="1100" hidden="1" ht="15.75" customHeight="1" s="248">
      <c r="A1100" s="92" t="n">
        <v>1095</v>
      </c>
      <c r="B1100" s="139" t="inlineStr">
        <is>
          <t>2026/06/06 05:00</t>
        </is>
      </c>
      <c r="C1100" s="139" t="inlineStr">
        <is>
          <t>NGUYỄN HOÀNG SƠN GIANG</t>
        </is>
      </c>
      <c r="D1100" s="139" t="inlineStr">
        <is>
          <t>25/01/1976</t>
        </is>
      </c>
      <c r="E1100" s="139" t="inlineStr">
        <is>
          <t>Xét nghiệm đường máu mao mạch tại giường (một lần)[Nội trú]</t>
        </is>
      </c>
      <c r="F1100" s="260" t="n">
        <v>1</v>
      </c>
      <c r="G1100" s="261" t="n">
        <v>16000</v>
      </c>
      <c r="H1100" s="93" t="n"/>
    </row>
    <row r="1101" hidden="1" ht="15.75" customHeight="1" s="248">
      <c r="A1101" s="92" t="n">
        <v>1096</v>
      </c>
      <c r="B1101" s="139" t="inlineStr">
        <is>
          <t>2026/06/06 05:00</t>
        </is>
      </c>
      <c r="C1101" s="139" t="inlineStr">
        <is>
          <t>NGUYỄN THỊ NGÂN</t>
        </is>
      </c>
      <c r="D1101" s="139" t="inlineStr">
        <is>
          <t>01/01/1954</t>
        </is>
      </c>
      <c r="E1101" s="139" t="inlineStr">
        <is>
          <t>Xét nghiệm đường máu mao mạch tại giường (một lần)[Nội trú]</t>
        </is>
      </c>
      <c r="F1101" s="260" t="n">
        <v>1</v>
      </c>
      <c r="G1101" s="261" t="n">
        <v>35000</v>
      </c>
      <c r="H1101" s="93" t="n"/>
    </row>
    <row r="1102" hidden="1" ht="15.75" customHeight="1" s="248">
      <c r="A1102" s="92" t="n">
        <v>1097</v>
      </c>
      <c r="B1102" s="139" t="inlineStr">
        <is>
          <t>2026/06/06 05:00</t>
        </is>
      </c>
      <c r="C1102" s="139" t="inlineStr">
        <is>
          <t>NGUYỄN THỊ THỦY</t>
        </is>
      </c>
      <c r="D1102" s="139" t="inlineStr">
        <is>
          <t>01/01/1963</t>
        </is>
      </c>
      <c r="E1102" s="139" t="inlineStr">
        <is>
          <t>Xét nghiệm đường máu mao mạch tại giường (một lần)[Nội trú]</t>
        </is>
      </c>
      <c r="F1102" s="260" t="n">
        <v>1</v>
      </c>
      <c r="G1102" s="261" t="n">
        <v>16000</v>
      </c>
      <c r="H1102" s="93" t="n"/>
    </row>
    <row r="1103" hidden="1" ht="15.75" customHeight="1" s="248">
      <c r="A1103" s="92" t="n">
        <v>1098</v>
      </c>
      <c r="B1103" s="139" t="inlineStr">
        <is>
          <t>2026/06/06 16:00</t>
        </is>
      </c>
      <c r="C1103" s="139" t="inlineStr">
        <is>
          <t>LÝ VĂN KHƯƠNG</t>
        </is>
      </c>
      <c r="D1103" s="139" t="inlineStr">
        <is>
          <t>05/06/1970</t>
        </is>
      </c>
      <c r="E1103" s="139" t="inlineStr">
        <is>
          <t>Xét nghiệm đường máu mao mạch tại giường (một lần)[Nội trú]</t>
        </is>
      </c>
      <c r="F1103" s="260" t="n">
        <v>1</v>
      </c>
      <c r="G1103" s="261" t="n">
        <v>35000</v>
      </c>
      <c r="H1103" s="93" t="n"/>
    </row>
    <row r="1104" hidden="1" ht="15.75" customHeight="1" s="248">
      <c r="A1104" s="92" t="n">
        <v>1099</v>
      </c>
      <c r="B1104" s="139" t="inlineStr">
        <is>
          <t>2026/06/06 16:00</t>
        </is>
      </c>
      <c r="C1104" s="139" t="inlineStr">
        <is>
          <t>NGUYỄN HOÀNG SƠN GIANG</t>
        </is>
      </c>
      <c r="D1104" s="139" t="inlineStr">
        <is>
          <t>25/01/1976</t>
        </is>
      </c>
      <c r="E1104" s="139" t="inlineStr">
        <is>
          <t>Xét nghiệm đường máu mao mạch tại giường (một lần)[Nội trú]</t>
        </is>
      </c>
      <c r="F1104" s="260" t="n">
        <v>1</v>
      </c>
      <c r="G1104" s="261" t="n">
        <v>16000</v>
      </c>
      <c r="H1104" s="93" t="n"/>
    </row>
    <row r="1105" hidden="1" ht="15.75" customHeight="1" s="248">
      <c r="A1105" s="92" t="n">
        <v>1100</v>
      </c>
      <c r="B1105" s="139" t="inlineStr">
        <is>
          <t>2026/06/06 16:00</t>
        </is>
      </c>
      <c r="C1105" s="139" t="inlineStr">
        <is>
          <t>HUỲNH NGỌC SƯƠNG</t>
        </is>
      </c>
      <c r="D1105" s="139" t="inlineStr">
        <is>
          <t>05/05/1954</t>
        </is>
      </c>
      <c r="E1105" s="139" t="inlineStr">
        <is>
          <t>Xét nghiệm đường máu mao mạch tại giường (một lần)[Nội trú]</t>
        </is>
      </c>
      <c r="F1105" s="260" t="n">
        <v>1</v>
      </c>
      <c r="G1105" s="261" t="n">
        <v>16000</v>
      </c>
      <c r="H1105" s="93" t="n"/>
    </row>
    <row r="1106" hidden="1" ht="15.75" customHeight="1" s="248">
      <c r="A1106" s="92" t="n">
        <v>1101</v>
      </c>
      <c r="B1106" s="139" t="inlineStr">
        <is>
          <t>2026/06/06 16:00</t>
        </is>
      </c>
      <c r="C1106" s="139" t="inlineStr">
        <is>
          <t>KHUẤT HÙNG</t>
        </is>
      </c>
      <c r="D1106" s="139" t="inlineStr">
        <is>
          <t>01/01/1948</t>
        </is>
      </c>
      <c r="E1106" s="139" t="inlineStr">
        <is>
          <t>Xét nghiệm đường máu mao mạch tại giường (một lần)[Nội trú]</t>
        </is>
      </c>
      <c r="F1106" s="260" t="n">
        <v>1</v>
      </c>
      <c r="G1106" s="261" t="n">
        <v>16000</v>
      </c>
      <c r="H1106" s="93" t="n"/>
    </row>
    <row r="1107" hidden="1" ht="15.75" customHeight="1" s="248">
      <c r="A1107" s="92" t="n">
        <v>1102</v>
      </c>
      <c r="B1107" s="139" t="inlineStr">
        <is>
          <t>2026/06/06 16:00</t>
        </is>
      </c>
      <c r="C1107" s="139" t="inlineStr">
        <is>
          <t>NGUYỄN THỊ NGÂN</t>
        </is>
      </c>
      <c r="D1107" s="139" t="inlineStr">
        <is>
          <t>01/01/1954</t>
        </is>
      </c>
      <c r="E1107" s="139" t="inlineStr">
        <is>
          <t>Xét nghiệm đường máu mao mạch tại giường (một lần)[Nội trú]</t>
        </is>
      </c>
      <c r="F1107" s="260" t="n">
        <v>1</v>
      </c>
      <c r="G1107" s="261" t="n">
        <v>16000</v>
      </c>
      <c r="H1107" s="93" t="n"/>
    </row>
    <row r="1108" hidden="1" ht="15.75" customHeight="1" s="248">
      <c r="A1108" s="92" t="n">
        <v>1103</v>
      </c>
      <c r="B1108" s="139" t="inlineStr">
        <is>
          <t>2026/06/06 16:00</t>
        </is>
      </c>
      <c r="C1108" s="139" t="inlineStr">
        <is>
          <t>NGUYỄN THỊ THỦY</t>
        </is>
      </c>
      <c r="D1108" s="139" t="inlineStr">
        <is>
          <t>01/01/1963</t>
        </is>
      </c>
      <c r="E1108" s="139" t="inlineStr">
        <is>
          <t>Xét nghiệm đường máu mao mạch tại giường (một lần)[Nội trú]</t>
        </is>
      </c>
      <c r="F1108" s="260" t="n">
        <v>1</v>
      </c>
      <c r="G1108" s="261" t="n">
        <v>16000</v>
      </c>
      <c r="H1108" s="93" t="n"/>
    </row>
    <row r="1109" hidden="1" ht="15.75" customHeight="1" s="248">
      <c r="A1109" s="92" t="n">
        <v>1104</v>
      </c>
      <c r="B1109" s="139" t="inlineStr">
        <is>
          <t>2026/06/07 05:00</t>
        </is>
      </c>
      <c r="C1109" s="139" t="inlineStr">
        <is>
          <t>PHAN NGỌC ĐIỆP</t>
        </is>
      </c>
      <c r="D1109" s="139" t="inlineStr">
        <is>
          <t>19/05/1969</t>
        </is>
      </c>
      <c r="E1109" s="139" t="inlineStr">
        <is>
          <t>Xét nghiệm đường máu mao mạch tại giường (một lần)[Nội trú]</t>
        </is>
      </c>
      <c r="F1109" s="260" t="n">
        <v>1</v>
      </c>
      <c r="G1109" s="261" t="n">
        <v>16000</v>
      </c>
      <c r="H1109" s="93" t="n"/>
    </row>
    <row r="1110" hidden="1" ht="15.75" customHeight="1" s="248">
      <c r="A1110" s="92" t="n">
        <v>1105</v>
      </c>
      <c r="B1110" s="139" t="inlineStr">
        <is>
          <t>2026/06/07 05:00</t>
        </is>
      </c>
      <c r="C1110" s="139" t="inlineStr">
        <is>
          <t>HUỲNH NGỌC SƯƠNG</t>
        </is>
      </c>
      <c r="D1110" s="139" t="inlineStr">
        <is>
          <t>05/05/1954</t>
        </is>
      </c>
      <c r="E1110" s="139" t="inlineStr">
        <is>
          <t>Xét nghiệm đường máu mao mạch tại giường (một lần)[Nội trú]</t>
        </is>
      </c>
      <c r="F1110" s="260" t="n">
        <v>1</v>
      </c>
      <c r="G1110" s="261" t="n">
        <v>16000</v>
      </c>
      <c r="H1110" s="93" t="n"/>
    </row>
    <row r="1111" hidden="1" ht="15.75" customHeight="1" s="248">
      <c r="A1111" s="92" t="n">
        <v>1106</v>
      </c>
      <c r="B1111" s="139" t="inlineStr">
        <is>
          <t>2026/06/07 05:00</t>
        </is>
      </c>
      <c r="C1111" s="139" t="inlineStr">
        <is>
          <t>KHUẤT HÙNG</t>
        </is>
      </c>
      <c r="D1111" s="139" t="inlineStr">
        <is>
          <t>01/01/1948</t>
        </is>
      </c>
      <c r="E1111" s="139" t="inlineStr">
        <is>
          <t>Xét nghiệm đường máu mao mạch tại giường (một lần)[Nội trú]</t>
        </is>
      </c>
      <c r="F1111" s="260" t="n">
        <v>1</v>
      </c>
      <c r="G1111" s="261" t="n">
        <v>16000</v>
      </c>
      <c r="H1111" s="93" t="n"/>
    </row>
    <row r="1112" hidden="1" ht="15.75" customHeight="1" s="248">
      <c r="A1112" s="92" t="n">
        <v>1107</v>
      </c>
      <c r="B1112" s="139" t="inlineStr">
        <is>
          <t>2026/06/07 05:00</t>
        </is>
      </c>
      <c r="C1112" s="139" t="inlineStr">
        <is>
          <t>NGUYỄN THỊ NGÂN</t>
        </is>
      </c>
      <c r="D1112" s="139" t="inlineStr">
        <is>
          <t>01/01/1954</t>
        </is>
      </c>
      <c r="E1112" s="139" t="inlineStr">
        <is>
          <t>Xét nghiệm đường máu mao mạch tại giường (một lần)[Nội trú]</t>
        </is>
      </c>
      <c r="F1112" s="260" t="n">
        <v>1</v>
      </c>
      <c r="G1112" s="261" t="n">
        <v>16000</v>
      </c>
      <c r="H1112" s="93" t="n"/>
    </row>
    <row r="1113" hidden="1" ht="15.75" customHeight="1" s="248">
      <c r="A1113" s="92" t="n">
        <v>1108</v>
      </c>
      <c r="B1113" s="139" t="inlineStr">
        <is>
          <t>2026/06/07 16:00</t>
        </is>
      </c>
      <c r="C1113" s="139" t="inlineStr">
        <is>
          <t>HUỲNH NGỌC SƯƠNG</t>
        </is>
      </c>
      <c r="D1113" s="139" t="inlineStr">
        <is>
          <t>05/05/1954</t>
        </is>
      </c>
      <c r="E1113" s="139" t="inlineStr">
        <is>
          <t>Xét nghiệm đường máu mao mạch tại giường (một lần)[Nội trú]</t>
        </is>
      </c>
      <c r="F1113" s="260" t="n">
        <v>1</v>
      </c>
      <c r="G1113" s="261" t="n">
        <v>35000</v>
      </c>
      <c r="H1113" s="93" t="n"/>
    </row>
    <row r="1114" hidden="1" ht="15.75" customHeight="1" s="248">
      <c r="A1114" s="92" t="n">
        <v>1109</v>
      </c>
      <c r="B1114" s="139" t="inlineStr">
        <is>
          <t>2026/06/07 16:00</t>
        </is>
      </c>
      <c r="C1114" s="139" t="inlineStr">
        <is>
          <t>KHUẤT HÙNG</t>
        </is>
      </c>
      <c r="D1114" s="139" t="inlineStr">
        <is>
          <t>01/01/1948</t>
        </is>
      </c>
      <c r="E1114" s="139" t="inlineStr">
        <is>
          <t>Xét nghiệm đường máu mao mạch tại giường (một lần)[Nội trú]</t>
        </is>
      </c>
      <c r="F1114" s="260" t="n">
        <v>1</v>
      </c>
      <c r="G1114" s="261" t="n">
        <v>35000</v>
      </c>
      <c r="H1114" s="93" t="n"/>
    </row>
    <row r="1115" hidden="1" ht="15.75" customHeight="1" s="248">
      <c r="A1115" s="92" t="n">
        <v>1110</v>
      </c>
      <c r="B1115" s="139" t="inlineStr">
        <is>
          <t>2026/06/07 16:00</t>
        </is>
      </c>
      <c r="C1115" s="139" t="inlineStr">
        <is>
          <t>NGUYỄN HOÀNG SƠN GIANG</t>
        </is>
      </c>
      <c r="D1115" s="139" t="inlineStr">
        <is>
          <t>25/01/1976</t>
        </is>
      </c>
      <c r="E1115" s="139" t="inlineStr">
        <is>
          <t>Xét nghiệm đường máu mao mạch tại giường (một lần)[Nội trú]</t>
        </is>
      </c>
      <c r="F1115" s="260" t="n">
        <v>1</v>
      </c>
      <c r="G1115" s="261" t="n">
        <v>16000</v>
      </c>
      <c r="H1115" s="93" t="n"/>
    </row>
    <row r="1116" hidden="1" ht="15.75" customHeight="1" s="248">
      <c r="A1116" s="92" t="n">
        <v>1111</v>
      </c>
      <c r="B1116" s="139" t="inlineStr">
        <is>
          <t>2026/06/07 16:00</t>
        </is>
      </c>
      <c r="C1116" s="139" t="inlineStr">
        <is>
          <t>NGUYỄN THỊ NGÂN</t>
        </is>
      </c>
      <c r="D1116" s="139" t="inlineStr">
        <is>
          <t>01/01/1954</t>
        </is>
      </c>
      <c r="E1116" s="139" t="inlineStr">
        <is>
          <t>Xét nghiệm đường máu mao mạch tại giường (một lần)[Nội trú]</t>
        </is>
      </c>
      <c r="F1116" s="260" t="n">
        <v>1</v>
      </c>
      <c r="G1116" s="261" t="n">
        <v>35000</v>
      </c>
      <c r="H1116" s="93" t="n"/>
    </row>
    <row r="1117" hidden="1" ht="15.75" customHeight="1" s="248">
      <c r="A1117" s="92" t="n">
        <v>1112</v>
      </c>
      <c r="B1117" s="139" t="inlineStr">
        <is>
          <t>2026/06/07 16:00</t>
        </is>
      </c>
      <c r="C1117" s="139" t="inlineStr">
        <is>
          <t>NGUYỄN THỊ THỦY</t>
        </is>
      </c>
      <c r="D1117" s="139" t="inlineStr">
        <is>
          <t>01/01/1963</t>
        </is>
      </c>
      <c r="E1117" s="139" t="inlineStr">
        <is>
          <t>Xét nghiệm đường máu mao mạch tại giường (một lần)[Nội trú]</t>
        </is>
      </c>
      <c r="F1117" s="260" t="n">
        <v>1</v>
      </c>
      <c r="G1117" s="261" t="n">
        <v>35000</v>
      </c>
      <c r="H1117" s="93" t="n"/>
    </row>
    <row r="1118" hidden="1" ht="15.75" customHeight="1" s="248">
      <c r="A1118" s="92" t="n">
        <v>1113</v>
      </c>
      <c r="B1118" s="139" t="inlineStr">
        <is>
          <t>2026/06/07 16:00</t>
        </is>
      </c>
      <c r="C1118" s="139" t="inlineStr">
        <is>
          <t>PHAN NGỌC ĐIỆP</t>
        </is>
      </c>
      <c r="D1118" s="139" t="inlineStr">
        <is>
          <t>19/05/1969</t>
        </is>
      </c>
      <c r="E1118" s="139" t="inlineStr">
        <is>
          <t>Xét nghiệm đường máu mao mạch tại giường (một lần)[Nội trú]</t>
        </is>
      </c>
      <c r="F1118" s="260" t="n">
        <v>1</v>
      </c>
      <c r="G1118" s="261" t="n">
        <v>16000</v>
      </c>
      <c r="H1118" s="93" t="n"/>
    </row>
    <row r="1119" hidden="1" ht="15.75" customHeight="1" s="248">
      <c r="A1119" s="92" t="n">
        <v>1114</v>
      </c>
      <c r="B1119" s="139" t="inlineStr">
        <is>
          <t>2026/06/08 05:00</t>
        </is>
      </c>
      <c r="C1119" s="139" t="inlineStr">
        <is>
          <t>HUỲNH NGỌC SƯƠNG</t>
        </is>
      </c>
      <c r="D1119" s="139" t="inlineStr">
        <is>
          <t>05/05/1954</t>
        </is>
      </c>
      <c r="E1119" s="139" t="inlineStr">
        <is>
          <t>Xét nghiệm đường máu mao mạch tại giường (một lần)[Nội trú]</t>
        </is>
      </c>
      <c r="F1119" s="260" t="n">
        <v>1</v>
      </c>
      <c r="G1119" s="261" t="n">
        <v>35000</v>
      </c>
      <c r="H1119" s="93" t="n"/>
    </row>
    <row r="1120" hidden="1" ht="15.75" customHeight="1" s="248">
      <c r="A1120" s="92" t="n">
        <v>1115</v>
      </c>
      <c r="B1120" s="139" t="inlineStr">
        <is>
          <t>2026/06/08 05:00</t>
        </is>
      </c>
      <c r="C1120" s="139" t="inlineStr">
        <is>
          <t>KHUẤT HÙNG</t>
        </is>
      </c>
      <c r="D1120" s="139" t="inlineStr">
        <is>
          <t>01/01/1948</t>
        </is>
      </c>
      <c r="E1120" s="139" t="inlineStr">
        <is>
          <t>Xét nghiệm đường máu mao mạch tại giường (một lần)[Nội trú]</t>
        </is>
      </c>
      <c r="F1120" s="260" t="n">
        <v>1</v>
      </c>
      <c r="G1120" s="261" t="n">
        <v>35000</v>
      </c>
      <c r="H1120" s="93" t="n"/>
    </row>
    <row r="1121" hidden="1" ht="15.75" customHeight="1" s="248">
      <c r="A1121" s="92" t="n">
        <v>1116</v>
      </c>
      <c r="B1121" s="139" t="inlineStr">
        <is>
          <t>2026/06/08 05:00</t>
        </is>
      </c>
      <c r="C1121" s="139" t="inlineStr">
        <is>
          <t>NGUYỄN THỊ NGÂN</t>
        </is>
      </c>
      <c r="D1121" s="139" t="inlineStr">
        <is>
          <t>01/01/1954</t>
        </is>
      </c>
      <c r="E1121" s="139" t="inlineStr">
        <is>
          <t>Xét nghiệm đường máu mao mạch tại giường (một lần)[Nội trú]</t>
        </is>
      </c>
      <c r="F1121" s="260" t="n">
        <v>1</v>
      </c>
      <c r="G1121" s="261" t="n">
        <v>35000</v>
      </c>
      <c r="H1121" s="93" t="n"/>
    </row>
    <row r="1122" hidden="1" ht="15.75" customHeight="1" s="248">
      <c r="A1122" s="92" t="n">
        <v>1117</v>
      </c>
      <c r="B1122" s="139" t="inlineStr">
        <is>
          <t>2026/06/08 05:00</t>
        </is>
      </c>
      <c r="C1122" s="139" t="inlineStr">
        <is>
          <t>PHAN TUẤN GIỚI</t>
        </is>
      </c>
      <c r="D1122" s="139" t="inlineStr">
        <is>
          <t>15/02/1965</t>
        </is>
      </c>
      <c r="E1122" s="139" t="inlineStr">
        <is>
          <t>Xét nghiệm đường máu mao mạch tại giường (một lần)[Nội trú]</t>
        </is>
      </c>
      <c r="F1122" s="260" t="n">
        <v>1</v>
      </c>
      <c r="G1122" s="261" t="n">
        <v>35000</v>
      </c>
      <c r="H1122" s="93" t="n"/>
    </row>
    <row r="1123" hidden="1" ht="15.75" customHeight="1" s="248">
      <c r="A1123" s="92" t="n">
        <v>1118</v>
      </c>
      <c r="B1123" s="139" t="inlineStr">
        <is>
          <t>2026/06/08 05:00</t>
        </is>
      </c>
      <c r="C1123" s="139" t="inlineStr">
        <is>
          <t>VÕ THỊ HỒNG LIÊN</t>
        </is>
      </c>
      <c r="D1123" s="139" t="inlineStr">
        <is>
          <t>16/12/1948</t>
        </is>
      </c>
      <c r="E1123" s="139" t="inlineStr">
        <is>
          <t>Xét nghiệm đường máu mao mạch tại giường (một lần)[Nội trú]</t>
        </is>
      </c>
      <c r="F1123" s="260" t="n">
        <v>1</v>
      </c>
      <c r="G1123" s="261" t="n">
        <v>35000</v>
      </c>
      <c r="H1123" s="93" t="n"/>
    </row>
    <row r="1124" hidden="1" ht="15.75" customHeight="1" s="248">
      <c r="A1124" s="92" t="n">
        <v>1119</v>
      </c>
      <c r="B1124" s="139" t="inlineStr">
        <is>
          <t>2026/06/08 16:00</t>
        </is>
      </c>
      <c r="C1124" s="139" t="inlineStr">
        <is>
          <t>HUỲNH NGỌC SƯƠNG</t>
        </is>
      </c>
      <c r="D1124" s="139" t="inlineStr">
        <is>
          <t>05/05/1954</t>
        </is>
      </c>
      <c r="E1124" s="139" t="inlineStr">
        <is>
          <t>Xét nghiệm đường máu mao mạch tại giường (một lần)[Nội trú]</t>
        </is>
      </c>
      <c r="F1124" s="260" t="n">
        <v>1</v>
      </c>
      <c r="G1124" s="261" t="n">
        <v>35000</v>
      </c>
      <c r="H1124" s="93" t="n"/>
    </row>
    <row r="1125" hidden="1" ht="15.75" customHeight="1" s="248">
      <c r="A1125" s="92" t="n">
        <v>1120</v>
      </c>
      <c r="B1125" s="139" t="inlineStr">
        <is>
          <t>2026/06/08 16:00</t>
        </is>
      </c>
      <c r="C1125" s="139" t="inlineStr">
        <is>
          <t>HUỲNH VĂN BÉ</t>
        </is>
      </c>
      <c r="D1125" s="139" t="inlineStr">
        <is>
          <t>18/06/1960</t>
        </is>
      </c>
      <c r="E1125" s="139" t="inlineStr">
        <is>
          <t>Xét nghiệm đường máu mao mạch tại giường (một lần)[Nội trú]</t>
        </is>
      </c>
      <c r="F1125" s="260" t="n">
        <v>1</v>
      </c>
      <c r="G1125" s="261" t="n">
        <v>35000</v>
      </c>
      <c r="H1125" s="93" t="n"/>
    </row>
    <row r="1126" hidden="1" ht="15.75" customHeight="1" s="248">
      <c r="A1126" s="92" t="n">
        <v>1121</v>
      </c>
      <c r="B1126" s="139" t="inlineStr">
        <is>
          <t>2026/06/08 16:00</t>
        </is>
      </c>
      <c r="C1126" s="139" t="inlineStr">
        <is>
          <t>KHUẤT HÙNG</t>
        </is>
      </c>
      <c r="D1126" s="139" t="inlineStr">
        <is>
          <t>01/01/1948</t>
        </is>
      </c>
      <c r="E1126" s="139" t="inlineStr">
        <is>
          <t>Xét nghiệm đường máu mao mạch tại giường (một lần)[Nội trú]</t>
        </is>
      </c>
      <c r="F1126" s="260" t="n">
        <v>1</v>
      </c>
      <c r="G1126" s="261" t="n">
        <v>35000</v>
      </c>
      <c r="H1126" s="93" t="n"/>
    </row>
    <row r="1127" hidden="1" ht="15.75" customHeight="1" s="248">
      <c r="A1127" s="92" t="n">
        <v>1122</v>
      </c>
      <c r="B1127" s="139" t="inlineStr">
        <is>
          <t>2026/06/08 16:00</t>
        </is>
      </c>
      <c r="C1127" s="139" t="inlineStr">
        <is>
          <t>NGUYỄN THỊ NGÂN</t>
        </is>
      </c>
      <c r="D1127" s="139" t="inlineStr">
        <is>
          <t>01/01/1954</t>
        </is>
      </c>
      <c r="E1127" s="139" t="inlineStr">
        <is>
          <t>Xét nghiệm đường máu mao mạch tại giường (một lần)[Nội trú]</t>
        </is>
      </c>
      <c r="F1127" s="260" t="n">
        <v>1</v>
      </c>
      <c r="G1127" s="261" t="n">
        <v>35000</v>
      </c>
      <c r="H1127" s="93" t="n"/>
    </row>
    <row r="1128" hidden="1" ht="15.75" customHeight="1" s="248">
      <c r="A1128" s="92" t="n">
        <v>1123</v>
      </c>
      <c r="B1128" s="139" t="inlineStr">
        <is>
          <t>2026/06/08 16:00</t>
        </is>
      </c>
      <c r="C1128" s="139" t="inlineStr">
        <is>
          <t>PHAN NGỌC ĐIỆP</t>
        </is>
      </c>
      <c r="D1128" s="139" t="inlineStr">
        <is>
          <t>19/05/1969</t>
        </is>
      </c>
      <c r="E1128" s="139" t="inlineStr">
        <is>
          <t>Xét nghiệm đường máu mao mạch tại giường (một lần)[Nội trú]</t>
        </is>
      </c>
      <c r="F1128" s="260" t="n">
        <v>1</v>
      </c>
      <c r="G1128" s="261" t="n">
        <v>16000</v>
      </c>
      <c r="H1128" s="93" t="n"/>
    </row>
    <row r="1129" hidden="1" ht="15.75" customHeight="1" s="248">
      <c r="A1129" s="92" t="n">
        <v>1124</v>
      </c>
      <c r="B1129" s="139" t="inlineStr">
        <is>
          <t>2026/06/09 05:00</t>
        </is>
      </c>
      <c r="C1129" s="139" t="inlineStr">
        <is>
          <t>CAO THỊ CAM</t>
        </is>
      </c>
      <c r="D1129" s="139" t="inlineStr">
        <is>
          <t>01/01/1946</t>
        </is>
      </c>
      <c r="E1129" s="139" t="inlineStr">
        <is>
          <t>Xét nghiệm đường máu mao mạch tại giường (một lần)[Nội trú]</t>
        </is>
      </c>
      <c r="F1129" s="260" t="n">
        <v>1</v>
      </c>
      <c r="G1129" s="261" t="n">
        <v>35000</v>
      </c>
      <c r="H1129" s="93" t="n"/>
    </row>
    <row r="1130" hidden="1" ht="15.75" customHeight="1" s="248">
      <c r="A1130" s="92" t="n">
        <v>1125</v>
      </c>
      <c r="B1130" s="139" t="inlineStr">
        <is>
          <t>2026/06/09 05:00</t>
        </is>
      </c>
      <c r="C1130" s="139" t="inlineStr">
        <is>
          <t>HUỲNH VĂN BÉ</t>
        </is>
      </c>
      <c r="D1130" s="139" t="inlineStr">
        <is>
          <t>18/06/1960</t>
        </is>
      </c>
      <c r="E1130" s="139" t="inlineStr">
        <is>
          <t>Xét nghiệm đường máu mao mạch tại giường (một lần)[Nội trú]</t>
        </is>
      </c>
      <c r="F1130" s="260" t="n">
        <v>1</v>
      </c>
      <c r="G1130" s="261" t="n">
        <v>35000</v>
      </c>
      <c r="H1130" s="93" t="n"/>
    </row>
    <row r="1131" hidden="1" ht="15.75" customHeight="1" s="248">
      <c r="A1131" s="92" t="n">
        <v>1126</v>
      </c>
      <c r="B1131" s="139" t="inlineStr">
        <is>
          <t>2026/06/09 05:00</t>
        </is>
      </c>
      <c r="C1131" s="139" t="inlineStr">
        <is>
          <t>PHAN NGỌC ĐIỆP</t>
        </is>
      </c>
      <c r="D1131" s="139" t="inlineStr">
        <is>
          <t>19/05/1969</t>
        </is>
      </c>
      <c r="E1131" s="139" t="inlineStr">
        <is>
          <t>Xét nghiệm đường máu mao mạch tại giường (một lần)[Nội trú]</t>
        </is>
      </c>
      <c r="F1131" s="260" t="n">
        <v>1</v>
      </c>
      <c r="G1131" s="261" t="n">
        <v>16000</v>
      </c>
      <c r="H1131" s="93" t="n"/>
    </row>
    <row r="1132" hidden="1" ht="15.75" customHeight="1" s="248">
      <c r="A1132" s="92" t="n">
        <v>1127</v>
      </c>
      <c r="B1132" s="139" t="inlineStr">
        <is>
          <t>2026/06/09 05:00</t>
        </is>
      </c>
      <c r="C1132" s="139" t="inlineStr">
        <is>
          <t>HUỲNH NGỌC SƯƠNG</t>
        </is>
      </c>
      <c r="D1132" s="139" t="inlineStr">
        <is>
          <t>05/05/1954</t>
        </is>
      </c>
      <c r="E1132" s="139" t="inlineStr">
        <is>
          <t>Xét nghiệm đường máu mao mạch tại giường (một lần)[Nội trú]</t>
        </is>
      </c>
      <c r="F1132" s="260" t="n">
        <v>1</v>
      </c>
      <c r="G1132" s="261" t="n">
        <v>16000</v>
      </c>
      <c r="H1132" s="93" t="n"/>
    </row>
    <row r="1133" hidden="1" ht="15.75" customHeight="1" s="248">
      <c r="A1133" s="92" t="n">
        <v>1128</v>
      </c>
      <c r="B1133" s="139" t="inlineStr">
        <is>
          <t>2026/06/09 05:00</t>
        </is>
      </c>
      <c r="C1133" s="139" t="inlineStr">
        <is>
          <t>KHUẤT HÙNG</t>
        </is>
      </c>
      <c r="D1133" s="139" t="inlineStr">
        <is>
          <t>01/01/1948</t>
        </is>
      </c>
      <c r="E1133" s="139" t="inlineStr">
        <is>
          <t>Xét nghiệm đường máu mao mạch tại giường (một lần)[Nội trú]</t>
        </is>
      </c>
      <c r="F1133" s="260" t="n">
        <v>1</v>
      </c>
      <c r="G1133" s="261" t="n">
        <v>16000</v>
      </c>
      <c r="H1133" s="93" t="n"/>
    </row>
    <row r="1134" hidden="1" ht="15.75" customHeight="1" s="248">
      <c r="A1134" s="92" t="n">
        <v>1129</v>
      </c>
      <c r="B1134" s="139" t="inlineStr">
        <is>
          <t>2026/06/09 05:00</t>
        </is>
      </c>
      <c r="C1134" s="139" t="inlineStr">
        <is>
          <t>NGUYỄN THỊ NGÂN</t>
        </is>
      </c>
      <c r="D1134" s="139" t="inlineStr">
        <is>
          <t>01/01/1954</t>
        </is>
      </c>
      <c r="E1134" s="139" t="inlineStr">
        <is>
          <t>Xét nghiệm đường máu mao mạch tại giường (một lần)[Nội trú]</t>
        </is>
      </c>
      <c r="F1134" s="260" t="n">
        <v>1</v>
      </c>
      <c r="G1134" s="261" t="n">
        <v>16000</v>
      </c>
      <c r="H1134" s="93" t="n"/>
    </row>
    <row r="1135" hidden="1" ht="15.75" customHeight="1" s="248">
      <c r="A1135" s="92" t="n">
        <v>1130</v>
      </c>
      <c r="B1135" s="139" t="inlineStr">
        <is>
          <t>2026/06/09 11:00</t>
        </is>
      </c>
      <c r="C1135" s="139" t="inlineStr">
        <is>
          <t>NGUYỄN THỊ NGÂN</t>
        </is>
      </c>
      <c r="D1135" s="139" t="inlineStr">
        <is>
          <t>01/01/1954</t>
        </is>
      </c>
      <c r="E1135" s="139" t="inlineStr">
        <is>
          <t>Xét nghiệm đường máu mao mạch tại giường (một lần)[Nội trú]</t>
        </is>
      </c>
      <c r="F1135" s="260" t="n">
        <v>1</v>
      </c>
      <c r="G1135" s="261" t="n">
        <v>16000</v>
      </c>
      <c r="H1135" s="93" t="n"/>
    </row>
    <row r="1136" hidden="1" ht="15.75" customHeight="1" s="248">
      <c r="A1136" s="92" t="n">
        <v>1131</v>
      </c>
      <c r="B1136" s="139" t="inlineStr">
        <is>
          <t>2026/06/09 16:00</t>
        </is>
      </c>
      <c r="C1136" s="139" t="inlineStr">
        <is>
          <t>CAO THỊ CAM</t>
        </is>
      </c>
      <c r="D1136" s="139" t="inlineStr">
        <is>
          <t>01/01/1946</t>
        </is>
      </c>
      <c r="E1136" s="139" t="inlineStr">
        <is>
          <t>Xét nghiệm đường máu mao mạch tại giường (một lần)[Nội trú]</t>
        </is>
      </c>
      <c r="F1136" s="260" t="n">
        <v>1</v>
      </c>
      <c r="G1136" s="261" t="n">
        <v>35000</v>
      </c>
      <c r="H1136" s="93" t="n"/>
    </row>
    <row r="1137" hidden="1" ht="15.75" customHeight="1" s="248">
      <c r="A1137" s="92" t="n">
        <v>1132</v>
      </c>
      <c r="B1137" s="139" t="inlineStr">
        <is>
          <t>2026/06/09 16:00</t>
        </is>
      </c>
      <c r="C1137" s="139" t="inlineStr">
        <is>
          <t>HUỲNH VĂN BÉ</t>
        </is>
      </c>
      <c r="D1137" s="139" t="inlineStr">
        <is>
          <t>18/06/1960</t>
        </is>
      </c>
      <c r="E1137" s="139" t="inlineStr">
        <is>
          <t>Xét nghiệm đường máu mao mạch tại giường (một lần)[Nội trú]</t>
        </is>
      </c>
      <c r="F1137" s="260" t="n">
        <v>1</v>
      </c>
      <c r="G1137" s="261" t="n">
        <v>35000</v>
      </c>
      <c r="H1137" s="93" t="n"/>
    </row>
    <row r="1138" hidden="1" ht="15.75" customHeight="1" s="248">
      <c r="A1138" s="92" t="n">
        <v>1133</v>
      </c>
      <c r="B1138" s="139" t="inlineStr">
        <is>
          <t>2026/06/09 16:00</t>
        </is>
      </c>
      <c r="C1138" s="139" t="inlineStr">
        <is>
          <t>KHUẤT HÙNG</t>
        </is>
      </c>
      <c r="D1138" s="139" t="inlineStr">
        <is>
          <t>01/01/1948</t>
        </is>
      </c>
      <c r="E1138" s="139" t="inlineStr">
        <is>
          <t>Xét nghiệm đường máu mao mạch tại giường (một lần)[Nội trú]</t>
        </is>
      </c>
      <c r="F1138" s="260" t="n">
        <v>1</v>
      </c>
      <c r="G1138" s="261" t="n">
        <v>35000</v>
      </c>
      <c r="H1138" s="93" t="n"/>
    </row>
    <row r="1139" hidden="1" ht="15.75" customHeight="1" s="248">
      <c r="A1139" s="92" t="n">
        <v>1134</v>
      </c>
      <c r="B1139" s="139" t="inlineStr">
        <is>
          <t>2026/06/09 16:00</t>
        </is>
      </c>
      <c r="C1139" s="139" t="inlineStr">
        <is>
          <t>HUỲNH NGỌC SƯƠNG</t>
        </is>
      </c>
      <c r="D1139" s="139" t="inlineStr">
        <is>
          <t>05/05/1954</t>
        </is>
      </c>
      <c r="E1139" s="139" t="inlineStr">
        <is>
          <t>Xét nghiệm đường máu mao mạch tại giường (một lần)[Nội trú]</t>
        </is>
      </c>
      <c r="F1139" s="260" t="n">
        <v>1</v>
      </c>
      <c r="G1139" s="261" t="n">
        <v>16000</v>
      </c>
      <c r="H1139" s="93" t="n"/>
    </row>
    <row r="1140" hidden="1" ht="15.75" customHeight="1" s="248">
      <c r="A1140" s="92" t="n">
        <v>1135</v>
      </c>
      <c r="B1140" s="139" t="inlineStr">
        <is>
          <t>2026/06/09 16:00</t>
        </is>
      </c>
      <c r="C1140" s="139" t="inlineStr">
        <is>
          <t>NGUYỄN THỊ NGÂN</t>
        </is>
      </c>
      <c r="D1140" s="139" t="inlineStr">
        <is>
          <t>01/01/1954</t>
        </is>
      </c>
      <c r="E1140" s="139" t="inlineStr">
        <is>
          <t>Xét nghiệm đường máu mao mạch tại giường (một lần)[Nội trú]</t>
        </is>
      </c>
      <c r="F1140" s="260" t="n">
        <v>1</v>
      </c>
      <c r="G1140" s="261" t="n">
        <v>16000</v>
      </c>
      <c r="H1140" s="93" t="n"/>
    </row>
    <row r="1141" hidden="1" ht="15.75" customHeight="1" s="248">
      <c r="A1141" s="92" t="n">
        <v>1136</v>
      </c>
      <c r="B1141" s="139" t="inlineStr">
        <is>
          <t>2026/06/10 05:00</t>
        </is>
      </c>
      <c r="C1141" s="139" t="inlineStr">
        <is>
          <t>HUỲNH NGỌC SƯƠNG</t>
        </is>
      </c>
      <c r="D1141" s="139" t="inlineStr">
        <is>
          <t>05/05/1954</t>
        </is>
      </c>
      <c r="E1141" s="139" t="inlineStr">
        <is>
          <t>Xét nghiệm đường máu mao mạch tại giường (một lần)[Nội trú]</t>
        </is>
      </c>
      <c r="F1141" s="260" t="n">
        <v>1</v>
      </c>
      <c r="G1141" s="261" t="n">
        <v>35000</v>
      </c>
      <c r="H1141" s="93" t="n"/>
    </row>
    <row r="1142" hidden="1" ht="15.75" customHeight="1" s="248">
      <c r="A1142" s="92" t="n">
        <v>1137</v>
      </c>
      <c r="B1142" s="139" t="inlineStr">
        <is>
          <t>2026/06/10 05:00</t>
        </is>
      </c>
      <c r="C1142" s="139" t="inlineStr">
        <is>
          <t>HUỲNH VĂN BÉ</t>
        </is>
      </c>
      <c r="D1142" s="139" t="inlineStr">
        <is>
          <t>18/06/1960</t>
        </is>
      </c>
      <c r="E1142" s="139" t="inlineStr">
        <is>
          <t>Xét nghiệm đường máu mao mạch tại giường (một lần)[Nội trú]</t>
        </is>
      </c>
      <c r="F1142" s="260" t="n">
        <v>1</v>
      </c>
      <c r="G1142" s="261" t="n">
        <v>16000</v>
      </c>
      <c r="H1142" s="93" t="n"/>
    </row>
    <row r="1143" hidden="1" ht="15.75" customHeight="1" s="248">
      <c r="A1143" s="92" t="n">
        <v>1138</v>
      </c>
      <c r="B1143" s="139" t="inlineStr">
        <is>
          <t>2026/06/10 05:00</t>
        </is>
      </c>
      <c r="C1143" s="139" t="inlineStr">
        <is>
          <t>PHAN NGỌC ĐIỆP</t>
        </is>
      </c>
      <c r="D1143" s="139" t="inlineStr">
        <is>
          <t>19/05/1969</t>
        </is>
      </c>
      <c r="E1143" s="139" t="inlineStr">
        <is>
          <t>Xét nghiệm đường máu mao mạch tại giường (một lần)[Nội trú]</t>
        </is>
      </c>
      <c r="F1143" s="260" t="n">
        <v>1</v>
      </c>
      <c r="G1143" s="261" t="n">
        <v>16000</v>
      </c>
      <c r="H1143" s="93" t="n"/>
    </row>
    <row r="1144" hidden="1" ht="15.75" customHeight="1" s="248">
      <c r="A1144" s="92" t="n">
        <v>1139</v>
      </c>
      <c r="B1144" s="139" t="inlineStr">
        <is>
          <t>2026/06/10 05:00</t>
        </is>
      </c>
      <c r="C1144" s="139" t="inlineStr">
        <is>
          <t>TRIỆU HOÀNG LONG</t>
        </is>
      </c>
      <c r="D1144" s="139" t="inlineStr">
        <is>
          <t>01/01/1963</t>
        </is>
      </c>
      <c r="E1144" s="139" t="inlineStr">
        <is>
          <t>Xét nghiệm đường máu mao mạch tại giường (một lần)[Nội trú]</t>
        </is>
      </c>
      <c r="F1144" s="260" t="n">
        <v>1</v>
      </c>
      <c r="G1144" s="261" t="n">
        <v>35000</v>
      </c>
      <c r="H1144" s="93" t="n"/>
    </row>
    <row r="1145" hidden="1" ht="15.75" customHeight="1" s="248">
      <c r="A1145" s="92" t="n">
        <v>1140</v>
      </c>
      <c r="B1145" s="139" t="inlineStr">
        <is>
          <t>2026/06/10 05:00</t>
        </is>
      </c>
      <c r="C1145" s="139" t="inlineStr">
        <is>
          <t>VÕ THỊ HỒNG LIÊN</t>
        </is>
      </c>
      <c r="D1145" s="139" t="inlineStr">
        <is>
          <t>16/12/1948</t>
        </is>
      </c>
      <c r="E1145" s="139" t="inlineStr">
        <is>
          <t>Xét nghiệm đường máu mao mạch tại giường (một lần)[Nội trú]</t>
        </is>
      </c>
      <c r="F1145" s="260" t="n">
        <v>1</v>
      </c>
      <c r="G1145" s="261" t="n">
        <v>35000</v>
      </c>
      <c r="H1145" s="93" t="n"/>
    </row>
    <row r="1146" hidden="1" ht="15.75" customHeight="1" s="248">
      <c r="A1146" s="92" t="n">
        <v>1141</v>
      </c>
      <c r="B1146" s="139" t="inlineStr">
        <is>
          <t>2026/06/10 05:00</t>
        </is>
      </c>
      <c r="C1146" s="139" t="inlineStr">
        <is>
          <t>NGUYỄN THỊ NGÂN</t>
        </is>
      </c>
      <c r="D1146" s="139" t="inlineStr">
        <is>
          <t>01/01/1954</t>
        </is>
      </c>
      <c r="E1146" s="139" t="inlineStr">
        <is>
          <t>Xét nghiệm đường máu mao mạch tại giường (một lần)[Nội trú]</t>
        </is>
      </c>
      <c r="F1146" s="260" t="n">
        <v>1</v>
      </c>
      <c r="G1146" s="261" t="n">
        <v>16000</v>
      </c>
      <c r="H1146" s="93" t="n"/>
    </row>
    <row r="1147" hidden="1" ht="15.75" customHeight="1" s="248">
      <c r="A1147" s="92" t="n">
        <v>1142</v>
      </c>
      <c r="B1147" s="139" t="inlineStr">
        <is>
          <t>2026/06/10 16:00</t>
        </is>
      </c>
      <c r="C1147" s="139" t="inlineStr">
        <is>
          <t>LÝ VĂN KHƯƠNG</t>
        </is>
      </c>
      <c r="D1147" s="139" t="inlineStr">
        <is>
          <t>05/06/1970</t>
        </is>
      </c>
      <c r="E1147" s="139" t="inlineStr">
        <is>
          <t>Xét nghiệm đường máu mao mạch tại giường (một lần)[Nội trú]</t>
        </is>
      </c>
      <c r="F1147" s="260" t="n">
        <v>1</v>
      </c>
      <c r="G1147" s="261" t="n">
        <v>35000</v>
      </c>
      <c r="H1147" s="93" t="n"/>
    </row>
    <row r="1148" hidden="1" ht="15.75" customHeight="1" s="248">
      <c r="A1148" s="92" t="n">
        <v>1143</v>
      </c>
      <c r="B1148" s="139" t="inlineStr">
        <is>
          <t>2026/06/10 16:00</t>
        </is>
      </c>
      <c r="C1148" s="139" t="inlineStr">
        <is>
          <t>NGUYỄN THỊ NGÂN</t>
        </is>
      </c>
      <c r="D1148" s="139" t="inlineStr">
        <is>
          <t>01/01/1954</t>
        </is>
      </c>
      <c r="E1148" s="139" t="inlineStr">
        <is>
          <t>Xét nghiệm đường máu mao mạch tại giường (một lần)[Nội trú]</t>
        </is>
      </c>
      <c r="F1148" s="260" t="n">
        <v>1</v>
      </c>
      <c r="G1148" s="261" t="n">
        <v>35000</v>
      </c>
      <c r="H1148" s="93" t="n"/>
    </row>
    <row r="1149" hidden="1" ht="15.75" customHeight="1" s="248">
      <c r="A1149" s="92" t="n">
        <v>1144</v>
      </c>
      <c r="B1149" s="139" t="inlineStr">
        <is>
          <t>2026/06/10 16:00</t>
        </is>
      </c>
      <c r="C1149" s="139" t="inlineStr">
        <is>
          <t>PHAN NGỌC ĐIỆP</t>
        </is>
      </c>
      <c r="D1149" s="139" t="inlineStr">
        <is>
          <t>19/05/1969</t>
        </is>
      </c>
      <c r="E1149" s="139" t="inlineStr">
        <is>
          <t>Xét nghiệm đường máu mao mạch tại giường (một lần)[Nội trú]</t>
        </is>
      </c>
      <c r="F1149" s="260" t="n">
        <v>1</v>
      </c>
      <c r="G1149" s="261" t="n">
        <v>16000</v>
      </c>
      <c r="H1149" s="93" t="n"/>
    </row>
    <row r="1150" hidden="1" ht="15.75" customHeight="1" s="248">
      <c r="A1150" s="92" t="n">
        <v>1145</v>
      </c>
      <c r="B1150" s="139" t="inlineStr">
        <is>
          <t>2026/06/10 16:00</t>
        </is>
      </c>
      <c r="C1150" s="139" t="inlineStr">
        <is>
          <t>TRIỆU HOÀNG LONG</t>
        </is>
      </c>
      <c r="D1150" s="139" t="inlineStr">
        <is>
          <t>01/01/1963</t>
        </is>
      </c>
      <c r="E1150" s="139" t="inlineStr">
        <is>
          <t>Xét nghiệm đường máu mao mạch tại giường (một lần)[Nội trú]</t>
        </is>
      </c>
      <c r="F1150" s="260" t="n">
        <v>1</v>
      </c>
      <c r="G1150" s="261" t="n">
        <v>35000</v>
      </c>
      <c r="H1150" s="93" t="n"/>
    </row>
    <row r="1151" hidden="1" ht="15.75" customHeight="1" s="248">
      <c r="A1151" s="92" t="n">
        <v>1146</v>
      </c>
      <c r="B1151" s="139" t="inlineStr">
        <is>
          <t>2026/06/10 16:00</t>
        </is>
      </c>
      <c r="C1151" s="139" t="inlineStr">
        <is>
          <t>VÕ THỊ HỒNG LIÊN</t>
        </is>
      </c>
      <c r="D1151" s="139" t="inlineStr">
        <is>
          <t>16/12/1948</t>
        </is>
      </c>
      <c r="E1151" s="139" t="inlineStr">
        <is>
          <t>Xét nghiệm đường máu mao mạch tại giường (một lần)[Nội trú]</t>
        </is>
      </c>
      <c r="F1151" s="260" t="n">
        <v>1</v>
      </c>
      <c r="G1151" s="261" t="n">
        <v>35000</v>
      </c>
      <c r="H1151" s="93" t="n"/>
    </row>
    <row r="1152" hidden="1" ht="15.75" customHeight="1" s="248">
      <c r="A1152" s="92" t="n">
        <v>1147</v>
      </c>
      <c r="B1152" s="139" t="inlineStr">
        <is>
          <t>2026/06/11 05:00</t>
        </is>
      </c>
      <c r="C1152" s="139" t="inlineStr">
        <is>
          <t>HUỲNH NGỌC SƯƠNG</t>
        </is>
      </c>
      <c r="D1152" s="139" t="inlineStr">
        <is>
          <t>05/05/1954</t>
        </is>
      </c>
      <c r="E1152" s="139" t="inlineStr">
        <is>
          <t>Xét nghiệm đường máu mao mạch tại giường (một lần)[Nội trú]</t>
        </is>
      </c>
      <c r="F1152" s="260" t="n">
        <v>1</v>
      </c>
      <c r="G1152" s="261" t="n">
        <v>35000</v>
      </c>
      <c r="H1152" s="93" t="n"/>
    </row>
    <row r="1153" hidden="1" ht="15.75" customHeight="1" s="248">
      <c r="A1153" s="92" t="n">
        <v>1148</v>
      </c>
      <c r="B1153" s="139" t="inlineStr">
        <is>
          <t>2026/06/11 05:00</t>
        </is>
      </c>
      <c r="C1153" s="139" t="inlineStr">
        <is>
          <t>LÝ VĂN KHƯƠNG</t>
        </is>
      </c>
      <c r="D1153" s="139" t="inlineStr">
        <is>
          <t>05/06/1970</t>
        </is>
      </c>
      <c r="E1153" s="139" t="inlineStr">
        <is>
          <t>Xét nghiệm đường máu mao mạch tại giường (một lần)[Nội trú]</t>
        </is>
      </c>
      <c r="F1153" s="260" t="n">
        <v>1</v>
      </c>
      <c r="G1153" s="261" t="n">
        <v>16000</v>
      </c>
      <c r="H1153" s="93" t="n"/>
    </row>
    <row r="1154" hidden="1" ht="15.75" customHeight="1" s="248">
      <c r="A1154" s="92" t="n">
        <v>1149</v>
      </c>
      <c r="B1154" s="139" t="inlineStr">
        <is>
          <t>2026/06/11 05:00</t>
        </is>
      </c>
      <c r="C1154" s="139" t="inlineStr">
        <is>
          <t>TRIỆU HOÀNG LONG</t>
        </is>
      </c>
      <c r="D1154" s="139" t="inlineStr">
        <is>
          <t>01/01/1963</t>
        </is>
      </c>
      <c r="E1154" s="139" t="inlineStr">
        <is>
          <t>Xét nghiệm đường máu mao mạch tại giường (một lần)[Nội trú]</t>
        </is>
      </c>
      <c r="F1154" s="260" t="n">
        <v>1</v>
      </c>
      <c r="G1154" s="261" t="n">
        <v>16000</v>
      </c>
      <c r="H1154" s="93" t="n"/>
    </row>
    <row r="1155" hidden="1" ht="15.75" customHeight="1" s="248">
      <c r="A1155" s="92" t="n">
        <v>1150</v>
      </c>
      <c r="B1155" s="139" t="inlineStr">
        <is>
          <t>2026/06/11 05:00</t>
        </is>
      </c>
      <c r="C1155" s="139" t="inlineStr">
        <is>
          <t>NGUYỄN THỊ NGÂN</t>
        </is>
      </c>
      <c r="D1155" s="139" t="inlineStr">
        <is>
          <t>01/01/1954</t>
        </is>
      </c>
      <c r="E1155" s="139" t="inlineStr">
        <is>
          <t>Xét nghiệm đường máu mao mạch tại giường (một lần)[Nội trú]</t>
        </is>
      </c>
      <c r="F1155" s="260" t="n">
        <v>1</v>
      </c>
      <c r="G1155" s="261" t="n">
        <v>16000</v>
      </c>
      <c r="H1155" s="93" t="n"/>
    </row>
    <row r="1156" hidden="1" ht="15.75" customHeight="1" s="248">
      <c r="A1156" s="92" t="n">
        <v>1151</v>
      </c>
      <c r="B1156" s="139" t="inlineStr">
        <is>
          <t>2026/06/11 05:00</t>
        </is>
      </c>
      <c r="C1156" s="139" t="inlineStr">
        <is>
          <t>VÕ THỊ HỒNG LIÊN</t>
        </is>
      </c>
      <c r="D1156" s="139" t="inlineStr">
        <is>
          <t>16/12/1948</t>
        </is>
      </c>
      <c r="E1156" s="139" t="inlineStr">
        <is>
          <t>Xét nghiệm đường máu mao mạch tại giường (một lần)[Nội trú]</t>
        </is>
      </c>
      <c r="F1156" s="260" t="n">
        <v>1</v>
      </c>
      <c r="G1156" s="261" t="n">
        <v>16000</v>
      </c>
      <c r="H1156" s="93" t="n"/>
    </row>
    <row r="1157" hidden="1" ht="15.75" customHeight="1" s="248">
      <c r="A1157" s="92" t="n">
        <v>1152</v>
      </c>
      <c r="B1157" s="139" t="inlineStr">
        <is>
          <t>2026/06/11 16:00</t>
        </is>
      </c>
      <c r="C1157" s="139" t="inlineStr">
        <is>
          <t>HUỲNH NGỌC SƯƠNG</t>
        </is>
      </c>
      <c r="D1157" s="139" t="inlineStr">
        <is>
          <t>05/05/1954</t>
        </is>
      </c>
      <c r="E1157" s="139" t="inlineStr">
        <is>
          <t>Xét nghiệm đường máu mao mạch tại giường (một lần)[Nội trú]</t>
        </is>
      </c>
      <c r="F1157" s="260" t="n">
        <v>1</v>
      </c>
      <c r="G1157" s="261" t="n">
        <v>35000</v>
      </c>
      <c r="H1157" s="93" t="n"/>
    </row>
    <row r="1158" hidden="1" ht="15.75" customHeight="1" s="248">
      <c r="A1158" s="92" t="n">
        <v>1153</v>
      </c>
      <c r="B1158" s="139" t="inlineStr">
        <is>
          <t>2026/06/11 16:00</t>
        </is>
      </c>
      <c r="C1158" s="139" t="inlineStr">
        <is>
          <t>KHUẤT HÙNG</t>
        </is>
      </c>
      <c r="D1158" s="139" t="inlineStr">
        <is>
          <t>01/01/1948</t>
        </is>
      </c>
      <c r="E1158" s="139" t="inlineStr">
        <is>
          <t>Xét nghiệm đường máu mao mạch tại giường (một lần)[Nội trú]</t>
        </is>
      </c>
      <c r="F1158" s="260" t="n">
        <v>1</v>
      </c>
      <c r="G1158" s="261" t="n">
        <v>35000</v>
      </c>
      <c r="H1158" s="93" t="n"/>
    </row>
    <row r="1159" hidden="1" ht="15.75" customHeight="1" s="248">
      <c r="A1159" s="92" t="n">
        <v>1154</v>
      </c>
      <c r="B1159" s="139" t="inlineStr">
        <is>
          <t>2026/06/11 16:00</t>
        </is>
      </c>
      <c r="C1159" s="139" t="inlineStr">
        <is>
          <t>NGUYỄN THỊ NGÂN</t>
        </is>
      </c>
      <c r="D1159" s="139" t="inlineStr">
        <is>
          <t>01/01/1954</t>
        </is>
      </c>
      <c r="E1159" s="139" t="inlineStr">
        <is>
          <t>Xét nghiệm đường máu mao mạch tại giường (một lần)[Nội trú]</t>
        </is>
      </c>
      <c r="F1159" s="260" t="n">
        <v>1</v>
      </c>
      <c r="G1159" s="261" t="n">
        <v>35000</v>
      </c>
      <c r="H1159" s="93" t="n"/>
    </row>
    <row r="1160" hidden="1" ht="15.75" customHeight="1" s="248">
      <c r="A1160" s="92" t="n">
        <v>1155</v>
      </c>
      <c r="B1160" s="139" t="inlineStr">
        <is>
          <t>2026/06/12 05:00</t>
        </is>
      </c>
      <c r="C1160" s="139" t="inlineStr">
        <is>
          <t>LÊ VĂN MẠNH</t>
        </is>
      </c>
      <c r="D1160" s="139" t="inlineStr">
        <is>
          <t>01/01/1967</t>
        </is>
      </c>
      <c r="E1160" s="139" t="inlineStr">
        <is>
          <t>Xét nghiệm đường máu mao mạch tại giường (một lần)[Nội trú]</t>
        </is>
      </c>
      <c r="F1160" s="260" t="n">
        <v>1</v>
      </c>
      <c r="G1160" s="261" t="n">
        <v>35000</v>
      </c>
      <c r="H1160" s="93" t="n"/>
    </row>
    <row r="1161" hidden="1" ht="15.75" customHeight="1" s="248">
      <c r="A1161" s="92" t="n">
        <v>1156</v>
      </c>
      <c r="B1161" s="139" t="inlineStr">
        <is>
          <t>2026/06/12 05:00</t>
        </is>
      </c>
      <c r="C1161" s="139" t="inlineStr">
        <is>
          <t>PHAN VĂN ĐƯỢC</t>
        </is>
      </c>
      <c r="D1161" s="139" t="inlineStr">
        <is>
          <t>01/01/1934</t>
        </is>
      </c>
      <c r="E1161" s="139" t="inlineStr">
        <is>
          <t>Xét nghiệm đường máu mao mạch tại giường (một lần)[Nội trú]</t>
        </is>
      </c>
      <c r="F1161" s="260" t="n">
        <v>1</v>
      </c>
      <c r="G1161" s="261" t="n">
        <v>35000</v>
      </c>
      <c r="H1161" s="93" t="n"/>
    </row>
    <row r="1162" hidden="1" ht="15.75" customHeight="1" s="248">
      <c r="A1162" s="92" t="n">
        <v>1157</v>
      </c>
      <c r="B1162" s="139" t="inlineStr">
        <is>
          <t>2026/06/12 05:00</t>
        </is>
      </c>
      <c r="C1162" s="139" t="inlineStr">
        <is>
          <t>TRIỆU HOÀNG LONG</t>
        </is>
      </c>
      <c r="D1162" s="139" t="inlineStr">
        <is>
          <t>01/01/1963</t>
        </is>
      </c>
      <c r="E1162" s="139" t="inlineStr">
        <is>
          <t>Xét nghiệm đường máu mao mạch tại giường (một lần)[Nội trú]</t>
        </is>
      </c>
      <c r="F1162" s="260" t="n">
        <v>1</v>
      </c>
      <c r="G1162" s="261" t="n">
        <v>35000</v>
      </c>
      <c r="H1162" s="93" t="n"/>
    </row>
    <row r="1163" hidden="1" ht="15.75" customHeight="1" s="248">
      <c r="A1163" s="92" t="n">
        <v>1158</v>
      </c>
      <c r="B1163" s="139" t="inlineStr">
        <is>
          <t>2026/06/12 05:00</t>
        </is>
      </c>
      <c r="C1163" s="139" t="inlineStr">
        <is>
          <t>VÕ THỊ HỒNG LIÊN</t>
        </is>
      </c>
      <c r="D1163" s="139" t="inlineStr">
        <is>
          <t>16/12/1948</t>
        </is>
      </c>
      <c r="E1163" s="139" t="inlineStr">
        <is>
          <t>Xét nghiệm đường máu mao mạch tại giường (một lần)[Nội trú]</t>
        </is>
      </c>
      <c r="F1163" s="260" t="n">
        <v>1</v>
      </c>
      <c r="G1163" s="261" t="n">
        <v>35000</v>
      </c>
      <c r="H1163" s="93" t="n"/>
    </row>
    <row r="1164" hidden="1" ht="15.75" customHeight="1" s="248">
      <c r="A1164" s="92" t="n">
        <v>1159</v>
      </c>
      <c r="B1164" s="139" t="inlineStr">
        <is>
          <t>2026/06/12 05:00</t>
        </is>
      </c>
      <c r="C1164" s="139" t="inlineStr">
        <is>
          <t>ĐINH THỊ THI</t>
        </is>
      </c>
      <c r="D1164" s="139" t="inlineStr">
        <is>
          <t>01/01/1971</t>
        </is>
      </c>
      <c r="E1164" s="139" t="inlineStr">
        <is>
          <t>Xét nghiệm đường máu mao mạch tại giường (một lần)[Nội trú]</t>
        </is>
      </c>
      <c r="F1164" s="260" t="n">
        <v>1</v>
      </c>
      <c r="G1164" s="261" t="n">
        <v>35000</v>
      </c>
      <c r="H1164" s="93" t="n"/>
    </row>
    <row r="1165" hidden="1" ht="15.75" customHeight="1" s="248">
      <c r="A1165" s="92" t="n">
        <v>1160</v>
      </c>
      <c r="B1165" s="139" t="inlineStr">
        <is>
          <t>2026/06/12 05:00</t>
        </is>
      </c>
      <c r="C1165" s="139" t="inlineStr">
        <is>
          <t>HUỲNH NGỌC SƯƠNG</t>
        </is>
      </c>
      <c r="D1165" s="139" t="inlineStr">
        <is>
          <t>05/05/1954</t>
        </is>
      </c>
      <c r="E1165" s="139" t="inlineStr">
        <is>
          <t>Xét nghiệm đường máu mao mạch tại giường (một lần)[Nội trú]</t>
        </is>
      </c>
      <c r="F1165" s="260" t="n">
        <v>1</v>
      </c>
      <c r="G1165" s="261" t="n">
        <v>16000</v>
      </c>
      <c r="H1165" s="93" t="n"/>
    </row>
    <row r="1166" hidden="1" ht="15.75" customHeight="1" s="248">
      <c r="A1166" s="92" t="n">
        <v>1161</v>
      </c>
      <c r="B1166" s="139" t="inlineStr">
        <is>
          <t>2026/06/12 05:00</t>
        </is>
      </c>
      <c r="C1166" s="139" t="inlineStr">
        <is>
          <t>NGUYỄN THỊ NGÂN</t>
        </is>
      </c>
      <c r="D1166" s="139" t="inlineStr">
        <is>
          <t>01/01/1954</t>
        </is>
      </c>
      <c r="E1166" s="139" t="inlineStr">
        <is>
          <t>Xét nghiệm đường máu mao mạch tại giường (một lần)[Nội trú]</t>
        </is>
      </c>
      <c r="F1166" s="260" t="n">
        <v>1</v>
      </c>
      <c r="G1166" s="261" t="n">
        <v>16000</v>
      </c>
      <c r="H1166" s="93" t="n"/>
    </row>
    <row r="1167" hidden="1" ht="15.75" customHeight="1" s="248">
      <c r="A1167" s="92" t="n">
        <v>1162</v>
      </c>
      <c r="B1167" s="139" t="inlineStr">
        <is>
          <t>2026/06/12 09:00</t>
        </is>
      </c>
      <c r="C1167" s="139" t="inlineStr">
        <is>
          <t>ĐINH THỊ THI</t>
        </is>
      </c>
      <c r="D1167" s="139" t="inlineStr">
        <is>
          <t>01/01/1971</t>
        </is>
      </c>
      <c r="E1167" s="139" t="inlineStr">
        <is>
          <t>Xét nghiệm đường máu mao mạch tại giường (một lần)[Nội trú]</t>
        </is>
      </c>
      <c r="F1167" s="260" t="n">
        <v>1</v>
      </c>
      <c r="G1167" s="261" t="n">
        <v>35000</v>
      </c>
      <c r="H1167" s="93" t="n"/>
    </row>
    <row r="1168" hidden="1" ht="15.75" customHeight="1" s="248">
      <c r="A1168" s="92" t="n">
        <v>1163</v>
      </c>
      <c r="B1168" s="139" t="inlineStr">
        <is>
          <t>2026/06/12 16:00</t>
        </is>
      </c>
      <c r="C1168" s="139" t="inlineStr">
        <is>
          <t>HUỲNH NGỌC SƯƠNG</t>
        </is>
      </c>
      <c r="D1168" s="139" t="inlineStr">
        <is>
          <t>05/05/1954</t>
        </is>
      </c>
      <c r="E1168" s="139" t="inlineStr">
        <is>
          <t>Xét nghiệm đường máu mao mạch tại giường (một lần)[Nội trú]</t>
        </is>
      </c>
      <c r="F1168" s="260" t="n">
        <v>1</v>
      </c>
      <c r="G1168" s="261" t="n">
        <v>35000</v>
      </c>
      <c r="H1168" s="93" t="n"/>
    </row>
    <row r="1169" hidden="1" ht="15.75" customHeight="1" s="248">
      <c r="A1169" s="92" t="n">
        <v>1164</v>
      </c>
      <c r="B1169" s="139" t="inlineStr">
        <is>
          <t>2026/06/12 16:00</t>
        </is>
      </c>
      <c r="C1169" s="139" t="inlineStr">
        <is>
          <t>PHAN VĂN ĐƯỢC</t>
        </is>
      </c>
      <c r="D1169" s="139" t="inlineStr">
        <is>
          <t>01/01/1934</t>
        </is>
      </c>
      <c r="E1169" s="139" t="inlineStr">
        <is>
          <t>Xét nghiệm đường máu mao mạch tại giường (một lần)[Nội trú]</t>
        </is>
      </c>
      <c r="F1169" s="260" t="n">
        <v>1</v>
      </c>
      <c r="G1169" s="261" t="n">
        <v>35000</v>
      </c>
      <c r="H1169" s="93" t="n"/>
    </row>
    <row r="1170" hidden="1" ht="15.75" customHeight="1" s="248">
      <c r="A1170" s="92" t="n">
        <v>1165</v>
      </c>
      <c r="B1170" s="139" t="inlineStr">
        <is>
          <t>2026/06/12 16:00</t>
        </is>
      </c>
      <c r="C1170" s="139" t="inlineStr">
        <is>
          <t>TRIỆU HOÀNG LONG</t>
        </is>
      </c>
      <c r="D1170" s="139" t="inlineStr">
        <is>
          <t>01/01/1963</t>
        </is>
      </c>
      <c r="E1170" s="139" t="inlineStr">
        <is>
          <t>Xét nghiệm đường máu mao mạch tại giường (một lần)[Nội trú]</t>
        </is>
      </c>
      <c r="F1170" s="260" t="n">
        <v>1</v>
      </c>
      <c r="G1170" s="261" t="n">
        <v>35000</v>
      </c>
      <c r="H1170" s="93" t="n"/>
    </row>
    <row r="1171" hidden="1" ht="15.75" customHeight="1" s="248">
      <c r="A1171" s="92" t="n">
        <v>1166</v>
      </c>
      <c r="B1171" s="139" t="inlineStr">
        <is>
          <t>2026/06/12 16:00</t>
        </is>
      </c>
      <c r="C1171" s="139" t="inlineStr">
        <is>
          <t>NGUYỄN THỊ NGÂN</t>
        </is>
      </c>
      <c r="D1171" s="139" t="inlineStr">
        <is>
          <t>01/01/1954</t>
        </is>
      </c>
      <c r="E1171" s="139" t="inlineStr">
        <is>
          <t>Xét nghiệm đường máu mao mạch tại giường (một lần)[Nội trú]</t>
        </is>
      </c>
      <c r="F1171" s="260" t="n">
        <v>1</v>
      </c>
      <c r="G1171" s="261" t="n">
        <v>16000</v>
      </c>
      <c r="H1171" s="93" t="n"/>
    </row>
    <row r="1172" hidden="1" ht="15.75" customHeight="1" s="248">
      <c r="A1172" s="92" t="n">
        <v>1167</v>
      </c>
      <c r="B1172" s="139" t="inlineStr">
        <is>
          <t>2026/06/13 05:00</t>
        </is>
      </c>
      <c r="C1172" s="139" t="inlineStr">
        <is>
          <t>HUỲNH NGỌC SƯƠNG</t>
        </is>
      </c>
      <c r="D1172" s="139" t="inlineStr">
        <is>
          <t>05/05/1954</t>
        </is>
      </c>
      <c r="E1172" s="139" t="inlineStr">
        <is>
          <t>Xét nghiệm đường máu mao mạch tại giường (một lần)[Nội trú]</t>
        </is>
      </c>
      <c r="F1172" s="260" t="n">
        <v>1</v>
      </c>
      <c r="G1172" s="261" t="n">
        <v>35000</v>
      </c>
      <c r="H1172" s="93" t="n"/>
    </row>
    <row r="1173" hidden="1" ht="15.75" customHeight="1" s="248">
      <c r="A1173" s="92" t="n">
        <v>1168</v>
      </c>
      <c r="B1173" s="139" t="inlineStr">
        <is>
          <t>2026/06/13 05:00</t>
        </is>
      </c>
      <c r="C1173" s="139" t="inlineStr">
        <is>
          <t>LÊ VĂN MẠNH</t>
        </is>
      </c>
      <c r="D1173" s="139" t="inlineStr">
        <is>
          <t>01/01/1967</t>
        </is>
      </c>
      <c r="E1173" s="139" t="inlineStr">
        <is>
          <t>Xét nghiệm đường máu mao mạch tại giường (một lần)[Nội trú]</t>
        </is>
      </c>
      <c r="F1173" s="260" t="n">
        <v>1</v>
      </c>
      <c r="G1173" s="261" t="n">
        <v>35000</v>
      </c>
      <c r="H1173" s="93" t="n"/>
    </row>
    <row r="1174" hidden="1" ht="15.75" customHeight="1" s="248">
      <c r="A1174" s="92" t="n">
        <v>1169</v>
      </c>
      <c r="B1174" s="139" t="inlineStr">
        <is>
          <t>2026/06/13 05:00</t>
        </is>
      </c>
      <c r="C1174" s="139" t="inlineStr">
        <is>
          <t>TRIỆU HOÀNG LONG</t>
        </is>
      </c>
      <c r="D1174" s="139" t="inlineStr">
        <is>
          <t>01/01/1963</t>
        </is>
      </c>
      <c r="E1174" s="139" t="inlineStr">
        <is>
          <t>Xét nghiệm đường máu mao mạch tại giường (một lần)[Nội trú]</t>
        </is>
      </c>
      <c r="F1174" s="260" t="n">
        <v>1</v>
      </c>
      <c r="G1174" s="261" t="n">
        <v>16000</v>
      </c>
      <c r="H1174" s="93" t="n"/>
    </row>
    <row r="1175" hidden="1" ht="15.75" customHeight="1" s="248">
      <c r="A1175" s="92" t="n">
        <v>1170</v>
      </c>
      <c r="B1175" s="139" t="inlineStr">
        <is>
          <t>2026/06/13 05:00</t>
        </is>
      </c>
      <c r="C1175" s="139" t="inlineStr">
        <is>
          <t>NGUYỄN THỊ NGÂN</t>
        </is>
      </c>
      <c r="D1175" s="139" t="inlineStr">
        <is>
          <t>01/01/1954</t>
        </is>
      </c>
      <c r="E1175" s="139" t="inlineStr">
        <is>
          <t>Xét nghiệm đường máu mao mạch tại giường (một lần)[Nội trú]</t>
        </is>
      </c>
      <c r="F1175" s="260" t="n">
        <v>1</v>
      </c>
      <c r="G1175" s="261" t="n">
        <v>16000</v>
      </c>
      <c r="H1175" s="93" t="n"/>
    </row>
    <row r="1176" hidden="1" ht="15.75" customHeight="1" s="248">
      <c r="A1176" s="92" t="n">
        <v>1171</v>
      </c>
      <c r="B1176" s="139" t="inlineStr">
        <is>
          <t>2026/06/13 05:00</t>
        </is>
      </c>
      <c r="C1176" s="139" t="inlineStr">
        <is>
          <t>PHAN VĂN ĐƯỢC</t>
        </is>
      </c>
      <c r="D1176" s="139" t="inlineStr">
        <is>
          <t>01/01/1934</t>
        </is>
      </c>
      <c r="E1176" s="139" t="inlineStr">
        <is>
          <t>Xét nghiệm đường máu mao mạch tại giường (một lần)[Nội trú]</t>
        </is>
      </c>
      <c r="F1176" s="260" t="n">
        <v>1</v>
      </c>
      <c r="G1176" s="261" t="n">
        <v>16000</v>
      </c>
      <c r="H1176" s="93" t="n"/>
    </row>
    <row r="1177" hidden="1" ht="15.75" customHeight="1" s="248">
      <c r="A1177" s="92" t="n">
        <v>1172</v>
      </c>
      <c r="B1177" s="139" t="inlineStr">
        <is>
          <t>2026/06/13 11:00</t>
        </is>
      </c>
      <c r="C1177" s="139" t="inlineStr">
        <is>
          <t>NGUYỄN THỊ NGÂN</t>
        </is>
      </c>
      <c r="D1177" s="139" t="inlineStr">
        <is>
          <t>01/01/1954</t>
        </is>
      </c>
      <c r="E1177" s="139" t="inlineStr">
        <is>
          <t>Xét nghiệm đường máu mao mạch tại giường (một lần)[Nội trú]</t>
        </is>
      </c>
      <c r="F1177" s="260" t="n">
        <v>1</v>
      </c>
      <c r="G1177" s="261" t="n">
        <v>35000</v>
      </c>
      <c r="H1177" s="93" t="n"/>
    </row>
    <row r="1178" hidden="1" ht="15.75" customHeight="1" s="248">
      <c r="A1178" s="92" t="n">
        <v>1173</v>
      </c>
      <c r="B1178" s="139" t="inlineStr">
        <is>
          <t>2026/06/13 16:00</t>
        </is>
      </c>
      <c r="C1178" s="139" t="inlineStr">
        <is>
          <t>HUỲNH NGỌC SƯƠNG</t>
        </is>
      </c>
      <c r="D1178" s="139" t="inlineStr">
        <is>
          <t>05/05/1954</t>
        </is>
      </c>
      <c r="E1178" s="139" t="inlineStr">
        <is>
          <t>Xét nghiệm đường máu mao mạch tại giường (một lần)[Nội trú]</t>
        </is>
      </c>
      <c r="F1178" s="260" t="n">
        <v>1</v>
      </c>
      <c r="G1178" s="261" t="n">
        <v>35000</v>
      </c>
      <c r="H1178" s="93" t="n"/>
    </row>
    <row r="1179" hidden="1" ht="15.75" customHeight="1" s="248">
      <c r="A1179" s="92" t="n">
        <v>1174</v>
      </c>
      <c r="B1179" s="139" t="inlineStr">
        <is>
          <t>2026/06/13 16:00</t>
        </is>
      </c>
      <c r="C1179" s="139" t="inlineStr">
        <is>
          <t>NGUYỄN THỊ NGÂN</t>
        </is>
      </c>
      <c r="D1179" s="139" t="inlineStr">
        <is>
          <t>01/01/1954</t>
        </is>
      </c>
      <c r="E1179" s="139" t="inlineStr">
        <is>
          <t>Xét nghiệm đường máu mao mạch tại giường (một lần)[Nội trú]</t>
        </is>
      </c>
      <c r="F1179" s="260" t="n">
        <v>1</v>
      </c>
      <c r="G1179" s="261" t="n">
        <v>35000</v>
      </c>
      <c r="H1179" s="93" t="n"/>
    </row>
    <row r="1180" hidden="1" ht="15.75" customHeight="1" s="248">
      <c r="A1180" s="92" t="n">
        <v>1175</v>
      </c>
      <c r="B1180" s="139" t="inlineStr">
        <is>
          <t>2026/06/13 16:00</t>
        </is>
      </c>
      <c r="C1180" s="139" t="inlineStr">
        <is>
          <t>TRIỆU HOÀNG LONG</t>
        </is>
      </c>
      <c r="D1180" s="139" t="inlineStr">
        <is>
          <t>01/01/1963</t>
        </is>
      </c>
      <c r="E1180" s="139" t="inlineStr">
        <is>
          <t>Xét nghiệm đường máu mao mạch tại giường (một lần)[Nội trú]</t>
        </is>
      </c>
      <c r="F1180" s="260" t="n">
        <v>1</v>
      </c>
      <c r="G1180" s="261" t="n">
        <v>35000</v>
      </c>
      <c r="H1180" s="93" t="n"/>
    </row>
    <row r="1181" hidden="1" ht="15.75" customHeight="1" s="248">
      <c r="A1181" s="92" t="n">
        <v>1176</v>
      </c>
      <c r="B1181" s="139" t="inlineStr">
        <is>
          <t>2026/06/13 16:00</t>
        </is>
      </c>
      <c r="C1181" s="139" t="inlineStr">
        <is>
          <t>ĐINH THỊ THI</t>
        </is>
      </c>
      <c r="D1181" s="139" t="inlineStr">
        <is>
          <t>01/01/1971</t>
        </is>
      </c>
      <c r="E1181" s="139" t="inlineStr">
        <is>
          <t>Xét nghiệm đường máu mao mạch tại giường (một lần)[Nội trú]</t>
        </is>
      </c>
      <c r="F1181" s="260" t="n">
        <v>1</v>
      </c>
      <c r="G1181" s="261" t="n">
        <v>35000</v>
      </c>
      <c r="H1181" s="93" t="n"/>
    </row>
    <row r="1182" hidden="1" ht="15.75" customHeight="1" s="248">
      <c r="A1182" s="92" t="n">
        <v>1177</v>
      </c>
      <c r="B1182" s="139" t="inlineStr">
        <is>
          <t>2026/06/14 05:00</t>
        </is>
      </c>
      <c r="C1182" s="139" t="inlineStr">
        <is>
          <t>HUỲNH NGỌC SƯƠNG</t>
        </is>
      </c>
      <c r="D1182" s="139" t="inlineStr">
        <is>
          <t>05/05/1954</t>
        </is>
      </c>
      <c r="E1182" s="139" t="inlineStr">
        <is>
          <t>Xét nghiệm đường máu mao mạch tại giường (một lần)[Nội trú]</t>
        </is>
      </c>
      <c r="F1182" s="260" t="n">
        <v>1</v>
      </c>
      <c r="G1182" s="261" t="n">
        <v>35000</v>
      </c>
      <c r="H1182" s="93" t="n"/>
    </row>
    <row r="1183" hidden="1" ht="15.75" customHeight="1" s="248">
      <c r="A1183" s="92" t="n">
        <v>1178</v>
      </c>
      <c r="B1183" s="139" t="inlineStr">
        <is>
          <t>2026/06/14 05:00</t>
        </is>
      </c>
      <c r="C1183" s="139" t="inlineStr">
        <is>
          <t>NGUYỄN THỊ NGÂN</t>
        </is>
      </c>
      <c r="D1183" s="139" t="inlineStr">
        <is>
          <t>01/01/1954</t>
        </is>
      </c>
      <c r="E1183" s="139" t="inlineStr">
        <is>
          <t>Xét nghiệm đường máu mao mạch tại giường (một lần)[Nội trú]</t>
        </is>
      </c>
      <c r="F1183" s="260" t="n">
        <v>1</v>
      </c>
      <c r="G1183" s="261" t="n">
        <v>35000</v>
      </c>
      <c r="H1183" s="93" t="n"/>
    </row>
    <row r="1184" hidden="1" ht="15.75" customHeight="1" s="248">
      <c r="A1184" s="92" t="n">
        <v>1179</v>
      </c>
      <c r="B1184" s="139" t="inlineStr">
        <is>
          <t>2026/06/14 05:00</t>
        </is>
      </c>
      <c r="C1184" s="139" t="inlineStr">
        <is>
          <t>PHẠM THỊ DUNG</t>
        </is>
      </c>
      <c r="D1184" s="139" t="inlineStr">
        <is>
          <t>01/01/1968</t>
        </is>
      </c>
      <c r="E1184" s="139" t="inlineStr">
        <is>
          <t>Xét nghiệm đường máu mao mạch tại giường (một lần)[Nội trú]</t>
        </is>
      </c>
      <c r="F1184" s="260" t="n">
        <v>1</v>
      </c>
      <c r="G1184" s="261" t="n">
        <v>35000</v>
      </c>
      <c r="H1184" s="93" t="n"/>
    </row>
    <row r="1185" hidden="1" ht="15.75" customHeight="1" s="248">
      <c r="A1185" s="92" t="n">
        <v>1180</v>
      </c>
      <c r="B1185" s="139" t="inlineStr">
        <is>
          <t>2026/06/14 05:00</t>
        </is>
      </c>
      <c r="C1185" s="139" t="inlineStr">
        <is>
          <t>TRIỆU HOÀNG LONG</t>
        </is>
      </c>
      <c r="D1185" s="139" t="inlineStr">
        <is>
          <t>01/01/1963</t>
        </is>
      </c>
      <c r="E1185" s="139" t="inlineStr">
        <is>
          <t>Xét nghiệm đường máu mao mạch tại giường (một lần)[Nội trú]</t>
        </is>
      </c>
      <c r="F1185" s="260" t="n">
        <v>1</v>
      </c>
      <c r="G1185" s="261" t="n">
        <v>35000</v>
      </c>
      <c r="H1185" s="93" t="n"/>
    </row>
    <row r="1186" hidden="1" ht="15.75" customHeight="1" s="248">
      <c r="A1186" s="92" t="n">
        <v>1181</v>
      </c>
      <c r="B1186" s="139" t="inlineStr">
        <is>
          <t>2026/06/14 05:00</t>
        </is>
      </c>
      <c r="C1186" s="139" t="inlineStr">
        <is>
          <t>ĐINH THỊ THI</t>
        </is>
      </c>
      <c r="D1186" s="139" t="inlineStr">
        <is>
          <t>01/01/1971</t>
        </is>
      </c>
      <c r="E1186" s="139" t="inlineStr">
        <is>
          <t>Xét nghiệm đường máu mao mạch tại giường (một lần)[Nội trú]</t>
        </is>
      </c>
      <c r="F1186" s="260" t="n">
        <v>1</v>
      </c>
      <c r="G1186" s="261" t="n">
        <v>35000</v>
      </c>
      <c r="H1186" s="93" t="n"/>
    </row>
    <row r="1187" hidden="1" ht="15.75" customHeight="1" s="248">
      <c r="A1187" s="92" t="n">
        <v>1182</v>
      </c>
      <c r="B1187" s="139" t="inlineStr">
        <is>
          <t>2026/06/14 11:00</t>
        </is>
      </c>
      <c r="C1187" s="139" t="inlineStr">
        <is>
          <t>HUỲNH NGỌC SƯƠNG</t>
        </is>
      </c>
      <c r="D1187" s="139" t="inlineStr">
        <is>
          <t>05/05/1954</t>
        </is>
      </c>
      <c r="E1187" s="139" t="inlineStr">
        <is>
          <t>Xét nghiệm đường máu mao mạch tại giường (một lần)[Nội trú]</t>
        </is>
      </c>
      <c r="F1187" s="260" t="n">
        <v>1</v>
      </c>
      <c r="G1187" s="261" t="n">
        <v>35000</v>
      </c>
      <c r="H1187" s="93" t="n"/>
    </row>
    <row r="1188" hidden="1" ht="15.75" customHeight="1" s="248">
      <c r="A1188" s="92" t="n">
        <v>1183</v>
      </c>
      <c r="B1188" s="139" t="inlineStr">
        <is>
          <t>2026/06/14 11:00</t>
        </is>
      </c>
      <c r="C1188" s="139" t="inlineStr">
        <is>
          <t>NGUYỄN THỊ NGÂN</t>
        </is>
      </c>
      <c r="D1188" s="139" t="inlineStr">
        <is>
          <t>01/01/1954</t>
        </is>
      </c>
      <c r="E1188" s="139" t="inlineStr">
        <is>
          <t>Xét nghiệm đường máu mao mạch tại giường (một lần)[Nội trú]</t>
        </is>
      </c>
      <c r="F1188" s="260" t="n">
        <v>1</v>
      </c>
      <c r="G1188" s="261" t="n">
        <v>35000</v>
      </c>
      <c r="H1188" s="93" t="n"/>
    </row>
    <row r="1189" hidden="1" ht="15.75" customHeight="1" s="248">
      <c r="A1189" s="92" t="n">
        <v>1184</v>
      </c>
      <c r="B1189" s="139" t="inlineStr">
        <is>
          <t>2026/06/14 11:00</t>
        </is>
      </c>
      <c r="C1189" s="139" t="inlineStr">
        <is>
          <t>NGUYỄN THỊ NGÂN</t>
        </is>
      </c>
      <c r="D1189" s="139" t="inlineStr">
        <is>
          <t>01/01/1954</t>
        </is>
      </c>
      <c r="E1189" s="139" t="inlineStr">
        <is>
          <t>Xét nghiệm đường máu mao mạch tại giường (một lần)[Nội trú]</t>
        </is>
      </c>
      <c r="F1189" s="260" t="n">
        <v>1</v>
      </c>
      <c r="G1189" s="261" t="n">
        <v>35000</v>
      </c>
      <c r="H1189" s="93" t="n"/>
    </row>
    <row r="1190" hidden="1" ht="15.75" customHeight="1" s="248">
      <c r="A1190" s="92" t="n">
        <v>1185</v>
      </c>
      <c r="B1190" s="139" t="inlineStr">
        <is>
          <t>2026/06/14 16:00</t>
        </is>
      </c>
      <c r="C1190" s="139" t="inlineStr">
        <is>
          <t>HUỲNH NGỌC SƯƠNG</t>
        </is>
      </c>
      <c r="D1190" s="139" t="inlineStr">
        <is>
          <t>05/05/1954</t>
        </is>
      </c>
      <c r="E1190" s="139" t="inlineStr">
        <is>
          <t>Xét nghiệm đường máu mao mạch tại giường (một lần)[Nội trú]</t>
        </is>
      </c>
      <c r="F1190" s="260" t="n">
        <v>1</v>
      </c>
      <c r="G1190" s="261" t="n">
        <v>35000</v>
      </c>
      <c r="H1190" s="93" t="n"/>
    </row>
    <row r="1191" hidden="1" ht="15.75" customHeight="1" s="248">
      <c r="A1191" s="92" t="n">
        <v>1186</v>
      </c>
      <c r="B1191" s="139" t="inlineStr">
        <is>
          <t>2026/06/14 16:00</t>
        </is>
      </c>
      <c r="C1191" s="139" t="inlineStr">
        <is>
          <t>LÝ VĂN KHƯƠNG</t>
        </is>
      </c>
      <c r="D1191" s="139" t="inlineStr">
        <is>
          <t>05/06/1970</t>
        </is>
      </c>
      <c r="E1191" s="139" t="inlineStr">
        <is>
          <t>Xét nghiệm đường máu mao mạch tại giường (một lần)[Nội trú]</t>
        </is>
      </c>
      <c r="F1191" s="260" t="n">
        <v>1</v>
      </c>
      <c r="G1191" s="261" t="n">
        <v>35000</v>
      </c>
      <c r="H1191" s="93" t="n"/>
    </row>
    <row r="1192" hidden="1" ht="15.75" customHeight="1" s="248">
      <c r="A1192" s="92" t="n">
        <v>1187</v>
      </c>
      <c r="B1192" s="139" t="inlineStr">
        <is>
          <t>2026/06/14 16:00</t>
        </is>
      </c>
      <c r="C1192" s="139" t="inlineStr">
        <is>
          <t>NGUYỄN THỊ NGÂN</t>
        </is>
      </c>
      <c r="D1192" s="139" t="inlineStr">
        <is>
          <t>01/01/1954</t>
        </is>
      </c>
      <c r="E1192" s="139" t="inlineStr">
        <is>
          <t>Xét nghiệm đường máu mao mạch tại giường (một lần)[Nội trú]</t>
        </is>
      </c>
      <c r="F1192" s="260" t="n">
        <v>1</v>
      </c>
      <c r="G1192" s="261" t="n">
        <v>35000</v>
      </c>
      <c r="H1192" s="93" t="n"/>
    </row>
    <row r="1193" hidden="1" ht="15.75" customHeight="1" s="248">
      <c r="A1193" s="92" t="n">
        <v>1188</v>
      </c>
      <c r="B1193" s="139" t="inlineStr">
        <is>
          <t>2026/06/14 16:00</t>
        </is>
      </c>
      <c r="C1193" s="139" t="inlineStr">
        <is>
          <t>PHẠM THỊ DUNG</t>
        </is>
      </c>
      <c r="D1193" s="139" t="inlineStr">
        <is>
          <t>01/01/1968</t>
        </is>
      </c>
      <c r="E1193" s="139" t="inlineStr">
        <is>
          <t>Xét nghiệm đường máu mao mạch tại giường (một lần)[Nội trú]</t>
        </is>
      </c>
      <c r="F1193" s="260" t="n">
        <v>1</v>
      </c>
      <c r="G1193" s="261" t="n">
        <v>35000</v>
      </c>
      <c r="H1193" s="93" t="n"/>
    </row>
    <row r="1194" hidden="1" ht="15.75" customHeight="1" s="248">
      <c r="A1194" s="92" t="n">
        <v>1189</v>
      </c>
      <c r="B1194" s="139" t="inlineStr">
        <is>
          <t>2026/06/14 16:00</t>
        </is>
      </c>
      <c r="C1194" s="139" t="inlineStr">
        <is>
          <t>TRIỆU HOÀNG LONG</t>
        </is>
      </c>
      <c r="D1194" s="139" t="inlineStr">
        <is>
          <t>01/01/1963</t>
        </is>
      </c>
      <c r="E1194" s="139" t="inlineStr">
        <is>
          <t>Xét nghiệm đường máu mao mạch tại giường (một lần)[Nội trú]</t>
        </is>
      </c>
      <c r="F1194" s="260" t="n">
        <v>1</v>
      </c>
      <c r="G1194" s="261" t="n">
        <v>35000</v>
      </c>
      <c r="H1194" s="93" t="n"/>
    </row>
    <row r="1195" hidden="1" ht="15.75" customHeight="1" s="248">
      <c r="A1195" s="92" t="n">
        <v>1190</v>
      </c>
      <c r="B1195" s="139" t="inlineStr">
        <is>
          <t>2026/06/15 05:00</t>
        </is>
      </c>
      <c r="C1195" s="139" t="inlineStr">
        <is>
          <t>HUỲNH NGỌC SƯƠNG</t>
        </is>
      </c>
      <c r="D1195" s="139" t="inlineStr">
        <is>
          <t>05/05/1954</t>
        </is>
      </c>
      <c r="E1195" s="139" t="inlineStr">
        <is>
          <t>Xét nghiệm đường máu mao mạch tại giường (một lần)[Nội trú]</t>
        </is>
      </c>
      <c r="F1195" s="260" t="n">
        <v>1</v>
      </c>
      <c r="G1195" s="261" t="n">
        <v>35000</v>
      </c>
      <c r="H1195" s="93" t="n"/>
    </row>
    <row r="1196" hidden="1" ht="15.75" customHeight="1" s="248">
      <c r="A1196" s="92" t="n">
        <v>1191</v>
      </c>
      <c r="B1196" s="139" t="inlineStr">
        <is>
          <t>2026/06/15 05:00</t>
        </is>
      </c>
      <c r="C1196" s="139" t="inlineStr">
        <is>
          <t>LÝ VĂN KHƯƠNG</t>
        </is>
      </c>
      <c r="D1196" s="139" t="inlineStr">
        <is>
          <t>05/06/1970</t>
        </is>
      </c>
      <c r="E1196" s="139" t="inlineStr">
        <is>
          <t>Xét nghiệm đường máu mao mạch tại giường (một lần)[Nội trú]</t>
        </is>
      </c>
      <c r="F1196" s="260" t="n">
        <v>1</v>
      </c>
      <c r="G1196" s="261" t="n">
        <v>35000</v>
      </c>
      <c r="H1196" s="93" t="n"/>
    </row>
    <row r="1197" hidden="1" ht="15.75" customHeight="1" s="248">
      <c r="A1197" s="92" t="n">
        <v>1192</v>
      </c>
      <c r="B1197" s="139" t="inlineStr">
        <is>
          <t>2026/06/15 05:00</t>
        </is>
      </c>
      <c r="C1197" s="139" t="inlineStr">
        <is>
          <t>NGUYỄN THỊ NGÂN</t>
        </is>
      </c>
      <c r="D1197" s="139" t="inlineStr">
        <is>
          <t>01/01/1954</t>
        </is>
      </c>
      <c r="E1197" s="139" t="inlineStr">
        <is>
          <t>Xét nghiệm đường máu mao mạch tại giường (một lần)[Nội trú]</t>
        </is>
      </c>
      <c r="F1197" s="260" t="n">
        <v>1</v>
      </c>
      <c r="G1197" s="261" t="n">
        <v>35000</v>
      </c>
      <c r="H1197" s="93" t="n"/>
    </row>
    <row r="1198" hidden="1" ht="15.75" customHeight="1" s="248">
      <c r="A1198" s="92" t="n">
        <v>1193</v>
      </c>
      <c r="B1198" s="139" t="inlineStr">
        <is>
          <t>2026/06/15 05:00</t>
        </is>
      </c>
      <c r="C1198" s="139" t="inlineStr">
        <is>
          <t>PHẠM THỊ DUNG</t>
        </is>
      </c>
      <c r="D1198" s="139" t="inlineStr">
        <is>
          <t>01/01/1968</t>
        </is>
      </c>
      <c r="E1198" s="139" t="inlineStr">
        <is>
          <t>Xét nghiệm đường máu mao mạch tại giường (một lần)[Nội trú]</t>
        </is>
      </c>
      <c r="F1198" s="260" t="n">
        <v>1</v>
      </c>
      <c r="G1198" s="261" t="n">
        <v>35000</v>
      </c>
      <c r="H1198" s="93" t="n"/>
    </row>
    <row r="1199" hidden="1" ht="15.75" customHeight="1" s="248">
      <c r="A1199" s="92" t="n">
        <v>1194</v>
      </c>
      <c r="B1199" s="139" t="inlineStr">
        <is>
          <t>2026/06/15 05:00</t>
        </is>
      </c>
      <c r="C1199" s="139" t="inlineStr">
        <is>
          <t>TRIỆU HOÀNG LONG</t>
        </is>
      </c>
      <c r="D1199" s="139" t="inlineStr">
        <is>
          <t>01/01/1963</t>
        </is>
      </c>
      <c r="E1199" s="139" t="inlineStr">
        <is>
          <t>Xét nghiệm đường máu mao mạch tại giường (một lần)[Nội trú]</t>
        </is>
      </c>
      <c r="F1199" s="260" t="n">
        <v>1</v>
      </c>
      <c r="G1199" s="261" t="n">
        <v>35000</v>
      </c>
      <c r="H1199" s="93" t="n"/>
    </row>
    <row r="1200" hidden="1" ht="15.75" customHeight="1" s="248">
      <c r="A1200" s="92" t="n">
        <v>1195</v>
      </c>
      <c r="B1200" s="139" t="inlineStr">
        <is>
          <t>2026/06/15 05:00</t>
        </is>
      </c>
      <c r="C1200" s="139" t="inlineStr">
        <is>
          <t>ĐINH THỊ THI</t>
        </is>
      </c>
      <c r="D1200" s="139" t="inlineStr">
        <is>
          <t>01/01/1971</t>
        </is>
      </c>
      <c r="E1200" s="139" t="inlineStr">
        <is>
          <t>Xét nghiệm đường máu mao mạch tại giường (một lần)[Nội trú]</t>
        </is>
      </c>
      <c r="F1200" s="260" t="n">
        <v>1</v>
      </c>
      <c r="G1200" s="261" t="n">
        <v>35000</v>
      </c>
      <c r="H1200" s="93" t="n"/>
    </row>
    <row r="1201" hidden="1" ht="15.75" customHeight="1" s="248">
      <c r="A1201" s="92" t="n">
        <v>1196</v>
      </c>
      <c r="B1201" s="139" t="inlineStr">
        <is>
          <t>2026/06/15 11:00</t>
        </is>
      </c>
      <c r="C1201" s="139" t="inlineStr">
        <is>
          <t>HUỲNH NGỌC SƯƠNG</t>
        </is>
      </c>
      <c r="D1201" s="139" t="inlineStr">
        <is>
          <t>05/05/1954</t>
        </is>
      </c>
      <c r="E1201" s="139" t="inlineStr">
        <is>
          <t>Xét nghiệm đường máu mao mạch tại giường (một lần)[Nội trú]</t>
        </is>
      </c>
      <c r="F1201" s="260" t="n">
        <v>1</v>
      </c>
      <c r="G1201" s="261" t="n">
        <v>35000</v>
      </c>
      <c r="H1201" s="93" t="n"/>
    </row>
    <row r="1202" hidden="1" ht="15.75" customHeight="1" s="248">
      <c r="A1202" s="92" t="n">
        <v>1197</v>
      </c>
      <c r="B1202" s="139" t="inlineStr">
        <is>
          <t>2026/06/15 16:00</t>
        </is>
      </c>
      <c r="C1202" s="139" t="inlineStr">
        <is>
          <t>HUỲNH NGỌC SƯƠNG</t>
        </is>
      </c>
      <c r="D1202" s="139" t="inlineStr">
        <is>
          <t>05/05/1954</t>
        </is>
      </c>
      <c r="E1202" s="139" t="inlineStr">
        <is>
          <t>Xét nghiệm đường máu mao mạch tại giường (một lần)[Nội trú]</t>
        </is>
      </c>
      <c r="F1202" s="260" t="n">
        <v>1</v>
      </c>
      <c r="G1202" s="261" t="n">
        <v>35000</v>
      </c>
      <c r="H1202" s="93" t="n"/>
    </row>
    <row r="1203" hidden="1" ht="15.75" customHeight="1" s="248">
      <c r="A1203" s="92" t="n">
        <v>1198</v>
      </c>
      <c r="B1203" s="139" t="inlineStr">
        <is>
          <t>2026/06/15 16:00</t>
        </is>
      </c>
      <c r="C1203" s="139" t="inlineStr">
        <is>
          <t>PHAN VĂN ĐƯỢC</t>
        </is>
      </c>
      <c r="D1203" s="139" t="inlineStr">
        <is>
          <t>01/01/1934</t>
        </is>
      </c>
      <c r="E1203" s="139" t="inlineStr">
        <is>
          <t>Xét nghiệm đường máu mao mạch tại giường (một lần)[Nội trú]</t>
        </is>
      </c>
      <c r="F1203" s="260" t="n">
        <v>1</v>
      </c>
      <c r="G1203" s="261" t="n">
        <v>35000</v>
      </c>
      <c r="H1203" s="93" t="n"/>
    </row>
    <row r="1204" hidden="1" ht="15.75" customHeight="1" s="248">
      <c r="A1204" s="92" t="n">
        <v>1199</v>
      </c>
      <c r="B1204" s="139" t="inlineStr">
        <is>
          <t>2026/06/15 16:00</t>
        </is>
      </c>
      <c r="C1204" s="139" t="inlineStr">
        <is>
          <t>PHẠM THỊ DUNG</t>
        </is>
      </c>
      <c r="D1204" s="139" t="inlineStr">
        <is>
          <t>01/01/1968</t>
        </is>
      </c>
      <c r="E1204" s="139" t="inlineStr">
        <is>
          <t>Xét nghiệm đường máu mao mạch tại giường (một lần)[Nội trú]</t>
        </is>
      </c>
      <c r="F1204" s="260" t="n">
        <v>1</v>
      </c>
      <c r="G1204" s="261" t="n">
        <v>35000</v>
      </c>
      <c r="H1204" s="93" t="n"/>
    </row>
    <row r="1205" hidden="1" ht="15.75" customHeight="1" s="248">
      <c r="A1205" s="92" t="n">
        <v>1200</v>
      </c>
      <c r="B1205" s="139" t="inlineStr">
        <is>
          <t>2026/06/16 05:00</t>
        </is>
      </c>
      <c r="C1205" s="139" t="inlineStr">
        <is>
          <t>BÙI THỊ THU BA</t>
        </is>
      </c>
      <c r="D1205" s="139" t="inlineStr">
        <is>
          <t>01/01/1960</t>
        </is>
      </c>
      <c r="E1205" s="139" t="inlineStr">
        <is>
          <t>Xét nghiệm đường máu mao mạch tại giường (một lần)[Nội trú]</t>
        </is>
      </c>
      <c r="F1205" s="260" t="n">
        <v>1</v>
      </c>
      <c r="G1205" s="261" t="n">
        <v>35000</v>
      </c>
      <c r="H1205" s="93" t="n"/>
    </row>
    <row r="1206" hidden="1" ht="15.75" customHeight="1" s="248">
      <c r="A1206" s="92" t="n">
        <v>1201</v>
      </c>
      <c r="B1206" s="139" t="inlineStr">
        <is>
          <t>2026/06/16 05:00</t>
        </is>
      </c>
      <c r="C1206" s="139" t="inlineStr">
        <is>
          <t>CHÂU THỊ A</t>
        </is>
      </c>
      <c r="D1206" s="139" t="inlineStr">
        <is>
          <t>01/01/1958</t>
        </is>
      </c>
      <c r="E1206" s="139" t="inlineStr">
        <is>
          <t>Xét nghiệm đường máu mao mạch tại giường (một lần)[Nội trú]</t>
        </is>
      </c>
      <c r="F1206" s="260" t="n">
        <v>1</v>
      </c>
      <c r="G1206" s="261" t="n">
        <v>35000</v>
      </c>
      <c r="H1206" s="93" t="n"/>
    </row>
    <row r="1207" hidden="1" ht="15.75" customHeight="1" s="248">
      <c r="A1207" s="92" t="n">
        <v>1202</v>
      </c>
      <c r="B1207" s="139" t="inlineStr">
        <is>
          <t>2026/06/16 05:00</t>
        </is>
      </c>
      <c r="C1207" s="139" t="inlineStr">
        <is>
          <t>HUỲNH NGỌC SƯƠNG</t>
        </is>
      </c>
      <c r="D1207" s="139" t="inlineStr">
        <is>
          <t>05/05/1954</t>
        </is>
      </c>
      <c r="E1207" s="139" t="inlineStr">
        <is>
          <t>Xét nghiệm đường máu mao mạch tại giường (một lần)[Nội trú]</t>
        </is>
      </c>
      <c r="F1207" s="260" t="n">
        <v>1</v>
      </c>
      <c r="G1207" s="261" t="n">
        <v>35000</v>
      </c>
      <c r="H1207" s="93" t="n"/>
    </row>
    <row r="1208" hidden="1" ht="15.75" customHeight="1" s="248">
      <c r="A1208" s="92" t="n">
        <v>1203</v>
      </c>
      <c r="B1208" s="139" t="inlineStr">
        <is>
          <t>2026/06/16 05:00</t>
        </is>
      </c>
      <c r="C1208" s="139" t="inlineStr">
        <is>
          <t>LÊ THỊ KIM TUYỀN</t>
        </is>
      </c>
      <c r="D1208" s="139" t="inlineStr">
        <is>
          <t>01/01/1968</t>
        </is>
      </c>
      <c r="E1208" s="139" t="inlineStr">
        <is>
          <t>Xét nghiệm đường máu mao mạch tại giường (một lần)[Nội trú]</t>
        </is>
      </c>
      <c r="F1208" s="260" t="n">
        <v>1</v>
      </c>
      <c r="G1208" s="261" t="n">
        <v>35000</v>
      </c>
      <c r="H1208" s="93" t="n"/>
    </row>
    <row r="1209" hidden="1" ht="15.75" customHeight="1" s="248">
      <c r="A1209" s="92" t="n">
        <v>1204</v>
      </c>
      <c r="B1209" s="139" t="inlineStr">
        <is>
          <t>2026/06/16 05:00</t>
        </is>
      </c>
      <c r="C1209" s="139" t="inlineStr">
        <is>
          <t>LƯU THỊ MỸ</t>
        </is>
      </c>
      <c r="D1209" s="139" t="inlineStr">
        <is>
          <t>01/01/1962</t>
        </is>
      </c>
      <c r="E1209" s="139" t="inlineStr">
        <is>
          <t>Xét nghiệm đường máu mao mạch tại giường (một lần)[Nội trú]</t>
        </is>
      </c>
      <c r="F1209" s="260" t="n">
        <v>1</v>
      </c>
      <c r="G1209" s="261" t="n">
        <v>35000</v>
      </c>
      <c r="H1209" s="93" t="n"/>
    </row>
    <row r="1210" hidden="1" ht="15.75" customHeight="1" s="248">
      <c r="A1210" s="92" t="n">
        <v>1205</v>
      </c>
      <c r="B1210" s="139" t="inlineStr">
        <is>
          <t>2026/06/16 05:00</t>
        </is>
      </c>
      <c r="C1210" s="139" t="inlineStr">
        <is>
          <t>PHAN VĂN ĐƯỢC</t>
        </is>
      </c>
      <c r="D1210" s="139" t="inlineStr">
        <is>
          <t>01/01/1934</t>
        </is>
      </c>
      <c r="E1210" s="139" t="inlineStr">
        <is>
          <t>Xét nghiệm đường máu mao mạch tại giường (một lần)[Nội trú]</t>
        </is>
      </c>
      <c r="F1210" s="260" t="n">
        <v>1</v>
      </c>
      <c r="G1210" s="261" t="n">
        <v>35000</v>
      </c>
      <c r="H1210" s="93" t="n"/>
    </row>
    <row r="1211" hidden="1" ht="15.75" customHeight="1" s="248">
      <c r="A1211" s="92" t="n">
        <v>1206</v>
      </c>
      <c r="B1211" s="139" t="inlineStr">
        <is>
          <t>2026/06/16 05:00</t>
        </is>
      </c>
      <c r="C1211" s="139" t="inlineStr">
        <is>
          <t>PHẠM THỊ DUNG</t>
        </is>
      </c>
      <c r="D1211" s="139" t="inlineStr">
        <is>
          <t>01/01/1968</t>
        </is>
      </c>
      <c r="E1211" s="139" t="inlineStr">
        <is>
          <t>Xét nghiệm đường máu mao mạch tại giường (một lần)[Nội trú]</t>
        </is>
      </c>
      <c r="F1211" s="260" t="n">
        <v>1</v>
      </c>
      <c r="G1211" s="261" t="n">
        <v>35000</v>
      </c>
      <c r="H1211" s="93" t="n"/>
    </row>
    <row r="1212" hidden="1" ht="15.75" customHeight="1" s="248">
      <c r="A1212" s="92" t="n">
        <v>1207</v>
      </c>
      <c r="B1212" s="139" t="inlineStr">
        <is>
          <t>2026/06/16 05:00</t>
        </is>
      </c>
      <c r="C1212" s="139" t="inlineStr">
        <is>
          <t>ĐINH THỊ THI</t>
        </is>
      </c>
      <c r="D1212" s="139" t="inlineStr">
        <is>
          <t>01/01/1971</t>
        </is>
      </c>
      <c r="E1212" s="139" t="inlineStr">
        <is>
          <t>Xét nghiệm đường máu mao mạch tại giường (một lần)[Nội trú]</t>
        </is>
      </c>
      <c r="F1212" s="260" t="n">
        <v>1</v>
      </c>
      <c r="G1212" s="261" t="n">
        <v>35000</v>
      </c>
      <c r="H1212" s="93" t="n"/>
    </row>
    <row r="1213" hidden="1" ht="15.75" customHeight="1" s="248">
      <c r="A1213" s="92" t="n">
        <v>1208</v>
      </c>
      <c r="B1213" s="139" t="inlineStr">
        <is>
          <t>2026/06/16 11:00</t>
        </is>
      </c>
      <c r="C1213" s="139" t="inlineStr">
        <is>
          <t>HUỲNH NGỌC SƯƠNG</t>
        </is>
      </c>
      <c r="D1213" s="139" t="inlineStr">
        <is>
          <t>05/05/1954</t>
        </is>
      </c>
      <c r="E1213" s="139" t="inlineStr">
        <is>
          <t>Xét nghiệm đường máu mao mạch tại giường (một lần)[Nội trú]</t>
        </is>
      </c>
      <c r="F1213" s="260" t="n">
        <v>1</v>
      </c>
      <c r="G1213" s="261" t="n">
        <v>35000</v>
      </c>
      <c r="H1213" s="93" t="n"/>
    </row>
    <row r="1214" hidden="1" ht="15.75" customHeight="1" s="248">
      <c r="A1214" s="92" t="n">
        <v>1209</v>
      </c>
      <c r="B1214" s="139" t="inlineStr">
        <is>
          <t>2026/06/16 15:00</t>
        </is>
      </c>
      <c r="C1214" s="139" t="inlineStr">
        <is>
          <t>BÙI THỊ THU BA</t>
        </is>
      </c>
      <c r="D1214" s="139" t="inlineStr">
        <is>
          <t>01/01/1960</t>
        </is>
      </c>
      <c r="E1214" s="139" t="inlineStr">
        <is>
          <t>Xét nghiệm đường máu mao mạch tại giường (một lần)[Nội trú]</t>
        </is>
      </c>
      <c r="F1214" s="260" t="n">
        <v>1</v>
      </c>
      <c r="G1214" s="261" t="n">
        <v>35000</v>
      </c>
      <c r="H1214" s="93" t="n"/>
    </row>
    <row r="1215" hidden="1" ht="15.75" customHeight="1" s="248">
      <c r="A1215" s="92" t="n">
        <v>1210</v>
      </c>
      <c r="B1215" s="139" t="inlineStr">
        <is>
          <t>2026/06/16 16:00</t>
        </is>
      </c>
      <c r="C1215" s="139" t="inlineStr">
        <is>
          <t>LƯU THỊ MỸ</t>
        </is>
      </c>
      <c r="D1215" s="139" t="inlineStr">
        <is>
          <t>01/01/1962</t>
        </is>
      </c>
      <c r="E1215" s="139" t="inlineStr">
        <is>
          <t>Xét nghiệm đường máu mao mạch tại giường (một lần)[Nội trú]</t>
        </is>
      </c>
      <c r="F1215" s="260" t="n">
        <v>1</v>
      </c>
      <c r="G1215" s="261" t="n">
        <v>35000</v>
      </c>
      <c r="H1215" s="93" t="n"/>
    </row>
    <row r="1216" hidden="1" ht="15.75" customHeight="1" s="248">
      <c r="A1216" s="92" t="n">
        <v>1211</v>
      </c>
      <c r="B1216" s="139" t="inlineStr">
        <is>
          <t>2026/06/16 16:00</t>
        </is>
      </c>
      <c r="C1216" s="139" t="inlineStr">
        <is>
          <t>PHAN VĂN ĐƯỢC</t>
        </is>
      </c>
      <c r="D1216" s="139" t="inlineStr">
        <is>
          <t>01/01/1934</t>
        </is>
      </c>
      <c r="E1216" s="139" t="inlineStr">
        <is>
          <t>Xét nghiệm đường máu mao mạch tại giường (một lần)[Nội trú]</t>
        </is>
      </c>
      <c r="F1216" s="260" t="n">
        <v>1</v>
      </c>
      <c r="G1216" s="261" t="n">
        <v>35000</v>
      </c>
      <c r="H1216" s="93" t="n"/>
    </row>
    <row r="1217" hidden="1" ht="15.75" customHeight="1" s="248">
      <c r="A1217" s="92" t="n">
        <v>1212</v>
      </c>
      <c r="B1217" s="139" t="inlineStr">
        <is>
          <t>2026/06/16 16:00</t>
        </is>
      </c>
      <c r="C1217" s="139" t="inlineStr">
        <is>
          <t>PHẠM THỊ DUNG</t>
        </is>
      </c>
      <c r="D1217" s="139" t="inlineStr">
        <is>
          <t>01/01/1968</t>
        </is>
      </c>
      <c r="E1217" s="139" t="inlineStr">
        <is>
          <t>Xét nghiệm đường máu mao mạch tại giường (một lần)[Nội trú]</t>
        </is>
      </c>
      <c r="F1217" s="260" t="n">
        <v>1</v>
      </c>
      <c r="G1217" s="261" t="n">
        <v>35000</v>
      </c>
      <c r="H1217" s="93" t="n"/>
    </row>
    <row r="1218" hidden="1" ht="15.75" customHeight="1" s="248">
      <c r="A1218" s="92" t="n">
        <v>1213</v>
      </c>
      <c r="B1218" s="139" t="inlineStr">
        <is>
          <t>2026/06/17 05:00</t>
        </is>
      </c>
      <c r="C1218" s="139" t="inlineStr">
        <is>
          <t>BÙI THỊ THU BA</t>
        </is>
      </c>
      <c r="D1218" s="139" t="inlineStr">
        <is>
          <t>01/01/1960</t>
        </is>
      </c>
      <c r="E1218" s="139" t="inlineStr">
        <is>
          <t>Xét nghiệm đường máu mao mạch tại giường (một lần)[Nội trú]</t>
        </is>
      </c>
      <c r="F1218" s="260" t="n">
        <v>1</v>
      </c>
      <c r="G1218" s="261" t="n">
        <v>35000</v>
      </c>
      <c r="H1218" s="93" t="n"/>
    </row>
    <row r="1219" hidden="1" ht="15.75" customHeight="1" s="248">
      <c r="A1219" s="92" t="n">
        <v>1214</v>
      </c>
      <c r="B1219" s="139" t="inlineStr">
        <is>
          <t>2026/06/17 05:00</t>
        </is>
      </c>
      <c r="C1219" s="139" t="inlineStr">
        <is>
          <t>CHÂU THỊ A</t>
        </is>
      </c>
      <c r="D1219" s="139" t="inlineStr">
        <is>
          <t>01/01/1958</t>
        </is>
      </c>
      <c r="E1219" s="139" t="inlineStr">
        <is>
          <t>Xét nghiệm đường máu mao mạch tại giường (một lần)[Nội trú]</t>
        </is>
      </c>
      <c r="F1219" s="260" t="n">
        <v>1</v>
      </c>
      <c r="G1219" s="261" t="n">
        <v>35000</v>
      </c>
      <c r="H1219" s="93" t="n"/>
    </row>
    <row r="1220" hidden="1" ht="15.75" customHeight="1" s="248">
      <c r="A1220" s="92" t="n">
        <v>1215</v>
      </c>
      <c r="B1220" s="139" t="inlineStr">
        <is>
          <t>2026/06/17 05:00</t>
        </is>
      </c>
      <c r="C1220" s="139" t="inlineStr">
        <is>
          <t>HỒ THỊ HOÀNG</t>
        </is>
      </c>
      <c r="D1220" s="139" t="inlineStr">
        <is>
          <t>08/08/1963</t>
        </is>
      </c>
      <c r="E1220" s="139" t="inlineStr">
        <is>
          <t>Xét nghiệm đường máu mao mạch tại giường (một lần)[Nội trú]</t>
        </is>
      </c>
      <c r="F1220" s="260" t="n">
        <v>1</v>
      </c>
      <c r="G1220" s="261" t="n">
        <v>35000</v>
      </c>
      <c r="H1220" s="93" t="n"/>
    </row>
    <row r="1221" hidden="1" ht="15.75" customHeight="1" s="248">
      <c r="A1221" s="92" t="n">
        <v>1216</v>
      </c>
      <c r="B1221" s="139" t="inlineStr">
        <is>
          <t>2026/06/17 05:00</t>
        </is>
      </c>
      <c r="C1221" s="139" t="inlineStr">
        <is>
          <t>LÊ THỊ KIM TUYỀN</t>
        </is>
      </c>
      <c r="D1221" s="139" t="inlineStr">
        <is>
          <t>01/01/1968</t>
        </is>
      </c>
      <c r="E1221" s="139" t="inlineStr">
        <is>
          <t>Xét nghiệm đường máu mao mạch tại giường (một lần)[Nội trú]</t>
        </is>
      </c>
      <c r="F1221" s="260" t="n">
        <v>1</v>
      </c>
      <c r="G1221" s="261" t="n">
        <v>35000</v>
      </c>
      <c r="H1221" s="93" t="n"/>
    </row>
    <row r="1222" hidden="1" ht="15.75" customHeight="1" s="248">
      <c r="A1222" s="92" t="n">
        <v>1217</v>
      </c>
      <c r="B1222" s="139" t="inlineStr">
        <is>
          <t>2026/06/17 05:00</t>
        </is>
      </c>
      <c r="C1222" s="139" t="inlineStr">
        <is>
          <t>LÊ THỊ QUEN</t>
        </is>
      </c>
      <c r="D1222" s="139" t="inlineStr">
        <is>
          <t>01/01/1956</t>
        </is>
      </c>
      <c r="E1222" s="139" t="inlineStr">
        <is>
          <t>Xét nghiệm đường máu mao mạch tại giường (một lần)[Nội trú]</t>
        </is>
      </c>
      <c r="F1222" s="260" t="n">
        <v>1</v>
      </c>
      <c r="G1222" s="261" t="n">
        <v>35000</v>
      </c>
      <c r="H1222" s="93" t="n"/>
    </row>
    <row r="1223" hidden="1" ht="15.75" customHeight="1" s="248">
      <c r="A1223" s="92" t="n">
        <v>1218</v>
      </c>
      <c r="B1223" s="139" t="inlineStr">
        <is>
          <t>2026/06/17 05:00</t>
        </is>
      </c>
      <c r="C1223" s="139" t="inlineStr">
        <is>
          <t>PHẠM THỊ DUNG</t>
        </is>
      </c>
      <c r="D1223" s="139" t="inlineStr">
        <is>
          <t>01/01/1968</t>
        </is>
      </c>
      <c r="E1223" s="139" t="inlineStr">
        <is>
          <t>Xét nghiệm đường máu mao mạch tại giường (một lần)[Nội trú]</t>
        </is>
      </c>
      <c r="F1223" s="260" t="n">
        <v>1</v>
      </c>
      <c r="G1223" s="261" t="n">
        <v>35000</v>
      </c>
      <c r="H1223" s="93" t="n"/>
    </row>
    <row r="1224" hidden="1" ht="15.75" customHeight="1" s="248">
      <c r="A1224" s="92" t="n">
        <v>1219</v>
      </c>
      <c r="B1224" s="139" t="inlineStr">
        <is>
          <t>2026/06/17 05:00</t>
        </is>
      </c>
      <c r="C1224" s="139" t="inlineStr">
        <is>
          <t>TÔ VĂN THIỆN</t>
        </is>
      </c>
      <c r="D1224" s="139" t="inlineStr">
        <is>
          <t>01/01/1963</t>
        </is>
      </c>
      <c r="E1224" s="139" t="inlineStr">
        <is>
          <t>Xét nghiệm đường máu mao mạch tại giường (một lần)[Nội trú]</t>
        </is>
      </c>
      <c r="F1224" s="260" t="n">
        <v>1</v>
      </c>
      <c r="G1224" s="261" t="n">
        <v>35000</v>
      </c>
      <c r="H1224" s="93" t="n"/>
    </row>
    <row r="1225" hidden="1" ht="15.75" customHeight="1" s="248">
      <c r="A1225" s="92" t="n">
        <v>1220</v>
      </c>
      <c r="B1225" s="139" t="inlineStr">
        <is>
          <t>2026/06/17 16:00</t>
        </is>
      </c>
      <c r="C1225" s="139" t="inlineStr">
        <is>
          <t>BÙI THỊ THU BA</t>
        </is>
      </c>
      <c r="D1225" s="139" t="inlineStr">
        <is>
          <t>01/01/1960</t>
        </is>
      </c>
      <c r="E1225" s="139" t="inlineStr">
        <is>
          <t>Xét nghiệm đường máu mao mạch tại giường (một lần)[Nội trú]</t>
        </is>
      </c>
      <c r="F1225" s="260" t="n">
        <v>1</v>
      </c>
      <c r="G1225" s="261" t="n">
        <v>35000</v>
      </c>
      <c r="H1225" s="93" t="n"/>
    </row>
    <row r="1226" hidden="1" ht="15.75" customHeight="1" s="248">
      <c r="A1226" s="92" t="n">
        <v>1221</v>
      </c>
      <c r="B1226" s="139" t="inlineStr">
        <is>
          <t>2026/06/17 16:00</t>
        </is>
      </c>
      <c r="C1226" s="139" t="inlineStr">
        <is>
          <t>CHÂU THỊ A</t>
        </is>
      </c>
      <c r="D1226" s="139" t="inlineStr">
        <is>
          <t>01/01/1958</t>
        </is>
      </c>
      <c r="E1226" s="139" t="inlineStr">
        <is>
          <t>Xét nghiệm đường máu mao mạch tại giường (một lần)[Nội trú]</t>
        </is>
      </c>
      <c r="F1226" s="260" t="n">
        <v>1</v>
      </c>
      <c r="G1226" s="261" t="n">
        <v>35000</v>
      </c>
      <c r="H1226" s="93" t="n"/>
    </row>
    <row r="1227" hidden="1" ht="15.75" customHeight="1" s="248">
      <c r="A1227" s="92" t="n">
        <v>1222</v>
      </c>
      <c r="B1227" s="139" t="inlineStr">
        <is>
          <t>2026/06/17 16:00</t>
        </is>
      </c>
      <c r="C1227" s="139" t="inlineStr">
        <is>
          <t>HỒ THỊ HOÀNG</t>
        </is>
      </c>
      <c r="D1227" s="139" t="inlineStr">
        <is>
          <t>08/08/1963</t>
        </is>
      </c>
      <c r="E1227" s="139" t="inlineStr">
        <is>
          <t>Xét nghiệm đường máu mao mạch tại giường (một lần)[Nội trú]</t>
        </is>
      </c>
      <c r="F1227" s="260" t="n">
        <v>1</v>
      </c>
      <c r="G1227" s="261" t="n">
        <v>35000</v>
      </c>
      <c r="H1227" s="93" t="n"/>
    </row>
    <row r="1228" hidden="1" ht="15.75" customHeight="1" s="248">
      <c r="A1228" s="92" t="n">
        <v>1223</v>
      </c>
      <c r="B1228" s="139" t="inlineStr">
        <is>
          <t>2026/06/17 16:00</t>
        </is>
      </c>
      <c r="C1228" s="139" t="inlineStr">
        <is>
          <t>LÊ THỊ QUEN</t>
        </is>
      </c>
      <c r="D1228" s="139" t="inlineStr">
        <is>
          <t>01/01/1956</t>
        </is>
      </c>
      <c r="E1228" s="139" t="inlineStr">
        <is>
          <t>Xét nghiệm đường máu mao mạch tại giường (một lần)[Nội trú]</t>
        </is>
      </c>
      <c r="F1228" s="260" t="n">
        <v>1</v>
      </c>
      <c r="G1228" s="261" t="n">
        <v>35000</v>
      </c>
      <c r="H1228" s="93" t="n"/>
    </row>
    <row r="1229" hidden="1" ht="15.75" customHeight="1" s="248">
      <c r="A1229" s="92" t="n">
        <v>1224</v>
      </c>
      <c r="B1229" s="139" t="inlineStr">
        <is>
          <t>2026/06/17 16:00</t>
        </is>
      </c>
      <c r="C1229" s="139" t="inlineStr">
        <is>
          <t>PHẠM THỊ DUNG</t>
        </is>
      </c>
      <c r="D1229" s="139" t="inlineStr">
        <is>
          <t>01/01/1968</t>
        </is>
      </c>
      <c r="E1229" s="139" t="inlineStr">
        <is>
          <t>Xét nghiệm đường máu mao mạch tại giường (một lần)[Nội trú]</t>
        </is>
      </c>
      <c r="F1229" s="260" t="n">
        <v>1</v>
      </c>
      <c r="G1229" s="261" t="n">
        <v>35000</v>
      </c>
      <c r="H1229" s="93" t="n"/>
    </row>
    <row r="1230" hidden="1" ht="15.75" customHeight="1" s="248">
      <c r="A1230" s="92" t="n">
        <v>1225</v>
      </c>
      <c r="B1230" s="139" t="inlineStr">
        <is>
          <t>2026/06/17 16:00</t>
        </is>
      </c>
      <c r="C1230" s="139" t="inlineStr">
        <is>
          <t>TÔ VĂN THIỆN</t>
        </is>
      </c>
      <c r="D1230" s="139" t="inlineStr">
        <is>
          <t>01/01/1963</t>
        </is>
      </c>
      <c r="E1230" s="139" t="inlineStr">
        <is>
          <t>Xét nghiệm đường máu mao mạch tại giường (một lần)[Nội trú]</t>
        </is>
      </c>
      <c r="F1230" s="260" t="n">
        <v>1</v>
      </c>
      <c r="G1230" s="261" t="n">
        <v>35000</v>
      </c>
      <c r="H1230" s="93" t="n"/>
    </row>
    <row r="1231" hidden="1" ht="15.75" customHeight="1" s="248">
      <c r="A1231" s="92" t="n">
        <v>1226</v>
      </c>
      <c r="B1231" s="139" t="inlineStr">
        <is>
          <t>2026/06/18 05:00</t>
        </is>
      </c>
      <c r="C1231" s="139" t="inlineStr">
        <is>
          <t>PHẠM THỊ DUNG</t>
        </is>
      </c>
      <c r="D1231" s="139" t="inlineStr">
        <is>
          <t>01/01/1968</t>
        </is>
      </c>
      <c r="E1231" s="139" t="inlineStr">
        <is>
          <t>Xét nghiệm đường máu mao mạch tại giường (một lần)[Nội trú]</t>
        </is>
      </c>
      <c r="F1231" s="260" t="n">
        <v>1</v>
      </c>
      <c r="G1231" s="261" t="n">
        <v>35000</v>
      </c>
      <c r="H1231" s="93" t="n"/>
    </row>
    <row r="1232" hidden="1" ht="15.75" customHeight="1" s="248">
      <c r="A1232" s="92" t="n">
        <v>1227</v>
      </c>
      <c r="B1232" s="139" t="inlineStr">
        <is>
          <t>2026/06/18 05:00</t>
        </is>
      </c>
      <c r="C1232" s="139" t="inlineStr">
        <is>
          <t>TÔ VĂN THIỆN</t>
        </is>
      </c>
      <c r="D1232" s="139" t="inlineStr">
        <is>
          <t>01/01/1963</t>
        </is>
      </c>
      <c r="E1232" s="139" t="inlineStr">
        <is>
          <t>Xét nghiệm đường máu mao mạch tại giường (một lần)[Nội trú]</t>
        </is>
      </c>
      <c r="F1232" s="260" t="n">
        <v>1</v>
      </c>
      <c r="G1232" s="261" t="n">
        <v>35000</v>
      </c>
      <c r="H1232" s="93" t="n"/>
    </row>
    <row r="1233" hidden="1" ht="15.75" customHeight="1" s="248">
      <c r="A1233" s="92" t="n">
        <v>1228</v>
      </c>
      <c r="B1233" s="139" t="inlineStr">
        <is>
          <t>2026/06/18 05:00</t>
        </is>
      </c>
      <c r="C1233" s="139" t="inlineStr">
        <is>
          <t>BÙI THỊ THU BA</t>
        </is>
      </c>
      <c r="D1233" s="139" t="inlineStr">
        <is>
          <t>01/01/1960</t>
        </is>
      </c>
      <c r="E1233" s="139" t="inlineStr">
        <is>
          <t>Xét nghiệm đường máu mao mạch tại giường (một lần)[Nội trú]</t>
        </is>
      </c>
      <c r="F1233" s="260" t="n">
        <v>1</v>
      </c>
      <c r="G1233" s="261" t="n">
        <v>16000</v>
      </c>
      <c r="H1233" s="93" t="n"/>
    </row>
    <row r="1234" hidden="1" ht="15.75" customHeight="1" s="248">
      <c r="A1234" s="92" t="n">
        <v>1229</v>
      </c>
      <c r="B1234" s="139" t="inlineStr">
        <is>
          <t>2026/06/18 05:00</t>
        </is>
      </c>
      <c r="C1234" s="139" t="inlineStr">
        <is>
          <t>CHÂU THỊ A</t>
        </is>
      </c>
      <c r="D1234" s="139" t="inlineStr">
        <is>
          <t>01/01/1958</t>
        </is>
      </c>
      <c r="E1234" s="139" t="inlineStr">
        <is>
          <t>Xét nghiệm đường máu mao mạch tại giường (một lần)[Nội trú]</t>
        </is>
      </c>
      <c r="F1234" s="260" t="n">
        <v>1</v>
      </c>
      <c r="G1234" s="261" t="n">
        <v>16000</v>
      </c>
      <c r="H1234" s="93" t="n"/>
    </row>
    <row r="1235" hidden="1" ht="15.75" customHeight="1" s="248">
      <c r="A1235" s="92" t="n">
        <v>1230</v>
      </c>
      <c r="B1235" s="139" t="inlineStr">
        <is>
          <t>2026/06/18 05:00</t>
        </is>
      </c>
      <c r="C1235" s="139" t="inlineStr">
        <is>
          <t>LÊ THỊ QUEN</t>
        </is>
      </c>
      <c r="D1235" s="139" t="inlineStr">
        <is>
          <t>01/01/1956</t>
        </is>
      </c>
      <c r="E1235" s="139" t="inlineStr">
        <is>
          <t>Xét nghiệm đường máu mao mạch tại giường (một lần)[Nội trú]</t>
        </is>
      </c>
      <c r="F1235" s="260" t="n">
        <v>1</v>
      </c>
      <c r="G1235" s="261" t="n">
        <v>16000</v>
      </c>
      <c r="H1235" s="93" t="n"/>
    </row>
    <row r="1236" hidden="1" ht="15.75" customHeight="1" s="248">
      <c r="A1236" s="92" t="n">
        <v>1231</v>
      </c>
      <c r="B1236" s="139" t="inlineStr">
        <is>
          <t>2026/06/18 16:00</t>
        </is>
      </c>
      <c r="C1236" s="139" t="inlineStr">
        <is>
          <t>BÙI THỊ THU BA</t>
        </is>
      </c>
      <c r="D1236" s="139" t="inlineStr">
        <is>
          <t>01/01/1960</t>
        </is>
      </c>
      <c r="E1236" s="139" t="inlineStr">
        <is>
          <t>Xét nghiệm đường máu mao mạch tại giường (một lần)[Nội trú]</t>
        </is>
      </c>
      <c r="F1236" s="260" t="n">
        <v>1</v>
      </c>
      <c r="G1236" s="261" t="n">
        <v>35000</v>
      </c>
      <c r="H1236" s="93" t="n"/>
    </row>
    <row r="1237" hidden="1" ht="15.75" customHeight="1" s="248">
      <c r="A1237" s="92" t="n">
        <v>1232</v>
      </c>
      <c r="B1237" s="139" t="inlineStr">
        <is>
          <t>2026/06/18 16:00</t>
        </is>
      </c>
      <c r="C1237" s="139" t="inlineStr">
        <is>
          <t>CHÂU THỊ A</t>
        </is>
      </c>
      <c r="D1237" s="139" t="inlineStr">
        <is>
          <t>01/01/1958</t>
        </is>
      </c>
      <c r="E1237" s="139" t="inlineStr">
        <is>
          <t>Xét nghiệm đường máu mao mạch tại giường (một lần)[Nội trú]</t>
        </is>
      </c>
      <c r="F1237" s="260" t="n">
        <v>1</v>
      </c>
      <c r="G1237" s="261" t="n">
        <v>35000</v>
      </c>
      <c r="H1237" s="93" t="n"/>
    </row>
    <row r="1238" hidden="1" ht="15.75" customHeight="1" s="248">
      <c r="A1238" s="92" t="n">
        <v>1233</v>
      </c>
      <c r="B1238" s="139" t="inlineStr">
        <is>
          <t>2026/06/18 16:00</t>
        </is>
      </c>
      <c r="C1238" s="139" t="inlineStr">
        <is>
          <t>HỒ THỊ HOÀNG</t>
        </is>
      </c>
      <c r="D1238" s="139" t="inlineStr">
        <is>
          <t>08/08/1963</t>
        </is>
      </c>
      <c r="E1238" s="139" t="inlineStr">
        <is>
          <t>Xét nghiệm đường máu mao mạch tại giường (một lần)[Nội trú]</t>
        </is>
      </c>
      <c r="F1238" s="260" t="n">
        <v>1</v>
      </c>
      <c r="G1238" s="261" t="n">
        <v>35000</v>
      </c>
      <c r="H1238" s="93" t="n"/>
    </row>
    <row r="1239" hidden="1" ht="15.75" customHeight="1" s="248">
      <c r="A1239" s="92" t="n">
        <v>1234</v>
      </c>
      <c r="B1239" s="139" t="inlineStr">
        <is>
          <t>2026/06/18 16:00</t>
        </is>
      </c>
      <c r="C1239" s="139" t="inlineStr">
        <is>
          <t>LÊ THỊ QUEN</t>
        </is>
      </c>
      <c r="D1239" s="139" t="inlineStr">
        <is>
          <t>01/01/1956</t>
        </is>
      </c>
      <c r="E1239" s="139" t="inlineStr">
        <is>
          <t>Xét nghiệm đường máu mao mạch tại giường (một lần)[Nội trú]</t>
        </is>
      </c>
      <c r="F1239" s="260" t="n">
        <v>1</v>
      </c>
      <c r="G1239" s="261" t="n">
        <v>35000</v>
      </c>
      <c r="H1239" s="93" t="n"/>
    </row>
    <row r="1240" hidden="1" ht="15.75" customHeight="1" s="248">
      <c r="A1240" s="92" t="n">
        <v>1235</v>
      </c>
      <c r="B1240" s="139" t="inlineStr">
        <is>
          <t>2026/06/18 16:00</t>
        </is>
      </c>
      <c r="C1240" s="139" t="inlineStr">
        <is>
          <t>PHAN VĂN ĐƯỢC</t>
        </is>
      </c>
      <c r="D1240" s="139" t="inlineStr">
        <is>
          <t>01/01/1934</t>
        </is>
      </c>
      <c r="E1240" s="139" t="inlineStr">
        <is>
          <t>Xét nghiệm đường máu mao mạch tại giường (một lần)[Nội trú]</t>
        </is>
      </c>
      <c r="F1240" s="260" t="n">
        <v>1</v>
      </c>
      <c r="G1240" s="261" t="n">
        <v>35000</v>
      </c>
      <c r="H1240" s="93" t="n"/>
    </row>
    <row r="1241" hidden="1" ht="15.75" customHeight="1" s="248">
      <c r="A1241" s="92" t="n">
        <v>1236</v>
      </c>
      <c r="B1241" s="139" t="inlineStr">
        <is>
          <t>2026/06/18 16:00</t>
        </is>
      </c>
      <c r="C1241" s="139" t="inlineStr">
        <is>
          <t>PHẠM THỊ DUNG</t>
        </is>
      </c>
      <c r="D1241" s="139" t="inlineStr">
        <is>
          <t>01/01/1968</t>
        </is>
      </c>
      <c r="E1241" s="139" t="inlineStr">
        <is>
          <t>Xét nghiệm đường máu mao mạch tại giường (một lần)[Nội trú]</t>
        </is>
      </c>
      <c r="F1241" s="260" t="n">
        <v>1</v>
      </c>
      <c r="G1241" s="261" t="n">
        <v>35000</v>
      </c>
      <c r="H1241" s="93" t="n"/>
    </row>
    <row r="1242" hidden="1" ht="15.75" customHeight="1" s="248">
      <c r="A1242" s="92" t="n">
        <v>1237</v>
      </c>
      <c r="B1242" s="139" t="inlineStr">
        <is>
          <t>2026/06/18 16:00</t>
        </is>
      </c>
      <c r="C1242" s="139" t="inlineStr">
        <is>
          <t>TÔ VĂN THIỆN</t>
        </is>
      </c>
      <c r="D1242" s="139" t="inlineStr">
        <is>
          <t>01/01/1963</t>
        </is>
      </c>
      <c r="E1242" s="139" t="inlineStr">
        <is>
          <t>Xét nghiệm đường máu mao mạch tại giường (một lần)[Nội trú]</t>
        </is>
      </c>
      <c r="F1242" s="260" t="n">
        <v>1</v>
      </c>
      <c r="G1242" s="261" t="n">
        <v>35000</v>
      </c>
      <c r="H1242" s="93" t="n"/>
    </row>
    <row r="1243" hidden="1" ht="15.75" customHeight="1" s="248">
      <c r="A1243" s="92" t="n">
        <v>1238</v>
      </c>
      <c r="B1243" s="139" t="inlineStr">
        <is>
          <t>2026/06/18 16:00</t>
        </is>
      </c>
      <c r="C1243" s="139" t="inlineStr">
        <is>
          <t>VÕ THỊ THE</t>
        </is>
      </c>
      <c r="D1243" s="139" t="inlineStr">
        <is>
          <t>01/01/1963</t>
        </is>
      </c>
      <c r="E1243" s="139" t="inlineStr">
        <is>
          <t>Xét nghiệm đường máu mao mạch tại giường (một lần)[Nội trú]</t>
        </is>
      </c>
      <c r="F1243" s="260" t="n">
        <v>1</v>
      </c>
      <c r="G1243" s="261" t="n">
        <v>35000</v>
      </c>
      <c r="H1243" s="93" t="n"/>
    </row>
    <row r="1244" hidden="1" ht="15.75" customHeight="1" s="248">
      <c r="A1244" s="92" t="n">
        <v>1239</v>
      </c>
      <c r="B1244" s="139" t="inlineStr">
        <is>
          <t>2026/06/19 05:00</t>
        </is>
      </c>
      <c r="C1244" s="139" t="inlineStr">
        <is>
          <t>BÙI THỊ THU BA</t>
        </is>
      </c>
      <c r="D1244" s="139" t="inlineStr">
        <is>
          <t>01/01/1960</t>
        </is>
      </c>
      <c r="E1244" s="139" t="inlineStr">
        <is>
          <t>Xét nghiệm đường máu mao mạch tại giường (một lần)[Nội trú]</t>
        </is>
      </c>
      <c r="F1244" s="260" t="n">
        <v>1</v>
      </c>
      <c r="G1244" s="261" t="n">
        <v>35000</v>
      </c>
      <c r="H1244" s="93" t="n"/>
    </row>
    <row r="1245" hidden="1" ht="15.75" customHeight="1" s="248">
      <c r="A1245" s="92" t="n">
        <v>1240</v>
      </c>
      <c r="B1245" s="139" t="inlineStr">
        <is>
          <t>2026/06/19 05:00</t>
        </is>
      </c>
      <c r="C1245" s="139" t="inlineStr">
        <is>
          <t>CHÂU THỊ A</t>
        </is>
      </c>
      <c r="D1245" s="139" t="inlineStr">
        <is>
          <t>01/01/1958</t>
        </is>
      </c>
      <c r="E1245" s="139" t="inlineStr">
        <is>
          <t>Xét nghiệm đường máu mao mạch tại giường (một lần)[Nội trú]</t>
        </is>
      </c>
      <c r="F1245" s="260" t="n">
        <v>1</v>
      </c>
      <c r="G1245" s="261" t="n">
        <v>35000</v>
      </c>
      <c r="H1245" s="93" t="n"/>
    </row>
    <row r="1246" hidden="1" ht="15.75" customHeight="1" s="248">
      <c r="A1246" s="92" t="n">
        <v>1241</v>
      </c>
      <c r="B1246" s="139" t="inlineStr">
        <is>
          <t>2026/06/19 05:00</t>
        </is>
      </c>
      <c r="C1246" s="139" t="inlineStr">
        <is>
          <t>HUỲNH KIM NHO</t>
        </is>
      </c>
      <c r="D1246" s="139" t="inlineStr">
        <is>
          <t>03/03/1953</t>
        </is>
      </c>
      <c r="E1246" s="139" t="inlineStr">
        <is>
          <t>Xét nghiệm đường máu mao mạch tại giường (một lần)[Nội trú]</t>
        </is>
      </c>
      <c r="F1246" s="260" t="n">
        <v>1</v>
      </c>
      <c r="G1246" s="261" t="n">
        <v>16000</v>
      </c>
      <c r="H1246" s="93" t="n"/>
    </row>
    <row r="1247" hidden="1" ht="15.75" customHeight="1" s="248">
      <c r="A1247" s="92" t="n">
        <v>1242</v>
      </c>
      <c r="B1247" s="139" t="inlineStr">
        <is>
          <t>2026/06/19 05:00</t>
        </is>
      </c>
      <c r="C1247" s="139" t="inlineStr">
        <is>
          <t>LÊ THỊ QUEN</t>
        </is>
      </c>
      <c r="D1247" s="139" t="inlineStr">
        <is>
          <t>01/01/1956</t>
        </is>
      </c>
      <c r="E1247" s="139" t="inlineStr">
        <is>
          <t>Xét nghiệm đường máu mao mạch tại giường (một lần)[Nội trú]</t>
        </is>
      </c>
      <c r="F1247" s="260" t="n">
        <v>1</v>
      </c>
      <c r="G1247" s="261" t="n">
        <v>35000</v>
      </c>
      <c r="H1247" s="93" t="n"/>
    </row>
    <row r="1248" hidden="1" ht="15.75" customHeight="1" s="248">
      <c r="A1248" s="92" t="n">
        <v>1243</v>
      </c>
      <c r="B1248" s="139" t="inlineStr">
        <is>
          <t>2026/06/19 05:00</t>
        </is>
      </c>
      <c r="C1248" s="139" t="inlineStr">
        <is>
          <t>LÊ VĂN NỮA</t>
        </is>
      </c>
      <c r="D1248" s="139" t="inlineStr">
        <is>
          <t>05/01/1959</t>
        </is>
      </c>
      <c r="E1248" s="139" t="inlineStr">
        <is>
          <t>Xét nghiệm đường máu mao mạch tại giường (một lần)[Nội trú]</t>
        </is>
      </c>
      <c r="F1248" s="260" t="n">
        <v>1</v>
      </c>
      <c r="G1248" s="261" t="n">
        <v>35000</v>
      </c>
      <c r="H1248" s="93" t="n"/>
    </row>
    <row r="1249" hidden="1" ht="15.75" customHeight="1" s="248">
      <c r="A1249" s="92" t="n">
        <v>1244</v>
      </c>
      <c r="B1249" s="139" t="inlineStr">
        <is>
          <t>2026/06/19 05:00</t>
        </is>
      </c>
      <c r="C1249" s="139" t="inlineStr">
        <is>
          <t>PHAN VĂN ĐƯỢC</t>
        </is>
      </c>
      <c r="D1249" s="139" t="inlineStr">
        <is>
          <t>01/01/1934</t>
        </is>
      </c>
      <c r="E1249" s="139" t="inlineStr">
        <is>
          <t>Xét nghiệm đường máu mao mạch tại giường (một lần)[Nội trú]</t>
        </is>
      </c>
      <c r="F1249" s="260" t="n">
        <v>1</v>
      </c>
      <c r="G1249" s="261" t="n">
        <v>35000</v>
      </c>
      <c r="H1249" s="93" t="n"/>
    </row>
    <row r="1250" hidden="1" ht="15.75" customHeight="1" s="248">
      <c r="A1250" s="92" t="n">
        <v>1245</v>
      </c>
      <c r="B1250" s="139" t="inlineStr">
        <is>
          <t>2026/06/19 05:00</t>
        </is>
      </c>
      <c r="C1250" s="139" t="inlineStr">
        <is>
          <t>PHẠM THỊ DUNG</t>
        </is>
      </c>
      <c r="D1250" s="139" t="inlineStr">
        <is>
          <t>01/01/1968</t>
        </is>
      </c>
      <c r="E1250" s="139" t="inlineStr">
        <is>
          <t>Xét nghiệm đường máu mao mạch tại giường (một lần)[Nội trú]</t>
        </is>
      </c>
      <c r="F1250" s="260" t="n">
        <v>1</v>
      </c>
      <c r="G1250" s="261" t="n">
        <v>35000</v>
      </c>
      <c r="H1250" s="93" t="n"/>
    </row>
    <row r="1251" hidden="1" ht="15.75" customHeight="1" s="248">
      <c r="A1251" s="92" t="n">
        <v>1246</v>
      </c>
      <c r="B1251" s="139" t="inlineStr">
        <is>
          <t>2026/06/19 05:00</t>
        </is>
      </c>
      <c r="C1251" s="139" t="inlineStr">
        <is>
          <t>TÔ VĂN THIỆN</t>
        </is>
      </c>
      <c r="D1251" s="139" t="inlineStr">
        <is>
          <t>01/01/1963</t>
        </is>
      </c>
      <c r="E1251" s="139" t="inlineStr">
        <is>
          <t>Xét nghiệm đường máu mao mạch tại giường (một lần)[Nội trú]</t>
        </is>
      </c>
      <c r="F1251" s="260" t="n">
        <v>1</v>
      </c>
      <c r="G1251" s="261" t="n">
        <v>35000</v>
      </c>
      <c r="H1251" s="93" t="n"/>
    </row>
    <row r="1252" hidden="1" ht="15.75" customHeight="1" s="248">
      <c r="A1252" s="92" t="n">
        <v>1247</v>
      </c>
      <c r="B1252" s="139" t="inlineStr">
        <is>
          <t>2026/06/19 05:00</t>
        </is>
      </c>
      <c r="C1252" s="139" t="inlineStr">
        <is>
          <t>VÕ THỊ THE</t>
        </is>
      </c>
      <c r="D1252" s="139" t="inlineStr">
        <is>
          <t>01/01/1963</t>
        </is>
      </c>
      <c r="E1252" s="139" t="inlineStr">
        <is>
          <t>Xét nghiệm đường máu mao mạch tại giường (một lần)[Nội trú]</t>
        </is>
      </c>
      <c r="F1252" s="260" t="n">
        <v>1</v>
      </c>
      <c r="G1252" s="261" t="n">
        <v>16000</v>
      </c>
      <c r="H1252" s="93" t="n"/>
    </row>
    <row r="1253" hidden="1" ht="15.75" customHeight="1" s="248">
      <c r="A1253" s="92" t="n">
        <v>1248</v>
      </c>
      <c r="B1253" s="139" t="inlineStr">
        <is>
          <t>2026/06/19 13:00</t>
        </is>
      </c>
      <c r="C1253" s="139" t="inlineStr">
        <is>
          <t>BÙI THỊ THU BA</t>
        </is>
      </c>
      <c r="D1253" s="139" t="inlineStr">
        <is>
          <t>01/01/1960</t>
        </is>
      </c>
      <c r="E1253" s="139" t="inlineStr">
        <is>
          <t>Xét nghiệm đường máu mao mạch tại giường (một lần)[Nội trú]</t>
        </is>
      </c>
      <c r="F1253" s="260" t="n">
        <v>1</v>
      </c>
      <c r="G1253" s="261" t="n">
        <v>35000</v>
      </c>
      <c r="H1253" s="93" t="n"/>
    </row>
    <row r="1254" hidden="1" ht="15.75" customHeight="1" s="248">
      <c r="A1254" s="92" t="n">
        <v>1249</v>
      </c>
      <c r="B1254" s="139" t="inlineStr">
        <is>
          <t>2026/06/19 14:30</t>
        </is>
      </c>
      <c r="C1254" s="139" t="inlineStr">
        <is>
          <t>BÙI THỊ THU BA</t>
        </is>
      </c>
      <c r="D1254" s="139" t="inlineStr">
        <is>
          <t>01/01/1960</t>
        </is>
      </c>
      <c r="E1254" s="139" t="inlineStr">
        <is>
          <t>Xét nghiệm đường máu mao mạch tại giường (một lần)[Nội trú]</t>
        </is>
      </c>
      <c r="F1254" s="260" t="n">
        <v>1</v>
      </c>
      <c r="G1254" s="261" t="n">
        <v>35000</v>
      </c>
      <c r="H1254" s="93" t="n"/>
    </row>
    <row r="1255" hidden="1" ht="15.75" customHeight="1" s="248">
      <c r="A1255" s="92" t="n">
        <v>1250</v>
      </c>
      <c r="B1255" s="139" t="inlineStr">
        <is>
          <t>2026/06/19 14:30</t>
        </is>
      </c>
      <c r="C1255" s="139" t="inlineStr">
        <is>
          <t>HỒ THỊ HOÀNG</t>
        </is>
      </c>
      <c r="D1255" s="139" t="inlineStr">
        <is>
          <t>08/08/1963</t>
        </is>
      </c>
      <c r="E1255" s="139" t="inlineStr">
        <is>
          <t>Xét nghiệm đường máu mao mạch tại giường (một lần)[Nội trú]</t>
        </is>
      </c>
      <c r="F1255" s="260" t="n">
        <v>1</v>
      </c>
      <c r="G1255" s="261" t="n">
        <v>35000</v>
      </c>
      <c r="H1255" s="93" t="n"/>
    </row>
    <row r="1256" hidden="1" ht="15.75" customHeight="1" s="248">
      <c r="A1256" s="92" t="n">
        <v>1251</v>
      </c>
      <c r="B1256" s="139" t="inlineStr">
        <is>
          <t>2026/06/19 16:00</t>
        </is>
      </c>
      <c r="C1256" s="139" t="inlineStr">
        <is>
          <t>CHÂU THỊ A</t>
        </is>
      </c>
      <c r="D1256" s="139" t="inlineStr">
        <is>
          <t>01/01/1958</t>
        </is>
      </c>
      <c r="E1256" s="139" t="inlineStr">
        <is>
          <t>Xét nghiệm đường máu mao mạch tại giường (một lần)[Nội trú]</t>
        </is>
      </c>
      <c r="F1256" s="260" t="n">
        <v>1</v>
      </c>
      <c r="G1256" s="261" t="n">
        <v>35000</v>
      </c>
      <c r="H1256" s="93" t="n"/>
    </row>
    <row r="1257" hidden="1" ht="15.75" customHeight="1" s="248">
      <c r="A1257" s="92" t="n">
        <v>1252</v>
      </c>
      <c r="B1257" s="139" t="inlineStr">
        <is>
          <t>2026/06/19 16:00</t>
        </is>
      </c>
      <c r="C1257" s="139" t="inlineStr">
        <is>
          <t>LÊ THỊ QUEN</t>
        </is>
      </c>
      <c r="D1257" s="139" t="inlineStr">
        <is>
          <t>01/01/1956</t>
        </is>
      </c>
      <c r="E1257" s="139" t="inlineStr">
        <is>
          <t>Xét nghiệm đường máu mao mạch tại giường (một lần)[Nội trú]</t>
        </is>
      </c>
      <c r="F1257" s="260" t="n">
        <v>1</v>
      </c>
      <c r="G1257" s="261" t="n">
        <v>35000</v>
      </c>
      <c r="H1257" s="93" t="n"/>
    </row>
    <row r="1258" hidden="1" ht="15.75" customHeight="1" s="248">
      <c r="A1258" s="92" t="n">
        <v>1253</v>
      </c>
      <c r="B1258" s="139" t="inlineStr">
        <is>
          <t>2026/06/19 16:00</t>
        </is>
      </c>
      <c r="C1258" s="139" t="inlineStr">
        <is>
          <t>PHAN VĂN ĐƯỢC</t>
        </is>
      </c>
      <c r="D1258" s="139" t="inlineStr">
        <is>
          <t>01/01/1934</t>
        </is>
      </c>
      <c r="E1258" s="139" t="inlineStr">
        <is>
          <t>Xét nghiệm đường máu mao mạch tại giường (một lần)[Nội trú]</t>
        </is>
      </c>
      <c r="F1258" s="260" t="n">
        <v>1</v>
      </c>
      <c r="G1258" s="261" t="n">
        <v>35000</v>
      </c>
      <c r="H1258" s="93" t="n"/>
    </row>
    <row r="1259" hidden="1" ht="15.75" customHeight="1" s="248">
      <c r="A1259" s="92" t="n">
        <v>1254</v>
      </c>
      <c r="B1259" s="139" t="inlineStr">
        <is>
          <t>2026/06/19 16:00</t>
        </is>
      </c>
      <c r="C1259" s="139" t="inlineStr">
        <is>
          <t>PHẠM THỊ DUNG</t>
        </is>
      </c>
      <c r="D1259" s="139" t="inlineStr">
        <is>
          <t>01/01/1968</t>
        </is>
      </c>
      <c r="E1259" s="139" t="inlineStr">
        <is>
          <t>Xét nghiệm đường máu mao mạch tại giường (một lần)[Nội trú]</t>
        </is>
      </c>
      <c r="F1259" s="260" t="n">
        <v>1</v>
      </c>
      <c r="G1259" s="261" t="n">
        <v>16000</v>
      </c>
      <c r="H1259" s="93" t="n"/>
    </row>
    <row r="1260" hidden="1" ht="15.75" customHeight="1" s="248">
      <c r="A1260" s="92" t="n">
        <v>1255</v>
      </c>
      <c r="B1260" s="139" t="inlineStr">
        <is>
          <t>2026/06/19 16:00</t>
        </is>
      </c>
      <c r="C1260" s="139" t="inlineStr">
        <is>
          <t>TÔ VĂN THIỆN</t>
        </is>
      </c>
      <c r="D1260" s="139" t="inlineStr">
        <is>
          <t>01/01/1963</t>
        </is>
      </c>
      <c r="E1260" s="139" t="inlineStr">
        <is>
          <t>Xét nghiệm đường máu mao mạch tại giường (một lần)[Nội trú]</t>
        </is>
      </c>
      <c r="F1260" s="260" t="n">
        <v>1</v>
      </c>
      <c r="G1260" s="261" t="n">
        <v>35000</v>
      </c>
      <c r="H1260" s="93" t="n"/>
    </row>
    <row r="1261" hidden="1" ht="15.75" customHeight="1" s="248">
      <c r="A1261" s="92" t="n">
        <v>1256</v>
      </c>
      <c r="B1261" s="139" t="inlineStr">
        <is>
          <t>2026/06/20 05:00</t>
        </is>
      </c>
      <c r="C1261" s="139" t="inlineStr">
        <is>
          <t>BÙI THỊ THU BA</t>
        </is>
      </c>
      <c r="D1261" s="139" t="inlineStr">
        <is>
          <t>01/01/1960</t>
        </is>
      </c>
      <c r="E1261" s="139" t="inlineStr">
        <is>
          <t>Xét nghiệm đường máu mao mạch tại giường (một lần)[Nội trú]</t>
        </is>
      </c>
      <c r="F1261" s="260" t="n">
        <v>1</v>
      </c>
      <c r="G1261" s="261" t="n">
        <v>35000</v>
      </c>
      <c r="H1261" s="93" t="n"/>
    </row>
    <row r="1262" hidden="1" ht="15.75" customHeight="1" s="248">
      <c r="A1262" s="92" t="n">
        <v>1257</v>
      </c>
      <c r="B1262" s="139" t="inlineStr">
        <is>
          <t>2026/06/20 05:00</t>
        </is>
      </c>
      <c r="C1262" s="139" t="inlineStr">
        <is>
          <t>CHÂU THỊ A</t>
        </is>
      </c>
      <c r="D1262" s="139" t="inlineStr">
        <is>
          <t>01/01/1958</t>
        </is>
      </c>
      <c r="E1262" s="139" t="inlineStr">
        <is>
          <t>Xét nghiệm đường máu mao mạch tại giường (một lần)[Nội trú]</t>
        </is>
      </c>
      <c r="F1262" s="260" t="n">
        <v>1</v>
      </c>
      <c r="G1262" s="261" t="n">
        <v>35000</v>
      </c>
      <c r="H1262" s="93" t="n"/>
    </row>
    <row r="1263" hidden="1" ht="15.75" customHeight="1" s="248">
      <c r="A1263" s="92" t="n">
        <v>1258</v>
      </c>
      <c r="B1263" s="139" t="inlineStr">
        <is>
          <t>2026/06/20 05:00</t>
        </is>
      </c>
      <c r="C1263" s="139" t="inlineStr">
        <is>
          <t>PHẠM THỊ DUNG</t>
        </is>
      </c>
      <c r="D1263" s="139" t="inlineStr">
        <is>
          <t>01/01/1968</t>
        </is>
      </c>
      <c r="E1263" s="139" t="inlineStr">
        <is>
          <t>Xét nghiệm đường máu mao mạch tại giường (một lần)[Nội trú]</t>
        </is>
      </c>
      <c r="F1263" s="260" t="n">
        <v>1</v>
      </c>
      <c r="G1263" s="261" t="n">
        <v>16000</v>
      </c>
      <c r="H1263" s="93" t="n"/>
    </row>
    <row r="1264" hidden="1" ht="15.75" customHeight="1" s="248">
      <c r="A1264" s="92" t="n">
        <v>1259</v>
      </c>
      <c r="B1264" s="139" t="inlineStr">
        <is>
          <t>2026/06/20 05:00</t>
        </is>
      </c>
      <c r="C1264" s="139" t="inlineStr">
        <is>
          <t>TÔ VĂN THIỆN</t>
        </is>
      </c>
      <c r="D1264" s="139" t="inlineStr">
        <is>
          <t>01/01/1963</t>
        </is>
      </c>
      <c r="E1264" s="139" t="inlineStr">
        <is>
          <t>Xét nghiệm đường máu mao mạch tại giường (một lần)[Nội trú]</t>
        </is>
      </c>
      <c r="F1264" s="260" t="n">
        <v>1</v>
      </c>
      <c r="G1264" s="261" t="n">
        <v>35000</v>
      </c>
      <c r="H1264" s="93" t="n"/>
    </row>
    <row r="1265" hidden="1" ht="15.75" customHeight="1" s="248">
      <c r="A1265" s="92" t="n">
        <v>1260</v>
      </c>
      <c r="B1265" s="139" t="inlineStr">
        <is>
          <t>2026/06/20 05:00</t>
        </is>
      </c>
      <c r="C1265" s="139" t="inlineStr">
        <is>
          <t>VÕ THỊ THE</t>
        </is>
      </c>
      <c r="D1265" s="139" t="inlineStr">
        <is>
          <t>01/01/1963</t>
        </is>
      </c>
      <c r="E1265" s="139" t="inlineStr">
        <is>
          <t>Xét nghiệm đường máu mao mạch tại giường (một lần)[Nội trú]</t>
        </is>
      </c>
      <c r="F1265" s="260" t="n">
        <v>1</v>
      </c>
      <c r="G1265" s="261" t="n">
        <v>35000</v>
      </c>
      <c r="H1265" s="93" t="n"/>
    </row>
    <row r="1266" hidden="1" ht="15.75" customHeight="1" s="248">
      <c r="A1266" s="92" t="n">
        <v>1261</v>
      </c>
      <c r="B1266" s="139" t="inlineStr">
        <is>
          <t>2026/06/20 05:00</t>
        </is>
      </c>
      <c r="C1266" s="139" t="inlineStr">
        <is>
          <t>LÊ THỊ QUEN</t>
        </is>
      </c>
      <c r="D1266" s="139" t="inlineStr">
        <is>
          <t>01/01/1956</t>
        </is>
      </c>
      <c r="E1266" s="139" t="inlineStr">
        <is>
          <t>Xét nghiệm đường máu mao mạch tại giường (một lần)[Nội trú]</t>
        </is>
      </c>
      <c r="F1266" s="260" t="n">
        <v>1</v>
      </c>
      <c r="G1266" s="261" t="n">
        <v>16000</v>
      </c>
      <c r="H1266" s="93" t="n"/>
    </row>
    <row r="1267" hidden="1" ht="15.75" customHeight="1" s="248">
      <c r="A1267" s="92" t="n">
        <v>1262</v>
      </c>
      <c r="B1267" s="139" t="inlineStr">
        <is>
          <t>2026/06/20 16:00</t>
        </is>
      </c>
      <c r="C1267" s="139" t="inlineStr">
        <is>
          <t>BÙI THỊ THU BA</t>
        </is>
      </c>
      <c r="D1267" s="139" t="inlineStr">
        <is>
          <t>01/01/1960</t>
        </is>
      </c>
      <c r="E1267" s="139" t="inlineStr">
        <is>
          <t>Xét nghiệm đường máu mao mạch tại giường (một lần)[Nội trú]</t>
        </is>
      </c>
      <c r="F1267" s="260" t="n">
        <v>1</v>
      </c>
      <c r="G1267" s="261" t="n">
        <v>35000</v>
      </c>
      <c r="H1267" s="93" t="n"/>
    </row>
    <row r="1268" hidden="1" ht="15.75" customHeight="1" s="248">
      <c r="A1268" s="92" t="n">
        <v>1263</v>
      </c>
      <c r="B1268" s="139" t="inlineStr">
        <is>
          <t>2026/06/20 16:00</t>
        </is>
      </c>
      <c r="C1268" s="139" t="inlineStr">
        <is>
          <t>CHÂU THỊ A</t>
        </is>
      </c>
      <c r="D1268" s="139" t="inlineStr">
        <is>
          <t>01/01/1958</t>
        </is>
      </c>
      <c r="E1268" s="139" t="inlineStr">
        <is>
          <t>Xét nghiệm đường máu mao mạch tại giường (một lần)[Nội trú]</t>
        </is>
      </c>
      <c r="F1268" s="260" t="n">
        <v>1</v>
      </c>
      <c r="G1268" s="261" t="n">
        <v>35000</v>
      </c>
      <c r="H1268" s="93" t="n"/>
    </row>
    <row r="1269" hidden="1" ht="15.75" customHeight="1" s="248">
      <c r="A1269" s="92" t="n">
        <v>1264</v>
      </c>
      <c r="B1269" s="139" t="inlineStr">
        <is>
          <t>2026/06/20 16:00</t>
        </is>
      </c>
      <c r="C1269" s="139" t="inlineStr">
        <is>
          <t>LÊ THỊ QUEN</t>
        </is>
      </c>
      <c r="D1269" s="139" t="inlineStr">
        <is>
          <t>01/01/1956</t>
        </is>
      </c>
      <c r="E1269" s="139" t="inlineStr">
        <is>
          <t>Xét nghiệm đường máu mao mạch tại giường (một lần)[Nội trú]</t>
        </is>
      </c>
      <c r="F1269" s="260" t="n">
        <v>1</v>
      </c>
      <c r="G1269" s="261" t="n">
        <v>35000</v>
      </c>
      <c r="H1269" s="93" t="n"/>
    </row>
    <row r="1270" hidden="1" ht="15.75" customHeight="1" s="248">
      <c r="A1270" s="92" t="n">
        <v>1265</v>
      </c>
      <c r="B1270" s="139" t="inlineStr">
        <is>
          <t>2026/06/20 16:00</t>
        </is>
      </c>
      <c r="C1270" s="139" t="inlineStr">
        <is>
          <t>TÔ VĂN THIỆN</t>
        </is>
      </c>
      <c r="D1270" s="139" t="inlineStr">
        <is>
          <t>01/01/1963</t>
        </is>
      </c>
      <c r="E1270" s="139" t="inlineStr">
        <is>
          <t>Xét nghiệm đường máu mao mạch tại giường (một lần)[Nội trú]</t>
        </is>
      </c>
      <c r="F1270" s="260" t="n">
        <v>1</v>
      </c>
      <c r="G1270" s="261" t="n">
        <v>35000</v>
      </c>
      <c r="H1270" s="93" t="n"/>
    </row>
    <row r="1271" hidden="1" ht="15.75" customHeight="1" s="248">
      <c r="A1271" s="92" t="n">
        <v>1266</v>
      </c>
      <c r="B1271" s="139" t="inlineStr">
        <is>
          <t>2026/06/20 16:00</t>
        </is>
      </c>
      <c r="C1271" s="139" t="inlineStr">
        <is>
          <t>VÕ THỊ THE</t>
        </is>
      </c>
      <c r="D1271" s="139" t="inlineStr">
        <is>
          <t>01/01/1963</t>
        </is>
      </c>
      <c r="E1271" s="139" t="inlineStr">
        <is>
          <t>Xét nghiệm đường máu mao mạch tại giường (một lần)[Nội trú]</t>
        </is>
      </c>
      <c r="F1271" s="260" t="n">
        <v>1</v>
      </c>
      <c r="G1271" s="261" t="n">
        <v>35000</v>
      </c>
      <c r="H1271" s="93" t="n"/>
    </row>
    <row r="1272" hidden="1" ht="15.75" customHeight="1" s="248">
      <c r="A1272" s="92" t="n">
        <v>1267</v>
      </c>
      <c r="B1272" s="139" t="inlineStr">
        <is>
          <t>2026/06/21 05:00</t>
        </is>
      </c>
      <c r="C1272" s="139" t="inlineStr">
        <is>
          <t>BÙI THỊ THU BA</t>
        </is>
      </c>
      <c r="D1272" s="139" t="inlineStr">
        <is>
          <t>01/01/1960</t>
        </is>
      </c>
      <c r="E1272" s="139" t="inlineStr">
        <is>
          <t>Xét nghiệm đường máu mao mạch tại giường (một lần)[Nội trú]</t>
        </is>
      </c>
      <c r="F1272" s="260" t="n">
        <v>1</v>
      </c>
      <c r="G1272" s="261" t="n">
        <v>35000</v>
      </c>
      <c r="H1272" s="93" t="n"/>
    </row>
    <row r="1273" hidden="1" ht="15.75" customHeight="1" s="248">
      <c r="A1273" s="92" t="n">
        <v>1268</v>
      </c>
      <c r="B1273" s="139" t="inlineStr">
        <is>
          <t>2026/06/21 05:00</t>
        </is>
      </c>
      <c r="C1273" s="139" t="inlineStr">
        <is>
          <t>CHÂU THỊ A</t>
        </is>
      </c>
      <c r="D1273" s="139" t="inlineStr">
        <is>
          <t>01/01/1958</t>
        </is>
      </c>
      <c r="E1273" s="139" t="inlineStr">
        <is>
          <t>Xét nghiệm đường máu mao mạch tại giường (một lần)[Nội trú]</t>
        </is>
      </c>
      <c r="F1273" s="260" t="n">
        <v>1</v>
      </c>
      <c r="G1273" s="261" t="n">
        <v>35000</v>
      </c>
      <c r="H1273" s="93" t="n"/>
    </row>
    <row r="1274" hidden="1" ht="15.75" customHeight="1" s="248">
      <c r="A1274" s="92" t="n">
        <v>1269</v>
      </c>
      <c r="B1274" s="139" t="inlineStr">
        <is>
          <t>2026/06/21 05:00</t>
        </is>
      </c>
      <c r="C1274" s="139" t="inlineStr">
        <is>
          <t>HỒ THỊ HOÀNG</t>
        </is>
      </c>
      <c r="D1274" s="139" t="inlineStr">
        <is>
          <t>08/08/1963</t>
        </is>
      </c>
      <c r="E1274" s="139" t="inlineStr">
        <is>
          <t>Xét nghiệm đường máu mao mạch tại giường (một lần)[Nội trú]</t>
        </is>
      </c>
      <c r="F1274" s="260" t="n">
        <v>1</v>
      </c>
      <c r="G1274" s="261" t="n">
        <v>35000</v>
      </c>
      <c r="H1274" s="93" t="n"/>
    </row>
    <row r="1275" hidden="1" ht="15.75" customHeight="1" s="248">
      <c r="A1275" s="92" t="n">
        <v>1270</v>
      </c>
      <c r="B1275" s="139" t="inlineStr">
        <is>
          <t>2026/06/21 05:00</t>
        </is>
      </c>
      <c r="C1275" s="139" t="inlineStr">
        <is>
          <t>LÊ THỊ QUEN</t>
        </is>
      </c>
      <c r="D1275" s="139" t="inlineStr">
        <is>
          <t>01/01/1956</t>
        </is>
      </c>
      <c r="E1275" s="139" t="inlineStr">
        <is>
          <t>Xét nghiệm đường máu mao mạch tại giường (một lần)[Nội trú]</t>
        </is>
      </c>
      <c r="F1275" s="260" t="n">
        <v>1</v>
      </c>
      <c r="G1275" s="261" t="n">
        <v>35000</v>
      </c>
      <c r="H1275" s="93" t="n"/>
    </row>
    <row r="1276" hidden="1" ht="15.75" customHeight="1" s="248">
      <c r="A1276" s="92" t="n">
        <v>1271</v>
      </c>
      <c r="B1276" s="139" t="inlineStr">
        <is>
          <t>2026/06/21 05:00</t>
        </is>
      </c>
      <c r="C1276" s="139" t="inlineStr">
        <is>
          <t>PHẠM THỊ DUNG</t>
        </is>
      </c>
      <c r="D1276" s="139" t="inlineStr">
        <is>
          <t>01/01/1968</t>
        </is>
      </c>
      <c r="E1276" s="139" t="inlineStr">
        <is>
          <t>Xét nghiệm đường máu mao mạch tại giường (một lần)[Nội trú]</t>
        </is>
      </c>
      <c r="F1276" s="260" t="n">
        <v>1</v>
      </c>
      <c r="G1276" s="261" t="n">
        <v>35000</v>
      </c>
      <c r="H1276" s="93" t="n"/>
    </row>
    <row r="1277" hidden="1" ht="15.75" customHeight="1" s="248">
      <c r="A1277" s="92" t="n">
        <v>1272</v>
      </c>
      <c r="B1277" s="139" t="inlineStr">
        <is>
          <t>2026/06/21 05:00</t>
        </is>
      </c>
      <c r="C1277" s="139" t="inlineStr">
        <is>
          <t>TÔ VĂN THIỆN</t>
        </is>
      </c>
      <c r="D1277" s="139" t="inlineStr">
        <is>
          <t>01/01/1963</t>
        </is>
      </c>
      <c r="E1277" s="139" t="inlineStr">
        <is>
          <t>Xét nghiệm đường máu mao mạch tại giường (một lần)[Nội trú]</t>
        </is>
      </c>
      <c r="F1277" s="260" t="n">
        <v>1</v>
      </c>
      <c r="G1277" s="261" t="n">
        <v>35000</v>
      </c>
      <c r="H1277" s="93" t="n"/>
    </row>
    <row r="1278" hidden="1" ht="15.75" customHeight="1" s="248">
      <c r="A1278" s="92" t="n">
        <v>1273</v>
      </c>
      <c r="B1278" s="139" t="inlineStr">
        <is>
          <t>2026/06/21 05:00</t>
        </is>
      </c>
      <c r="C1278" s="139" t="inlineStr">
        <is>
          <t>VÕ THỊ THE</t>
        </is>
      </c>
      <c r="D1278" s="139" t="inlineStr">
        <is>
          <t>01/01/1963</t>
        </is>
      </c>
      <c r="E1278" s="139" t="inlineStr">
        <is>
          <t>Xét nghiệm đường máu mao mạch tại giường (một lần)[Nội trú]</t>
        </is>
      </c>
      <c r="F1278" s="260" t="n">
        <v>1</v>
      </c>
      <c r="G1278" s="261" t="n">
        <v>35000</v>
      </c>
      <c r="H1278" s="93" t="n"/>
    </row>
    <row r="1279" hidden="1" ht="15.75" customHeight="1" s="248">
      <c r="A1279" s="92" t="n">
        <v>1274</v>
      </c>
      <c r="B1279" s="139" t="inlineStr">
        <is>
          <t>2026/06/21 16:00</t>
        </is>
      </c>
      <c r="C1279" s="139" t="inlineStr">
        <is>
          <t>BÙI THỊ THU BA</t>
        </is>
      </c>
      <c r="D1279" s="139" t="inlineStr">
        <is>
          <t>01/01/1960</t>
        </is>
      </c>
      <c r="E1279" s="139" t="inlineStr">
        <is>
          <t>Xét nghiệm đường máu mao mạch tại giường (một lần)[Nội trú]</t>
        </is>
      </c>
      <c r="F1279" s="260" t="n">
        <v>1</v>
      </c>
      <c r="G1279" s="261" t="n">
        <v>35000</v>
      </c>
      <c r="H1279" s="93" t="n"/>
    </row>
    <row r="1280" hidden="1" ht="15.75" customHeight="1" s="248">
      <c r="A1280" s="92" t="n">
        <v>1275</v>
      </c>
      <c r="B1280" s="139" t="inlineStr">
        <is>
          <t>2026/06/21 16:00</t>
        </is>
      </c>
      <c r="C1280" s="139" t="inlineStr">
        <is>
          <t>CHÂU THỊ A</t>
        </is>
      </c>
      <c r="D1280" s="139" t="inlineStr">
        <is>
          <t>01/01/1958</t>
        </is>
      </c>
      <c r="E1280" s="139" t="inlineStr">
        <is>
          <t>Xét nghiệm đường máu mao mạch tại giường (một lần)[Nội trú]</t>
        </is>
      </c>
      <c r="F1280" s="260" t="n">
        <v>1</v>
      </c>
      <c r="G1280" s="261" t="n">
        <v>35000</v>
      </c>
      <c r="H1280" s="93" t="n"/>
    </row>
    <row r="1281" hidden="1" ht="15.75" customHeight="1" s="248">
      <c r="A1281" s="92" t="n">
        <v>1276</v>
      </c>
      <c r="B1281" s="139" t="inlineStr">
        <is>
          <t>2026/06/21 16:00</t>
        </is>
      </c>
      <c r="C1281" s="139" t="inlineStr">
        <is>
          <t>LÊ THỊ QUEN</t>
        </is>
      </c>
      <c r="D1281" s="139" t="inlineStr">
        <is>
          <t>01/01/1956</t>
        </is>
      </c>
      <c r="E1281" s="139" t="inlineStr">
        <is>
          <t>Xét nghiệm đường máu mao mạch tại giường (một lần)[Nội trú]</t>
        </is>
      </c>
      <c r="F1281" s="260" t="n">
        <v>1</v>
      </c>
      <c r="G1281" s="261" t="n">
        <v>35000</v>
      </c>
      <c r="H1281" s="93" t="n"/>
    </row>
    <row r="1282" hidden="1" ht="15.75" customHeight="1" s="248">
      <c r="A1282" s="92" t="n">
        <v>1277</v>
      </c>
      <c r="B1282" s="139" t="inlineStr">
        <is>
          <t>2026/06/21 16:00</t>
        </is>
      </c>
      <c r="C1282" s="139" t="inlineStr">
        <is>
          <t>PHẠM THỊ DUNG</t>
        </is>
      </c>
      <c r="D1282" s="139" t="inlineStr">
        <is>
          <t>01/01/1968</t>
        </is>
      </c>
      <c r="E1282" s="139" t="inlineStr">
        <is>
          <t>Xét nghiệm đường máu mao mạch tại giường (một lần)[Nội trú]</t>
        </is>
      </c>
      <c r="F1282" s="260" t="n">
        <v>1</v>
      </c>
      <c r="G1282" s="261" t="n">
        <v>35000</v>
      </c>
      <c r="H1282" s="93" t="n"/>
    </row>
    <row r="1283" hidden="1" ht="15.75" customHeight="1" s="248">
      <c r="A1283" s="92" t="n">
        <v>1278</v>
      </c>
      <c r="B1283" s="139" t="inlineStr">
        <is>
          <t>2026/06/21 16:00</t>
        </is>
      </c>
      <c r="C1283" s="139" t="inlineStr">
        <is>
          <t>TÔ VĂN THIỆN</t>
        </is>
      </c>
      <c r="D1283" s="139" t="inlineStr">
        <is>
          <t>01/01/1963</t>
        </is>
      </c>
      <c r="E1283" s="139" t="inlineStr">
        <is>
          <t>Xét nghiệm đường máu mao mạch tại giường (một lần)[Nội trú]</t>
        </is>
      </c>
      <c r="F1283" s="260" t="n">
        <v>1</v>
      </c>
      <c r="G1283" s="261" t="n">
        <v>35000</v>
      </c>
      <c r="H1283" s="93" t="n"/>
    </row>
    <row r="1284" hidden="1" ht="15.75" customHeight="1" s="248">
      <c r="A1284" s="92" t="n">
        <v>1279</v>
      </c>
      <c r="B1284" s="139" t="inlineStr">
        <is>
          <t>2026/06/21 16:00</t>
        </is>
      </c>
      <c r="C1284" s="139" t="inlineStr">
        <is>
          <t>VÕ THỊ THE</t>
        </is>
      </c>
      <c r="D1284" s="139" t="inlineStr">
        <is>
          <t>01/01/1963</t>
        </is>
      </c>
      <c r="E1284" s="139" t="inlineStr">
        <is>
          <t>Xét nghiệm đường máu mao mạch tại giường (một lần)[Nội trú]</t>
        </is>
      </c>
      <c r="F1284" s="260" t="n">
        <v>1</v>
      </c>
      <c r="G1284" s="261" t="n">
        <v>35000</v>
      </c>
      <c r="H1284" s="93" t="n"/>
    </row>
    <row r="1285" hidden="1" ht="15.75" customHeight="1" s="248">
      <c r="A1285" s="92" t="n">
        <v>1280</v>
      </c>
      <c r="B1285" s="139" t="inlineStr">
        <is>
          <t>2026/06/22 05:00</t>
        </is>
      </c>
      <c r="C1285" s="139" t="inlineStr">
        <is>
          <t>BÙI THỊ THU BA</t>
        </is>
      </c>
      <c r="D1285" s="139" t="inlineStr">
        <is>
          <t>01/01/1960</t>
        </is>
      </c>
      <c r="E1285" s="139" t="inlineStr">
        <is>
          <t>Xét nghiệm đường máu mao mạch tại giường (một lần)[Nội trú]</t>
        </is>
      </c>
      <c r="F1285" s="260" t="n">
        <v>1</v>
      </c>
      <c r="G1285" s="261" t="n">
        <v>35000</v>
      </c>
      <c r="H1285" s="93" t="n"/>
    </row>
    <row r="1286" hidden="1" ht="15.75" customHeight="1" s="248">
      <c r="A1286" s="92" t="n">
        <v>1281</v>
      </c>
      <c r="B1286" s="139" t="inlineStr">
        <is>
          <t>2026/06/22 05:00</t>
        </is>
      </c>
      <c r="C1286" s="139" t="inlineStr">
        <is>
          <t>CHÂU THỊ A</t>
        </is>
      </c>
      <c r="D1286" s="139" t="inlineStr">
        <is>
          <t>01/01/1958</t>
        </is>
      </c>
      <c r="E1286" s="139" t="inlineStr">
        <is>
          <t>Xét nghiệm đường máu mao mạch tại giường (một lần)[Nội trú]</t>
        </is>
      </c>
      <c r="F1286" s="260" t="n">
        <v>1</v>
      </c>
      <c r="G1286" s="261" t="n">
        <v>35000</v>
      </c>
      <c r="H1286" s="93" t="n"/>
    </row>
    <row r="1287" hidden="1" ht="15.75" customHeight="1" s="248">
      <c r="A1287" s="92" t="n">
        <v>1282</v>
      </c>
      <c r="B1287" s="139" t="inlineStr">
        <is>
          <t>2026/06/22 05:00</t>
        </is>
      </c>
      <c r="C1287" s="139" t="inlineStr">
        <is>
          <t>LÊ THỊ QUEN</t>
        </is>
      </c>
      <c r="D1287" s="139" t="inlineStr">
        <is>
          <t>01/01/1956</t>
        </is>
      </c>
      <c r="E1287" s="139" t="inlineStr">
        <is>
          <t>Xét nghiệm đường máu mao mạch tại giường (một lần)[Nội trú]</t>
        </is>
      </c>
      <c r="F1287" s="260" t="n">
        <v>1</v>
      </c>
      <c r="G1287" s="261" t="n">
        <v>35000</v>
      </c>
      <c r="H1287" s="93" t="n"/>
    </row>
    <row r="1288" hidden="1" ht="15.75" customHeight="1" s="248">
      <c r="A1288" s="92" t="n">
        <v>1283</v>
      </c>
      <c r="B1288" s="139" t="inlineStr">
        <is>
          <t>2026/06/22 05:00</t>
        </is>
      </c>
      <c r="C1288" s="139" t="inlineStr">
        <is>
          <t>PHAN VĂN ĐƯỢC</t>
        </is>
      </c>
      <c r="D1288" s="139" t="inlineStr">
        <is>
          <t>01/01/1934</t>
        </is>
      </c>
      <c r="E1288" s="139" t="inlineStr">
        <is>
          <t>Xét nghiệm đường máu mao mạch tại giường (một lần)[Nội trú]</t>
        </is>
      </c>
      <c r="F1288" s="260" t="n">
        <v>1</v>
      </c>
      <c r="G1288" s="261" t="n">
        <v>35000</v>
      </c>
      <c r="H1288" s="93" t="n"/>
    </row>
    <row r="1289" hidden="1" ht="15.75" customHeight="1" s="248">
      <c r="A1289" s="92" t="n">
        <v>1284</v>
      </c>
      <c r="B1289" s="139" t="inlineStr">
        <is>
          <t>2026/06/22 05:00</t>
        </is>
      </c>
      <c r="C1289" s="139" t="inlineStr">
        <is>
          <t>PHẠM THỊ BÍCH THỦY</t>
        </is>
      </c>
      <c r="D1289" s="139" t="inlineStr">
        <is>
          <t>10/09/1972</t>
        </is>
      </c>
      <c r="E1289" s="139" t="inlineStr">
        <is>
          <t>Xét nghiệm đường máu mao mạch tại giường (một lần)[Nội trú]</t>
        </is>
      </c>
      <c r="F1289" s="260" t="n">
        <v>1</v>
      </c>
      <c r="G1289" s="261" t="n">
        <v>35000</v>
      </c>
      <c r="H1289" s="93" t="n"/>
    </row>
    <row r="1290" hidden="1" ht="15.75" customHeight="1" s="248">
      <c r="A1290" s="92" t="n">
        <v>1285</v>
      </c>
      <c r="B1290" s="139" t="inlineStr">
        <is>
          <t>2026/06/22 05:00</t>
        </is>
      </c>
      <c r="C1290" s="139" t="inlineStr">
        <is>
          <t>PHẠM THỊ DUNG</t>
        </is>
      </c>
      <c r="D1290" s="139" t="inlineStr">
        <is>
          <t>01/01/1968</t>
        </is>
      </c>
      <c r="E1290" s="139" t="inlineStr">
        <is>
          <t>Xét nghiệm đường máu mao mạch tại giường (một lần)[Nội trú]</t>
        </is>
      </c>
      <c r="F1290" s="260" t="n">
        <v>1</v>
      </c>
      <c r="G1290" s="261" t="n">
        <v>35000</v>
      </c>
      <c r="H1290" s="93" t="n"/>
    </row>
    <row r="1291" hidden="1" ht="15.75" customHeight="1" s="248">
      <c r="A1291" s="92" t="n">
        <v>1286</v>
      </c>
      <c r="B1291" s="139" t="inlineStr">
        <is>
          <t>2026/06/22 05:00</t>
        </is>
      </c>
      <c r="C1291" s="139" t="inlineStr">
        <is>
          <t>TÔ VĂN THIỆN</t>
        </is>
      </c>
      <c r="D1291" s="139" t="inlineStr">
        <is>
          <t>01/01/1963</t>
        </is>
      </c>
      <c r="E1291" s="139" t="inlineStr">
        <is>
          <t>Xét nghiệm đường máu mao mạch tại giường (một lần)[Nội trú]</t>
        </is>
      </c>
      <c r="F1291" s="260" t="n">
        <v>1</v>
      </c>
      <c r="G1291" s="261" t="n">
        <v>35000</v>
      </c>
      <c r="H1291" s="93" t="n"/>
    </row>
    <row r="1292" hidden="1" ht="15.75" customHeight="1" s="248">
      <c r="A1292" s="92" t="n">
        <v>1287</v>
      </c>
      <c r="B1292" s="139" t="inlineStr">
        <is>
          <t>2026/06/22 05:00</t>
        </is>
      </c>
      <c r="C1292" s="139" t="inlineStr">
        <is>
          <t>VÕ THỊ THE</t>
        </is>
      </c>
      <c r="D1292" s="139" t="inlineStr">
        <is>
          <t>01/01/1963</t>
        </is>
      </c>
      <c r="E1292" s="139" t="inlineStr">
        <is>
          <t>Xét nghiệm đường máu mao mạch tại giường (một lần)[Nội trú]</t>
        </is>
      </c>
      <c r="F1292" s="260" t="n">
        <v>1</v>
      </c>
      <c r="G1292" s="261" t="n">
        <v>35000</v>
      </c>
      <c r="H1292" s="93" t="n"/>
    </row>
    <row r="1293" hidden="1" ht="15.75" customHeight="1" s="248">
      <c r="A1293" s="92" t="n">
        <v>1288</v>
      </c>
      <c r="B1293" s="139" t="inlineStr">
        <is>
          <t>2026/06/22 16:00</t>
        </is>
      </c>
      <c r="C1293" s="139" t="inlineStr">
        <is>
          <t>BÙI THỊ THU BA</t>
        </is>
      </c>
      <c r="D1293" s="139" t="inlineStr">
        <is>
          <t>01/01/1960</t>
        </is>
      </c>
      <c r="E1293" s="139" t="inlineStr">
        <is>
          <t>Xét nghiệm đường máu mao mạch tại giường (một lần)[Nội trú]</t>
        </is>
      </c>
      <c r="F1293" s="260" t="n">
        <v>1</v>
      </c>
      <c r="G1293" s="261" t="n">
        <v>35000</v>
      </c>
      <c r="H1293" s="93" t="n"/>
    </row>
    <row r="1294" hidden="1" ht="15.75" customHeight="1" s="248">
      <c r="A1294" s="92" t="n">
        <v>1289</v>
      </c>
      <c r="B1294" s="139" t="inlineStr">
        <is>
          <t>2026/06/22 16:00</t>
        </is>
      </c>
      <c r="C1294" s="139" t="inlineStr">
        <is>
          <t>HUỲNH THỊ SÁU</t>
        </is>
      </c>
      <c r="D1294" s="139" t="inlineStr">
        <is>
          <t>05/02/1960</t>
        </is>
      </c>
      <c r="E1294" s="139" t="inlineStr">
        <is>
          <t>Xét nghiệm đường máu mao mạch tại giường (một lần)[Nội trú]</t>
        </is>
      </c>
      <c r="F1294" s="260" t="n">
        <v>1</v>
      </c>
      <c r="G1294" s="261" t="n">
        <v>16000</v>
      </c>
      <c r="H1294" s="93" t="n"/>
    </row>
    <row r="1295" hidden="1" ht="15.75" customHeight="1" s="248">
      <c r="A1295" s="92" t="n">
        <v>1290</v>
      </c>
      <c r="B1295" s="139" t="inlineStr">
        <is>
          <t>2026/06/22 16:00</t>
        </is>
      </c>
      <c r="C1295" s="139" t="inlineStr">
        <is>
          <t>PHẠM THỊ BÍCH THỦY</t>
        </is>
      </c>
      <c r="D1295" s="139" t="inlineStr">
        <is>
          <t>10/09/1972</t>
        </is>
      </c>
      <c r="E1295" s="139" t="inlineStr">
        <is>
          <t>Xét nghiệm đường máu mao mạch tại giường (một lần)[Nội trú]</t>
        </is>
      </c>
      <c r="F1295" s="260" t="n">
        <v>1</v>
      </c>
      <c r="G1295" s="261" t="n">
        <v>35000</v>
      </c>
      <c r="H1295" s="93" t="n"/>
    </row>
    <row r="1296" hidden="1" ht="15.75" customHeight="1" s="248">
      <c r="A1296" s="92" t="n">
        <v>1291</v>
      </c>
      <c r="B1296" s="139" t="inlineStr">
        <is>
          <t>2026/06/22 16:00</t>
        </is>
      </c>
      <c r="C1296" s="139" t="inlineStr">
        <is>
          <t>PHẠM THỊ DUNG</t>
        </is>
      </c>
      <c r="D1296" s="139" t="inlineStr">
        <is>
          <t>01/01/1968</t>
        </is>
      </c>
      <c r="E1296" s="139" t="inlineStr">
        <is>
          <t>Xét nghiệm đường máu mao mạch tại giường (một lần)[Nội trú]</t>
        </is>
      </c>
      <c r="F1296" s="260" t="n">
        <v>1</v>
      </c>
      <c r="G1296" s="261" t="n">
        <v>35000</v>
      </c>
      <c r="H1296" s="93" t="n"/>
    </row>
    <row r="1297" hidden="1" ht="15.75" customHeight="1" s="248">
      <c r="A1297" s="92" t="n">
        <v>1292</v>
      </c>
      <c r="B1297" s="139" t="inlineStr">
        <is>
          <t>2026/06/22 16:00</t>
        </is>
      </c>
      <c r="C1297" s="139" t="inlineStr">
        <is>
          <t>THẠCH HOÀNG DŨNG</t>
        </is>
      </c>
      <c r="D1297" s="139" t="inlineStr">
        <is>
          <t>01/01/1976</t>
        </is>
      </c>
      <c r="E1297" s="139" t="inlineStr">
        <is>
          <t>Xét nghiệm đường máu mao mạch tại giường (một lần)[Nội trú]</t>
        </is>
      </c>
      <c r="F1297" s="260" t="n">
        <v>1</v>
      </c>
      <c r="G1297" s="261" t="n">
        <v>16000</v>
      </c>
      <c r="H1297" s="93" t="n"/>
    </row>
    <row r="1298" hidden="1" ht="15.75" customHeight="1" s="248">
      <c r="A1298" s="92" t="n">
        <v>1293</v>
      </c>
      <c r="B1298" s="139" t="inlineStr">
        <is>
          <t>2026/06/22 16:00</t>
        </is>
      </c>
      <c r="C1298" s="139" t="inlineStr">
        <is>
          <t>TÔ VĂN THIỆN</t>
        </is>
      </c>
      <c r="D1298" s="139" t="inlineStr">
        <is>
          <t>01/01/1963</t>
        </is>
      </c>
      <c r="E1298" s="139" t="inlineStr">
        <is>
          <t>Xét nghiệm đường máu mao mạch tại giường (một lần)[Nội trú]</t>
        </is>
      </c>
      <c r="F1298" s="260" t="n">
        <v>1</v>
      </c>
      <c r="G1298" s="261" t="n">
        <v>35000</v>
      </c>
      <c r="H1298" s="93" t="n"/>
    </row>
    <row r="1299" hidden="1" ht="15.75" customHeight="1" s="248">
      <c r="A1299" s="92" t="n">
        <v>1294</v>
      </c>
      <c r="B1299" s="139" t="inlineStr">
        <is>
          <t>2026/06/22 16:00</t>
        </is>
      </c>
      <c r="C1299" s="139" t="inlineStr">
        <is>
          <t>VÕ THỊ THE</t>
        </is>
      </c>
      <c r="D1299" s="139" t="inlineStr">
        <is>
          <t>01/01/1963</t>
        </is>
      </c>
      <c r="E1299" s="139" t="inlineStr">
        <is>
          <t>Xét nghiệm đường máu mao mạch tại giường (một lần)[Nội trú]</t>
        </is>
      </c>
      <c r="F1299" s="260" t="n">
        <v>1</v>
      </c>
      <c r="G1299" s="261" t="n">
        <v>35000</v>
      </c>
      <c r="H1299" s="93" t="n"/>
    </row>
    <row r="1300" hidden="1" ht="15.75" customHeight="1" s="248">
      <c r="A1300" s="92" t="n">
        <v>1295</v>
      </c>
      <c r="B1300" s="139" t="inlineStr">
        <is>
          <t>2026/06/22 17:00</t>
        </is>
      </c>
      <c r="C1300" s="139" t="inlineStr">
        <is>
          <t>PHAN VĂN ĐƯỢC</t>
        </is>
      </c>
      <c r="D1300" s="139" t="inlineStr">
        <is>
          <t>01/01/1934</t>
        </is>
      </c>
      <c r="E1300" s="139" t="inlineStr">
        <is>
          <t>Xét nghiệm đường máu mao mạch tại giường (một lần)[Nội trú]</t>
        </is>
      </c>
      <c r="F1300" s="260" t="n">
        <v>1</v>
      </c>
      <c r="G1300" s="261" t="n">
        <v>35000</v>
      </c>
      <c r="H1300" s="93" t="n"/>
    </row>
    <row r="1301" hidden="1" ht="15.75" customHeight="1" s="248">
      <c r="A1301" s="92" t="n">
        <v>1296</v>
      </c>
      <c r="B1301" s="139" t="inlineStr">
        <is>
          <t>2026/06/23 05:00</t>
        </is>
      </c>
      <c r="C1301" s="139" t="inlineStr">
        <is>
          <t>BÙI THỊ THU BA</t>
        </is>
      </c>
      <c r="D1301" s="139" t="inlineStr">
        <is>
          <t>01/01/1960</t>
        </is>
      </c>
      <c r="E1301" s="139" t="inlineStr">
        <is>
          <t>Xét nghiệm đường máu mao mạch tại giường (một lần)[Nội trú]</t>
        </is>
      </c>
      <c r="F1301" s="260" t="n">
        <v>1</v>
      </c>
      <c r="G1301" s="261" t="n">
        <v>35000</v>
      </c>
      <c r="H1301" s="93" t="n"/>
    </row>
    <row r="1302" hidden="1" ht="15.75" customHeight="1" s="248">
      <c r="A1302" s="92" t="n">
        <v>1297</v>
      </c>
      <c r="B1302" s="139" t="inlineStr">
        <is>
          <t>2026/06/23 05:00</t>
        </is>
      </c>
      <c r="C1302" s="139" t="inlineStr">
        <is>
          <t>HUỲNH THỊ SÁU</t>
        </is>
      </c>
      <c r="D1302" s="139" t="inlineStr">
        <is>
          <t>05/02/1960</t>
        </is>
      </c>
      <c r="E1302" s="139" t="inlineStr">
        <is>
          <t>Xét nghiệm đường máu mao mạch tại giường (một lần)[Nội trú]</t>
        </is>
      </c>
      <c r="F1302" s="260" t="n">
        <v>1</v>
      </c>
      <c r="G1302" s="261" t="n">
        <v>35000</v>
      </c>
      <c r="H1302" s="93" t="n"/>
    </row>
    <row r="1303" hidden="1" ht="15.75" customHeight="1" s="248">
      <c r="A1303" s="92" t="n">
        <v>1298</v>
      </c>
      <c r="B1303" s="139" t="inlineStr">
        <is>
          <t>2026/06/23 05:00</t>
        </is>
      </c>
      <c r="C1303" s="139" t="inlineStr">
        <is>
          <t>PHAN VĂN ĐƯỢC</t>
        </is>
      </c>
      <c r="D1303" s="139" t="inlineStr">
        <is>
          <t>01/01/1934</t>
        </is>
      </c>
      <c r="E1303" s="139" t="inlineStr">
        <is>
          <t>Xét nghiệm đường máu mao mạch tại giường (một lần)[Nội trú]</t>
        </is>
      </c>
      <c r="F1303" s="260" t="n">
        <v>1</v>
      </c>
      <c r="G1303" s="261" t="n">
        <v>35000</v>
      </c>
      <c r="H1303" s="93" t="n"/>
    </row>
    <row r="1304" hidden="1" ht="15.75" customHeight="1" s="248">
      <c r="A1304" s="92" t="n">
        <v>1299</v>
      </c>
      <c r="B1304" s="139" t="inlineStr">
        <is>
          <t>2026/06/23 05:00</t>
        </is>
      </c>
      <c r="C1304" s="139" t="inlineStr">
        <is>
          <t>PHẠM THỊ BÍCH THỦY</t>
        </is>
      </c>
      <c r="D1304" s="139" t="inlineStr">
        <is>
          <t>10/09/1972</t>
        </is>
      </c>
      <c r="E1304" s="139" t="inlineStr">
        <is>
          <t>Xét nghiệm đường máu mao mạch tại giường (một lần)[Nội trú]</t>
        </is>
      </c>
      <c r="F1304" s="260" t="n">
        <v>1</v>
      </c>
      <c r="G1304" s="261" t="n">
        <v>35000</v>
      </c>
      <c r="H1304" s="93" t="n"/>
    </row>
    <row r="1305" hidden="1" ht="15.75" customHeight="1" s="248">
      <c r="A1305" s="92" t="n">
        <v>1300</v>
      </c>
      <c r="B1305" s="139" t="inlineStr">
        <is>
          <t>2026/06/23 05:00</t>
        </is>
      </c>
      <c r="C1305" s="139" t="inlineStr">
        <is>
          <t>PHẠM THỊ DUNG</t>
        </is>
      </c>
      <c r="D1305" s="139" t="inlineStr">
        <is>
          <t>01/01/1968</t>
        </is>
      </c>
      <c r="E1305" s="139" t="inlineStr">
        <is>
          <t>Xét nghiệm đường máu mao mạch tại giường (một lần)[Nội trú]</t>
        </is>
      </c>
      <c r="F1305" s="260" t="n">
        <v>1</v>
      </c>
      <c r="G1305" s="261" t="n">
        <v>35000</v>
      </c>
      <c r="H1305" s="93" t="n"/>
    </row>
    <row r="1306" hidden="1" ht="15.75" customHeight="1" s="248">
      <c r="A1306" s="92" t="n">
        <v>1301</v>
      </c>
      <c r="B1306" s="139" t="inlineStr">
        <is>
          <t>2026/06/23 05:00</t>
        </is>
      </c>
      <c r="C1306" s="139" t="inlineStr">
        <is>
          <t>THẠCH HOÀNG DŨNG</t>
        </is>
      </c>
      <c r="D1306" s="139" t="inlineStr">
        <is>
          <t>01/01/1976</t>
        </is>
      </c>
      <c r="E1306" s="139" t="inlineStr">
        <is>
          <t>Xét nghiệm đường máu mao mạch tại giường (một lần)[Nội trú]</t>
        </is>
      </c>
      <c r="F1306" s="260" t="n">
        <v>1</v>
      </c>
      <c r="G1306" s="261" t="n">
        <v>35000</v>
      </c>
      <c r="H1306" s="93" t="n"/>
    </row>
    <row r="1307" hidden="1" ht="15.75" customHeight="1" s="248">
      <c r="A1307" s="92" t="n">
        <v>1302</v>
      </c>
      <c r="B1307" s="139" t="inlineStr">
        <is>
          <t>2026/06/23 05:00</t>
        </is>
      </c>
      <c r="C1307" s="139" t="inlineStr">
        <is>
          <t>TÔ VĂN THIỆN</t>
        </is>
      </c>
      <c r="D1307" s="139" t="inlineStr">
        <is>
          <t>01/01/1963</t>
        </is>
      </c>
      <c r="E1307" s="139" t="inlineStr">
        <is>
          <t>Xét nghiệm đường máu mao mạch tại giường (một lần)[Nội trú]</t>
        </is>
      </c>
      <c r="F1307" s="260" t="n">
        <v>1</v>
      </c>
      <c r="G1307" s="261" t="n">
        <v>35000</v>
      </c>
      <c r="H1307" s="93" t="n"/>
    </row>
    <row r="1308" hidden="1" ht="15.75" customHeight="1" s="248">
      <c r="A1308" s="92" t="n">
        <v>1303</v>
      </c>
      <c r="B1308" s="139" t="inlineStr">
        <is>
          <t>2026/06/23 05:00</t>
        </is>
      </c>
      <c r="C1308" s="139" t="inlineStr">
        <is>
          <t>VÕ THỊ THE</t>
        </is>
      </c>
      <c r="D1308" s="139" t="inlineStr">
        <is>
          <t>01/01/1963</t>
        </is>
      </c>
      <c r="E1308" s="139" t="inlineStr">
        <is>
          <t>Xét nghiệm đường máu mao mạch tại giường (một lần)[Nội trú]</t>
        </is>
      </c>
      <c r="F1308" s="260" t="n">
        <v>1</v>
      </c>
      <c r="G1308" s="261" t="n">
        <v>35000</v>
      </c>
      <c r="H1308" s="93" t="n"/>
    </row>
    <row r="1309" hidden="1" ht="15.75" customHeight="1" s="248">
      <c r="A1309" s="92" t="n">
        <v>1304</v>
      </c>
      <c r="B1309" s="139" t="inlineStr">
        <is>
          <t>2026/06/23 16:00</t>
        </is>
      </c>
      <c r="C1309" s="139" t="inlineStr">
        <is>
          <t>BÙI THỊ THU BA</t>
        </is>
      </c>
      <c r="D1309" s="139" t="inlineStr">
        <is>
          <t>01/01/1960</t>
        </is>
      </c>
      <c r="E1309" s="139" t="inlineStr">
        <is>
          <t>Xét nghiệm đường máu mao mạch tại giường (một lần)[Nội trú]</t>
        </is>
      </c>
      <c r="F1309" s="260" t="n">
        <v>1</v>
      </c>
      <c r="G1309" s="261" t="n">
        <v>35000</v>
      </c>
      <c r="H1309" s="93" t="n"/>
    </row>
    <row r="1310" hidden="1" ht="15.75" customHeight="1" s="248">
      <c r="A1310" s="92" t="n">
        <v>1305</v>
      </c>
      <c r="B1310" s="139" t="inlineStr">
        <is>
          <t>2026/06/23 16:00</t>
        </is>
      </c>
      <c r="C1310" s="139" t="inlineStr">
        <is>
          <t>HUỲNH THỊ SÁU</t>
        </is>
      </c>
      <c r="D1310" s="139" t="inlineStr">
        <is>
          <t>05/02/1960</t>
        </is>
      </c>
      <c r="E1310" s="139" t="inlineStr">
        <is>
          <t>Xét nghiệm đường máu mao mạch tại giường (một lần)[Nội trú]</t>
        </is>
      </c>
      <c r="F1310" s="260" t="n">
        <v>1</v>
      </c>
      <c r="G1310" s="261" t="n">
        <v>35000</v>
      </c>
      <c r="H1310" s="93" t="n"/>
    </row>
    <row r="1311" hidden="1" ht="15.75" customHeight="1" s="248">
      <c r="A1311" s="92" t="n">
        <v>1306</v>
      </c>
      <c r="B1311" s="139" t="inlineStr">
        <is>
          <t>2026/06/23 16:00</t>
        </is>
      </c>
      <c r="C1311" s="139" t="inlineStr">
        <is>
          <t>PHẠM THỊ BÍCH THỦY</t>
        </is>
      </c>
      <c r="D1311" s="139" t="inlineStr">
        <is>
          <t>10/09/1972</t>
        </is>
      </c>
      <c r="E1311" s="139" t="inlineStr">
        <is>
          <t>Xét nghiệm đường máu mao mạch tại giường (một lần)[Nội trú]</t>
        </is>
      </c>
      <c r="F1311" s="260" t="n">
        <v>1</v>
      </c>
      <c r="G1311" s="261" t="n">
        <v>16000</v>
      </c>
      <c r="H1311" s="93" t="n"/>
    </row>
    <row r="1312" hidden="1" ht="15.75" customHeight="1" s="248">
      <c r="A1312" s="92" t="n">
        <v>1307</v>
      </c>
      <c r="B1312" s="139" t="inlineStr">
        <is>
          <t>2026/06/23 16:00</t>
        </is>
      </c>
      <c r="C1312" s="139" t="inlineStr">
        <is>
          <t>PHẠM THỊ DUNG</t>
        </is>
      </c>
      <c r="D1312" s="139" t="inlineStr">
        <is>
          <t>01/01/1968</t>
        </is>
      </c>
      <c r="E1312" s="139" t="inlineStr">
        <is>
          <t>Xét nghiệm đường máu mao mạch tại giường (một lần)[Nội trú]</t>
        </is>
      </c>
      <c r="F1312" s="260" t="n">
        <v>1</v>
      </c>
      <c r="G1312" s="261" t="n">
        <v>16000</v>
      </c>
      <c r="H1312" s="93" t="n"/>
    </row>
    <row r="1313" hidden="1" ht="15.75" customHeight="1" s="248">
      <c r="A1313" s="92" t="n">
        <v>1308</v>
      </c>
      <c r="B1313" s="139" t="inlineStr">
        <is>
          <t>2026/06/23 16:00</t>
        </is>
      </c>
      <c r="C1313" s="139" t="inlineStr">
        <is>
          <t>THẠCH HOÀNG DŨNG</t>
        </is>
      </c>
      <c r="D1313" s="139" t="inlineStr">
        <is>
          <t>01/01/1976</t>
        </is>
      </c>
      <c r="E1313" s="139" t="inlineStr">
        <is>
          <t>Xét nghiệm đường máu mao mạch tại giường (một lần)[Nội trú]</t>
        </is>
      </c>
      <c r="F1313" s="260" t="n">
        <v>1</v>
      </c>
      <c r="G1313" s="261" t="n">
        <v>35000</v>
      </c>
      <c r="H1313" s="93" t="n"/>
    </row>
    <row r="1314" hidden="1" ht="15.75" customHeight="1" s="248">
      <c r="A1314" s="92" t="n">
        <v>1309</v>
      </c>
      <c r="B1314" s="139" t="inlineStr">
        <is>
          <t>2026/06/23 16:00</t>
        </is>
      </c>
      <c r="C1314" s="139" t="inlineStr">
        <is>
          <t>TÔ VĂN THIỆN</t>
        </is>
      </c>
      <c r="D1314" s="139" t="inlineStr">
        <is>
          <t>01/01/1963</t>
        </is>
      </c>
      <c r="E1314" s="139" t="inlineStr">
        <is>
          <t>Xét nghiệm đường máu mao mạch tại giường (một lần)[Nội trú]</t>
        </is>
      </c>
      <c r="F1314" s="260" t="n">
        <v>1</v>
      </c>
      <c r="G1314" s="261" t="n">
        <v>16000</v>
      </c>
      <c r="H1314" s="93" t="n"/>
    </row>
    <row r="1315" hidden="1" ht="15.75" customHeight="1" s="248">
      <c r="A1315" s="92" t="n">
        <v>1310</v>
      </c>
      <c r="B1315" s="139" t="inlineStr">
        <is>
          <t>2026/06/23 16:00</t>
        </is>
      </c>
      <c r="C1315" s="139" t="inlineStr">
        <is>
          <t>VÕ THỊ THE</t>
        </is>
      </c>
      <c r="D1315" s="139" t="inlineStr">
        <is>
          <t>01/01/1963</t>
        </is>
      </c>
      <c r="E1315" s="139" t="inlineStr">
        <is>
          <t>Xét nghiệm đường máu mao mạch tại giường (một lần)[Nội trú]</t>
        </is>
      </c>
      <c r="F1315" s="260" t="n">
        <v>1</v>
      </c>
      <c r="G1315" s="261" t="n">
        <v>16000</v>
      </c>
      <c r="H1315" s="93" t="n"/>
    </row>
    <row r="1316" hidden="1" ht="15.75" customHeight="1" s="248">
      <c r="A1316" s="92" t="n">
        <v>1311</v>
      </c>
      <c r="B1316" s="139" t="inlineStr">
        <is>
          <t>2026/06/24 05:00</t>
        </is>
      </c>
      <c r="C1316" s="139" t="inlineStr">
        <is>
          <t>BÙI THỊ THU BA</t>
        </is>
      </c>
      <c r="D1316" s="139" t="inlineStr">
        <is>
          <t>01/01/1960</t>
        </is>
      </c>
      <c r="E1316" s="139" t="inlineStr">
        <is>
          <t>Xét nghiệm đường máu mao mạch tại giường (một lần)[Nội trú]</t>
        </is>
      </c>
      <c r="F1316" s="260" t="n">
        <v>1</v>
      </c>
      <c r="G1316" s="261" t="n">
        <v>35000</v>
      </c>
      <c r="H1316" s="93" t="n"/>
    </row>
    <row r="1317" hidden="1" ht="15.75" customHeight="1" s="248">
      <c r="A1317" s="92" t="n">
        <v>1312</v>
      </c>
      <c r="B1317" s="139" t="inlineStr">
        <is>
          <t>2026/06/24 05:00</t>
        </is>
      </c>
      <c r="C1317" s="139" t="inlineStr">
        <is>
          <t>HUỲNH THỊ SÁU</t>
        </is>
      </c>
      <c r="D1317" s="139" t="inlineStr">
        <is>
          <t>05/02/1960</t>
        </is>
      </c>
      <c r="E1317" s="139" t="inlineStr">
        <is>
          <t>Xét nghiệm đường máu mao mạch tại giường (một lần)[Nội trú]</t>
        </is>
      </c>
      <c r="F1317" s="260" t="n">
        <v>1</v>
      </c>
      <c r="G1317" s="261" t="n">
        <v>16000</v>
      </c>
      <c r="H1317" s="93" t="n"/>
    </row>
    <row r="1318" hidden="1" ht="15.75" customHeight="1" s="248">
      <c r="A1318" s="92" t="n">
        <v>1313</v>
      </c>
      <c r="B1318" s="139" t="inlineStr">
        <is>
          <t>2026/06/24 05:00</t>
        </is>
      </c>
      <c r="C1318" s="139" t="inlineStr">
        <is>
          <t>PHẠM THỊ BÍCH THỦY</t>
        </is>
      </c>
      <c r="D1318" s="139" t="inlineStr">
        <is>
          <t>10/09/1972</t>
        </is>
      </c>
      <c r="E1318" s="139" t="inlineStr">
        <is>
          <t>Xét nghiệm đường máu mao mạch tại giường (một lần)[Nội trú]</t>
        </is>
      </c>
      <c r="F1318" s="260" t="n">
        <v>1</v>
      </c>
      <c r="G1318" s="261" t="n">
        <v>16000</v>
      </c>
      <c r="H1318" s="93" t="n"/>
    </row>
    <row r="1319" hidden="1" ht="15.75" customHeight="1" s="248">
      <c r="A1319" s="92" t="n">
        <v>1314</v>
      </c>
      <c r="B1319" s="139" t="inlineStr">
        <is>
          <t>2026/06/24 05:00</t>
        </is>
      </c>
      <c r="C1319" s="139" t="inlineStr">
        <is>
          <t>PHẠM THỊ DUNG</t>
        </is>
      </c>
      <c r="D1319" s="139" t="inlineStr">
        <is>
          <t>01/01/1968</t>
        </is>
      </c>
      <c r="E1319" s="139" t="inlineStr">
        <is>
          <t>Xét nghiệm đường máu mao mạch tại giường (một lần)[Nội trú]</t>
        </is>
      </c>
      <c r="F1319" s="260" t="n">
        <v>1</v>
      </c>
      <c r="G1319" s="261" t="n">
        <v>16000</v>
      </c>
      <c r="H1319" s="93" t="n"/>
    </row>
    <row r="1320" hidden="1" ht="15.75" customHeight="1" s="248">
      <c r="A1320" s="92" t="n">
        <v>1315</v>
      </c>
      <c r="B1320" s="139" t="inlineStr">
        <is>
          <t>2026/06/24 05:00</t>
        </is>
      </c>
      <c r="C1320" s="139" t="inlineStr">
        <is>
          <t>THẠCH HOÀNG DŨNG</t>
        </is>
      </c>
      <c r="D1320" s="139" t="inlineStr">
        <is>
          <t>01/01/1976</t>
        </is>
      </c>
      <c r="E1320" s="139" t="inlineStr">
        <is>
          <t>Xét nghiệm đường máu mao mạch tại giường (một lần)[Nội trú]</t>
        </is>
      </c>
      <c r="F1320" s="260" t="n">
        <v>1</v>
      </c>
      <c r="G1320" s="261" t="n">
        <v>16000</v>
      </c>
      <c r="H1320" s="93" t="n"/>
    </row>
    <row r="1321" hidden="1" ht="15.75" customHeight="1" s="248">
      <c r="A1321" s="92" t="n">
        <v>1316</v>
      </c>
      <c r="B1321" s="139" t="inlineStr">
        <is>
          <t>2026/06/24 05:00</t>
        </is>
      </c>
      <c r="C1321" s="139" t="inlineStr">
        <is>
          <t>TÔ VĂN THIỆN</t>
        </is>
      </c>
      <c r="D1321" s="139" t="inlineStr">
        <is>
          <t>01/01/1963</t>
        </is>
      </c>
      <c r="E1321" s="139" t="inlineStr">
        <is>
          <t>Xét nghiệm đường máu mao mạch tại giường (một lần)[Nội trú]</t>
        </is>
      </c>
      <c r="F1321" s="260" t="n">
        <v>1</v>
      </c>
      <c r="G1321" s="261" t="n">
        <v>16000</v>
      </c>
      <c r="H1321" s="93" t="n"/>
    </row>
    <row r="1322" hidden="1" ht="15.75" customHeight="1" s="248">
      <c r="A1322" s="92" t="n">
        <v>1317</v>
      </c>
      <c r="B1322" s="139" t="inlineStr">
        <is>
          <t>2026/06/24 05:00</t>
        </is>
      </c>
      <c r="C1322" s="139" t="inlineStr">
        <is>
          <t>VÕ THỊ THE</t>
        </is>
      </c>
      <c r="D1322" s="139" t="inlineStr">
        <is>
          <t>01/01/1963</t>
        </is>
      </c>
      <c r="E1322" s="139" t="inlineStr">
        <is>
          <t>Xét nghiệm đường máu mao mạch tại giường (một lần)[Nội trú]</t>
        </is>
      </c>
      <c r="F1322" s="260" t="n">
        <v>1</v>
      </c>
      <c r="G1322" s="261" t="n">
        <v>35000</v>
      </c>
      <c r="H1322" s="93" t="n"/>
    </row>
    <row r="1323" hidden="1" ht="15.75" customHeight="1" s="248">
      <c r="A1323" s="92" t="n">
        <v>1318</v>
      </c>
      <c r="B1323" s="139" t="inlineStr">
        <is>
          <t>2026/06/24 16:00</t>
        </is>
      </c>
      <c r="C1323" s="139" t="inlineStr">
        <is>
          <t>BÙI THỊ THU BA</t>
        </is>
      </c>
      <c r="D1323" s="139" t="inlineStr">
        <is>
          <t>01/01/1960</t>
        </is>
      </c>
      <c r="E1323" s="139" t="inlineStr">
        <is>
          <t>Xét nghiệm đường máu mao mạch tại giường (một lần)[Nội trú]</t>
        </is>
      </c>
      <c r="F1323" s="260" t="n">
        <v>1</v>
      </c>
      <c r="G1323" s="261" t="n">
        <v>35000</v>
      </c>
      <c r="H1323" s="93" t="n"/>
    </row>
    <row r="1324" hidden="1" ht="15.75" customHeight="1" s="248">
      <c r="A1324" s="92" t="n">
        <v>1319</v>
      </c>
      <c r="B1324" s="139" t="inlineStr">
        <is>
          <t>2026/06/24 16:00</t>
        </is>
      </c>
      <c r="C1324" s="139" t="inlineStr">
        <is>
          <t>TÔ VĂN THIỆN</t>
        </is>
      </c>
      <c r="D1324" s="139" t="inlineStr">
        <is>
          <t>01/01/1963</t>
        </is>
      </c>
      <c r="E1324" s="139" t="inlineStr">
        <is>
          <t>Xét nghiệm đường máu mao mạch tại giường (một lần)[Nội trú]</t>
        </is>
      </c>
      <c r="F1324" s="260" t="n">
        <v>1</v>
      </c>
      <c r="G1324" s="261" t="n">
        <v>16000</v>
      </c>
      <c r="H1324" s="93" t="n"/>
    </row>
    <row r="1325" hidden="1" ht="15.75" customHeight="1" s="248">
      <c r="A1325" s="92" t="n">
        <v>1320</v>
      </c>
      <c r="B1325" s="139" t="inlineStr">
        <is>
          <t>2026/06/25 05:00</t>
        </is>
      </c>
      <c r="C1325" s="139" t="inlineStr">
        <is>
          <t>BÙI THỊ THU BA</t>
        </is>
      </c>
      <c r="D1325" s="139" t="inlineStr">
        <is>
          <t>01/01/1960</t>
        </is>
      </c>
      <c r="E1325" s="139" t="inlineStr">
        <is>
          <t>Xét nghiệm đường máu mao mạch tại giường (một lần)[Nội trú]</t>
        </is>
      </c>
      <c r="F1325" s="260" t="n">
        <v>1</v>
      </c>
      <c r="G1325" s="261" t="n">
        <v>35000</v>
      </c>
      <c r="H1325" s="93" t="n"/>
    </row>
    <row r="1326" hidden="1" ht="15.75" customHeight="1" s="248">
      <c r="A1326" s="92" t="n">
        <v>1321</v>
      </c>
      <c r="B1326" s="139" t="inlineStr">
        <is>
          <t>2026/06/25 05:00</t>
        </is>
      </c>
      <c r="C1326" s="139" t="inlineStr">
        <is>
          <t>PHAN VĂN ĐƯỢC</t>
        </is>
      </c>
      <c r="D1326" s="139" t="inlineStr">
        <is>
          <t>01/01/1934</t>
        </is>
      </c>
      <c r="E1326" s="139" t="inlineStr">
        <is>
          <t>Xét nghiệm đường máu mao mạch tại giường (một lần)[Nội trú]</t>
        </is>
      </c>
      <c r="F1326" s="260" t="n">
        <v>1</v>
      </c>
      <c r="G1326" s="261" t="n">
        <v>35000</v>
      </c>
      <c r="H1326" s="93" t="n"/>
    </row>
    <row r="1327" hidden="1" ht="15.75" customHeight="1" s="248">
      <c r="A1327" s="92" t="n">
        <v>1322</v>
      </c>
      <c r="B1327" s="139" t="inlineStr">
        <is>
          <t>2026/06/25 05:00</t>
        </is>
      </c>
      <c r="C1327" s="139" t="inlineStr">
        <is>
          <t>TÔ VĂN THIỆN</t>
        </is>
      </c>
      <c r="D1327" s="139" t="inlineStr">
        <is>
          <t>01/01/1963</t>
        </is>
      </c>
      <c r="E1327" s="139" t="inlineStr">
        <is>
          <t>Xét nghiệm đường máu mao mạch tại giường (một lần)[Nội trú]</t>
        </is>
      </c>
      <c r="F1327" s="260" t="n">
        <v>1</v>
      </c>
      <c r="G1327" s="261" t="n">
        <v>16000</v>
      </c>
      <c r="H1327" s="93" t="n"/>
    </row>
    <row r="1328" hidden="1" ht="15.75" customHeight="1" s="248">
      <c r="A1328" s="92" t="n">
        <v>1323</v>
      </c>
      <c r="B1328" s="139" t="inlineStr">
        <is>
          <t>2026/06/26 05:00</t>
        </is>
      </c>
      <c r="C1328" s="139" t="inlineStr">
        <is>
          <t>HỒNG KIM BẰNG</t>
        </is>
      </c>
      <c r="D1328" s="139" t="inlineStr">
        <is>
          <t>01/01/1974</t>
        </is>
      </c>
      <c r="E1328" s="139" t="inlineStr">
        <is>
          <t>Xét nghiệm đường máu mao mạch tại giường (một lần)[Nội trú]</t>
        </is>
      </c>
      <c r="F1328" s="260" t="n">
        <v>1</v>
      </c>
      <c r="G1328" s="261" t="n">
        <v>35000</v>
      </c>
      <c r="H1328" s="93" t="n"/>
    </row>
    <row r="1329" hidden="1" ht="15.75" customHeight="1" s="248">
      <c r="A1329" s="92" t="n">
        <v>1324</v>
      </c>
      <c r="B1329" s="139" t="inlineStr">
        <is>
          <t>2026/06/26 14:58</t>
        </is>
      </c>
      <c r="C1329" s="139" t="inlineStr">
        <is>
          <t>HỒNG KIM BẰNG</t>
        </is>
      </c>
      <c r="D1329" s="139" t="inlineStr">
        <is>
          <t>01/01/1974</t>
        </is>
      </c>
      <c r="E1329" s="139" t="inlineStr">
        <is>
          <t>Xét nghiệm đường máu mao mạch tại giường (một lần)[Nội trú]</t>
        </is>
      </c>
      <c r="F1329" s="260" t="n">
        <v>1</v>
      </c>
      <c r="G1329" s="261" t="n">
        <v>16000</v>
      </c>
      <c r="H1329" s="93" t="n"/>
    </row>
    <row r="1330" hidden="1" ht="15.75" customHeight="1" s="248">
      <c r="A1330" s="92" t="n"/>
      <c r="B1330" s="139" t="n"/>
      <c r="C1330" s="139" t="n"/>
      <c r="D1330" s="139" t="n"/>
      <c r="E1330" s="139" t="n"/>
      <c r="F1330" s="260" t="n"/>
      <c r="G1330" s="260" t="n"/>
      <c r="H1330" s="93" t="n"/>
    </row>
    <row r="1331" hidden="1" ht="15.75" customHeight="1" s="248">
      <c r="A1331" s="92" t="n"/>
      <c r="B1331" s="139" t="n"/>
      <c r="C1331" s="139" t="n"/>
      <c r="D1331" s="139" t="n"/>
      <c r="E1331" s="139" t="n"/>
      <c r="F1331" s="260" t="n"/>
      <c r="G1331" s="260" t="n"/>
      <c r="H1331" s="93" t="n"/>
    </row>
    <row r="1332" hidden="1" ht="15.75" customHeight="1" s="248">
      <c r="A1332" s="92" t="n"/>
      <c r="B1332" s="139" t="n"/>
      <c r="C1332" s="139" t="n"/>
      <c r="D1332" s="139" t="n"/>
      <c r="E1332" s="139" t="n"/>
      <c r="F1332" s="260" t="n"/>
      <c r="G1332" s="260" t="n"/>
      <c r="H1332" s="93" t="n"/>
    </row>
    <row r="1333" hidden="1" ht="15.75" customHeight="1" s="248">
      <c r="A1333" s="92" t="n"/>
      <c r="B1333" s="139" t="n"/>
      <c r="C1333" s="139" t="n"/>
      <c r="D1333" s="139" t="n"/>
      <c r="E1333" s="139" t="n"/>
      <c r="F1333" s="260" t="n"/>
      <c r="G1333" s="260" t="n"/>
      <c r="H1333" s="93" t="n"/>
    </row>
    <row r="1334" hidden="1" ht="15.75" customHeight="1" s="248">
      <c r="A1334" s="92" t="n"/>
      <c r="B1334" s="139" t="n"/>
      <c r="C1334" s="139" t="n"/>
      <c r="D1334" s="139" t="n"/>
      <c r="E1334" s="139" t="n"/>
      <c r="F1334" s="260" t="n"/>
      <c r="G1334" s="260" t="n"/>
      <c r="H1334" s="93" t="n"/>
    </row>
    <row r="1335" hidden="1" ht="15.75" customHeight="1" s="248">
      <c r="A1335" s="92" t="n"/>
      <c r="B1335" s="139" t="n"/>
      <c r="C1335" s="139" t="n"/>
      <c r="D1335" s="139" t="n"/>
      <c r="E1335" s="139" t="n"/>
      <c r="F1335" s="260" t="n"/>
      <c r="G1335" s="260" t="n"/>
      <c r="H1335" s="93" t="n"/>
      <c r="I1335" s="36" t="n"/>
    </row>
    <row r="1336" hidden="1" ht="15.75" customHeight="1" s="248">
      <c r="A1336" s="92" t="n"/>
      <c r="B1336" s="94" t="n"/>
      <c r="C1336" s="95" t="inlineStr">
        <is>
          <t>Tổng Cộng</t>
        </is>
      </c>
      <c r="D1336" s="96" t="n"/>
      <c r="E1336" s="95" t="n"/>
      <c r="F1336" s="97">
        <f>SUM(F6:F1335)</f>
        <v/>
      </c>
      <c r="G1336" s="97">
        <f>SUM(G6:G1335)</f>
        <v/>
      </c>
      <c r="H1336" s="97">
        <f>SUM(H6:H1335)</f>
        <v/>
      </c>
      <c r="J1336" s="37" t="n"/>
    </row>
    <row r="1337" hidden="1" ht="15.75" customHeight="1" s="248">
      <c r="A1337" s="92" t="n"/>
      <c r="B1337" s="56" t="n"/>
      <c r="C1337" s="57" t="n"/>
      <c r="D1337" s="58" t="n"/>
      <c r="E1337" s="228" t="inlineStr">
        <is>
          <t>Cần Thơ, ngày 30 tháng 6 năm 2026</t>
        </is>
      </c>
      <c r="F1337" s="229" t="n"/>
      <c r="G1337" s="229" t="n"/>
      <c r="H1337" s="229" t="n"/>
      <c r="I1337" s="23" t="n"/>
      <c r="J1337" s="29" t="n"/>
    </row>
    <row r="1338" hidden="1" ht="15.75" customHeight="1" s="248">
      <c r="A1338" s="232" t="inlineStr">
        <is>
          <t>Lập bảng</t>
        </is>
      </c>
      <c r="D1338" s="60" t="n"/>
      <c r="E1338" s="230" t="inlineStr">
        <is>
          <t>Trưởng Khoa</t>
        </is>
      </c>
      <c r="I1338" s="15" t="n"/>
    </row>
    <row r="1339" hidden="1" ht="15.75" customHeight="1" s="248">
      <c r="A1339" s="232" t="n"/>
      <c r="B1339" s="232" t="n"/>
      <c r="C1339" s="232" t="n"/>
      <c r="D1339" s="60" t="n"/>
      <c r="E1339" s="61" t="n"/>
      <c r="F1339" s="62" t="n"/>
      <c r="G1339" s="62" t="n"/>
      <c r="H1339" s="63" t="n"/>
      <c r="I1339" s="262" t="n"/>
      <c r="J1339" s="29" t="n"/>
    </row>
    <row r="1340" hidden="1" ht="15.75" customHeight="1" s="248">
      <c r="A1340" s="232" t="n"/>
      <c r="B1340" s="232" t="n"/>
      <c r="C1340" s="232" t="n"/>
      <c r="D1340" s="60" t="n"/>
      <c r="E1340" s="61" t="n"/>
      <c r="F1340" s="138" t="n"/>
      <c r="G1340" s="62" t="n"/>
      <c r="H1340" s="63" t="n"/>
      <c r="I1340" s="262" t="n"/>
      <c r="J1340" s="29" t="n"/>
    </row>
    <row r="1341" hidden="1" ht="15.75" customHeight="1" s="248">
      <c r="A1341" s="56" t="n"/>
      <c r="B1341" s="56" t="n"/>
      <c r="C1341" s="64" t="n"/>
      <c r="D1341" s="65" t="n"/>
      <c r="E1341" s="66" t="n"/>
      <c r="F1341" s="55" t="n"/>
      <c r="G1341" s="62" t="n"/>
      <c r="H1341" s="62" t="n"/>
      <c r="I1341" s="262" t="n"/>
      <c r="J1341" s="29" t="n"/>
    </row>
    <row r="1342" hidden="1" ht="15.75" customHeight="1" s="248">
      <c r="A1342" s="218" t="inlineStr">
        <is>
          <t>ĐD. Phan Văn Hiếu</t>
        </is>
      </c>
      <c r="D1342" s="65" t="n"/>
      <c r="E1342" s="231" t="inlineStr">
        <is>
          <t>ThS. Bs. CKII. Nguyễn Lê Hoan</t>
        </is>
      </c>
      <c r="I1342" s="23" t="n"/>
      <c r="K1342" s="202" t="n"/>
    </row>
    <row r="1343" hidden="1" ht="15.75" customHeight="1" s="248">
      <c r="A1343" s="56" t="n"/>
      <c r="B1343" s="56" t="n"/>
      <c r="C1343" s="64" t="n"/>
      <c r="D1343" s="65" t="n"/>
      <c r="E1343" s="67" t="n"/>
      <c r="F1343" s="232" t="n"/>
      <c r="G1343" s="68" t="n"/>
      <c r="H1343" s="64" t="n"/>
    </row>
    <row r="1344" hidden="1" ht="15.75" customHeight="1" s="248">
      <c r="D1344" s="225" t="n"/>
      <c r="E1344" s="226" t="n"/>
      <c r="F1344" s="141" t="n"/>
      <c r="G1344" s="29" t="n"/>
      <c r="H1344" s="29" t="n"/>
    </row>
    <row r="1345" hidden="1" ht="15.75" customHeight="1" s="248">
      <c r="D1345" s="225" t="n"/>
      <c r="E1345" s="226" t="n"/>
      <c r="F1345" s="141" t="n"/>
      <c r="G1345" s="29" t="n"/>
    </row>
    <row r="1346" hidden="1" ht="15.75" customHeight="1" s="248">
      <c r="D1346" s="225" t="n"/>
      <c r="E1346" s="226" t="n"/>
      <c r="F1346" s="244" t="n"/>
      <c r="G1346" s="29" t="n"/>
    </row>
    <row r="1347" hidden="1" ht="15.75" customHeight="1" s="248">
      <c r="D1347" s="225" t="n"/>
      <c r="E1347" s="226" t="n"/>
      <c r="F1347" s="244" t="n"/>
      <c r="G1347" s="29" t="n"/>
    </row>
    <row r="1348" hidden="1" ht="15.75" customHeight="1" s="248">
      <c r="D1348" s="225" t="n"/>
      <c r="E1348" s="226" t="n"/>
      <c r="F1348" s="244" t="n"/>
      <c r="G1348" s="220" t="n"/>
    </row>
    <row r="1349" hidden="1" ht="15.75" customHeight="1" s="248">
      <c r="D1349" s="225" t="n"/>
      <c r="E1349" s="226" t="n"/>
      <c r="F1349" s="244" t="n"/>
      <c r="G1349" s="220" t="n"/>
    </row>
    <row r="1350" hidden="1" ht="15.75" customHeight="1" s="248">
      <c r="D1350" s="225" t="n"/>
      <c r="E1350" s="226" t="n"/>
      <c r="F1350" s="244" t="n"/>
      <c r="G1350" s="220" t="n"/>
    </row>
    <row r="1351" hidden="1" ht="15.75" customHeight="1" s="248">
      <c r="D1351" s="225" t="n"/>
      <c r="E1351" s="226" t="n"/>
      <c r="F1351" s="244" t="n"/>
      <c r="G1351" s="220" t="n"/>
    </row>
    <row r="1352" hidden="1" ht="15.75" customHeight="1" s="248">
      <c r="D1352" s="225" t="n"/>
      <c r="E1352" s="226" t="n"/>
      <c r="F1352" s="244" t="n"/>
      <c r="G1352" s="220" t="n"/>
    </row>
    <row r="1353" hidden="1" ht="15.75" customHeight="1" s="248">
      <c r="D1353" s="225" t="n"/>
      <c r="E1353" s="226" t="n"/>
      <c r="F1353" s="244" t="n"/>
      <c r="G1353" s="220" t="n"/>
    </row>
    <row r="1354" hidden="1" ht="15.75" customHeight="1" s="248">
      <c r="D1354" s="225" t="n"/>
      <c r="E1354" s="226" t="n"/>
      <c r="F1354" s="244" t="n"/>
      <c r="G1354" s="220" t="n"/>
    </row>
    <row r="1355" hidden="1" ht="15.75" customHeight="1" s="248">
      <c r="A1355" s="92" t="n"/>
      <c r="B1355" s="104" t="n"/>
      <c r="C1355" s="104" t="n"/>
      <c r="D1355" s="103" t="n"/>
      <c r="E1355" s="104" t="n"/>
      <c r="F1355" s="106" t="n"/>
      <c r="G1355" s="259" t="n"/>
      <c r="H1355" s="93" t="n"/>
      <c r="I1355" s="36" t="n"/>
    </row>
    <row r="1356" hidden="1" ht="15.75" customHeight="1" s="248">
      <c r="A1356" s="92" t="n"/>
      <c r="B1356" s="104" t="n"/>
      <c r="C1356" s="104" t="n"/>
      <c r="D1356" s="103" t="n"/>
      <c r="E1356" s="104" t="n"/>
      <c r="F1356" s="106" t="n"/>
      <c r="G1356" s="259" t="n"/>
      <c r="H1356" s="93" t="n"/>
      <c r="I1356" s="36" t="n"/>
    </row>
    <row r="1357" hidden="1" ht="15.75" customHeight="1" s="248">
      <c r="A1357" s="92" t="n"/>
      <c r="B1357" s="104" t="n"/>
      <c r="C1357" s="104" t="n"/>
      <c r="D1357" s="103" t="n"/>
      <c r="E1357" s="104" t="n"/>
      <c r="F1357" s="106" t="n"/>
      <c r="G1357" s="259" t="n"/>
      <c r="H1357" s="93" t="n"/>
      <c r="I1357" s="36" t="n"/>
    </row>
    <row r="1358" hidden="1" ht="15.75" customHeight="1" s="248">
      <c r="A1358" s="92" t="n"/>
      <c r="B1358" s="104" t="n"/>
      <c r="C1358" s="104" t="n"/>
      <c r="D1358" s="103" t="n"/>
      <c r="E1358" s="104" t="n"/>
      <c r="F1358" s="106" t="n"/>
      <c r="G1358" s="259" t="n"/>
      <c r="H1358" s="93" t="n"/>
      <c r="I1358" s="36" t="n"/>
    </row>
    <row r="1359" hidden="1" ht="15.75" customHeight="1" s="248">
      <c r="A1359" s="92" t="n"/>
      <c r="B1359" s="104" t="n"/>
      <c r="C1359" s="104" t="n"/>
      <c r="D1359" s="103" t="n"/>
      <c r="E1359" s="104" t="n"/>
      <c r="F1359" s="106" t="n"/>
      <c r="G1359" s="259" t="n"/>
      <c r="H1359" s="93" t="n"/>
      <c r="I1359" s="36" t="n"/>
    </row>
    <row r="1360" hidden="1" ht="15.75" customHeight="1" s="248">
      <c r="A1360" s="92" t="n"/>
      <c r="B1360" s="104" t="n"/>
      <c r="C1360" s="104" t="n"/>
      <c r="D1360" s="103" t="n"/>
      <c r="E1360" s="104" t="n"/>
      <c r="F1360" s="106" t="n"/>
      <c r="G1360" s="259" t="n"/>
      <c r="H1360" s="93" t="n"/>
      <c r="I1360" s="36" t="n"/>
    </row>
    <row r="1361" hidden="1" ht="15.75" customHeight="1" s="248">
      <c r="A1361" s="92" t="n"/>
      <c r="B1361" s="104" t="n"/>
      <c r="C1361" s="104" t="n"/>
      <c r="D1361" s="103" t="n"/>
      <c r="E1361" s="104" t="n"/>
      <c r="F1361" s="106" t="n"/>
      <c r="G1361" s="259" t="n"/>
      <c r="H1361" s="93" t="n"/>
      <c r="I1361" s="36" t="n"/>
    </row>
    <row r="1362" hidden="1" ht="15.75" customHeight="1" s="248">
      <c r="A1362" s="92" t="n"/>
      <c r="B1362" s="104" t="n"/>
      <c r="C1362" s="104" t="n"/>
      <c r="D1362" s="103" t="n"/>
      <c r="E1362" s="104" t="n"/>
      <c r="F1362" s="106" t="n"/>
      <c r="G1362" s="259" t="n"/>
      <c r="H1362" s="93" t="n"/>
      <c r="I1362" s="36" t="n"/>
    </row>
    <row r="1363" hidden="1" ht="15.75" customHeight="1" s="248">
      <c r="A1363" s="92" t="n"/>
      <c r="B1363" s="104" t="n"/>
      <c r="C1363" s="104" t="n"/>
      <c r="D1363" s="103" t="n"/>
      <c r="E1363" s="104" t="n"/>
      <c r="F1363" s="106" t="n"/>
      <c r="G1363" s="259" t="n"/>
      <c r="H1363" s="93" t="n"/>
      <c r="I1363" s="36" t="n"/>
    </row>
    <row r="1364" hidden="1" ht="15.75" customHeight="1" s="248">
      <c r="A1364" s="92" t="n"/>
      <c r="B1364" s="104" t="n"/>
      <c r="C1364" s="104" t="n"/>
      <c r="D1364" s="103" t="n"/>
      <c r="E1364" s="104" t="n"/>
      <c r="F1364" s="106" t="n"/>
      <c r="G1364" s="259" t="n"/>
      <c r="H1364" s="93" t="n"/>
      <c r="I1364" s="36" t="n"/>
    </row>
    <row r="1365" hidden="1" ht="15.75" customHeight="1" s="248">
      <c r="A1365" s="92" t="n"/>
      <c r="B1365" s="104" t="n"/>
      <c r="C1365" s="104" t="n"/>
      <c r="D1365" s="103" t="n"/>
      <c r="E1365" s="104" t="n"/>
      <c r="F1365" s="106" t="n"/>
      <c r="G1365" s="259" t="n"/>
      <c r="H1365" s="93" t="n"/>
      <c r="I1365" s="36" t="n"/>
    </row>
    <row r="1366" hidden="1" ht="15.75" customHeight="1" s="248">
      <c r="A1366" s="92" t="n"/>
      <c r="B1366" s="104" t="n"/>
      <c r="C1366" s="104" t="n"/>
      <c r="D1366" s="103" t="n"/>
      <c r="E1366" s="104" t="n"/>
      <c r="F1366" s="106" t="n"/>
      <c r="G1366" s="259" t="n"/>
      <c r="H1366" s="93" t="n"/>
      <c r="I1366" s="36" t="n"/>
    </row>
    <row r="1367" hidden="1" ht="15.75" customHeight="1" s="248">
      <c r="A1367" s="92" t="n"/>
      <c r="B1367" s="104" t="n"/>
      <c r="C1367" s="104" t="n"/>
      <c r="D1367" s="103" t="n"/>
      <c r="E1367" s="104" t="n"/>
      <c r="F1367" s="106" t="n"/>
      <c r="G1367" s="259" t="n"/>
      <c r="H1367" s="93" t="n"/>
      <c r="I1367" s="36" t="n"/>
    </row>
    <row r="1368" hidden="1" ht="15.75" customHeight="1" s="248">
      <c r="A1368" s="92" t="n"/>
      <c r="B1368" s="104" t="n"/>
      <c r="C1368" s="104" t="n"/>
      <c r="D1368" s="103" t="n"/>
      <c r="E1368" s="104" t="n"/>
      <c r="F1368" s="106" t="n"/>
      <c r="G1368" s="259" t="n"/>
      <c r="H1368" s="93" t="n"/>
      <c r="I1368" s="36" t="n"/>
    </row>
    <row r="1369" hidden="1" ht="15.75" customHeight="1" s="248">
      <c r="A1369" s="92" t="n"/>
      <c r="B1369" s="104" t="n"/>
      <c r="C1369" s="104" t="n"/>
      <c r="D1369" s="103" t="n"/>
      <c r="E1369" s="104" t="n"/>
      <c r="F1369" s="106" t="n"/>
      <c r="G1369" s="259" t="n"/>
      <c r="H1369" s="93" t="n"/>
      <c r="I1369" s="36" t="n"/>
    </row>
    <row r="1370" hidden="1" ht="15.75" customHeight="1" s="248">
      <c r="A1370" s="92" t="n"/>
      <c r="B1370" s="104" t="n"/>
      <c r="C1370" s="104" t="n"/>
      <c r="D1370" s="103" t="n"/>
      <c r="E1370" s="104" t="n"/>
      <c r="F1370" s="106" t="n"/>
      <c r="G1370" s="259" t="n"/>
      <c r="H1370" s="93" t="n"/>
      <c r="I1370" s="36" t="n"/>
    </row>
    <row r="1371" hidden="1" ht="15.75" customHeight="1" s="248">
      <c r="A1371" s="92" t="n"/>
      <c r="B1371" s="104" t="n"/>
      <c r="C1371" s="104" t="n"/>
      <c r="D1371" s="103" t="n"/>
      <c r="E1371" s="104" t="n"/>
      <c r="F1371" s="106" t="n"/>
      <c r="G1371" s="259" t="n"/>
      <c r="H1371" s="93" t="n"/>
      <c r="I1371" s="36" t="n"/>
    </row>
    <row r="1372" hidden="1" ht="15.75" customHeight="1" s="248">
      <c r="A1372" s="92" t="n"/>
      <c r="B1372" s="104" t="n"/>
      <c r="C1372" s="104" t="n"/>
      <c r="D1372" s="103" t="n"/>
      <c r="E1372" s="104" t="n"/>
      <c r="F1372" s="106" t="n"/>
      <c r="G1372" s="259" t="n"/>
      <c r="H1372" s="93" t="n"/>
      <c r="I1372" s="36" t="n"/>
    </row>
    <row r="1373" hidden="1" ht="15.75" customHeight="1" s="248">
      <c r="A1373" s="92" t="n"/>
      <c r="B1373" s="104" t="n"/>
      <c r="C1373" s="104" t="n"/>
      <c r="D1373" s="103" t="n"/>
      <c r="E1373" s="104" t="n"/>
      <c r="F1373" s="106" t="n"/>
      <c r="G1373" s="259" t="n"/>
      <c r="H1373" s="93" t="n"/>
      <c r="I1373" s="36" t="n"/>
    </row>
    <row r="1374" hidden="1" ht="15.75" customHeight="1" s="248">
      <c r="A1374" s="92" t="n"/>
      <c r="B1374" s="104" t="n"/>
      <c r="C1374" s="104" t="n"/>
      <c r="D1374" s="103" t="n"/>
      <c r="E1374" s="104" t="n"/>
      <c r="F1374" s="106" t="n"/>
      <c r="G1374" s="259" t="n"/>
      <c r="H1374" s="93" t="n"/>
      <c r="I1374" s="36" t="n"/>
    </row>
    <row r="1375" hidden="1" ht="15.75" customHeight="1" s="248">
      <c r="A1375" s="92" t="n"/>
      <c r="B1375" s="104" t="n"/>
      <c r="C1375" s="104" t="n"/>
      <c r="D1375" s="103" t="n"/>
      <c r="E1375" s="104" t="n"/>
      <c r="F1375" s="106" t="n"/>
      <c r="G1375" s="259" t="n"/>
      <c r="H1375" s="93" t="n"/>
      <c r="I1375" s="36" t="n"/>
    </row>
    <row r="1376" hidden="1" ht="15.75" customHeight="1" s="248">
      <c r="D1376" s="225" t="n"/>
      <c r="E1376" s="226" t="n"/>
      <c r="F1376" s="244" t="n"/>
      <c r="G1376" s="220" t="n"/>
    </row>
    <row r="1377" hidden="1" ht="15.75" customHeight="1" s="248">
      <c r="D1377" s="225" t="n"/>
      <c r="E1377" s="226" t="n"/>
      <c r="F1377" s="244" t="n"/>
      <c r="G1377" s="220" t="n"/>
    </row>
    <row r="1378" hidden="1" ht="15.75" customHeight="1" s="248">
      <c r="D1378" s="225" t="n"/>
      <c r="E1378" s="226" t="n"/>
      <c r="F1378" s="244" t="n"/>
      <c r="G1378" s="220" t="n"/>
    </row>
    <row r="1379" hidden="1" ht="15.75" customHeight="1" s="248">
      <c r="D1379" s="225" t="n"/>
      <c r="E1379" s="226" t="n"/>
      <c r="F1379" s="244" t="n"/>
      <c r="G1379" s="220" t="n"/>
    </row>
    <row r="1380" hidden="1" ht="15.75" customHeight="1" s="248">
      <c r="D1380" s="225" t="n"/>
      <c r="E1380" s="226" t="n"/>
      <c r="F1380" s="244" t="n"/>
      <c r="G1380" s="220" t="n"/>
    </row>
    <row r="1381" hidden="1" ht="15.75" customHeight="1" s="248">
      <c r="D1381" s="225" t="n"/>
      <c r="E1381" s="226" t="n"/>
      <c r="F1381" s="244" t="n"/>
      <c r="G1381" s="220" t="n"/>
    </row>
    <row r="1382" hidden="1" ht="15.75" customHeight="1" s="248">
      <c r="D1382" s="225" t="n"/>
      <c r="E1382" s="226" t="n"/>
      <c r="F1382" s="244" t="n"/>
      <c r="G1382" s="220" t="n"/>
    </row>
    <row r="1383" hidden="1" ht="15.75" customHeight="1" s="248">
      <c r="D1383" s="225" t="n"/>
      <c r="E1383" s="226" t="n"/>
      <c r="F1383" s="244" t="n"/>
      <c r="G1383" s="220" t="n"/>
    </row>
    <row r="1384" hidden="1" ht="15.75" customHeight="1" s="248">
      <c r="D1384" s="225" t="n"/>
      <c r="E1384" s="226" t="n"/>
      <c r="F1384" s="244" t="n"/>
      <c r="G1384" s="220" t="n"/>
    </row>
    <row r="1385" hidden="1" ht="15.75" customHeight="1" s="248">
      <c r="D1385" s="225" t="n"/>
      <c r="E1385" s="226" t="n"/>
      <c r="F1385" s="244" t="n"/>
      <c r="G1385" s="220" t="n"/>
    </row>
    <row r="1386" hidden="1" ht="15.75" customHeight="1" s="248">
      <c r="D1386" s="225" t="n"/>
      <c r="E1386" s="226" t="n"/>
      <c r="F1386" s="244" t="n"/>
      <c r="G1386" s="220" t="n"/>
    </row>
    <row r="1387" hidden="1" ht="15.75" customHeight="1" s="248">
      <c r="D1387" s="225" t="n"/>
      <c r="E1387" s="226" t="n"/>
      <c r="F1387" s="244" t="n"/>
      <c r="G1387" s="220" t="n"/>
    </row>
    <row r="1388" hidden="1" ht="15.75" customHeight="1" s="248">
      <c r="D1388" s="225" t="n"/>
      <c r="E1388" s="226" t="n"/>
      <c r="F1388" s="244" t="n"/>
      <c r="G1388" s="220" t="n"/>
    </row>
    <row r="1389" hidden="1" ht="15.75" customHeight="1" s="248">
      <c r="D1389" s="225" t="n"/>
      <c r="E1389" s="226" t="n"/>
      <c r="F1389" s="244" t="n"/>
      <c r="G1389" s="220" t="n"/>
    </row>
    <row r="1390" hidden="1" ht="15.75" customHeight="1" s="248">
      <c r="D1390" s="225" t="n"/>
      <c r="E1390" s="226" t="n"/>
      <c r="F1390" s="244" t="n"/>
      <c r="G1390" s="220" t="n"/>
    </row>
    <row r="1391" hidden="1" ht="15.75" customHeight="1" s="248">
      <c r="D1391" s="225" t="n"/>
      <c r="E1391" s="226" t="n"/>
      <c r="F1391" s="244" t="n"/>
      <c r="G1391" s="220" t="n"/>
    </row>
    <row r="1392" hidden="1" ht="15.75" customHeight="1" s="248">
      <c r="D1392" s="225" t="n"/>
      <c r="E1392" s="226" t="n"/>
      <c r="F1392" s="244" t="n"/>
      <c r="G1392" s="220" t="n"/>
    </row>
    <row r="1393" hidden="1" ht="15.75" customHeight="1" s="248">
      <c r="D1393" s="225" t="n"/>
      <c r="E1393" s="226" t="n"/>
      <c r="F1393" s="244" t="n"/>
      <c r="G1393" s="220" t="n"/>
    </row>
    <row r="1394" hidden="1" ht="15.75" customHeight="1" s="248">
      <c r="D1394" s="225" t="n"/>
      <c r="E1394" s="226" t="n"/>
      <c r="F1394" s="244" t="n"/>
      <c r="G1394" s="220" t="n"/>
    </row>
    <row r="1395" hidden="1" ht="15.75" customHeight="1" s="248">
      <c r="D1395" s="225" t="n"/>
      <c r="E1395" s="226" t="n"/>
      <c r="F1395" s="244" t="n"/>
      <c r="G1395" s="220" t="n"/>
    </row>
    <row r="1396" hidden="1" ht="15.75" customFormat="1" customHeight="1" s="202">
      <c r="D1396" s="225" t="n"/>
      <c r="E1396" s="226" t="n"/>
      <c r="F1396" s="244" t="n"/>
      <c r="G1396" s="220" t="n"/>
    </row>
    <row r="1397" hidden="1" customFormat="1" s="202">
      <c r="D1397" s="225" t="n"/>
      <c r="E1397" s="226" t="n"/>
      <c r="F1397" s="244" t="n"/>
      <c r="G1397" s="220" t="n"/>
    </row>
    <row r="1398" hidden="1" ht="18.75" customHeight="1" s="248">
      <c r="D1398" s="225" t="n"/>
      <c r="E1398" s="226" t="n"/>
      <c r="F1398" s="244" t="n"/>
      <c r="G1398" s="220" t="n"/>
    </row>
    <row r="1399" hidden="1" ht="15.75" customHeight="1" s="248">
      <c r="D1399" s="225" t="n"/>
      <c r="E1399" s="226" t="n"/>
      <c r="F1399" s="244" t="n"/>
      <c r="G1399" s="220" t="n"/>
    </row>
    <row r="1400" ht="18.75" customHeight="1" s="248">
      <c r="D1400" s="225" t="n"/>
      <c r="E1400" s="226" t="n"/>
      <c r="F1400" s="244" t="n"/>
      <c r="G1400" s="220" t="n"/>
    </row>
    <row r="1401" ht="18.75" customHeight="1" s="248">
      <c r="D1401" s="225" t="n"/>
      <c r="E1401" s="226" t="n"/>
      <c r="F1401" s="244" t="n"/>
      <c r="G1401" s="220" t="n"/>
    </row>
    <row r="1402" ht="18.75" customHeight="1" s="248">
      <c r="D1402" s="225" t="n"/>
      <c r="E1402" s="226" t="n"/>
      <c r="F1402" s="244" t="n"/>
      <c r="G1402" s="220" t="n"/>
    </row>
    <row r="1403" ht="15.75" customHeight="1" s="248">
      <c r="D1403" s="225" t="n"/>
      <c r="E1403" s="226" t="n"/>
      <c r="F1403" s="244" t="n"/>
      <c r="G1403" s="220" t="n"/>
    </row>
    <row r="1404" ht="15" customHeight="1" s="248">
      <c r="D1404" s="225" t="n"/>
      <c r="E1404" s="226" t="n"/>
      <c r="F1404" s="244" t="n"/>
      <c r="G1404" s="220" t="n"/>
    </row>
    <row r="1405">
      <c r="D1405" s="225" t="n"/>
      <c r="E1405" s="226" t="n"/>
      <c r="F1405" s="244" t="n"/>
      <c r="G1405" s="220" t="n"/>
    </row>
    <row r="1406">
      <c r="D1406" s="225" t="n"/>
      <c r="E1406" s="226" t="n"/>
      <c r="F1406" s="244" t="n"/>
      <c r="G1406" s="220" t="n"/>
    </row>
    <row r="1407">
      <c r="D1407" s="225" t="n"/>
      <c r="E1407" s="226" t="n"/>
      <c r="F1407" s="244" t="n"/>
      <c r="G1407" s="220" t="n"/>
    </row>
    <row r="1408">
      <c r="D1408" s="225" t="n"/>
      <c r="E1408" s="226" t="n"/>
      <c r="F1408" s="244" t="n"/>
      <c r="G1408" s="220" t="n"/>
    </row>
    <row r="1409">
      <c r="D1409" s="225" t="n"/>
      <c r="E1409" s="226" t="n"/>
      <c r="F1409" s="244" t="n"/>
      <c r="G1409" s="220" t="n"/>
    </row>
    <row r="1410">
      <c r="D1410" s="225" t="n"/>
      <c r="E1410" s="226" t="n"/>
      <c r="F1410" s="244" t="n"/>
      <c r="G1410" s="220" t="n"/>
    </row>
    <row r="1411">
      <c r="D1411" s="225" t="n"/>
      <c r="E1411" s="226" t="n"/>
      <c r="F1411" s="244" t="n"/>
      <c r="G1411" s="220" t="n"/>
    </row>
    <row r="1412">
      <c r="D1412" s="225" t="n"/>
      <c r="E1412" s="226" t="n"/>
      <c r="F1412" s="244" t="n"/>
      <c r="G1412" s="220" t="n"/>
    </row>
    <row r="1413">
      <c r="D1413" s="225" t="n"/>
      <c r="E1413" s="226" t="n"/>
      <c r="F1413" s="244" t="n"/>
      <c r="G1413" s="220" t="n"/>
    </row>
    <row r="1414">
      <c r="D1414" s="225" t="n"/>
      <c r="E1414" s="226" t="n"/>
      <c r="F1414" s="244" t="n"/>
      <c r="G1414" s="220" t="n"/>
    </row>
    <row r="1415">
      <c r="D1415" s="225" t="n"/>
      <c r="E1415" s="226" t="n"/>
      <c r="F1415" s="244" t="n"/>
      <c r="G1415" s="220" t="n"/>
    </row>
    <row r="1416" ht="15.75" customFormat="1" customHeight="1" s="202">
      <c r="D1416" s="225" t="n"/>
      <c r="E1416" s="226" t="n"/>
      <c r="F1416" s="244" t="n"/>
      <c r="G1416" s="220" t="n"/>
    </row>
    <row r="1417" ht="15.75" customFormat="1" customHeight="1" s="202">
      <c r="D1417" s="225" t="n"/>
      <c r="E1417" s="226" t="n"/>
      <c r="F1417" s="244" t="n"/>
      <c r="G1417" s="220" t="n"/>
    </row>
    <row r="1418" ht="15.75" customFormat="1" customHeight="1" s="202">
      <c r="D1418" s="225" t="n"/>
      <c r="E1418" s="226" t="n"/>
      <c r="F1418" s="244" t="n"/>
      <c r="G1418" s="220" t="n"/>
    </row>
    <row r="1419" ht="15.75" customFormat="1" customHeight="1" s="202">
      <c r="D1419" s="225" t="n"/>
      <c r="E1419" s="226" t="n"/>
      <c r="F1419" s="244" t="n"/>
      <c r="G1419" s="220" t="n"/>
    </row>
    <row r="1420" ht="15.75" customFormat="1" customHeight="1" s="202">
      <c r="D1420" s="225" t="n"/>
      <c r="E1420" s="226" t="n"/>
      <c r="F1420" s="244" t="n"/>
      <c r="G1420" s="220" t="n"/>
    </row>
    <row r="1421" ht="15.75" customFormat="1" customHeight="1" s="202">
      <c r="D1421" s="225" t="n"/>
      <c r="E1421" s="226" t="n"/>
      <c r="F1421" s="244" t="n"/>
      <c r="G1421" s="220" t="n"/>
    </row>
    <row r="1422" ht="15.75" customFormat="1" customHeight="1" s="202">
      <c r="D1422" s="225" t="n"/>
      <c r="E1422" s="226" t="n"/>
      <c r="F1422" s="244" t="n"/>
      <c r="G1422" s="220" t="n"/>
    </row>
    <row r="1423" ht="15.75" customFormat="1" customHeight="1" s="202">
      <c r="D1423" s="225" t="n"/>
      <c r="E1423" s="226" t="n"/>
      <c r="F1423" s="244" t="n"/>
      <c r="G1423" s="220" t="n"/>
    </row>
    <row r="1424" ht="15.75" customFormat="1" customHeight="1" s="202">
      <c r="D1424" s="225" t="n"/>
      <c r="E1424" s="226" t="n"/>
      <c r="F1424" s="244" t="n"/>
      <c r="G1424" s="220" t="n"/>
    </row>
    <row r="1425" ht="15.75" customFormat="1" customHeight="1" s="202">
      <c r="D1425" s="225" t="n"/>
      <c r="E1425" s="226" t="n"/>
      <c r="F1425" s="244" t="n"/>
      <c r="G1425" s="220" t="n"/>
    </row>
    <row r="1426" ht="15.75" customFormat="1" customHeight="1" s="202">
      <c r="D1426" s="225" t="n"/>
      <c r="E1426" s="226" t="n"/>
      <c r="F1426" s="244" t="n"/>
      <c r="G1426" s="220" t="n"/>
    </row>
    <row r="1427" ht="15.75" customFormat="1" customHeight="1" s="202">
      <c r="D1427" s="225" t="n"/>
      <c r="E1427" s="226" t="n"/>
      <c r="F1427" s="244" t="n"/>
      <c r="G1427" s="220" t="n"/>
    </row>
    <row r="1428" ht="15.75" customFormat="1" customHeight="1" s="202">
      <c r="D1428" s="225" t="n"/>
      <c r="E1428" s="226" t="n"/>
      <c r="F1428" s="244" t="n"/>
      <c r="G1428" s="220" t="n"/>
    </row>
    <row r="1429" ht="15.75" customFormat="1" customHeight="1" s="202">
      <c r="D1429" s="225" t="n"/>
      <c r="E1429" s="226" t="n"/>
      <c r="F1429" s="244" t="n"/>
      <c r="G1429" s="220" t="n"/>
    </row>
    <row r="1430" ht="15.75" customFormat="1" customHeight="1" s="202">
      <c r="D1430" s="225" t="n"/>
      <c r="E1430" s="226" t="n"/>
      <c r="F1430" s="244" t="n"/>
      <c r="G1430" s="220" t="n"/>
    </row>
    <row r="1431" ht="15.75" customFormat="1" customHeight="1" s="202">
      <c r="D1431" s="225" t="n"/>
      <c r="E1431" s="226" t="n"/>
      <c r="F1431" s="244" t="n"/>
      <c r="G1431" s="220" t="n"/>
    </row>
    <row r="1432" ht="15.75" customFormat="1" customHeight="1" s="202">
      <c r="D1432" s="225" t="n"/>
      <c r="E1432" s="226" t="n"/>
      <c r="F1432" s="244" t="n"/>
      <c r="G1432" s="220" t="n"/>
    </row>
    <row r="1433" ht="15.75" customFormat="1" customHeight="1" s="202">
      <c r="D1433" s="225" t="n"/>
      <c r="E1433" s="226" t="n"/>
      <c r="F1433" s="244" t="n"/>
      <c r="G1433" s="220" t="n"/>
    </row>
    <row r="1434" ht="15.75" customFormat="1" customHeight="1" s="202">
      <c r="D1434" s="225" t="n"/>
      <c r="E1434" s="226" t="n"/>
      <c r="F1434" s="244" t="n"/>
      <c r="G1434" s="220" t="n"/>
    </row>
    <row r="1435" ht="15.75" customFormat="1" customHeight="1" s="202">
      <c r="D1435" s="225" t="n"/>
      <c r="E1435" s="226" t="n"/>
      <c r="F1435" s="244" t="n"/>
      <c r="G1435" s="220" t="n"/>
    </row>
    <row r="1436" ht="15.75" customFormat="1" customHeight="1" s="202">
      <c r="D1436" s="225" t="n"/>
      <c r="E1436" s="226" t="n"/>
      <c r="F1436" s="244" t="n"/>
      <c r="G1436" s="220" t="n"/>
    </row>
    <row r="1437">
      <c r="D1437" s="225" t="n"/>
      <c r="E1437" s="226" t="n"/>
      <c r="F1437" s="244" t="n"/>
      <c r="G1437" s="220" t="n"/>
    </row>
    <row r="1438">
      <c r="D1438" s="225" t="n"/>
      <c r="E1438" s="226" t="n"/>
      <c r="F1438" s="244" t="n"/>
      <c r="G1438" s="220" t="n"/>
    </row>
    <row r="1439">
      <c r="D1439" s="225" t="n"/>
      <c r="E1439" s="226" t="n"/>
      <c r="F1439" s="244" t="n"/>
      <c r="G1439" s="220" t="n"/>
    </row>
    <row r="1440">
      <c r="D1440" s="225" t="n"/>
      <c r="E1440" s="226" t="n"/>
      <c r="F1440" s="244" t="n"/>
      <c r="G1440" s="220" t="n"/>
    </row>
    <row r="1441">
      <c r="D1441" s="225" t="n"/>
      <c r="E1441" s="226" t="n"/>
      <c r="F1441" s="244" t="n"/>
      <c r="G1441" s="220" t="n"/>
    </row>
    <row r="1442">
      <c r="D1442" s="225" t="n"/>
      <c r="E1442" s="226" t="n"/>
      <c r="F1442" s="244" t="n"/>
      <c r="G1442" s="220" t="n"/>
    </row>
    <row r="1443">
      <c r="D1443" s="225" t="n"/>
      <c r="E1443" s="226" t="n"/>
      <c r="F1443" s="244" t="n"/>
      <c r="G1443" s="220" t="n"/>
    </row>
    <row r="1444">
      <c r="D1444" s="225" t="n"/>
      <c r="E1444" s="226" t="n"/>
      <c r="F1444" s="244" t="n"/>
      <c r="G1444" s="220" t="n"/>
    </row>
    <row r="1445">
      <c r="D1445" s="225" t="n"/>
      <c r="E1445" s="226" t="n"/>
      <c r="F1445" s="244" t="n"/>
      <c r="G1445" s="220" t="n"/>
    </row>
    <row r="1446">
      <c r="D1446" s="225" t="n"/>
      <c r="E1446" s="226" t="n"/>
      <c r="F1446" s="244" t="n"/>
      <c r="G1446" s="220" t="n"/>
    </row>
    <row r="1447">
      <c r="D1447" s="225" t="n"/>
      <c r="E1447" s="226" t="n"/>
      <c r="F1447" s="244" t="n"/>
      <c r="G1447" s="220" t="n"/>
    </row>
    <row r="1448">
      <c r="D1448" s="225" t="n"/>
      <c r="E1448" s="226" t="n"/>
      <c r="F1448" s="244" t="n"/>
      <c r="G1448" s="220" t="n"/>
    </row>
    <row r="1449">
      <c r="D1449" s="225" t="n"/>
      <c r="E1449" s="226" t="n"/>
      <c r="F1449" s="244" t="n"/>
      <c r="G1449" s="220" t="n"/>
    </row>
    <row r="1450">
      <c r="D1450" s="225" t="n"/>
      <c r="E1450" s="226" t="n"/>
      <c r="F1450" s="244" t="n"/>
      <c r="G1450" s="220" t="n"/>
    </row>
    <row r="1451">
      <c r="D1451" s="225" t="n"/>
      <c r="E1451" s="226" t="n"/>
      <c r="F1451" s="244" t="n"/>
      <c r="G1451" s="220" t="n"/>
    </row>
    <row r="1452">
      <c r="D1452" s="225" t="n"/>
      <c r="E1452" s="226" t="n"/>
      <c r="F1452" s="244" t="n"/>
      <c r="G1452" s="220" t="n"/>
    </row>
    <row r="1453">
      <c r="D1453" s="225" t="n"/>
      <c r="E1453" s="226" t="n"/>
      <c r="F1453" s="244" t="n"/>
      <c r="G1453" s="220" t="n"/>
    </row>
    <row r="1454">
      <c r="D1454" s="225" t="n"/>
      <c r="E1454" s="226" t="n"/>
      <c r="F1454" s="244" t="n"/>
      <c r="G1454" s="220" t="n"/>
    </row>
    <row r="1455">
      <c r="D1455" s="225" t="n"/>
      <c r="E1455" s="226" t="n"/>
      <c r="F1455" s="244" t="n"/>
      <c r="G1455" s="220" t="n"/>
    </row>
    <row r="1456">
      <c r="D1456" s="225" t="n"/>
      <c r="E1456" s="226" t="n"/>
      <c r="F1456" s="244" t="n"/>
      <c r="G1456" s="220" t="n"/>
    </row>
    <row r="1457">
      <c r="D1457" s="225" t="n"/>
      <c r="E1457" s="226" t="n"/>
      <c r="F1457" s="244" t="n"/>
      <c r="G1457" s="220" t="n"/>
    </row>
    <row r="1458">
      <c r="D1458" s="225" t="n"/>
      <c r="E1458" s="226" t="n"/>
      <c r="F1458" s="244" t="n"/>
      <c r="G1458" s="220" t="n"/>
    </row>
    <row r="1459">
      <c r="D1459" s="225" t="n"/>
      <c r="E1459" s="226" t="n"/>
      <c r="F1459" s="244" t="n"/>
      <c r="G1459" s="220" t="n"/>
    </row>
    <row r="1460">
      <c r="D1460" s="225" t="n"/>
      <c r="E1460" s="226" t="n"/>
      <c r="F1460" s="244" t="n"/>
      <c r="G1460" s="220" t="n"/>
    </row>
    <row r="1461">
      <c r="D1461" s="225" t="n"/>
      <c r="E1461" s="226" t="n"/>
      <c r="F1461" s="244" t="n"/>
      <c r="G1461" s="220" t="n"/>
    </row>
    <row r="1462">
      <c r="D1462" s="225" t="n"/>
      <c r="E1462" s="226" t="n"/>
      <c r="F1462" s="244" t="n"/>
      <c r="G1462" s="220" t="n"/>
    </row>
    <row r="1463">
      <c r="D1463" s="225" t="n"/>
      <c r="E1463" s="226" t="n"/>
      <c r="F1463" s="244" t="n"/>
      <c r="G1463" s="220" t="n"/>
    </row>
    <row r="1464">
      <c r="D1464" s="225" t="n"/>
      <c r="E1464" s="226" t="n"/>
      <c r="F1464" s="244" t="n"/>
      <c r="G1464" s="220" t="n"/>
    </row>
    <row r="1465">
      <c r="D1465" s="225" t="n"/>
      <c r="E1465" s="226" t="n"/>
      <c r="F1465" s="244" t="n"/>
      <c r="G1465" s="220" t="n"/>
    </row>
    <row r="1466">
      <c r="D1466" s="225" t="n"/>
      <c r="E1466" s="226" t="n"/>
      <c r="F1466" s="244" t="n"/>
      <c r="G1466" s="220" t="n"/>
    </row>
    <row r="1467">
      <c r="D1467" s="225" t="n"/>
      <c r="E1467" s="226" t="n"/>
      <c r="F1467" s="244" t="n"/>
      <c r="G1467" s="220" t="n"/>
    </row>
    <row r="1468">
      <c r="D1468" s="225" t="n"/>
      <c r="E1468" s="226" t="n"/>
      <c r="F1468" s="244" t="n"/>
      <c r="G1468" s="220" t="n"/>
    </row>
    <row r="1469">
      <c r="D1469" s="225" t="n"/>
      <c r="E1469" s="226" t="n"/>
      <c r="F1469" s="244" t="n"/>
      <c r="G1469" s="220" t="n"/>
    </row>
    <row r="1470">
      <c r="D1470" s="225" t="n"/>
      <c r="E1470" s="226" t="n"/>
      <c r="F1470" s="244" t="n"/>
      <c r="G1470" s="220" t="n"/>
    </row>
    <row r="1471">
      <c r="D1471" s="225" t="n"/>
      <c r="E1471" s="226" t="n"/>
      <c r="F1471" s="244" t="n"/>
      <c r="G1471" s="220" t="n"/>
    </row>
    <row r="1472">
      <c r="D1472" s="225" t="n"/>
      <c r="E1472" s="226" t="n"/>
      <c r="F1472" s="244" t="n"/>
      <c r="G1472" s="220" t="n"/>
    </row>
    <row r="1473">
      <c r="D1473" s="225" t="n"/>
      <c r="E1473" s="226" t="n"/>
      <c r="F1473" s="244" t="n"/>
      <c r="G1473" s="220" t="n"/>
    </row>
    <row r="1474">
      <c r="D1474" s="225" t="n"/>
      <c r="E1474" s="226" t="n"/>
      <c r="F1474" s="244" t="n"/>
      <c r="G1474" s="220" t="n"/>
    </row>
    <row r="1475">
      <c r="D1475" s="225" t="n"/>
      <c r="E1475" s="226" t="n"/>
      <c r="F1475" s="244" t="n"/>
      <c r="G1475" s="220" t="n"/>
    </row>
    <row r="1476">
      <c r="D1476" s="225" t="n"/>
      <c r="E1476" s="226" t="n"/>
      <c r="F1476" s="244" t="n"/>
      <c r="G1476" s="220" t="n"/>
    </row>
    <row r="1477">
      <c r="D1477" s="225" t="n"/>
      <c r="E1477" s="226" t="n"/>
      <c r="F1477" s="244" t="n"/>
      <c r="G1477" s="220" t="n"/>
    </row>
    <row r="1478">
      <c r="D1478" s="225" t="n"/>
      <c r="E1478" s="226" t="n"/>
      <c r="F1478" s="244" t="n"/>
      <c r="G1478" s="220" t="n"/>
    </row>
    <row r="1479">
      <c r="D1479" s="225" t="n"/>
      <c r="E1479" s="226" t="n"/>
      <c r="F1479" s="244" t="n"/>
      <c r="G1479" s="220" t="n"/>
    </row>
    <row r="1480">
      <c r="D1480" s="225" t="n"/>
      <c r="E1480" s="226" t="n"/>
      <c r="F1480" s="244" t="n"/>
      <c r="G1480" s="220" t="n"/>
    </row>
    <row r="1481">
      <c r="D1481" s="225" t="n"/>
      <c r="E1481" s="226" t="n"/>
      <c r="F1481" s="244" t="n"/>
      <c r="G1481" s="220" t="n"/>
    </row>
    <row r="1482">
      <c r="D1482" s="225" t="n"/>
      <c r="E1482" s="226" t="n"/>
      <c r="F1482" s="244" t="n"/>
      <c r="G1482" s="220" t="n"/>
    </row>
    <row r="1483">
      <c r="D1483" s="225" t="n"/>
      <c r="E1483" s="226" t="n"/>
      <c r="F1483" s="244" t="n"/>
      <c r="G1483" s="220" t="n"/>
    </row>
    <row r="1484">
      <c r="D1484" s="225" t="n"/>
      <c r="E1484" s="226" t="n"/>
      <c r="F1484" s="244" t="n"/>
      <c r="G1484" s="220" t="n"/>
    </row>
    <row r="1485">
      <c r="D1485" s="225" t="n"/>
      <c r="E1485" s="226" t="n"/>
      <c r="F1485" s="244" t="n"/>
      <c r="G1485" s="220" t="n"/>
    </row>
    <row r="1486">
      <c r="D1486" s="225" t="n"/>
      <c r="E1486" s="226" t="n"/>
      <c r="F1486" s="244" t="n"/>
      <c r="G1486" s="220" t="n"/>
    </row>
    <row r="1487">
      <c r="D1487" s="225" t="n"/>
      <c r="E1487" s="226" t="n"/>
      <c r="F1487" s="244" t="n"/>
      <c r="G1487" s="220" t="n"/>
    </row>
    <row r="1488">
      <c r="D1488" s="225" t="n"/>
      <c r="E1488" s="226" t="n"/>
      <c r="F1488" s="244" t="n"/>
      <c r="G1488" s="220" t="n"/>
    </row>
    <row r="1489">
      <c r="D1489" s="225" t="n"/>
      <c r="E1489" s="226" t="n"/>
      <c r="F1489" s="244" t="n"/>
      <c r="G1489" s="220" t="n"/>
    </row>
    <row r="1490">
      <c r="D1490" s="225" t="n"/>
      <c r="E1490" s="226" t="n"/>
      <c r="F1490" s="244" t="n"/>
      <c r="G1490" s="220" t="n"/>
    </row>
    <row r="1491">
      <c r="D1491" s="225" t="n"/>
      <c r="E1491" s="226" t="n"/>
      <c r="F1491" s="244" t="n"/>
      <c r="G1491" s="220" t="n"/>
    </row>
    <row r="1492">
      <c r="D1492" s="225" t="n"/>
      <c r="E1492" s="226" t="n"/>
      <c r="F1492" s="244" t="n"/>
      <c r="G1492" s="220" t="n"/>
    </row>
    <row r="1493">
      <c r="D1493" s="225" t="n"/>
      <c r="E1493" s="226" t="n"/>
      <c r="F1493" s="244" t="n"/>
      <c r="G1493" s="220" t="n"/>
    </row>
    <row r="1494">
      <c r="D1494" s="225" t="n"/>
      <c r="E1494" s="226" t="n"/>
      <c r="F1494" s="244" t="n"/>
      <c r="G1494" s="220" t="n"/>
    </row>
    <row r="1495">
      <c r="D1495" s="225" t="n"/>
      <c r="E1495" s="226" t="n"/>
      <c r="F1495" s="244" t="n"/>
      <c r="G1495" s="220" t="n"/>
    </row>
    <row r="1496">
      <c r="D1496" s="225" t="n"/>
      <c r="E1496" s="226" t="n"/>
      <c r="F1496" s="244" t="n"/>
      <c r="G1496" s="220" t="n"/>
    </row>
    <row r="1497">
      <c r="D1497" s="225" t="n"/>
      <c r="E1497" s="226" t="n"/>
      <c r="F1497" s="244" t="n"/>
      <c r="G1497" s="220" t="n"/>
    </row>
    <row r="1498">
      <c r="D1498" s="225" t="n"/>
      <c r="E1498" s="226" t="n"/>
      <c r="F1498" s="244" t="n"/>
      <c r="G1498" s="220" t="n"/>
    </row>
    <row r="1499">
      <c r="D1499" s="225" t="n"/>
      <c r="E1499" s="226" t="n"/>
      <c r="F1499" s="244" t="n"/>
      <c r="G1499" s="220" t="n"/>
    </row>
    <row r="1500">
      <c r="D1500" s="225" t="n"/>
      <c r="E1500" s="226" t="n"/>
      <c r="F1500" s="244" t="n"/>
      <c r="G1500" s="220" t="n"/>
    </row>
    <row r="1501">
      <c r="D1501" s="225" t="n"/>
      <c r="E1501" s="226" t="n"/>
      <c r="F1501" s="244" t="n"/>
      <c r="G1501" s="220" t="n"/>
    </row>
    <row r="1502">
      <c r="D1502" s="225" t="n"/>
      <c r="E1502" s="226" t="n"/>
      <c r="F1502" s="244" t="n"/>
      <c r="G1502" s="220" t="n"/>
    </row>
    <row r="1503">
      <c r="D1503" s="225" t="n"/>
      <c r="E1503" s="226" t="n"/>
      <c r="F1503" s="244" t="n"/>
      <c r="G1503" s="220" t="n"/>
    </row>
    <row r="1504">
      <c r="D1504" s="225" t="n"/>
      <c r="E1504" s="226" t="n"/>
      <c r="F1504" s="244" t="n"/>
      <c r="G1504" s="220" t="n"/>
    </row>
    <row r="1505">
      <c r="D1505" s="225" t="n"/>
      <c r="E1505" s="226" t="n"/>
      <c r="F1505" s="244" t="n"/>
      <c r="G1505" s="220" t="n"/>
    </row>
    <row r="1506">
      <c r="D1506" s="225" t="n"/>
      <c r="E1506" s="226" t="n"/>
      <c r="F1506" s="244" t="n"/>
      <c r="G1506" s="220" t="n"/>
    </row>
    <row r="1507">
      <c r="D1507" s="225" t="n"/>
      <c r="E1507" s="226" t="n"/>
      <c r="F1507" s="244" t="n"/>
      <c r="G1507" s="220" t="n"/>
    </row>
    <row r="1508">
      <c r="D1508" s="225" t="n"/>
      <c r="E1508" s="226" t="n"/>
      <c r="F1508" s="244" t="n"/>
      <c r="G1508" s="220" t="n"/>
    </row>
    <row r="1509">
      <c r="D1509" s="225" t="n"/>
      <c r="E1509" s="226" t="n"/>
      <c r="F1509" s="244" t="n"/>
      <c r="G1509" s="220" t="n"/>
    </row>
    <row r="1510">
      <c r="D1510" s="225" t="n"/>
      <c r="E1510" s="226" t="n"/>
      <c r="F1510" s="244" t="n"/>
      <c r="G1510" s="220" t="n"/>
    </row>
    <row r="1511">
      <c r="D1511" s="225" t="n"/>
      <c r="E1511" s="226" t="n"/>
      <c r="F1511" s="244" t="n"/>
      <c r="G1511" s="220" t="n"/>
    </row>
    <row r="1512">
      <c r="D1512" s="225" t="n"/>
      <c r="E1512" s="226" t="n"/>
      <c r="F1512" s="244" t="n"/>
      <c r="G1512" s="220" t="n"/>
    </row>
    <row r="1513">
      <c r="D1513" s="225" t="n"/>
      <c r="E1513" s="226" t="n"/>
      <c r="F1513" s="244" t="n"/>
      <c r="G1513" s="220" t="n"/>
    </row>
    <row r="1514">
      <c r="D1514" s="225" t="n"/>
      <c r="E1514" s="226" t="n"/>
      <c r="F1514" s="244" t="n"/>
      <c r="G1514" s="220" t="n"/>
    </row>
    <row r="1515">
      <c r="D1515" s="225" t="n"/>
      <c r="E1515" s="226" t="n"/>
      <c r="F1515" s="244" t="n"/>
      <c r="G1515" s="220" t="n"/>
    </row>
    <row r="1516">
      <c r="D1516" s="225" t="n"/>
      <c r="E1516" s="226" t="n"/>
      <c r="F1516" s="244" t="n"/>
      <c r="G1516" s="220" t="n"/>
    </row>
    <row r="1517">
      <c r="D1517" s="225" t="n"/>
      <c r="E1517" s="226" t="n"/>
      <c r="F1517" s="244" t="n"/>
      <c r="G1517" s="220" t="n"/>
    </row>
    <row r="1518">
      <c r="D1518" s="225" t="n"/>
      <c r="E1518" s="226" t="n"/>
      <c r="F1518" s="244" t="n"/>
      <c r="G1518" s="220" t="n"/>
    </row>
    <row r="1519">
      <c r="D1519" s="225" t="n"/>
      <c r="E1519" s="226" t="n"/>
      <c r="F1519" s="244" t="n"/>
      <c r="G1519" s="220" t="n"/>
    </row>
    <row r="1520">
      <c r="D1520" s="225" t="n"/>
      <c r="E1520" s="226" t="n"/>
      <c r="F1520" s="244" t="n"/>
      <c r="G1520" s="220" t="n"/>
    </row>
    <row r="1521">
      <c r="D1521" s="225" t="n"/>
      <c r="E1521" s="226" t="n"/>
      <c r="F1521" s="244" t="n"/>
      <c r="G1521" s="220" t="n"/>
    </row>
    <row r="1522">
      <c r="D1522" s="225" t="n"/>
      <c r="E1522" s="226" t="n"/>
      <c r="F1522" s="244" t="n"/>
      <c r="G1522" s="220" t="n"/>
    </row>
    <row r="1523">
      <c r="D1523" s="225" t="n"/>
      <c r="E1523" s="226" t="n"/>
      <c r="F1523" s="244" t="n"/>
      <c r="G1523" s="220" t="n"/>
    </row>
    <row r="1524">
      <c r="D1524" s="225" t="n"/>
      <c r="E1524" s="226" t="n"/>
      <c r="F1524" s="244" t="n"/>
      <c r="G1524" s="220" t="n"/>
    </row>
    <row r="1525">
      <c r="D1525" s="225" t="n"/>
      <c r="E1525" s="226" t="n"/>
      <c r="F1525" s="244" t="n"/>
      <c r="G1525" s="220" t="n"/>
    </row>
    <row r="1526">
      <c r="D1526" s="225" t="n"/>
      <c r="E1526" s="226" t="n"/>
      <c r="F1526" s="244" t="n"/>
      <c r="G1526" s="220" t="n"/>
    </row>
    <row r="1527">
      <c r="D1527" s="225" t="n"/>
      <c r="E1527" s="226" t="n"/>
      <c r="F1527" s="244" t="n"/>
      <c r="G1527" s="220" t="n"/>
    </row>
    <row r="1528">
      <c r="D1528" s="225" t="n"/>
      <c r="E1528" s="226" t="n"/>
      <c r="F1528" s="244" t="n"/>
      <c r="G1528" s="220" t="n"/>
    </row>
  </sheetData>
  <autoFilter ref="A5:H1399">
    <filterColumn colId="4" hiddenButton="0" showButton="1">
      <filters>
        <filter val="Điều trị thoái hóa khớp bằng huyết tương giàu tiểu cầu"/>
        <filter val="Khâu vết thương phần mềm dài dưới 10 cm [tổn thương sâu]"/>
        <filter val="Khâu vết thương phần mềm sâu dài &lt; 5cm"/>
        <filter val="Mắt cá 3-4 thương tổn"/>
        <filter val="Tiêm khớp vai"/>
      </filters>
    </filterColumn>
  </autoFilter>
  <mergeCells count="7">
    <mergeCell ref="A1342:C1342"/>
    <mergeCell ref="A4:H4"/>
    <mergeCell ref="A3:H3"/>
    <mergeCell ref="E1337:H1337"/>
    <mergeCell ref="E1338:H1338"/>
    <mergeCell ref="E1342:H1342"/>
    <mergeCell ref="A1338:C1338"/>
  </mergeCells>
  <pageMargins left="0.4375" right="0.3958333333333333" top="0.36" bottom="0.2" header="0.45" footer="0.22"/>
  <pageSetup orientation="landscape" paperSize="9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L114"/>
  <sheetViews>
    <sheetView zoomScaleNormal="100" workbookViewId="0">
      <pane xSplit="7" ySplit="6" topLeftCell="H99" activePane="bottomRight" state="frozen"/>
      <selection activeCell="I38" sqref="I38"/>
      <selection pane="topRight" activeCell="I38" sqref="I38"/>
      <selection pane="bottomLeft" activeCell="I38" sqref="I38"/>
      <selection pane="bottomRight" activeCell="E110" sqref="E110"/>
    </sheetView>
  </sheetViews>
  <sheetFormatPr baseColWidth="8" defaultColWidth="4.6640625" defaultRowHeight="13.8"/>
  <cols>
    <col width="4.6640625" customWidth="1" style="234" min="1" max="1"/>
    <col width="8.5546875" customWidth="1" style="234" min="2" max="2"/>
    <col width="24.109375" customWidth="1" style="235" min="3" max="3"/>
    <col width="9.88671875" customWidth="1" style="236" min="4" max="4"/>
    <col width="36.33203125" customWidth="1" style="235" min="5" max="5"/>
    <col width="7.6640625" customWidth="1" style="235" min="6" max="6"/>
    <col width="14.109375" bestFit="1" customWidth="1" style="243" min="7" max="7"/>
    <col width="8.33203125" bestFit="1" customWidth="1" style="244" min="8" max="8"/>
    <col width="12.88671875" bestFit="1" customWidth="1" style="238" min="9" max="9"/>
    <col width="9.5546875" customWidth="1" style="234" min="10" max="10"/>
    <col width="8.5546875" customWidth="1" style="234" min="11" max="11"/>
    <col width="10.109375" customWidth="1" style="234" min="12" max="12"/>
    <col width="9.109375" customWidth="1" style="12" min="13" max="13"/>
    <col width="19.88671875" customWidth="1" style="12" min="14" max="14"/>
    <col width="9.109375" customWidth="1" style="12" min="15" max="17"/>
    <col width="15.88671875" customWidth="1" style="12" min="18" max="18"/>
    <col width="9.109375" customWidth="1" style="12" min="19" max="249"/>
    <col width="5.109375" customWidth="1" style="12" min="250" max="250"/>
    <col width="4.6640625" customWidth="1" style="12" min="251" max="251"/>
    <col width="7.44140625" customWidth="1" style="12" min="252" max="252"/>
    <col width="23.88671875" customWidth="1" style="12" min="253" max="254"/>
    <col width="10.109375" customWidth="1" style="12" min="255" max="255"/>
    <col width="5.88671875" customWidth="1" style="12" min="256" max="256"/>
    <col width="4.6640625" customWidth="1" style="12" min="257" max="257"/>
    <col width="4.88671875" customWidth="1" style="12" min="258" max="258"/>
    <col width="16.109375" customWidth="1" style="12" min="259" max="259"/>
    <col width="9.6640625" customWidth="1" style="12" min="260" max="260"/>
    <col width="14.5546875" customWidth="1" style="12" min="261" max="261"/>
    <col width="10.6640625" customWidth="1" style="12" min="262" max="262"/>
    <col width="8.88671875" customWidth="1" style="12" min="263" max="263"/>
    <col width="11" customWidth="1" style="12" min="264" max="264"/>
    <col width="5.33203125" customWidth="1" style="12" min="265" max="265"/>
    <col width="10.33203125" customWidth="1" style="12" min="266" max="266"/>
    <col width="10.109375" customWidth="1" style="12" min="267" max="267"/>
    <col width="9.109375" customWidth="1" style="12" min="268" max="505"/>
    <col width="5.109375" customWidth="1" style="12" min="506" max="506"/>
    <col width="4.6640625" customWidth="1" style="12" min="507" max="507"/>
    <col width="7.44140625" customWidth="1" style="12" min="508" max="508"/>
    <col width="23.88671875" customWidth="1" style="12" min="509" max="510"/>
    <col width="10.109375" customWidth="1" style="12" min="511" max="511"/>
    <col width="5.88671875" customWidth="1" style="12" min="512" max="512"/>
    <col width="4.6640625" customWidth="1" style="12" min="513" max="513"/>
    <col width="4.88671875" customWidth="1" style="12" min="514" max="514"/>
    <col width="16.109375" customWidth="1" style="12" min="515" max="515"/>
    <col width="9.6640625" customWidth="1" style="12" min="516" max="516"/>
    <col width="14.5546875" customWidth="1" style="12" min="517" max="517"/>
    <col width="10.6640625" customWidth="1" style="12" min="518" max="518"/>
    <col width="8.88671875" customWidth="1" style="12" min="519" max="519"/>
    <col width="11" customWidth="1" style="12" min="520" max="520"/>
    <col width="5.33203125" customWidth="1" style="12" min="521" max="521"/>
    <col width="10.33203125" customWidth="1" style="12" min="522" max="522"/>
    <col width="10.109375" customWidth="1" style="12" min="523" max="523"/>
    <col width="9.109375" customWidth="1" style="12" min="524" max="761"/>
    <col width="5.109375" customWidth="1" style="12" min="762" max="762"/>
    <col width="4.6640625" customWidth="1" style="12" min="763" max="763"/>
    <col width="7.44140625" customWidth="1" style="12" min="764" max="764"/>
    <col width="23.88671875" customWidth="1" style="12" min="765" max="766"/>
    <col width="10.109375" customWidth="1" style="12" min="767" max="767"/>
    <col width="5.88671875" customWidth="1" style="12" min="768" max="768"/>
    <col width="4.6640625" customWidth="1" style="12" min="769" max="769"/>
    <col width="4.88671875" customWidth="1" style="12" min="770" max="770"/>
    <col width="16.109375" customWidth="1" style="12" min="771" max="771"/>
    <col width="9.6640625" customWidth="1" style="12" min="772" max="772"/>
    <col width="14.5546875" customWidth="1" style="12" min="773" max="773"/>
    <col width="10.6640625" customWidth="1" style="12" min="774" max="774"/>
    <col width="8.88671875" customWidth="1" style="12" min="775" max="775"/>
    <col width="11" customWidth="1" style="12" min="776" max="776"/>
    <col width="5.33203125" customWidth="1" style="12" min="777" max="777"/>
    <col width="10.33203125" customWidth="1" style="12" min="778" max="778"/>
    <col width="10.109375" customWidth="1" style="12" min="779" max="779"/>
    <col width="9.109375" customWidth="1" style="12" min="780" max="1017"/>
    <col width="5.109375" customWidth="1" style="12" min="1018" max="1018"/>
    <col width="4.6640625" customWidth="1" style="12" min="1019" max="1019"/>
    <col width="7.44140625" customWidth="1" style="12" min="1020" max="1020"/>
    <col width="23.88671875" customWidth="1" style="12" min="1021" max="1022"/>
    <col width="10.109375" customWidth="1" style="12" min="1023" max="1023"/>
    <col width="5.88671875" customWidth="1" style="12" min="1024" max="1024"/>
    <col width="4.6640625" customWidth="1" style="12" min="1025" max="1025"/>
    <col width="4.88671875" customWidth="1" style="12" min="1026" max="1026"/>
    <col width="16.109375" customWidth="1" style="12" min="1027" max="1027"/>
    <col width="9.6640625" customWidth="1" style="12" min="1028" max="1028"/>
    <col width="14.5546875" customWidth="1" style="12" min="1029" max="1029"/>
    <col width="10.6640625" customWidth="1" style="12" min="1030" max="1030"/>
    <col width="8.88671875" customWidth="1" style="12" min="1031" max="1031"/>
    <col width="11" customWidth="1" style="12" min="1032" max="1032"/>
    <col width="5.33203125" customWidth="1" style="12" min="1033" max="1033"/>
    <col width="10.33203125" customWidth="1" style="12" min="1034" max="1034"/>
    <col width="10.109375" customWidth="1" style="12" min="1035" max="1035"/>
    <col width="9.109375" customWidth="1" style="12" min="1036" max="1273"/>
    <col width="5.109375" customWidth="1" style="12" min="1274" max="1274"/>
    <col width="4.6640625" customWidth="1" style="12" min="1275" max="1275"/>
    <col width="7.44140625" customWidth="1" style="12" min="1276" max="1276"/>
    <col width="23.88671875" customWidth="1" style="12" min="1277" max="1278"/>
    <col width="10.109375" customWidth="1" style="12" min="1279" max="1279"/>
    <col width="5.88671875" customWidth="1" style="12" min="1280" max="1280"/>
    <col width="4.6640625" customWidth="1" style="12" min="1281" max="1281"/>
    <col width="4.88671875" customWidth="1" style="12" min="1282" max="1282"/>
    <col width="16.109375" customWidth="1" style="12" min="1283" max="1283"/>
    <col width="9.6640625" customWidth="1" style="12" min="1284" max="1284"/>
    <col width="14.5546875" customWidth="1" style="12" min="1285" max="1285"/>
    <col width="10.6640625" customWidth="1" style="12" min="1286" max="1286"/>
    <col width="8.88671875" customWidth="1" style="12" min="1287" max="1287"/>
    <col width="11" customWidth="1" style="12" min="1288" max="1288"/>
    <col width="5.33203125" customWidth="1" style="12" min="1289" max="1289"/>
    <col width="10.33203125" customWidth="1" style="12" min="1290" max="1290"/>
    <col width="10.109375" customWidth="1" style="12" min="1291" max="1291"/>
    <col width="9.109375" customWidth="1" style="12" min="1292" max="1529"/>
    <col width="5.109375" customWidth="1" style="12" min="1530" max="1530"/>
    <col width="4.6640625" customWidth="1" style="12" min="1531" max="1531"/>
    <col width="7.44140625" customWidth="1" style="12" min="1532" max="1532"/>
    <col width="23.88671875" customWidth="1" style="12" min="1533" max="1534"/>
    <col width="10.109375" customWidth="1" style="12" min="1535" max="1535"/>
    <col width="5.88671875" customWidth="1" style="12" min="1536" max="1536"/>
    <col width="4.6640625" customWidth="1" style="12" min="1537" max="1537"/>
    <col width="4.88671875" customWidth="1" style="12" min="1538" max="1538"/>
    <col width="16.109375" customWidth="1" style="12" min="1539" max="1539"/>
    <col width="9.6640625" customWidth="1" style="12" min="1540" max="1540"/>
    <col width="14.5546875" customWidth="1" style="12" min="1541" max="1541"/>
    <col width="10.6640625" customWidth="1" style="12" min="1542" max="1542"/>
    <col width="8.88671875" customWidth="1" style="12" min="1543" max="1543"/>
    <col width="11" customWidth="1" style="12" min="1544" max="1544"/>
    <col width="5.33203125" customWidth="1" style="12" min="1545" max="1545"/>
    <col width="10.33203125" customWidth="1" style="12" min="1546" max="1546"/>
    <col width="10.109375" customWidth="1" style="12" min="1547" max="1547"/>
    <col width="9.109375" customWidth="1" style="12" min="1548" max="1785"/>
    <col width="5.109375" customWidth="1" style="12" min="1786" max="1786"/>
    <col width="4.6640625" customWidth="1" style="12" min="1787" max="1787"/>
    <col width="7.44140625" customWidth="1" style="12" min="1788" max="1788"/>
    <col width="23.88671875" customWidth="1" style="12" min="1789" max="1790"/>
    <col width="10.109375" customWidth="1" style="12" min="1791" max="1791"/>
    <col width="5.88671875" customWidth="1" style="12" min="1792" max="1792"/>
    <col width="4.6640625" customWidth="1" style="12" min="1793" max="1793"/>
    <col width="4.88671875" customWidth="1" style="12" min="1794" max="1794"/>
    <col width="16.109375" customWidth="1" style="12" min="1795" max="1795"/>
    <col width="9.6640625" customWidth="1" style="12" min="1796" max="1796"/>
    <col width="14.5546875" customWidth="1" style="12" min="1797" max="1797"/>
    <col width="10.6640625" customWidth="1" style="12" min="1798" max="1798"/>
    <col width="8.88671875" customWidth="1" style="12" min="1799" max="1799"/>
    <col width="11" customWidth="1" style="12" min="1800" max="1800"/>
    <col width="5.33203125" customWidth="1" style="12" min="1801" max="1801"/>
    <col width="10.33203125" customWidth="1" style="12" min="1802" max="1802"/>
    <col width="10.109375" customWidth="1" style="12" min="1803" max="1803"/>
    <col width="9.109375" customWidth="1" style="12" min="1804" max="2041"/>
    <col width="5.109375" customWidth="1" style="12" min="2042" max="2042"/>
    <col width="4.6640625" customWidth="1" style="12" min="2043" max="2043"/>
    <col width="7.44140625" customWidth="1" style="12" min="2044" max="2044"/>
    <col width="23.88671875" customWidth="1" style="12" min="2045" max="2046"/>
    <col width="10.109375" customWidth="1" style="12" min="2047" max="2047"/>
    <col width="5.88671875" customWidth="1" style="12" min="2048" max="2048"/>
    <col width="4.6640625" customWidth="1" style="12" min="2049" max="2049"/>
    <col width="4.88671875" customWidth="1" style="12" min="2050" max="2050"/>
    <col width="16.109375" customWidth="1" style="12" min="2051" max="2051"/>
    <col width="9.6640625" customWidth="1" style="12" min="2052" max="2052"/>
    <col width="14.5546875" customWidth="1" style="12" min="2053" max="2053"/>
    <col width="10.6640625" customWidth="1" style="12" min="2054" max="2054"/>
    <col width="8.88671875" customWidth="1" style="12" min="2055" max="2055"/>
    <col width="11" customWidth="1" style="12" min="2056" max="2056"/>
    <col width="5.33203125" customWidth="1" style="12" min="2057" max="2057"/>
    <col width="10.33203125" customWidth="1" style="12" min="2058" max="2058"/>
    <col width="10.109375" customWidth="1" style="12" min="2059" max="2059"/>
    <col width="9.109375" customWidth="1" style="12" min="2060" max="2297"/>
    <col width="5.109375" customWidth="1" style="12" min="2298" max="2298"/>
    <col width="4.6640625" customWidth="1" style="12" min="2299" max="2299"/>
    <col width="7.44140625" customWidth="1" style="12" min="2300" max="2300"/>
    <col width="23.88671875" customWidth="1" style="12" min="2301" max="2302"/>
    <col width="10.109375" customWidth="1" style="12" min="2303" max="2303"/>
    <col width="5.88671875" customWidth="1" style="12" min="2304" max="2304"/>
    <col width="4.6640625" customWidth="1" style="12" min="2305" max="2305"/>
    <col width="4.88671875" customWidth="1" style="12" min="2306" max="2306"/>
    <col width="16.109375" customWidth="1" style="12" min="2307" max="2307"/>
    <col width="9.6640625" customWidth="1" style="12" min="2308" max="2308"/>
    <col width="14.5546875" customWidth="1" style="12" min="2309" max="2309"/>
    <col width="10.6640625" customWidth="1" style="12" min="2310" max="2310"/>
    <col width="8.88671875" customWidth="1" style="12" min="2311" max="2311"/>
    <col width="11" customWidth="1" style="12" min="2312" max="2312"/>
    <col width="5.33203125" customWidth="1" style="12" min="2313" max="2313"/>
    <col width="10.33203125" customWidth="1" style="12" min="2314" max="2314"/>
    <col width="10.109375" customWidth="1" style="12" min="2315" max="2315"/>
    <col width="9.109375" customWidth="1" style="12" min="2316" max="2553"/>
    <col width="5.109375" customWidth="1" style="12" min="2554" max="2554"/>
    <col width="4.6640625" customWidth="1" style="12" min="2555" max="2555"/>
    <col width="7.44140625" customWidth="1" style="12" min="2556" max="2556"/>
    <col width="23.88671875" customWidth="1" style="12" min="2557" max="2558"/>
    <col width="10.109375" customWidth="1" style="12" min="2559" max="2559"/>
    <col width="5.88671875" customWidth="1" style="12" min="2560" max="2560"/>
    <col width="4.6640625" customWidth="1" style="12" min="2561" max="2561"/>
    <col width="4.88671875" customWidth="1" style="12" min="2562" max="2562"/>
    <col width="16.109375" customWidth="1" style="12" min="2563" max="2563"/>
    <col width="9.6640625" customWidth="1" style="12" min="2564" max="2564"/>
    <col width="14.5546875" customWidth="1" style="12" min="2565" max="2565"/>
    <col width="10.6640625" customWidth="1" style="12" min="2566" max="2566"/>
    <col width="8.88671875" customWidth="1" style="12" min="2567" max="2567"/>
    <col width="11" customWidth="1" style="12" min="2568" max="2568"/>
    <col width="5.33203125" customWidth="1" style="12" min="2569" max="2569"/>
    <col width="10.33203125" customWidth="1" style="12" min="2570" max="2570"/>
    <col width="10.109375" customWidth="1" style="12" min="2571" max="2571"/>
    <col width="9.109375" customWidth="1" style="12" min="2572" max="2809"/>
    <col width="5.109375" customWidth="1" style="12" min="2810" max="2810"/>
    <col width="4.6640625" customWidth="1" style="12" min="2811" max="2811"/>
    <col width="7.44140625" customWidth="1" style="12" min="2812" max="2812"/>
    <col width="23.88671875" customWidth="1" style="12" min="2813" max="2814"/>
    <col width="10.109375" customWidth="1" style="12" min="2815" max="2815"/>
    <col width="5.88671875" customWidth="1" style="12" min="2816" max="2816"/>
    <col width="4.6640625" customWidth="1" style="12" min="2817" max="2817"/>
    <col width="4.88671875" customWidth="1" style="12" min="2818" max="2818"/>
    <col width="16.109375" customWidth="1" style="12" min="2819" max="2819"/>
    <col width="9.6640625" customWidth="1" style="12" min="2820" max="2820"/>
    <col width="14.5546875" customWidth="1" style="12" min="2821" max="2821"/>
    <col width="10.6640625" customWidth="1" style="12" min="2822" max="2822"/>
    <col width="8.88671875" customWidth="1" style="12" min="2823" max="2823"/>
    <col width="11" customWidth="1" style="12" min="2824" max="2824"/>
    <col width="5.33203125" customWidth="1" style="12" min="2825" max="2825"/>
    <col width="10.33203125" customWidth="1" style="12" min="2826" max="2826"/>
    <col width="10.109375" customWidth="1" style="12" min="2827" max="2827"/>
    <col width="9.109375" customWidth="1" style="12" min="2828" max="3065"/>
    <col width="5.109375" customWidth="1" style="12" min="3066" max="3066"/>
    <col width="4.6640625" customWidth="1" style="12" min="3067" max="3067"/>
    <col width="7.44140625" customWidth="1" style="12" min="3068" max="3068"/>
    <col width="23.88671875" customWidth="1" style="12" min="3069" max="3070"/>
    <col width="10.109375" customWidth="1" style="12" min="3071" max="3071"/>
    <col width="5.88671875" customWidth="1" style="12" min="3072" max="3072"/>
    <col width="4.6640625" customWidth="1" style="12" min="3073" max="3073"/>
    <col width="4.88671875" customWidth="1" style="12" min="3074" max="3074"/>
    <col width="16.109375" customWidth="1" style="12" min="3075" max="3075"/>
    <col width="9.6640625" customWidth="1" style="12" min="3076" max="3076"/>
    <col width="14.5546875" customWidth="1" style="12" min="3077" max="3077"/>
    <col width="10.6640625" customWidth="1" style="12" min="3078" max="3078"/>
    <col width="8.88671875" customWidth="1" style="12" min="3079" max="3079"/>
    <col width="11" customWidth="1" style="12" min="3080" max="3080"/>
    <col width="5.33203125" customWidth="1" style="12" min="3081" max="3081"/>
    <col width="10.33203125" customWidth="1" style="12" min="3082" max="3082"/>
    <col width="10.109375" customWidth="1" style="12" min="3083" max="3083"/>
    <col width="9.109375" customWidth="1" style="12" min="3084" max="3321"/>
    <col width="5.109375" customWidth="1" style="12" min="3322" max="3322"/>
    <col width="4.6640625" customWidth="1" style="12" min="3323" max="3323"/>
    <col width="7.44140625" customWidth="1" style="12" min="3324" max="3324"/>
    <col width="23.88671875" customWidth="1" style="12" min="3325" max="3326"/>
    <col width="10.109375" customWidth="1" style="12" min="3327" max="3327"/>
    <col width="5.88671875" customWidth="1" style="12" min="3328" max="3328"/>
    <col width="4.6640625" customWidth="1" style="12" min="3329" max="3329"/>
    <col width="4.88671875" customWidth="1" style="12" min="3330" max="3330"/>
    <col width="16.109375" customWidth="1" style="12" min="3331" max="3331"/>
    <col width="9.6640625" customWidth="1" style="12" min="3332" max="3332"/>
    <col width="14.5546875" customWidth="1" style="12" min="3333" max="3333"/>
    <col width="10.6640625" customWidth="1" style="12" min="3334" max="3334"/>
    <col width="8.88671875" customWidth="1" style="12" min="3335" max="3335"/>
    <col width="11" customWidth="1" style="12" min="3336" max="3336"/>
    <col width="5.33203125" customWidth="1" style="12" min="3337" max="3337"/>
    <col width="10.33203125" customWidth="1" style="12" min="3338" max="3338"/>
    <col width="10.109375" customWidth="1" style="12" min="3339" max="3339"/>
    <col width="9.109375" customWidth="1" style="12" min="3340" max="3577"/>
    <col width="5.109375" customWidth="1" style="12" min="3578" max="3578"/>
    <col width="4.6640625" customWidth="1" style="12" min="3579" max="3579"/>
    <col width="7.44140625" customWidth="1" style="12" min="3580" max="3580"/>
    <col width="23.88671875" customWidth="1" style="12" min="3581" max="3582"/>
    <col width="10.109375" customWidth="1" style="12" min="3583" max="3583"/>
    <col width="5.88671875" customWidth="1" style="12" min="3584" max="3584"/>
    <col width="4.6640625" customWidth="1" style="12" min="3585" max="3585"/>
    <col width="4.88671875" customWidth="1" style="12" min="3586" max="3586"/>
    <col width="16.109375" customWidth="1" style="12" min="3587" max="3587"/>
    <col width="9.6640625" customWidth="1" style="12" min="3588" max="3588"/>
    <col width="14.5546875" customWidth="1" style="12" min="3589" max="3589"/>
    <col width="10.6640625" customWidth="1" style="12" min="3590" max="3590"/>
    <col width="8.88671875" customWidth="1" style="12" min="3591" max="3591"/>
    <col width="11" customWidth="1" style="12" min="3592" max="3592"/>
    <col width="5.33203125" customWidth="1" style="12" min="3593" max="3593"/>
    <col width="10.33203125" customWidth="1" style="12" min="3594" max="3594"/>
    <col width="10.109375" customWidth="1" style="12" min="3595" max="3595"/>
    <col width="9.109375" customWidth="1" style="12" min="3596" max="3833"/>
    <col width="5.109375" customWidth="1" style="12" min="3834" max="3834"/>
    <col width="4.6640625" customWidth="1" style="12" min="3835" max="3835"/>
    <col width="7.44140625" customWidth="1" style="12" min="3836" max="3836"/>
    <col width="23.88671875" customWidth="1" style="12" min="3837" max="3838"/>
    <col width="10.109375" customWidth="1" style="12" min="3839" max="3839"/>
    <col width="5.88671875" customWidth="1" style="12" min="3840" max="3840"/>
    <col width="4.6640625" customWidth="1" style="12" min="3841" max="3841"/>
    <col width="4.88671875" customWidth="1" style="12" min="3842" max="3842"/>
    <col width="16.109375" customWidth="1" style="12" min="3843" max="3843"/>
    <col width="9.6640625" customWidth="1" style="12" min="3844" max="3844"/>
    <col width="14.5546875" customWidth="1" style="12" min="3845" max="3845"/>
    <col width="10.6640625" customWidth="1" style="12" min="3846" max="3846"/>
    <col width="8.88671875" customWidth="1" style="12" min="3847" max="3847"/>
    <col width="11" customWidth="1" style="12" min="3848" max="3848"/>
    <col width="5.33203125" customWidth="1" style="12" min="3849" max="3849"/>
    <col width="10.33203125" customWidth="1" style="12" min="3850" max="3850"/>
    <col width="10.109375" customWidth="1" style="12" min="3851" max="3851"/>
    <col width="9.109375" customWidth="1" style="12" min="3852" max="4089"/>
    <col width="5.109375" customWidth="1" style="12" min="4090" max="4090"/>
    <col width="4.6640625" customWidth="1" style="12" min="4091" max="4091"/>
    <col width="7.44140625" customWidth="1" style="12" min="4092" max="4092"/>
    <col width="23.88671875" customWidth="1" style="12" min="4093" max="4094"/>
    <col width="10.109375" customWidth="1" style="12" min="4095" max="4095"/>
    <col width="5.88671875" customWidth="1" style="12" min="4096" max="4096"/>
    <col width="4.6640625" customWidth="1" style="12" min="4097" max="4097"/>
    <col width="4.88671875" customWidth="1" style="12" min="4098" max="4098"/>
    <col width="16.109375" customWidth="1" style="12" min="4099" max="4099"/>
    <col width="9.6640625" customWidth="1" style="12" min="4100" max="4100"/>
    <col width="14.5546875" customWidth="1" style="12" min="4101" max="4101"/>
    <col width="10.6640625" customWidth="1" style="12" min="4102" max="4102"/>
    <col width="8.88671875" customWidth="1" style="12" min="4103" max="4103"/>
    <col width="11" customWidth="1" style="12" min="4104" max="4104"/>
    <col width="5.33203125" customWidth="1" style="12" min="4105" max="4105"/>
    <col width="10.33203125" customWidth="1" style="12" min="4106" max="4106"/>
    <col width="10.109375" customWidth="1" style="12" min="4107" max="4107"/>
    <col width="9.109375" customWidth="1" style="12" min="4108" max="4345"/>
    <col width="5.109375" customWidth="1" style="12" min="4346" max="4346"/>
    <col width="4.6640625" customWidth="1" style="12" min="4347" max="4347"/>
    <col width="7.44140625" customWidth="1" style="12" min="4348" max="4348"/>
    <col width="23.88671875" customWidth="1" style="12" min="4349" max="4350"/>
    <col width="10.109375" customWidth="1" style="12" min="4351" max="4351"/>
    <col width="5.88671875" customWidth="1" style="12" min="4352" max="4352"/>
    <col width="4.6640625" customWidth="1" style="12" min="4353" max="4353"/>
    <col width="4.88671875" customWidth="1" style="12" min="4354" max="4354"/>
    <col width="16.109375" customWidth="1" style="12" min="4355" max="4355"/>
    <col width="9.6640625" customWidth="1" style="12" min="4356" max="4356"/>
    <col width="14.5546875" customWidth="1" style="12" min="4357" max="4357"/>
    <col width="10.6640625" customWidth="1" style="12" min="4358" max="4358"/>
    <col width="8.88671875" customWidth="1" style="12" min="4359" max="4359"/>
    <col width="11" customWidth="1" style="12" min="4360" max="4360"/>
    <col width="5.33203125" customWidth="1" style="12" min="4361" max="4361"/>
    <col width="10.33203125" customWidth="1" style="12" min="4362" max="4362"/>
    <col width="10.109375" customWidth="1" style="12" min="4363" max="4363"/>
    <col width="9.109375" customWidth="1" style="12" min="4364" max="4601"/>
    <col width="5.109375" customWidth="1" style="12" min="4602" max="4602"/>
    <col width="4.6640625" customWidth="1" style="12" min="4603" max="4603"/>
    <col width="7.44140625" customWidth="1" style="12" min="4604" max="4604"/>
    <col width="23.88671875" customWidth="1" style="12" min="4605" max="4606"/>
    <col width="10.109375" customWidth="1" style="12" min="4607" max="4607"/>
    <col width="5.88671875" customWidth="1" style="12" min="4608" max="4608"/>
    <col width="4.6640625" customWidth="1" style="12" min="4609" max="4609"/>
    <col width="4.88671875" customWidth="1" style="12" min="4610" max="4610"/>
    <col width="16.109375" customWidth="1" style="12" min="4611" max="4611"/>
    <col width="9.6640625" customWidth="1" style="12" min="4612" max="4612"/>
    <col width="14.5546875" customWidth="1" style="12" min="4613" max="4613"/>
    <col width="10.6640625" customWidth="1" style="12" min="4614" max="4614"/>
    <col width="8.88671875" customWidth="1" style="12" min="4615" max="4615"/>
    <col width="11" customWidth="1" style="12" min="4616" max="4616"/>
    <col width="5.33203125" customWidth="1" style="12" min="4617" max="4617"/>
    <col width="10.33203125" customWidth="1" style="12" min="4618" max="4618"/>
    <col width="10.109375" customWidth="1" style="12" min="4619" max="4619"/>
    <col width="9.109375" customWidth="1" style="12" min="4620" max="4857"/>
    <col width="5.109375" customWidth="1" style="12" min="4858" max="4858"/>
    <col width="4.6640625" customWidth="1" style="12" min="4859" max="4859"/>
    <col width="7.44140625" customWidth="1" style="12" min="4860" max="4860"/>
    <col width="23.88671875" customWidth="1" style="12" min="4861" max="4862"/>
    <col width="10.109375" customWidth="1" style="12" min="4863" max="4863"/>
    <col width="5.88671875" customWidth="1" style="12" min="4864" max="4864"/>
    <col width="4.6640625" customWidth="1" style="12" min="4865" max="4865"/>
    <col width="4.88671875" customWidth="1" style="12" min="4866" max="4866"/>
    <col width="16.109375" customWidth="1" style="12" min="4867" max="4867"/>
    <col width="9.6640625" customWidth="1" style="12" min="4868" max="4868"/>
    <col width="14.5546875" customWidth="1" style="12" min="4869" max="4869"/>
    <col width="10.6640625" customWidth="1" style="12" min="4870" max="4870"/>
    <col width="8.88671875" customWidth="1" style="12" min="4871" max="4871"/>
    <col width="11" customWidth="1" style="12" min="4872" max="4872"/>
    <col width="5.33203125" customWidth="1" style="12" min="4873" max="4873"/>
    <col width="10.33203125" customWidth="1" style="12" min="4874" max="4874"/>
    <col width="10.109375" customWidth="1" style="12" min="4875" max="4875"/>
    <col width="9.109375" customWidth="1" style="12" min="4876" max="5113"/>
    <col width="5.109375" customWidth="1" style="12" min="5114" max="5114"/>
    <col width="4.6640625" customWidth="1" style="12" min="5115" max="5115"/>
    <col width="7.44140625" customWidth="1" style="12" min="5116" max="5116"/>
    <col width="23.88671875" customWidth="1" style="12" min="5117" max="5118"/>
    <col width="10.109375" customWidth="1" style="12" min="5119" max="5119"/>
    <col width="5.88671875" customWidth="1" style="12" min="5120" max="5120"/>
    <col width="4.6640625" customWidth="1" style="12" min="5121" max="5121"/>
    <col width="4.88671875" customWidth="1" style="12" min="5122" max="5122"/>
    <col width="16.109375" customWidth="1" style="12" min="5123" max="5123"/>
    <col width="9.6640625" customWidth="1" style="12" min="5124" max="5124"/>
    <col width="14.5546875" customWidth="1" style="12" min="5125" max="5125"/>
    <col width="10.6640625" customWidth="1" style="12" min="5126" max="5126"/>
    <col width="8.88671875" customWidth="1" style="12" min="5127" max="5127"/>
    <col width="11" customWidth="1" style="12" min="5128" max="5128"/>
    <col width="5.33203125" customWidth="1" style="12" min="5129" max="5129"/>
    <col width="10.33203125" customWidth="1" style="12" min="5130" max="5130"/>
    <col width="10.109375" customWidth="1" style="12" min="5131" max="5131"/>
    <col width="9.109375" customWidth="1" style="12" min="5132" max="5369"/>
    <col width="5.109375" customWidth="1" style="12" min="5370" max="5370"/>
    <col width="4.6640625" customWidth="1" style="12" min="5371" max="5371"/>
    <col width="7.44140625" customWidth="1" style="12" min="5372" max="5372"/>
    <col width="23.88671875" customWidth="1" style="12" min="5373" max="5374"/>
    <col width="10.109375" customWidth="1" style="12" min="5375" max="5375"/>
    <col width="5.88671875" customWidth="1" style="12" min="5376" max="5376"/>
    <col width="4.6640625" customWidth="1" style="12" min="5377" max="5377"/>
    <col width="4.88671875" customWidth="1" style="12" min="5378" max="5378"/>
    <col width="16.109375" customWidth="1" style="12" min="5379" max="5379"/>
    <col width="9.6640625" customWidth="1" style="12" min="5380" max="5380"/>
    <col width="14.5546875" customWidth="1" style="12" min="5381" max="5381"/>
    <col width="10.6640625" customWidth="1" style="12" min="5382" max="5382"/>
    <col width="8.88671875" customWidth="1" style="12" min="5383" max="5383"/>
    <col width="11" customWidth="1" style="12" min="5384" max="5384"/>
    <col width="5.33203125" customWidth="1" style="12" min="5385" max="5385"/>
    <col width="10.33203125" customWidth="1" style="12" min="5386" max="5386"/>
    <col width="10.109375" customWidth="1" style="12" min="5387" max="5387"/>
    <col width="9.109375" customWidth="1" style="12" min="5388" max="5625"/>
    <col width="5.109375" customWidth="1" style="12" min="5626" max="5626"/>
    <col width="4.6640625" customWidth="1" style="12" min="5627" max="5627"/>
    <col width="7.44140625" customWidth="1" style="12" min="5628" max="5628"/>
    <col width="23.88671875" customWidth="1" style="12" min="5629" max="5630"/>
    <col width="10.109375" customWidth="1" style="12" min="5631" max="5631"/>
    <col width="5.88671875" customWidth="1" style="12" min="5632" max="5632"/>
    <col width="4.6640625" customWidth="1" style="12" min="5633" max="5633"/>
    <col width="4.88671875" customWidth="1" style="12" min="5634" max="5634"/>
    <col width="16.109375" customWidth="1" style="12" min="5635" max="5635"/>
    <col width="9.6640625" customWidth="1" style="12" min="5636" max="5636"/>
    <col width="14.5546875" customWidth="1" style="12" min="5637" max="5637"/>
    <col width="10.6640625" customWidth="1" style="12" min="5638" max="5638"/>
    <col width="8.88671875" customWidth="1" style="12" min="5639" max="5639"/>
    <col width="11" customWidth="1" style="12" min="5640" max="5640"/>
    <col width="5.33203125" customWidth="1" style="12" min="5641" max="5641"/>
    <col width="10.33203125" customWidth="1" style="12" min="5642" max="5642"/>
    <col width="10.109375" customWidth="1" style="12" min="5643" max="5643"/>
    <col width="9.109375" customWidth="1" style="12" min="5644" max="5881"/>
    <col width="5.109375" customWidth="1" style="12" min="5882" max="5882"/>
    <col width="4.6640625" customWidth="1" style="12" min="5883" max="5883"/>
    <col width="7.44140625" customWidth="1" style="12" min="5884" max="5884"/>
    <col width="23.88671875" customWidth="1" style="12" min="5885" max="5886"/>
    <col width="10.109375" customWidth="1" style="12" min="5887" max="5887"/>
    <col width="5.88671875" customWidth="1" style="12" min="5888" max="5888"/>
    <col width="4.6640625" customWidth="1" style="12" min="5889" max="5889"/>
    <col width="4.88671875" customWidth="1" style="12" min="5890" max="5890"/>
    <col width="16.109375" customWidth="1" style="12" min="5891" max="5891"/>
    <col width="9.6640625" customWidth="1" style="12" min="5892" max="5892"/>
    <col width="14.5546875" customWidth="1" style="12" min="5893" max="5893"/>
    <col width="10.6640625" customWidth="1" style="12" min="5894" max="5894"/>
    <col width="8.88671875" customWidth="1" style="12" min="5895" max="5895"/>
    <col width="11" customWidth="1" style="12" min="5896" max="5896"/>
    <col width="5.33203125" customWidth="1" style="12" min="5897" max="5897"/>
    <col width="10.33203125" customWidth="1" style="12" min="5898" max="5898"/>
    <col width="10.109375" customWidth="1" style="12" min="5899" max="5899"/>
    <col width="9.109375" customWidth="1" style="12" min="5900" max="6137"/>
    <col width="5.109375" customWidth="1" style="12" min="6138" max="6138"/>
    <col width="4.6640625" customWidth="1" style="12" min="6139" max="6139"/>
    <col width="7.44140625" customWidth="1" style="12" min="6140" max="6140"/>
    <col width="23.88671875" customWidth="1" style="12" min="6141" max="6142"/>
    <col width="10.109375" customWidth="1" style="12" min="6143" max="6143"/>
    <col width="5.88671875" customWidth="1" style="12" min="6144" max="6144"/>
    <col width="4.6640625" customWidth="1" style="12" min="6145" max="6145"/>
    <col width="4.88671875" customWidth="1" style="12" min="6146" max="6146"/>
    <col width="16.109375" customWidth="1" style="12" min="6147" max="6147"/>
    <col width="9.6640625" customWidth="1" style="12" min="6148" max="6148"/>
    <col width="14.5546875" customWidth="1" style="12" min="6149" max="6149"/>
    <col width="10.6640625" customWidth="1" style="12" min="6150" max="6150"/>
    <col width="8.88671875" customWidth="1" style="12" min="6151" max="6151"/>
    <col width="11" customWidth="1" style="12" min="6152" max="6152"/>
    <col width="5.33203125" customWidth="1" style="12" min="6153" max="6153"/>
    <col width="10.33203125" customWidth="1" style="12" min="6154" max="6154"/>
    <col width="10.109375" customWidth="1" style="12" min="6155" max="6155"/>
    <col width="9.109375" customWidth="1" style="12" min="6156" max="6393"/>
    <col width="5.109375" customWidth="1" style="12" min="6394" max="6394"/>
    <col width="4.6640625" customWidth="1" style="12" min="6395" max="6395"/>
    <col width="7.44140625" customWidth="1" style="12" min="6396" max="6396"/>
    <col width="23.88671875" customWidth="1" style="12" min="6397" max="6398"/>
    <col width="10.109375" customWidth="1" style="12" min="6399" max="6399"/>
    <col width="5.88671875" customWidth="1" style="12" min="6400" max="6400"/>
    <col width="4.6640625" customWidth="1" style="12" min="6401" max="6401"/>
    <col width="4.88671875" customWidth="1" style="12" min="6402" max="6402"/>
    <col width="16.109375" customWidth="1" style="12" min="6403" max="6403"/>
    <col width="9.6640625" customWidth="1" style="12" min="6404" max="6404"/>
    <col width="14.5546875" customWidth="1" style="12" min="6405" max="6405"/>
    <col width="10.6640625" customWidth="1" style="12" min="6406" max="6406"/>
    <col width="8.88671875" customWidth="1" style="12" min="6407" max="6407"/>
    <col width="11" customWidth="1" style="12" min="6408" max="6408"/>
    <col width="5.33203125" customWidth="1" style="12" min="6409" max="6409"/>
    <col width="10.33203125" customWidth="1" style="12" min="6410" max="6410"/>
    <col width="10.109375" customWidth="1" style="12" min="6411" max="6411"/>
    <col width="9.109375" customWidth="1" style="12" min="6412" max="6649"/>
    <col width="5.109375" customWidth="1" style="12" min="6650" max="6650"/>
    <col width="4.6640625" customWidth="1" style="12" min="6651" max="6651"/>
    <col width="7.44140625" customWidth="1" style="12" min="6652" max="6652"/>
    <col width="23.88671875" customWidth="1" style="12" min="6653" max="6654"/>
    <col width="10.109375" customWidth="1" style="12" min="6655" max="6655"/>
    <col width="5.88671875" customWidth="1" style="12" min="6656" max="6656"/>
    <col width="4.6640625" customWidth="1" style="12" min="6657" max="6657"/>
    <col width="4.88671875" customWidth="1" style="12" min="6658" max="6658"/>
    <col width="16.109375" customWidth="1" style="12" min="6659" max="6659"/>
    <col width="9.6640625" customWidth="1" style="12" min="6660" max="6660"/>
    <col width="14.5546875" customWidth="1" style="12" min="6661" max="6661"/>
    <col width="10.6640625" customWidth="1" style="12" min="6662" max="6662"/>
    <col width="8.88671875" customWidth="1" style="12" min="6663" max="6663"/>
    <col width="11" customWidth="1" style="12" min="6664" max="6664"/>
    <col width="5.33203125" customWidth="1" style="12" min="6665" max="6665"/>
    <col width="10.33203125" customWidth="1" style="12" min="6666" max="6666"/>
    <col width="10.109375" customWidth="1" style="12" min="6667" max="6667"/>
    <col width="9.109375" customWidth="1" style="12" min="6668" max="6905"/>
    <col width="5.109375" customWidth="1" style="12" min="6906" max="6906"/>
    <col width="4.6640625" customWidth="1" style="12" min="6907" max="6907"/>
    <col width="7.44140625" customWidth="1" style="12" min="6908" max="6908"/>
    <col width="23.88671875" customWidth="1" style="12" min="6909" max="6910"/>
    <col width="10.109375" customWidth="1" style="12" min="6911" max="6911"/>
    <col width="5.88671875" customWidth="1" style="12" min="6912" max="6912"/>
    <col width="4.6640625" customWidth="1" style="12" min="6913" max="6913"/>
    <col width="4.88671875" customWidth="1" style="12" min="6914" max="6914"/>
    <col width="16.109375" customWidth="1" style="12" min="6915" max="6915"/>
    <col width="9.6640625" customWidth="1" style="12" min="6916" max="6916"/>
    <col width="14.5546875" customWidth="1" style="12" min="6917" max="6917"/>
    <col width="10.6640625" customWidth="1" style="12" min="6918" max="6918"/>
    <col width="8.88671875" customWidth="1" style="12" min="6919" max="6919"/>
    <col width="11" customWidth="1" style="12" min="6920" max="6920"/>
    <col width="5.33203125" customWidth="1" style="12" min="6921" max="6921"/>
    <col width="10.33203125" customWidth="1" style="12" min="6922" max="6922"/>
    <col width="10.109375" customWidth="1" style="12" min="6923" max="6923"/>
    <col width="9.109375" customWidth="1" style="12" min="6924" max="7161"/>
    <col width="5.109375" customWidth="1" style="12" min="7162" max="7162"/>
    <col width="4.6640625" customWidth="1" style="12" min="7163" max="7163"/>
    <col width="7.44140625" customWidth="1" style="12" min="7164" max="7164"/>
    <col width="23.88671875" customWidth="1" style="12" min="7165" max="7166"/>
    <col width="10.109375" customWidth="1" style="12" min="7167" max="7167"/>
    <col width="5.88671875" customWidth="1" style="12" min="7168" max="7168"/>
    <col width="4.6640625" customWidth="1" style="12" min="7169" max="7169"/>
    <col width="4.88671875" customWidth="1" style="12" min="7170" max="7170"/>
    <col width="16.109375" customWidth="1" style="12" min="7171" max="7171"/>
    <col width="9.6640625" customWidth="1" style="12" min="7172" max="7172"/>
    <col width="14.5546875" customWidth="1" style="12" min="7173" max="7173"/>
    <col width="10.6640625" customWidth="1" style="12" min="7174" max="7174"/>
    <col width="8.88671875" customWidth="1" style="12" min="7175" max="7175"/>
    <col width="11" customWidth="1" style="12" min="7176" max="7176"/>
    <col width="5.33203125" customWidth="1" style="12" min="7177" max="7177"/>
    <col width="10.33203125" customWidth="1" style="12" min="7178" max="7178"/>
    <col width="10.109375" customWidth="1" style="12" min="7179" max="7179"/>
    <col width="9.109375" customWidth="1" style="12" min="7180" max="7417"/>
    <col width="5.109375" customWidth="1" style="12" min="7418" max="7418"/>
    <col width="4.6640625" customWidth="1" style="12" min="7419" max="7419"/>
    <col width="7.44140625" customWidth="1" style="12" min="7420" max="7420"/>
    <col width="23.88671875" customWidth="1" style="12" min="7421" max="7422"/>
    <col width="10.109375" customWidth="1" style="12" min="7423" max="7423"/>
    <col width="5.88671875" customWidth="1" style="12" min="7424" max="7424"/>
    <col width="4.6640625" customWidth="1" style="12" min="7425" max="7425"/>
    <col width="4.88671875" customWidth="1" style="12" min="7426" max="7426"/>
    <col width="16.109375" customWidth="1" style="12" min="7427" max="7427"/>
    <col width="9.6640625" customWidth="1" style="12" min="7428" max="7428"/>
    <col width="14.5546875" customWidth="1" style="12" min="7429" max="7429"/>
    <col width="10.6640625" customWidth="1" style="12" min="7430" max="7430"/>
    <col width="8.88671875" customWidth="1" style="12" min="7431" max="7431"/>
    <col width="11" customWidth="1" style="12" min="7432" max="7432"/>
    <col width="5.33203125" customWidth="1" style="12" min="7433" max="7433"/>
    <col width="10.33203125" customWidth="1" style="12" min="7434" max="7434"/>
    <col width="10.109375" customWidth="1" style="12" min="7435" max="7435"/>
    <col width="9.109375" customWidth="1" style="12" min="7436" max="7673"/>
    <col width="5.109375" customWidth="1" style="12" min="7674" max="7674"/>
    <col width="4.6640625" customWidth="1" style="12" min="7675" max="7675"/>
    <col width="7.44140625" customWidth="1" style="12" min="7676" max="7676"/>
    <col width="23.88671875" customWidth="1" style="12" min="7677" max="7678"/>
    <col width="10.109375" customWidth="1" style="12" min="7679" max="7679"/>
    <col width="5.88671875" customWidth="1" style="12" min="7680" max="7680"/>
    <col width="4.6640625" customWidth="1" style="12" min="7681" max="7681"/>
    <col width="4.88671875" customWidth="1" style="12" min="7682" max="7682"/>
    <col width="16.109375" customWidth="1" style="12" min="7683" max="7683"/>
    <col width="9.6640625" customWidth="1" style="12" min="7684" max="7684"/>
    <col width="14.5546875" customWidth="1" style="12" min="7685" max="7685"/>
    <col width="10.6640625" customWidth="1" style="12" min="7686" max="7686"/>
    <col width="8.88671875" customWidth="1" style="12" min="7687" max="7687"/>
    <col width="11" customWidth="1" style="12" min="7688" max="7688"/>
    <col width="5.33203125" customWidth="1" style="12" min="7689" max="7689"/>
    <col width="10.33203125" customWidth="1" style="12" min="7690" max="7690"/>
    <col width="10.109375" customWidth="1" style="12" min="7691" max="7691"/>
    <col width="9.109375" customWidth="1" style="12" min="7692" max="7929"/>
    <col width="5.109375" customWidth="1" style="12" min="7930" max="7930"/>
    <col width="4.6640625" customWidth="1" style="12" min="7931" max="7931"/>
    <col width="7.44140625" customWidth="1" style="12" min="7932" max="7932"/>
    <col width="23.88671875" customWidth="1" style="12" min="7933" max="7934"/>
    <col width="10.109375" customWidth="1" style="12" min="7935" max="7935"/>
    <col width="5.88671875" customWidth="1" style="12" min="7936" max="7936"/>
    <col width="4.6640625" customWidth="1" style="12" min="7937" max="7937"/>
    <col width="4.88671875" customWidth="1" style="12" min="7938" max="7938"/>
    <col width="16.109375" customWidth="1" style="12" min="7939" max="7939"/>
    <col width="9.6640625" customWidth="1" style="12" min="7940" max="7940"/>
    <col width="14.5546875" customWidth="1" style="12" min="7941" max="7941"/>
    <col width="10.6640625" customWidth="1" style="12" min="7942" max="7942"/>
    <col width="8.88671875" customWidth="1" style="12" min="7943" max="7943"/>
    <col width="11" customWidth="1" style="12" min="7944" max="7944"/>
    <col width="5.33203125" customWidth="1" style="12" min="7945" max="7945"/>
    <col width="10.33203125" customWidth="1" style="12" min="7946" max="7946"/>
    <col width="10.109375" customWidth="1" style="12" min="7947" max="7947"/>
    <col width="9.109375" customWidth="1" style="12" min="7948" max="8185"/>
    <col width="5.109375" customWidth="1" style="12" min="8186" max="8186"/>
    <col width="4.6640625" customWidth="1" style="12" min="8187" max="8187"/>
    <col width="7.44140625" customWidth="1" style="12" min="8188" max="8188"/>
    <col width="23.88671875" customWidth="1" style="12" min="8189" max="8190"/>
    <col width="10.109375" customWidth="1" style="12" min="8191" max="8191"/>
    <col width="5.88671875" customWidth="1" style="12" min="8192" max="8192"/>
    <col width="4.6640625" customWidth="1" style="12" min="8193" max="8193"/>
    <col width="4.88671875" customWidth="1" style="12" min="8194" max="8194"/>
    <col width="16.109375" customWidth="1" style="12" min="8195" max="8195"/>
    <col width="9.6640625" customWidth="1" style="12" min="8196" max="8196"/>
    <col width="14.5546875" customWidth="1" style="12" min="8197" max="8197"/>
    <col width="10.6640625" customWidth="1" style="12" min="8198" max="8198"/>
    <col width="8.88671875" customWidth="1" style="12" min="8199" max="8199"/>
    <col width="11" customWidth="1" style="12" min="8200" max="8200"/>
    <col width="5.33203125" customWidth="1" style="12" min="8201" max="8201"/>
    <col width="10.33203125" customWidth="1" style="12" min="8202" max="8202"/>
    <col width="10.109375" customWidth="1" style="12" min="8203" max="8203"/>
    <col width="9.109375" customWidth="1" style="12" min="8204" max="8441"/>
    <col width="5.109375" customWidth="1" style="12" min="8442" max="8442"/>
    <col width="4.6640625" customWidth="1" style="12" min="8443" max="8443"/>
    <col width="7.44140625" customWidth="1" style="12" min="8444" max="8444"/>
    <col width="23.88671875" customWidth="1" style="12" min="8445" max="8446"/>
    <col width="10.109375" customWidth="1" style="12" min="8447" max="8447"/>
    <col width="5.88671875" customWidth="1" style="12" min="8448" max="8448"/>
    <col width="4.6640625" customWidth="1" style="12" min="8449" max="8449"/>
    <col width="4.88671875" customWidth="1" style="12" min="8450" max="8450"/>
    <col width="16.109375" customWidth="1" style="12" min="8451" max="8451"/>
    <col width="9.6640625" customWidth="1" style="12" min="8452" max="8452"/>
    <col width="14.5546875" customWidth="1" style="12" min="8453" max="8453"/>
    <col width="10.6640625" customWidth="1" style="12" min="8454" max="8454"/>
    <col width="8.88671875" customWidth="1" style="12" min="8455" max="8455"/>
    <col width="11" customWidth="1" style="12" min="8456" max="8456"/>
    <col width="5.33203125" customWidth="1" style="12" min="8457" max="8457"/>
    <col width="10.33203125" customWidth="1" style="12" min="8458" max="8458"/>
    <col width="10.109375" customWidth="1" style="12" min="8459" max="8459"/>
    <col width="9.109375" customWidth="1" style="12" min="8460" max="8697"/>
    <col width="5.109375" customWidth="1" style="12" min="8698" max="8698"/>
    <col width="4.6640625" customWidth="1" style="12" min="8699" max="8699"/>
    <col width="7.44140625" customWidth="1" style="12" min="8700" max="8700"/>
    <col width="23.88671875" customWidth="1" style="12" min="8701" max="8702"/>
    <col width="10.109375" customWidth="1" style="12" min="8703" max="8703"/>
    <col width="5.88671875" customWidth="1" style="12" min="8704" max="8704"/>
    <col width="4.6640625" customWidth="1" style="12" min="8705" max="8705"/>
    <col width="4.88671875" customWidth="1" style="12" min="8706" max="8706"/>
    <col width="16.109375" customWidth="1" style="12" min="8707" max="8707"/>
    <col width="9.6640625" customWidth="1" style="12" min="8708" max="8708"/>
    <col width="14.5546875" customWidth="1" style="12" min="8709" max="8709"/>
    <col width="10.6640625" customWidth="1" style="12" min="8710" max="8710"/>
    <col width="8.88671875" customWidth="1" style="12" min="8711" max="8711"/>
    <col width="11" customWidth="1" style="12" min="8712" max="8712"/>
    <col width="5.33203125" customWidth="1" style="12" min="8713" max="8713"/>
    <col width="10.33203125" customWidth="1" style="12" min="8714" max="8714"/>
    <col width="10.109375" customWidth="1" style="12" min="8715" max="8715"/>
    <col width="9.109375" customWidth="1" style="12" min="8716" max="8953"/>
    <col width="5.109375" customWidth="1" style="12" min="8954" max="8954"/>
    <col width="4.6640625" customWidth="1" style="12" min="8955" max="8955"/>
    <col width="7.44140625" customWidth="1" style="12" min="8956" max="8956"/>
    <col width="23.88671875" customWidth="1" style="12" min="8957" max="8958"/>
    <col width="10.109375" customWidth="1" style="12" min="8959" max="8959"/>
    <col width="5.88671875" customWidth="1" style="12" min="8960" max="8960"/>
    <col width="4.6640625" customWidth="1" style="12" min="8961" max="8961"/>
    <col width="4.88671875" customWidth="1" style="12" min="8962" max="8962"/>
    <col width="16.109375" customWidth="1" style="12" min="8963" max="8963"/>
    <col width="9.6640625" customWidth="1" style="12" min="8964" max="8964"/>
    <col width="14.5546875" customWidth="1" style="12" min="8965" max="8965"/>
    <col width="10.6640625" customWidth="1" style="12" min="8966" max="8966"/>
    <col width="8.88671875" customWidth="1" style="12" min="8967" max="8967"/>
    <col width="11" customWidth="1" style="12" min="8968" max="8968"/>
    <col width="5.33203125" customWidth="1" style="12" min="8969" max="8969"/>
    <col width="10.33203125" customWidth="1" style="12" min="8970" max="8970"/>
    <col width="10.109375" customWidth="1" style="12" min="8971" max="8971"/>
    <col width="9.109375" customWidth="1" style="12" min="8972" max="9209"/>
    <col width="5.109375" customWidth="1" style="12" min="9210" max="9210"/>
    <col width="4.6640625" customWidth="1" style="12" min="9211" max="9211"/>
    <col width="7.44140625" customWidth="1" style="12" min="9212" max="9212"/>
    <col width="23.88671875" customWidth="1" style="12" min="9213" max="9214"/>
    <col width="10.109375" customWidth="1" style="12" min="9215" max="9215"/>
    <col width="5.88671875" customWidth="1" style="12" min="9216" max="9216"/>
    <col width="4.6640625" customWidth="1" style="12" min="9217" max="9217"/>
    <col width="4.88671875" customWidth="1" style="12" min="9218" max="9218"/>
    <col width="16.109375" customWidth="1" style="12" min="9219" max="9219"/>
    <col width="9.6640625" customWidth="1" style="12" min="9220" max="9220"/>
    <col width="14.5546875" customWidth="1" style="12" min="9221" max="9221"/>
    <col width="10.6640625" customWidth="1" style="12" min="9222" max="9222"/>
    <col width="8.88671875" customWidth="1" style="12" min="9223" max="9223"/>
    <col width="11" customWidth="1" style="12" min="9224" max="9224"/>
    <col width="5.33203125" customWidth="1" style="12" min="9225" max="9225"/>
    <col width="10.33203125" customWidth="1" style="12" min="9226" max="9226"/>
    <col width="10.109375" customWidth="1" style="12" min="9227" max="9227"/>
    <col width="9.109375" customWidth="1" style="12" min="9228" max="9465"/>
    <col width="5.109375" customWidth="1" style="12" min="9466" max="9466"/>
    <col width="4.6640625" customWidth="1" style="12" min="9467" max="9467"/>
    <col width="7.44140625" customWidth="1" style="12" min="9468" max="9468"/>
    <col width="23.88671875" customWidth="1" style="12" min="9469" max="9470"/>
    <col width="10.109375" customWidth="1" style="12" min="9471" max="9471"/>
    <col width="5.88671875" customWidth="1" style="12" min="9472" max="9472"/>
    <col width="4.6640625" customWidth="1" style="12" min="9473" max="9473"/>
    <col width="4.88671875" customWidth="1" style="12" min="9474" max="9474"/>
    <col width="16.109375" customWidth="1" style="12" min="9475" max="9475"/>
    <col width="9.6640625" customWidth="1" style="12" min="9476" max="9476"/>
    <col width="14.5546875" customWidth="1" style="12" min="9477" max="9477"/>
    <col width="10.6640625" customWidth="1" style="12" min="9478" max="9478"/>
    <col width="8.88671875" customWidth="1" style="12" min="9479" max="9479"/>
    <col width="11" customWidth="1" style="12" min="9480" max="9480"/>
    <col width="5.33203125" customWidth="1" style="12" min="9481" max="9481"/>
    <col width="10.33203125" customWidth="1" style="12" min="9482" max="9482"/>
    <col width="10.109375" customWidth="1" style="12" min="9483" max="9483"/>
    <col width="9.109375" customWidth="1" style="12" min="9484" max="9721"/>
    <col width="5.109375" customWidth="1" style="12" min="9722" max="9722"/>
    <col width="4.6640625" customWidth="1" style="12" min="9723" max="9723"/>
    <col width="7.44140625" customWidth="1" style="12" min="9724" max="9724"/>
    <col width="23.88671875" customWidth="1" style="12" min="9725" max="9726"/>
    <col width="10.109375" customWidth="1" style="12" min="9727" max="9727"/>
    <col width="5.88671875" customWidth="1" style="12" min="9728" max="9728"/>
    <col width="4.6640625" customWidth="1" style="12" min="9729" max="9729"/>
    <col width="4.88671875" customWidth="1" style="12" min="9730" max="9730"/>
    <col width="16.109375" customWidth="1" style="12" min="9731" max="9731"/>
    <col width="9.6640625" customWidth="1" style="12" min="9732" max="9732"/>
    <col width="14.5546875" customWidth="1" style="12" min="9733" max="9733"/>
    <col width="10.6640625" customWidth="1" style="12" min="9734" max="9734"/>
    <col width="8.88671875" customWidth="1" style="12" min="9735" max="9735"/>
    <col width="11" customWidth="1" style="12" min="9736" max="9736"/>
    <col width="5.33203125" customWidth="1" style="12" min="9737" max="9737"/>
    <col width="10.33203125" customWidth="1" style="12" min="9738" max="9738"/>
    <col width="10.109375" customWidth="1" style="12" min="9739" max="9739"/>
    <col width="9.109375" customWidth="1" style="12" min="9740" max="9977"/>
    <col width="5.109375" customWidth="1" style="12" min="9978" max="9978"/>
    <col width="4.6640625" customWidth="1" style="12" min="9979" max="9979"/>
    <col width="7.44140625" customWidth="1" style="12" min="9980" max="9980"/>
    <col width="23.88671875" customWidth="1" style="12" min="9981" max="9982"/>
    <col width="10.109375" customWidth="1" style="12" min="9983" max="9983"/>
    <col width="5.88671875" customWidth="1" style="12" min="9984" max="9984"/>
    <col width="4.6640625" customWidth="1" style="12" min="9985" max="9985"/>
    <col width="4.88671875" customWidth="1" style="12" min="9986" max="9986"/>
    <col width="16.109375" customWidth="1" style="12" min="9987" max="9987"/>
    <col width="9.6640625" customWidth="1" style="12" min="9988" max="9988"/>
    <col width="14.5546875" customWidth="1" style="12" min="9989" max="9989"/>
    <col width="10.6640625" customWidth="1" style="12" min="9990" max="9990"/>
    <col width="8.88671875" customWidth="1" style="12" min="9991" max="9991"/>
    <col width="11" customWidth="1" style="12" min="9992" max="9992"/>
    <col width="5.33203125" customWidth="1" style="12" min="9993" max="9993"/>
    <col width="10.33203125" customWidth="1" style="12" min="9994" max="9994"/>
    <col width="10.109375" customWidth="1" style="12" min="9995" max="9995"/>
    <col width="9.109375" customWidth="1" style="12" min="9996" max="10233"/>
    <col width="5.109375" customWidth="1" style="12" min="10234" max="10234"/>
    <col width="4.6640625" customWidth="1" style="12" min="10235" max="10235"/>
    <col width="7.44140625" customWidth="1" style="12" min="10236" max="10236"/>
    <col width="23.88671875" customWidth="1" style="12" min="10237" max="10238"/>
    <col width="10.109375" customWidth="1" style="12" min="10239" max="10239"/>
    <col width="5.88671875" customWidth="1" style="12" min="10240" max="10240"/>
    <col width="4.6640625" customWidth="1" style="12" min="10241" max="10241"/>
    <col width="4.88671875" customWidth="1" style="12" min="10242" max="10242"/>
    <col width="16.109375" customWidth="1" style="12" min="10243" max="10243"/>
    <col width="9.6640625" customWidth="1" style="12" min="10244" max="10244"/>
    <col width="14.5546875" customWidth="1" style="12" min="10245" max="10245"/>
    <col width="10.6640625" customWidth="1" style="12" min="10246" max="10246"/>
    <col width="8.88671875" customWidth="1" style="12" min="10247" max="10247"/>
    <col width="11" customWidth="1" style="12" min="10248" max="10248"/>
    <col width="5.33203125" customWidth="1" style="12" min="10249" max="10249"/>
    <col width="10.33203125" customWidth="1" style="12" min="10250" max="10250"/>
    <col width="10.109375" customWidth="1" style="12" min="10251" max="10251"/>
    <col width="9.109375" customWidth="1" style="12" min="10252" max="10489"/>
    <col width="5.109375" customWidth="1" style="12" min="10490" max="10490"/>
    <col width="4.6640625" customWidth="1" style="12" min="10491" max="10491"/>
    <col width="7.44140625" customWidth="1" style="12" min="10492" max="10492"/>
    <col width="23.88671875" customWidth="1" style="12" min="10493" max="10494"/>
    <col width="10.109375" customWidth="1" style="12" min="10495" max="10495"/>
    <col width="5.88671875" customWidth="1" style="12" min="10496" max="10496"/>
    <col width="4.6640625" customWidth="1" style="12" min="10497" max="10497"/>
    <col width="4.88671875" customWidth="1" style="12" min="10498" max="10498"/>
    <col width="16.109375" customWidth="1" style="12" min="10499" max="10499"/>
    <col width="9.6640625" customWidth="1" style="12" min="10500" max="10500"/>
    <col width="14.5546875" customWidth="1" style="12" min="10501" max="10501"/>
    <col width="10.6640625" customWidth="1" style="12" min="10502" max="10502"/>
    <col width="8.88671875" customWidth="1" style="12" min="10503" max="10503"/>
    <col width="11" customWidth="1" style="12" min="10504" max="10504"/>
    <col width="5.33203125" customWidth="1" style="12" min="10505" max="10505"/>
    <col width="10.33203125" customWidth="1" style="12" min="10506" max="10506"/>
    <col width="10.109375" customWidth="1" style="12" min="10507" max="10507"/>
    <col width="9.109375" customWidth="1" style="12" min="10508" max="10745"/>
    <col width="5.109375" customWidth="1" style="12" min="10746" max="10746"/>
    <col width="4.6640625" customWidth="1" style="12" min="10747" max="10747"/>
    <col width="7.44140625" customWidth="1" style="12" min="10748" max="10748"/>
    <col width="23.88671875" customWidth="1" style="12" min="10749" max="10750"/>
    <col width="10.109375" customWidth="1" style="12" min="10751" max="10751"/>
    <col width="5.88671875" customWidth="1" style="12" min="10752" max="10752"/>
    <col width="4.6640625" customWidth="1" style="12" min="10753" max="10753"/>
    <col width="4.88671875" customWidth="1" style="12" min="10754" max="10754"/>
    <col width="16.109375" customWidth="1" style="12" min="10755" max="10755"/>
    <col width="9.6640625" customWidth="1" style="12" min="10756" max="10756"/>
    <col width="14.5546875" customWidth="1" style="12" min="10757" max="10757"/>
    <col width="10.6640625" customWidth="1" style="12" min="10758" max="10758"/>
    <col width="8.88671875" customWidth="1" style="12" min="10759" max="10759"/>
    <col width="11" customWidth="1" style="12" min="10760" max="10760"/>
    <col width="5.33203125" customWidth="1" style="12" min="10761" max="10761"/>
    <col width="10.33203125" customWidth="1" style="12" min="10762" max="10762"/>
    <col width="10.109375" customWidth="1" style="12" min="10763" max="10763"/>
    <col width="9.109375" customWidth="1" style="12" min="10764" max="11001"/>
    <col width="5.109375" customWidth="1" style="12" min="11002" max="11002"/>
    <col width="4.6640625" customWidth="1" style="12" min="11003" max="11003"/>
    <col width="7.44140625" customWidth="1" style="12" min="11004" max="11004"/>
    <col width="23.88671875" customWidth="1" style="12" min="11005" max="11006"/>
    <col width="10.109375" customWidth="1" style="12" min="11007" max="11007"/>
    <col width="5.88671875" customWidth="1" style="12" min="11008" max="11008"/>
    <col width="4.6640625" customWidth="1" style="12" min="11009" max="11009"/>
    <col width="4.88671875" customWidth="1" style="12" min="11010" max="11010"/>
    <col width="16.109375" customWidth="1" style="12" min="11011" max="11011"/>
    <col width="9.6640625" customWidth="1" style="12" min="11012" max="11012"/>
    <col width="14.5546875" customWidth="1" style="12" min="11013" max="11013"/>
    <col width="10.6640625" customWidth="1" style="12" min="11014" max="11014"/>
    <col width="8.88671875" customWidth="1" style="12" min="11015" max="11015"/>
    <col width="11" customWidth="1" style="12" min="11016" max="11016"/>
    <col width="5.33203125" customWidth="1" style="12" min="11017" max="11017"/>
    <col width="10.33203125" customWidth="1" style="12" min="11018" max="11018"/>
    <col width="10.109375" customWidth="1" style="12" min="11019" max="11019"/>
    <col width="9.109375" customWidth="1" style="12" min="11020" max="11257"/>
    <col width="5.109375" customWidth="1" style="12" min="11258" max="11258"/>
    <col width="4.6640625" customWidth="1" style="12" min="11259" max="11259"/>
    <col width="7.44140625" customWidth="1" style="12" min="11260" max="11260"/>
    <col width="23.88671875" customWidth="1" style="12" min="11261" max="11262"/>
    <col width="10.109375" customWidth="1" style="12" min="11263" max="11263"/>
    <col width="5.88671875" customWidth="1" style="12" min="11264" max="11264"/>
    <col width="4.6640625" customWidth="1" style="12" min="11265" max="11265"/>
    <col width="4.88671875" customWidth="1" style="12" min="11266" max="11266"/>
    <col width="16.109375" customWidth="1" style="12" min="11267" max="11267"/>
    <col width="9.6640625" customWidth="1" style="12" min="11268" max="11268"/>
    <col width="14.5546875" customWidth="1" style="12" min="11269" max="11269"/>
    <col width="10.6640625" customWidth="1" style="12" min="11270" max="11270"/>
    <col width="8.88671875" customWidth="1" style="12" min="11271" max="11271"/>
    <col width="11" customWidth="1" style="12" min="11272" max="11272"/>
    <col width="5.33203125" customWidth="1" style="12" min="11273" max="11273"/>
    <col width="10.33203125" customWidth="1" style="12" min="11274" max="11274"/>
    <col width="10.109375" customWidth="1" style="12" min="11275" max="11275"/>
    <col width="9.109375" customWidth="1" style="12" min="11276" max="11513"/>
    <col width="5.109375" customWidth="1" style="12" min="11514" max="11514"/>
    <col width="4.6640625" customWidth="1" style="12" min="11515" max="11515"/>
    <col width="7.44140625" customWidth="1" style="12" min="11516" max="11516"/>
    <col width="23.88671875" customWidth="1" style="12" min="11517" max="11518"/>
    <col width="10.109375" customWidth="1" style="12" min="11519" max="11519"/>
    <col width="5.88671875" customWidth="1" style="12" min="11520" max="11520"/>
    <col width="4.6640625" customWidth="1" style="12" min="11521" max="11521"/>
    <col width="4.88671875" customWidth="1" style="12" min="11522" max="11522"/>
    <col width="16.109375" customWidth="1" style="12" min="11523" max="11523"/>
    <col width="9.6640625" customWidth="1" style="12" min="11524" max="11524"/>
    <col width="14.5546875" customWidth="1" style="12" min="11525" max="11525"/>
    <col width="10.6640625" customWidth="1" style="12" min="11526" max="11526"/>
    <col width="8.88671875" customWidth="1" style="12" min="11527" max="11527"/>
    <col width="11" customWidth="1" style="12" min="11528" max="11528"/>
    <col width="5.33203125" customWidth="1" style="12" min="11529" max="11529"/>
    <col width="10.33203125" customWidth="1" style="12" min="11530" max="11530"/>
    <col width="10.109375" customWidth="1" style="12" min="11531" max="11531"/>
    <col width="9.109375" customWidth="1" style="12" min="11532" max="11769"/>
    <col width="5.109375" customWidth="1" style="12" min="11770" max="11770"/>
    <col width="4.6640625" customWidth="1" style="12" min="11771" max="11771"/>
    <col width="7.44140625" customWidth="1" style="12" min="11772" max="11772"/>
    <col width="23.88671875" customWidth="1" style="12" min="11773" max="11774"/>
    <col width="10.109375" customWidth="1" style="12" min="11775" max="11775"/>
    <col width="5.88671875" customWidth="1" style="12" min="11776" max="11776"/>
    <col width="4.6640625" customWidth="1" style="12" min="11777" max="11777"/>
    <col width="4.88671875" customWidth="1" style="12" min="11778" max="11778"/>
    <col width="16.109375" customWidth="1" style="12" min="11779" max="11779"/>
    <col width="9.6640625" customWidth="1" style="12" min="11780" max="11780"/>
    <col width="14.5546875" customWidth="1" style="12" min="11781" max="11781"/>
    <col width="10.6640625" customWidth="1" style="12" min="11782" max="11782"/>
    <col width="8.88671875" customWidth="1" style="12" min="11783" max="11783"/>
    <col width="11" customWidth="1" style="12" min="11784" max="11784"/>
    <col width="5.33203125" customWidth="1" style="12" min="11785" max="11785"/>
    <col width="10.33203125" customWidth="1" style="12" min="11786" max="11786"/>
    <col width="10.109375" customWidth="1" style="12" min="11787" max="11787"/>
    <col width="9.109375" customWidth="1" style="12" min="11788" max="12025"/>
    <col width="5.109375" customWidth="1" style="12" min="12026" max="12026"/>
    <col width="4.6640625" customWidth="1" style="12" min="12027" max="12027"/>
    <col width="7.44140625" customWidth="1" style="12" min="12028" max="12028"/>
    <col width="23.88671875" customWidth="1" style="12" min="12029" max="12030"/>
    <col width="10.109375" customWidth="1" style="12" min="12031" max="12031"/>
    <col width="5.88671875" customWidth="1" style="12" min="12032" max="12032"/>
    <col width="4.6640625" customWidth="1" style="12" min="12033" max="12033"/>
    <col width="4.88671875" customWidth="1" style="12" min="12034" max="12034"/>
    <col width="16.109375" customWidth="1" style="12" min="12035" max="12035"/>
    <col width="9.6640625" customWidth="1" style="12" min="12036" max="12036"/>
    <col width="14.5546875" customWidth="1" style="12" min="12037" max="12037"/>
    <col width="10.6640625" customWidth="1" style="12" min="12038" max="12038"/>
    <col width="8.88671875" customWidth="1" style="12" min="12039" max="12039"/>
    <col width="11" customWidth="1" style="12" min="12040" max="12040"/>
    <col width="5.33203125" customWidth="1" style="12" min="12041" max="12041"/>
    <col width="10.33203125" customWidth="1" style="12" min="12042" max="12042"/>
    <col width="10.109375" customWidth="1" style="12" min="12043" max="12043"/>
    <col width="9.109375" customWidth="1" style="12" min="12044" max="12281"/>
    <col width="5.109375" customWidth="1" style="12" min="12282" max="12282"/>
    <col width="4.6640625" customWidth="1" style="12" min="12283" max="12283"/>
    <col width="7.44140625" customWidth="1" style="12" min="12284" max="12284"/>
    <col width="23.88671875" customWidth="1" style="12" min="12285" max="12286"/>
    <col width="10.109375" customWidth="1" style="12" min="12287" max="12287"/>
    <col width="5.88671875" customWidth="1" style="12" min="12288" max="12288"/>
    <col width="4.6640625" customWidth="1" style="12" min="12289" max="12289"/>
    <col width="4.88671875" customWidth="1" style="12" min="12290" max="12290"/>
    <col width="16.109375" customWidth="1" style="12" min="12291" max="12291"/>
    <col width="9.6640625" customWidth="1" style="12" min="12292" max="12292"/>
    <col width="14.5546875" customWidth="1" style="12" min="12293" max="12293"/>
    <col width="10.6640625" customWidth="1" style="12" min="12294" max="12294"/>
    <col width="8.88671875" customWidth="1" style="12" min="12295" max="12295"/>
    <col width="11" customWidth="1" style="12" min="12296" max="12296"/>
    <col width="5.33203125" customWidth="1" style="12" min="12297" max="12297"/>
    <col width="10.33203125" customWidth="1" style="12" min="12298" max="12298"/>
    <col width="10.109375" customWidth="1" style="12" min="12299" max="12299"/>
    <col width="9.109375" customWidth="1" style="12" min="12300" max="12537"/>
    <col width="5.109375" customWidth="1" style="12" min="12538" max="12538"/>
    <col width="4.6640625" customWidth="1" style="12" min="12539" max="12539"/>
    <col width="7.44140625" customWidth="1" style="12" min="12540" max="12540"/>
    <col width="23.88671875" customWidth="1" style="12" min="12541" max="12542"/>
    <col width="10.109375" customWidth="1" style="12" min="12543" max="12543"/>
    <col width="5.88671875" customWidth="1" style="12" min="12544" max="12544"/>
    <col width="4.6640625" customWidth="1" style="12" min="12545" max="12545"/>
    <col width="4.88671875" customWidth="1" style="12" min="12546" max="12546"/>
    <col width="16.109375" customWidth="1" style="12" min="12547" max="12547"/>
    <col width="9.6640625" customWidth="1" style="12" min="12548" max="12548"/>
    <col width="14.5546875" customWidth="1" style="12" min="12549" max="12549"/>
    <col width="10.6640625" customWidth="1" style="12" min="12550" max="12550"/>
    <col width="8.88671875" customWidth="1" style="12" min="12551" max="12551"/>
    <col width="11" customWidth="1" style="12" min="12552" max="12552"/>
    <col width="5.33203125" customWidth="1" style="12" min="12553" max="12553"/>
    <col width="10.33203125" customWidth="1" style="12" min="12554" max="12554"/>
    <col width="10.109375" customWidth="1" style="12" min="12555" max="12555"/>
    <col width="9.109375" customWidth="1" style="12" min="12556" max="12793"/>
    <col width="5.109375" customWidth="1" style="12" min="12794" max="12794"/>
    <col width="4.6640625" customWidth="1" style="12" min="12795" max="12795"/>
    <col width="7.44140625" customWidth="1" style="12" min="12796" max="12796"/>
    <col width="23.88671875" customWidth="1" style="12" min="12797" max="12798"/>
    <col width="10.109375" customWidth="1" style="12" min="12799" max="12799"/>
    <col width="5.88671875" customWidth="1" style="12" min="12800" max="12800"/>
    <col width="4.6640625" customWidth="1" style="12" min="12801" max="12801"/>
    <col width="4.88671875" customWidth="1" style="12" min="12802" max="12802"/>
    <col width="16.109375" customWidth="1" style="12" min="12803" max="12803"/>
    <col width="9.6640625" customWidth="1" style="12" min="12804" max="12804"/>
    <col width="14.5546875" customWidth="1" style="12" min="12805" max="12805"/>
    <col width="10.6640625" customWidth="1" style="12" min="12806" max="12806"/>
    <col width="8.88671875" customWidth="1" style="12" min="12807" max="12807"/>
    <col width="11" customWidth="1" style="12" min="12808" max="12808"/>
    <col width="5.33203125" customWidth="1" style="12" min="12809" max="12809"/>
    <col width="10.33203125" customWidth="1" style="12" min="12810" max="12810"/>
    <col width="10.109375" customWidth="1" style="12" min="12811" max="12811"/>
    <col width="9.109375" customWidth="1" style="12" min="12812" max="13049"/>
    <col width="5.109375" customWidth="1" style="12" min="13050" max="13050"/>
    <col width="4.6640625" customWidth="1" style="12" min="13051" max="13051"/>
    <col width="7.44140625" customWidth="1" style="12" min="13052" max="13052"/>
    <col width="23.88671875" customWidth="1" style="12" min="13053" max="13054"/>
    <col width="10.109375" customWidth="1" style="12" min="13055" max="13055"/>
    <col width="5.88671875" customWidth="1" style="12" min="13056" max="13056"/>
    <col width="4.6640625" customWidth="1" style="12" min="13057" max="13057"/>
    <col width="4.88671875" customWidth="1" style="12" min="13058" max="13058"/>
    <col width="16.109375" customWidth="1" style="12" min="13059" max="13059"/>
    <col width="9.6640625" customWidth="1" style="12" min="13060" max="13060"/>
    <col width="14.5546875" customWidth="1" style="12" min="13061" max="13061"/>
    <col width="10.6640625" customWidth="1" style="12" min="13062" max="13062"/>
    <col width="8.88671875" customWidth="1" style="12" min="13063" max="13063"/>
    <col width="11" customWidth="1" style="12" min="13064" max="13064"/>
    <col width="5.33203125" customWidth="1" style="12" min="13065" max="13065"/>
    <col width="10.33203125" customWidth="1" style="12" min="13066" max="13066"/>
    <col width="10.109375" customWidth="1" style="12" min="13067" max="13067"/>
    <col width="9.109375" customWidth="1" style="12" min="13068" max="13305"/>
    <col width="5.109375" customWidth="1" style="12" min="13306" max="13306"/>
    <col width="4.6640625" customWidth="1" style="12" min="13307" max="13307"/>
    <col width="7.44140625" customWidth="1" style="12" min="13308" max="13308"/>
    <col width="23.88671875" customWidth="1" style="12" min="13309" max="13310"/>
    <col width="10.109375" customWidth="1" style="12" min="13311" max="13311"/>
    <col width="5.88671875" customWidth="1" style="12" min="13312" max="13312"/>
    <col width="4.6640625" customWidth="1" style="12" min="13313" max="13313"/>
    <col width="4.88671875" customWidth="1" style="12" min="13314" max="13314"/>
    <col width="16.109375" customWidth="1" style="12" min="13315" max="13315"/>
    <col width="9.6640625" customWidth="1" style="12" min="13316" max="13316"/>
    <col width="14.5546875" customWidth="1" style="12" min="13317" max="13317"/>
    <col width="10.6640625" customWidth="1" style="12" min="13318" max="13318"/>
    <col width="8.88671875" customWidth="1" style="12" min="13319" max="13319"/>
    <col width="11" customWidth="1" style="12" min="13320" max="13320"/>
    <col width="5.33203125" customWidth="1" style="12" min="13321" max="13321"/>
    <col width="10.33203125" customWidth="1" style="12" min="13322" max="13322"/>
    <col width="10.109375" customWidth="1" style="12" min="13323" max="13323"/>
    <col width="9.109375" customWidth="1" style="12" min="13324" max="13561"/>
    <col width="5.109375" customWidth="1" style="12" min="13562" max="13562"/>
    <col width="4.6640625" customWidth="1" style="12" min="13563" max="13563"/>
    <col width="7.44140625" customWidth="1" style="12" min="13564" max="13564"/>
    <col width="23.88671875" customWidth="1" style="12" min="13565" max="13566"/>
    <col width="10.109375" customWidth="1" style="12" min="13567" max="13567"/>
    <col width="5.88671875" customWidth="1" style="12" min="13568" max="13568"/>
    <col width="4.6640625" customWidth="1" style="12" min="13569" max="13569"/>
    <col width="4.88671875" customWidth="1" style="12" min="13570" max="13570"/>
    <col width="16.109375" customWidth="1" style="12" min="13571" max="13571"/>
    <col width="9.6640625" customWidth="1" style="12" min="13572" max="13572"/>
    <col width="14.5546875" customWidth="1" style="12" min="13573" max="13573"/>
    <col width="10.6640625" customWidth="1" style="12" min="13574" max="13574"/>
    <col width="8.88671875" customWidth="1" style="12" min="13575" max="13575"/>
    <col width="11" customWidth="1" style="12" min="13576" max="13576"/>
    <col width="5.33203125" customWidth="1" style="12" min="13577" max="13577"/>
    <col width="10.33203125" customWidth="1" style="12" min="13578" max="13578"/>
    <col width="10.109375" customWidth="1" style="12" min="13579" max="13579"/>
    <col width="9.109375" customWidth="1" style="12" min="13580" max="13817"/>
    <col width="5.109375" customWidth="1" style="12" min="13818" max="13818"/>
    <col width="4.6640625" customWidth="1" style="12" min="13819" max="13819"/>
    <col width="7.44140625" customWidth="1" style="12" min="13820" max="13820"/>
    <col width="23.88671875" customWidth="1" style="12" min="13821" max="13822"/>
    <col width="10.109375" customWidth="1" style="12" min="13823" max="13823"/>
    <col width="5.88671875" customWidth="1" style="12" min="13824" max="13824"/>
    <col width="4.6640625" customWidth="1" style="12" min="13825" max="13825"/>
    <col width="4.88671875" customWidth="1" style="12" min="13826" max="13826"/>
    <col width="16.109375" customWidth="1" style="12" min="13827" max="13827"/>
    <col width="9.6640625" customWidth="1" style="12" min="13828" max="13828"/>
    <col width="14.5546875" customWidth="1" style="12" min="13829" max="13829"/>
    <col width="10.6640625" customWidth="1" style="12" min="13830" max="13830"/>
    <col width="8.88671875" customWidth="1" style="12" min="13831" max="13831"/>
    <col width="11" customWidth="1" style="12" min="13832" max="13832"/>
    <col width="5.33203125" customWidth="1" style="12" min="13833" max="13833"/>
    <col width="10.33203125" customWidth="1" style="12" min="13834" max="13834"/>
    <col width="10.109375" customWidth="1" style="12" min="13835" max="13835"/>
    <col width="9.109375" customWidth="1" style="12" min="13836" max="14073"/>
    <col width="5.109375" customWidth="1" style="12" min="14074" max="14074"/>
    <col width="4.6640625" customWidth="1" style="12" min="14075" max="14075"/>
    <col width="7.44140625" customWidth="1" style="12" min="14076" max="14076"/>
    <col width="23.88671875" customWidth="1" style="12" min="14077" max="14078"/>
    <col width="10.109375" customWidth="1" style="12" min="14079" max="14079"/>
    <col width="5.88671875" customWidth="1" style="12" min="14080" max="14080"/>
    <col width="4.6640625" customWidth="1" style="12" min="14081" max="14081"/>
    <col width="4.88671875" customWidth="1" style="12" min="14082" max="14082"/>
    <col width="16.109375" customWidth="1" style="12" min="14083" max="14083"/>
    <col width="9.6640625" customWidth="1" style="12" min="14084" max="14084"/>
    <col width="14.5546875" customWidth="1" style="12" min="14085" max="14085"/>
    <col width="10.6640625" customWidth="1" style="12" min="14086" max="14086"/>
    <col width="8.88671875" customWidth="1" style="12" min="14087" max="14087"/>
    <col width="11" customWidth="1" style="12" min="14088" max="14088"/>
    <col width="5.33203125" customWidth="1" style="12" min="14089" max="14089"/>
    <col width="10.33203125" customWidth="1" style="12" min="14090" max="14090"/>
    <col width="10.109375" customWidth="1" style="12" min="14091" max="14091"/>
    <col width="9.109375" customWidth="1" style="12" min="14092" max="14329"/>
    <col width="5.109375" customWidth="1" style="12" min="14330" max="14330"/>
    <col width="4.6640625" customWidth="1" style="12" min="14331" max="14331"/>
    <col width="7.44140625" customWidth="1" style="12" min="14332" max="14332"/>
    <col width="23.88671875" customWidth="1" style="12" min="14333" max="14334"/>
    <col width="10.109375" customWidth="1" style="12" min="14335" max="14335"/>
    <col width="5.88671875" customWidth="1" style="12" min="14336" max="14336"/>
    <col width="4.6640625" customWidth="1" style="12" min="14337" max="14337"/>
    <col width="4.88671875" customWidth="1" style="12" min="14338" max="14338"/>
    <col width="16.109375" customWidth="1" style="12" min="14339" max="14339"/>
    <col width="9.6640625" customWidth="1" style="12" min="14340" max="14340"/>
    <col width="14.5546875" customWidth="1" style="12" min="14341" max="14341"/>
    <col width="10.6640625" customWidth="1" style="12" min="14342" max="14342"/>
    <col width="8.88671875" customWidth="1" style="12" min="14343" max="14343"/>
    <col width="11" customWidth="1" style="12" min="14344" max="14344"/>
    <col width="5.33203125" customWidth="1" style="12" min="14345" max="14345"/>
    <col width="10.33203125" customWidth="1" style="12" min="14346" max="14346"/>
    <col width="10.109375" customWidth="1" style="12" min="14347" max="14347"/>
    <col width="9.109375" customWidth="1" style="12" min="14348" max="14585"/>
    <col width="5.109375" customWidth="1" style="12" min="14586" max="14586"/>
    <col width="4.6640625" customWidth="1" style="12" min="14587" max="14587"/>
    <col width="7.44140625" customWidth="1" style="12" min="14588" max="14588"/>
    <col width="23.88671875" customWidth="1" style="12" min="14589" max="14590"/>
    <col width="10.109375" customWidth="1" style="12" min="14591" max="14591"/>
    <col width="5.88671875" customWidth="1" style="12" min="14592" max="14592"/>
    <col width="4.6640625" customWidth="1" style="12" min="14593" max="14593"/>
    <col width="4.88671875" customWidth="1" style="12" min="14594" max="14594"/>
    <col width="16.109375" customWidth="1" style="12" min="14595" max="14595"/>
    <col width="9.6640625" customWidth="1" style="12" min="14596" max="14596"/>
    <col width="14.5546875" customWidth="1" style="12" min="14597" max="14597"/>
    <col width="10.6640625" customWidth="1" style="12" min="14598" max="14598"/>
    <col width="8.88671875" customWidth="1" style="12" min="14599" max="14599"/>
    <col width="11" customWidth="1" style="12" min="14600" max="14600"/>
    <col width="5.33203125" customWidth="1" style="12" min="14601" max="14601"/>
    <col width="10.33203125" customWidth="1" style="12" min="14602" max="14602"/>
    <col width="10.109375" customWidth="1" style="12" min="14603" max="14603"/>
    <col width="9.109375" customWidth="1" style="12" min="14604" max="14841"/>
    <col width="5.109375" customWidth="1" style="12" min="14842" max="14842"/>
    <col width="4.6640625" customWidth="1" style="12" min="14843" max="14843"/>
    <col width="7.44140625" customWidth="1" style="12" min="14844" max="14844"/>
    <col width="23.88671875" customWidth="1" style="12" min="14845" max="14846"/>
    <col width="10.109375" customWidth="1" style="12" min="14847" max="14847"/>
    <col width="5.88671875" customWidth="1" style="12" min="14848" max="14848"/>
    <col width="4.6640625" customWidth="1" style="12" min="14849" max="14849"/>
    <col width="4.88671875" customWidth="1" style="12" min="14850" max="14850"/>
    <col width="16.109375" customWidth="1" style="12" min="14851" max="14851"/>
    <col width="9.6640625" customWidth="1" style="12" min="14852" max="14852"/>
    <col width="14.5546875" customWidth="1" style="12" min="14853" max="14853"/>
    <col width="10.6640625" customWidth="1" style="12" min="14854" max="14854"/>
    <col width="8.88671875" customWidth="1" style="12" min="14855" max="14855"/>
    <col width="11" customWidth="1" style="12" min="14856" max="14856"/>
    <col width="5.33203125" customWidth="1" style="12" min="14857" max="14857"/>
    <col width="10.33203125" customWidth="1" style="12" min="14858" max="14858"/>
    <col width="10.109375" customWidth="1" style="12" min="14859" max="14859"/>
    <col width="9.109375" customWidth="1" style="12" min="14860" max="15097"/>
    <col width="5.109375" customWidth="1" style="12" min="15098" max="15098"/>
    <col width="4.6640625" customWidth="1" style="12" min="15099" max="15099"/>
    <col width="7.44140625" customWidth="1" style="12" min="15100" max="15100"/>
    <col width="23.88671875" customWidth="1" style="12" min="15101" max="15102"/>
    <col width="10.109375" customWidth="1" style="12" min="15103" max="15103"/>
    <col width="5.88671875" customWidth="1" style="12" min="15104" max="15104"/>
    <col width="4.6640625" customWidth="1" style="12" min="15105" max="15105"/>
    <col width="4.88671875" customWidth="1" style="12" min="15106" max="15106"/>
    <col width="16.109375" customWidth="1" style="12" min="15107" max="15107"/>
    <col width="9.6640625" customWidth="1" style="12" min="15108" max="15108"/>
    <col width="14.5546875" customWidth="1" style="12" min="15109" max="15109"/>
    <col width="10.6640625" customWidth="1" style="12" min="15110" max="15110"/>
    <col width="8.88671875" customWidth="1" style="12" min="15111" max="15111"/>
    <col width="11" customWidth="1" style="12" min="15112" max="15112"/>
    <col width="5.33203125" customWidth="1" style="12" min="15113" max="15113"/>
    <col width="10.33203125" customWidth="1" style="12" min="15114" max="15114"/>
    <col width="10.109375" customWidth="1" style="12" min="15115" max="15115"/>
    <col width="9.109375" customWidth="1" style="12" min="15116" max="15353"/>
    <col width="5.109375" customWidth="1" style="12" min="15354" max="15354"/>
    <col width="4.6640625" customWidth="1" style="12" min="15355" max="15355"/>
    <col width="7.44140625" customWidth="1" style="12" min="15356" max="15356"/>
    <col width="23.88671875" customWidth="1" style="12" min="15357" max="15358"/>
    <col width="10.109375" customWidth="1" style="12" min="15359" max="15359"/>
    <col width="5.88671875" customWidth="1" style="12" min="15360" max="15360"/>
    <col width="4.6640625" customWidth="1" style="12" min="15361" max="15361"/>
    <col width="4.88671875" customWidth="1" style="12" min="15362" max="15362"/>
    <col width="16.109375" customWidth="1" style="12" min="15363" max="15363"/>
    <col width="9.6640625" customWidth="1" style="12" min="15364" max="15364"/>
    <col width="14.5546875" customWidth="1" style="12" min="15365" max="15365"/>
    <col width="10.6640625" customWidth="1" style="12" min="15366" max="15366"/>
    <col width="8.88671875" customWidth="1" style="12" min="15367" max="15367"/>
    <col width="11" customWidth="1" style="12" min="15368" max="15368"/>
    <col width="5.33203125" customWidth="1" style="12" min="15369" max="15369"/>
    <col width="10.33203125" customWidth="1" style="12" min="15370" max="15370"/>
    <col width="10.109375" customWidth="1" style="12" min="15371" max="15371"/>
    <col width="9.109375" customWidth="1" style="12" min="15372" max="15609"/>
    <col width="5.109375" customWidth="1" style="12" min="15610" max="15610"/>
    <col width="4.6640625" customWidth="1" style="12" min="15611" max="15611"/>
    <col width="7.44140625" customWidth="1" style="12" min="15612" max="15612"/>
    <col width="23.88671875" customWidth="1" style="12" min="15613" max="15614"/>
    <col width="10.109375" customWidth="1" style="12" min="15615" max="15615"/>
    <col width="5.88671875" customWidth="1" style="12" min="15616" max="15616"/>
    <col width="4.6640625" customWidth="1" style="12" min="15617" max="15617"/>
    <col width="4.88671875" customWidth="1" style="12" min="15618" max="15618"/>
    <col width="16.109375" customWidth="1" style="12" min="15619" max="15619"/>
    <col width="9.6640625" customWidth="1" style="12" min="15620" max="15620"/>
    <col width="14.5546875" customWidth="1" style="12" min="15621" max="15621"/>
    <col width="10.6640625" customWidth="1" style="12" min="15622" max="15622"/>
    <col width="8.88671875" customWidth="1" style="12" min="15623" max="15623"/>
    <col width="11" customWidth="1" style="12" min="15624" max="15624"/>
    <col width="5.33203125" customWidth="1" style="12" min="15625" max="15625"/>
    <col width="10.33203125" customWidth="1" style="12" min="15626" max="15626"/>
    <col width="10.109375" customWidth="1" style="12" min="15627" max="15627"/>
    <col width="9.109375" customWidth="1" style="12" min="15628" max="15865"/>
    <col width="5.109375" customWidth="1" style="12" min="15866" max="15866"/>
    <col width="4.6640625" customWidth="1" style="12" min="15867" max="15867"/>
    <col width="7.44140625" customWidth="1" style="12" min="15868" max="15868"/>
    <col width="23.88671875" customWidth="1" style="12" min="15869" max="15870"/>
    <col width="10.109375" customWidth="1" style="12" min="15871" max="15871"/>
    <col width="5.88671875" customWidth="1" style="12" min="15872" max="15872"/>
    <col width="4.6640625" customWidth="1" style="12" min="15873" max="15873"/>
    <col width="4.88671875" customWidth="1" style="12" min="15874" max="15874"/>
    <col width="16.109375" customWidth="1" style="12" min="15875" max="15875"/>
    <col width="9.6640625" customWidth="1" style="12" min="15876" max="15876"/>
    <col width="14.5546875" customWidth="1" style="12" min="15877" max="15877"/>
    <col width="10.6640625" customWidth="1" style="12" min="15878" max="15878"/>
    <col width="8.88671875" customWidth="1" style="12" min="15879" max="15879"/>
    <col width="11" customWidth="1" style="12" min="15880" max="15880"/>
    <col width="5.33203125" customWidth="1" style="12" min="15881" max="15881"/>
    <col width="10.33203125" customWidth="1" style="12" min="15882" max="15882"/>
    <col width="10.109375" customWidth="1" style="12" min="15883" max="15883"/>
    <col width="9.109375" customWidth="1" style="12" min="15884" max="16121"/>
    <col width="5.109375" customWidth="1" style="12" min="16122" max="16122"/>
    <col width="4.6640625" customWidth="1" style="12" min="16123" max="16123"/>
    <col width="7.44140625" customWidth="1" style="12" min="16124" max="16124"/>
    <col width="23.88671875" customWidth="1" style="12" min="16125" max="16126"/>
    <col width="10.109375" customWidth="1" style="12" min="16127" max="16127"/>
    <col width="5.88671875" customWidth="1" style="12" min="16128" max="16128"/>
    <col width="4.6640625" customWidth="1" style="12" min="16129" max="16129"/>
    <col width="4.88671875" customWidth="1" style="12" min="16130" max="16130"/>
    <col width="16.109375" customWidth="1" style="12" min="16131" max="16131"/>
    <col width="9.6640625" customWidth="1" style="12" min="16132" max="16132"/>
    <col width="14.5546875" customWidth="1" style="12" min="16133" max="16133"/>
    <col width="10.6640625" customWidth="1" style="12" min="16134" max="16134"/>
    <col width="8.88671875" customWidth="1" style="12" min="16135" max="16135"/>
    <col width="11" customWidth="1" style="12" min="16136" max="16136"/>
    <col width="5.33203125" customWidth="1" style="12" min="16137" max="16137"/>
    <col width="10.33203125" customWidth="1" style="12" min="16138" max="16138"/>
    <col width="10.109375" customWidth="1" style="12" min="16139" max="16139"/>
    <col width="9.109375" customWidth="1" style="12" min="16140" max="16377"/>
    <col width="5.109375" customWidth="1" style="12" min="16378" max="16384"/>
  </cols>
  <sheetData>
    <row r="1" ht="15.75" customHeight="1" s="248">
      <c r="A1" s="233" t="inlineStr">
        <is>
          <t>BV TRƯỜNG ĐHYD CẦN THƠ</t>
        </is>
      </c>
      <c r="K1" s="263" t="n"/>
    </row>
    <row r="2" ht="15.75" customHeight="1" s="248">
      <c r="A2" s="241" t="inlineStr">
        <is>
          <t>KHOA NGOẠI CTCH - TK</t>
        </is>
      </c>
      <c r="G2" s="55" t="n"/>
      <c r="K2" s="263" t="n"/>
    </row>
    <row r="3" ht="20.25" customHeight="1" s="248">
      <c r="A3" s="242" t="inlineStr">
        <is>
          <t>BẢNG KÊ TIỀN TIỂU PHẪU</t>
        </is>
      </c>
    </row>
    <row r="4" ht="15.75" customHeight="1" s="248">
      <c r="A4" s="245">
        <f>phauthuat!A4</f>
        <v/>
      </c>
    </row>
    <row r="5">
      <c r="I5" s="264" t="n"/>
      <c r="K5" s="263" t="n"/>
    </row>
    <row r="6" ht="18" customHeight="1" s="248">
      <c r="A6" s="30" t="inlineStr">
        <is>
          <t>STT</t>
        </is>
      </c>
      <c r="B6" s="31" t="inlineStr">
        <is>
          <t>Ngày</t>
        </is>
      </c>
      <c r="C6" s="33" t="inlineStr">
        <is>
          <t>Họ và tên</t>
        </is>
      </c>
      <c r="D6" s="32" t="inlineStr">
        <is>
          <t>Tuổi</t>
        </is>
      </c>
      <c r="E6" s="33" t="inlineStr">
        <is>
          <t>Tên CLS</t>
        </is>
      </c>
      <c r="F6" s="33" t="inlineStr">
        <is>
          <t>Số Lượng</t>
        </is>
      </c>
      <c r="G6" s="31" t="inlineStr">
        <is>
          <t>Thành tiền</t>
        </is>
      </c>
      <c r="H6" s="70" t="inlineStr">
        <is>
          <t>Bác Sĩ</t>
        </is>
      </c>
      <c r="I6" s="31" t="inlineStr">
        <is>
          <t>Số Tiền</t>
        </is>
      </c>
      <c r="J6" s="31" t="inlineStr">
        <is>
          <t>Điều Dưỡng</t>
        </is>
      </c>
      <c r="K6" s="34" t="inlineStr">
        <is>
          <t>Số Tiền</t>
        </is>
      </c>
      <c r="L6" s="31" t="inlineStr">
        <is>
          <t>Thực Lãnh</t>
        </is>
      </c>
    </row>
    <row r="7" customFormat="1" s="234">
      <c r="A7" s="43" t="n">
        <v>1</v>
      </c>
      <c r="B7" s="163" t="inlineStr">
        <is>
          <t>2026/05/29 07:00</t>
        </is>
      </c>
      <c r="C7" s="153" t="inlineStr">
        <is>
          <t>ÂU CẨM NHUNG</t>
        </is>
      </c>
      <c r="D7" s="164" t="inlineStr">
        <is>
          <t>04/07/1974</t>
        </is>
      </c>
      <c r="E7" s="166" t="inlineStr">
        <is>
          <t>Tạo hình và đổ xi măng cột sống (kyphoplasty)</t>
        </is>
      </c>
      <c r="F7" s="234" t="n">
        <v>1</v>
      </c>
      <c r="G7" s="259" t="n">
        <v>3418100</v>
      </c>
      <c r="H7" s="71" t="inlineStr">
        <is>
          <t>HOAN</t>
        </is>
      </c>
      <c r="I7" s="44">
        <f>L7-K7</f>
        <v/>
      </c>
      <c r="J7" s="45" t="inlineStr">
        <is>
          <t>ĐD</t>
        </is>
      </c>
      <c r="K7" s="44">
        <f>G7*0.05</f>
        <v/>
      </c>
      <c r="L7" s="44">
        <f>IF(H7="NGUYỆN",G7*25%*75%,IF(H7="TOẢN",G7*25%*75%,IF(H7="TÂN",G7*25%*75%,G7*0.25)))</f>
        <v/>
      </c>
    </row>
    <row r="8" ht="25.5" customFormat="1" customHeight="1" s="234">
      <c r="A8" s="43" t="n">
        <v>2</v>
      </c>
      <c r="B8" s="102" t="inlineStr">
        <is>
          <t>2026/06/01 15:10</t>
        </is>
      </c>
      <c r="C8" s="103" t="inlineStr">
        <is>
          <t>TRẦN THỊ BA NHỎ</t>
        </is>
      </c>
      <c r="D8" s="103" t="inlineStr">
        <is>
          <t>25/11/1957</t>
        </is>
      </c>
      <c r="E8" s="103" t="inlineStr">
        <is>
          <t>Phẫu thuật giải ép thần kinh (ống cổ tay, Khuỷu…)</t>
        </is>
      </c>
      <c r="F8" s="103" t="n">
        <v>1</v>
      </c>
      <c r="G8" s="259" t="n">
        <v>5000000</v>
      </c>
      <c r="H8" s="71" t="inlineStr">
        <is>
          <t>BẢO</t>
        </is>
      </c>
      <c r="I8" s="44">
        <f>L8-K8</f>
        <v/>
      </c>
      <c r="J8" s="45" t="inlineStr">
        <is>
          <t>ĐD</t>
        </is>
      </c>
      <c r="K8" s="44">
        <f>G8*0.05</f>
        <v/>
      </c>
      <c r="L8" s="44">
        <f>IF(H8="NGUYỆN",G8*25%*75%,IF(H8="TOẢN",G8*25%*75%,IF(H8="TÂN",G8*25%*75%,G8*0.25)))</f>
        <v/>
      </c>
    </row>
    <row r="9" ht="25.5" customFormat="1" customHeight="1" s="234">
      <c r="A9" s="43" t="n">
        <v>3</v>
      </c>
      <c r="B9" s="102" t="inlineStr">
        <is>
          <t>2026/06/01 16:09</t>
        </is>
      </c>
      <c r="C9" s="103" t="inlineStr">
        <is>
          <t>LÂM THỊ MỸ HOÀNG</t>
        </is>
      </c>
      <c r="D9" s="103" t="inlineStr">
        <is>
          <t>01/01/1968</t>
        </is>
      </c>
      <c r="E9" s="103" t="inlineStr">
        <is>
          <t>Phẫu thuật điều trị ngón tay cò súng (1 ngón)</t>
        </is>
      </c>
      <c r="F9" s="103" t="n">
        <v>1</v>
      </c>
      <c r="G9" s="259" t="n">
        <v>1000000</v>
      </c>
      <c r="H9" s="71" t="inlineStr">
        <is>
          <t>V.TÂN</t>
        </is>
      </c>
      <c r="I9" s="44">
        <f>L9-K9</f>
        <v/>
      </c>
      <c r="J9" s="45" t="inlineStr">
        <is>
          <t>ĐD</t>
        </is>
      </c>
      <c r="K9" s="44">
        <f>G9*0.05</f>
        <v/>
      </c>
      <c r="L9" s="44">
        <f>IF(H9="NGUYỆN",G9*25%*75%,IF(H9="TOẢN",G9*25%*75%,IF(H9="TÂN",G9*25%*75%,G9*0.25)))</f>
        <v/>
      </c>
    </row>
    <row r="10" ht="26.4" customFormat="1" customHeight="1" s="234">
      <c r="A10" s="43" t="n">
        <v>4</v>
      </c>
      <c r="B10" s="102" t="inlineStr">
        <is>
          <t>2026/06/02 13:16</t>
        </is>
      </c>
      <c r="C10" s="103" t="inlineStr">
        <is>
          <t>NGŨ THỊ NGỌC BÍCH</t>
        </is>
      </c>
      <c r="D10" s="103" t="inlineStr">
        <is>
          <t>01/01/1976</t>
        </is>
      </c>
      <c r="E10" s="103" t="inlineStr">
        <is>
          <t>Phẫu thuật điều trị hội chứng ống cổ tay</t>
        </is>
      </c>
      <c r="F10" s="103" t="n">
        <v>1</v>
      </c>
      <c r="G10" s="259" t="n">
        <v>4000000</v>
      </c>
      <c r="H10" s="265" t="inlineStr">
        <is>
          <t>TOẢN</t>
        </is>
      </c>
      <c r="I10" s="44">
        <f>L10-K10</f>
        <v/>
      </c>
      <c r="J10" s="45" t="inlineStr">
        <is>
          <t>ĐD</t>
        </is>
      </c>
      <c r="K10" s="44">
        <f>G10*0.05</f>
        <v/>
      </c>
      <c r="L10" s="44">
        <f>IF(H10="NGUYỆN",G10*25%*75%,IF(H10="TOẢN",G10*25%*75%,IF(H10="TÂN",G10*25%*75%,G10*0.25)))</f>
        <v/>
      </c>
    </row>
    <row r="11" ht="25.5" customFormat="1" customHeight="1" s="234">
      <c r="A11" s="43" t="n">
        <v>5</v>
      </c>
      <c r="B11" s="101" t="inlineStr">
        <is>
          <t>2026/06/03 09:16</t>
        </is>
      </c>
      <c r="C11" s="101" t="inlineStr">
        <is>
          <t>ĐẶNG BẠCH PHỤNG</t>
        </is>
      </c>
      <c r="D11" s="101" t="inlineStr">
        <is>
          <t>05/07/1963</t>
        </is>
      </c>
      <c r="E11" s="48" t="inlineStr">
        <is>
          <t>Phẫu thuật điều trị bệnh DE QUER VAIN và ngón tay cò súng [gây tê]</t>
        </is>
      </c>
      <c r="F11" s="48" t="n">
        <v>1</v>
      </c>
      <c r="G11" s="259" t="n">
        <v>3261000</v>
      </c>
      <c r="H11" s="71" t="inlineStr">
        <is>
          <t>TÚ</t>
        </is>
      </c>
      <c r="I11" s="44">
        <f>L11-K11</f>
        <v/>
      </c>
      <c r="J11" s="45" t="inlineStr">
        <is>
          <t>ĐD</t>
        </is>
      </c>
      <c r="K11" s="44">
        <f>G11*0.05</f>
        <v/>
      </c>
      <c r="L11" s="44">
        <f>IF(H11="NGUYỆN",G11*25%*75%,IF(H11="TOẢN",G11*25%*75%,IF(H11="TÂN",G11*25%*75%,G11*0.25)))</f>
        <v/>
      </c>
    </row>
    <row r="12" ht="25.5" customFormat="1" customHeight="1" s="234">
      <c r="A12" s="43" t="n">
        <v>6</v>
      </c>
      <c r="B12" s="102" t="inlineStr">
        <is>
          <t>2026/06/03 09:45</t>
        </is>
      </c>
      <c r="C12" s="103" t="inlineStr">
        <is>
          <t>NGUYỄN NGỌC QUÝ</t>
        </is>
      </c>
      <c r="D12" s="103" t="inlineStr">
        <is>
          <t>30/07/1975</t>
        </is>
      </c>
      <c r="E12" s="103" t="inlineStr">
        <is>
          <t>Phẫu thuật điều trị ngón tay cò súng (1 ngón)</t>
        </is>
      </c>
      <c r="F12" s="103" t="n">
        <v>1</v>
      </c>
      <c r="G12" s="259" t="n">
        <v>1000000</v>
      </c>
      <c r="H12" s="71" t="inlineStr">
        <is>
          <t>TÚ</t>
        </is>
      </c>
      <c r="I12" s="44">
        <f>L12-K12</f>
        <v/>
      </c>
      <c r="J12" s="45" t="inlineStr">
        <is>
          <t>ĐD</t>
        </is>
      </c>
      <c r="K12" s="44">
        <f>G12*0.05</f>
        <v/>
      </c>
      <c r="L12" s="44">
        <f>IF(H12="NGUYỆN",G12*25%*75%,IF(H12="TOẢN",G12*25%*75%,IF(H12="TÂN",G12*25%*75%,G12*0.25)))</f>
        <v/>
      </c>
    </row>
    <row r="13" ht="25.5" customFormat="1" customHeight="1" s="234">
      <c r="A13" s="43" t="n">
        <v>7</v>
      </c>
      <c r="B13" s="102" t="inlineStr">
        <is>
          <t>2026/06/05 14:57</t>
        </is>
      </c>
      <c r="C13" s="103" t="inlineStr">
        <is>
          <t>LÊ PHƯƠNG HỒNG</t>
        </is>
      </c>
      <c r="D13" s="103" t="inlineStr">
        <is>
          <t>20/10/1972</t>
        </is>
      </c>
      <c r="E13" s="103" t="inlineStr">
        <is>
          <t>Phẫu thuật điều trị bệnh DE QUER VAIN và ngón tay cò súng [gây tê]</t>
        </is>
      </c>
      <c r="F13" s="103" t="n">
        <v>1</v>
      </c>
      <c r="G13" s="259" t="n">
        <v>3261000</v>
      </c>
      <c r="H13" s="71" t="inlineStr">
        <is>
          <t>G.TỬ</t>
        </is>
      </c>
      <c r="I13" s="44">
        <f>L13-K13</f>
        <v/>
      </c>
      <c r="J13" s="45" t="inlineStr">
        <is>
          <t>ĐD</t>
        </is>
      </c>
      <c r="K13" s="44">
        <f>G13*0.05</f>
        <v/>
      </c>
      <c r="L13" s="44">
        <f>IF(H13="NGUYỆN",G13*25%*75%,IF(H13="TOẢN",G13*25%*75%,IF(H13="TÂN",G13*25%*75%,G13*0.25)))</f>
        <v/>
      </c>
    </row>
    <row r="14" ht="16.5" customFormat="1" customHeight="1" s="234">
      <c r="A14" s="43" t="n">
        <v>8</v>
      </c>
      <c r="B14" s="102" t="inlineStr">
        <is>
          <t>2026/06/07 21:33</t>
        </is>
      </c>
      <c r="C14" s="103" t="inlineStr">
        <is>
          <t>VÕ KIM ANH</t>
        </is>
      </c>
      <c r="D14" s="103" t="inlineStr">
        <is>
          <t>31/12/1939</t>
        </is>
      </c>
      <c r="E14" s="103" t="inlineStr">
        <is>
          <t>Tạo hình và đổ xi măng cột sống (kyphoplasty)</t>
        </is>
      </c>
      <c r="F14" s="103" t="n">
        <v>1</v>
      </c>
      <c r="G14" s="259" t="n">
        <v>8548000</v>
      </c>
      <c r="H14" s="265" t="inlineStr">
        <is>
          <t>HOAN</t>
        </is>
      </c>
      <c r="I14" s="44">
        <f>L14-K14</f>
        <v/>
      </c>
      <c r="J14" s="45" t="inlineStr">
        <is>
          <t>ĐD</t>
        </is>
      </c>
      <c r="K14" s="44">
        <f>G14*0.05</f>
        <v/>
      </c>
      <c r="L14" s="44">
        <f>IF(H14="NGUYỆN",G14*25%*75%,IF(H14="TOẢN",G14*25%*75%,IF(H14="TÂN",G14*25%*75%,G14*0.25)))</f>
        <v/>
      </c>
    </row>
    <row r="15" ht="26.4" customFormat="1" customHeight="1" s="234">
      <c r="A15" s="43" t="n">
        <v>9</v>
      </c>
      <c r="B15" s="102" t="inlineStr">
        <is>
          <t>2026/06/08 13:15</t>
        </is>
      </c>
      <c r="C15" s="103" t="inlineStr">
        <is>
          <t>NGUYỄN THÀNH ĐƯỢC</t>
        </is>
      </c>
      <c r="D15" s="103" t="inlineStr">
        <is>
          <t>01/01/1961</t>
        </is>
      </c>
      <c r="E15" s="103" t="inlineStr">
        <is>
          <t>Nắn, bó bột trật khớp háng [bột liền]</t>
        </is>
      </c>
      <c r="F15" s="103" t="n">
        <v>1</v>
      </c>
      <c r="G15" s="259" t="n">
        <v>749600</v>
      </c>
      <c r="H15" s="265" t="inlineStr">
        <is>
          <t>SƠN</t>
        </is>
      </c>
      <c r="I15" s="44">
        <f>L15-K15</f>
        <v/>
      </c>
      <c r="J15" s="45" t="inlineStr">
        <is>
          <t>ĐD</t>
        </is>
      </c>
      <c r="K15" s="44">
        <f>G15*0.05</f>
        <v/>
      </c>
      <c r="L15" s="44">
        <f>IF(H15="NGUYỆN",G15*25%*75%,IF(H15="TOẢN",G15*25%*75%,IF(H15="TÂN",G15*25%*75%,G15*0.25)))</f>
        <v/>
      </c>
    </row>
    <row r="16" ht="26.4" customFormat="1" customHeight="1" s="234">
      <c r="A16" s="43" t="n">
        <v>10</v>
      </c>
      <c r="B16" s="102" t="inlineStr">
        <is>
          <t>2026/06/09 08:52</t>
        </is>
      </c>
      <c r="C16" s="103" t="inlineStr">
        <is>
          <t>HỒ THỊ LỰU</t>
        </is>
      </c>
      <c r="D16" s="103" t="inlineStr">
        <is>
          <t>12/08/1979</t>
        </is>
      </c>
      <c r="E16" s="103" t="inlineStr">
        <is>
          <t>Phẫu thuật điều trị hội chứng ống cổ tay</t>
        </is>
      </c>
      <c r="F16" s="103" t="n">
        <v>1</v>
      </c>
      <c r="G16" s="259" t="n">
        <v>4000000</v>
      </c>
      <c r="H16" s="265" t="inlineStr">
        <is>
          <t>V.TÂN</t>
        </is>
      </c>
      <c r="I16" s="44">
        <f>L16-K16</f>
        <v/>
      </c>
      <c r="J16" s="45" t="inlineStr">
        <is>
          <t>ĐD</t>
        </is>
      </c>
      <c r="K16" s="44">
        <f>G16*0.05</f>
        <v/>
      </c>
      <c r="L16" s="44">
        <f>IF(H16="NGUYỆN",G16*25%*75%,IF(H16="TOẢN",G16*25%*75%,IF(H16="TÂN",G16*25%*75%,G16*0.25)))</f>
        <v/>
      </c>
    </row>
    <row r="17" ht="26.4" customFormat="1" customHeight="1" s="234">
      <c r="A17" s="43" t="n">
        <v>11</v>
      </c>
      <c r="B17" s="102" t="inlineStr">
        <is>
          <t>2026/06/10 09:31</t>
        </is>
      </c>
      <c r="C17" s="103" t="inlineStr">
        <is>
          <t>PHẠM THỊ NGUYỆT CHÂU</t>
        </is>
      </c>
      <c r="D17" s="103" t="inlineStr">
        <is>
          <t>28/03/1961</t>
        </is>
      </c>
      <c r="E17" s="103" t="inlineStr">
        <is>
          <t>Phẫu thuật điều trị hội chứng ống cổ tay</t>
        </is>
      </c>
      <c r="F17" s="103" t="n">
        <v>1</v>
      </c>
      <c r="G17" s="259" t="n">
        <v>4000000</v>
      </c>
      <c r="H17" s="265" t="inlineStr">
        <is>
          <t>TÚ</t>
        </is>
      </c>
      <c r="I17" s="44">
        <f>L17-K17</f>
        <v/>
      </c>
      <c r="J17" s="45" t="inlineStr">
        <is>
          <t>ĐD</t>
        </is>
      </c>
      <c r="K17" s="44">
        <f>G17*0.05</f>
        <v/>
      </c>
      <c r="L17" s="44">
        <f>IF(H17="NGUYỆN",G17*25%*75%,IF(H17="TOẢN",G17*25%*75%,IF(H17="TÂN",G17*25%*75%,G17*0.25)))</f>
        <v/>
      </c>
    </row>
    <row r="18" ht="18" customFormat="1" customHeight="1" s="234">
      <c r="A18" s="43" t="n">
        <v>12</v>
      </c>
      <c r="B18" s="101" t="inlineStr">
        <is>
          <t>2026/06/10 10:10</t>
        </is>
      </c>
      <c r="C18" s="101" t="inlineStr">
        <is>
          <t>PHẠM THỊ LỆ</t>
        </is>
      </c>
      <c r="D18" s="101" t="inlineStr">
        <is>
          <t>01/01/1969</t>
        </is>
      </c>
      <c r="E18" s="48" t="inlineStr">
        <is>
          <t>Phẫu thuật điều trị ngón tay cò súng (1 ngón)</t>
        </is>
      </c>
      <c r="F18" s="48" t="n">
        <v>1</v>
      </c>
      <c r="G18" s="259" t="n">
        <v>1000000</v>
      </c>
      <c r="H18" s="265" t="inlineStr">
        <is>
          <t>TÚ</t>
        </is>
      </c>
      <c r="I18" s="44">
        <f>L18-K18</f>
        <v/>
      </c>
      <c r="J18" s="45" t="inlineStr">
        <is>
          <t>ĐD</t>
        </is>
      </c>
      <c r="K18" s="44">
        <f>G18*0.05</f>
        <v/>
      </c>
      <c r="L18" s="44">
        <f>IF(H18="NGUYỆN",G18*25%*75%,IF(H18="TOẢN",G18*25%*75%,IF(H18="TÂN",G18*25%*75%,G18*0.25)))</f>
        <v/>
      </c>
    </row>
    <row r="19" ht="25.5" customFormat="1" customHeight="1" s="234">
      <c r="A19" s="43" t="n">
        <v>13</v>
      </c>
      <c r="B19" s="102" t="inlineStr">
        <is>
          <t>2026/06/10 16:31</t>
        </is>
      </c>
      <c r="C19" s="102" t="inlineStr">
        <is>
          <t>NGUYỄN THỊ HOA MAI</t>
        </is>
      </c>
      <c r="D19" s="102" t="inlineStr">
        <is>
          <t>01/01/1975</t>
        </is>
      </c>
      <c r="E19" s="103" t="inlineStr">
        <is>
          <t>Phẫu thuật điều trị ngón tay cò súng (1 ngón)</t>
        </is>
      </c>
      <c r="F19" s="103" t="n">
        <v>1</v>
      </c>
      <c r="G19" s="259" t="n">
        <v>1000000</v>
      </c>
      <c r="H19" s="265" t="inlineStr">
        <is>
          <t>DUY</t>
        </is>
      </c>
      <c r="I19" s="44">
        <f>L19-K19</f>
        <v/>
      </c>
      <c r="J19" s="45" t="inlineStr">
        <is>
          <t>ĐD</t>
        </is>
      </c>
      <c r="K19" s="44">
        <f>G19*0.05</f>
        <v/>
      </c>
      <c r="L19" s="44">
        <f>IF(H19="NGUYỆN",G19*25%*75%,IF(H19="TOẢN",G19*25%*75%,IF(H19="TÂN",G19*25%*75%,G19*0.25)))</f>
        <v/>
      </c>
    </row>
    <row r="20" ht="26.4" customFormat="1" customHeight="1" s="234">
      <c r="A20" s="43" t="n">
        <v>14</v>
      </c>
      <c r="B20" s="102" t="inlineStr">
        <is>
          <t>2026/06/11 08:45</t>
        </is>
      </c>
      <c r="C20" s="103" t="inlineStr">
        <is>
          <t>NGUYỄN THỊ HIỆP</t>
        </is>
      </c>
      <c r="D20" s="103" t="inlineStr">
        <is>
          <t>01/01/1981</t>
        </is>
      </c>
      <c r="E20" s="103" t="inlineStr">
        <is>
          <t>Phẫu thuật điều trị hội chứng ống cổ tay</t>
        </is>
      </c>
      <c r="F20" s="103" t="n">
        <v>1</v>
      </c>
      <c r="G20" s="259" t="n">
        <v>4000000</v>
      </c>
      <c r="H20" s="265" t="inlineStr">
        <is>
          <t>HOAN</t>
        </is>
      </c>
      <c r="I20" s="44">
        <f>L20-K20</f>
        <v/>
      </c>
      <c r="J20" s="45" t="inlineStr">
        <is>
          <t>ĐD</t>
        </is>
      </c>
      <c r="K20" s="44">
        <f>G20*0.05</f>
        <v/>
      </c>
      <c r="L20" s="44">
        <f>IF(H20="NGUYỆN",G20*25%*75%,IF(H20="TOẢN",G20*25%*75%,IF(H20="TÂN",G20*25%*75%,G20*0.25)))</f>
        <v/>
      </c>
    </row>
    <row r="21" ht="25.5" customFormat="1" customHeight="1" s="234">
      <c r="A21" s="43" t="n">
        <v>15</v>
      </c>
      <c r="B21" s="102" t="inlineStr">
        <is>
          <t>2026/06/11 10:07</t>
        </is>
      </c>
      <c r="C21" s="103" t="inlineStr">
        <is>
          <t>PHAN THỊ HỒNG GẤM</t>
        </is>
      </c>
      <c r="D21" s="103" t="inlineStr">
        <is>
          <t>16/08/1972</t>
        </is>
      </c>
      <c r="E21" s="103" t="inlineStr">
        <is>
          <t>Phẫu thuật điều trị bệnh DE QUER VAIN và ngón tay cò súng</t>
        </is>
      </c>
      <c r="F21" s="103" t="n">
        <v>1</v>
      </c>
      <c r="G21" s="259" t="n">
        <v>3923600</v>
      </c>
      <c r="H21" s="266" t="inlineStr">
        <is>
          <t>HOAN</t>
        </is>
      </c>
      <c r="I21" s="44">
        <f>L21-K21</f>
        <v/>
      </c>
      <c r="J21" s="45" t="inlineStr">
        <is>
          <t>ĐD</t>
        </is>
      </c>
      <c r="K21" s="44">
        <f>G21*0.05</f>
        <v/>
      </c>
      <c r="L21" s="44">
        <f>IF(H21="NGUYỆN",G21*25%*75%,IF(H21="TOẢN",G21*25%*75%,IF(H21="TÂN",G21*25%*75%,G21*0.25)))</f>
        <v/>
      </c>
    </row>
    <row r="22" ht="25.5" customFormat="1" customHeight="1" s="234">
      <c r="A22" s="43" t="n">
        <v>16</v>
      </c>
      <c r="B22" s="101" t="inlineStr">
        <is>
          <t>2026/06/15 07:43</t>
        </is>
      </c>
      <c r="C22" s="101" t="inlineStr">
        <is>
          <t>NGUYỄN THỊ KIM PHƯƠNG</t>
        </is>
      </c>
      <c r="D22" s="101" t="inlineStr">
        <is>
          <t>01/01/1979</t>
        </is>
      </c>
      <c r="E22" s="48" t="inlineStr">
        <is>
          <t>Phẫu thuật điều trị ngón tay cò súng (2 ngón)</t>
        </is>
      </c>
      <c r="F22" s="48" t="n">
        <v>1</v>
      </c>
      <c r="G22" s="259" t="n">
        <v>1500000</v>
      </c>
      <c r="H22" s="73" t="inlineStr">
        <is>
          <t>SƠN</t>
        </is>
      </c>
      <c r="I22" s="44">
        <f>L22-K22</f>
        <v/>
      </c>
      <c r="J22" s="45" t="inlineStr">
        <is>
          <t>ĐD</t>
        </is>
      </c>
      <c r="K22" s="44">
        <f>G22*0.05</f>
        <v/>
      </c>
      <c r="L22" s="44">
        <f>IF(H22="NGUYỆN",G22*25%*75%,IF(H22="TOẢN",G22*25%*75%,IF(H22="TÂN",G22*25%*75%,G22*0.25)))</f>
        <v/>
      </c>
    </row>
    <row r="23" ht="26.4" customFormat="1" customHeight="1" s="234">
      <c r="A23" s="43" t="n">
        <v>17</v>
      </c>
      <c r="B23" s="102" t="inlineStr">
        <is>
          <t>2026/06/16 07:41</t>
        </is>
      </c>
      <c r="C23" s="103" t="inlineStr">
        <is>
          <t>TRẦN KIM HOA</t>
        </is>
      </c>
      <c r="D23" s="103" t="inlineStr">
        <is>
          <t>01/01/1958</t>
        </is>
      </c>
      <c r="E23" s="103" t="inlineStr">
        <is>
          <t>Phẫu thuật điều trị hội chứng ống cổ tay</t>
        </is>
      </c>
      <c r="F23" s="103" t="n">
        <v>1</v>
      </c>
      <c r="G23" s="259" t="n">
        <v>4000000</v>
      </c>
      <c r="H23" s="266" t="inlineStr">
        <is>
          <t>V.TÂN</t>
        </is>
      </c>
      <c r="I23" s="44">
        <f>L23-K23</f>
        <v/>
      </c>
      <c r="J23" s="45" t="inlineStr">
        <is>
          <t>ĐD</t>
        </is>
      </c>
      <c r="K23" s="44">
        <f>G23*0.05</f>
        <v/>
      </c>
      <c r="L23" s="44">
        <f>IF(H23="NGUYỆN",G23*25%*75%,IF(H23="TOẢN",G23*25%*75%,IF(H23="TÂN",G23*25%*75%,G23*0.25)))</f>
        <v/>
      </c>
    </row>
    <row r="24" ht="25.5" customFormat="1" customHeight="1" s="234">
      <c r="A24" s="43" t="n">
        <v>18</v>
      </c>
      <c r="B24" s="102" t="inlineStr">
        <is>
          <t>2026/06/16 09:29</t>
        </is>
      </c>
      <c r="C24" s="103" t="inlineStr">
        <is>
          <t>ĐỖ THU HỒNG</t>
        </is>
      </c>
      <c r="D24" s="103" t="inlineStr">
        <is>
          <t>01/01/1963</t>
        </is>
      </c>
      <c r="E24" s="103" t="inlineStr">
        <is>
          <t>Phẫu thuật điều trị ngón tay cò súng (1 ngón)</t>
        </is>
      </c>
      <c r="F24" s="103" t="n">
        <v>1</v>
      </c>
      <c r="G24" s="259" t="n">
        <v>1000000</v>
      </c>
      <c r="H24" s="266" t="inlineStr">
        <is>
          <t>V.TÂN</t>
        </is>
      </c>
      <c r="I24" s="44">
        <f>L24-K24</f>
        <v/>
      </c>
      <c r="J24" s="45" t="inlineStr">
        <is>
          <t>ĐD</t>
        </is>
      </c>
      <c r="K24" s="44">
        <f>G24*0.05</f>
        <v/>
      </c>
      <c r="L24" s="44">
        <f>IF(H24="NGUYỆN",G24*25%*75%,IF(H24="TOẢN",G24*25%*75%,IF(H24="TÂN",G24*25%*75%,G24*0.25)))</f>
        <v/>
      </c>
    </row>
    <row r="25" ht="26.4" customFormat="1" customHeight="1" s="234">
      <c r="A25" s="43" t="n">
        <v>19</v>
      </c>
      <c r="B25" s="102" t="inlineStr">
        <is>
          <t>2026/06/16 14:47</t>
        </is>
      </c>
      <c r="C25" s="103" t="inlineStr">
        <is>
          <t>NGHI THỊ ANH ĐÀO</t>
        </is>
      </c>
      <c r="D25" s="103" t="inlineStr">
        <is>
          <t>17/08/1985</t>
        </is>
      </c>
      <c r="E25" s="103" t="inlineStr">
        <is>
          <t>Phẫu thuật điều trị hội chứng ống cổ tay</t>
        </is>
      </c>
      <c r="F25" s="103" t="n">
        <v>1</v>
      </c>
      <c r="G25" s="259" t="n">
        <v>4000000</v>
      </c>
      <c r="H25" s="266" t="inlineStr">
        <is>
          <t>TOẢN</t>
        </is>
      </c>
      <c r="I25" s="44">
        <f>L25-K25</f>
        <v/>
      </c>
      <c r="J25" s="45" t="inlineStr">
        <is>
          <t>ĐD</t>
        </is>
      </c>
      <c r="K25" s="44">
        <f>G25*0.05</f>
        <v/>
      </c>
      <c r="L25" s="44">
        <f>IF(H25="NGUYỆN",G25*25%*75%,IF(H25="TOẢN",G25*25%*75%,IF(H25="TÂN",G25*25%*75%,G25*0.25)))</f>
        <v/>
      </c>
    </row>
    <row r="26" ht="26.4" customFormat="1" customHeight="1" s="234">
      <c r="A26" s="43" t="n">
        <v>20</v>
      </c>
      <c r="B26" s="102" t="inlineStr">
        <is>
          <t>2026/06/16 15:46</t>
        </is>
      </c>
      <c r="C26" s="103" t="inlineStr">
        <is>
          <t>NGUYỄN THỊ HOA</t>
        </is>
      </c>
      <c r="D26" s="103" t="inlineStr">
        <is>
          <t>07/05/1975</t>
        </is>
      </c>
      <c r="E26" s="103" t="inlineStr">
        <is>
          <t>Phẫu thuật điều trị hội chứng ống cổ tay</t>
        </is>
      </c>
      <c r="F26" s="103" t="n">
        <v>1</v>
      </c>
      <c r="G26" s="259" t="n">
        <v>4000000</v>
      </c>
      <c r="H26" s="266" t="inlineStr">
        <is>
          <t>TOẢN</t>
        </is>
      </c>
      <c r="I26" s="44">
        <f>L26-K26</f>
        <v/>
      </c>
      <c r="J26" s="45" t="inlineStr">
        <is>
          <t>ĐD</t>
        </is>
      </c>
      <c r="K26" s="44">
        <f>G26*0.05</f>
        <v/>
      </c>
      <c r="L26" s="44">
        <f>IF(H26="NGUYỆN",G26*25%*75%,IF(H26="TOẢN",G26*25%*75%,IF(H26="TÂN",G26*25%*75%,G26*0.25)))</f>
        <v/>
      </c>
    </row>
    <row r="27" customFormat="1" s="234">
      <c r="A27" s="43" t="n">
        <v>21</v>
      </c>
      <c r="B27" s="101" t="inlineStr">
        <is>
          <t>2026/06/17 14:30</t>
        </is>
      </c>
      <c r="C27" s="101" t="inlineStr">
        <is>
          <t>NGUYỄN THÀNH ĐƯỢC</t>
        </is>
      </c>
      <c r="D27" s="101" t="inlineStr">
        <is>
          <t>01/01/1961</t>
        </is>
      </c>
      <c r="E27" s="48" t="inlineStr">
        <is>
          <t>Nắn, bó bột trật khớp háng [bột liền]</t>
        </is>
      </c>
      <c r="F27" s="48" t="n">
        <v>1</v>
      </c>
      <c r="G27" s="259" t="n">
        <v>749600</v>
      </c>
      <c r="H27" s="266" t="inlineStr">
        <is>
          <t>BẢO</t>
        </is>
      </c>
      <c r="I27" s="44">
        <f>L27-K27</f>
        <v/>
      </c>
      <c r="J27" s="45" t="inlineStr">
        <is>
          <t>ĐD</t>
        </is>
      </c>
      <c r="K27" s="44">
        <f>G27*0.05</f>
        <v/>
      </c>
      <c r="L27" s="44">
        <f>IF(H27="NGUYỆN",G27*25%*75%,IF(H27="TOẢN",G27*25%*75%,IF(H27="TÂN",G27*25%*75%,G27*0.25)))</f>
        <v/>
      </c>
    </row>
    <row r="28" ht="26.4" customFormat="1" customHeight="1" s="234">
      <c r="A28" s="43" t="n">
        <v>22</v>
      </c>
      <c r="B28" s="102" t="inlineStr">
        <is>
          <t>2026/06/18 09:29</t>
        </is>
      </c>
      <c r="C28" s="103" t="inlineStr">
        <is>
          <t>LÊ THỊ PHƯỢNG</t>
        </is>
      </c>
      <c r="D28" s="103" t="inlineStr">
        <is>
          <t>01/01/1969</t>
        </is>
      </c>
      <c r="E28" s="103" t="inlineStr">
        <is>
          <t>Phẫu thuật điều trị hội chứng ống cổ tay</t>
        </is>
      </c>
      <c r="F28" s="103" t="n">
        <v>1</v>
      </c>
      <c r="G28" s="259" t="n">
        <v>4000000</v>
      </c>
      <c r="H28" s="266" t="inlineStr">
        <is>
          <t>HOAN</t>
        </is>
      </c>
      <c r="I28" s="44">
        <f>L28-K28</f>
        <v/>
      </c>
      <c r="J28" s="45" t="inlineStr">
        <is>
          <t>ĐD</t>
        </is>
      </c>
      <c r="K28" s="44">
        <f>G28*0.05</f>
        <v/>
      </c>
      <c r="L28" s="44">
        <f>IF(H28="NGUYỆN",G28*25%*75%,IF(H28="TOẢN",G28*25%*75%,IF(H28="TÂN",G28*25%*75%,G28*0.25)))</f>
        <v/>
      </c>
    </row>
    <row r="29" ht="25.5" customFormat="1" customHeight="1" s="234">
      <c r="A29" s="43" t="n">
        <v>23</v>
      </c>
      <c r="B29" s="102" t="inlineStr">
        <is>
          <t>2026/06/22 07:36</t>
        </is>
      </c>
      <c r="C29" s="103" t="inlineStr">
        <is>
          <t>NGUYỄN THỊ NGỌC HIẾU</t>
        </is>
      </c>
      <c r="D29" s="103" t="inlineStr">
        <is>
          <t>01/01/1970</t>
        </is>
      </c>
      <c r="E29" s="103" t="inlineStr">
        <is>
          <t>Phẫu thuật điều trị ngón tay cò súng (1 ngón)</t>
        </is>
      </c>
      <c r="F29" s="103" t="n">
        <v>1</v>
      </c>
      <c r="G29" s="259" t="n">
        <v>1000000</v>
      </c>
      <c r="H29" s="266" t="inlineStr">
        <is>
          <t>SƠN</t>
        </is>
      </c>
      <c r="I29" s="44">
        <f>L29-K29</f>
        <v/>
      </c>
      <c r="J29" s="45" t="inlineStr">
        <is>
          <t>ĐD</t>
        </is>
      </c>
      <c r="K29" s="44">
        <f>G29*0.05</f>
        <v/>
      </c>
      <c r="L29" s="44">
        <f>IF(H29="NGUYỆN",G29*25%*75%,IF(H29="TOẢN",G29*25%*75%,IF(H29="TÂN",G29*25%*75%,G29*0.25)))</f>
        <v/>
      </c>
    </row>
    <row r="30" ht="26.4" customFormat="1" customHeight="1" s="234">
      <c r="A30" s="43" t="n">
        <v>24</v>
      </c>
      <c r="B30" s="102" t="inlineStr">
        <is>
          <t>2026/06/22 08:17</t>
        </is>
      </c>
      <c r="C30" s="103" t="inlineStr">
        <is>
          <t>TRẦN THỊ HỒNG NHUNG</t>
        </is>
      </c>
      <c r="D30" s="103" t="inlineStr">
        <is>
          <t>03/09/1968</t>
        </is>
      </c>
      <c r="E30" s="103" t="inlineStr">
        <is>
          <t>Phẫu thuật điều trị hội chứng ống cổ tay</t>
        </is>
      </c>
      <c r="F30" s="103" t="n">
        <v>1</v>
      </c>
      <c r="G30" s="259" t="n">
        <v>4000000</v>
      </c>
      <c r="H30" s="266" t="inlineStr">
        <is>
          <t>SƠN</t>
        </is>
      </c>
      <c r="I30" s="44">
        <f>L30-K30</f>
        <v/>
      </c>
      <c r="J30" s="45" t="inlineStr">
        <is>
          <t>ĐD</t>
        </is>
      </c>
      <c r="K30" s="44">
        <f>G30*0.05</f>
        <v/>
      </c>
      <c r="L30" s="44">
        <f>IF(H30="NGUYỆN",G30*25%*75%,IF(H30="TOẢN",G30*25%*75%,IF(H30="TÂN",G30*25%*75%,G30*0.25)))</f>
        <v/>
      </c>
    </row>
    <row r="31" ht="25.5" customFormat="1" customHeight="1" s="234">
      <c r="A31" s="43" t="n">
        <v>25</v>
      </c>
      <c r="B31" s="102" t="inlineStr">
        <is>
          <t>2026/06/22 09:00</t>
        </is>
      </c>
      <c r="C31" s="103" t="inlineStr">
        <is>
          <t>TRẦN THỊ NHỤY HƯỜNG</t>
        </is>
      </c>
      <c r="D31" s="103" t="inlineStr">
        <is>
          <t>10/03/1968</t>
        </is>
      </c>
      <c r="E31" s="103" t="inlineStr">
        <is>
          <t>Phẫu thuật điều trị ngón tay cò súng (1 ngón)</t>
        </is>
      </c>
      <c r="F31" s="103" t="n">
        <v>1</v>
      </c>
      <c r="G31" s="259" t="n">
        <v>1000000</v>
      </c>
      <c r="H31" s="266" t="inlineStr">
        <is>
          <t>SƠN</t>
        </is>
      </c>
      <c r="I31" s="44">
        <f>L31-K31</f>
        <v/>
      </c>
      <c r="J31" s="45" t="inlineStr">
        <is>
          <t>ĐD</t>
        </is>
      </c>
      <c r="K31" s="44">
        <f>G31*0.05</f>
        <v/>
      </c>
      <c r="L31" s="44">
        <f>IF(H31="NGUYỆN",G31*25%*75%,IF(H31="TOẢN",G31*25%*75%,IF(H31="TÂN",G31*25%*75%,G31*0.25)))</f>
        <v/>
      </c>
    </row>
    <row r="32" ht="25.5" customFormat="1" customHeight="1" s="234">
      <c r="A32" s="43" t="n">
        <v>26</v>
      </c>
      <c r="B32" s="102" t="inlineStr">
        <is>
          <t>2026/06/22 10:25</t>
        </is>
      </c>
      <c r="C32" s="103" t="inlineStr">
        <is>
          <t>HUỲNH TRANG CẨM TÚ</t>
        </is>
      </c>
      <c r="D32" s="103" t="inlineStr">
        <is>
          <t>18/06/1978</t>
        </is>
      </c>
      <c r="E32" s="103" t="inlineStr">
        <is>
          <t>Phẫu thuật điều trị ngón tay cò súng (1 ngón)</t>
        </is>
      </c>
      <c r="F32" s="103" t="n">
        <v>1</v>
      </c>
      <c r="G32" s="259" t="n">
        <v>1000000</v>
      </c>
      <c r="H32" s="266" t="inlineStr">
        <is>
          <t>SƠN</t>
        </is>
      </c>
      <c r="I32" s="44">
        <f>L32-K32</f>
        <v/>
      </c>
      <c r="J32" s="45" t="inlineStr">
        <is>
          <t>ĐD</t>
        </is>
      </c>
      <c r="K32" s="44">
        <f>G32*0.05</f>
        <v/>
      </c>
      <c r="L32" s="44">
        <f>IF(H32="NGUYỆN",G32*25%*75%,IF(H32="TOẢN",G32*25%*75%,IF(H32="TÂN",G32*25%*75%,G32*0.25)))</f>
        <v/>
      </c>
    </row>
    <row r="33" ht="26.4" customFormat="1" customHeight="1" s="234">
      <c r="A33" s="43" t="n">
        <v>27</v>
      </c>
      <c r="B33" s="102" t="inlineStr">
        <is>
          <t>2026/06/22 15:15</t>
        </is>
      </c>
      <c r="C33" s="103" t="inlineStr">
        <is>
          <t>NGUYỄN THANH LAN</t>
        </is>
      </c>
      <c r="D33" s="103" t="inlineStr">
        <is>
          <t>01/01/1989</t>
        </is>
      </c>
      <c r="E33" s="103" t="inlineStr">
        <is>
          <t>Phẫu thuật điều trị hội chứng ống cổ tay</t>
        </is>
      </c>
      <c r="F33" s="103" t="n">
        <v>1</v>
      </c>
      <c r="G33" s="259" t="n">
        <v>4000000</v>
      </c>
      <c r="H33" s="266" t="inlineStr">
        <is>
          <t>BẢO</t>
        </is>
      </c>
      <c r="I33" s="44">
        <f>L33-K33</f>
        <v/>
      </c>
      <c r="J33" s="45" t="inlineStr">
        <is>
          <t>ĐD</t>
        </is>
      </c>
      <c r="K33" s="44">
        <f>G33*0.05</f>
        <v/>
      </c>
      <c r="L33" s="44">
        <f>IF(H33="NGUYỆN",G33*25%*75%,IF(H33="TOẢN",G33*25%*75%,IF(H33="TÂN",G33*25%*75%,G33*0.25)))</f>
        <v/>
      </c>
    </row>
    <row r="34" ht="26.4" customFormat="1" customHeight="1" s="234">
      <c r="A34" s="43" t="n">
        <v>28</v>
      </c>
      <c r="B34" s="102" t="inlineStr">
        <is>
          <t>2026/06/23 09:33</t>
        </is>
      </c>
      <c r="C34" s="103" t="inlineStr">
        <is>
          <t>HỒ LÊ BỬU NGỌC</t>
        </is>
      </c>
      <c r="D34" s="103" t="inlineStr">
        <is>
          <t>01/01/1975</t>
        </is>
      </c>
      <c r="E34" s="103" t="inlineStr">
        <is>
          <t>Phẫu thuật điều trị hội chứng ống cổ tay</t>
        </is>
      </c>
      <c r="F34" s="103" t="n">
        <v>1</v>
      </c>
      <c r="G34" s="259" t="n">
        <v>4000000</v>
      </c>
      <c r="H34" s="266" t="inlineStr">
        <is>
          <t>V.TÂN</t>
        </is>
      </c>
      <c r="I34" s="44">
        <f>L34-K34</f>
        <v/>
      </c>
      <c r="J34" s="45" t="inlineStr">
        <is>
          <t>ĐD</t>
        </is>
      </c>
      <c r="K34" s="44">
        <f>G34*0.05</f>
        <v/>
      </c>
      <c r="L34" s="44">
        <f>IF(H34="NGUYỆN",G34*25%*75%,IF(H34="TOẢN",G34*25%*75%,IF(H34="TÂN",G34*25%*75%,G34*0.25)))</f>
        <v/>
      </c>
    </row>
    <row r="35" ht="25.5" customFormat="1" customHeight="1" s="234">
      <c r="A35" s="43" t="n">
        <v>29</v>
      </c>
      <c r="B35" s="102" t="inlineStr">
        <is>
          <t>2026/06/23 09:48</t>
        </is>
      </c>
      <c r="C35" s="103" t="inlineStr">
        <is>
          <t>NGUYỄN THỊ SA</t>
        </is>
      </c>
      <c r="D35" s="103" t="inlineStr">
        <is>
          <t>01/01/1968</t>
        </is>
      </c>
      <c r="E35" s="103" t="inlineStr">
        <is>
          <t>Phẫu thuật điều trị bệnh DE QUER VAIN và ngón tay cò súng [gây tê]</t>
        </is>
      </c>
      <c r="F35" s="103" t="n">
        <v>1</v>
      </c>
      <c r="G35" s="259" t="n">
        <v>3261000</v>
      </c>
      <c r="H35" s="266" t="inlineStr">
        <is>
          <t>V.TÂN</t>
        </is>
      </c>
      <c r="I35" s="44">
        <f>L35-K35</f>
        <v/>
      </c>
      <c r="J35" s="45" t="inlineStr">
        <is>
          <t>ĐD</t>
        </is>
      </c>
      <c r="K35" s="44">
        <f>G35*0.05</f>
        <v/>
      </c>
      <c r="L35" s="44">
        <f>IF(H35="NGUYỆN",G35*25%*75%,IF(H35="TOẢN",G35*25%*75%,IF(H35="TÂN",G35*25%*75%,G35*0.25)))</f>
        <v/>
      </c>
    </row>
    <row r="36" ht="26.4" customFormat="1" customHeight="1" s="234">
      <c r="A36" s="43" t="n">
        <v>30</v>
      </c>
      <c r="B36" s="102" t="inlineStr">
        <is>
          <t>2026/06/24 09:34</t>
        </is>
      </c>
      <c r="C36" s="103" t="inlineStr">
        <is>
          <t>PHẠM THỊ THU THẢO</t>
        </is>
      </c>
      <c r="D36" s="103" t="inlineStr">
        <is>
          <t>02/04/1991</t>
        </is>
      </c>
      <c r="E36" s="103" t="inlineStr">
        <is>
          <t>Phẫu thuật điều trị hội chứng ống cổ tay</t>
        </is>
      </c>
      <c r="F36" s="103" t="n">
        <v>1</v>
      </c>
      <c r="G36" s="259" t="n">
        <v>4000000</v>
      </c>
      <c r="H36" s="266" t="inlineStr">
        <is>
          <t>TÚ</t>
        </is>
      </c>
      <c r="I36" s="44">
        <f>L36-K36</f>
        <v/>
      </c>
      <c r="J36" s="45" t="inlineStr">
        <is>
          <t>ĐD</t>
        </is>
      </c>
      <c r="K36" s="44">
        <f>G36*0.05</f>
        <v/>
      </c>
      <c r="L36" s="44">
        <f>IF(H36="NGUYỆN",G36*25%*75%,IF(H36="TOẢN",G36*25%*75%,IF(H36="TÂN",G36*25%*75%,G36*0.25)))</f>
        <v/>
      </c>
    </row>
    <row r="37" ht="26.4" customFormat="1" customHeight="1" s="234">
      <c r="A37" s="43" t="n">
        <v>31</v>
      </c>
      <c r="B37" s="102" t="inlineStr">
        <is>
          <t>2026/06/24 09:52</t>
        </is>
      </c>
      <c r="C37" s="103" t="inlineStr">
        <is>
          <t>BÙI THỊ NGA</t>
        </is>
      </c>
      <c r="D37" s="103" t="inlineStr">
        <is>
          <t>30/10/1960</t>
        </is>
      </c>
      <c r="E37" s="103" t="inlineStr">
        <is>
          <t>Phẫu thuật điều trị hội chứng ống cổ tay</t>
        </is>
      </c>
      <c r="F37" s="103" t="n">
        <v>1</v>
      </c>
      <c r="G37" s="259" t="n">
        <v>4000000</v>
      </c>
      <c r="H37" s="266" t="inlineStr">
        <is>
          <t>TÚ</t>
        </is>
      </c>
      <c r="I37" s="44">
        <f>L37-K37</f>
        <v/>
      </c>
      <c r="J37" s="45" t="inlineStr">
        <is>
          <t>ĐD</t>
        </is>
      </c>
      <c r="K37" s="44">
        <f>G37*0.05</f>
        <v/>
      </c>
      <c r="L37" s="44">
        <f>IF(H37="NGUYỆN",G37*25%*75%,IF(H37="TOẢN",G37*25%*75%,IF(H37="TÂN",G37*25%*75%,G37*0.25)))</f>
        <v/>
      </c>
    </row>
    <row r="38" ht="25.5" customFormat="1" customHeight="1" s="234">
      <c r="A38" s="43" t="n">
        <v>32</v>
      </c>
      <c r="B38" s="102" t="inlineStr">
        <is>
          <t>2026/06/24 10:30</t>
        </is>
      </c>
      <c r="C38" s="103" t="inlineStr">
        <is>
          <t>HÀ HỒNG VÂN</t>
        </is>
      </c>
      <c r="D38" s="103" t="inlineStr">
        <is>
          <t>01/01/1967</t>
        </is>
      </c>
      <c r="E38" s="103" t="inlineStr">
        <is>
          <t>Phẫu thuật điều trị ngón tay cò súng (1 ngón)</t>
        </is>
      </c>
      <c r="F38" s="103" t="n">
        <v>1</v>
      </c>
      <c r="G38" s="259" t="n">
        <v>1000000</v>
      </c>
      <c r="H38" s="266" t="inlineStr">
        <is>
          <t>TÚ</t>
        </is>
      </c>
      <c r="I38" s="44">
        <f>L38-K38</f>
        <v/>
      </c>
      <c r="J38" s="45" t="inlineStr">
        <is>
          <t>ĐD</t>
        </is>
      </c>
      <c r="K38" s="44">
        <f>G38*0.05</f>
        <v/>
      </c>
      <c r="L38" s="44">
        <f>IF(H38="NGUYỆN",G38*25%*75%,IF(H38="TOẢN",G38*25%*75%,IF(H38="TÂN",G38*25%*75%,G38*0.25)))</f>
        <v/>
      </c>
    </row>
    <row r="39" ht="25.5" customFormat="1" customHeight="1" s="234">
      <c r="A39" s="43" t="n">
        <v>33</v>
      </c>
      <c r="B39" s="102" t="inlineStr">
        <is>
          <t>2026/06/24 13:37</t>
        </is>
      </c>
      <c r="C39" s="103" t="inlineStr">
        <is>
          <t>BÙI KIM LIÊN</t>
        </is>
      </c>
      <c r="D39" s="103" t="inlineStr">
        <is>
          <t>01/01/1972</t>
        </is>
      </c>
      <c r="E39" s="103" t="inlineStr">
        <is>
          <t>Phẫu thuật điều trị ngón tay cò súng (1 ngón)</t>
        </is>
      </c>
      <c r="F39" s="103" t="n">
        <v>1</v>
      </c>
      <c r="G39" s="259" t="n">
        <v>1000000</v>
      </c>
      <c r="H39" s="266" t="inlineStr">
        <is>
          <t>G.TỬ</t>
        </is>
      </c>
      <c r="I39" s="44">
        <f>L39-K39</f>
        <v/>
      </c>
      <c r="J39" s="45" t="inlineStr">
        <is>
          <t>ĐD</t>
        </is>
      </c>
      <c r="K39" s="44">
        <f>G39*0.05</f>
        <v/>
      </c>
      <c r="L39" s="44">
        <f>IF(H39="NGUYỆN",G39*25%*75%,IF(H39="TOẢN",G39*25%*75%,IF(H39="TÂN",G39*25%*75%,G39*0.25)))</f>
        <v/>
      </c>
    </row>
    <row r="40" ht="26.4" customFormat="1" customHeight="1" s="234">
      <c r="A40" s="43" t="n">
        <v>34</v>
      </c>
      <c r="B40" s="102" t="inlineStr">
        <is>
          <t>2026/06/24 14:30</t>
        </is>
      </c>
      <c r="C40" s="103" t="inlineStr">
        <is>
          <t>NGUYỄN THÀNH ĐƯỢC</t>
        </is>
      </c>
      <c r="D40" s="103" t="inlineStr">
        <is>
          <t>01/01/1961</t>
        </is>
      </c>
      <c r="E40" s="103" t="inlineStr">
        <is>
          <t>Nắn, bó bột trật khớp háng [bột liền]</t>
        </is>
      </c>
      <c r="F40" s="103" t="n">
        <v>1</v>
      </c>
      <c r="G40" s="259" t="n">
        <v>749600</v>
      </c>
      <c r="H40" s="266" t="inlineStr">
        <is>
          <t>ĐIỀN</t>
        </is>
      </c>
      <c r="I40" s="44">
        <f>L40-K40</f>
        <v/>
      </c>
      <c r="J40" s="45" t="inlineStr">
        <is>
          <t>ĐD</t>
        </is>
      </c>
      <c r="K40" s="44">
        <f>G40*0.05</f>
        <v/>
      </c>
      <c r="L40" s="44">
        <f>IF(H40="NGUYỆN",G40*25%*75%,IF(H40="TOẢN",G40*25%*75%,IF(H40="TÂN",G40*25%*75%,G40*0.25)))</f>
        <v/>
      </c>
    </row>
    <row r="41" ht="25.5" customFormat="1" customHeight="1" s="234">
      <c r="A41" s="43" t="n">
        <v>35</v>
      </c>
      <c r="B41" s="102" t="inlineStr">
        <is>
          <t>2026/06/24 14:30</t>
        </is>
      </c>
      <c r="C41" s="103" t="inlineStr">
        <is>
          <t>TRẦN NGỌC LAN</t>
        </is>
      </c>
      <c r="D41" s="103" t="inlineStr">
        <is>
          <t>01/01/1954</t>
        </is>
      </c>
      <c r="E41" s="103" t="inlineStr">
        <is>
          <t>Phẫu thuật điều trị ngón tay cò súng (1 ngón)</t>
        </is>
      </c>
      <c r="F41" s="103" t="n">
        <v>1</v>
      </c>
      <c r="G41" s="259" t="n">
        <v>1000000</v>
      </c>
      <c r="H41" s="266" t="inlineStr">
        <is>
          <t>G.TỬ</t>
        </is>
      </c>
      <c r="I41" s="44">
        <f>L41-K41</f>
        <v/>
      </c>
      <c r="J41" s="45" t="inlineStr">
        <is>
          <t>ĐD</t>
        </is>
      </c>
      <c r="K41" s="44">
        <f>G41*0.05</f>
        <v/>
      </c>
      <c r="L41" s="44">
        <f>IF(H41="NGUYỆN",G41*25%*75%,IF(H41="TOẢN",G41*25%*75%,IF(H41="TÂN",G41*25%*75%,G41*0.25)))</f>
        <v/>
      </c>
    </row>
    <row r="42" ht="25.5" customFormat="1" customHeight="1" s="234">
      <c r="A42" s="43" t="n">
        <v>36</v>
      </c>
      <c r="B42" s="102" t="inlineStr">
        <is>
          <t>2026/06/25 07:37</t>
        </is>
      </c>
      <c r="C42" s="103" t="inlineStr">
        <is>
          <t>TRẦN THỊ THU</t>
        </is>
      </c>
      <c r="D42" s="103" t="inlineStr">
        <is>
          <t>01/01/1971</t>
        </is>
      </c>
      <c r="E42" s="103" t="inlineStr">
        <is>
          <t>Phẫu thuật điều trị ngón tay cò súng (1 ngón)</t>
        </is>
      </c>
      <c r="F42" s="103" t="n">
        <v>1</v>
      </c>
      <c r="G42" s="259" t="n">
        <v>1000000</v>
      </c>
      <c r="H42" s="266" t="inlineStr">
        <is>
          <t>HOAN</t>
        </is>
      </c>
      <c r="I42" s="44">
        <f>L42-K42</f>
        <v/>
      </c>
      <c r="J42" s="45" t="inlineStr">
        <is>
          <t>ĐD</t>
        </is>
      </c>
      <c r="K42" s="44">
        <f>G42*0.05</f>
        <v/>
      </c>
      <c r="L42" s="44">
        <f>IF(H42="NGUYỆN",G42*25%*75%,IF(H42="TOẢN",G42*25%*75%,IF(H42="TÂN",G42*25%*75%,G42*0.25)))</f>
        <v/>
      </c>
    </row>
    <row r="43" ht="26.4" customFormat="1" customHeight="1" s="234">
      <c r="A43" s="43" t="n">
        <v>37</v>
      </c>
      <c r="B43" s="102" t="inlineStr">
        <is>
          <t>2026/06/26 07:00</t>
        </is>
      </c>
      <c r="C43" s="103" t="inlineStr">
        <is>
          <t>HỒNG KIM BẰNG</t>
        </is>
      </c>
      <c r="D43" s="103" t="inlineStr">
        <is>
          <t>01/01/1974</t>
        </is>
      </c>
      <c r="E43" s="103" t="inlineStr">
        <is>
          <t>Phẫu thuật điều trị hội chứng ống cổ tay</t>
        </is>
      </c>
      <c r="F43" s="103" t="n">
        <v>1</v>
      </c>
      <c r="G43" s="259" t="n">
        <v>2698800</v>
      </c>
      <c r="H43" s="266" t="inlineStr">
        <is>
          <t>V.TÂN</t>
        </is>
      </c>
      <c r="I43" s="44">
        <f>L43-K43</f>
        <v/>
      </c>
      <c r="J43" s="45" t="inlineStr">
        <is>
          <t>ĐD</t>
        </is>
      </c>
      <c r="K43" s="44">
        <f>G43*0.05</f>
        <v/>
      </c>
      <c r="L43" s="44">
        <f>IF(H43="NGUYỆN",G43*25%*75%,IF(H43="TOẢN",G43*25%*75%,IF(H43="TÂN",G43*25%*75%,G43*0.25)))</f>
        <v/>
      </c>
    </row>
    <row r="44" ht="25.5" customFormat="1" customHeight="1" s="234">
      <c r="A44" s="43" t="n">
        <v>38</v>
      </c>
      <c r="B44" s="102" t="inlineStr">
        <is>
          <t>2026/06/29 07:27</t>
        </is>
      </c>
      <c r="C44" s="103" t="inlineStr">
        <is>
          <t>LĂNG VĂN NĂM</t>
        </is>
      </c>
      <c r="D44" s="103" t="inlineStr">
        <is>
          <t>01/01/1966</t>
        </is>
      </c>
      <c r="E44" s="103" t="inlineStr">
        <is>
          <t>Phẫu thuật điều trị ngón tay cò súng (1 ngón)</t>
        </is>
      </c>
      <c r="F44" s="103" t="n">
        <v>1</v>
      </c>
      <c r="G44" s="259" t="n">
        <v>1000000</v>
      </c>
      <c r="H44" s="266" t="inlineStr">
        <is>
          <t>SƠN</t>
        </is>
      </c>
      <c r="I44" s="44">
        <f>L44-K44</f>
        <v/>
      </c>
      <c r="J44" s="45" t="inlineStr">
        <is>
          <t>ĐD</t>
        </is>
      </c>
      <c r="K44" s="44">
        <f>G44*0.05</f>
        <v/>
      </c>
      <c r="L44" s="44">
        <f>IF(H44="NGUYỆN",G44*25%*75%,IF(H44="TOẢN",G44*25%*75%,IF(H44="TÂN",G44*25%*75%,G44*0.25)))</f>
        <v/>
      </c>
    </row>
    <row r="45" ht="26.4" customFormat="1" customHeight="1" s="234">
      <c r="A45" s="43" t="n">
        <v>39</v>
      </c>
      <c r="B45" s="102" t="inlineStr">
        <is>
          <t>2026/06/30 07:31</t>
        </is>
      </c>
      <c r="C45" s="103" t="inlineStr">
        <is>
          <t>TRƯƠNG THỊ LAN</t>
        </is>
      </c>
      <c r="D45" s="103" t="inlineStr">
        <is>
          <t>01/01/1978</t>
        </is>
      </c>
      <c r="E45" s="103" t="inlineStr">
        <is>
          <t>Phẫu thuật điều trị hội chứng ống cổ tay</t>
        </is>
      </c>
      <c r="F45" s="103" t="n">
        <v>1</v>
      </c>
      <c r="G45" s="259" t="n">
        <v>4000000</v>
      </c>
      <c r="H45" s="266" t="inlineStr">
        <is>
          <t>V.TÂN</t>
        </is>
      </c>
      <c r="I45" s="44">
        <f>L45-K45</f>
        <v/>
      </c>
      <c r="J45" s="45" t="inlineStr">
        <is>
          <t>ĐD</t>
        </is>
      </c>
      <c r="K45" s="44">
        <f>G45*0.05</f>
        <v/>
      </c>
      <c r="L45" s="44">
        <f>IF(H45="NGUYỆN",G45*25%*75%,IF(H45="TOẢN",G45*25%*75%,IF(H45="TÂN",G45*25%*75%,G45*0.25)))</f>
        <v/>
      </c>
    </row>
    <row r="46" customFormat="1" s="234">
      <c r="A46" s="43" t="n">
        <v>40</v>
      </c>
      <c r="B46" s="163" t="inlineStr">
        <is>
          <t>2026/03/19 11:00</t>
        </is>
      </c>
      <c r="C46" s="153" t="inlineStr">
        <is>
          <t>NGUYỄN THỊ THANH THẢO</t>
        </is>
      </c>
      <c r="D46" s="164" t="inlineStr">
        <is>
          <t>01/05/2002</t>
        </is>
      </c>
      <c r="E46" s="166" t="inlineStr">
        <is>
          <t>Hút ổ viêm/áp xe phần mềm</t>
        </is>
      </c>
      <c r="F46" s="234" t="n">
        <v>1</v>
      </c>
      <c r="G46" s="267" t="n">
        <v>126700</v>
      </c>
      <c r="H46" s="71" t="inlineStr">
        <is>
          <t>HOAN</t>
        </is>
      </c>
      <c r="I46" s="196">
        <f>L46-K46</f>
        <v/>
      </c>
      <c r="J46" s="45" t="inlineStr">
        <is>
          <t>ĐD</t>
        </is>
      </c>
      <c r="K46" s="196">
        <f>G46*0.05</f>
        <v/>
      </c>
      <c r="L46" s="196">
        <f>IF(H46="NGUYỆN",G46*25%*75%,IF(H46="TOẢN",G46*25%*75%,IF(H46="TÂN",G46*25%*75%,G46*0.25)))</f>
        <v/>
      </c>
    </row>
    <row r="47" customFormat="1" s="234">
      <c r="A47" s="43" t="n">
        <v>41</v>
      </c>
      <c r="B47" s="163" t="inlineStr">
        <is>
          <t>2026/06/01 08:24</t>
        </is>
      </c>
      <c r="C47" s="153" t="inlineStr">
        <is>
          <t>DƯƠNG THANH MAI</t>
        </is>
      </c>
      <c r="D47" s="164" t="inlineStr">
        <is>
          <t>15/11/1955</t>
        </is>
      </c>
      <c r="E47" s="166" t="inlineStr">
        <is>
          <t>Tiêm gân gấp ngón tay</t>
        </is>
      </c>
      <c r="F47" s="234" t="n">
        <v>1</v>
      </c>
      <c r="G47" s="267" t="n">
        <v>104400</v>
      </c>
      <c r="H47" s="71" t="inlineStr">
        <is>
          <t>SƠN</t>
        </is>
      </c>
      <c r="I47" s="196">
        <f>L47-K47</f>
        <v/>
      </c>
      <c r="J47" s="45" t="inlineStr">
        <is>
          <t>ĐD</t>
        </is>
      </c>
      <c r="K47" s="196">
        <f>G47*0.05</f>
        <v/>
      </c>
      <c r="L47" s="196">
        <f>IF(H47="NGUYỆN",G47*25%*75%,IF(H47="TOẢN",G47*25%*75%,IF(H47="TÂN",G47*25%*75%,G47*0.25)))</f>
        <v/>
      </c>
    </row>
    <row r="48" customFormat="1" s="234">
      <c r="A48" s="43" t="n">
        <v>42</v>
      </c>
      <c r="B48" s="163" t="inlineStr">
        <is>
          <t>2026/06/01 15:15</t>
        </is>
      </c>
      <c r="C48" s="153" t="inlineStr">
        <is>
          <t>LÝ THIÊN PHÚC</t>
        </is>
      </c>
      <c r="D48" s="164" t="inlineStr">
        <is>
          <t>25/04/2006</t>
        </is>
      </c>
      <c r="E48" s="166" t="inlineStr">
        <is>
          <t>Hút ổ viêm/áp xe phần mềm</t>
        </is>
      </c>
      <c r="F48" s="234" t="n">
        <v>1</v>
      </c>
      <c r="G48" s="267" t="n">
        <v>126700</v>
      </c>
      <c r="H48" s="71" t="inlineStr">
        <is>
          <t>V.TÂN</t>
        </is>
      </c>
      <c r="I48" s="196">
        <f>L48-K48</f>
        <v/>
      </c>
      <c r="J48" s="45" t="inlineStr">
        <is>
          <t>ĐD</t>
        </is>
      </c>
      <c r="K48" s="196">
        <f>G48*0.05</f>
        <v/>
      </c>
      <c r="L48" s="196">
        <f>IF(H48="NGUYỆN",G48*25%*75%,IF(H48="TOẢN",G48*25%*75%,IF(H48="TÂN",G48*25%*75%,G48*0.25)))</f>
        <v/>
      </c>
    </row>
    <row r="49" customFormat="1" s="234">
      <c r="A49" s="43" t="n">
        <v>43</v>
      </c>
      <c r="B49" s="163" t="inlineStr">
        <is>
          <t>2026/06/01 16:23</t>
        </is>
      </c>
      <c r="C49" s="153" t="inlineStr">
        <is>
          <t>LƯƠNG TẤN VINH</t>
        </is>
      </c>
      <c r="D49" s="164" t="inlineStr">
        <is>
          <t>01/01/2014</t>
        </is>
      </c>
      <c r="E49" s="166" t="inlineStr">
        <is>
          <t>Khâu vết thương phần mềm dài dưới 10 cm [tổn thương nông]</t>
        </is>
      </c>
      <c r="F49" s="234" t="n">
        <v>1</v>
      </c>
      <c r="G49" s="267" t="n">
        <v>500000</v>
      </c>
      <c r="H49" s="71" t="inlineStr">
        <is>
          <t>V.TÂN</t>
        </is>
      </c>
      <c r="I49" s="196">
        <f>L49-K49</f>
        <v/>
      </c>
      <c r="J49" s="45" t="inlineStr">
        <is>
          <t>ĐD</t>
        </is>
      </c>
      <c r="K49" s="196">
        <f>G49*0.05</f>
        <v/>
      </c>
      <c r="L49" s="196">
        <f>IF(H49="NGUYỆN",G49*25%*75%,IF(H49="TOẢN",G49*25%*75%,IF(H49="TÂN",G49*25%*75%,G49*0.25)))</f>
        <v/>
      </c>
    </row>
    <row r="50" customFormat="1" s="234">
      <c r="A50" s="43" t="n">
        <v>44</v>
      </c>
      <c r="B50" s="163" t="inlineStr">
        <is>
          <t>2026/06/02 14:27</t>
        </is>
      </c>
      <c r="C50" s="153" t="inlineStr">
        <is>
          <t>NGUYỄN HỮU KIẾN</t>
        </is>
      </c>
      <c r="D50" s="164" t="inlineStr">
        <is>
          <t>30/04/2002</t>
        </is>
      </c>
      <c r="E50" s="166" t="inlineStr">
        <is>
          <t>Hút ổ viêm/áp xe phần mềm</t>
        </is>
      </c>
      <c r="F50" s="234" t="n">
        <v>1</v>
      </c>
      <c r="G50" s="267" t="n">
        <v>418000</v>
      </c>
      <c r="H50" s="71" t="inlineStr">
        <is>
          <t>TOẢN</t>
        </is>
      </c>
      <c r="I50" s="196">
        <f>L50-K50</f>
        <v/>
      </c>
      <c r="J50" s="45" t="inlineStr">
        <is>
          <t>ĐD</t>
        </is>
      </c>
      <c r="K50" s="196">
        <f>G50*0.05</f>
        <v/>
      </c>
      <c r="L50" s="196">
        <f>IF(H50="NGUYỆN",G50*25%*75%,IF(H50="TOẢN",G50*25%*75%,IF(H50="TÂN",G50*25%*75%,G50*0.25)))</f>
        <v/>
      </c>
    </row>
    <row r="51" customFormat="1" s="234">
      <c r="A51" s="43" t="n">
        <v>45</v>
      </c>
      <c r="B51" s="163" t="inlineStr">
        <is>
          <t>2026/06/02 15:38</t>
        </is>
      </c>
      <c r="C51" s="153" t="inlineStr">
        <is>
          <t>LÂM NGỌC HẢI NGÂN</t>
        </is>
      </c>
      <c r="D51" s="164" t="inlineStr">
        <is>
          <t>20/02/2000</t>
        </is>
      </c>
      <c r="E51" s="166" t="inlineStr">
        <is>
          <t>Hút ổ viêm/áp xe phần mềm</t>
        </is>
      </c>
      <c r="F51" s="234" t="n">
        <v>1</v>
      </c>
      <c r="G51" s="267" t="n">
        <v>418000</v>
      </c>
      <c r="H51" s="71" t="inlineStr">
        <is>
          <t>TOẢN</t>
        </is>
      </c>
      <c r="I51" s="196">
        <f>L51-K51</f>
        <v/>
      </c>
      <c r="J51" s="45" t="inlineStr">
        <is>
          <t>ĐD</t>
        </is>
      </c>
      <c r="K51" s="196">
        <f>G51*0.05</f>
        <v/>
      </c>
      <c r="L51" s="196">
        <f>IF(H51="NGUYỆN",G51*25%*75%,IF(H51="TOẢN",G51*25%*75%,IF(H51="TÂN",G51*25%*75%,G51*0.25)))</f>
        <v/>
      </c>
    </row>
    <row r="52" customFormat="1" s="234">
      <c r="A52" s="43" t="n">
        <v>46</v>
      </c>
      <c r="B52" s="163" t="inlineStr">
        <is>
          <t>2026/06/03 09:29</t>
        </is>
      </c>
      <c r="C52" s="153" t="inlineStr">
        <is>
          <t>NGUYỄN THỊ DIỆU</t>
        </is>
      </c>
      <c r="D52" s="164" t="inlineStr">
        <is>
          <t>01/01/1949</t>
        </is>
      </c>
      <c r="E52" s="166" t="inlineStr">
        <is>
          <t>Tiêm khớp gối</t>
        </is>
      </c>
      <c r="F52" s="234" t="n">
        <v>1</v>
      </c>
      <c r="G52" s="267" t="n">
        <v>384000</v>
      </c>
      <c r="H52" s="71" t="inlineStr">
        <is>
          <t>TÚ</t>
        </is>
      </c>
      <c r="I52" s="196">
        <f>L52-K52</f>
        <v/>
      </c>
      <c r="J52" s="45" t="inlineStr">
        <is>
          <t>ĐD</t>
        </is>
      </c>
      <c r="K52" s="196">
        <f>G52*0.05</f>
        <v/>
      </c>
      <c r="L52" s="196">
        <f>IF(H52="NGUYỆN",G52*25%*75%,IF(H52="TOẢN",G52*25%*75%,IF(H52="TÂN",G52*25%*75%,G52*0.25)))</f>
        <v/>
      </c>
    </row>
    <row r="53" customFormat="1" s="234">
      <c r="A53" s="43" t="n">
        <v>47</v>
      </c>
      <c r="B53" s="163" t="inlineStr">
        <is>
          <t>2026/06/03 11:00</t>
        </is>
      </c>
      <c r="C53" s="153" t="inlineStr">
        <is>
          <t>LÂM MỸ LÝ</t>
        </is>
      </c>
      <c r="D53" s="164" t="inlineStr">
        <is>
          <t>01/01/1958</t>
        </is>
      </c>
      <c r="E53" s="166" t="inlineStr">
        <is>
          <t>Hút dịch khớp gối</t>
        </is>
      </c>
      <c r="F53" s="234" t="n">
        <v>1</v>
      </c>
      <c r="G53" s="267" t="n">
        <v>400000</v>
      </c>
      <c r="H53" s="71" t="inlineStr">
        <is>
          <t>TÚ</t>
        </is>
      </c>
      <c r="I53" s="196">
        <f>L53-K53</f>
        <v/>
      </c>
      <c r="J53" s="45" t="inlineStr">
        <is>
          <t>ĐD</t>
        </is>
      </c>
      <c r="K53" s="196">
        <f>G53*0.05</f>
        <v/>
      </c>
      <c r="L53" s="196">
        <f>IF(H53="NGUYỆN",G53*25%*75%,IF(H53="TOẢN",G53*25%*75%,IF(H53="TÂN",G53*25%*75%,G53*0.25)))</f>
        <v/>
      </c>
    </row>
    <row r="54" customFormat="1" s="234">
      <c r="A54" s="43" t="n">
        <v>48</v>
      </c>
      <c r="B54" s="163" t="inlineStr">
        <is>
          <t>2026/06/03 13:39</t>
        </is>
      </c>
      <c r="C54" s="153" t="inlineStr">
        <is>
          <t>MAI HUỲNH TRÚC LYNH</t>
        </is>
      </c>
      <c r="D54" s="164" t="inlineStr">
        <is>
          <t>12/02/1990</t>
        </is>
      </c>
      <c r="E54" s="166" t="inlineStr">
        <is>
          <t>Tiêm gân duỗi ngón tay</t>
        </is>
      </c>
      <c r="F54" s="234" t="n">
        <v>1</v>
      </c>
      <c r="G54" s="267" t="n">
        <v>300000</v>
      </c>
      <c r="H54" s="71" t="inlineStr">
        <is>
          <t>DUY</t>
        </is>
      </c>
      <c r="I54" s="196">
        <f>L54-K54</f>
        <v/>
      </c>
      <c r="J54" s="45" t="inlineStr">
        <is>
          <t>ĐD</t>
        </is>
      </c>
      <c r="K54" s="196">
        <f>G54*0.05</f>
        <v/>
      </c>
      <c r="L54" s="196">
        <f>IF(H54="NGUYỆN",G54*25%*75%,IF(H54="TOẢN",G54*25%*75%,IF(H54="TÂN",G54*25%*75%,G54*0.25)))</f>
        <v/>
      </c>
    </row>
    <row r="55">
      <c r="A55" s="43" t="n">
        <v>49</v>
      </c>
      <c r="B55" s="163" t="inlineStr">
        <is>
          <t>2026/06/03 14:55</t>
        </is>
      </c>
      <c r="C55" s="153" t="inlineStr">
        <is>
          <t>VÕ VĂN VỊNH</t>
        </is>
      </c>
      <c r="D55" s="164" t="inlineStr">
        <is>
          <t>30/11/1983</t>
        </is>
      </c>
      <c r="E55" s="166" t="inlineStr">
        <is>
          <t>Tiêm gân duỗi ngón tay</t>
        </is>
      </c>
      <c r="F55" s="234" t="n">
        <v>1</v>
      </c>
      <c r="G55" s="267" t="n">
        <v>300000</v>
      </c>
      <c r="H55" s="71" t="inlineStr">
        <is>
          <t>DUY</t>
        </is>
      </c>
      <c r="I55" s="196">
        <f>L55-K55</f>
        <v/>
      </c>
      <c r="J55" s="45" t="inlineStr">
        <is>
          <t>ĐD</t>
        </is>
      </c>
      <c r="K55" s="196">
        <f>G55*0.05</f>
        <v/>
      </c>
      <c r="L55" s="196">
        <f>IF(H55="NGUYỆN",G55*25%*75%,IF(H55="TOẢN",G55*25%*75%,IF(H55="TÂN",G55*25%*75%,G55*0.25)))</f>
        <v/>
      </c>
    </row>
    <row r="56">
      <c r="A56" s="43" t="n">
        <v>50</v>
      </c>
      <c r="B56" s="163" t="inlineStr">
        <is>
          <t>2026/06/04 09:21</t>
        </is>
      </c>
      <c r="C56" s="153" t="inlineStr">
        <is>
          <t>ĐẶNG THỊ NHIÊN</t>
        </is>
      </c>
      <c r="D56" s="164" t="inlineStr">
        <is>
          <t>11/12/1964</t>
        </is>
      </c>
      <c r="E56" s="166" t="inlineStr">
        <is>
          <t>Tiêm gân Dequervein</t>
        </is>
      </c>
      <c r="F56" s="234" t="n">
        <v>1</v>
      </c>
      <c r="G56" s="267" t="n">
        <v>300000</v>
      </c>
      <c r="H56" s="71" t="inlineStr">
        <is>
          <t>HOAN</t>
        </is>
      </c>
      <c r="I56" s="196">
        <f>L56-K56</f>
        <v/>
      </c>
      <c r="J56" s="45" t="inlineStr">
        <is>
          <t>ĐD</t>
        </is>
      </c>
      <c r="K56" s="196">
        <f>G56*0.05</f>
        <v/>
      </c>
      <c r="L56" s="196">
        <f>IF(H56="NGUYỆN",G56*25%*75%,IF(H56="TOẢN",G56*25%*75%,IF(H56="TÂN",G56*25%*75%,G56*0.25)))</f>
        <v/>
      </c>
    </row>
    <row r="57">
      <c r="A57" s="43" t="n">
        <v>51</v>
      </c>
      <c r="B57" s="163" t="inlineStr">
        <is>
          <t>2026/06/05 07:26</t>
        </is>
      </c>
      <c r="C57" s="153" t="inlineStr">
        <is>
          <t>NGUYỄN NGỌC HÀ</t>
        </is>
      </c>
      <c r="D57" s="164" t="inlineStr">
        <is>
          <t>28/04/1973</t>
        </is>
      </c>
      <c r="E57" s="166" t="inlineStr">
        <is>
          <t>Tiêm gân gấp ngón tay</t>
        </is>
      </c>
      <c r="F57" s="234" t="n">
        <v>1</v>
      </c>
      <c r="G57" s="267" t="n">
        <v>384000</v>
      </c>
      <c r="H57" s="71" t="inlineStr">
        <is>
          <t>V.TÂN</t>
        </is>
      </c>
      <c r="I57" s="196">
        <f>L57-K57</f>
        <v/>
      </c>
      <c r="J57" s="45" t="inlineStr">
        <is>
          <t>ĐD</t>
        </is>
      </c>
      <c r="K57" s="196">
        <f>G57*0.05</f>
        <v/>
      </c>
      <c r="L57" s="196">
        <f>IF(H57="NGUYỆN",G57*25%*75%,IF(H57="TOẢN",G57*25%*75%,IF(H57="TÂN",G57*25%*75%,G57*0.25)))</f>
        <v/>
      </c>
    </row>
    <row r="58">
      <c r="A58" s="43" t="n">
        <v>52</v>
      </c>
      <c r="B58" s="163" t="inlineStr">
        <is>
          <t>2026/06/05 10:55</t>
        </is>
      </c>
      <c r="C58" s="153" t="inlineStr">
        <is>
          <t>CAO THỊ THẠNH</t>
        </is>
      </c>
      <c r="D58" s="164" t="inlineStr">
        <is>
          <t>01/01/1970</t>
        </is>
      </c>
      <c r="E58" s="166" t="inlineStr">
        <is>
          <t>Hút ổ viêm/áp xe phần mềm</t>
        </is>
      </c>
      <c r="F58" s="234" t="n">
        <v>1</v>
      </c>
      <c r="G58" s="267" t="n">
        <v>418000</v>
      </c>
      <c r="H58" s="71" t="inlineStr">
        <is>
          <t>V.TÂN</t>
        </is>
      </c>
      <c r="I58" s="196">
        <f>L58-K58</f>
        <v/>
      </c>
      <c r="J58" s="45" t="inlineStr">
        <is>
          <t>ĐD</t>
        </is>
      </c>
      <c r="K58" s="196">
        <f>G58*0.05</f>
        <v/>
      </c>
      <c r="L58" s="196">
        <f>IF(H58="NGUYỆN",G58*25%*75%,IF(H58="TOẢN",G58*25%*75%,IF(H58="TÂN",G58*25%*75%,G58*0.25)))</f>
        <v/>
      </c>
    </row>
    <row r="59">
      <c r="A59" s="43" t="n">
        <v>53</v>
      </c>
      <c r="B59" s="163" t="inlineStr">
        <is>
          <t>2026/06/05 11:07</t>
        </is>
      </c>
      <c r="C59" s="153" t="inlineStr">
        <is>
          <t>TRẦN ĐẶNG NHƠN</t>
        </is>
      </c>
      <c r="D59" s="164" t="inlineStr">
        <is>
          <t>14/03/1991</t>
        </is>
      </c>
      <c r="E59" s="166" t="inlineStr">
        <is>
          <t>Hút dịch khớp gối</t>
        </is>
      </c>
      <c r="F59" s="234" t="n">
        <v>1</v>
      </c>
      <c r="G59" s="267" t="n">
        <v>400000</v>
      </c>
      <c r="H59" s="71" t="inlineStr">
        <is>
          <t>V.TÂN</t>
        </is>
      </c>
      <c r="I59" s="196">
        <f>L59-K59</f>
        <v/>
      </c>
      <c r="J59" s="45" t="inlineStr">
        <is>
          <t>ĐD</t>
        </is>
      </c>
      <c r="K59" s="196">
        <f>G59*0.05</f>
        <v/>
      </c>
      <c r="L59" s="196">
        <f>IF(H59="NGUYỆN",G59*25%*75%,IF(H59="TOẢN",G59*25%*75%,IF(H59="TÂN",G59*25%*75%,G59*0.25)))</f>
        <v/>
      </c>
    </row>
    <row r="60">
      <c r="A60" s="43" t="n">
        <v>54</v>
      </c>
      <c r="B60" s="163" t="inlineStr">
        <is>
          <t>2026/06/08 07:46</t>
        </is>
      </c>
      <c r="C60" s="153" t="inlineStr">
        <is>
          <t>NGUYỄN THỊ THÙY LINH</t>
        </is>
      </c>
      <c r="D60" s="164" t="inlineStr">
        <is>
          <t>01/01/1980</t>
        </is>
      </c>
      <c r="E60" s="166" t="inlineStr">
        <is>
          <t>Tiêm khớp gối</t>
        </is>
      </c>
      <c r="F60" s="234" t="n">
        <v>1</v>
      </c>
      <c r="G60" s="267" t="n">
        <v>384000</v>
      </c>
      <c r="H60" s="71" t="inlineStr">
        <is>
          <t>SƠN</t>
        </is>
      </c>
      <c r="I60" s="196">
        <f>L60-K60</f>
        <v/>
      </c>
      <c r="J60" s="45" t="inlineStr">
        <is>
          <t>ĐD</t>
        </is>
      </c>
      <c r="K60" s="196">
        <f>G60*0.05</f>
        <v/>
      </c>
      <c r="L60" s="196">
        <f>IF(H60="NGUYỆN",G60*25%*75%,IF(H60="TOẢN",G60*25%*75%,IF(H60="TÂN",G60*25%*75%,G60*0.25)))</f>
        <v/>
      </c>
    </row>
    <row r="61">
      <c r="A61" s="43" t="n">
        <v>55</v>
      </c>
      <c r="B61" s="163" t="inlineStr">
        <is>
          <t>2026/06/08 09:07</t>
        </is>
      </c>
      <c r="C61" s="153" t="inlineStr">
        <is>
          <t>HỒ THỊ XUÂN</t>
        </is>
      </c>
      <c r="D61" s="164" t="inlineStr">
        <is>
          <t>01/03/1966</t>
        </is>
      </c>
      <c r="E61" s="166" t="inlineStr">
        <is>
          <t>Tiêm gân Dequervein</t>
        </is>
      </c>
      <c r="F61" s="234" t="n">
        <v>1</v>
      </c>
      <c r="G61" s="267" t="n">
        <v>300000</v>
      </c>
      <c r="H61" s="71" t="inlineStr">
        <is>
          <t>SƠN</t>
        </is>
      </c>
      <c r="I61" s="196">
        <f>L61-K61</f>
        <v/>
      </c>
      <c r="J61" s="45" t="inlineStr">
        <is>
          <t>ĐD</t>
        </is>
      </c>
      <c r="K61" s="196">
        <f>G61*0.05</f>
        <v/>
      </c>
      <c r="L61" s="196">
        <f>IF(H61="NGUYỆN",G61*25%*75%,IF(H61="TOẢN",G61*25%*75%,IF(H61="TÂN",G61*25%*75%,G61*0.25)))</f>
        <v/>
      </c>
    </row>
    <row r="62">
      <c r="A62" s="43" t="n">
        <v>56</v>
      </c>
      <c r="B62" s="163" t="inlineStr">
        <is>
          <t>2026/06/08 13:37</t>
        </is>
      </c>
      <c r="C62" s="153" t="inlineStr">
        <is>
          <t>LƯU NGỌC MAI KHOA</t>
        </is>
      </c>
      <c r="D62" s="164" t="inlineStr">
        <is>
          <t>26/07/1969</t>
        </is>
      </c>
      <c r="E62" s="166" t="inlineStr">
        <is>
          <t>Tiêm gân gấp ngón tay</t>
        </is>
      </c>
      <c r="F62" s="234" t="n">
        <v>1</v>
      </c>
      <c r="G62" s="267" t="n">
        <v>384000</v>
      </c>
      <c r="H62" s="71" t="inlineStr">
        <is>
          <t>BẢO</t>
        </is>
      </c>
      <c r="I62" s="196">
        <f>L62-K62</f>
        <v/>
      </c>
      <c r="J62" s="45" t="inlineStr">
        <is>
          <t>ĐD</t>
        </is>
      </c>
      <c r="K62" s="196">
        <f>G62*0.05</f>
        <v/>
      </c>
      <c r="L62" s="196">
        <f>IF(H62="NGUYỆN",G62*25%*75%,IF(H62="TOẢN",G62*25%*75%,IF(H62="TÂN",G62*25%*75%,G62*0.25)))</f>
        <v/>
      </c>
    </row>
    <row r="63">
      <c r="A63" s="43" t="n">
        <v>57</v>
      </c>
      <c r="B63" s="163" t="inlineStr">
        <is>
          <t>2026/06/08 16:55</t>
        </is>
      </c>
      <c r="C63" s="153" t="inlineStr">
        <is>
          <t>LẠI VĂN NO</t>
        </is>
      </c>
      <c r="D63" s="164" t="inlineStr">
        <is>
          <t>01/01/1964</t>
        </is>
      </c>
      <c r="E63" s="166" t="inlineStr">
        <is>
          <t>Hút ổ viêm/áp xe phần mềm</t>
        </is>
      </c>
      <c r="F63" s="234" t="n">
        <v>1</v>
      </c>
      <c r="G63" s="267" t="n">
        <v>418000</v>
      </c>
      <c r="H63" s="71" t="inlineStr">
        <is>
          <t>BẢO</t>
        </is>
      </c>
      <c r="I63" s="196">
        <f>L63-K63</f>
        <v/>
      </c>
      <c r="J63" s="45" t="inlineStr">
        <is>
          <t>ĐD</t>
        </is>
      </c>
      <c r="K63" s="196">
        <f>G63*0.05</f>
        <v/>
      </c>
      <c r="L63" s="196">
        <f>IF(H63="NGUYỆN",G63*25%*75%,IF(H63="TOẢN",G63*25%*75%,IF(H63="TÂN",G63*25%*75%,G63*0.25)))</f>
        <v/>
      </c>
    </row>
    <row r="64">
      <c r="A64" s="43" t="n">
        <v>58</v>
      </c>
      <c r="B64" s="163" t="inlineStr">
        <is>
          <t>2026/06/09 10:01</t>
        </is>
      </c>
      <c r="C64" s="153" t="inlineStr">
        <is>
          <t>TRẦN LONG ANH</t>
        </is>
      </c>
      <c r="D64" s="164" t="inlineStr">
        <is>
          <t>01/01/2012</t>
        </is>
      </c>
      <c r="E64" s="166" t="inlineStr">
        <is>
          <t>Hút ổ viêm/áp xe phần mềm</t>
        </is>
      </c>
      <c r="F64" s="234" t="n">
        <v>1</v>
      </c>
      <c r="G64" s="267" t="n">
        <v>418000</v>
      </c>
      <c r="H64" s="71" t="inlineStr">
        <is>
          <t>V.TÂN</t>
        </is>
      </c>
      <c r="I64" s="196">
        <f>L64-K64</f>
        <v/>
      </c>
      <c r="J64" s="45" t="inlineStr">
        <is>
          <t>ĐD</t>
        </is>
      </c>
      <c r="K64" s="196">
        <f>G64*0.05</f>
        <v/>
      </c>
      <c r="L64" s="196">
        <f>IF(H64="NGUYỆN",G64*25%*75%,IF(H64="TOẢN",G64*25%*75%,IF(H64="TÂN",G64*25%*75%,G64*0.25)))</f>
        <v/>
      </c>
    </row>
    <row r="65">
      <c r="A65" s="43" t="n">
        <v>59</v>
      </c>
      <c r="B65" s="163" t="inlineStr">
        <is>
          <t>2026/06/09 10:23</t>
        </is>
      </c>
      <c r="C65" s="153" t="inlineStr">
        <is>
          <t>NGUYỄN THỊ KIM ANH</t>
        </is>
      </c>
      <c r="D65" s="164" t="inlineStr">
        <is>
          <t>03/04/1998</t>
        </is>
      </c>
      <c r="E65" s="166" t="inlineStr">
        <is>
          <t>Hút ổ viêm/áp xe phần mềm</t>
        </is>
      </c>
      <c r="F65" s="234" t="n">
        <v>1</v>
      </c>
      <c r="G65" s="267" t="n">
        <v>418000</v>
      </c>
      <c r="H65" s="71" t="inlineStr">
        <is>
          <t>V.TÂN</t>
        </is>
      </c>
      <c r="I65" s="196">
        <f>L65-K65</f>
        <v/>
      </c>
      <c r="J65" s="45" t="inlineStr">
        <is>
          <t>ĐD</t>
        </is>
      </c>
      <c r="K65" s="196">
        <f>G65*0.05</f>
        <v/>
      </c>
      <c r="L65" s="196">
        <f>IF(H65="NGUYỆN",G65*25%*75%,IF(H65="TOẢN",G65*25%*75%,IF(H65="TÂN",G65*25%*75%,G65*0.25)))</f>
        <v/>
      </c>
    </row>
    <row r="66">
      <c r="A66" s="43" t="n">
        <v>60</v>
      </c>
      <c r="B66" s="163" t="inlineStr">
        <is>
          <t>2026/06/09 11:23</t>
        </is>
      </c>
      <c r="C66" s="153" t="inlineStr">
        <is>
          <t>PHAN THANH THANH</t>
        </is>
      </c>
      <c r="D66" s="164" t="inlineStr">
        <is>
          <t>24/12/2009</t>
        </is>
      </c>
      <c r="E66" s="166" t="inlineStr">
        <is>
          <t>Hút ổ viêm/áp xe phần mềm</t>
        </is>
      </c>
      <c r="F66" s="234" t="n">
        <v>1</v>
      </c>
      <c r="G66" s="267" t="n">
        <v>418000</v>
      </c>
      <c r="H66" s="71" t="inlineStr">
        <is>
          <t>V.TÂN</t>
        </is>
      </c>
      <c r="I66" s="196">
        <f>L66-K66</f>
        <v/>
      </c>
      <c r="J66" s="45" t="inlineStr">
        <is>
          <t>ĐD</t>
        </is>
      </c>
      <c r="K66" s="196">
        <f>G66*0.05</f>
        <v/>
      </c>
      <c r="L66" s="196">
        <f>IF(H66="NGUYỆN",G66*25%*75%,IF(H66="TOẢN",G66*25%*75%,IF(H66="TÂN",G66*25%*75%,G66*0.25)))</f>
        <v/>
      </c>
    </row>
    <row r="67">
      <c r="A67" s="43" t="n">
        <v>61</v>
      </c>
      <c r="B67" s="163" t="inlineStr">
        <is>
          <t>2026/06/09 14:01</t>
        </is>
      </c>
      <c r="C67" s="153" t="inlineStr">
        <is>
          <t>BÙI LAN ANH</t>
        </is>
      </c>
      <c r="D67" s="164" t="inlineStr">
        <is>
          <t>29/08/2011</t>
        </is>
      </c>
      <c r="E67" s="166" t="inlineStr">
        <is>
          <t>Hút ổ viêm/áp xe phần mềm</t>
        </is>
      </c>
      <c r="F67" s="234" t="n">
        <v>1</v>
      </c>
      <c r="G67" s="267" t="n">
        <v>418000</v>
      </c>
      <c r="H67" s="71" t="inlineStr">
        <is>
          <t>TOẢN</t>
        </is>
      </c>
      <c r="I67" s="196">
        <f>L67-K67</f>
        <v/>
      </c>
      <c r="J67" s="45" t="inlineStr">
        <is>
          <t>ĐD</t>
        </is>
      </c>
      <c r="K67" s="196">
        <f>G67*0.05</f>
        <v/>
      </c>
      <c r="L67" s="196">
        <f>IF(H67="NGUYỆN",G67*25%*75%,IF(H67="TOẢN",G67*25%*75%,IF(H67="TÂN",G67*25%*75%,G67*0.25)))</f>
        <v/>
      </c>
    </row>
    <row r="68">
      <c r="A68" s="43" t="n">
        <v>62</v>
      </c>
      <c r="B68" s="163" t="inlineStr">
        <is>
          <t>2026/06/11 16:40</t>
        </is>
      </c>
      <c r="C68" s="153" t="inlineStr">
        <is>
          <t>LÊ HOA LÝ</t>
        </is>
      </c>
      <c r="D68" s="164" t="inlineStr">
        <is>
          <t>24/07/2003</t>
        </is>
      </c>
      <c r="E68" s="166" t="inlineStr">
        <is>
          <t>Hút ổ viêm/áp xe phần mềm</t>
        </is>
      </c>
      <c r="F68" s="234" t="n">
        <v>1</v>
      </c>
      <c r="G68" s="267" t="n">
        <v>418000</v>
      </c>
      <c r="H68" s="71" t="inlineStr">
        <is>
          <t>ĐIỀN</t>
        </is>
      </c>
      <c r="I68" s="196">
        <f>L68-K68</f>
        <v/>
      </c>
      <c r="J68" s="45" t="inlineStr">
        <is>
          <t>ĐD</t>
        </is>
      </c>
      <c r="K68" s="196">
        <f>G68*0.05</f>
        <v/>
      </c>
      <c r="L68" s="196">
        <f>IF(H68="NGUYỆN",G68*25%*75%,IF(H68="TOẢN",G68*25%*75%,IF(H68="TÂN",G68*25%*75%,G68*0.25)))</f>
        <v/>
      </c>
    </row>
    <row r="69">
      <c r="A69" s="43" t="n">
        <v>63</v>
      </c>
      <c r="B69" s="163" t="inlineStr">
        <is>
          <t>2026/06/12 08:12</t>
        </is>
      </c>
      <c r="C69" s="153" t="inlineStr">
        <is>
          <t>HUỲNH VIỆT TRUNG</t>
        </is>
      </c>
      <c r="D69" s="164" t="inlineStr">
        <is>
          <t>01/01/1979</t>
        </is>
      </c>
      <c r="E69" s="166" t="inlineStr">
        <is>
          <t>Hút ổ viêm/áp xe phần mềm</t>
        </is>
      </c>
      <c r="F69" s="234" t="n">
        <v>1</v>
      </c>
      <c r="G69" s="267" t="n">
        <v>126700</v>
      </c>
      <c r="H69" s="71" t="inlineStr">
        <is>
          <t>V.TÂN</t>
        </is>
      </c>
      <c r="I69" s="196">
        <f>L69-K69</f>
        <v/>
      </c>
      <c r="J69" s="45" t="inlineStr">
        <is>
          <t>ĐD</t>
        </is>
      </c>
      <c r="K69" s="196">
        <f>G69*0.05</f>
        <v/>
      </c>
      <c r="L69" s="196">
        <f>IF(H69="NGUYỆN",G69*25%*75%,IF(H69="TOẢN",G69*25%*75%,IF(H69="TÂN",G69*25%*75%,G69*0.25)))</f>
        <v/>
      </c>
    </row>
    <row r="70">
      <c r="A70" s="43" t="n">
        <v>64</v>
      </c>
      <c r="B70" s="163" t="inlineStr">
        <is>
          <t>2026/06/12 08:59</t>
        </is>
      </c>
      <c r="C70" s="153" t="inlineStr">
        <is>
          <t>LÊ THỊ KIỀU MY</t>
        </is>
      </c>
      <c r="D70" s="164" t="inlineStr">
        <is>
          <t>06/04/2014</t>
        </is>
      </c>
      <c r="E70" s="166" t="inlineStr">
        <is>
          <t>Hút ổ viêm/áp xe phần mềm</t>
        </is>
      </c>
      <c r="F70" s="234" t="n">
        <v>1</v>
      </c>
      <c r="G70" s="267" t="n">
        <v>418000</v>
      </c>
      <c r="H70" s="71" t="inlineStr">
        <is>
          <t>V.TÂN</t>
        </is>
      </c>
      <c r="I70" s="196">
        <f>L70-K70</f>
        <v/>
      </c>
      <c r="J70" s="45" t="inlineStr">
        <is>
          <t>ĐD</t>
        </is>
      </c>
      <c r="K70" s="196">
        <f>G70*0.05</f>
        <v/>
      </c>
      <c r="L70" s="196">
        <f>IF(H70="NGUYỆN",G70*25%*75%,IF(H70="TOẢN",G70*25%*75%,IF(H70="TÂN",G70*25%*75%,G70*0.25)))</f>
        <v/>
      </c>
    </row>
    <row r="71">
      <c r="A71" s="43" t="n">
        <v>65</v>
      </c>
      <c r="B71" s="163" t="inlineStr">
        <is>
          <t>2026/06/15 08:14</t>
        </is>
      </c>
      <c r="C71" s="153" t="inlineStr">
        <is>
          <t>NGUYỄN THỊ PHỤNG</t>
        </is>
      </c>
      <c r="D71" s="164" t="inlineStr">
        <is>
          <t>01/01/1967</t>
        </is>
      </c>
      <c r="E71" s="166" t="inlineStr">
        <is>
          <t>Tiêm khớp gối</t>
        </is>
      </c>
      <c r="F71" s="234" t="n">
        <v>1</v>
      </c>
      <c r="G71" s="267" t="n">
        <v>384000</v>
      </c>
      <c r="H71" s="71" t="inlineStr">
        <is>
          <t>SƠN</t>
        </is>
      </c>
      <c r="I71" s="196">
        <f>L71-K71</f>
        <v/>
      </c>
      <c r="J71" s="45" t="inlineStr">
        <is>
          <t>ĐD</t>
        </is>
      </c>
      <c r="K71" s="196">
        <f>G71*0.05</f>
        <v/>
      </c>
      <c r="L71" s="196">
        <f>IF(H71="NGUYỆN",G71*25%*75%,IF(H71="TOẢN",G71*25%*75%,IF(H71="TÂN",G71*25%*75%,G71*0.25)))</f>
        <v/>
      </c>
    </row>
    <row r="72">
      <c r="A72" s="43" t="n">
        <v>66</v>
      </c>
      <c r="B72" s="163" t="inlineStr">
        <is>
          <t>2026/06/16 07:58</t>
        </is>
      </c>
      <c r="C72" s="153" t="inlineStr">
        <is>
          <t>LÂM THÀNH LÂM</t>
        </is>
      </c>
      <c r="D72" s="164" t="inlineStr">
        <is>
          <t>05/05/1953</t>
        </is>
      </c>
      <c r="E72" s="166" t="inlineStr">
        <is>
          <t>Tiêm khớp gối</t>
        </is>
      </c>
      <c r="F72" s="234" t="n">
        <v>1</v>
      </c>
      <c r="G72" s="267" t="n">
        <v>384000</v>
      </c>
      <c r="H72" s="71" t="inlineStr">
        <is>
          <t>V.TÂN</t>
        </is>
      </c>
      <c r="I72" s="196">
        <f>L72-K72</f>
        <v/>
      </c>
      <c r="J72" s="45" t="inlineStr">
        <is>
          <t>ĐD</t>
        </is>
      </c>
      <c r="K72" s="196">
        <f>G72*0.05</f>
        <v/>
      </c>
      <c r="L72" s="196">
        <f>IF(H72="NGUYỆN",G72*25%*75%,IF(H72="TOẢN",G72*25%*75%,IF(H72="TÂN",G72*25%*75%,G72*0.25)))</f>
        <v/>
      </c>
    </row>
    <row r="73">
      <c r="A73" s="43" t="n">
        <v>67</v>
      </c>
      <c r="B73" s="163" t="inlineStr">
        <is>
          <t>2026/06/16 08:15</t>
        </is>
      </c>
      <c r="C73" s="153" t="inlineStr">
        <is>
          <t>PHẠM NGỌC ÁNH</t>
        </is>
      </c>
      <c r="D73" s="164" t="inlineStr">
        <is>
          <t>01/01/1970</t>
        </is>
      </c>
      <c r="E73" s="166" t="inlineStr">
        <is>
          <t>Tiêm khớp gối</t>
        </is>
      </c>
      <c r="F73" s="234" t="n">
        <v>1</v>
      </c>
      <c r="G73" s="267" t="n">
        <v>384000</v>
      </c>
      <c r="H73" s="71" t="inlineStr">
        <is>
          <t>V.TÂN</t>
        </is>
      </c>
      <c r="I73" s="196">
        <f>L73-K73</f>
        <v/>
      </c>
      <c r="J73" s="45" t="inlineStr">
        <is>
          <t>ĐD</t>
        </is>
      </c>
      <c r="K73" s="196">
        <f>G73*0.05</f>
        <v/>
      </c>
      <c r="L73" s="196">
        <f>IF(H73="NGUYỆN",G73*25%*75%,IF(H73="TOẢN",G73*25%*75%,IF(H73="TÂN",G73*25%*75%,G73*0.25)))</f>
        <v/>
      </c>
    </row>
    <row r="74">
      <c r="A74" s="43" t="n">
        <v>68</v>
      </c>
      <c r="B74" s="163" t="inlineStr">
        <is>
          <t>2026/06/16 09:20</t>
        </is>
      </c>
      <c r="C74" s="153" t="inlineStr">
        <is>
          <t>ĐINH THỊ HÀ</t>
        </is>
      </c>
      <c r="D74" s="164" t="inlineStr">
        <is>
          <t>20/06/1960</t>
        </is>
      </c>
      <c r="E74" s="166" t="inlineStr">
        <is>
          <t>Tiêm khớp gối</t>
        </is>
      </c>
      <c r="F74" s="234" t="n">
        <v>1</v>
      </c>
      <c r="G74" s="267" t="n">
        <v>384000</v>
      </c>
      <c r="H74" s="71" t="inlineStr">
        <is>
          <t>V.TÂN</t>
        </is>
      </c>
      <c r="I74" s="196">
        <f>L74-K74</f>
        <v/>
      </c>
      <c r="J74" s="45" t="inlineStr">
        <is>
          <t>ĐD</t>
        </is>
      </c>
      <c r="K74" s="196">
        <f>G74*0.05</f>
        <v/>
      </c>
      <c r="L74" s="196">
        <f>IF(H74="NGUYỆN",G74*25%*75%,IF(H74="TOẢN",G74*25%*75%,IF(H74="TÂN",G74*25%*75%,G74*0.25)))</f>
        <v/>
      </c>
    </row>
    <row r="75">
      <c r="A75" s="43" t="n">
        <v>69</v>
      </c>
      <c r="B75" s="163" t="inlineStr">
        <is>
          <t>2026/06/17 07:33</t>
        </is>
      </c>
      <c r="C75" s="153" t="inlineStr">
        <is>
          <t>ĐẶNG THANH TRÚC</t>
        </is>
      </c>
      <c r="D75" s="164" t="inlineStr">
        <is>
          <t>09/04/1971</t>
        </is>
      </c>
      <c r="E75" s="166" t="inlineStr">
        <is>
          <t>Tiêm gân Dequervein</t>
        </is>
      </c>
      <c r="F75" s="234" t="n">
        <v>1</v>
      </c>
      <c r="G75" s="267" t="n">
        <v>300000</v>
      </c>
      <c r="H75" s="71" t="inlineStr">
        <is>
          <t>HOAN</t>
        </is>
      </c>
      <c r="I75" s="196">
        <f>L75-K75</f>
        <v/>
      </c>
      <c r="J75" s="45" t="inlineStr">
        <is>
          <t>ĐD</t>
        </is>
      </c>
      <c r="K75" s="196">
        <f>G75*0.05</f>
        <v/>
      </c>
      <c r="L75" s="196">
        <f>IF(H75="NGUYỆN",G75*25%*75%,IF(H75="TOẢN",G75*25%*75%,IF(H75="TÂN",G75*25%*75%,G75*0.25)))</f>
        <v/>
      </c>
    </row>
    <row r="76">
      <c r="A76" s="43" t="n">
        <v>70</v>
      </c>
      <c r="B76" s="163" t="inlineStr">
        <is>
          <t>2026/06/17 09:48</t>
        </is>
      </c>
      <c r="C76" s="153" t="inlineStr">
        <is>
          <t>NGUYỄN THỊ HUỆ</t>
        </is>
      </c>
      <c r="D76" s="164" t="inlineStr">
        <is>
          <t>01/01/1957</t>
        </is>
      </c>
      <c r="E76" s="166" t="inlineStr">
        <is>
          <t>Chích rạch nhọt, Apxe nhỏ dẫn lưu</t>
        </is>
      </c>
      <c r="F76" s="234" t="n">
        <v>1</v>
      </c>
      <c r="G76" s="267" t="n">
        <v>500000</v>
      </c>
      <c r="H76" s="71" t="inlineStr">
        <is>
          <t>HOAN</t>
        </is>
      </c>
      <c r="I76" s="196">
        <f>L76-K76</f>
        <v/>
      </c>
      <c r="J76" s="45" t="inlineStr">
        <is>
          <t>ĐD</t>
        </is>
      </c>
      <c r="K76" s="196">
        <f>G76*0.05</f>
        <v/>
      </c>
      <c r="L76" s="196">
        <f>IF(H76="NGUYỆN",G76*25%*75%,IF(H76="TOẢN",G76*25%*75%,IF(H76="TÂN",G76*25%*75%,G76*0.25)))</f>
        <v/>
      </c>
    </row>
    <row r="77">
      <c r="A77" s="43" t="n">
        <v>71</v>
      </c>
      <c r="B77" s="163" t="inlineStr">
        <is>
          <t>2026/06/17 10:11</t>
        </is>
      </c>
      <c r="C77" s="153" t="inlineStr">
        <is>
          <t>VÕ HÙNG CƯỜNG</t>
        </is>
      </c>
      <c r="D77" s="164" t="inlineStr">
        <is>
          <t>16/01/1969</t>
        </is>
      </c>
      <c r="E77" s="166" t="inlineStr">
        <is>
          <t>Chích rạch nhọt, Apxe nhỏ dẫn lưu</t>
        </is>
      </c>
      <c r="F77" s="234" t="n">
        <v>1</v>
      </c>
      <c r="G77" s="267" t="n">
        <v>500000</v>
      </c>
      <c r="H77" s="71" t="inlineStr">
        <is>
          <t>HOAN</t>
        </is>
      </c>
      <c r="I77" s="196">
        <f>L77-K77</f>
        <v/>
      </c>
      <c r="J77" s="45" t="inlineStr">
        <is>
          <t>ĐD</t>
        </is>
      </c>
      <c r="K77" s="196">
        <f>G77*0.05</f>
        <v/>
      </c>
      <c r="L77" s="196">
        <f>IF(H77="NGUYỆN",G77*25%*75%,IF(H77="TOẢN",G77*25%*75%,IF(H77="TÂN",G77*25%*75%,G77*0.25)))</f>
        <v/>
      </c>
    </row>
    <row r="78">
      <c r="A78" s="43" t="n">
        <v>72</v>
      </c>
      <c r="B78" s="163" t="inlineStr">
        <is>
          <t>2026/06/17 10:19</t>
        </is>
      </c>
      <c r="C78" s="153" t="inlineStr">
        <is>
          <t>PHẠM NGỌC HÙNG</t>
        </is>
      </c>
      <c r="D78" s="164" t="inlineStr">
        <is>
          <t>12/06/1969</t>
        </is>
      </c>
      <c r="E78" s="166" t="inlineStr">
        <is>
          <t>Chích rạch nhọt, Apxe nhỏ dẫn lưu</t>
        </is>
      </c>
      <c r="F78" s="234" t="n">
        <v>1</v>
      </c>
      <c r="G78" s="267" t="n">
        <v>500000</v>
      </c>
      <c r="H78" s="71" t="inlineStr">
        <is>
          <t>TÚ</t>
        </is>
      </c>
      <c r="I78" s="196">
        <f>L78-K78</f>
        <v/>
      </c>
      <c r="J78" s="45" t="inlineStr">
        <is>
          <t>ĐD</t>
        </is>
      </c>
      <c r="K78" s="196">
        <f>G78*0.05</f>
        <v/>
      </c>
      <c r="L78" s="196">
        <f>IF(H78="NGUYỆN",G78*25%*75%,IF(H78="TOẢN",G78*25%*75%,IF(H78="TÂN",G78*25%*75%,G78*0.25)))</f>
        <v/>
      </c>
    </row>
    <row r="79">
      <c r="A79" s="43" t="n">
        <v>73</v>
      </c>
      <c r="B79" s="163" t="inlineStr">
        <is>
          <t>2026/06/17 13:52</t>
        </is>
      </c>
      <c r="C79" s="153" t="inlineStr">
        <is>
          <t>KHUẤT HÙNG</t>
        </is>
      </c>
      <c r="D79" s="164" t="inlineStr">
        <is>
          <t>01/01/1948</t>
        </is>
      </c>
      <c r="E79" s="166" t="inlineStr">
        <is>
          <t>Khâu vết thương phần mềm dài dưới 10 cm [tổn thương nông]</t>
        </is>
      </c>
      <c r="F79" s="234" t="n">
        <v>1</v>
      </c>
      <c r="G79" s="267" t="n">
        <v>194700</v>
      </c>
      <c r="H79" s="71" t="inlineStr">
        <is>
          <t>DUY</t>
        </is>
      </c>
      <c r="I79" s="196">
        <f>L79-K79</f>
        <v/>
      </c>
      <c r="J79" s="45" t="inlineStr">
        <is>
          <t>ĐD</t>
        </is>
      </c>
      <c r="K79" s="196">
        <f>G79*0.05</f>
        <v/>
      </c>
      <c r="L79" s="196">
        <f>IF(H79="NGUYỆN",G79*25%*75%,IF(H79="TOẢN",G79*25%*75%,IF(H79="TÂN",G79*25%*75%,G79*0.25)))</f>
        <v/>
      </c>
    </row>
    <row r="80">
      <c r="A80" s="43" t="n">
        <v>74</v>
      </c>
      <c r="B80" s="163" t="inlineStr">
        <is>
          <t>2026/06/17 16:20</t>
        </is>
      </c>
      <c r="C80" s="153" t="inlineStr">
        <is>
          <t>ĐẠO DUY KHIÊM</t>
        </is>
      </c>
      <c r="D80" s="164" t="inlineStr">
        <is>
          <t>09/10/2004</t>
        </is>
      </c>
      <c r="E80" s="166" t="inlineStr">
        <is>
          <t>Hút dịch khớp gối</t>
        </is>
      </c>
      <c r="F80" s="234" t="n">
        <v>1</v>
      </c>
      <c r="G80" s="267" t="n">
        <v>400000</v>
      </c>
      <c r="H80" s="71" t="inlineStr">
        <is>
          <t>DUY</t>
        </is>
      </c>
      <c r="I80" s="196">
        <f>L80-K80</f>
        <v/>
      </c>
      <c r="J80" s="45" t="inlineStr">
        <is>
          <t>ĐD</t>
        </is>
      </c>
      <c r="K80" s="196">
        <f>G80*0.05</f>
        <v/>
      </c>
      <c r="L80" s="196">
        <f>IF(H80="NGUYỆN",G80*25%*75%,IF(H80="TOẢN",G80*25%*75%,IF(H80="TÂN",G80*25%*75%,G80*0.25)))</f>
        <v/>
      </c>
    </row>
    <row r="81">
      <c r="A81" s="43" t="n">
        <v>75</v>
      </c>
      <c r="B81" s="163" t="inlineStr">
        <is>
          <t>2026/06/18 11:10</t>
        </is>
      </c>
      <c r="C81" s="153" t="inlineStr">
        <is>
          <t>VÕ THỊ PHƯỢNG HOÀNG</t>
        </is>
      </c>
      <c r="D81" s="164" t="inlineStr">
        <is>
          <t>01/01/1974</t>
        </is>
      </c>
      <c r="E81" s="166" t="inlineStr">
        <is>
          <t>Tiêm khớp gối</t>
        </is>
      </c>
      <c r="F81" s="234" t="n">
        <v>1</v>
      </c>
      <c r="G81" s="267" t="n">
        <v>384000</v>
      </c>
      <c r="H81" s="71" t="inlineStr">
        <is>
          <t>HOAN</t>
        </is>
      </c>
      <c r="I81" s="196">
        <f>L81-K81</f>
        <v/>
      </c>
      <c r="J81" s="45" t="inlineStr">
        <is>
          <t>ĐD</t>
        </is>
      </c>
      <c r="K81" s="196">
        <f>G81*0.05</f>
        <v/>
      </c>
      <c r="L81" s="196">
        <f>IF(H81="NGUYỆN",G81*25%*75%,IF(H81="TOẢN",G81*25%*75%,IF(H81="TÂN",G81*25%*75%,G81*0.25)))</f>
        <v/>
      </c>
    </row>
    <row r="82">
      <c r="A82" s="43" t="n">
        <v>76</v>
      </c>
      <c r="B82" s="163" t="inlineStr">
        <is>
          <t>2026/06/19 14:51</t>
        </is>
      </c>
      <c r="C82" s="153" t="inlineStr">
        <is>
          <t>BÙI THỊ THÚY AN</t>
        </is>
      </c>
      <c r="D82" s="164" t="inlineStr">
        <is>
          <t>30/04/2000</t>
        </is>
      </c>
      <c r="E82" s="166" t="inlineStr">
        <is>
          <t>Hút ổ viêm/áp xe phần mềm</t>
        </is>
      </c>
      <c r="F82" s="234" t="n">
        <v>1</v>
      </c>
      <c r="G82" s="267" t="n">
        <v>418000</v>
      </c>
      <c r="H82" s="71" t="inlineStr">
        <is>
          <t>V.TÂN</t>
        </is>
      </c>
      <c r="I82" s="196">
        <f>L82-K82</f>
        <v/>
      </c>
      <c r="J82" s="45" t="inlineStr">
        <is>
          <t>ĐD</t>
        </is>
      </c>
      <c r="K82" s="196">
        <f>G82*0.05</f>
        <v/>
      </c>
      <c r="L82" s="196">
        <f>IF(H82="NGUYỆN",G82*25%*75%,IF(H82="TOẢN",G82*25%*75%,IF(H82="TÂN",G82*25%*75%,G82*0.25)))</f>
        <v/>
      </c>
    </row>
    <row r="83">
      <c r="A83" s="43" t="n">
        <v>77</v>
      </c>
      <c r="B83" s="163" t="inlineStr">
        <is>
          <t>2026/06/22 13:34</t>
        </is>
      </c>
      <c r="C83" s="153" t="inlineStr">
        <is>
          <t>HUỲNH VĂN BÌNH</t>
        </is>
      </c>
      <c r="D83" s="164" t="inlineStr">
        <is>
          <t>01/01/1987</t>
        </is>
      </c>
      <c r="E83" s="166" t="inlineStr">
        <is>
          <t>Tiêm gân gấp ngón tay</t>
        </is>
      </c>
      <c r="F83" s="234" t="n">
        <v>1</v>
      </c>
      <c r="G83" s="267" t="n">
        <v>104400</v>
      </c>
      <c r="H83" s="71" t="inlineStr">
        <is>
          <t>BẢO</t>
        </is>
      </c>
      <c r="I83" s="196">
        <f>L83-K83</f>
        <v/>
      </c>
      <c r="J83" s="45" t="inlineStr">
        <is>
          <t>ĐD</t>
        </is>
      </c>
      <c r="K83" s="196">
        <f>G83*0.05</f>
        <v/>
      </c>
      <c r="L83" s="196">
        <f>IF(H83="NGUYỆN",G83*25%*75%,IF(H83="TOẢN",G83*25%*75%,IF(H83="TÂN",G83*25%*75%,G83*0.25)))</f>
        <v/>
      </c>
    </row>
    <row r="84">
      <c r="A84" s="43" t="n">
        <v>78</v>
      </c>
      <c r="B84" s="163" t="inlineStr">
        <is>
          <t>2026/06/22 13:43</t>
        </is>
      </c>
      <c r="C84" s="153" t="inlineStr">
        <is>
          <t>HUỲNH THANH TUẤN</t>
        </is>
      </c>
      <c r="D84" s="164" t="inlineStr">
        <is>
          <t>24/01/1976</t>
        </is>
      </c>
      <c r="E84" s="166" t="inlineStr">
        <is>
          <t>Hút ổ viêm/áp xe phần mềm</t>
        </is>
      </c>
      <c r="F84" s="234" t="n">
        <v>1</v>
      </c>
      <c r="G84" s="267" t="n">
        <v>418000</v>
      </c>
      <c r="H84" s="71" t="inlineStr">
        <is>
          <t>BẢO</t>
        </is>
      </c>
      <c r="I84" s="196">
        <f>L84-K84</f>
        <v/>
      </c>
      <c r="J84" s="45" t="inlineStr">
        <is>
          <t>ĐD</t>
        </is>
      </c>
      <c r="K84" s="196">
        <f>G84*0.05</f>
        <v/>
      </c>
      <c r="L84" s="196">
        <f>IF(H84="NGUYỆN",G84*25%*75%,IF(H84="TOẢN",G84*25%*75%,IF(H84="TÂN",G84*25%*75%,G84*0.25)))</f>
        <v/>
      </c>
    </row>
    <row r="85">
      <c r="A85" s="43" t="n">
        <v>79</v>
      </c>
      <c r="B85" s="163" t="inlineStr">
        <is>
          <t>2026/06/22 15:48</t>
        </is>
      </c>
      <c r="C85" s="153" t="inlineStr">
        <is>
          <t>LÂM MỸ HOÀNG</t>
        </is>
      </c>
      <c r="D85" s="164" t="inlineStr">
        <is>
          <t>01/01/1970</t>
        </is>
      </c>
      <c r="E85" s="166" t="inlineStr">
        <is>
          <t>Tiêm gân gấp ngón tay</t>
        </is>
      </c>
      <c r="F85" s="234" t="n">
        <v>1</v>
      </c>
      <c r="G85" s="267" t="n">
        <v>104400</v>
      </c>
      <c r="H85" s="71" t="inlineStr">
        <is>
          <t>BẢO</t>
        </is>
      </c>
      <c r="I85" s="196">
        <f>L85-K85</f>
        <v/>
      </c>
      <c r="J85" s="45" t="inlineStr">
        <is>
          <t>ĐD</t>
        </is>
      </c>
      <c r="K85" s="196">
        <f>G85*0.05</f>
        <v/>
      </c>
      <c r="L85" s="196">
        <f>IF(H85="NGUYỆN",G85*25%*75%,IF(H85="TOẢN",G85*25%*75%,IF(H85="TÂN",G85*25%*75%,G85*0.25)))</f>
        <v/>
      </c>
    </row>
    <row r="86">
      <c r="A86" s="43" t="n">
        <v>80</v>
      </c>
      <c r="B86" s="163" t="inlineStr">
        <is>
          <t>2026/06/22 15:55</t>
        </is>
      </c>
      <c r="C86" s="153" t="inlineStr">
        <is>
          <t>LƯƠNG THỊ YẾN</t>
        </is>
      </c>
      <c r="D86" s="164" t="inlineStr">
        <is>
          <t>01/01/1970</t>
        </is>
      </c>
      <c r="E86" s="166" t="inlineStr">
        <is>
          <t>Tiêm khớp gối</t>
        </is>
      </c>
      <c r="F86" s="234" t="n">
        <v>1</v>
      </c>
      <c r="G86" s="267" t="n">
        <v>384000</v>
      </c>
      <c r="H86" s="71" t="inlineStr">
        <is>
          <t>BẢO</t>
        </is>
      </c>
      <c r="I86" s="196">
        <f>L86-K86</f>
        <v/>
      </c>
      <c r="J86" s="45" t="inlineStr">
        <is>
          <t>ĐD</t>
        </is>
      </c>
      <c r="K86" s="196">
        <f>G86*0.05</f>
        <v/>
      </c>
      <c r="L86" s="196">
        <f>IF(H86="NGUYỆN",G86*25%*75%,IF(H86="TOẢN",G86*25%*75%,IF(H86="TÂN",G86*25%*75%,G86*0.25)))</f>
        <v/>
      </c>
    </row>
    <row r="87">
      <c r="A87" s="43" t="n">
        <v>81</v>
      </c>
      <c r="B87" s="163" t="inlineStr">
        <is>
          <t>2026/06/23 08:14</t>
        </is>
      </c>
      <c r="C87" s="153" t="inlineStr">
        <is>
          <t>LÊ TRÍ HIẾU</t>
        </is>
      </c>
      <c r="D87" s="164" t="inlineStr">
        <is>
          <t>01/01/1982</t>
        </is>
      </c>
      <c r="E87" s="166" t="inlineStr">
        <is>
          <t>Hút ổ viêm/áp xe phần mềm</t>
        </is>
      </c>
      <c r="F87" s="234" t="n">
        <v>1</v>
      </c>
      <c r="G87" s="267" t="n">
        <v>418000</v>
      </c>
      <c r="H87" s="71" t="inlineStr">
        <is>
          <t>V.TÂN</t>
        </is>
      </c>
      <c r="I87" s="196">
        <f>L87-K87</f>
        <v/>
      </c>
      <c r="J87" s="45" t="inlineStr">
        <is>
          <t>ĐD</t>
        </is>
      </c>
      <c r="K87" s="196">
        <f>G87*0.05</f>
        <v/>
      </c>
      <c r="L87" s="196">
        <f>IF(H87="NGUYỆN",G87*25%*75%,IF(H87="TOẢN",G87*25%*75%,IF(H87="TÂN",G87*25%*75%,G87*0.25)))</f>
        <v/>
      </c>
    </row>
    <row r="88">
      <c r="A88" s="43" t="n">
        <v>82</v>
      </c>
      <c r="B88" s="163" t="inlineStr">
        <is>
          <t>2026/06/23 09:02</t>
        </is>
      </c>
      <c r="C88" s="153" t="inlineStr">
        <is>
          <t>MAI THỊ ĐỰNG</t>
        </is>
      </c>
      <c r="D88" s="164" t="inlineStr">
        <is>
          <t>01/01/1942</t>
        </is>
      </c>
      <c r="E88" s="166" t="inlineStr">
        <is>
          <t>Hút ổ viêm/áp xe phần mềm</t>
        </is>
      </c>
      <c r="F88" s="234" t="n">
        <v>1</v>
      </c>
      <c r="G88" s="267" t="n">
        <v>418000</v>
      </c>
      <c r="H88" s="71" t="inlineStr">
        <is>
          <t>V.TÂN</t>
        </is>
      </c>
      <c r="I88" s="196">
        <f>L88-K88</f>
        <v/>
      </c>
      <c r="J88" s="45" t="inlineStr">
        <is>
          <t>ĐD</t>
        </is>
      </c>
      <c r="K88" s="196">
        <f>G88*0.05</f>
        <v/>
      </c>
      <c r="L88" s="196">
        <f>IF(H88="NGUYỆN",G88*25%*75%,IF(H88="TOẢN",G88*25%*75%,IF(H88="TÂN",G88*25%*75%,G88*0.25)))</f>
        <v/>
      </c>
    </row>
    <row r="89">
      <c r="A89" s="43" t="n">
        <v>83</v>
      </c>
      <c r="B89" s="163" t="inlineStr">
        <is>
          <t>2026/06/23 09:28</t>
        </is>
      </c>
      <c r="C89" s="153" t="inlineStr">
        <is>
          <t>TRƯƠNG THỊ HIẾU</t>
        </is>
      </c>
      <c r="D89" s="164" t="inlineStr">
        <is>
          <t>01/01/1959</t>
        </is>
      </c>
      <c r="E89" s="166" t="inlineStr">
        <is>
          <t>Hút ổ viêm/áp xe phần mềm</t>
        </is>
      </c>
      <c r="F89" s="234" t="n">
        <v>1</v>
      </c>
      <c r="G89" s="267" t="n">
        <v>418000</v>
      </c>
      <c r="H89" s="71" t="inlineStr">
        <is>
          <t>V.TÂN</t>
        </is>
      </c>
      <c r="I89" s="196">
        <f>L89-K89</f>
        <v/>
      </c>
      <c r="J89" s="45" t="inlineStr">
        <is>
          <t>ĐD</t>
        </is>
      </c>
      <c r="K89" s="196">
        <f>G89*0.05</f>
        <v/>
      </c>
      <c r="L89" s="196">
        <f>IF(H89="NGUYỆN",G89*25%*75%,IF(H89="TOẢN",G89*25%*75%,IF(H89="TÂN",G89*25%*75%,G89*0.25)))</f>
        <v/>
      </c>
    </row>
    <row r="90">
      <c r="A90" s="43" t="n">
        <v>84</v>
      </c>
      <c r="B90" s="163" t="inlineStr">
        <is>
          <t>2026/06/23 14:38</t>
        </is>
      </c>
      <c r="C90" s="153" t="inlineStr">
        <is>
          <t>NGUYỄN THỊ BÍCH HIỀN</t>
        </is>
      </c>
      <c r="D90" s="164" t="inlineStr">
        <is>
          <t>19/10/1997</t>
        </is>
      </c>
      <c r="E90" s="166" t="inlineStr">
        <is>
          <t>Mắt cá 1-2 thương tổn</t>
        </is>
      </c>
      <c r="F90" s="234" t="n">
        <v>1</v>
      </c>
      <c r="G90" s="267" t="n">
        <v>500000</v>
      </c>
      <c r="H90" s="71" t="inlineStr">
        <is>
          <t>TOẢN</t>
        </is>
      </c>
      <c r="I90" s="196">
        <f>L90-K90</f>
        <v/>
      </c>
      <c r="J90" s="45" t="inlineStr">
        <is>
          <t>ĐD</t>
        </is>
      </c>
      <c r="K90" s="196">
        <f>G90*0.05</f>
        <v/>
      </c>
      <c r="L90" s="196">
        <f>IF(H90="NGUYỆN",G90*25%*75%,IF(H90="TOẢN",G90*25%*75%,IF(H90="TÂN",G90*25%*75%,G90*0.25)))</f>
        <v/>
      </c>
    </row>
    <row r="91">
      <c r="A91" s="43" t="n">
        <v>85</v>
      </c>
      <c r="B91" s="163" t="inlineStr">
        <is>
          <t>2026/06/23 15:02</t>
        </is>
      </c>
      <c r="C91" s="153" t="inlineStr">
        <is>
          <t>PHẠM ĐĂNG KHOA</t>
        </is>
      </c>
      <c r="D91" s="164" t="inlineStr">
        <is>
          <t>01/01/2010</t>
        </is>
      </c>
      <c r="E91" s="166" t="inlineStr">
        <is>
          <t>Mắt cá 1-2 thương tổn</t>
        </is>
      </c>
      <c r="F91" s="234" t="n">
        <v>1</v>
      </c>
      <c r="G91" s="267" t="n">
        <v>500000</v>
      </c>
      <c r="H91" s="71" t="inlineStr">
        <is>
          <t>TOẢN</t>
        </is>
      </c>
      <c r="I91" s="196">
        <f>L91-K91</f>
        <v/>
      </c>
      <c r="J91" s="45" t="inlineStr">
        <is>
          <t>ĐD</t>
        </is>
      </c>
      <c r="K91" s="196">
        <f>G91*0.05</f>
        <v/>
      </c>
      <c r="L91" s="196">
        <f>IF(H91="NGUYỆN",G91*25%*75%,IF(H91="TOẢN",G91*25%*75%,IF(H91="TÂN",G91*25%*75%,G91*0.25)))</f>
        <v/>
      </c>
    </row>
    <row r="92">
      <c r="A92" s="43" t="n">
        <v>86</v>
      </c>
      <c r="B92" s="163" t="inlineStr">
        <is>
          <t>2026/06/23 15:26</t>
        </is>
      </c>
      <c r="C92" s="153" t="inlineStr">
        <is>
          <t>NGUYỄN THỊ MẬN</t>
        </is>
      </c>
      <c r="D92" s="164" t="inlineStr">
        <is>
          <t>01/01/1968</t>
        </is>
      </c>
      <c r="E92" s="166" t="inlineStr">
        <is>
          <t>Hút ổ viêm/áp xe phần mềm</t>
        </is>
      </c>
      <c r="F92" s="234" t="n">
        <v>1</v>
      </c>
      <c r="G92" s="267" t="n">
        <v>418000</v>
      </c>
      <c r="H92" s="71" t="inlineStr">
        <is>
          <t>TOẢN</t>
        </is>
      </c>
      <c r="I92" s="196">
        <f>L92-K92</f>
        <v/>
      </c>
      <c r="J92" s="45" t="inlineStr">
        <is>
          <t>ĐD</t>
        </is>
      </c>
      <c r="K92" s="196">
        <f>G92*0.05</f>
        <v/>
      </c>
      <c r="L92" s="196">
        <f>IF(H92="NGUYỆN",G92*25%*75%,IF(H92="TOẢN",G92*25%*75%,IF(H92="TÂN",G92*25%*75%,G92*0.25)))</f>
        <v/>
      </c>
    </row>
    <row r="93">
      <c r="A93" s="43" t="n">
        <v>87</v>
      </c>
      <c r="B93" s="163" t="inlineStr">
        <is>
          <t>2026/06/23 15:37</t>
        </is>
      </c>
      <c r="C93" s="153" t="inlineStr">
        <is>
          <t>NGUYỄN PHI ĐỨC</t>
        </is>
      </c>
      <c r="D93" s="164" t="inlineStr">
        <is>
          <t>08/11/1998</t>
        </is>
      </c>
      <c r="E93" s="166" t="inlineStr">
        <is>
          <t>Hút ổ viêm/áp xe phần mềm</t>
        </is>
      </c>
      <c r="F93" s="234" t="n">
        <v>1</v>
      </c>
      <c r="G93" s="267" t="n">
        <v>418000</v>
      </c>
      <c r="H93" s="71" t="inlineStr">
        <is>
          <t>TOẢN</t>
        </is>
      </c>
      <c r="I93" s="196">
        <f>L93-K93</f>
        <v/>
      </c>
      <c r="J93" s="45" t="inlineStr">
        <is>
          <t>ĐD</t>
        </is>
      </c>
      <c r="K93" s="196">
        <f>G93*0.05</f>
        <v/>
      </c>
      <c r="L93" s="196">
        <f>IF(H93="NGUYỆN",G93*25%*75%,IF(H93="TOẢN",G93*25%*75%,IF(H93="TÂN",G93*25%*75%,G93*0.25)))</f>
        <v/>
      </c>
    </row>
    <row r="94">
      <c r="A94" s="43" t="n">
        <v>88</v>
      </c>
      <c r="B94" s="163" t="inlineStr">
        <is>
          <t>2026/06/24 11:49</t>
        </is>
      </c>
      <c r="C94" s="153" t="inlineStr">
        <is>
          <t>BÙI THANH TÂM</t>
        </is>
      </c>
      <c r="D94" s="164" t="inlineStr">
        <is>
          <t>01/01/1979</t>
        </is>
      </c>
      <c r="E94" s="166" t="inlineStr">
        <is>
          <t>Chích rạch nhọt, Apxe nhỏ dẫn lưu</t>
        </is>
      </c>
      <c r="F94" s="234" t="n">
        <v>1</v>
      </c>
      <c r="G94" s="267" t="n">
        <v>500000</v>
      </c>
      <c r="H94" s="71" t="inlineStr">
        <is>
          <t>HOAN</t>
        </is>
      </c>
      <c r="I94" s="196">
        <f>L94-K94</f>
        <v/>
      </c>
      <c r="J94" s="45" t="inlineStr">
        <is>
          <t>ĐD</t>
        </is>
      </c>
      <c r="K94" s="196">
        <f>G94*0.05</f>
        <v/>
      </c>
      <c r="L94" s="196">
        <f>IF(H94="NGUYỆN",G94*25%*75%,IF(H94="TOẢN",G94*25%*75%,IF(H94="TÂN",G94*25%*75%,G94*0.25)))</f>
        <v/>
      </c>
    </row>
    <row r="95">
      <c r="A95" s="43" t="n">
        <v>89</v>
      </c>
      <c r="B95" s="163" t="inlineStr">
        <is>
          <t>2026/06/24 14:18</t>
        </is>
      </c>
      <c r="C95" s="153" t="inlineStr">
        <is>
          <t>PHẠM NGỌC HÙNG</t>
        </is>
      </c>
      <c r="D95" s="164" t="inlineStr">
        <is>
          <t>12/06/1969</t>
        </is>
      </c>
      <c r="E95" s="166" t="inlineStr">
        <is>
          <t>Hút ổ viêm/áp xe phần mềm</t>
        </is>
      </c>
      <c r="F95" s="234" t="n">
        <v>1</v>
      </c>
      <c r="G95" s="267" t="n">
        <v>126700</v>
      </c>
      <c r="H95" s="71" t="inlineStr">
        <is>
          <t>G.TỬ</t>
        </is>
      </c>
      <c r="I95" s="196">
        <f>L95-K95</f>
        <v/>
      </c>
      <c r="J95" s="45" t="inlineStr">
        <is>
          <t>ĐD</t>
        </is>
      </c>
      <c r="K95" s="196">
        <f>G95*0.05</f>
        <v/>
      </c>
      <c r="L95" s="196">
        <f>IF(H95="NGUYỆN",G95*25%*75%,IF(H95="TOẢN",G95*25%*75%,IF(H95="TÂN",G95*25%*75%,G95*0.25)))</f>
        <v/>
      </c>
    </row>
    <row r="96">
      <c r="A96" s="43" t="n">
        <v>90</v>
      </c>
      <c r="B96" s="163" t="inlineStr">
        <is>
          <t>2026/06/25 11:08</t>
        </is>
      </c>
      <c r="C96" s="153" t="inlineStr">
        <is>
          <t>HUỲNH THỊ BẢO XUYÊN</t>
        </is>
      </c>
      <c r="D96" s="164" t="inlineStr">
        <is>
          <t>01/01/1988</t>
        </is>
      </c>
      <c r="E96" s="166" t="inlineStr">
        <is>
          <t>Hút ổ viêm/áp xe phần mềm</t>
        </is>
      </c>
      <c r="F96" s="234" t="n">
        <v>1</v>
      </c>
      <c r="G96" s="267" t="n">
        <v>418000</v>
      </c>
      <c r="H96" s="71" t="inlineStr">
        <is>
          <t>DUY</t>
        </is>
      </c>
      <c r="I96" s="196">
        <f>L96-K96</f>
        <v/>
      </c>
      <c r="J96" s="45" t="inlineStr">
        <is>
          <t>ĐD</t>
        </is>
      </c>
      <c r="K96" s="196">
        <f>G96*0.05</f>
        <v/>
      </c>
      <c r="L96" s="196">
        <f>IF(H96="NGUYỆN",G96*25%*75%,IF(H96="TOẢN",G96*25%*75%,IF(H96="TÂN",G96*25%*75%,G96*0.25)))</f>
        <v/>
      </c>
    </row>
    <row r="97">
      <c r="A97" s="43" t="n">
        <v>91</v>
      </c>
      <c r="B97" s="163" t="inlineStr">
        <is>
          <t>2026/06/26 07:32</t>
        </is>
      </c>
      <c r="C97" s="153" t="inlineStr">
        <is>
          <t>NGUYỄN HỒNG HÀI</t>
        </is>
      </c>
      <c r="D97" s="164" t="inlineStr">
        <is>
          <t>03/11/1978</t>
        </is>
      </c>
      <c r="E97" s="166" t="inlineStr">
        <is>
          <t>Tiêm gân gấp ngón tay</t>
        </is>
      </c>
      <c r="F97" s="234" t="n">
        <v>1</v>
      </c>
      <c r="G97" s="267" t="n">
        <v>384000</v>
      </c>
      <c r="H97" s="71" t="inlineStr">
        <is>
          <t>V.TÂN</t>
        </is>
      </c>
      <c r="I97" s="196">
        <f>L97-K97</f>
        <v/>
      </c>
      <c r="J97" s="45" t="inlineStr">
        <is>
          <t>ĐD</t>
        </is>
      </c>
      <c r="K97" s="196">
        <f>G97*0.05</f>
        <v/>
      </c>
      <c r="L97" s="196">
        <f>IF(H97="NGUYỆN",G97*25%*75%,IF(H97="TOẢN",G97*25%*75%,IF(H97="TÂN",G97*25%*75%,G97*0.25)))</f>
        <v/>
      </c>
    </row>
    <row r="98">
      <c r="A98" s="43" t="n">
        <v>92</v>
      </c>
      <c r="B98" s="163" t="inlineStr">
        <is>
          <t>2026/06/26 08:04</t>
        </is>
      </c>
      <c r="C98" s="153" t="inlineStr">
        <is>
          <t>MAI PHƯƠNG VŨ</t>
        </is>
      </c>
      <c r="D98" s="164" t="inlineStr">
        <is>
          <t>20/03/1979</t>
        </is>
      </c>
      <c r="E98" s="166" t="inlineStr">
        <is>
          <t>Tiêm gân gấp ngón tay</t>
        </is>
      </c>
      <c r="F98" s="234" t="n">
        <v>1</v>
      </c>
      <c r="G98" s="267" t="n">
        <v>384000</v>
      </c>
      <c r="H98" s="71" t="inlineStr">
        <is>
          <t>V.TÂN</t>
        </is>
      </c>
      <c r="I98" s="196">
        <f>L98-K98</f>
        <v/>
      </c>
      <c r="J98" s="45" t="inlineStr">
        <is>
          <t>ĐD</t>
        </is>
      </c>
      <c r="K98" s="196">
        <f>G98*0.05</f>
        <v/>
      </c>
      <c r="L98" s="196">
        <f>IF(H98="NGUYỆN",G98*25%*75%,IF(H98="TOẢN",G98*25%*75%,IF(H98="TÂN",G98*25%*75%,G98*0.25)))</f>
        <v/>
      </c>
    </row>
    <row r="99">
      <c r="A99" s="43" t="n">
        <v>93</v>
      </c>
      <c r="B99" s="163" t="inlineStr">
        <is>
          <t>2026/06/26 09:28</t>
        </is>
      </c>
      <c r="C99" s="153" t="inlineStr">
        <is>
          <t>TRẦN THỊ HẰNG</t>
        </is>
      </c>
      <c r="D99" s="164" t="inlineStr">
        <is>
          <t>01/01/1981</t>
        </is>
      </c>
      <c r="E99" s="166" t="inlineStr">
        <is>
          <t>Khâu vết thương phần mềm dài dưới 10 cm [tổn thương nông]</t>
        </is>
      </c>
      <c r="F99" s="234" t="n">
        <v>1</v>
      </c>
      <c r="G99" s="267" t="n">
        <v>500000</v>
      </c>
      <c r="H99" s="71" t="inlineStr">
        <is>
          <t>V.TÂN</t>
        </is>
      </c>
      <c r="I99" s="196">
        <f>L99-K99</f>
        <v/>
      </c>
      <c r="J99" s="45" t="inlineStr">
        <is>
          <t>ĐD</t>
        </is>
      </c>
      <c r="K99" s="196">
        <f>G99*0.05</f>
        <v/>
      </c>
      <c r="L99" s="196">
        <f>IF(H99="NGUYỆN",G99*25%*75%,IF(H99="TOẢN",G99*25%*75%,IF(H99="TÂN",G99*25%*75%,G99*0.25)))</f>
        <v/>
      </c>
    </row>
    <row r="100">
      <c r="A100" s="43" t="n">
        <v>94</v>
      </c>
      <c r="B100" s="163" t="inlineStr">
        <is>
          <t>2026/06/26 10:27</t>
        </is>
      </c>
      <c r="C100" s="153" t="inlineStr">
        <is>
          <t>PHẠM THỊ BÉ TÁM</t>
        </is>
      </c>
      <c r="D100" s="164" t="inlineStr">
        <is>
          <t>01/01/1977</t>
        </is>
      </c>
      <c r="E100" s="166" t="inlineStr">
        <is>
          <t>Hút ổ viêm/áp xe phần mềm</t>
        </is>
      </c>
      <c r="F100" s="234" t="n">
        <v>1</v>
      </c>
      <c r="G100" s="267" t="n">
        <v>418000</v>
      </c>
      <c r="H100" s="71" t="inlineStr">
        <is>
          <t>V.TÂN</t>
        </is>
      </c>
      <c r="I100" s="196">
        <f>L100-K100</f>
        <v/>
      </c>
      <c r="J100" s="45" t="inlineStr">
        <is>
          <t>ĐD</t>
        </is>
      </c>
      <c r="K100" s="196">
        <f>G100*0.05</f>
        <v/>
      </c>
      <c r="L100" s="196">
        <f>IF(H100="NGUYỆN",G100*25%*75%,IF(H100="TOẢN",G100*25%*75%,IF(H100="TÂN",G100*25%*75%,G100*0.25)))</f>
        <v/>
      </c>
    </row>
    <row r="101">
      <c r="A101" s="43" t="n">
        <v>95</v>
      </c>
      <c r="B101" s="163" t="inlineStr">
        <is>
          <t>2026/06/29 07:34</t>
        </is>
      </c>
      <c r="C101" s="153" t="inlineStr">
        <is>
          <t>LÊ THỊ LANG</t>
        </is>
      </c>
      <c r="D101" s="164" t="inlineStr">
        <is>
          <t>01/01/1940</t>
        </is>
      </c>
      <c r="E101" s="166" t="inlineStr">
        <is>
          <t>Tiêm khớp gối</t>
        </is>
      </c>
      <c r="F101" s="234" t="n">
        <v>1</v>
      </c>
      <c r="G101" s="267" t="n">
        <v>384000</v>
      </c>
      <c r="H101" s="71" t="inlineStr">
        <is>
          <t>BẢO</t>
        </is>
      </c>
      <c r="I101" s="196">
        <f>L101-K101</f>
        <v/>
      </c>
      <c r="J101" s="45" t="inlineStr">
        <is>
          <t>ĐD</t>
        </is>
      </c>
      <c r="K101" s="196">
        <f>G101*0.05</f>
        <v/>
      </c>
      <c r="L101" s="196">
        <f>IF(H101="NGUYỆN",G101*25%*75%,IF(H101="TOẢN",G101*25%*75%,IF(H101="TÂN",G101*25%*75%,G101*0.25)))</f>
        <v/>
      </c>
    </row>
    <row r="102">
      <c r="A102" s="43" t="n">
        <v>96</v>
      </c>
      <c r="B102" s="163" t="inlineStr">
        <is>
          <t>2026/06/29 07:34</t>
        </is>
      </c>
      <c r="C102" s="153" t="inlineStr">
        <is>
          <t>NGUYỄN THỊ THẮM</t>
        </is>
      </c>
      <c r="D102" s="164" t="inlineStr">
        <is>
          <t>23/07/1972</t>
        </is>
      </c>
      <c r="E102" s="166" t="inlineStr">
        <is>
          <t>Tiêm khớp gối</t>
        </is>
      </c>
      <c r="F102" s="234" t="n">
        <v>1</v>
      </c>
      <c r="G102" s="267" t="n">
        <v>384000</v>
      </c>
      <c r="H102" s="71" t="inlineStr">
        <is>
          <t>SƠN</t>
        </is>
      </c>
      <c r="I102" s="196">
        <f>L102-K102</f>
        <v/>
      </c>
      <c r="J102" s="45" t="inlineStr">
        <is>
          <t>ĐD</t>
        </is>
      </c>
      <c r="K102" s="196">
        <f>G102*0.05</f>
        <v/>
      </c>
      <c r="L102" s="196">
        <f>IF(H102="NGUYỆN",G102*25%*75%,IF(H102="TOẢN",G102*25%*75%,IF(H102="TÂN",G102*25%*75%,G102*0.25)))</f>
        <v/>
      </c>
    </row>
    <row r="103">
      <c r="A103" s="43" t="n">
        <v>97</v>
      </c>
      <c r="B103" s="163" t="inlineStr">
        <is>
          <t>2026/06/30 07:34</t>
        </is>
      </c>
      <c r="C103" s="153" t="inlineStr">
        <is>
          <t>LÊ THỊ THỤC</t>
        </is>
      </c>
      <c r="D103" s="164" t="inlineStr">
        <is>
          <t>02/06/1962</t>
        </is>
      </c>
      <c r="E103" s="166" t="inlineStr">
        <is>
          <t>Hút ổ viêm/áp xe phần mềm</t>
        </is>
      </c>
      <c r="F103" s="234" t="n">
        <v>1</v>
      </c>
      <c r="G103" s="267" t="n">
        <v>126700</v>
      </c>
      <c r="H103" s="71" t="inlineStr">
        <is>
          <t>V.TÂN</t>
        </is>
      </c>
      <c r="I103" s="196">
        <f>L103-K103</f>
        <v/>
      </c>
      <c r="J103" s="45" t="inlineStr">
        <is>
          <t>ĐD</t>
        </is>
      </c>
      <c r="K103" s="196">
        <f>G103*0.05</f>
        <v/>
      </c>
      <c r="L103" s="196">
        <f>IF(H103="NGUYỆN",G103*25%*75%,IF(H103="TOẢN",G103*25%*75%,IF(H103="TÂN",G103*25%*75%,G103*0.25)))</f>
        <v/>
      </c>
    </row>
    <row r="104">
      <c r="A104" s="43" t="n">
        <v>98</v>
      </c>
      <c r="B104" s="163" t="inlineStr">
        <is>
          <t>2026/06/30 07:47</t>
        </is>
      </c>
      <c r="C104" s="153" t="inlineStr">
        <is>
          <t>LÂM NGỌC KIỀU</t>
        </is>
      </c>
      <c r="D104" s="164" t="inlineStr">
        <is>
          <t>29/03/1969</t>
        </is>
      </c>
      <c r="E104" s="166" t="inlineStr">
        <is>
          <t>Tiêm khớp gối</t>
        </is>
      </c>
      <c r="F104" s="234" t="n">
        <v>1</v>
      </c>
      <c r="G104" s="267" t="n">
        <v>384000</v>
      </c>
      <c r="H104" s="71" t="inlineStr">
        <is>
          <t>V.TÂN</t>
        </is>
      </c>
      <c r="I104" s="196">
        <f>L104-K104</f>
        <v/>
      </c>
      <c r="J104" s="45" t="inlineStr">
        <is>
          <t>ĐD</t>
        </is>
      </c>
      <c r="K104" s="196">
        <f>G104*0.05</f>
        <v/>
      </c>
      <c r="L104" s="196">
        <f>IF(H104="NGUYỆN",G104*25%*75%,IF(H104="TOẢN",G104*25%*75%,IF(H104="TÂN",G104*25%*75%,G104*0.25)))</f>
        <v/>
      </c>
    </row>
    <row r="105">
      <c r="A105" s="43" t="n">
        <v>99</v>
      </c>
      <c r="B105" s="163" t="inlineStr">
        <is>
          <t>2026/06/30 10:28</t>
        </is>
      </c>
      <c r="C105" s="153" t="inlineStr">
        <is>
          <t>NGUYỄN VĂN HẢI</t>
        </is>
      </c>
      <c r="D105" s="164" t="inlineStr">
        <is>
          <t>01/01/1974</t>
        </is>
      </c>
      <c r="E105" s="166" t="inlineStr">
        <is>
          <t>Tiêm gân gấp ngón tay</t>
        </is>
      </c>
      <c r="F105" s="234" t="n">
        <v>1</v>
      </c>
      <c r="G105" s="267" t="n">
        <v>384000</v>
      </c>
      <c r="H105" s="71" t="inlineStr">
        <is>
          <t>V.TÂN</t>
        </is>
      </c>
      <c r="I105" s="196">
        <f>L105-K105</f>
        <v/>
      </c>
      <c r="J105" s="45" t="inlineStr">
        <is>
          <t>ĐD</t>
        </is>
      </c>
      <c r="K105" s="196">
        <f>G105*0.05</f>
        <v/>
      </c>
      <c r="L105" s="196">
        <f>IF(H105="NGUYỆN",G105*25%*75%,IF(H105="TOẢN",G105*25%*75%,IF(H105="TÂN",G105*25%*75%,G105*0.25)))</f>
        <v/>
      </c>
    </row>
    <row r="106">
      <c r="A106" s="43" t="n">
        <v>100</v>
      </c>
      <c r="B106" s="163" t="inlineStr">
        <is>
          <t>2026/06/30 13:52</t>
        </is>
      </c>
      <c r="C106" s="153" t="inlineStr">
        <is>
          <t>TRẦN THỊ LIỆP</t>
        </is>
      </c>
      <c r="D106" s="164" t="inlineStr">
        <is>
          <t>01/01/1954</t>
        </is>
      </c>
      <c r="E106" s="166" t="inlineStr">
        <is>
          <t>Tiêm khớp gối</t>
        </is>
      </c>
      <c r="F106" s="234" t="n">
        <v>1</v>
      </c>
      <c r="G106" s="267" t="n">
        <v>384000</v>
      </c>
      <c r="H106" s="71" t="inlineStr">
        <is>
          <t>TOẢN</t>
        </is>
      </c>
      <c r="I106" s="196">
        <f>L106-K106</f>
        <v/>
      </c>
      <c r="J106" s="45" t="inlineStr">
        <is>
          <t>ĐD</t>
        </is>
      </c>
      <c r="K106" s="196">
        <f>G106*0.05</f>
        <v/>
      </c>
      <c r="L106" s="196">
        <f>IF(H106="NGUYỆN",G106*25%*75%,IF(H106="TOẢN",G106*25%*75%,IF(H106="TÂN",G106*25%*75%,G106*0.25)))</f>
        <v/>
      </c>
    </row>
    <row r="107">
      <c r="A107" s="75" t="n"/>
      <c r="B107" s="192" t="n"/>
      <c r="C107" s="46" t="inlineStr">
        <is>
          <t>Tổng Cộng</t>
        </is>
      </c>
      <c r="D107" s="76" t="n"/>
      <c r="E107" s="77" t="n"/>
      <c r="F107" s="47">
        <f>SUM(F7:F106)</f>
        <v/>
      </c>
      <c r="G107" s="47">
        <f>SUM(G7:G106)</f>
        <v/>
      </c>
      <c r="H107" s="69" t="n"/>
      <c r="I107" s="47">
        <f>SUM(I7:I106)</f>
        <v/>
      </c>
      <c r="J107" s="47" t="n"/>
      <c r="K107" s="47">
        <f>SUM(K7:K106)</f>
        <v/>
      </c>
      <c r="L107" s="47">
        <f>SUM(L7:L106)</f>
        <v/>
      </c>
    </row>
    <row r="108" ht="16.8" customHeight="1" s="248">
      <c r="A108" s="78" t="n"/>
      <c r="B108" s="193" t="n"/>
      <c r="C108" s="79" t="n"/>
      <c r="D108" s="80" t="n"/>
      <c r="E108" s="79" t="n"/>
      <c r="F108" s="79" t="n"/>
      <c r="G108" s="81" t="n"/>
      <c r="H108" s="240" t="inlineStr">
        <is>
          <t>Cần Thơ, Ngày 31 tháng 5 năm 2026</t>
        </is>
      </c>
    </row>
    <row r="109" ht="16.8" customHeight="1" s="248">
      <c r="A109" s="239" t="inlineStr">
        <is>
          <t>Lập bảng</t>
        </is>
      </c>
      <c r="D109" s="82" t="n"/>
      <c r="E109" s="83" t="n"/>
      <c r="F109" s="83" t="n"/>
      <c r="G109" s="84" t="n"/>
      <c r="H109" s="240" t="inlineStr">
        <is>
          <t xml:space="preserve">           Trưởng khoa</t>
        </is>
      </c>
    </row>
    <row r="110" ht="16.8" customHeight="1" s="248">
      <c r="A110" s="78" t="n"/>
      <c r="B110" s="78" t="n"/>
      <c r="C110" s="85" t="n"/>
      <c r="D110" s="86" t="n"/>
      <c r="E110" s="85" t="n"/>
      <c r="F110" s="85" t="n"/>
      <c r="G110" s="84">
        <f>+G107+'thu thuat'!G1336</f>
        <v/>
      </c>
      <c r="H110" s="88" t="n"/>
      <c r="I110" s="78" t="n"/>
      <c r="J110" s="78" t="n"/>
      <c r="K110" s="78" t="n"/>
      <c r="L110" s="89" t="n"/>
    </row>
    <row r="111" ht="16.8" customHeight="1" s="248">
      <c r="A111" s="78" t="n"/>
      <c r="B111" s="78" t="n"/>
      <c r="C111" s="85" t="n"/>
      <c r="D111" s="86" t="n"/>
      <c r="E111" s="85" t="n"/>
      <c r="F111" s="85" t="n"/>
      <c r="G111" s="87" t="n"/>
      <c r="H111" s="88" t="n"/>
      <c r="I111" s="78" t="n"/>
      <c r="J111" s="78" t="n"/>
      <c r="K111" s="78" t="n"/>
      <c r="L111" s="89" t="n"/>
    </row>
    <row r="112" ht="16.8" customHeight="1" s="248">
      <c r="A112" s="78" t="n"/>
      <c r="B112" s="78" t="n"/>
      <c r="C112" s="85" t="n"/>
      <c r="D112" s="90" t="n"/>
      <c r="E112" s="85" t="n"/>
      <c r="F112" s="85" t="n"/>
      <c r="G112" s="84" t="n"/>
      <c r="H112" s="88" t="n"/>
      <c r="I112" s="78" t="n"/>
      <c r="J112" s="78" t="n"/>
      <c r="K112" s="78" t="n"/>
      <c r="L112" s="91" t="n"/>
    </row>
    <row r="113" ht="16.8" customHeight="1" s="248">
      <c r="A113" s="246" t="inlineStr">
        <is>
          <t>ĐD. Phan Văn Hiếu</t>
        </is>
      </c>
      <c r="D113" s="90" t="n"/>
      <c r="E113" s="85" t="n"/>
      <c r="F113" s="85" t="n"/>
      <c r="G113" s="84" t="n"/>
      <c r="H113" s="237" t="inlineStr">
        <is>
          <t xml:space="preserve">         ThS. Bs. CKII. Nguyễn Lê Hoan</t>
        </is>
      </c>
    </row>
    <row r="114" ht="16.8" customHeight="1" s="248">
      <c r="A114" s="78" t="n"/>
      <c r="B114" s="78" t="n"/>
      <c r="C114" s="85" t="n"/>
      <c r="D114" s="90" t="n"/>
      <c r="E114" s="85" t="n"/>
      <c r="F114" s="85" t="n"/>
      <c r="G114" s="87" t="n"/>
      <c r="H114" s="88" t="n"/>
      <c r="I114" s="78" t="n"/>
      <c r="J114" s="78" t="n"/>
      <c r="K114" s="78" t="n"/>
      <c r="L114" s="78" t="n"/>
    </row>
  </sheetData>
  <autoFilter ref="A6:XEX56"/>
  <mergeCells count="9">
    <mergeCell ref="H108:L108"/>
    <mergeCell ref="A1:D1"/>
    <mergeCell ref="H109:L109"/>
    <mergeCell ref="H113:L113"/>
    <mergeCell ref="A2:D2"/>
    <mergeCell ref="A109:C109"/>
    <mergeCell ref="A3:L3"/>
    <mergeCell ref="A113:C113"/>
    <mergeCell ref="A4:L4"/>
  </mergeCells>
  <pageMargins left="0.4783163265306122" right="0.3932823129251701" top="0.38" bottom="0.39" header="0.54" footer="0.61"/>
  <pageSetup orientation="landscape" paperSize="9"/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/>
  </sheetPr>
  <dimension ref="A1:IE1249"/>
  <sheetViews>
    <sheetView workbookViewId="0">
      <pane xSplit="5" ySplit="8" topLeftCell="F1189" activePane="bottomRight" state="frozen"/>
      <selection pane="topRight" activeCell="F1" sqref="F1"/>
      <selection pane="bottomLeft" activeCell="A9" sqref="A9"/>
      <selection pane="bottomRight" activeCell="H1217" sqref="H1217"/>
    </sheetView>
  </sheetViews>
  <sheetFormatPr baseColWidth="8" defaultRowHeight="13.2"/>
  <cols>
    <col width="6.33203125" customWidth="1" style="248" min="1" max="1"/>
    <col width="10.6640625" customWidth="1" style="248" min="2" max="2"/>
    <col width="22.6640625" customWidth="1" style="248" min="3" max="3"/>
    <col width="8" customWidth="1" style="248" min="4" max="4"/>
    <col width="32.33203125" customWidth="1" style="248" min="5" max="5"/>
    <col width="6.88671875" customWidth="1" style="248" min="6" max="6"/>
    <col width="13.33203125" customWidth="1" style="248" min="7" max="7"/>
  </cols>
  <sheetData>
    <row r="1" ht="16.5" customHeight="1" s="248">
      <c r="A1" s="107" t="inlineStr">
        <is>
          <t>BỆNH VIỆN TRƯỜNG ĐH Y DƯỢC CẦN THƠ</t>
        </is>
      </c>
      <c r="C1" s="107" t="n"/>
      <c r="D1" s="107" t="n"/>
      <c r="E1" s="107" t="n"/>
      <c r="F1" s="108" t="n"/>
    </row>
    <row r="2">
      <c r="A2" s="108" t="n"/>
      <c r="B2" s="108" t="n"/>
      <c r="C2" s="108" t="n"/>
      <c r="D2" s="108" t="n"/>
      <c r="E2" s="108" t="n"/>
      <c r="F2" s="108" t="n"/>
    </row>
    <row r="3" ht="18.75" customHeight="1" s="248">
      <c r="A3" s="247" t="inlineStr">
        <is>
          <t>DANH SÁCH CHỈ ĐỊNH GIƯỜNG BỆNH</t>
        </is>
      </c>
      <c r="H3" s="109" t="n"/>
      <c r="I3" s="109" t="n"/>
      <c r="J3" s="109" t="n"/>
    </row>
    <row r="4" ht="16.5" customHeight="1" s="248">
      <c r="A4" s="249">
        <f>phauthuat!A4</f>
        <v/>
      </c>
      <c r="H4" s="107" t="n"/>
      <c r="I4" s="107" t="n"/>
      <c r="J4" s="107" t="n"/>
    </row>
    <row r="5">
      <c r="A5" s="108" t="n"/>
      <c r="B5" s="108" t="n"/>
      <c r="C5" s="108" t="n"/>
      <c r="D5" s="108" t="n"/>
      <c r="E5" s="108" t="n"/>
      <c r="F5" s="110" t="inlineStr">
        <is>
          <t>Số GB vượt &gt;100%</t>
        </is>
      </c>
      <c r="G5" s="113">
        <f>IF((D7-D6)&gt;0,D7-D6,0)</f>
        <v/>
      </c>
    </row>
    <row r="6">
      <c r="A6" s="111" t="inlineStr">
        <is>
          <t xml:space="preserve">Giường phân bổ: 40 GB Tổng Ngày giường Kế hoạch </t>
        </is>
      </c>
      <c r="C6" s="111" t="n"/>
      <c r="D6" s="112">
        <f>40*30</f>
        <v/>
      </c>
      <c r="E6" s="111" t="n"/>
      <c r="F6" s="110" t="inlineStr">
        <is>
          <t>Số GB vượt 80%-100%</t>
        </is>
      </c>
      <c r="G6" s="113">
        <f>IF(D7-D6*0.8&gt;0,(D7-D6*0.8)-G5,0)</f>
        <v/>
      </c>
    </row>
    <row r="7">
      <c r="A7" s="111" t="inlineStr">
        <is>
          <t>Ngày giường thực hiện</t>
        </is>
      </c>
      <c r="C7" s="111" t="n"/>
      <c r="D7" s="268">
        <f>F1203</f>
        <v/>
      </c>
      <c r="E7" s="111" t="n"/>
      <c r="F7" s="110" t="inlineStr">
        <is>
          <t>Công suất GB:</t>
        </is>
      </c>
      <c r="G7" s="269">
        <f>D7/D6*100%</f>
        <v/>
      </c>
      <c r="H7" s="270" t="n"/>
    </row>
    <row r="8" ht="15.75" customHeight="1" s="248">
      <c r="A8" s="115" t="inlineStr">
        <is>
          <t>STT</t>
        </is>
      </c>
      <c r="B8" s="115" t="inlineStr">
        <is>
          <t>Ngày</t>
        </is>
      </c>
      <c r="C8" s="115" t="inlineStr">
        <is>
          <t>Họ và tên</t>
        </is>
      </c>
      <c r="D8" s="115" t="inlineStr">
        <is>
          <t>Tuổi</t>
        </is>
      </c>
      <c r="E8" s="115" t="inlineStr">
        <is>
          <t>Tên CLS</t>
        </is>
      </c>
      <c r="F8" s="271" t="inlineStr">
        <is>
          <t>Số Lượng</t>
        </is>
      </c>
      <c r="G8" s="271" t="inlineStr">
        <is>
          <t>Thành tiền</t>
        </is>
      </c>
    </row>
    <row r="9" ht="15.75" customHeight="1" s="248">
      <c r="A9" s="117" t="n">
        <v>1</v>
      </c>
      <c r="B9" s="117" t="inlineStr">
        <is>
          <t>2026/05/16 00:42</t>
        </is>
      </c>
      <c r="C9" s="117" t="inlineStr">
        <is>
          <t>VŨ THÀNH ĐẠT</t>
        </is>
      </c>
      <c r="D9" s="117" t="inlineStr">
        <is>
          <t>01/02/1955</t>
        </is>
      </c>
      <c r="E9" s="117" t="inlineStr">
        <is>
          <t>Giường Nội khoa loại 2 - Khoa Chấn thương chỉnh hình</t>
        </is>
      </c>
      <c r="F9" s="272" t="n">
        <v>1</v>
      </c>
      <c r="G9" s="272" t="n">
        <v>222300</v>
      </c>
    </row>
    <row r="10" ht="15.75" customHeight="1" s="248">
      <c r="A10" s="117" t="n">
        <v>2</v>
      </c>
      <c r="B10" s="117" t="inlineStr">
        <is>
          <t>2026/05/17 00:00</t>
        </is>
      </c>
      <c r="C10" s="117" t="inlineStr">
        <is>
          <t>VŨ THÀNH ĐẠT</t>
        </is>
      </c>
      <c r="D10" s="117" t="inlineStr">
        <is>
          <t>01/02/1955</t>
        </is>
      </c>
      <c r="E10" s="117" t="inlineStr">
        <is>
          <t>Giường Nội khoa loại 2 - Khoa Chấn thương chỉnh hình</t>
        </is>
      </c>
      <c r="F10" s="272" t="n">
        <v>1</v>
      </c>
      <c r="G10" s="272" t="n">
        <v>222300</v>
      </c>
    </row>
    <row r="11" ht="15.75" customHeight="1" s="248">
      <c r="A11" s="117" t="n">
        <v>3</v>
      </c>
      <c r="B11" s="117" t="inlineStr">
        <is>
          <t>2026/05/17 22:39</t>
        </is>
      </c>
      <c r="C11" s="117" t="inlineStr">
        <is>
          <t>KHUẤT HÙNG</t>
        </is>
      </c>
      <c r="D11" s="117" t="inlineStr">
        <is>
          <t>01/01/1948</t>
        </is>
      </c>
      <c r="E11" s="117" t="inlineStr">
        <is>
          <t>Giường Nội khoa loại 2 - Khoa Chấn thương chỉnh hình</t>
        </is>
      </c>
      <c r="F11" s="272" t="n">
        <v>1</v>
      </c>
      <c r="G11" s="272" t="n">
        <v>222300</v>
      </c>
    </row>
    <row r="12" ht="15.75" customHeight="1" s="248">
      <c r="A12" s="117" t="n">
        <v>4</v>
      </c>
      <c r="B12" s="117" t="inlineStr">
        <is>
          <t>2026/05/18 00:00</t>
        </is>
      </c>
      <c r="C12" s="117" t="inlineStr">
        <is>
          <t>VŨ THÀNH ĐẠT</t>
        </is>
      </c>
      <c r="D12" s="117" t="inlineStr">
        <is>
          <t>01/02/1955</t>
        </is>
      </c>
      <c r="E12" s="117" t="inlineStr">
        <is>
          <t>Giường Nội khoa loại 2 - Khoa Chấn thương chỉnh hình</t>
        </is>
      </c>
      <c r="F12" s="272" t="n">
        <v>1</v>
      </c>
      <c r="G12" s="272" t="n">
        <v>222300</v>
      </c>
    </row>
    <row r="13" ht="15.75" customHeight="1" s="248">
      <c r="A13" s="117" t="n">
        <v>5</v>
      </c>
      <c r="B13" s="117" t="inlineStr">
        <is>
          <t>2026/05/18 14:40</t>
        </is>
      </c>
      <c r="C13" s="117" t="inlineStr">
        <is>
          <t>VÕ VĂN BÉ BA</t>
        </is>
      </c>
      <c r="D13" s="117" t="inlineStr">
        <is>
          <t>12/12/1964</t>
        </is>
      </c>
      <c r="E13" s="117" t="inlineStr">
        <is>
          <t>Giường Nội khoa loại 2 - Khoa Chấn thương chỉnh hình</t>
        </is>
      </c>
      <c r="F13" s="272" t="n">
        <v>1</v>
      </c>
      <c r="G13" s="272" t="n">
        <v>222300</v>
      </c>
    </row>
    <row r="14" ht="15.75" customHeight="1" s="248">
      <c r="A14" s="117" t="n">
        <v>6</v>
      </c>
      <c r="B14" s="117" t="inlineStr">
        <is>
          <t>2026/05/18 18:45</t>
        </is>
      </c>
      <c r="C14" s="117" t="inlineStr">
        <is>
          <t>NGUYỄN THỊ ĐIỀN</t>
        </is>
      </c>
      <c r="D14" s="117" t="inlineStr">
        <is>
          <t>01/01/1963</t>
        </is>
      </c>
      <c r="E14" s="117" t="inlineStr">
        <is>
          <t>Giường Nội khoa loại 2 - Khoa Chấn thương chỉnh hình</t>
        </is>
      </c>
      <c r="F14" s="272" t="n">
        <v>1</v>
      </c>
      <c r="G14" s="272" t="n">
        <v>222300</v>
      </c>
    </row>
    <row r="15" ht="15.75" customHeight="1" s="248">
      <c r="A15" s="117" t="n">
        <v>7</v>
      </c>
      <c r="B15" s="117" t="inlineStr">
        <is>
          <t>2026/05/18 20:50</t>
        </is>
      </c>
      <c r="C15" s="117" t="inlineStr">
        <is>
          <t>KHUẤT HÙNG</t>
        </is>
      </c>
      <c r="D15" s="117" t="inlineStr">
        <is>
          <t>01/01/1948</t>
        </is>
      </c>
      <c r="E15" s="117" t="inlineStr">
        <is>
          <t>Giường Ngoại khoa loại 3 - Khoa Chấn thương chỉnh hình</t>
        </is>
      </c>
      <c r="F15" s="272" t="n">
        <v>1</v>
      </c>
      <c r="G15" s="272" t="n">
        <v>269200</v>
      </c>
    </row>
    <row r="16" ht="15.75" customHeight="1" s="248">
      <c r="A16" s="117" t="n">
        <v>8</v>
      </c>
      <c r="B16" s="117" t="inlineStr">
        <is>
          <t>2026/05/19 00:00</t>
        </is>
      </c>
      <c r="C16" s="117" t="inlineStr">
        <is>
          <t>VÕ VĂN BÉ BA</t>
        </is>
      </c>
      <c r="D16" s="117" t="inlineStr">
        <is>
          <t>12/12/1964</t>
        </is>
      </c>
      <c r="E16" s="117" t="inlineStr">
        <is>
          <t>Giường Nội khoa loại 2 - Khoa Chấn thương chỉnh hình</t>
        </is>
      </c>
      <c r="F16" s="272" t="n">
        <v>1</v>
      </c>
      <c r="G16" s="272" t="n">
        <v>222300</v>
      </c>
    </row>
    <row r="17" ht="15.75" customHeight="1" s="248">
      <c r="A17" s="117" t="n">
        <v>9</v>
      </c>
      <c r="B17" s="117" t="inlineStr">
        <is>
          <t>2026/05/19 00:00</t>
        </is>
      </c>
      <c r="C17" s="117" t="inlineStr">
        <is>
          <t>VŨ THÀNH ĐẠT</t>
        </is>
      </c>
      <c r="D17" s="117" t="inlineStr">
        <is>
          <t>01/02/1955</t>
        </is>
      </c>
      <c r="E17" s="117" t="inlineStr">
        <is>
          <t>Giường Nội khoa loại 2 - Khoa Chấn thương chỉnh hình</t>
        </is>
      </c>
      <c r="F17" s="272" t="n">
        <v>1</v>
      </c>
      <c r="G17" s="272" t="n">
        <v>222300</v>
      </c>
    </row>
    <row r="18" ht="15.75" customHeight="1" s="248">
      <c r="A18" s="117" t="n">
        <v>10</v>
      </c>
      <c r="B18" s="117" t="inlineStr">
        <is>
          <t>2026/05/19 00:00</t>
        </is>
      </c>
      <c r="C18" s="117" t="inlineStr">
        <is>
          <t>NGUYỄN THỊ ĐIỀN</t>
        </is>
      </c>
      <c r="D18" s="117" t="inlineStr">
        <is>
          <t>01/01/1963</t>
        </is>
      </c>
      <c r="E18" s="117" t="inlineStr">
        <is>
          <t>Giường Nội khoa loại 2 - Khoa Chấn thương chỉnh hình</t>
        </is>
      </c>
      <c r="F18" s="272" t="n">
        <v>3</v>
      </c>
      <c r="G18" s="272" t="n">
        <v>666900</v>
      </c>
    </row>
    <row r="19" ht="15.75" customHeight="1" s="248">
      <c r="A19" s="117" t="n">
        <v>11</v>
      </c>
      <c r="B19" s="117" t="inlineStr">
        <is>
          <t>2026/05/19 08:16</t>
        </is>
      </c>
      <c r="C19" s="117" t="inlineStr">
        <is>
          <t>BÙI VĂN LONG</t>
        </is>
      </c>
      <c r="D19" s="117" t="inlineStr">
        <is>
          <t>21/10/1961</t>
        </is>
      </c>
      <c r="E19" s="117" t="inlineStr">
        <is>
          <t>Giường Nội khoa loại 2 - Khoa Chấn thương chỉnh hình</t>
        </is>
      </c>
      <c r="F19" s="272" t="n">
        <v>1</v>
      </c>
      <c r="G19" s="272" t="n">
        <v>222300</v>
      </c>
    </row>
    <row r="20" ht="15.75" customHeight="1" s="248">
      <c r="A20" s="117" t="n">
        <v>12</v>
      </c>
      <c r="B20" s="117" t="inlineStr">
        <is>
          <t>2026/05/19 17:11</t>
        </is>
      </c>
      <c r="C20" s="117" t="inlineStr">
        <is>
          <t>NGUYỄN THỊ LÝ</t>
        </is>
      </c>
      <c r="D20" s="117" t="inlineStr">
        <is>
          <t>01/01/1944</t>
        </is>
      </c>
      <c r="E20" s="117" t="inlineStr">
        <is>
          <t>Giường Nội khoa loại 2 - Khoa Chấn thương chỉnh hình</t>
        </is>
      </c>
      <c r="F20" s="272" t="n">
        <v>1</v>
      </c>
      <c r="G20" s="272" t="n">
        <v>222300</v>
      </c>
    </row>
    <row r="21" ht="15.75" customHeight="1" s="248">
      <c r="A21" s="117" t="n">
        <v>13</v>
      </c>
      <c r="B21" s="117" t="inlineStr">
        <is>
          <t>2026/05/19 17:12</t>
        </is>
      </c>
      <c r="C21" s="117" t="inlineStr">
        <is>
          <t>VÕ MINH HẰNG</t>
        </is>
      </c>
      <c r="D21" s="117" t="inlineStr">
        <is>
          <t>10/10/1975</t>
        </is>
      </c>
      <c r="E21" s="117" t="inlineStr">
        <is>
          <t>Giường Nội khoa loại 2 - Khoa Chấn thương chỉnh hình</t>
        </is>
      </c>
      <c r="F21" s="272" t="n">
        <v>1</v>
      </c>
      <c r="G21" s="272" t="n">
        <v>222300</v>
      </c>
    </row>
    <row r="22" ht="15.75" customHeight="1" s="248">
      <c r="A22" s="117" t="n">
        <v>14</v>
      </c>
      <c r="B22" s="117" t="inlineStr">
        <is>
          <t>2026/05/20 00:00</t>
        </is>
      </c>
      <c r="C22" s="117" t="inlineStr">
        <is>
          <t>BÙI VĂN LONG</t>
        </is>
      </c>
      <c r="D22" s="117" t="inlineStr">
        <is>
          <t>21/10/1961</t>
        </is>
      </c>
      <c r="E22" s="117" t="inlineStr">
        <is>
          <t>Giường Nội khoa loại 2 - Khoa Chấn thương chỉnh hình</t>
        </is>
      </c>
      <c r="F22" s="272" t="n">
        <v>1</v>
      </c>
      <c r="G22" s="272" t="n">
        <v>222300</v>
      </c>
    </row>
    <row r="23" ht="15.75" customHeight="1" s="248">
      <c r="A23" s="117" t="n">
        <v>15</v>
      </c>
      <c r="B23" s="117" t="inlineStr">
        <is>
          <t>2026/05/20 00:00</t>
        </is>
      </c>
      <c r="C23" s="117" t="inlineStr">
        <is>
          <t>KHUẤT HÙNG</t>
        </is>
      </c>
      <c r="D23" s="117" t="inlineStr">
        <is>
          <t>01/01/1948</t>
        </is>
      </c>
      <c r="E23" s="117" t="inlineStr">
        <is>
          <t>Giường Ngoại khoa loại 3 - Khoa Chấn thương chỉnh hình</t>
        </is>
      </c>
      <c r="F23" s="272" t="n">
        <v>1</v>
      </c>
      <c r="G23" s="272" t="n">
        <v>269200</v>
      </c>
    </row>
    <row r="24" ht="15.75" customHeight="1" s="248">
      <c r="A24" s="117" t="n">
        <v>16</v>
      </c>
      <c r="B24" s="117" t="inlineStr">
        <is>
          <t>2026/05/20 00:00</t>
        </is>
      </c>
      <c r="C24" s="117" t="inlineStr">
        <is>
          <t>NGUYỄN THỊ LÝ</t>
        </is>
      </c>
      <c r="D24" s="117" t="inlineStr">
        <is>
          <t>01/01/1944</t>
        </is>
      </c>
      <c r="E24" s="117" t="inlineStr">
        <is>
          <t>Giường Nội khoa loại 2 - Khoa Chấn thương chỉnh hình</t>
        </is>
      </c>
      <c r="F24" s="272" t="n">
        <v>1</v>
      </c>
      <c r="G24" s="272" t="n">
        <v>222300</v>
      </c>
    </row>
    <row r="25" ht="15.75" customHeight="1" s="248">
      <c r="A25" s="117" t="n">
        <v>17</v>
      </c>
      <c r="B25" s="117" t="inlineStr">
        <is>
          <t>2026/05/20 00:00</t>
        </is>
      </c>
      <c r="C25" s="117" t="inlineStr">
        <is>
          <t>VÕ MINH HẰNG</t>
        </is>
      </c>
      <c r="D25" s="117" t="inlineStr">
        <is>
          <t>10/10/1975</t>
        </is>
      </c>
      <c r="E25" s="117" t="inlineStr">
        <is>
          <t>Giường Nội khoa loại 2 - Khoa Chấn thương chỉnh hình</t>
        </is>
      </c>
      <c r="F25" s="272" t="n">
        <v>1</v>
      </c>
      <c r="G25" s="272" t="n">
        <v>222300</v>
      </c>
    </row>
    <row r="26" ht="15.75" customHeight="1" s="248">
      <c r="A26" s="117" t="n">
        <v>18</v>
      </c>
      <c r="B26" s="117" t="inlineStr">
        <is>
          <t>2026/05/20 00:00</t>
        </is>
      </c>
      <c r="C26" s="117" t="inlineStr">
        <is>
          <t>VÕ VĂN BÉ BA</t>
        </is>
      </c>
      <c r="D26" s="117" t="inlineStr">
        <is>
          <t>12/12/1964</t>
        </is>
      </c>
      <c r="E26" s="117" t="inlineStr">
        <is>
          <t>Giường Nội khoa loại 2 - Khoa Chấn thương chỉnh hình</t>
        </is>
      </c>
      <c r="F26" s="272" t="n">
        <v>1</v>
      </c>
      <c r="G26" s="272" t="n">
        <v>222300</v>
      </c>
    </row>
    <row r="27" ht="15.75" customHeight="1" s="248">
      <c r="A27" s="117" t="n">
        <v>19</v>
      </c>
      <c r="B27" s="117" t="inlineStr">
        <is>
          <t>2026/05/20 00:00</t>
        </is>
      </c>
      <c r="C27" s="117" t="inlineStr">
        <is>
          <t>VŨ THÀNH ĐẠT</t>
        </is>
      </c>
      <c r="D27" s="117" t="inlineStr">
        <is>
          <t>01/02/1955</t>
        </is>
      </c>
      <c r="E27" s="117" t="inlineStr">
        <is>
          <t>Giường Nội khoa loại 2 - Khoa Chấn thương chỉnh hình</t>
        </is>
      </c>
      <c r="F27" s="272" t="n">
        <v>1</v>
      </c>
      <c r="G27" s="272" t="n">
        <v>222300</v>
      </c>
    </row>
    <row r="28" ht="15.75" customHeight="1" s="248">
      <c r="A28" s="117" t="n">
        <v>20</v>
      </c>
      <c r="B28" s="117" t="inlineStr">
        <is>
          <t>2026/05/20 08:14</t>
        </is>
      </c>
      <c r="C28" s="117" t="inlineStr">
        <is>
          <t>TRẦN VĂN XIÊN</t>
        </is>
      </c>
      <c r="D28" s="117" t="inlineStr">
        <is>
          <t>01/01/1964</t>
        </is>
      </c>
      <c r="E28" s="117" t="inlineStr">
        <is>
          <t>Giường Nội khoa loại 2 - Khoa Chấn thương chỉnh hình</t>
        </is>
      </c>
      <c r="F28" s="272" t="n">
        <v>1</v>
      </c>
      <c r="G28" s="272" t="n">
        <v>222300</v>
      </c>
    </row>
    <row r="29" ht="15.75" customHeight="1" s="248">
      <c r="A29" s="117" t="n">
        <v>21</v>
      </c>
      <c r="B29" s="117" t="inlineStr">
        <is>
          <t>2026/05/20 17:44</t>
        </is>
      </c>
      <c r="C29" s="117" t="inlineStr">
        <is>
          <t>NGUYỄN THỊ BÉ TƯ</t>
        </is>
      </c>
      <c r="D29" s="117" t="inlineStr">
        <is>
          <t>01/01/1967</t>
        </is>
      </c>
      <c r="E29" s="117" t="inlineStr">
        <is>
          <t>Giường Nội khoa loại 2 - Khoa Chấn thương chỉnh hình</t>
        </is>
      </c>
      <c r="F29" s="272" t="n">
        <v>1</v>
      </c>
      <c r="G29" s="272" t="n">
        <v>222300</v>
      </c>
    </row>
    <row r="30" ht="15.75" customHeight="1" s="248">
      <c r="A30" s="117" t="n">
        <v>22</v>
      </c>
      <c r="B30" s="117" t="inlineStr">
        <is>
          <t>2026/05/21 00:00</t>
        </is>
      </c>
      <c r="C30" s="117" t="inlineStr">
        <is>
          <t>BÙI VĂN LONG</t>
        </is>
      </c>
      <c r="D30" s="117" t="inlineStr">
        <is>
          <t>21/10/1961</t>
        </is>
      </c>
      <c r="E30" s="117" t="inlineStr">
        <is>
          <t>Giường Nội khoa loại 2 - Khoa Chấn thương chỉnh hình</t>
        </is>
      </c>
      <c r="F30" s="272" t="n">
        <v>1</v>
      </c>
      <c r="G30" s="272" t="n">
        <v>222300</v>
      </c>
    </row>
    <row r="31" ht="15.75" customHeight="1" s="248">
      <c r="A31" s="117" t="n">
        <v>23</v>
      </c>
      <c r="B31" s="117" t="inlineStr">
        <is>
          <t>2026/05/21 00:00</t>
        </is>
      </c>
      <c r="C31" s="117" t="inlineStr">
        <is>
          <t>KHUẤT HÙNG</t>
        </is>
      </c>
      <c r="D31" s="117" t="inlineStr">
        <is>
          <t>01/01/1948</t>
        </is>
      </c>
      <c r="E31" s="117" t="inlineStr">
        <is>
          <t>Giường Ngoại khoa loại 3 - Khoa Chấn thương chỉnh hình</t>
        </is>
      </c>
      <c r="F31" s="272" t="n">
        <v>2</v>
      </c>
      <c r="G31" s="272" t="n">
        <v>538400</v>
      </c>
    </row>
    <row r="32" ht="15.75" customHeight="1" s="248">
      <c r="A32" s="117" t="n">
        <v>24</v>
      </c>
      <c r="B32" s="117" t="inlineStr">
        <is>
          <t>2026/05/21 00:00</t>
        </is>
      </c>
      <c r="C32" s="117" t="inlineStr">
        <is>
          <t>NGUYỄN THỊ BÉ TƯ</t>
        </is>
      </c>
      <c r="D32" s="117" t="inlineStr">
        <is>
          <t>01/01/1967</t>
        </is>
      </c>
      <c r="E32" s="117" t="inlineStr">
        <is>
          <t>Giường Nội khoa loại 2 - Khoa Chấn thương chỉnh hình</t>
        </is>
      </c>
      <c r="F32" s="272" t="n">
        <v>1</v>
      </c>
      <c r="G32" s="272" t="n">
        <v>222300</v>
      </c>
    </row>
    <row r="33" ht="15.75" customHeight="1" s="248">
      <c r="A33" s="117" t="n">
        <v>25</v>
      </c>
      <c r="B33" s="117" t="inlineStr">
        <is>
          <t>2026/05/21 00:00</t>
        </is>
      </c>
      <c r="C33" s="117" t="inlineStr">
        <is>
          <t>NGUYỄN THỊ LÝ</t>
        </is>
      </c>
      <c r="D33" s="117" t="inlineStr">
        <is>
          <t>01/01/1944</t>
        </is>
      </c>
      <c r="E33" s="117" t="inlineStr">
        <is>
          <t>Giường Nội khoa loại 2 - Khoa Chấn thương chỉnh hình</t>
        </is>
      </c>
      <c r="F33" s="272" t="n">
        <v>1</v>
      </c>
      <c r="G33" s="272" t="n">
        <v>222300</v>
      </c>
    </row>
    <row r="34" ht="15.75" customHeight="1" s="248">
      <c r="A34" s="117" t="n">
        <v>26</v>
      </c>
      <c r="B34" s="117" t="inlineStr">
        <is>
          <t>2026/05/21 00:00</t>
        </is>
      </c>
      <c r="C34" s="117" t="inlineStr">
        <is>
          <t>TRẦN VĂN XIÊN</t>
        </is>
      </c>
      <c r="D34" s="117" t="inlineStr">
        <is>
          <t>01/01/1964</t>
        </is>
      </c>
      <c r="E34" s="117" t="inlineStr">
        <is>
          <t>Giường Nội khoa loại 2 - Khoa Chấn thương chỉnh hình</t>
        </is>
      </c>
      <c r="F34" s="272" t="n">
        <v>1</v>
      </c>
      <c r="G34" s="272" t="n">
        <v>222300</v>
      </c>
    </row>
    <row r="35" ht="15.75" customHeight="1" s="248">
      <c r="A35" s="117" t="n">
        <v>27</v>
      </c>
      <c r="B35" s="117" t="inlineStr">
        <is>
          <t>2026/05/21 00:00</t>
        </is>
      </c>
      <c r="C35" s="117" t="inlineStr">
        <is>
          <t>VÕ MINH HẰNG</t>
        </is>
      </c>
      <c r="D35" s="117" t="inlineStr">
        <is>
          <t>10/10/1975</t>
        </is>
      </c>
      <c r="E35" s="117" t="inlineStr">
        <is>
          <t>Giường Nội khoa loại 2 - Khoa Chấn thương chỉnh hình</t>
        </is>
      </c>
      <c r="F35" s="272" t="n">
        <v>1</v>
      </c>
      <c r="G35" s="272" t="n">
        <v>222300</v>
      </c>
    </row>
    <row r="36" ht="15.75" customHeight="1" s="248">
      <c r="A36" s="117" t="n">
        <v>28</v>
      </c>
      <c r="B36" s="117" t="inlineStr">
        <is>
          <t>2026/05/21 00:00</t>
        </is>
      </c>
      <c r="C36" s="117" t="inlineStr">
        <is>
          <t>VÕ VĂN BÉ BA</t>
        </is>
      </c>
      <c r="D36" s="117" t="inlineStr">
        <is>
          <t>12/12/1964</t>
        </is>
      </c>
      <c r="E36" s="117" t="inlineStr">
        <is>
          <t>Giường Nội khoa loại 2 - Khoa Chấn thương chỉnh hình</t>
        </is>
      </c>
      <c r="F36" s="272" t="n">
        <v>1</v>
      </c>
      <c r="G36" s="272" t="n">
        <v>222300</v>
      </c>
    </row>
    <row r="37" ht="15.75" customHeight="1" s="248">
      <c r="A37" s="117" t="n">
        <v>29</v>
      </c>
      <c r="B37" s="117" t="inlineStr">
        <is>
          <t>2026/05/21 00:00</t>
        </is>
      </c>
      <c r="C37" s="117" t="inlineStr">
        <is>
          <t>VŨ THÀNH ĐẠT</t>
        </is>
      </c>
      <c r="D37" s="117" t="inlineStr">
        <is>
          <t>01/02/1955</t>
        </is>
      </c>
      <c r="E37" s="117" t="inlineStr">
        <is>
          <t>Giường Ngoại khoa loại 1 - Khoa Chấn thương chỉnh hình</t>
        </is>
      </c>
      <c r="F37" s="272" t="n">
        <v>1</v>
      </c>
      <c r="G37" s="272" t="n">
        <v>341800</v>
      </c>
    </row>
    <row r="38" ht="15.75" customHeight="1" s="248">
      <c r="A38" s="117" t="n">
        <v>30</v>
      </c>
      <c r="B38" s="117" t="inlineStr">
        <is>
          <t>2026/05/21 17:00</t>
        </is>
      </c>
      <c r="C38" s="117" t="inlineStr">
        <is>
          <t>LƯU TẤN PHÁT</t>
        </is>
      </c>
      <c r="D38" s="117" t="inlineStr">
        <is>
          <t>01/01/1954</t>
        </is>
      </c>
      <c r="E38" s="117" t="inlineStr">
        <is>
          <t>Giường Nội khoa loại 2 - Khoa Chấn thương chỉnh hình</t>
        </is>
      </c>
      <c r="F38" s="272" t="n">
        <v>1</v>
      </c>
      <c r="G38" s="272" t="n">
        <v>222300</v>
      </c>
    </row>
    <row r="39" ht="15.75" customHeight="1" s="248">
      <c r="A39" s="117" t="n">
        <v>31</v>
      </c>
      <c r="B39" s="117" t="inlineStr">
        <is>
          <t>2026/05/22 00:00</t>
        </is>
      </c>
      <c r="C39" s="117" t="inlineStr">
        <is>
          <t>BÙI VĂN LONG</t>
        </is>
      </c>
      <c r="D39" s="117" t="inlineStr">
        <is>
          <t>21/10/1961</t>
        </is>
      </c>
      <c r="E39" s="117" t="inlineStr">
        <is>
          <t>Giường Nội khoa loại 2 - Khoa Chấn thương chỉnh hình</t>
        </is>
      </c>
      <c r="F39" s="272" t="n">
        <v>1</v>
      </c>
      <c r="G39" s="272" t="n">
        <v>222300</v>
      </c>
    </row>
    <row r="40" ht="15.75" customHeight="1" s="248">
      <c r="A40" s="117" t="n">
        <v>32</v>
      </c>
      <c r="B40" s="117" t="inlineStr">
        <is>
          <t>2026/05/22 00:00</t>
        </is>
      </c>
      <c r="C40" s="117" t="inlineStr">
        <is>
          <t>LƯU TẤN PHÁT</t>
        </is>
      </c>
      <c r="D40" s="117" t="inlineStr">
        <is>
          <t>01/01/1954</t>
        </is>
      </c>
      <c r="E40" s="117" t="inlineStr">
        <is>
          <t>Giường Nội khoa loại 2 - Khoa Chấn thương chỉnh hình</t>
        </is>
      </c>
      <c r="F40" s="272" t="n">
        <v>1</v>
      </c>
      <c r="G40" s="272" t="n">
        <v>222300</v>
      </c>
    </row>
    <row r="41" ht="15.75" customHeight="1" s="248">
      <c r="A41" s="117" t="n">
        <v>33</v>
      </c>
      <c r="B41" s="117" t="inlineStr">
        <is>
          <t>2026/05/22 00:00</t>
        </is>
      </c>
      <c r="C41" s="117" t="inlineStr">
        <is>
          <t>NGUYỄN THỊ CHUỐI</t>
        </is>
      </c>
      <c r="D41" s="117" t="inlineStr">
        <is>
          <t>06/08/1952</t>
        </is>
      </c>
      <c r="E41" s="117" t="inlineStr">
        <is>
          <t>Giường Nội khoa loại 2 - Khoa Chấn thương chỉnh hình</t>
        </is>
      </c>
      <c r="F41" s="272" t="n">
        <v>1</v>
      </c>
      <c r="G41" s="272" t="n">
        <v>222300</v>
      </c>
    </row>
    <row r="42" ht="15.75" customHeight="1" s="248">
      <c r="A42" s="117" t="n">
        <v>34</v>
      </c>
      <c r="B42" s="117" t="inlineStr">
        <is>
          <t>2026/05/22 00:00</t>
        </is>
      </c>
      <c r="C42" s="117" t="inlineStr">
        <is>
          <t>NGUYỄN THỊ LÝ</t>
        </is>
      </c>
      <c r="D42" s="117" t="inlineStr">
        <is>
          <t>01/01/1944</t>
        </is>
      </c>
      <c r="E42" s="117" t="inlineStr">
        <is>
          <t>Giường Nội khoa loại 2 - Khoa Chấn thương chỉnh hình</t>
        </is>
      </c>
      <c r="F42" s="272" t="n">
        <v>1</v>
      </c>
      <c r="G42" s="272" t="n">
        <v>222300</v>
      </c>
    </row>
    <row r="43" ht="15.75" customHeight="1" s="248">
      <c r="A43" s="117" t="n">
        <v>35</v>
      </c>
      <c r="B43" s="117" t="inlineStr">
        <is>
          <t>2026/05/22 00:00</t>
        </is>
      </c>
      <c r="C43" s="117" t="inlineStr">
        <is>
          <t>TRẦN VĂN XIÊN</t>
        </is>
      </c>
      <c r="D43" s="117" t="inlineStr">
        <is>
          <t>01/01/1964</t>
        </is>
      </c>
      <c r="E43" s="117" t="inlineStr">
        <is>
          <t>Giường Nội khoa loại 2 - Khoa Chấn thương chỉnh hình</t>
        </is>
      </c>
      <c r="F43" s="272" t="n">
        <v>1</v>
      </c>
      <c r="G43" s="272" t="n">
        <v>222300</v>
      </c>
    </row>
    <row r="44" ht="15.75" customHeight="1" s="248">
      <c r="A44" s="117" t="n">
        <v>36</v>
      </c>
      <c r="B44" s="117" t="inlineStr">
        <is>
          <t>2026/05/22 00:00</t>
        </is>
      </c>
      <c r="C44" s="117" t="inlineStr">
        <is>
          <t>VÕ MINH HẰNG</t>
        </is>
      </c>
      <c r="D44" s="117" t="inlineStr">
        <is>
          <t>10/10/1975</t>
        </is>
      </c>
      <c r="E44" s="117" t="inlineStr">
        <is>
          <t>Giường Nội khoa loại 2 - Khoa Chấn thương chỉnh hình</t>
        </is>
      </c>
      <c r="F44" s="272" t="n">
        <v>3</v>
      </c>
      <c r="G44" s="272" t="n">
        <v>666900</v>
      </c>
    </row>
    <row r="45" ht="15.75" customHeight="1" s="248">
      <c r="A45" s="117" t="n">
        <v>37</v>
      </c>
      <c r="B45" s="117" t="inlineStr">
        <is>
          <t>2026/05/22 00:00</t>
        </is>
      </c>
      <c r="C45" s="117" t="inlineStr">
        <is>
          <t>VÕ VĂN BÉ BA</t>
        </is>
      </c>
      <c r="D45" s="117" t="inlineStr">
        <is>
          <t>12/12/1964</t>
        </is>
      </c>
      <c r="E45" s="117" t="inlineStr">
        <is>
          <t>Giường Nội khoa loại 2 - Khoa Chấn thương chỉnh hình</t>
        </is>
      </c>
      <c r="F45" s="272" t="n">
        <v>1</v>
      </c>
      <c r="G45" s="272" t="n">
        <v>222300</v>
      </c>
    </row>
    <row r="46" ht="15.75" customHeight="1" s="248">
      <c r="A46" s="117" t="n">
        <v>38</v>
      </c>
      <c r="B46" s="117" t="inlineStr">
        <is>
          <t>2026/05/22 00:00</t>
        </is>
      </c>
      <c r="C46" s="117" t="inlineStr">
        <is>
          <t>VÕ VĂN TÁM</t>
        </is>
      </c>
      <c r="D46" s="117" t="inlineStr">
        <is>
          <t>12/01/1960</t>
        </is>
      </c>
      <c r="E46" s="117" t="inlineStr">
        <is>
          <t>Giường Nội khoa loại 2 - Khoa Chấn thương chỉnh hình</t>
        </is>
      </c>
      <c r="F46" s="272" t="n">
        <v>1</v>
      </c>
      <c r="G46" s="272" t="n">
        <v>222300</v>
      </c>
    </row>
    <row r="47" ht="15.75" customHeight="1" s="248">
      <c r="A47" s="117" t="n">
        <v>39</v>
      </c>
      <c r="B47" s="117" t="inlineStr">
        <is>
          <t>2026/05/22 00:00</t>
        </is>
      </c>
      <c r="C47" s="117" t="inlineStr">
        <is>
          <t>VŨ THÀNH ĐẠT</t>
        </is>
      </c>
      <c r="D47" s="117" t="inlineStr">
        <is>
          <t>01/02/1955</t>
        </is>
      </c>
      <c r="E47" s="117" t="inlineStr">
        <is>
          <t>Giường Ngoại khoa loại 1 - Khoa Chấn thương chỉnh hình</t>
        </is>
      </c>
      <c r="F47" s="272" t="n">
        <v>1</v>
      </c>
      <c r="G47" s="272" t="n">
        <v>341800</v>
      </c>
    </row>
    <row r="48" ht="15.75" customHeight="1" s="248">
      <c r="A48" s="117" t="n">
        <v>40</v>
      </c>
      <c r="B48" s="117" t="inlineStr">
        <is>
          <t>2026/05/22 00:00</t>
        </is>
      </c>
      <c r="C48" s="117" t="inlineStr">
        <is>
          <t>NGUYỄN THỊ ĐIỀN</t>
        </is>
      </c>
      <c r="D48" s="117" t="inlineStr">
        <is>
          <t>01/01/1963</t>
        </is>
      </c>
      <c r="E48" s="117" t="inlineStr">
        <is>
          <t>Giường Nội khoa loại 2 - Khoa Chấn thương chỉnh hình</t>
        </is>
      </c>
      <c r="F48" s="272" t="n">
        <v>1</v>
      </c>
      <c r="G48" s="272" t="n">
        <v>222300</v>
      </c>
    </row>
    <row r="49" ht="15.75" customHeight="1" s="248">
      <c r="A49" s="117" t="n">
        <v>41</v>
      </c>
      <c r="B49" s="117" t="inlineStr">
        <is>
          <t>2026/05/22 16:57</t>
        </is>
      </c>
      <c r="C49" s="117" t="inlineStr">
        <is>
          <t>NGUYỄN THỊ HẤN</t>
        </is>
      </c>
      <c r="D49" s="117" t="inlineStr">
        <is>
          <t>01/01/1959</t>
        </is>
      </c>
      <c r="E49" s="117" t="inlineStr">
        <is>
          <t>Giường Nội khoa loại 2 - Khoa Chấn thương chỉnh hình</t>
        </is>
      </c>
      <c r="F49" s="272" t="n">
        <v>1</v>
      </c>
      <c r="G49" s="272" t="n">
        <v>222300</v>
      </c>
    </row>
    <row r="50" ht="15.75" customHeight="1" s="248">
      <c r="A50" s="117" t="n">
        <v>42</v>
      </c>
      <c r="B50" s="117" t="inlineStr">
        <is>
          <t>2026/05/22 19:28</t>
        </is>
      </c>
      <c r="C50" s="117" t="inlineStr">
        <is>
          <t>NGUYỄN THỊ BÉ TƯ</t>
        </is>
      </c>
      <c r="D50" s="117" t="inlineStr">
        <is>
          <t>01/01/1967</t>
        </is>
      </c>
      <c r="E50" s="117" t="inlineStr">
        <is>
          <t>Giường Ngoại khoa loại 1 - Khoa Chấn thương chỉnh hình</t>
        </is>
      </c>
      <c r="F50" s="272" t="n">
        <v>1</v>
      </c>
      <c r="G50" s="272" t="n">
        <v>341800</v>
      </c>
    </row>
    <row r="51" ht="15.75" customHeight="1" s="248">
      <c r="A51" s="117" t="n">
        <v>43</v>
      </c>
      <c r="B51" s="117" t="inlineStr">
        <is>
          <t>2026/05/23 00:00</t>
        </is>
      </c>
      <c r="C51" s="117" t="inlineStr">
        <is>
          <t>BÙI VĂN LONG</t>
        </is>
      </c>
      <c r="D51" s="117" t="inlineStr">
        <is>
          <t>21/10/1961</t>
        </is>
      </c>
      <c r="E51" s="117" t="inlineStr">
        <is>
          <t>Giường Nội khoa loại 2 - Khoa Chấn thương chỉnh hình</t>
        </is>
      </c>
      <c r="F51" s="272" t="n">
        <v>1</v>
      </c>
      <c r="G51" s="272" t="n">
        <v>222300</v>
      </c>
    </row>
    <row r="52" ht="15.75" customHeight="1" s="248">
      <c r="A52" s="117" t="n">
        <v>44</v>
      </c>
      <c r="B52" s="117" t="inlineStr">
        <is>
          <t>2026/05/23 00:00</t>
        </is>
      </c>
      <c r="C52" s="117" t="inlineStr">
        <is>
          <t>KHUẤT HÙNG</t>
        </is>
      </c>
      <c r="D52" s="117" t="inlineStr">
        <is>
          <t>01/01/1948</t>
        </is>
      </c>
      <c r="E52" s="117" t="inlineStr">
        <is>
          <t>Giường Ngoại khoa loại 3 - Khoa Chấn thương chỉnh hình</t>
        </is>
      </c>
      <c r="F52" s="272" t="n">
        <v>1</v>
      </c>
      <c r="G52" s="272" t="n">
        <v>269200</v>
      </c>
    </row>
    <row r="53" ht="15.75" customHeight="1" s="248">
      <c r="A53" s="117" t="n">
        <v>45</v>
      </c>
      <c r="B53" s="117" t="inlineStr">
        <is>
          <t>2026/05/23 00:00</t>
        </is>
      </c>
      <c r="C53" s="117" t="inlineStr">
        <is>
          <t>LƯU TẤN PHÁT</t>
        </is>
      </c>
      <c r="D53" s="117" t="inlineStr">
        <is>
          <t>01/01/1954</t>
        </is>
      </c>
      <c r="E53" s="117" t="inlineStr">
        <is>
          <t>Giường Nội khoa loại 2 - Khoa Chấn thương chỉnh hình</t>
        </is>
      </c>
      <c r="F53" s="272" t="n">
        <v>1</v>
      </c>
      <c r="G53" s="272" t="n">
        <v>222300</v>
      </c>
    </row>
    <row r="54" ht="15.75" customHeight="1" s="248">
      <c r="A54" s="117" t="n">
        <v>46</v>
      </c>
      <c r="B54" s="117" t="inlineStr">
        <is>
          <t>2026/05/23 00:00</t>
        </is>
      </c>
      <c r="C54" s="117" t="inlineStr">
        <is>
          <t>NGUYỄN THỊ BÉ TƯ</t>
        </is>
      </c>
      <c r="D54" s="117" t="inlineStr">
        <is>
          <t>01/01/1967</t>
        </is>
      </c>
      <c r="E54" s="117" t="inlineStr">
        <is>
          <t>Giường Ngoại khoa loại 1 - Khoa Chấn thương chỉnh hình</t>
        </is>
      </c>
      <c r="F54" s="272" t="n">
        <v>2</v>
      </c>
      <c r="G54" s="272" t="n">
        <v>683600</v>
      </c>
    </row>
    <row r="55" ht="15.75" customHeight="1" s="248">
      <c r="A55" s="117" t="n">
        <v>47</v>
      </c>
      <c r="B55" s="117" t="inlineStr">
        <is>
          <t>2026/05/23 00:00</t>
        </is>
      </c>
      <c r="C55" s="117" t="inlineStr">
        <is>
          <t>NGUYỄN THỊ CHUỐI</t>
        </is>
      </c>
      <c r="D55" s="117" t="inlineStr">
        <is>
          <t>06/08/1952</t>
        </is>
      </c>
      <c r="E55" s="117" t="inlineStr">
        <is>
          <t>Giường Ngoại khoa loại 2 - Khoa Chấn thương chỉnh hình</t>
        </is>
      </c>
      <c r="F55" s="272" t="n">
        <v>1</v>
      </c>
      <c r="G55" s="272" t="n">
        <v>301600</v>
      </c>
    </row>
    <row r="56" ht="15.75" customHeight="1" s="248">
      <c r="A56" s="117" t="n">
        <v>48</v>
      </c>
      <c r="B56" s="117" t="inlineStr">
        <is>
          <t>2026/05/23 00:00</t>
        </is>
      </c>
      <c r="C56" s="117" t="inlineStr">
        <is>
          <t>NGUYỄN THỊ HẤN</t>
        </is>
      </c>
      <c r="D56" s="117" t="inlineStr">
        <is>
          <t>01/01/1959</t>
        </is>
      </c>
      <c r="E56" s="117" t="inlineStr">
        <is>
          <t>Giường Nội khoa loại 2 - Khoa Chấn thương chỉnh hình</t>
        </is>
      </c>
      <c r="F56" s="272" t="n">
        <v>1</v>
      </c>
      <c r="G56" s="272" t="n">
        <v>222300</v>
      </c>
    </row>
    <row r="57" ht="15.75" customHeight="1" s="248">
      <c r="A57" s="117" t="n">
        <v>49</v>
      </c>
      <c r="B57" s="117" t="inlineStr">
        <is>
          <t>2026/05/23 00:00</t>
        </is>
      </c>
      <c r="C57" s="117" t="inlineStr">
        <is>
          <t>NGUYỄN THỊ LÝ</t>
        </is>
      </c>
      <c r="D57" s="117" t="inlineStr">
        <is>
          <t>01/01/1944</t>
        </is>
      </c>
      <c r="E57" s="117" t="inlineStr">
        <is>
          <t>Giường Nội khoa loại 2 - Khoa Chấn thương chỉnh hình</t>
        </is>
      </c>
      <c r="F57" s="272" t="n">
        <v>1</v>
      </c>
      <c r="G57" s="272" t="n">
        <v>222300</v>
      </c>
    </row>
    <row r="58" ht="15.75" customHeight="1" s="248">
      <c r="A58" s="117" t="n">
        <v>50</v>
      </c>
      <c r="B58" s="117" t="inlineStr">
        <is>
          <t>2026/05/23 00:00</t>
        </is>
      </c>
      <c r="C58" s="117" t="inlineStr">
        <is>
          <t>TRẦN VĂN XIÊN</t>
        </is>
      </c>
      <c r="D58" s="117" t="inlineStr">
        <is>
          <t>01/01/1964</t>
        </is>
      </c>
      <c r="E58" s="117" t="inlineStr">
        <is>
          <t>Giường Ngoại khoa loại 3 - Khoa Chấn thương chỉnh hình</t>
        </is>
      </c>
      <c r="F58" s="272" t="n">
        <v>1</v>
      </c>
      <c r="G58" s="272" t="n">
        <v>269200</v>
      </c>
    </row>
    <row r="59" ht="15.75" customHeight="1" s="248">
      <c r="A59" s="117" t="n">
        <v>51</v>
      </c>
      <c r="B59" s="117" t="inlineStr">
        <is>
          <t>2026/05/23 00:00</t>
        </is>
      </c>
      <c r="C59" s="117" t="inlineStr">
        <is>
          <t>VÕ VĂN BÉ BA</t>
        </is>
      </c>
      <c r="D59" s="117" t="inlineStr">
        <is>
          <t>12/12/1964</t>
        </is>
      </c>
      <c r="E59" s="117" t="inlineStr">
        <is>
          <t>Giường Nội khoa loại 2 - Khoa Chấn thương chỉnh hình</t>
        </is>
      </c>
      <c r="F59" s="272" t="n">
        <v>1</v>
      </c>
      <c r="G59" s="272" t="n">
        <v>222300</v>
      </c>
    </row>
    <row r="60" ht="15.75" customHeight="1" s="248">
      <c r="A60" s="117" t="n">
        <v>52</v>
      </c>
      <c r="B60" s="117" t="inlineStr">
        <is>
          <t>2026/05/23 00:00</t>
        </is>
      </c>
      <c r="C60" s="117" t="inlineStr">
        <is>
          <t>VÕ VĂN TÁM</t>
        </is>
      </c>
      <c r="D60" s="117" t="inlineStr">
        <is>
          <t>12/01/1960</t>
        </is>
      </c>
      <c r="E60" s="117" t="inlineStr">
        <is>
          <t>Giường Nội khoa loại 2 - Khoa Chấn thương chỉnh hình</t>
        </is>
      </c>
      <c r="F60" s="272" t="n">
        <v>1</v>
      </c>
      <c r="G60" s="272" t="n">
        <v>222300</v>
      </c>
    </row>
    <row r="61" ht="15.75" customHeight="1" s="248">
      <c r="A61" s="117" t="n">
        <v>53</v>
      </c>
      <c r="B61" s="117" t="inlineStr">
        <is>
          <t>2026/05/23 00:00</t>
        </is>
      </c>
      <c r="C61" s="117" t="inlineStr">
        <is>
          <t>VŨ THÀNH ĐẠT</t>
        </is>
      </c>
      <c r="D61" s="117" t="inlineStr">
        <is>
          <t>01/02/1955</t>
        </is>
      </c>
      <c r="E61" s="117" t="inlineStr">
        <is>
          <t>Giường Ngoại khoa loại 1 - Khoa Chấn thương chỉnh hình</t>
        </is>
      </c>
      <c r="F61" s="272" t="n">
        <v>1</v>
      </c>
      <c r="G61" s="272" t="n">
        <v>341800</v>
      </c>
    </row>
    <row r="62" ht="15.75" customHeight="1" s="248">
      <c r="A62" s="117" t="n">
        <v>54</v>
      </c>
      <c r="B62" s="117" t="inlineStr">
        <is>
          <t>2026/05/23 00:00</t>
        </is>
      </c>
      <c r="C62" s="117" t="inlineStr">
        <is>
          <t>NGUYỄN THỊ ĐIỀN</t>
        </is>
      </c>
      <c r="D62" s="117" t="inlineStr">
        <is>
          <t>01/01/1963</t>
        </is>
      </c>
      <c r="E62" s="117" t="inlineStr">
        <is>
          <t>Giường Nội khoa loại 2 - Khoa Chấn thương chỉnh hình</t>
        </is>
      </c>
      <c r="F62" s="272" t="n">
        <v>1</v>
      </c>
      <c r="G62" s="272" t="n">
        <v>222300</v>
      </c>
    </row>
    <row r="63" ht="15.75" customHeight="1" s="248">
      <c r="A63" s="117" t="n">
        <v>55</v>
      </c>
      <c r="B63" s="117" t="inlineStr">
        <is>
          <t>2026/05/24 00:00</t>
        </is>
      </c>
      <c r="C63" s="117" t="inlineStr">
        <is>
          <t>BÙI VĂN LONG</t>
        </is>
      </c>
      <c r="D63" s="117" t="inlineStr">
        <is>
          <t>21/10/1961</t>
        </is>
      </c>
      <c r="E63" s="117" t="inlineStr">
        <is>
          <t>Giường Nội khoa loại 2 - Khoa Chấn thương chỉnh hình</t>
        </is>
      </c>
      <c r="F63" s="272" t="n">
        <v>1</v>
      </c>
      <c r="G63" s="272" t="n">
        <v>222300</v>
      </c>
    </row>
    <row r="64" ht="15.75" customHeight="1" s="248">
      <c r="A64" s="117" t="n">
        <v>56</v>
      </c>
      <c r="B64" s="117" t="inlineStr">
        <is>
          <t>2026/05/24 00:00</t>
        </is>
      </c>
      <c r="C64" s="117" t="inlineStr">
        <is>
          <t>KHUẤT HÙNG</t>
        </is>
      </c>
      <c r="D64" s="117" t="inlineStr">
        <is>
          <t>01/01/1948</t>
        </is>
      </c>
      <c r="E64" s="117" t="inlineStr">
        <is>
          <t>Giường Ngoại khoa loại 3 - Khoa Chấn thương chỉnh hình</t>
        </is>
      </c>
      <c r="F64" s="272" t="n">
        <v>1</v>
      </c>
      <c r="G64" s="272" t="n">
        <v>269200</v>
      </c>
    </row>
    <row r="65" ht="15.75" customHeight="1" s="248">
      <c r="A65" s="117" t="n">
        <v>57</v>
      </c>
      <c r="B65" s="117" t="inlineStr">
        <is>
          <t>2026/05/24 00:00</t>
        </is>
      </c>
      <c r="C65" s="117" t="inlineStr">
        <is>
          <t>LƯU TẤN PHÁT</t>
        </is>
      </c>
      <c r="D65" s="117" t="inlineStr">
        <is>
          <t>01/01/1954</t>
        </is>
      </c>
      <c r="E65" s="117" t="inlineStr">
        <is>
          <t>Giường Nội khoa loại 2 - Khoa Chấn thương chỉnh hình</t>
        </is>
      </c>
      <c r="F65" s="272" t="n">
        <v>1</v>
      </c>
      <c r="G65" s="272" t="n">
        <v>222300</v>
      </c>
    </row>
    <row r="66" ht="15.75" customHeight="1" s="248">
      <c r="A66" s="117" t="n">
        <v>58</v>
      </c>
      <c r="B66" s="117" t="inlineStr">
        <is>
          <t>2026/05/24 00:00</t>
        </is>
      </c>
      <c r="C66" s="117" t="inlineStr">
        <is>
          <t>NGUYỄN THỊ CHUỐI</t>
        </is>
      </c>
      <c r="D66" s="117" t="inlineStr">
        <is>
          <t>06/08/1952</t>
        </is>
      </c>
      <c r="E66" s="117" t="inlineStr">
        <is>
          <t>Giường Ngoại khoa loại 2 - Khoa Chấn thương chỉnh hình</t>
        </is>
      </c>
      <c r="F66" s="272" t="n">
        <v>1</v>
      </c>
      <c r="G66" s="272" t="n">
        <v>301600</v>
      </c>
    </row>
    <row r="67" ht="15.75" customHeight="1" s="248">
      <c r="A67" s="117" t="n">
        <v>59</v>
      </c>
      <c r="B67" s="117" t="inlineStr">
        <is>
          <t>2026/05/24 00:00</t>
        </is>
      </c>
      <c r="C67" s="117" t="inlineStr">
        <is>
          <t>NGUYỄN THỊ HẤN</t>
        </is>
      </c>
      <c r="D67" s="117" t="inlineStr">
        <is>
          <t>01/01/1959</t>
        </is>
      </c>
      <c r="E67" s="117" t="inlineStr">
        <is>
          <t>Giường Nội khoa loại 2 - Khoa Chấn thương chỉnh hình</t>
        </is>
      </c>
      <c r="F67" s="272" t="n">
        <v>1</v>
      </c>
      <c r="G67" s="272" t="n">
        <v>222300</v>
      </c>
    </row>
    <row r="68" ht="15.75" customHeight="1" s="248">
      <c r="A68" s="117" t="n">
        <v>60</v>
      </c>
      <c r="B68" s="117" t="inlineStr">
        <is>
          <t>2026/05/24 00:00</t>
        </is>
      </c>
      <c r="C68" s="117" t="inlineStr">
        <is>
          <t>NGUYỄN THỊ LÝ</t>
        </is>
      </c>
      <c r="D68" s="117" t="inlineStr">
        <is>
          <t>01/01/1944</t>
        </is>
      </c>
      <c r="E68" s="117" t="inlineStr">
        <is>
          <t>Giường Nội khoa loại 2 - Khoa Chấn thương chỉnh hình</t>
        </is>
      </c>
      <c r="F68" s="272" t="n">
        <v>1</v>
      </c>
      <c r="G68" s="272" t="n">
        <v>222300</v>
      </c>
    </row>
    <row r="69" ht="15.75" customHeight="1" s="248">
      <c r="A69" s="117" t="n">
        <v>61</v>
      </c>
      <c r="B69" s="117" t="inlineStr">
        <is>
          <t>2026/05/24 00:00</t>
        </is>
      </c>
      <c r="C69" s="117" t="inlineStr">
        <is>
          <t>TRẦN VĂN XIÊN</t>
        </is>
      </c>
      <c r="D69" s="117" t="inlineStr">
        <is>
          <t>01/01/1964</t>
        </is>
      </c>
      <c r="E69" s="117" t="inlineStr">
        <is>
          <t>Giường Ngoại khoa loại 3 - Khoa Chấn thương chỉnh hình</t>
        </is>
      </c>
      <c r="F69" s="272" t="n">
        <v>1</v>
      </c>
      <c r="G69" s="272" t="n">
        <v>269200</v>
      </c>
    </row>
    <row r="70" ht="15.75" customHeight="1" s="248">
      <c r="A70" s="117" t="n">
        <v>62</v>
      </c>
      <c r="B70" s="117" t="inlineStr">
        <is>
          <t>2026/05/24 00:00</t>
        </is>
      </c>
      <c r="C70" s="117" t="inlineStr">
        <is>
          <t>VÕ VĂN BÉ BA</t>
        </is>
      </c>
      <c r="D70" s="117" t="inlineStr">
        <is>
          <t>12/12/1964</t>
        </is>
      </c>
      <c r="E70" s="117" t="inlineStr">
        <is>
          <t>Giường Nội khoa loại 2 - Khoa Chấn thương chỉnh hình</t>
        </is>
      </c>
      <c r="F70" s="272" t="n">
        <v>1</v>
      </c>
      <c r="G70" s="272" t="n">
        <v>222300</v>
      </c>
    </row>
    <row r="71" ht="15.75" customHeight="1" s="248">
      <c r="A71" s="117" t="n">
        <v>63</v>
      </c>
      <c r="B71" s="117" t="inlineStr">
        <is>
          <t>2026/05/24 00:00</t>
        </is>
      </c>
      <c r="C71" s="117" t="inlineStr">
        <is>
          <t>VÕ VĂN TÁM</t>
        </is>
      </c>
      <c r="D71" s="117" t="inlineStr">
        <is>
          <t>12/01/1960</t>
        </is>
      </c>
      <c r="E71" s="117" t="inlineStr">
        <is>
          <t>Giường Nội khoa loại 2 - Khoa Chấn thương chỉnh hình</t>
        </is>
      </c>
      <c r="F71" s="272" t="n">
        <v>1</v>
      </c>
      <c r="G71" s="272" t="n">
        <v>222300</v>
      </c>
    </row>
    <row r="72" ht="15.75" customHeight="1" s="248">
      <c r="A72" s="117" t="n">
        <v>64</v>
      </c>
      <c r="B72" s="117" t="inlineStr">
        <is>
          <t>2026/05/24 00:00</t>
        </is>
      </c>
      <c r="C72" s="117" t="inlineStr">
        <is>
          <t>VŨ THÀNH ĐẠT</t>
        </is>
      </c>
      <c r="D72" s="117" t="inlineStr">
        <is>
          <t>01/02/1955</t>
        </is>
      </c>
      <c r="E72" s="117" t="inlineStr">
        <is>
          <t>Giường Ngoại khoa loại 1 - Khoa Chấn thương chỉnh hình</t>
        </is>
      </c>
      <c r="F72" s="272" t="n">
        <v>1</v>
      </c>
      <c r="G72" s="272" t="n">
        <v>341800</v>
      </c>
    </row>
    <row r="73" ht="15.75" customHeight="1" s="248">
      <c r="A73" s="117" t="n">
        <v>65</v>
      </c>
      <c r="B73" s="117" t="inlineStr">
        <is>
          <t>2026/05/24 00:00</t>
        </is>
      </c>
      <c r="C73" s="117" t="inlineStr">
        <is>
          <t>NGUYỄN THỊ ĐIỀN</t>
        </is>
      </c>
      <c r="D73" s="117" t="inlineStr">
        <is>
          <t>01/01/1963</t>
        </is>
      </c>
      <c r="E73" s="117" t="inlineStr">
        <is>
          <t>Giường Nội khoa loại 2 - Khoa Chấn thương chỉnh hình</t>
        </is>
      </c>
      <c r="F73" s="272" t="n">
        <v>1</v>
      </c>
      <c r="G73" s="272" t="n">
        <v>222300</v>
      </c>
    </row>
    <row r="74" ht="15.75" customHeight="1" s="248">
      <c r="A74" s="117" t="n">
        <v>66</v>
      </c>
      <c r="B74" s="117" t="inlineStr">
        <is>
          <t>2026/05/24 15:55</t>
        </is>
      </c>
      <c r="C74" s="117" t="inlineStr">
        <is>
          <t>HUỲNH THANH HÙNG</t>
        </is>
      </c>
      <c r="D74" s="117" t="inlineStr">
        <is>
          <t>01/01/1945</t>
        </is>
      </c>
      <c r="E74" s="117" t="inlineStr">
        <is>
          <t>Giường Nội khoa loại 2 - Khoa Chấn thương chỉnh hình</t>
        </is>
      </c>
      <c r="F74" s="272" t="n">
        <v>1</v>
      </c>
      <c r="G74" s="272" t="n">
        <v>222300</v>
      </c>
    </row>
    <row r="75" ht="15.75" customHeight="1" s="248">
      <c r="A75" s="117" t="n">
        <v>67</v>
      </c>
      <c r="B75" s="117" t="inlineStr">
        <is>
          <t>2026/05/25 00:00</t>
        </is>
      </c>
      <c r="C75" s="117" t="inlineStr">
        <is>
          <t>BÙI VĂN LONG</t>
        </is>
      </c>
      <c r="D75" s="117" t="inlineStr">
        <is>
          <t>21/10/1961</t>
        </is>
      </c>
      <c r="E75" s="117" t="inlineStr">
        <is>
          <t>Giường Nội khoa loại 2 - Khoa Chấn thương chỉnh hình</t>
        </is>
      </c>
      <c r="F75" s="272" t="n">
        <v>1</v>
      </c>
      <c r="G75" s="272" t="n">
        <v>222300</v>
      </c>
    </row>
    <row r="76" ht="15.75" customHeight="1" s="248">
      <c r="A76" s="117" t="n">
        <v>68</v>
      </c>
      <c r="B76" s="117" t="inlineStr">
        <is>
          <t>2026/05/25 00:00</t>
        </is>
      </c>
      <c r="C76" s="117" t="inlineStr">
        <is>
          <t>KHUẤT HÙNG</t>
        </is>
      </c>
      <c r="D76" s="117" t="inlineStr">
        <is>
          <t>01/01/1948</t>
        </is>
      </c>
      <c r="E76" s="117" t="inlineStr">
        <is>
          <t>Giường Ngoại khoa loại 3 - Khoa Chấn thương chỉnh hình</t>
        </is>
      </c>
      <c r="F76" s="272" t="n">
        <v>1</v>
      </c>
      <c r="G76" s="272" t="n">
        <v>269200</v>
      </c>
    </row>
    <row r="77" ht="15.75" customHeight="1" s="248">
      <c r="A77" s="117" t="n">
        <v>69</v>
      </c>
      <c r="B77" s="117" t="inlineStr">
        <is>
          <t>2026/05/25 00:00</t>
        </is>
      </c>
      <c r="C77" s="117" t="inlineStr">
        <is>
          <t>LƯU TẤN PHÁT</t>
        </is>
      </c>
      <c r="D77" s="117" t="inlineStr">
        <is>
          <t>01/01/1954</t>
        </is>
      </c>
      <c r="E77" s="117" t="inlineStr">
        <is>
          <t>Giường Nội khoa loại 2 - Khoa Chấn thương chỉnh hình</t>
        </is>
      </c>
      <c r="F77" s="272" t="n">
        <v>1</v>
      </c>
      <c r="G77" s="272" t="n">
        <v>222300</v>
      </c>
    </row>
    <row r="78" ht="15.75" customHeight="1" s="248">
      <c r="A78" s="117" t="n">
        <v>70</v>
      </c>
      <c r="B78" s="117" t="inlineStr">
        <is>
          <t>2026/05/25 00:00</t>
        </is>
      </c>
      <c r="C78" s="117" t="inlineStr">
        <is>
          <t>NGUYỄN THỊ CHUỐI</t>
        </is>
      </c>
      <c r="D78" s="117" t="inlineStr">
        <is>
          <t>06/08/1952</t>
        </is>
      </c>
      <c r="E78" s="117" t="inlineStr">
        <is>
          <t>Giường Ngoại khoa loại 2 - Khoa Chấn thương chỉnh hình</t>
        </is>
      </c>
      <c r="F78" s="272" t="n">
        <v>1</v>
      </c>
      <c r="G78" s="272" t="n">
        <v>301600</v>
      </c>
    </row>
    <row r="79" ht="15.75" customHeight="1" s="248">
      <c r="A79" s="117" t="n">
        <v>71</v>
      </c>
      <c r="B79" s="117" t="inlineStr">
        <is>
          <t>2026/05/25 00:00</t>
        </is>
      </c>
      <c r="C79" s="117" t="inlineStr">
        <is>
          <t>NGUYỄN THỊ HẤN</t>
        </is>
      </c>
      <c r="D79" s="117" t="inlineStr">
        <is>
          <t>01/01/1959</t>
        </is>
      </c>
      <c r="E79" s="117" t="inlineStr">
        <is>
          <t>Giường Nội khoa loại 2 - Khoa Chấn thương chỉnh hình</t>
        </is>
      </c>
      <c r="F79" s="272" t="n">
        <v>1</v>
      </c>
      <c r="G79" s="272" t="n">
        <v>222300</v>
      </c>
    </row>
    <row r="80" ht="15.75" customHeight="1" s="248">
      <c r="A80" s="117" t="n">
        <v>72</v>
      </c>
      <c r="B80" s="117" t="inlineStr">
        <is>
          <t>2026/05/25 00:00</t>
        </is>
      </c>
      <c r="C80" s="117" t="inlineStr">
        <is>
          <t>NGUYỄN THỊ LÝ</t>
        </is>
      </c>
      <c r="D80" s="117" t="inlineStr">
        <is>
          <t>01/01/1944</t>
        </is>
      </c>
      <c r="E80" s="117" t="inlineStr">
        <is>
          <t>Giường Nội khoa loại 2 - Khoa Chấn thương chỉnh hình</t>
        </is>
      </c>
      <c r="F80" s="272" t="n">
        <v>1</v>
      </c>
      <c r="G80" s="272" t="n">
        <v>222300</v>
      </c>
    </row>
    <row r="81" ht="15.75" customHeight="1" s="248">
      <c r="A81" s="117" t="n">
        <v>73</v>
      </c>
      <c r="B81" s="117" t="inlineStr">
        <is>
          <t>2026/05/25 00:00</t>
        </is>
      </c>
      <c r="C81" s="117" t="inlineStr">
        <is>
          <t>TRẦN VĂN XIÊN</t>
        </is>
      </c>
      <c r="D81" s="117" t="inlineStr">
        <is>
          <t>01/01/1964</t>
        </is>
      </c>
      <c r="E81" s="117" t="inlineStr">
        <is>
          <t>Giường Ngoại khoa loại 3 - Khoa Chấn thương chỉnh hình</t>
        </is>
      </c>
      <c r="F81" s="272" t="n">
        <v>1</v>
      </c>
      <c r="G81" s="272" t="n">
        <v>269200</v>
      </c>
    </row>
    <row r="82" ht="15.75" customHeight="1" s="248">
      <c r="A82" s="117" t="n">
        <v>74</v>
      </c>
      <c r="B82" s="117" t="inlineStr">
        <is>
          <t>2026/05/25 00:00</t>
        </is>
      </c>
      <c r="C82" s="117" t="inlineStr">
        <is>
          <t>VÕ MINH HẰNG</t>
        </is>
      </c>
      <c r="D82" s="117" t="inlineStr">
        <is>
          <t>10/10/1975</t>
        </is>
      </c>
      <c r="E82" s="117" t="inlineStr">
        <is>
          <t>Giường Nội khoa loại 2 - Khoa Chấn thương chỉnh hình</t>
        </is>
      </c>
      <c r="F82" s="272" t="n">
        <v>1</v>
      </c>
      <c r="G82" s="272" t="n">
        <v>222300</v>
      </c>
    </row>
    <row r="83" ht="15.75" customHeight="1" s="248">
      <c r="A83" s="117" t="n">
        <v>75</v>
      </c>
      <c r="B83" s="117" t="inlineStr">
        <is>
          <t>2026/05/25 00:00</t>
        </is>
      </c>
      <c r="C83" s="117" t="inlineStr">
        <is>
          <t>VÕ VĂN TÁM</t>
        </is>
      </c>
      <c r="D83" s="117" t="inlineStr">
        <is>
          <t>12/01/1960</t>
        </is>
      </c>
      <c r="E83" s="117" t="inlineStr">
        <is>
          <t>Giường Nội khoa loại 2 - Khoa Chấn thương chỉnh hình</t>
        </is>
      </c>
      <c r="F83" s="272" t="n">
        <v>1</v>
      </c>
      <c r="G83" s="272" t="n">
        <v>222300</v>
      </c>
    </row>
    <row r="84" ht="15.75" customHeight="1" s="248">
      <c r="A84" s="117" t="n">
        <v>76</v>
      </c>
      <c r="B84" s="117" t="inlineStr">
        <is>
          <t>2026/05/25 00:00</t>
        </is>
      </c>
      <c r="C84" s="117" t="inlineStr">
        <is>
          <t>VŨ THÀNH ĐẠT</t>
        </is>
      </c>
      <c r="D84" s="117" t="inlineStr">
        <is>
          <t>01/02/1955</t>
        </is>
      </c>
      <c r="E84" s="117" t="inlineStr">
        <is>
          <t>Giường Ngoại khoa loại 1 - Khoa Chấn thương chỉnh hình</t>
        </is>
      </c>
      <c r="F84" s="272" t="n">
        <v>1</v>
      </c>
      <c r="G84" s="272" t="n">
        <v>341800</v>
      </c>
    </row>
    <row r="85" ht="15.75" customHeight="1" s="248">
      <c r="A85" s="117" t="n">
        <v>77</v>
      </c>
      <c r="B85" s="117" t="inlineStr">
        <is>
          <t>2026/05/25 00:00</t>
        </is>
      </c>
      <c r="C85" s="117" t="inlineStr">
        <is>
          <t>HUỲNH THANH HÙNG</t>
        </is>
      </c>
      <c r="D85" s="117" t="inlineStr">
        <is>
          <t>01/01/1945</t>
        </is>
      </c>
      <c r="E85" s="117" t="inlineStr">
        <is>
          <t>Giường Ngoại khoa loại 3 - Khoa Chấn thương chỉnh hình</t>
        </is>
      </c>
      <c r="F85" s="272" t="n">
        <v>1</v>
      </c>
      <c r="G85" s="272" t="n">
        <v>269200</v>
      </c>
    </row>
    <row r="86" ht="15.75" customHeight="1" s="248">
      <c r="A86" s="117" t="n">
        <v>78</v>
      </c>
      <c r="B86" s="117" t="inlineStr">
        <is>
          <t>2026/05/25 00:00</t>
        </is>
      </c>
      <c r="C86" s="117" t="inlineStr">
        <is>
          <t>NGUYỄN THỊ ĐIỀN</t>
        </is>
      </c>
      <c r="D86" s="117" t="inlineStr">
        <is>
          <t>01/01/1963</t>
        </is>
      </c>
      <c r="E86" s="117" t="inlineStr">
        <is>
          <t>Giường Nội khoa loại 2 - Khoa Chấn thương chỉnh hình</t>
        </is>
      </c>
      <c r="F86" s="272" t="n">
        <v>1</v>
      </c>
      <c r="G86" s="272" t="n">
        <v>222300</v>
      </c>
    </row>
    <row r="87" ht="15.75" customHeight="1" s="248">
      <c r="A87" s="117" t="n">
        <v>79</v>
      </c>
      <c r="B87" s="117" t="inlineStr">
        <is>
          <t>2026/05/25 07:43</t>
        </is>
      </c>
      <c r="C87" s="117" t="inlineStr">
        <is>
          <t>HỒ THANH VŨ</t>
        </is>
      </c>
      <c r="D87" s="117" t="inlineStr">
        <is>
          <t>26/07/1982</t>
        </is>
      </c>
      <c r="E87" s="117" t="inlineStr">
        <is>
          <t>Giường Nội khoa loại 2 - Khoa Chấn thương chỉnh hình</t>
        </is>
      </c>
      <c r="F87" s="272" t="n">
        <v>1</v>
      </c>
      <c r="G87" s="272" t="n">
        <v>222300</v>
      </c>
    </row>
    <row r="88" ht="15.75" customHeight="1" s="248">
      <c r="A88" s="117" t="n">
        <v>80</v>
      </c>
      <c r="B88" s="117" t="inlineStr">
        <is>
          <t>2026/05/25 08:36</t>
        </is>
      </c>
      <c r="C88" s="117" t="inlineStr">
        <is>
          <t>MAI THÀNH DƯƠNG</t>
        </is>
      </c>
      <c r="D88" s="117" t="inlineStr">
        <is>
          <t>10/04/1964</t>
        </is>
      </c>
      <c r="E88" s="117" t="inlineStr">
        <is>
          <t>Giường Nội khoa loại 2 - Khoa Chấn thương chỉnh hình</t>
        </is>
      </c>
      <c r="F88" s="272" t="n">
        <v>1</v>
      </c>
      <c r="G88" s="272" t="n">
        <v>222300</v>
      </c>
    </row>
    <row r="89" ht="15.75" customHeight="1" s="248">
      <c r="A89" s="117" t="n">
        <v>81</v>
      </c>
      <c r="B89" s="117" t="inlineStr">
        <is>
          <t>2026/05/25 09:00</t>
        </is>
      </c>
      <c r="C89" s="117" t="inlineStr">
        <is>
          <t>PHAN THỊ NỠ</t>
        </is>
      </c>
      <c r="D89" s="117" t="inlineStr">
        <is>
          <t>01/01/1957</t>
        </is>
      </c>
      <c r="E89" s="117" t="inlineStr">
        <is>
          <t>Giường Nội khoa loại 2 - Khoa Chấn thương chỉnh hình</t>
        </is>
      </c>
      <c r="F89" s="272" t="n">
        <v>1</v>
      </c>
      <c r="G89" s="272" t="n">
        <v>222300</v>
      </c>
    </row>
    <row r="90" ht="15.75" customHeight="1" s="248">
      <c r="A90" s="117" t="n">
        <v>82</v>
      </c>
      <c r="B90" s="117" t="inlineStr">
        <is>
          <t>2026/05/25 09:29</t>
        </is>
      </c>
      <c r="C90" s="117" t="inlineStr">
        <is>
          <t>KIM THANH ĐẠT</t>
        </is>
      </c>
      <c r="D90" s="117" t="inlineStr">
        <is>
          <t>29/12/2007</t>
        </is>
      </c>
      <c r="E90" s="117" t="inlineStr">
        <is>
          <t>Giường Nội khoa loại 2 - Khoa Chấn thương chỉnh hình</t>
        </is>
      </c>
      <c r="F90" s="272" t="n">
        <v>1</v>
      </c>
      <c r="G90" s="272" t="n">
        <v>222300</v>
      </c>
    </row>
    <row r="91" ht="15.75" customHeight="1" s="248">
      <c r="A91" s="117" t="n">
        <v>83</v>
      </c>
      <c r="B91" s="117" t="inlineStr">
        <is>
          <t>2026/05/25 10:44</t>
        </is>
      </c>
      <c r="C91" s="117" t="inlineStr">
        <is>
          <t>NGUYỄN VĂN GẬP</t>
        </is>
      </c>
      <c r="D91" s="117" t="inlineStr">
        <is>
          <t>03/04/1952</t>
        </is>
      </c>
      <c r="E91" s="117" t="inlineStr">
        <is>
          <t>Giường Nội khoa loại 2 - Khoa Chấn thương chỉnh hình</t>
        </is>
      </c>
      <c r="F91" s="272" t="n">
        <v>1</v>
      </c>
      <c r="G91" s="272" t="n">
        <v>222300</v>
      </c>
    </row>
    <row r="92" ht="15.75" customHeight="1" s="248">
      <c r="A92" s="117" t="n">
        <v>84</v>
      </c>
      <c r="B92" s="117" t="inlineStr">
        <is>
          <t>2026/05/25 10:55</t>
        </is>
      </c>
      <c r="C92" s="117" t="inlineStr">
        <is>
          <t>NGUYỄN VĂN LỢI</t>
        </is>
      </c>
      <c r="D92" s="117" t="inlineStr">
        <is>
          <t>01/07/1948</t>
        </is>
      </c>
      <c r="E92" s="117" t="inlineStr">
        <is>
          <t>Giường Nội khoa loại 2 - Khoa Chấn thương chỉnh hình</t>
        </is>
      </c>
      <c r="F92" s="272" t="n">
        <v>2</v>
      </c>
      <c r="G92" s="272" t="n">
        <v>444600</v>
      </c>
    </row>
    <row r="93" ht="15.75" customHeight="1" s="248">
      <c r="A93" s="117" t="n">
        <v>85</v>
      </c>
      <c r="B93" s="117" t="inlineStr">
        <is>
          <t>2026/05/25 14:30</t>
        </is>
      </c>
      <c r="C93" s="117" t="inlineStr">
        <is>
          <t>NGUYỄN THỊ LÝ</t>
        </is>
      </c>
      <c r="D93" s="117" t="inlineStr">
        <is>
          <t>01/01/1944</t>
        </is>
      </c>
      <c r="E93" s="117" t="inlineStr">
        <is>
          <t>Giường Ngoại khoa loại 2 - Khoa Chấn thương chỉnh hình</t>
        </is>
      </c>
      <c r="F93" s="272" t="n">
        <v>1</v>
      </c>
      <c r="G93" s="272" t="n">
        <v>301600</v>
      </c>
    </row>
    <row r="94" ht="15.75" customHeight="1" s="248">
      <c r="A94" s="117" t="n">
        <v>86</v>
      </c>
      <c r="B94" s="117" t="inlineStr">
        <is>
          <t>2026/05/25 17:03</t>
        </is>
      </c>
      <c r="C94" s="117" t="inlineStr">
        <is>
          <t>VÕ VĂN BÉ BA</t>
        </is>
      </c>
      <c r="D94" s="117" t="inlineStr">
        <is>
          <t>12/12/1964</t>
        </is>
      </c>
      <c r="E94" s="117" t="inlineStr">
        <is>
          <t>Giường Ngoại khoa loại 3 - Khoa Chấn thương chỉnh hình</t>
        </is>
      </c>
      <c r="F94" s="272" t="n">
        <v>1</v>
      </c>
      <c r="G94" s="272" t="n">
        <v>269200</v>
      </c>
    </row>
    <row r="95" ht="15.75" customHeight="1" s="248">
      <c r="A95" s="117" t="n">
        <v>87</v>
      </c>
      <c r="B95" s="117" t="inlineStr">
        <is>
          <t>2026/05/25 20:12</t>
        </is>
      </c>
      <c r="C95" s="117" t="inlineStr">
        <is>
          <t>KHUẤT HÙNG</t>
        </is>
      </c>
      <c r="D95" s="117" t="inlineStr">
        <is>
          <t>01/01/1948</t>
        </is>
      </c>
      <c r="E95" s="117" t="inlineStr">
        <is>
          <t>Giường Ngoại khoa loại 3 - Khoa Chấn thương chỉnh hình</t>
        </is>
      </c>
      <c r="F95" s="272" t="n">
        <v>1</v>
      </c>
      <c r="G95" s="272" t="n">
        <v>269200</v>
      </c>
    </row>
    <row r="96" ht="15.75" customHeight="1" s="248">
      <c r="A96" s="117" t="n">
        <v>88</v>
      </c>
      <c r="B96" s="117" t="inlineStr">
        <is>
          <t>2026/05/26 00:00</t>
        </is>
      </c>
      <c r="C96" s="117" t="inlineStr">
        <is>
          <t>BÙI VĂN LONG</t>
        </is>
      </c>
      <c r="D96" s="117" t="inlineStr">
        <is>
          <t>21/10/1961</t>
        </is>
      </c>
      <c r="E96" s="117" t="inlineStr">
        <is>
          <t>Giường Nội khoa loại 2 - Khoa Chấn thương chỉnh hình</t>
        </is>
      </c>
      <c r="F96" s="272" t="n">
        <v>1</v>
      </c>
      <c r="G96" s="272" t="n">
        <v>222300</v>
      </c>
    </row>
    <row r="97" ht="15.75" customHeight="1" s="248">
      <c r="A97" s="117" t="n">
        <v>89</v>
      </c>
      <c r="B97" s="117" t="inlineStr">
        <is>
          <t>2026/05/26 00:00</t>
        </is>
      </c>
      <c r="C97" s="117" t="inlineStr">
        <is>
          <t>HỒ THANH VŨ</t>
        </is>
      </c>
      <c r="D97" s="117" t="inlineStr">
        <is>
          <t>26/07/1982</t>
        </is>
      </c>
      <c r="E97" s="117" t="inlineStr">
        <is>
          <t>Giường Nội khoa loại 2 - Khoa Chấn thương chỉnh hình</t>
        </is>
      </c>
      <c r="F97" s="272" t="n">
        <v>1</v>
      </c>
      <c r="G97" s="272" t="n">
        <v>222300</v>
      </c>
    </row>
    <row r="98" ht="15.75" customHeight="1" s="248">
      <c r="A98" s="117" t="n">
        <v>90</v>
      </c>
      <c r="B98" s="117" t="inlineStr">
        <is>
          <t>2026/05/26 00:00</t>
        </is>
      </c>
      <c r="C98" s="117" t="inlineStr">
        <is>
          <t>KIM THANH ĐẠT</t>
        </is>
      </c>
      <c r="D98" s="117" t="inlineStr">
        <is>
          <t>29/12/2007</t>
        </is>
      </c>
      <c r="E98" s="117" t="inlineStr">
        <is>
          <t>Giường Ngoại khoa loại 3 - Khoa Chấn thương chỉnh hình</t>
        </is>
      </c>
      <c r="F98" s="272" t="n">
        <v>1</v>
      </c>
      <c r="G98" s="272" t="n">
        <v>269200</v>
      </c>
    </row>
    <row r="99" ht="15.75" customHeight="1" s="248">
      <c r="A99" s="117" t="n">
        <v>91</v>
      </c>
      <c r="B99" s="117" t="inlineStr">
        <is>
          <t>2026/05/26 00:00</t>
        </is>
      </c>
      <c r="C99" s="117" t="inlineStr">
        <is>
          <t>LƯU TẤN PHÁT</t>
        </is>
      </c>
      <c r="D99" s="117" t="inlineStr">
        <is>
          <t>01/01/1954</t>
        </is>
      </c>
      <c r="E99" s="117" t="inlineStr">
        <is>
          <t>Giường Nội khoa loại 2 - Khoa Chấn thương chỉnh hình</t>
        </is>
      </c>
      <c r="F99" s="272" t="n">
        <v>1</v>
      </c>
      <c r="G99" s="272" t="n">
        <v>222300</v>
      </c>
    </row>
    <row r="100" ht="15.75" customHeight="1" s="248">
      <c r="A100" s="117" t="n">
        <v>92</v>
      </c>
      <c r="B100" s="117" t="inlineStr">
        <is>
          <t>2026/05/26 00:00</t>
        </is>
      </c>
      <c r="C100" s="117" t="inlineStr">
        <is>
          <t>NGUYỄN THỊ BÉ TƯ</t>
        </is>
      </c>
      <c r="D100" s="117" t="inlineStr">
        <is>
          <t>01/01/1967</t>
        </is>
      </c>
      <c r="E100" s="117" t="inlineStr">
        <is>
          <t>Giường Ngoại khoa loại 1 - Khoa Chấn thương chỉnh hình</t>
        </is>
      </c>
      <c r="F100" s="272" t="n">
        <v>1</v>
      </c>
      <c r="G100" s="272" t="n">
        <v>341800</v>
      </c>
    </row>
    <row r="101" ht="15.75" customHeight="1" s="248">
      <c r="A101" s="117" t="n">
        <v>93</v>
      </c>
      <c r="B101" s="117" t="inlineStr">
        <is>
          <t>2026/05/26 00:00</t>
        </is>
      </c>
      <c r="C101" s="117" t="inlineStr">
        <is>
          <t>NGUYỄN THỊ CHUỐI</t>
        </is>
      </c>
      <c r="D101" s="117" t="inlineStr">
        <is>
          <t>06/08/1952</t>
        </is>
      </c>
      <c r="E101" s="117" t="inlineStr">
        <is>
          <t>Giường Ngoại khoa loại 2 - Khoa Chấn thương chỉnh hình</t>
        </is>
      </c>
      <c r="F101" s="272" t="n">
        <v>1</v>
      </c>
      <c r="G101" s="272" t="n">
        <v>301600</v>
      </c>
    </row>
    <row r="102" ht="15.75" customHeight="1" s="248">
      <c r="A102" s="117" t="n">
        <v>94</v>
      </c>
      <c r="B102" s="117" t="inlineStr">
        <is>
          <t>2026/05/26 00:00</t>
        </is>
      </c>
      <c r="C102" s="117" t="inlineStr">
        <is>
          <t>NGUYỄN THỊ HẤN</t>
        </is>
      </c>
      <c r="D102" s="117" t="inlineStr">
        <is>
          <t>01/01/1959</t>
        </is>
      </c>
      <c r="E102" s="117" t="inlineStr">
        <is>
          <t>Giường Nội khoa loại 2 - Khoa Chấn thương chỉnh hình</t>
        </is>
      </c>
      <c r="F102" s="272" t="n">
        <v>1</v>
      </c>
      <c r="G102" s="272" t="n">
        <v>222300</v>
      </c>
    </row>
    <row r="103" ht="15.75" customHeight="1" s="248">
      <c r="A103" s="117" t="n">
        <v>95</v>
      </c>
      <c r="B103" s="117" t="inlineStr">
        <is>
          <t>2026/05/26 00:00</t>
        </is>
      </c>
      <c r="C103" s="117" t="inlineStr">
        <is>
          <t>NGUYỄN THỊ LÝ</t>
        </is>
      </c>
      <c r="D103" s="117" t="inlineStr">
        <is>
          <t>01/01/1944</t>
        </is>
      </c>
      <c r="E103" s="117" t="inlineStr">
        <is>
          <t>Giường Ngoại khoa loại 2 - Khoa Chấn thương chỉnh hình</t>
        </is>
      </c>
      <c r="F103" s="272" t="n">
        <v>1</v>
      </c>
      <c r="G103" s="272" t="n">
        <v>301600</v>
      </c>
    </row>
    <row r="104" ht="15.75" customHeight="1" s="248">
      <c r="A104" s="117" t="n">
        <v>96</v>
      </c>
      <c r="B104" s="117" t="inlineStr">
        <is>
          <t>2026/05/26 00:00</t>
        </is>
      </c>
      <c r="C104" s="117" t="inlineStr">
        <is>
          <t>NGUYỄN VĂN GẬP</t>
        </is>
      </c>
      <c r="D104" s="117" t="inlineStr">
        <is>
          <t>03/04/1952</t>
        </is>
      </c>
      <c r="E104" s="117" t="inlineStr">
        <is>
          <t>Giường Nội khoa loại 2 - Khoa Chấn thương chỉnh hình</t>
        </is>
      </c>
      <c r="F104" s="272" t="n">
        <v>2</v>
      </c>
      <c r="G104" s="272" t="n">
        <v>444600</v>
      </c>
    </row>
    <row r="105" ht="15.75" customHeight="1" s="248">
      <c r="A105" s="117" t="n">
        <v>97</v>
      </c>
      <c r="B105" s="117" t="inlineStr">
        <is>
          <t>2026/05/26 00:00</t>
        </is>
      </c>
      <c r="C105" s="117" t="inlineStr">
        <is>
          <t>TRẦN VĂN XIÊN</t>
        </is>
      </c>
      <c r="D105" s="117" t="inlineStr">
        <is>
          <t>01/01/1964</t>
        </is>
      </c>
      <c r="E105" s="117" t="inlineStr">
        <is>
          <t>Giường Ngoại khoa loại 3 - Khoa Chấn thương chỉnh hình</t>
        </is>
      </c>
      <c r="F105" s="272" t="n">
        <v>1</v>
      </c>
      <c r="G105" s="272" t="n">
        <v>269200</v>
      </c>
    </row>
    <row r="106" ht="15.75" customHeight="1" s="248">
      <c r="A106" s="117" t="n">
        <v>98</v>
      </c>
      <c r="B106" s="117" t="inlineStr">
        <is>
          <t>2026/05/26 00:00</t>
        </is>
      </c>
      <c r="C106" s="117" t="inlineStr">
        <is>
          <t>VÕ MINH HẰNG</t>
        </is>
      </c>
      <c r="D106" s="117" t="inlineStr">
        <is>
          <t>10/10/1975</t>
        </is>
      </c>
      <c r="E106" s="117" t="inlineStr">
        <is>
          <t>Giường Nội khoa loại 2 - Khoa Chấn thương chỉnh hình</t>
        </is>
      </c>
      <c r="F106" s="272" t="n">
        <v>1</v>
      </c>
      <c r="G106" s="272" t="n">
        <v>222300</v>
      </c>
    </row>
    <row r="107" ht="15.75" customHeight="1" s="248">
      <c r="A107" s="117" t="n">
        <v>99</v>
      </c>
      <c r="B107" s="117" t="inlineStr">
        <is>
          <t>2026/05/26 00:00</t>
        </is>
      </c>
      <c r="C107" s="117" t="inlineStr">
        <is>
          <t>VÕ VĂN BÉ BA</t>
        </is>
      </c>
      <c r="D107" s="117" t="inlineStr">
        <is>
          <t>12/12/1964</t>
        </is>
      </c>
      <c r="E107" s="117" t="inlineStr">
        <is>
          <t>Giường Ngoại khoa loại 3 - Khoa Chấn thương chỉnh hình</t>
        </is>
      </c>
      <c r="F107" s="272" t="n">
        <v>1</v>
      </c>
      <c r="G107" s="272" t="n">
        <v>269200</v>
      </c>
    </row>
    <row r="108" ht="15.75" customHeight="1" s="248">
      <c r="A108" s="117" t="n">
        <v>100</v>
      </c>
      <c r="B108" s="117" t="inlineStr">
        <is>
          <t>2026/05/26 00:00</t>
        </is>
      </c>
      <c r="C108" s="117" t="inlineStr">
        <is>
          <t>VÕ VĂN TÁM</t>
        </is>
      </c>
      <c r="D108" s="117" t="inlineStr">
        <is>
          <t>12/01/1960</t>
        </is>
      </c>
      <c r="E108" s="117" t="inlineStr">
        <is>
          <t>Giường Nội khoa loại 2 - Khoa Chấn thương chỉnh hình</t>
        </is>
      </c>
      <c r="F108" s="272" t="n">
        <v>1</v>
      </c>
      <c r="G108" s="272" t="n">
        <v>222300</v>
      </c>
    </row>
    <row r="109" ht="15.75" customHeight="1" s="248">
      <c r="A109" s="117" t="n">
        <v>101</v>
      </c>
      <c r="B109" s="117" t="inlineStr">
        <is>
          <t>2026/05/26 00:00</t>
        </is>
      </c>
      <c r="C109" s="117" t="inlineStr">
        <is>
          <t>VŨ THÀNH ĐẠT</t>
        </is>
      </c>
      <c r="D109" s="117" t="inlineStr">
        <is>
          <t>01/02/1955</t>
        </is>
      </c>
      <c r="E109" s="117" t="inlineStr">
        <is>
          <t>Giường Ngoại khoa loại 1 - Khoa Chấn thương chỉnh hình</t>
        </is>
      </c>
      <c r="F109" s="272" t="n">
        <v>1</v>
      </c>
      <c r="G109" s="272" t="n">
        <v>341800</v>
      </c>
    </row>
    <row r="110" ht="15.75" customHeight="1" s="248">
      <c r="A110" s="117" t="n">
        <v>102</v>
      </c>
      <c r="B110" s="117" t="inlineStr">
        <is>
          <t>2026/05/26 00:00</t>
        </is>
      </c>
      <c r="C110" s="117" t="inlineStr">
        <is>
          <t>HUỲNH THANH HÙNG</t>
        </is>
      </c>
      <c r="D110" s="117" t="inlineStr">
        <is>
          <t>01/01/1945</t>
        </is>
      </c>
      <c r="E110" s="117" t="inlineStr">
        <is>
          <t>Giường Ngoại khoa loại 3 - Khoa Chấn thương chỉnh hình</t>
        </is>
      </c>
      <c r="F110" s="272" t="n">
        <v>1</v>
      </c>
      <c r="G110" s="272" t="n">
        <v>269200</v>
      </c>
    </row>
    <row r="111" ht="15.75" customHeight="1" s="248">
      <c r="A111" s="117" t="n">
        <v>103</v>
      </c>
      <c r="B111" s="117" t="inlineStr">
        <is>
          <t>2026/05/26 00:00</t>
        </is>
      </c>
      <c r="C111" s="117" t="inlineStr">
        <is>
          <t>NGUYỄN THỊ ĐIỀN</t>
        </is>
      </c>
      <c r="D111" s="117" t="inlineStr">
        <is>
          <t>01/01/1963</t>
        </is>
      </c>
      <c r="E111" s="117" t="inlineStr">
        <is>
          <t>Giường Nội khoa loại 2 - Khoa Chấn thương chỉnh hình</t>
        </is>
      </c>
      <c r="F111" s="272" t="n">
        <v>1</v>
      </c>
      <c r="G111" s="272" t="n">
        <v>222300</v>
      </c>
    </row>
    <row r="112" ht="15.75" customHeight="1" s="248">
      <c r="A112" s="117" t="n">
        <v>104</v>
      </c>
      <c r="B112" s="117" t="inlineStr">
        <is>
          <t>2026/05/26 08:12</t>
        </is>
      </c>
      <c r="C112" s="117" t="inlineStr">
        <is>
          <t>TRẦN NGỌC ÁNH</t>
        </is>
      </c>
      <c r="D112" s="117" t="inlineStr">
        <is>
          <t>15/05/1961</t>
        </is>
      </c>
      <c r="E112" s="117" t="inlineStr">
        <is>
          <t>Giường Nội khoa loại 2 - Khoa Chấn thương chỉnh hình</t>
        </is>
      </c>
      <c r="F112" s="272" t="n">
        <v>1</v>
      </c>
      <c r="G112" s="272" t="n">
        <v>222300</v>
      </c>
    </row>
    <row r="113" ht="15.75" customHeight="1" s="248">
      <c r="A113" s="117" t="n">
        <v>105</v>
      </c>
      <c r="B113" s="117" t="inlineStr">
        <is>
          <t>2026/05/26 13:55</t>
        </is>
      </c>
      <c r="C113" s="117" t="inlineStr">
        <is>
          <t>PHAN THỊ NỠ</t>
        </is>
      </c>
      <c r="D113" s="117" t="inlineStr">
        <is>
          <t>01/01/1957</t>
        </is>
      </c>
      <c r="E113" s="117" t="inlineStr">
        <is>
          <t>Giường Ngoại khoa loại 3 - Khoa Chấn thương chỉnh hình</t>
        </is>
      </c>
      <c r="F113" s="272" t="n">
        <v>1</v>
      </c>
      <c r="G113" s="272" t="n">
        <v>269200</v>
      </c>
    </row>
    <row r="114" ht="15.75" customHeight="1" s="248">
      <c r="A114" s="117" t="n">
        <v>106</v>
      </c>
      <c r="B114" s="117" t="inlineStr">
        <is>
          <t>2026/05/26 15:16</t>
        </is>
      </c>
      <c r="C114" s="117" t="inlineStr">
        <is>
          <t>TRƯƠNG BÉ LÀI</t>
        </is>
      </c>
      <c r="D114" s="117" t="inlineStr">
        <is>
          <t>01/01/1986</t>
        </is>
      </c>
      <c r="E114" s="117" t="inlineStr">
        <is>
          <t>Giường Nội khoa loại 2 - Khoa Chấn thương chỉnh hình</t>
        </is>
      </c>
      <c r="F114" s="272" t="n">
        <v>1</v>
      </c>
      <c r="G114" s="272" t="n">
        <v>222300</v>
      </c>
    </row>
    <row r="115" ht="15.75" customHeight="1" s="248">
      <c r="A115" s="117" t="n">
        <v>107</v>
      </c>
      <c r="B115" s="117" t="inlineStr">
        <is>
          <t>2026/05/26 19:00</t>
        </is>
      </c>
      <c r="C115" s="117" t="inlineStr">
        <is>
          <t>KHUẤT HÙNG</t>
        </is>
      </c>
      <c r="D115" s="117" t="inlineStr">
        <is>
          <t>01/01/1948</t>
        </is>
      </c>
      <c r="E115" s="117" t="inlineStr">
        <is>
          <t>Giường Ngoại khoa loại 3 - Khoa Chấn thương chỉnh hình</t>
        </is>
      </c>
      <c r="F115" s="272" t="n">
        <v>1</v>
      </c>
      <c r="G115" s="272" t="n">
        <v>269200</v>
      </c>
    </row>
    <row r="116" ht="15.75" customHeight="1" s="248">
      <c r="A116" s="117" t="n">
        <v>108</v>
      </c>
      <c r="B116" s="117" t="inlineStr">
        <is>
          <t>2026/05/26 19:58</t>
        </is>
      </c>
      <c r="C116" s="117" t="inlineStr">
        <is>
          <t>HỒ THANH VŨ</t>
        </is>
      </c>
      <c r="D116" s="117" t="inlineStr">
        <is>
          <t>26/07/1982</t>
        </is>
      </c>
      <c r="E116" s="117" t="inlineStr">
        <is>
          <t>Giường Ngoại khoa loại 1 - Khoa Chấn thương chỉnh hình</t>
        </is>
      </c>
      <c r="F116" s="272" t="n">
        <v>1</v>
      </c>
      <c r="G116" s="272" t="n">
        <v>341800</v>
      </c>
    </row>
    <row r="117" ht="15.75" customHeight="1" s="248">
      <c r="A117" s="117" t="n">
        <v>109</v>
      </c>
      <c r="B117" s="117" t="inlineStr">
        <is>
          <t>2026/05/26 23:59</t>
        </is>
      </c>
      <c r="C117" s="117" t="inlineStr">
        <is>
          <t>MAI THÀNH DƯƠNG</t>
        </is>
      </c>
      <c r="D117" s="117" t="inlineStr">
        <is>
          <t>10/04/1964</t>
        </is>
      </c>
      <c r="E117" s="117" t="inlineStr">
        <is>
          <t>Giường Ngoại khoa loại 3 - Khoa Chấn thương chỉnh hình</t>
        </is>
      </c>
      <c r="F117" s="272" t="n">
        <v>1</v>
      </c>
      <c r="G117" s="272" t="n">
        <v>269200</v>
      </c>
    </row>
    <row r="118" ht="15.75" customHeight="1" s="248">
      <c r="A118" s="117" t="n">
        <v>110</v>
      </c>
      <c r="B118" s="117" t="inlineStr">
        <is>
          <t>2026/05/27 00:00</t>
        </is>
      </c>
      <c r="C118" s="117" t="inlineStr">
        <is>
          <t>KHUẤT HÙNG</t>
        </is>
      </c>
      <c r="D118" s="117" t="inlineStr">
        <is>
          <t>01/01/1948</t>
        </is>
      </c>
      <c r="E118" s="117" t="inlineStr">
        <is>
          <t>Giường Ngoại khoa loại 3 - Khoa Chấn thương chỉnh hình</t>
        </is>
      </c>
      <c r="F118" s="272" t="n">
        <v>1</v>
      </c>
      <c r="G118" s="272" t="n">
        <v>269200</v>
      </c>
    </row>
    <row r="119" ht="15.75" customHeight="1" s="248">
      <c r="A119" s="117" t="n">
        <v>111</v>
      </c>
      <c r="B119" s="117" t="inlineStr">
        <is>
          <t>2026/05/27 00:00</t>
        </is>
      </c>
      <c r="C119" s="117" t="inlineStr">
        <is>
          <t>KIM THANH ĐẠT</t>
        </is>
      </c>
      <c r="D119" s="117" t="inlineStr">
        <is>
          <t>29/12/2007</t>
        </is>
      </c>
      <c r="E119" s="117" t="inlineStr">
        <is>
          <t>Giường Ngoại khoa loại 3 - Khoa Chấn thương chỉnh hình</t>
        </is>
      </c>
      <c r="F119" s="272" t="n">
        <v>1</v>
      </c>
      <c r="G119" s="272" t="n">
        <v>269200</v>
      </c>
    </row>
    <row r="120" ht="15.75" customHeight="1" s="248">
      <c r="A120" s="117" t="n">
        <v>112</v>
      </c>
      <c r="B120" s="117" t="inlineStr">
        <is>
          <t>2026/05/27 00:00</t>
        </is>
      </c>
      <c r="C120" s="117" t="inlineStr">
        <is>
          <t>LƯU TẤN PHÁT</t>
        </is>
      </c>
      <c r="D120" s="117" t="inlineStr">
        <is>
          <t>01/01/1954</t>
        </is>
      </c>
      <c r="E120" s="117" t="inlineStr">
        <is>
          <t>Giường Nội khoa loại 2 - Khoa Chấn thương chỉnh hình</t>
        </is>
      </c>
      <c r="F120" s="272" t="n">
        <v>1</v>
      </c>
      <c r="G120" s="272" t="n">
        <v>222300</v>
      </c>
    </row>
    <row r="121" ht="15.75" customHeight="1" s="248">
      <c r="A121" s="117" t="n">
        <v>113</v>
      </c>
      <c r="B121" s="117" t="inlineStr">
        <is>
          <t>2026/05/27 00:00</t>
        </is>
      </c>
      <c r="C121" s="117" t="inlineStr">
        <is>
          <t>NGUYỄN THỊ BÉ TƯ</t>
        </is>
      </c>
      <c r="D121" s="117" t="inlineStr">
        <is>
          <t>01/01/1967</t>
        </is>
      </c>
      <c r="E121" s="117" t="inlineStr">
        <is>
          <t>Giường Ngoại khoa loại 1 - Khoa Chấn thương chỉnh hình</t>
        </is>
      </c>
      <c r="F121" s="272" t="n">
        <v>1</v>
      </c>
      <c r="G121" s="272" t="n">
        <v>341800</v>
      </c>
    </row>
    <row r="122" ht="15.75" customHeight="1" s="248">
      <c r="A122" s="117" t="n">
        <v>114</v>
      </c>
      <c r="B122" s="117" t="inlineStr">
        <is>
          <t>2026/05/27 00:00</t>
        </is>
      </c>
      <c r="C122" s="117" t="inlineStr">
        <is>
          <t>NGUYỄN THỊ CHUỐI</t>
        </is>
      </c>
      <c r="D122" s="117" t="inlineStr">
        <is>
          <t>06/08/1952</t>
        </is>
      </c>
      <c r="E122" s="117" t="inlineStr">
        <is>
          <t>Giường Ngoại khoa loại 2 - Khoa Chấn thương chỉnh hình</t>
        </is>
      </c>
      <c r="F122" s="272" t="n">
        <v>1</v>
      </c>
      <c r="G122" s="272" t="n">
        <v>301600</v>
      </c>
    </row>
    <row r="123" ht="15.75" customHeight="1" s="248">
      <c r="A123" s="117" t="n">
        <v>115</v>
      </c>
      <c r="B123" s="117" t="inlineStr">
        <is>
          <t>2026/05/27 00:00</t>
        </is>
      </c>
      <c r="C123" s="117" t="inlineStr">
        <is>
          <t>NGUYỄN THỊ LÝ</t>
        </is>
      </c>
      <c r="D123" s="117" t="inlineStr">
        <is>
          <t>01/01/1944</t>
        </is>
      </c>
      <c r="E123" s="117" t="inlineStr">
        <is>
          <t>Giường Ngoại khoa loại 2 - Khoa Chấn thương chỉnh hình</t>
        </is>
      </c>
      <c r="F123" s="272" t="n">
        <v>1</v>
      </c>
      <c r="G123" s="272" t="n">
        <v>301600</v>
      </c>
    </row>
    <row r="124" ht="15.75" customHeight="1" s="248">
      <c r="A124" s="117" t="n">
        <v>116</v>
      </c>
      <c r="B124" s="117" t="inlineStr">
        <is>
          <t>2026/05/27 00:00</t>
        </is>
      </c>
      <c r="C124" s="117" t="inlineStr">
        <is>
          <t>NGUYỄN VĂN LỢI</t>
        </is>
      </c>
      <c r="D124" s="117" t="inlineStr">
        <is>
          <t>01/07/1948</t>
        </is>
      </c>
      <c r="E124" s="117" t="inlineStr">
        <is>
          <t>Giường Nội khoa loại 2 - Khoa Chấn thương chỉnh hình</t>
        </is>
      </c>
      <c r="F124" s="272" t="n">
        <v>1</v>
      </c>
      <c r="G124" s="272" t="n">
        <v>222300</v>
      </c>
    </row>
    <row r="125" ht="15.75" customHeight="1" s="248">
      <c r="A125" s="117" t="n">
        <v>117</v>
      </c>
      <c r="B125" s="117" t="inlineStr">
        <is>
          <t>2026/05/27 00:00</t>
        </is>
      </c>
      <c r="C125" s="117" t="inlineStr">
        <is>
          <t>TRẦN NGỌC ÁNH</t>
        </is>
      </c>
      <c r="D125" s="117" t="inlineStr">
        <is>
          <t>15/05/1961</t>
        </is>
      </c>
      <c r="E125" s="117" t="inlineStr">
        <is>
          <t>Giường Nội khoa loại 2 - Khoa Chấn thương chỉnh hình</t>
        </is>
      </c>
      <c r="F125" s="272" t="n">
        <v>1</v>
      </c>
      <c r="G125" s="272" t="n">
        <v>222300</v>
      </c>
    </row>
    <row r="126" ht="15.75" customHeight="1" s="248">
      <c r="A126" s="117" t="n">
        <v>118</v>
      </c>
      <c r="B126" s="117" t="inlineStr">
        <is>
          <t>2026/05/27 00:00</t>
        </is>
      </c>
      <c r="C126" s="117" t="inlineStr">
        <is>
          <t>VÕ MINH HẰNG</t>
        </is>
      </c>
      <c r="D126" s="117" t="inlineStr">
        <is>
          <t>10/10/1975</t>
        </is>
      </c>
      <c r="E126" s="117" t="inlineStr">
        <is>
          <t>Giường Nội khoa loại 2 - Khoa Chấn thương chỉnh hình</t>
        </is>
      </c>
      <c r="F126" s="272" t="n">
        <v>1</v>
      </c>
      <c r="G126" s="272" t="n">
        <v>222300</v>
      </c>
    </row>
    <row r="127" ht="15.75" customHeight="1" s="248">
      <c r="A127" s="117" t="n">
        <v>119</v>
      </c>
      <c r="B127" s="117" t="inlineStr">
        <is>
          <t>2026/05/27 00:00</t>
        </is>
      </c>
      <c r="C127" s="117" t="inlineStr">
        <is>
          <t>VÕ VĂN BÉ BA</t>
        </is>
      </c>
      <c r="D127" s="117" t="inlineStr">
        <is>
          <t>12/12/1964</t>
        </is>
      </c>
      <c r="E127" s="117" t="inlineStr">
        <is>
          <t>Giường Ngoại khoa loại 3 - Khoa Chấn thương chỉnh hình</t>
        </is>
      </c>
      <c r="F127" s="272" t="n">
        <v>1</v>
      </c>
      <c r="G127" s="272" t="n">
        <v>269200</v>
      </c>
    </row>
    <row r="128" ht="15.75" customHeight="1" s="248">
      <c r="A128" s="117" t="n">
        <v>120</v>
      </c>
      <c r="B128" s="117" t="inlineStr">
        <is>
          <t>2026/05/27 00:00</t>
        </is>
      </c>
      <c r="C128" s="117" t="inlineStr">
        <is>
          <t>VÕ VĂN TÁM</t>
        </is>
      </c>
      <c r="D128" s="117" t="inlineStr">
        <is>
          <t>12/01/1960</t>
        </is>
      </c>
      <c r="E128" s="117" t="inlineStr">
        <is>
          <t>Giường Nội khoa loại 2 - Khoa Chấn thương chỉnh hình</t>
        </is>
      </c>
      <c r="F128" s="272" t="n">
        <v>1</v>
      </c>
      <c r="G128" s="272" t="n">
        <v>222300</v>
      </c>
    </row>
    <row r="129" ht="15.75" customHeight="1" s="248">
      <c r="A129" s="117" t="n">
        <v>121</v>
      </c>
      <c r="B129" s="117" t="inlineStr">
        <is>
          <t>2026/05/27 00:00</t>
        </is>
      </c>
      <c r="C129" s="117" t="inlineStr">
        <is>
          <t>VŨ THÀNH ĐẠT</t>
        </is>
      </c>
      <c r="D129" s="117" t="inlineStr">
        <is>
          <t>01/02/1955</t>
        </is>
      </c>
      <c r="E129" s="117" t="inlineStr">
        <is>
          <t>Giường Ngoại khoa loại 1 - Khoa Chấn thương chỉnh hình</t>
        </is>
      </c>
      <c r="F129" s="272" t="n">
        <v>1</v>
      </c>
      <c r="G129" s="272" t="n">
        <v>341800</v>
      </c>
    </row>
    <row r="130" ht="15.75" customHeight="1" s="248">
      <c r="A130" s="117" t="n">
        <v>122</v>
      </c>
      <c r="B130" s="117" t="inlineStr">
        <is>
          <t>2026/05/27 00:00</t>
        </is>
      </c>
      <c r="C130" s="117" t="inlineStr">
        <is>
          <t>HUỲNH THANH HÙNG</t>
        </is>
      </c>
      <c r="D130" s="117" t="inlineStr">
        <is>
          <t>01/01/1945</t>
        </is>
      </c>
      <c r="E130" s="117" t="inlineStr">
        <is>
          <t>Giường Ngoại khoa loại 3 - Khoa Chấn thương chỉnh hình</t>
        </is>
      </c>
      <c r="F130" s="272" t="n">
        <v>1</v>
      </c>
      <c r="G130" s="272" t="n">
        <v>269200</v>
      </c>
    </row>
    <row r="131" ht="15.75" customHeight="1" s="248">
      <c r="A131" s="117" t="n">
        <v>123</v>
      </c>
      <c r="B131" s="117" t="inlineStr">
        <is>
          <t>2026/05/27 00:00</t>
        </is>
      </c>
      <c r="C131" s="117" t="inlineStr">
        <is>
          <t>NGUYỄN THỊ ĐIỀN</t>
        </is>
      </c>
      <c r="D131" s="117" t="inlineStr">
        <is>
          <t>01/01/1963</t>
        </is>
      </c>
      <c r="E131" s="117" t="inlineStr">
        <is>
          <t>Giường Nội khoa loại 2 - Khoa Chấn thương chỉnh hình</t>
        </is>
      </c>
      <c r="F131" s="272" t="n">
        <v>1</v>
      </c>
      <c r="G131" s="272" t="n">
        <v>222300</v>
      </c>
    </row>
    <row r="132" ht="15.75" customHeight="1" s="248">
      <c r="A132" s="117" t="n">
        <v>124</v>
      </c>
      <c r="B132" s="117" t="inlineStr">
        <is>
          <t>2026/05/27 00:00</t>
        </is>
      </c>
      <c r="C132" s="117" t="inlineStr">
        <is>
          <t>TRƯƠNG BÉ LÀI</t>
        </is>
      </c>
      <c r="D132" s="117" t="inlineStr">
        <is>
          <t>01/01/1986</t>
        </is>
      </c>
      <c r="E132" s="117" t="inlineStr">
        <is>
          <t>Giường Nội khoa loại 2 - Khoa Chấn thương chỉnh hình</t>
        </is>
      </c>
      <c r="F132" s="272" t="n">
        <v>1</v>
      </c>
      <c r="G132" s="272" t="n">
        <v>222300</v>
      </c>
    </row>
    <row r="133" ht="15.75" customHeight="1" s="248">
      <c r="A133" s="117" t="n">
        <v>125</v>
      </c>
      <c r="B133" s="117" t="inlineStr">
        <is>
          <t>2026/05/27 07:20</t>
        </is>
      </c>
      <c r="C133" s="117" t="inlineStr">
        <is>
          <t>NGUYỄN THỊ XUA</t>
        </is>
      </c>
      <c r="D133" s="117" t="inlineStr">
        <is>
          <t>01/01/1938</t>
        </is>
      </c>
      <c r="E133" s="117" t="inlineStr">
        <is>
          <t>Giường Ngoại khoa loại 1 - Khoa Chấn thương chỉnh hình</t>
        </is>
      </c>
      <c r="F133" s="272" t="n">
        <v>1</v>
      </c>
      <c r="G133" s="272" t="n">
        <v>341800</v>
      </c>
    </row>
    <row r="134" ht="15.75" customHeight="1" s="248">
      <c r="A134" s="117" t="n">
        <v>126</v>
      </c>
      <c r="B134" s="117" t="inlineStr">
        <is>
          <t>2026/05/27 09:20</t>
        </is>
      </c>
      <c r="C134" s="117" t="inlineStr">
        <is>
          <t>TỐNG MỸ DUNG</t>
        </is>
      </c>
      <c r="D134" s="117" t="inlineStr">
        <is>
          <t>03/04/2009</t>
        </is>
      </c>
      <c r="E134" s="117" t="inlineStr">
        <is>
          <t>Giường Nội khoa loại 2 - Khoa Chấn thương chỉnh hình</t>
        </is>
      </c>
      <c r="F134" s="272" t="n">
        <v>1</v>
      </c>
      <c r="G134" s="272" t="n">
        <v>222300</v>
      </c>
    </row>
    <row r="135" ht="15.75" customHeight="1" s="248">
      <c r="A135" s="117" t="n">
        <v>127</v>
      </c>
      <c r="B135" s="117" t="inlineStr">
        <is>
          <t>2026/05/27 09:39</t>
        </is>
      </c>
      <c r="C135" s="117" t="inlineStr">
        <is>
          <t>DANH SÀ BẾT</t>
        </is>
      </c>
      <c r="D135" s="117" t="inlineStr">
        <is>
          <t>01/01/1958</t>
        </is>
      </c>
      <c r="E135" s="117" t="inlineStr">
        <is>
          <t>Giường Nội khoa loại 2 - Khoa Chấn thương chỉnh hình</t>
        </is>
      </c>
      <c r="F135" s="272" t="n">
        <v>1</v>
      </c>
      <c r="G135" s="272" t="n">
        <v>222300</v>
      </c>
    </row>
    <row r="136" ht="15.75" customHeight="1" s="248">
      <c r="A136" s="117" t="n">
        <v>128</v>
      </c>
      <c r="B136" s="117" t="inlineStr">
        <is>
          <t>2026/05/27 10:59</t>
        </is>
      </c>
      <c r="C136" s="117" t="inlineStr">
        <is>
          <t>BÙI VĂN LONG</t>
        </is>
      </c>
      <c r="D136" s="117" t="inlineStr">
        <is>
          <t>21/10/1961</t>
        </is>
      </c>
      <c r="E136" s="117" t="inlineStr">
        <is>
          <t>Giường Ngoại khoa loại 1 - Khoa Chấn thương chỉnh hình</t>
        </is>
      </c>
      <c r="F136" s="272" t="n">
        <v>1</v>
      </c>
      <c r="G136" s="272" t="n">
        <v>341800</v>
      </c>
    </row>
    <row r="137" ht="15.75" customHeight="1" s="248">
      <c r="A137" s="117" t="n">
        <v>129</v>
      </c>
      <c r="B137" s="117" t="inlineStr">
        <is>
          <t>2026/05/27 13:50</t>
        </is>
      </c>
      <c r="C137" s="117" t="inlineStr">
        <is>
          <t>NGUYỄN THỊ HẤN</t>
        </is>
      </c>
      <c r="D137" s="117" t="inlineStr">
        <is>
          <t>01/01/1959</t>
        </is>
      </c>
      <c r="E137" s="117" t="inlineStr">
        <is>
          <t>Giường Ngoại khoa loại 1 - Khoa Chấn thương chỉnh hình</t>
        </is>
      </c>
      <c r="F137" s="272" t="n">
        <v>1</v>
      </c>
      <c r="G137" s="272" t="n">
        <v>341800</v>
      </c>
    </row>
    <row r="138" ht="15.75" customHeight="1" s="248">
      <c r="A138" s="117" t="n">
        <v>130</v>
      </c>
      <c r="B138" s="117" t="inlineStr">
        <is>
          <t>2026/05/27 14:30</t>
        </is>
      </c>
      <c r="C138" s="117" t="inlineStr">
        <is>
          <t>TRẦN VĂN XIÊN</t>
        </is>
      </c>
      <c r="D138" s="117" t="inlineStr">
        <is>
          <t>01/01/1964</t>
        </is>
      </c>
      <c r="E138" s="117" t="inlineStr">
        <is>
          <t>Giường Ngoại khoa loại 3 - Khoa Chấn thương chỉnh hình</t>
        </is>
      </c>
      <c r="F138" s="272" t="n">
        <v>1</v>
      </c>
      <c r="G138" s="272" t="n">
        <v>269200</v>
      </c>
    </row>
    <row r="139" ht="15.75" customHeight="1" s="248">
      <c r="A139" s="117" t="n">
        <v>131</v>
      </c>
      <c r="B139" s="117" t="inlineStr">
        <is>
          <t>2026/05/27 23:59</t>
        </is>
      </c>
      <c r="C139" s="117" t="inlineStr">
        <is>
          <t>PHAN THỊ NỠ</t>
        </is>
      </c>
      <c r="D139" s="117" t="inlineStr">
        <is>
          <t>01/01/1957</t>
        </is>
      </c>
      <c r="E139" s="117" t="inlineStr">
        <is>
          <t>Giường Ngoại khoa loại 3 - Khoa Chấn thương chỉnh hình</t>
        </is>
      </c>
      <c r="F139" s="272" t="n">
        <v>1</v>
      </c>
      <c r="G139" s="272" t="n">
        <v>269200</v>
      </c>
    </row>
    <row r="140" ht="15.75" customHeight="1" s="248">
      <c r="A140" s="117" t="n">
        <v>132</v>
      </c>
      <c r="B140" s="117" t="inlineStr">
        <is>
          <t>2026/05/27 23:59</t>
        </is>
      </c>
      <c r="C140" s="117" t="inlineStr">
        <is>
          <t>MAI THÀNH DƯƠNG</t>
        </is>
      </c>
      <c r="D140" s="117" t="inlineStr">
        <is>
          <t>10/04/1964</t>
        </is>
      </c>
      <c r="E140" s="117" t="inlineStr">
        <is>
          <t>Giường Ngoại khoa loại 3 - Khoa Chấn thương chỉnh hình</t>
        </is>
      </c>
      <c r="F140" s="272" t="n">
        <v>1</v>
      </c>
      <c r="G140" s="272" t="n">
        <v>269200</v>
      </c>
    </row>
    <row r="141" ht="15.75" customHeight="1" s="248">
      <c r="A141" s="117" t="n">
        <v>133</v>
      </c>
      <c r="B141" s="117" t="inlineStr">
        <is>
          <t>2026/05/28 00:00</t>
        </is>
      </c>
      <c r="C141" s="117" t="inlineStr">
        <is>
          <t>BÙI VĂN LONG</t>
        </is>
      </c>
      <c r="D141" s="117" t="inlineStr">
        <is>
          <t>21/10/1961</t>
        </is>
      </c>
      <c r="E141" s="117" t="inlineStr">
        <is>
          <t>Giường Ngoại khoa loại 1 - Khoa Chấn thương chỉnh hình</t>
        </is>
      </c>
      <c r="F141" s="272" t="n">
        <v>1</v>
      </c>
      <c r="G141" s="272" t="n">
        <v>341800</v>
      </c>
    </row>
    <row r="142" ht="15.75" customHeight="1" s="248">
      <c r="A142" s="117" t="n">
        <v>134</v>
      </c>
      <c r="B142" s="117" t="inlineStr">
        <is>
          <t>2026/05/28 00:00</t>
        </is>
      </c>
      <c r="C142" s="117" t="inlineStr">
        <is>
          <t>DANH SÀ BẾT</t>
        </is>
      </c>
      <c r="D142" s="117" t="inlineStr">
        <is>
          <t>01/01/1958</t>
        </is>
      </c>
      <c r="E142" s="117" t="inlineStr">
        <is>
          <t>Giường Nội khoa loại 2 - Khoa Chấn thương chỉnh hình</t>
        </is>
      </c>
      <c r="F142" s="272" t="n">
        <v>1</v>
      </c>
      <c r="G142" s="272" t="n">
        <v>222300</v>
      </c>
    </row>
    <row r="143" ht="15.75" customHeight="1" s="248">
      <c r="A143" s="117" t="n">
        <v>135</v>
      </c>
      <c r="B143" s="117" t="inlineStr">
        <is>
          <t>2026/05/28 00:00</t>
        </is>
      </c>
      <c r="C143" s="117" t="inlineStr">
        <is>
          <t>HỒ THANH VŨ</t>
        </is>
      </c>
      <c r="D143" s="117" t="inlineStr">
        <is>
          <t>26/07/1982</t>
        </is>
      </c>
      <c r="E143" s="117" t="inlineStr">
        <is>
          <t>Giường Ngoại khoa loại 1 - Khoa Chấn thương chỉnh hình</t>
        </is>
      </c>
      <c r="F143" s="272" t="n">
        <v>1</v>
      </c>
      <c r="G143" s="272" t="n">
        <v>341800</v>
      </c>
    </row>
    <row r="144" ht="15.75" customHeight="1" s="248">
      <c r="A144" s="117" t="n">
        <v>136</v>
      </c>
      <c r="B144" s="117" t="inlineStr">
        <is>
          <t>2026/05/28 00:00</t>
        </is>
      </c>
      <c r="C144" s="117" t="inlineStr">
        <is>
          <t>KHUẤT HÙNG</t>
        </is>
      </c>
      <c r="D144" s="117" t="inlineStr">
        <is>
          <t>01/01/1948</t>
        </is>
      </c>
      <c r="E144" s="117" t="inlineStr">
        <is>
          <t>Giường Ngoại khoa loại 3 - Khoa Chấn thương chỉnh hình</t>
        </is>
      </c>
      <c r="F144" s="272" t="n">
        <v>1</v>
      </c>
      <c r="G144" s="272" t="n">
        <v>269200</v>
      </c>
    </row>
    <row r="145" ht="15.75" customHeight="1" s="248">
      <c r="A145" s="117" t="n">
        <v>137</v>
      </c>
      <c r="B145" s="117" t="inlineStr">
        <is>
          <t>2026/05/28 00:00</t>
        </is>
      </c>
      <c r="C145" s="117" t="inlineStr">
        <is>
          <t>KIM THANH ĐẠT</t>
        </is>
      </c>
      <c r="D145" s="117" t="inlineStr">
        <is>
          <t>29/12/2007</t>
        </is>
      </c>
      <c r="E145" s="117" t="inlineStr">
        <is>
          <t>Giường Ngoại khoa loại 3 - Khoa Chấn thương chỉnh hình</t>
        </is>
      </c>
      <c r="F145" s="272" t="n">
        <v>1</v>
      </c>
      <c r="G145" s="272" t="n">
        <v>269200</v>
      </c>
    </row>
    <row r="146" ht="15.75" customHeight="1" s="248">
      <c r="A146" s="117" t="n">
        <v>138</v>
      </c>
      <c r="B146" s="117" t="inlineStr">
        <is>
          <t>2026/05/28 00:00</t>
        </is>
      </c>
      <c r="C146" s="117" t="inlineStr">
        <is>
          <t>LƯU TẤN PHÁT</t>
        </is>
      </c>
      <c r="D146" s="117" t="inlineStr">
        <is>
          <t>01/01/1954</t>
        </is>
      </c>
      <c r="E146" s="117" t="inlineStr">
        <is>
          <t>Giường Nội khoa loại 2 - Khoa Chấn thương chỉnh hình</t>
        </is>
      </c>
      <c r="F146" s="272" t="n">
        <v>1</v>
      </c>
      <c r="G146" s="272" t="n">
        <v>222300</v>
      </c>
    </row>
    <row r="147" ht="15.75" customHeight="1" s="248">
      <c r="A147" s="117" t="n">
        <v>139</v>
      </c>
      <c r="B147" s="117" t="inlineStr">
        <is>
          <t>2026/05/28 00:00</t>
        </is>
      </c>
      <c r="C147" s="117" t="inlineStr">
        <is>
          <t>NGUYỄN THỊ BÉ TƯ</t>
        </is>
      </c>
      <c r="D147" s="117" t="inlineStr">
        <is>
          <t>01/01/1967</t>
        </is>
      </c>
      <c r="E147" s="117" t="inlineStr">
        <is>
          <t>Giường Ngoại khoa loại 1 - Khoa Chấn thương chỉnh hình</t>
        </is>
      </c>
      <c r="F147" s="272" t="n">
        <v>1</v>
      </c>
      <c r="G147" s="272" t="n">
        <v>341800</v>
      </c>
    </row>
    <row r="148" ht="15.75" customHeight="1" s="248">
      <c r="A148" s="117" t="n">
        <v>140</v>
      </c>
      <c r="B148" s="117" t="inlineStr">
        <is>
          <t>2026/05/28 00:00</t>
        </is>
      </c>
      <c r="C148" s="117" t="inlineStr">
        <is>
          <t>NGUYỄN THỊ CHUỐI</t>
        </is>
      </c>
      <c r="D148" s="117" t="inlineStr">
        <is>
          <t>06/08/1952</t>
        </is>
      </c>
      <c r="E148" s="117" t="inlineStr">
        <is>
          <t>Giường Ngoại khoa loại 2 - Khoa Chấn thương chỉnh hình</t>
        </is>
      </c>
      <c r="F148" s="272" t="n">
        <v>1</v>
      </c>
      <c r="G148" s="272" t="n">
        <v>301600</v>
      </c>
    </row>
    <row r="149" ht="15.75" customHeight="1" s="248">
      <c r="A149" s="117" t="n">
        <v>141</v>
      </c>
      <c r="B149" s="117" t="inlineStr">
        <is>
          <t>2026/05/28 00:00</t>
        </is>
      </c>
      <c r="C149" s="117" t="inlineStr">
        <is>
          <t>NGUYỄN THỊ HẤN</t>
        </is>
      </c>
      <c r="D149" s="117" t="inlineStr">
        <is>
          <t>01/01/1959</t>
        </is>
      </c>
      <c r="E149" s="117" t="inlineStr">
        <is>
          <t>Giường Ngoại khoa loại 1 - Khoa Chấn thương chỉnh hình</t>
        </is>
      </c>
      <c r="F149" s="272" t="n">
        <v>1</v>
      </c>
      <c r="G149" s="272" t="n">
        <v>341800</v>
      </c>
    </row>
    <row r="150" ht="15.75" customHeight="1" s="248">
      <c r="A150" s="117" t="n">
        <v>142</v>
      </c>
      <c r="B150" s="117" t="inlineStr">
        <is>
          <t>2026/05/28 00:00</t>
        </is>
      </c>
      <c r="C150" s="117" t="inlineStr">
        <is>
          <t>NGUYỄN THỊ LÝ</t>
        </is>
      </c>
      <c r="D150" s="117" t="inlineStr">
        <is>
          <t>01/01/1944</t>
        </is>
      </c>
      <c r="E150" s="117" t="inlineStr">
        <is>
          <t>Giường Ngoại khoa loại 2 - Khoa Chấn thương chỉnh hình</t>
        </is>
      </c>
      <c r="F150" s="272" t="n">
        <v>1</v>
      </c>
      <c r="G150" s="272" t="n">
        <v>301600</v>
      </c>
    </row>
    <row r="151" ht="15.75" customHeight="1" s="248">
      <c r="A151" s="117" t="n">
        <v>143</v>
      </c>
      <c r="B151" s="117" t="inlineStr">
        <is>
          <t>2026/05/28 00:00</t>
        </is>
      </c>
      <c r="C151" s="117" t="inlineStr">
        <is>
          <t>NGUYỄN VĂN GẬP</t>
        </is>
      </c>
      <c r="D151" s="117" t="inlineStr">
        <is>
          <t>03/04/1952</t>
        </is>
      </c>
      <c r="E151" s="117" t="inlineStr">
        <is>
          <t>Giường Ngoại khoa loại 1 - Khoa Chấn thương chỉnh hình</t>
        </is>
      </c>
      <c r="F151" s="272" t="n">
        <v>1</v>
      </c>
      <c r="G151" s="272" t="n">
        <v>341800</v>
      </c>
    </row>
    <row r="152" ht="15.75" customHeight="1" s="248">
      <c r="A152" s="117" t="n">
        <v>144</v>
      </c>
      <c r="B152" s="117" t="inlineStr">
        <is>
          <t>2026/05/28 00:00</t>
        </is>
      </c>
      <c r="C152" s="117" t="inlineStr">
        <is>
          <t>NGUYỄN VĂN LỢI</t>
        </is>
      </c>
      <c r="D152" s="117" t="inlineStr">
        <is>
          <t>01/07/1948</t>
        </is>
      </c>
      <c r="E152" s="117" t="inlineStr">
        <is>
          <t>Giường Nội khoa loại 2 - Khoa Chấn thương chỉnh hình</t>
        </is>
      </c>
      <c r="F152" s="272" t="n">
        <v>1</v>
      </c>
      <c r="G152" s="272" t="n">
        <v>222300</v>
      </c>
    </row>
    <row r="153" ht="15.75" customHeight="1" s="248">
      <c r="A153" s="117" t="n">
        <v>145</v>
      </c>
      <c r="B153" s="117" t="inlineStr">
        <is>
          <t>2026/05/28 00:00</t>
        </is>
      </c>
      <c r="C153" s="117" t="inlineStr">
        <is>
          <t>TRẦN NGỌC ÁNH</t>
        </is>
      </c>
      <c r="D153" s="117" t="inlineStr">
        <is>
          <t>15/05/1961</t>
        </is>
      </c>
      <c r="E153" s="117" t="inlineStr">
        <is>
          <t>Giường Ngoại khoa loại 4 - Khoa Chấn thương chỉnh hình</t>
        </is>
      </c>
      <c r="F153" s="272" t="n">
        <v>1</v>
      </c>
      <c r="G153" s="272" t="n">
        <v>229200</v>
      </c>
    </row>
    <row r="154" ht="15.75" customHeight="1" s="248">
      <c r="A154" s="117" t="n">
        <v>146</v>
      </c>
      <c r="B154" s="117" t="inlineStr">
        <is>
          <t>2026/05/28 00:00</t>
        </is>
      </c>
      <c r="C154" s="117" t="inlineStr">
        <is>
          <t>TRẦN VĂN XIÊN</t>
        </is>
      </c>
      <c r="D154" s="117" t="inlineStr">
        <is>
          <t>01/01/1964</t>
        </is>
      </c>
      <c r="E154" s="117" t="inlineStr">
        <is>
          <t>Giường Ngoại khoa loại 3 - Khoa Chấn thương chỉnh hình</t>
        </is>
      </c>
      <c r="F154" s="272" t="n">
        <v>1</v>
      </c>
      <c r="G154" s="272" t="n">
        <v>269200</v>
      </c>
    </row>
    <row r="155" ht="15.75" customHeight="1" s="248">
      <c r="A155" s="117" t="n">
        <v>147</v>
      </c>
      <c r="B155" s="117" t="inlineStr">
        <is>
          <t>2026/05/28 00:00</t>
        </is>
      </c>
      <c r="C155" s="117" t="inlineStr">
        <is>
          <t>TỐNG MỸ DUNG</t>
        </is>
      </c>
      <c r="D155" s="117" t="inlineStr">
        <is>
          <t>03/04/2009</t>
        </is>
      </c>
      <c r="E155" s="117" t="inlineStr">
        <is>
          <t>Giường Ngoại khoa loại 1 - Khoa Chấn thương chỉnh hình</t>
        </is>
      </c>
      <c r="F155" s="272" t="n">
        <v>1</v>
      </c>
      <c r="G155" s="272" t="n">
        <v>341800</v>
      </c>
    </row>
    <row r="156" ht="15.75" customHeight="1" s="248">
      <c r="A156" s="117" t="n">
        <v>148</v>
      </c>
      <c r="B156" s="117" t="inlineStr">
        <is>
          <t>2026/05/28 00:00</t>
        </is>
      </c>
      <c r="C156" s="117" t="inlineStr">
        <is>
          <t>VÕ MINH HẰNG</t>
        </is>
      </c>
      <c r="D156" s="117" t="inlineStr">
        <is>
          <t>10/10/1975</t>
        </is>
      </c>
      <c r="E156" s="117" t="inlineStr">
        <is>
          <t>Giường Nội khoa loại 2 - Khoa Chấn thương chỉnh hình</t>
        </is>
      </c>
      <c r="F156" s="272" t="n">
        <v>1</v>
      </c>
      <c r="G156" s="272" t="n">
        <v>222300</v>
      </c>
    </row>
    <row r="157" ht="15.75" customHeight="1" s="248">
      <c r="A157" s="117" t="n">
        <v>149</v>
      </c>
      <c r="B157" s="117" t="inlineStr">
        <is>
          <t>2026/05/28 00:00</t>
        </is>
      </c>
      <c r="C157" s="117" t="inlineStr">
        <is>
          <t>VÕ VĂN BÉ BA</t>
        </is>
      </c>
      <c r="D157" s="117" t="inlineStr">
        <is>
          <t>12/12/1964</t>
        </is>
      </c>
      <c r="E157" s="117" t="inlineStr">
        <is>
          <t>Giường Ngoại khoa loại 3 - Khoa Chấn thương chỉnh hình</t>
        </is>
      </c>
      <c r="F157" s="272" t="n">
        <v>1</v>
      </c>
      <c r="G157" s="272" t="n">
        <v>269200</v>
      </c>
    </row>
    <row r="158" ht="15.75" customHeight="1" s="248">
      <c r="A158" s="117" t="n">
        <v>150</v>
      </c>
      <c r="B158" s="117" t="inlineStr">
        <is>
          <t>2026/05/28 00:00</t>
        </is>
      </c>
      <c r="C158" s="117" t="inlineStr">
        <is>
          <t>VÕ VĂN TÁM</t>
        </is>
      </c>
      <c r="D158" s="117" t="inlineStr">
        <is>
          <t>12/01/1960</t>
        </is>
      </c>
      <c r="E158" s="117" t="inlineStr">
        <is>
          <t>Giường Nội khoa loại 2 - Khoa Chấn thương chỉnh hình</t>
        </is>
      </c>
      <c r="F158" s="272" t="n">
        <v>1</v>
      </c>
      <c r="G158" s="272" t="n">
        <v>222300</v>
      </c>
    </row>
    <row r="159" ht="15.75" customHeight="1" s="248">
      <c r="A159" s="117" t="n">
        <v>151</v>
      </c>
      <c r="B159" s="117" t="inlineStr">
        <is>
          <t>2026/05/28 00:00</t>
        </is>
      </c>
      <c r="C159" s="117" t="inlineStr">
        <is>
          <t>VŨ THÀNH ĐẠT</t>
        </is>
      </c>
      <c r="D159" s="117" t="inlineStr">
        <is>
          <t>01/02/1955</t>
        </is>
      </c>
      <c r="E159" s="117" t="inlineStr">
        <is>
          <t>Giường Ngoại khoa loại 1 - Khoa Chấn thương chỉnh hình</t>
        </is>
      </c>
      <c r="F159" s="272" t="n">
        <v>1</v>
      </c>
      <c r="G159" s="272" t="n">
        <v>341800</v>
      </c>
    </row>
    <row r="160" ht="15.75" customHeight="1" s="248">
      <c r="A160" s="117" t="n">
        <v>152</v>
      </c>
      <c r="B160" s="117" t="inlineStr">
        <is>
          <t>2026/05/28 00:00</t>
        </is>
      </c>
      <c r="C160" s="117" t="inlineStr">
        <is>
          <t>HUỲNH THANH HÙNG</t>
        </is>
      </c>
      <c r="D160" s="117" t="inlineStr">
        <is>
          <t>01/01/1945</t>
        </is>
      </c>
      <c r="E160" s="117" t="inlineStr">
        <is>
          <t>Giường Ngoại khoa loại 3 - Khoa Chấn thương chỉnh hình</t>
        </is>
      </c>
      <c r="F160" s="272" t="n">
        <v>1</v>
      </c>
      <c r="G160" s="272" t="n">
        <v>269200</v>
      </c>
    </row>
    <row r="161" ht="15.75" customHeight="1" s="248">
      <c r="A161" s="117" t="n">
        <v>153</v>
      </c>
      <c r="B161" s="117" t="inlineStr">
        <is>
          <t>2026/05/28 00:00</t>
        </is>
      </c>
      <c r="C161" s="117" t="inlineStr">
        <is>
          <t>NGUYỄN THỊ XUA</t>
        </is>
      </c>
      <c r="D161" s="117" t="inlineStr">
        <is>
          <t>01/01/1938</t>
        </is>
      </c>
      <c r="E161" s="117" t="inlineStr">
        <is>
          <t>Giường Ngoại khoa loại 1 - Khoa Chấn thương chỉnh hình</t>
        </is>
      </c>
      <c r="F161" s="272" t="n">
        <v>1</v>
      </c>
      <c r="G161" s="272" t="n">
        <v>341800</v>
      </c>
    </row>
    <row r="162" ht="15.75" customHeight="1" s="248">
      <c r="A162" s="117" t="n">
        <v>154</v>
      </c>
      <c r="B162" s="117" t="inlineStr">
        <is>
          <t>2026/05/28 00:00</t>
        </is>
      </c>
      <c r="C162" s="117" t="inlineStr">
        <is>
          <t>NGUYỄN THỊ ĐIỀN</t>
        </is>
      </c>
      <c r="D162" s="117" t="inlineStr">
        <is>
          <t>01/01/1963</t>
        </is>
      </c>
      <c r="E162" s="117" t="inlineStr">
        <is>
          <t>Giường Nội khoa loại 2 - Khoa Chấn thương chỉnh hình</t>
        </is>
      </c>
      <c r="F162" s="272" t="n">
        <v>1</v>
      </c>
      <c r="G162" s="272" t="n">
        <v>222300</v>
      </c>
    </row>
    <row r="163" ht="15.75" customHeight="1" s="248">
      <c r="A163" s="117" t="n">
        <v>155</v>
      </c>
      <c r="B163" s="117" t="inlineStr">
        <is>
          <t>2026/05/28 10:13</t>
        </is>
      </c>
      <c r="C163" s="117" t="inlineStr">
        <is>
          <t>ÂU CẨM NHUNG</t>
        </is>
      </c>
      <c r="D163" s="117" t="inlineStr">
        <is>
          <t>04/07/1974</t>
        </is>
      </c>
      <c r="E163" s="117" t="inlineStr">
        <is>
          <t>Giường Nội khoa loại 2 - Khoa Chấn thương chỉnh hình</t>
        </is>
      </c>
      <c r="F163" s="272" t="n">
        <v>1</v>
      </c>
      <c r="G163" s="272" t="n">
        <v>222300</v>
      </c>
    </row>
    <row r="164" ht="15.75" customHeight="1" s="248">
      <c r="A164" s="117" t="n">
        <v>156</v>
      </c>
      <c r="B164" s="117" t="inlineStr">
        <is>
          <t>2026/05/28 10:15</t>
        </is>
      </c>
      <c r="C164" s="117" t="inlineStr">
        <is>
          <t>PHẠM THỊ HỒNG GẤM</t>
        </is>
      </c>
      <c r="D164" s="117" t="inlineStr">
        <is>
          <t>01/01/1979</t>
        </is>
      </c>
      <c r="E164" s="117" t="inlineStr">
        <is>
          <t>Giường Nội khoa loại 2 - Khoa Chấn thương chỉnh hình</t>
        </is>
      </c>
      <c r="F164" s="272" t="n">
        <v>1</v>
      </c>
      <c r="G164" s="272" t="n">
        <v>222300</v>
      </c>
    </row>
    <row r="165" ht="15.75" customHeight="1" s="248">
      <c r="A165" s="117" t="n">
        <v>157</v>
      </c>
      <c r="B165" s="117" t="inlineStr">
        <is>
          <t>2026/05/28 10:15</t>
        </is>
      </c>
      <c r="C165" s="117" t="inlineStr">
        <is>
          <t>VŨ THỊ THÚY</t>
        </is>
      </c>
      <c r="D165" s="117" t="inlineStr">
        <is>
          <t>02/08/1965</t>
        </is>
      </c>
      <c r="E165" s="117" t="inlineStr">
        <is>
          <t>Giường Nội khoa loại 2 - Khoa Chấn thương chỉnh hình</t>
        </is>
      </c>
      <c r="F165" s="272" t="n">
        <v>1</v>
      </c>
      <c r="G165" s="272" t="n">
        <v>222300</v>
      </c>
    </row>
    <row r="166" ht="15.75" customHeight="1" s="248">
      <c r="A166" s="117" t="n">
        <v>158</v>
      </c>
      <c r="B166" s="117" t="inlineStr">
        <is>
          <t>2026/05/28 11:11</t>
        </is>
      </c>
      <c r="C166" s="117" t="inlineStr">
        <is>
          <t>PHAN TUẤN GIỚI</t>
        </is>
      </c>
      <c r="D166" s="117" t="inlineStr">
        <is>
          <t>15/02/1965</t>
        </is>
      </c>
      <c r="E166" s="117" t="inlineStr">
        <is>
          <t>Giường Nội khoa loại 2 - Khoa Chấn thương chỉnh hình</t>
        </is>
      </c>
      <c r="F166" s="272" t="n">
        <v>1</v>
      </c>
      <c r="G166" s="272" t="n">
        <v>222300</v>
      </c>
    </row>
    <row r="167" ht="15.75" customHeight="1" s="248">
      <c r="A167" s="117" t="n">
        <v>159</v>
      </c>
      <c r="B167" s="117" t="inlineStr">
        <is>
          <t>2026/05/28 14:18</t>
        </is>
      </c>
      <c r="C167" s="117" t="inlineStr">
        <is>
          <t>TRƯƠNG BÉ LÀI</t>
        </is>
      </c>
      <c r="D167" s="117" t="inlineStr">
        <is>
          <t>01/01/1986</t>
        </is>
      </c>
      <c r="E167" s="117" t="inlineStr">
        <is>
          <t>Giường Ngoại khoa loại 1 - Khoa Chấn thương chỉnh hình</t>
        </is>
      </c>
      <c r="F167" s="272" t="n">
        <v>1</v>
      </c>
      <c r="G167" s="272" t="n">
        <v>341800</v>
      </c>
    </row>
    <row r="168" ht="15.75" customHeight="1" s="248">
      <c r="A168" s="117" t="n">
        <v>160</v>
      </c>
      <c r="B168" s="117" t="inlineStr">
        <is>
          <t>2026/05/28 23:59</t>
        </is>
      </c>
      <c r="C168" s="117" t="inlineStr">
        <is>
          <t>PHAN THỊ NỠ</t>
        </is>
      </c>
      <c r="D168" s="117" t="inlineStr">
        <is>
          <t>01/01/1957</t>
        </is>
      </c>
      <c r="E168" s="117" t="inlineStr">
        <is>
          <t>Giường Ngoại khoa loại 3 - Khoa Chấn thương chỉnh hình</t>
        </is>
      </c>
      <c r="F168" s="272" t="n">
        <v>1</v>
      </c>
      <c r="G168" s="272" t="n">
        <v>269200</v>
      </c>
    </row>
    <row r="169" ht="15.75" customHeight="1" s="248">
      <c r="A169" s="117" t="n">
        <v>161</v>
      </c>
      <c r="B169" s="117" t="inlineStr">
        <is>
          <t>2026/05/28 23:59</t>
        </is>
      </c>
      <c r="C169" s="117" t="inlineStr">
        <is>
          <t>DƯƠNG VĂN CHIẾN</t>
        </is>
      </c>
      <c r="D169" s="117" t="inlineStr">
        <is>
          <t>01/01/1949</t>
        </is>
      </c>
      <c r="E169" s="117" t="inlineStr">
        <is>
          <t>Giường Ngoại khoa loại 3 - Khoa Chấn thương chỉnh hình</t>
        </is>
      </c>
      <c r="F169" s="272" t="n">
        <v>1</v>
      </c>
      <c r="G169" s="272" t="n">
        <v>269200</v>
      </c>
    </row>
    <row r="170" ht="15.75" customHeight="1" s="248">
      <c r="A170" s="117" t="n">
        <v>162</v>
      </c>
      <c r="B170" s="117" t="inlineStr">
        <is>
          <t>2026/05/29 00:00</t>
        </is>
      </c>
      <c r="C170" s="117" t="inlineStr">
        <is>
          <t>BÙI VĂN LONG</t>
        </is>
      </c>
      <c r="D170" s="117" t="inlineStr">
        <is>
          <t>21/10/1961</t>
        </is>
      </c>
      <c r="E170" s="117" t="inlineStr">
        <is>
          <t>Giường Ngoại khoa loại 1 - Khoa Chấn thương chỉnh hình</t>
        </is>
      </c>
      <c r="F170" s="272" t="n">
        <v>1</v>
      </c>
      <c r="G170" s="272" t="n">
        <v>341800</v>
      </c>
    </row>
    <row r="171" ht="15.75" customHeight="1" s="248">
      <c r="A171" s="117" t="n">
        <v>163</v>
      </c>
      <c r="B171" s="117" t="inlineStr">
        <is>
          <t>2026/05/29 00:00</t>
        </is>
      </c>
      <c r="C171" s="117" t="inlineStr">
        <is>
          <t>DANH SÀ BẾT</t>
        </is>
      </c>
      <c r="D171" s="117" t="inlineStr">
        <is>
          <t>01/01/1958</t>
        </is>
      </c>
      <c r="E171" s="117" t="inlineStr">
        <is>
          <t>Giường Nội khoa loại 2 - Khoa Chấn thương chỉnh hình</t>
        </is>
      </c>
      <c r="F171" s="272" t="n">
        <v>1</v>
      </c>
      <c r="G171" s="272" t="n">
        <v>222300</v>
      </c>
    </row>
    <row r="172" ht="15.75" customHeight="1" s="248">
      <c r="A172" s="117" t="n">
        <v>164</v>
      </c>
      <c r="B172" s="117" t="inlineStr">
        <is>
          <t>2026/05/29 00:00</t>
        </is>
      </c>
      <c r="C172" s="117" t="inlineStr">
        <is>
          <t>HỒ THANH VŨ</t>
        </is>
      </c>
      <c r="D172" s="117" t="inlineStr">
        <is>
          <t>26/07/1982</t>
        </is>
      </c>
      <c r="E172" s="117" t="inlineStr">
        <is>
          <t>Giường Ngoại khoa loại 1 - Khoa Chấn thương chỉnh hình</t>
        </is>
      </c>
      <c r="F172" s="272" t="n">
        <v>1</v>
      </c>
      <c r="G172" s="272" t="n">
        <v>341800</v>
      </c>
    </row>
    <row r="173" ht="15.75" customHeight="1" s="248">
      <c r="A173" s="117" t="n">
        <v>165</v>
      </c>
      <c r="B173" s="117" t="inlineStr">
        <is>
          <t>2026/05/29 00:00</t>
        </is>
      </c>
      <c r="C173" s="117" t="inlineStr">
        <is>
          <t>KIM THANH ĐẠT</t>
        </is>
      </c>
      <c r="D173" s="117" t="inlineStr">
        <is>
          <t>29/12/2007</t>
        </is>
      </c>
      <c r="E173" s="117" t="inlineStr">
        <is>
          <t>Giường Ngoại khoa loại 3 - Khoa Chấn thương chỉnh hình</t>
        </is>
      </c>
      <c r="F173" s="272" t="n">
        <v>1</v>
      </c>
      <c r="G173" s="272" t="n">
        <v>269200</v>
      </c>
    </row>
    <row r="174" ht="15.75" customHeight="1" s="248">
      <c r="A174" s="117" t="n">
        <v>166</v>
      </c>
      <c r="B174" s="117" t="inlineStr">
        <is>
          <t>2026/05/29 00:00</t>
        </is>
      </c>
      <c r="C174" s="117" t="inlineStr">
        <is>
          <t>LƯU TẤN PHÁT</t>
        </is>
      </c>
      <c r="D174" s="117" t="inlineStr">
        <is>
          <t>01/01/1954</t>
        </is>
      </c>
      <c r="E174" s="117" t="inlineStr">
        <is>
          <t>Giường Nội khoa loại 2 - Khoa Chấn thương chỉnh hình</t>
        </is>
      </c>
      <c r="F174" s="272" t="n">
        <v>1</v>
      </c>
      <c r="G174" s="272" t="n">
        <v>222300</v>
      </c>
    </row>
    <row r="175" ht="15.75" customHeight="1" s="248">
      <c r="A175" s="117" t="n">
        <v>167</v>
      </c>
      <c r="B175" s="117" t="inlineStr">
        <is>
          <t>2026/05/29 00:00</t>
        </is>
      </c>
      <c r="C175" s="117" t="inlineStr">
        <is>
          <t>NGUYỄN THỊ BÉ TƯ</t>
        </is>
      </c>
      <c r="D175" s="117" t="inlineStr">
        <is>
          <t>01/01/1967</t>
        </is>
      </c>
      <c r="E175" s="117" t="inlineStr">
        <is>
          <t>Giường Ngoại khoa loại 1 - Khoa Chấn thương chỉnh hình</t>
        </is>
      </c>
      <c r="F175" s="272" t="n">
        <v>3</v>
      </c>
      <c r="G175" s="272" t="n">
        <v>1025400</v>
      </c>
    </row>
    <row r="176" ht="15.75" customHeight="1" s="248">
      <c r="A176" s="117" t="n">
        <v>168</v>
      </c>
      <c r="B176" s="117" t="inlineStr">
        <is>
          <t>2026/05/29 00:00</t>
        </is>
      </c>
      <c r="C176" s="117" t="inlineStr">
        <is>
          <t>NGUYỄN THỊ CHUỐI</t>
        </is>
      </c>
      <c r="D176" s="117" t="inlineStr">
        <is>
          <t>06/08/1952</t>
        </is>
      </c>
      <c r="E176" s="117" t="inlineStr">
        <is>
          <t>Giường Ngoại khoa loại 2 - Khoa Chấn thương chỉnh hình</t>
        </is>
      </c>
      <c r="F176" s="272" t="n">
        <v>1</v>
      </c>
      <c r="G176" s="272" t="n">
        <v>301600</v>
      </c>
    </row>
    <row r="177" ht="15.75" customHeight="1" s="248">
      <c r="A177" s="117" t="n">
        <v>169</v>
      </c>
      <c r="B177" s="117" t="inlineStr">
        <is>
          <t>2026/05/29 00:00</t>
        </is>
      </c>
      <c r="C177" s="117" t="inlineStr">
        <is>
          <t>NGUYỄN THỊ HẤN</t>
        </is>
      </c>
      <c r="D177" s="117" t="inlineStr">
        <is>
          <t>01/01/1959</t>
        </is>
      </c>
      <c r="E177" s="117" t="inlineStr">
        <is>
          <t>Giường Ngoại khoa loại 1 - Khoa Chấn thương chỉnh hình</t>
        </is>
      </c>
      <c r="F177" s="272" t="n">
        <v>1</v>
      </c>
      <c r="G177" s="272" t="n">
        <v>341800</v>
      </c>
    </row>
    <row r="178" ht="15.75" customHeight="1" s="248">
      <c r="A178" s="117" t="n">
        <v>170</v>
      </c>
      <c r="B178" s="117" t="inlineStr">
        <is>
          <t>2026/05/29 00:00</t>
        </is>
      </c>
      <c r="C178" s="117" t="inlineStr">
        <is>
          <t>NGUYỄN THỊ LÝ</t>
        </is>
      </c>
      <c r="D178" s="117" t="inlineStr">
        <is>
          <t>01/01/1944</t>
        </is>
      </c>
      <c r="E178" s="117" t="inlineStr">
        <is>
          <t>Giường Ngoại khoa loại 2 - Khoa Chấn thương chỉnh hình</t>
        </is>
      </c>
      <c r="F178" s="272" t="n">
        <v>1</v>
      </c>
      <c r="G178" s="272" t="n">
        <v>301600</v>
      </c>
    </row>
    <row r="179" ht="15.75" customHeight="1" s="248">
      <c r="A179" s="117" t="n">
        <v>171</v>
      </c>
      <c r="B179" s="117" t="inlineStr">
        <is>
          <t>2026/05/29 00:00</t>
        </is>
      </c>
      <c r="C179" s="117" t="inlineStr">
        <is>
          <t>NGUYỄN THỊ THỦY</t>
        </is>
      </c>
      <c r="D179" s="117" t="inlineStr">
        <is>
          <t>01/01/1963</t>
        </is>
      </c>
      <c r="E179" s="117" t="inlineStr">
        <is>
          <t>Giường Nội khoa loại 2 - Khoa Chấn thương chỉnh hình</t>
        </is>
      </c>
      <c r="F179" s="272" t="n">
        <v>1</v>
      </c>
      <c r="G179" s="272" t="n">
        <v>222300</v>
      </c>
    </row>
    <row r="180" ht="15.75" customHeight="1" s="248">
      <c r="A180" s="117" t="n">
        <v>172</v>
      </c>
      <c r="B180" s="117" t="inlineStr">
        <is>
          <t>2026/05/29 00:00</t>
        </is>
      </c>
      <c r="C180" s="117" t="inlineStr">
        <is>
          <t>NGUYỄN VĂN GẬP</t>
        </is>
      </c>
      <c r="D180" s="117" t="inlineStr">
        <is>
          <t>03/04/1952</t>
        </is>
      </c>
      <c r="E180" s="117" t="inlineStr">
        <is>
          <t>Giường Ngoại khoa loại 1 - Khoa Chấn thương chỉnh hình</t>
        </is>
      </c>
      <c r="F180" s="272" t="n">
        <v>1</v>
      </c>
      <c r="G180" s="272" t="n">
        <v>341800</v>
      </c>
    </row>
    <row r="181" ht="15.75" customHeight="1" s="248">
      <c r="A181" s="117" t="n">
        <v>173</v>
      </c>
      <c r="B181" s="117" t="inlineStr">
        <is>
          <t>2026/05/29 00:00</t>
        </is>
      </c>
      <c r="C181" s="117" t="inlineStr">
        <is>
          <t>NGUYỄN VĂN LỢI</t>
        </is>
      </c>
      <c r="D181" s="117" t="inlineStr">
        <is>
          <t>01/07/1948</t>
        </is>
      </c>
      <c r="E181" s="117" t="inlineStr">
        <is>
          <t>Giường Nội khoa loại 2 - Khoa Chấn thương chỉnh hình</t>
        </is>
      </c>
      <c r="F181" s="272" t="n">
        <v>1</v>
      </c>
      <c r="G181" s="272" t="n">
        <v>222300</v>
      </c>
    </row>
    <row r="182" ht="15.75" customHeight="1" s="248">
      <c r="A182" s="117" t="n">
        <v>174</v>
      </c>
      <c r="B182" s="117" t="inlineStr">
        <is>
          <t>2026/05/29 00:00</t>
        </is>
      </c>
      <c r="C182" s="117" t="inlineStr">
        <is>
          <t>PHAN TUẤN GIỚI</t>
        </is>
      </c>
      <c r="D182" s="117" t="inlineStr">
        <is>
          <t>15/02/1965</t>
        </is>
      </c>
      <c r="E182" s="117" t="inlineStr">
        <is>
          <t>Giường Nội khoa loại 2 - Khoa Chấn thương chỉnh hình</t>
        </is>
      </c>
      <c r="F182" s="272" t="n">
        <v>1</v>
      </c>
      <c r="G182" s="272" t="n">
        <v>222300</v>
      </c>
    </row>
    <row r="183" ht="15.75" customHeight="1" s="248">
      <c r="A183" s="117" t="n">
        <v>175</v>
      </c>
      <c r="B183" s="117" t="inlineStr">
        <is>
          <t>2026/05/29 00:00</t>
        </is>
      </c>
      <c r="C183" s="117" t="inlineStr">
        <is>
          <t>PHẠM THỊ HỒNG GẤM</t>
        </is>
      </c>
      <c r="D183" s="117" t="inlineStr">
        <is>
          <t>01/01/1979</t>
        </is>
      </c>
      <c r="E183" s="117" t="inlineStr">
        <is>
          <t>Giường Nội khoa loại 2 - Khoa Chấn thương chỉnh hình</t>
        </is>
      </c>
      <c r="F183" s="272" t="n">
        <v>1</v>
      </c>
      <c r="G183" s="272" t="n">
        <v>222300</v>
      </c>
    </row>
    <row r="184" ht="15.75" customHeight="1" s="248">
      <c r="A184" s="117" t="n">
        <v>176</v>
      </c>
      <c r="B184" s="117" t="inlineStr">
        <is>
          <t>2026/05/29 00:00</t>
        </is>
      </c>
      <c r="C184" s="117" t="inlineStr">
        <is>
          <t>TRẦN NGỌC ÁNH</t>
        </is>
      </c>
      <c r="D184" s="117" t="inlineStr">
        <is>
          <t>15/05/1961</t>
        </is>
      </c>
      <c r="E184" s="117" t="inlineStr">
        <is>
          <t>Giường Ngoại khoa loại 4 - Khoa Chấn thương chỉnh hình</t>
        </is>
      </c>
      <c r="F184" s="272" t="n">
        <v>1</v>
      </c>
      <c r="G184" s="272" t="n">
        <v>229200</v>
      </c>
    </row>
    <row r="185" ht="15.75" customHeight="1" s="248">
      <c r="A185" s="117" t="n">
        <v>177</v>
      </c>
      <c r="B185" s="117" t="inlineStr">
        <is>
          <t>2026/05/29 00:00</t>
        </is>
      </c>
      <c r="C185" s="117" t="inlineStr">
        <is>
          <t>TRẦN VĂN XIÊN</t>
        </is>
      </c>
      <c r="D185" s="117" t="inlineStr">
        <is>
          <t>01/01/1964</t>
        </is>
      </c>
      <c r="E185" s="117" t="inlineStr">
        <is>
          <t>Giường Ngoại khoa loại 3 - Khoa Chấn thương chỉnh hình</t>
        </is>
      </c>
      <c r="F185" s="272" t="n">
        <v>1</v>
      </c>
      <c r="G185" s="272" t="n">
        <v>269200</v>
      </c>
    </row>
    <row r="186" ht="15.75" customHeight="1" s="248">
      <c r="A186" s="117" t="n">
        <v>178</v>
      </c>
      <c r="B186" s="117" t="inlineStr">
        <is>
          <t>2026/05/29 00:00</t>
        </is>
      </c>
      <c r="C186" s="117" t="inlineStr">
        <is>
          <t>TỐNG MỸ DUNG</t>
        </is>
      </c>
      <c r="D186" s="117" t="inlineStr">
        <is>
          <t>03/04/2009</t>
        </is>
      </c>
      <c r="E186" s="117" t="inlineStr">
        <is>
          <t>Giường Ngoại khoa loại 1 - Khoa Chấn thương chỉnh hình</t>
        </is>
      </c>
      <c r="F186" s="272" t="n">
        <v>1</v>
      </c>
      <c r="G186" s="272" t="n">
        <v>341800</v>
      </c>
    </row>
    <row r="187" ht="15.75" customHeight="1" s="248">
      <c r="A187" s="117" t="n">
        <v>179</v>
      </c>
      <c r="B187" s="117" t="inlineStr">
        <is>
          <t>2026/05/29 00:00</t>
        </is>
      </c>
      <c r="C187" s="117" t="inlineStr">
        <is>
          <t>VÕ MINH HẰNG</t>
        </is>
      </c>
      <c r="D187" s="117" t="inlineStr">
        <is>
          <t>10/10/1975</t>
        </is>
      </c>
      <c r="E187" s="117" t="inlineStr">
        <is>
          <t>Giường Nội khoa loại 2 - Khoa Chấn thương chỉnh hình</t>
        </is>
      </c>
      <c r="F187" s="272" t="n">
        <v>1</v>
      </c>
      <c r="G187" s="272" t="n">
        <v>222300</v>
      </c>
    </row>
    <row r="188" ht="15.75" customHeight="1" s="248">
      <c r="A188" s="117" t="n">
        <v>180</v>
      </c>
      <c r="B188" s="117" t="inlineStr">
        <is>
          <t>2026/05/29 00:00</t>
        </is>
      </c>
      <c r="C188" s="117" t="inlineStr">
        <is>
          <t>VÕ VĂN BÉ BA</t>
        </is>
      </c>
      <c r="D188" s="117" t="inlineStr">
        <is>
          <t>12/12/1964</t>
        </is>
      </c>
      <c r="E188" s="117" t="inlineStr">
        <is>
          <t>Giường Ngoại khoa loại 3 - Khoa Chấn thương chỉnh hình</t>
        </is>
      </c>
      <c r="F188" s="272" t="n">
        <v>1</v>
      </c>
      <c r="G188" s="272" t="n">
        <v>269200</v>
      </c>
    </row>
    <row r="189" ht="15.75" customHeight="1" s="248">
      <c r="A189" s="117" t="n">
        <v>181</v>
      </c>
      <c r="B189" s="117" t="inlineStr">
        <is>
          <t>2026/05/29 00:00</t>
        </is>
      </c>
      <c r="C189" s="117" t="inlineStr">
        <is>
          <t>VÕ VĂN TÁM</t>
        </is>
      </c>
      <c r="D189" s="117" t="inlineStr">
        <is>
          <t>12/01/1960</t>
        </is>
      </c>
      <c r="E189" s="117" t="inlineStr">
        <is>
          <t>Giường Nội khoa loại 2 - Khoa Chấn thương chỉnh hình</t>
        </is>
      </c>
      <c r="F189" s="272" t="n">
        <v>1</v>
      </c>
      <c r="G189" s="272" t="n">
        <v>222300</v>
      </c>
    </row>
    <row r="190" ht="15.75" customHeight="1" s="248">
      <c r="A190" s="117" t="n">
        <v>182</v>
      </c>
      <c r="B190" s="117" t="inlineStr">
        <is>
          <t>2026/05/29 00:00</t>
        </is>
      </c>
      <c r="C190" s="117" t="inlineStr">
        <is>
          <t>VŨ THÀNH ĐẠT</t>
        </is>
      </c>
      <c r="D190" s="117" t="inlineStr">
        <is>
          <t>01/02/1955</t>
        </is>
      </c>
      <c r="E190" s="117" t="inlineStr">
        <is>
          <t>Giường Ngoại khoa loại 1 - Khoa Chấn thương chỉnh hình</t>
        </is>
      </c>
      <c r="F190" s="272" t="n">
        <v>1</v>
      </c>
      <c r="G190" s="272" t="n">
        <v>341800</v>
      </c>
    </row>
    <row r="191" ht="15.75" customHeight="1" s="248">
      <c r="A191" s="117" t="n">
        <v>183</v>
      </c>
      <c r="B191" s="117" t="inlineStr">
        <is>
          <t>2026/05/29 00:00</t>
        </is>
      </c>
      <c r="C191" s="117" t="inlineStr">
        <is>
          <t>VŨ THỊ THÚY</t>
        </is>
      </c>
      <c r="D191" s="117" t="inlineStr">
        <is>
          <t>02/08/1965</t>
        </is>
      </c>
      <c r="E191" s="117" t="inlineStr">
        <is>
          <t>Giường Nội khoa loại 2 - Khoa Chấn thương chỉnh hình</t>
        </is>
      </c>
      <c r="F191" s="272" t="n">
        <v>1</v>
      </c>
      <c r="G191" s="272" t="n">
        <v>222300</v>
      </c>
    </row>
    <row r="192" ht="15.75" customHeight="1" s="248">
      <c r="A192" s="117" t="n">
        <v>184</v>
      </c>
      <c r="B192" s="117" t="inlineStr">
        <is>
          <t>2026/05/29 00:00</t>
        </is>
      </c>
      <c r="C192" s="117" t="inlineStr">
        <is>
          <t>ÂU CẨM NHUNG</t>
        </is>
      </c>
      <c r="D192" s="117" t="inlineStr">
        <is>
          <t>04/07/1974</t>
        </is>
      </c>
      <c r="E192" s="117" t="inlineStr">
        <is>
          <t>Giường Nội khoa loại 2 - Khoa Chấn thương chỉnh hình</t>
        </is>
      </c>
      <c r="F192" s="272" t="n">
        <v>1</v>
      </c>
      <c r="G192" s="272" t="n">
        <v>222300</v>
      </c>
    </row>
    <row r="193" ht="15.75" customHeight="1" s="248">
      <c r="A193" s="117" t="n">
        <v>185</v>
      </c>
      <c r="B193" s="117" t="inlineStr">
        <is>
          <t>2026/05/29 00:00</t>
        </is>
      </c>
      <c r="C193" s="117" t="inlineStr">
        <is>
          <t>HUỲNH THANH HÙNG</t>
        </is>
      </c>
      <c r="D193" s="117" t="inlineStr">
        <is>
          <t>01/01/1945</t>
        </is>
      </c>
      <c r="E193" s="117" t="inlineStr">
        <is>
          <t>Giường Ngoại khoa loại 3 - Khoa Chấn thương chỉnh hình</t>
        </is>
      </c>
      <c r="F193" s="272" t="n">
        <v>1</v>
      </c>
      <c r="G193" s="272" t="n">
        <v>269200</v>
      </c>
    </row>
    <row r="194" ht="15.75" customHeight="1" s="248">
      <c r="A194" s="117" t="n">
        <v>186</v>
      </c>
      <c r="B194" s="117" t="inlineStr">
        <is>
          <t>2026/05/29 00:00</t>
        </is>
      </c>
      <c r="C194" s="117" t="inlineStr">
        <is>
          <t>NGUYỄN THỊ XUA</t>
        </is>
      </c>
      <c r="D194" s="117" t="inlineStr">
        <is>
          <t>01/01/1938</t>
        </is>
      </c>
      <c r="E194" s="117" t="inlineStr">
        <is>
          <t>Giường Ngoại khoa loại 1 - Khoa Chấn thương chỉnh hình</t>
        </is>
      </c>
      <c r="F194" s="272" t="n">
        <v>1</v>
      </c>
      <c r="G194" s="272" t="n">
        <v>341800</v>
      </c>
    </row>
    <row r="195" ht="15.75" customHeight="1" s="248">
      <c r="A195" s="117" t="n">
        <v>187</v>
      </c>
      <c r="B195" s="117" t="inlineStr">
        <is>
          <t>2026/05/29 00:00</t>
        </is>
      </c>
      <c r="C195" s="117" t="inlineStr">
        <is>
          <t>NGUYỄN THỊ ĐIỀN</t>
        </is>
      </c>
      <c r="D195" s="117" t="inlineStr">
        <is>
          <t>01/01/1963</t>
        </is>
      </c>
      <c r="E195" s="117" t="inlineStr">
        <is>
          <t>Giường Nội khoa loại 2 - Khoa Chấn thương chỉnh hình</t>
        </is>
      </c>
      <c r="F195" s="272" t="n">
        <v>1</v>
      </c>
      <c r="G195" s="272" t="n">
        <v>222300</v>
      </c>
    </row>
    <row r="196" ht="15.75" customHeight="1" s="248">
      <c r="A196" s="117" t="n">
        <v>188</v>
      </c>
      <c r="B196" s="117" t="inlineStr">
        <is>
          <t>2026/05/29 00:00</t>
        </is>
      </c>
      <c r="C196" s="117" t="inlineStr">
        <is>
          <t>TRƯƠNG BÉ LÀI</t>
        </is>
      </c>
      <c r="D196" s="117" t="inlineStr">
        <is>
          <t>01/01/1986</t>
        </is>
      </c>
      <c r="E196" s="117" t="inlineStr">
        <is>
          <t>Giường Ngoại khoa loại 1 - Khoa Chấn thương chỉnh hình</t>
        </is>
      </c>
      <c r="F196" s="272" t="n">
        <v>1</v>
      </c>
      <c r="G196" s="272" t="n">
        <v>341800</v>
      </c>
    </row>
    <row r="197" ht="15.75" customHeight="1" s="248">
      <c r="A197" s="117" t="n">
        <v>189</v>
      </c>
      <c r="B197" s="117" t="inlineStr">
        <is>
          <t>2026/05/29 00:16</t>
        </is>
      </c>
      <c r="C197" s="117" t="inlineStr">
        <is>
          <t>LÊ TIẾN ĐẠT</t>
        </is>
      </c>
      <c r="D197" s="117" t="inlineStr">
        <is>
          <t>20/08/2004</t>
        </is>
      </c>
      <c r="E197" s="117" t="inlineStr">
        <is>
          <t>Giường Nội khoa loại 2 - Khoa Chấn thương chỉnh hình</t>
        </is>
      </c>
      <c r="F197" s="272" t="n">
        <v>1</v>
      </c>
      <c r="G197" s="272" t="n">
        <v>222300</v>
      </c>
    </row>
    <row r="198" ht="15.75" customHeight="1" s="248">
      <c r="A198" s="117" t="n">
        <v>190</v>
      </c>
      <c r="B198" s="117" t="inlineStr">
        <is>
          <t>2026/05/29 09:08</t>
        </is>
      </c>
      <c r="C198" s="117" t="inlineStr">
        <is>
          <t>KHUẤT HÙNG</t>
        </is>
      </c>
      <c r="D198" s="117" t="inlineStr">
        <is>
          <t>01/01/1948</t>
        </is>
      </c>
      <c r="E198" s="117" t="inlineStr">
        <is>
          <t>Giường Ngoại khoa loại 3 - Khoa Chấn thương chỉnh hình</t>
        </is>
      </c>
      <c r="F198" s="272" t="n">
        <v>1</v>
      </c>
      <c r="G198" s="272" t="n">
        <v>269200</v>
      </c>
    </row>
    <row r="199" ht="15.75" customHeight="1" s="248">
      <c r="A199" s="117" t="n">
        <v>191</v>
      </c>
      <c r="B199" s="117" t="inlineStr">
        <is>
          <t>2026/05/29 14:50</t>
        </is>
      </c>
      <c r="C199" s="117" t="inlineStr">
        <is>
          <t>TRẦN THỊ QUẮN</t>
        </is>
      </c>
      <c r="D199" s="117" t="inlineStr">
        <is>
          <t>01/01/1934</t>
        </is>
      </c>
      <c r="E199" s="117" t="inlineStr">
        <is>
          <t>Giường Nội khoa loại 2 - Khoa Chấn thương chỉnh hình</t>
        </is>
      </c>
      <c r="F199" s="272" t="n">
        <v>1</v>
      </c>
      <c r="G199" s="272" t="n">
        <v>222300</v>
      </c>
    </row>
    <row r="200" ht="15.75" customHeight="1" s="248">
      <c r="A200" s="117" t="n">
        <v>192</v>
      </c>
      <c r="B200" s="117" t="inlineStr">
        <is>
          <t>2026/05/29 15:00</t>
        </is>
      </c>
      <c r="C200" s="117" t="inlineStr">
        <is>
          <t>MAI THÀNH DƯƠNG</t>
        </is>
      </c>
      <c r="D200" s="117" t="inlineStr">
        <is>
          <t>10/04/1964</t>
        </is>
      </c>
      <c r="E200" s="117" t="inlineStr">
        <is>
          <t>Giường Ngoại khoa loại 3 - Khoa Chấn thương chỉnh hình</t>
        </is>
      </c>
      <c r="F200" s="272" t="n">
        <v>1</v>
      </c>
      <c r="G200" s="272" t="n">
        <v>269200</v>
      </c>
    </row>
    <row r="201" ht="15.75" customHeight="1" s="248">
      <c r="A201" s="117" t="n">
        <v>193</v>
      </c>
      <c r="B201" s="117" t="inlineStr">
        <is>
          <t>2026/05/29 23:59</t>
        </is>
      </c>
      <c r="C201" s="117" t="inlineStr">
        <is>
          <t>PHAN THỊ NỠ</t>
        </is>
      </c>
      <c r="D201" s="117" t="inlineStr">
        <is>
          <t>01/01/1957</t>
        </is>
      </c>
      <c r="E201" s="117" t="inlineStr">
        <is>
          <t>Giường Ngoại khoa loại 3 - Khoa Chấn thương chỉnh hình</t>
        </is>
      </c>
      <c r="F201" s="272" t="n">
        <v>1</v>
      </c>
      <c r="G201" s="272" t="n">
        <v>269200</v>
      </c>
    </row>
    <row r="202" ht="15.75" customHeight="1" s="248">
      <c r="A202" s="117" t="n">
        <v>194</v>
      </c>
      <c r="B202" s="117" t="inlineStr">
        <is>
          <t>2026/05/29 23:59</t>
        </is>
      </c>
      <c r="C202" s="117" t="inlineStr">
        <is>
          <t>DƯƠNG VĂN CHIẾN</t>
        </is>
      </c>
      <c r="D202" s="117" t="inlineStr">
        <is>
          <t>01/01/1949</t>
        </is>
      </c>
      <c r="E202" s="117" t="inlineStr">
        <is>
          <t>Giường Ngoại khoa loại 3 - Khoa Chấn thương chỉnh hình</t>
        </is>
      </c>
      <c r="F202" s="272" t="n">
        <v>1</v>
      </c>
      <c r="G202" s="272" t="n">
        <v>269200</v>
      </c>
    </row>
    <row r="203" ht="15.75" customHeight="1" s="248">
      <c r="A203" s="117" t="n">
        <v>195</v>
      </c>
      <c r="B203" s="117" t="inlineStr">
        <is>
          <t>2026/05/30 00:00</t>
        </is>
      </c>
      <c r="C203" s="117" t="inlineStr">
        <is>
          <t>BÙI VĂN LONG</t>
        </is>
      </c>
      <c r="D203" s="117" t="inlineStr">
        <is>
          <t>21/10/1961</t>
        </is>
      </c>
      <c r="E203" s="117" t="inlineStr">
        <is>
          <t>Giường Ngoại khoa loại 1 - Khoa Chấn thương chỉnh hình</t>
        </is>
      </c>
      <c r="F203" s="272" t="n">
        <v>1</v>
      </c>
      <c r="G203" s="272" t="n">
        <v>341800</v>
      </c>
    </row>
    <row r="204" ht="15.75" customHeight="1" s="248">
      <c r="A204" s="117" t="n">
        <v>196</v>
      </c>
      <c r="B204" s="117" t="inlineStr">
        <is>
          <t>2026/05/30 00:00</t>
        </is>
      </c>
      <c r="C204" s="117" t="inlineStr">
        <is>
          <t>DANH SÀ BẾT</t>
        </is>
      </c>
      <c r="D204" s="117" t="inlineStr">
        <is>
          <t>01/01/1958</t>
        </is>
      </c>
      <c r="E204" s="117" t="inlineStr">
        <is>
          <t>Giường Nội khoa loại 2 - Khoa Chấn thương chỉnh hình</t>
        </is>
      </c>
      <c r="F204" s="272" t="n">
        <v>1</v>
      </c>
      <c r="G204" s="272" t="n">
        <v>222300</v>
      </c>
    </row>
    <row r="205" ht="15.75" customHeight="1" s="248">
      <c r="A205" s="117" t="n">
        <v>197</v>
      </c>
      <c r="B205" s="117" t="inlineStr">
        <is>
          <t>2026/05/30 00:00</t>
        </is>
      </c>
      <c r="C205" s="117" t="inlineStr">
        <is>
          <t>HỒ THANH VŨ</t>
        </is>
      </c>
      <c r="D205" s="117" t="inlineStr">
        <is>
          <t>26/07/1982</t>
        </is>
      </c>
      <c r="E205" s="117" t="inlineStr">
        <is>
          <t>Giường Ngoại khoa loại 1 - Khoa Chấn thương chỉnh hình</t>
        </is>
      </c>
      <c r="F205" s="272" t="n">
        <v>1</v>
      </c>
      <c r="G205" s="272" t="n">
        <v>341800</v>
      </c>
    </row>
    <row r="206" ht="15.75" customHeight="1" s="248">
      <c r="A206" s="117" t="n">
        <v>198</v>
      </c>
      <c r="B206" s="117" t="inlineStr">
        <is>
          <t>2026/05/30 00:00</t>
        </is>
      </c>
      <c r="C206" s="117" t="inlineStr">
        <is>
          <t>KHUẤT HÙNG</t>
        </is>
      </c>
      <c r="D206" s="117" t="inlineStr">
        <is>
          <t>01/01/1948</t>
        </is>
      </c>
      <c r="E206" s="117" t="inlineStr">
        <is>
          <t>Giường Ngoại khoa loại 3 - Khoa Chấn thương chỉnh hình</t>
        </is>
      </c>
      <c r="F206" s="272" t="n">
        <v>1</v>
      </c>
      <c r="G206" s="272" t="n">
        <v>269200</v>
      </c>
    </row>
    <row r="207" ht="15.75" customHeight="1" s="248">
      <c r="A207" s="117" t="n">
        <v>199</v>
      </c>
      <c r="B207" s="117" t="inlineStr">
        <is>
          <t>2026/05/30 00:00</t>
        </is>
      </c>
      <c r="C207" s="117" t="inlineStr">
        <is>
          <t>KIM THANH ĐẠT</t>
        </is>
      </c>
      <c r="D207" s="117" t="inlineStr">
        <is>
          <t>29/12/2007</t>
        </is>
      </c>
      <c r="E207" s="117" t="inlineStr">
        <is>
          <t>Giường Ngoại khoa loại 3 - Khoa Chấn thương chỉnh hình</t>
        </is>
      </c>
      <c r="F207" s="272" t="n">
        <v>1</v>
      </c>
      <c r="G207" s="272" t="n">
        <v>269200</v>
      </c>
    </row>
    <row r="208" ht="15.75" customHeight="1" s="248">
      <c r="A208" s="117" t="n">
        <v>200</v>
      </c>
      <c r="B208" s="117" t="inlineStr">
        <is>
          <t>2026/05/30 00:00</t>
        </is>
      </c>
      <c r="C208" s="117" t="inlineStr">
        <is>
          <t>LƯU TẤN PHÁT</t>
        </is>
      </c>
      <c r="D208" s="117" t="inlineStr">
        <is>
          <t>01/01/1954</t>
        </is>
      </c>
      <c r="E208" s="117" t="inlineStr">
        <is>
          <t>Giường Nội khoa loại 2 - Khoa Chấn thương chỉnh hình</t>
        </is>
      </c>
      <c r="F208" s="272" t="n">
        <v>1</v>
      </c>
      <c r="G208" s="272" t="n">
        <v>222300</v>
      </c>
    </row>
    <row r="209" ht="18" customHeight="1" s="248">
      <c r="A209" s="117" t="n">
        <v>201</v>
      </c>
      <c r="B209" s="117" t="inlineStr">
        <is>
          <t>2026/05/30 00:00</t>
        </is>
      </c>
      <c r="C209" s="117" t="inlineStr">
        <is>
          <t>NGUYỄN THỊ CHUỐI</t>
        </is>
      </c>
      <c r="D209" s="117" t="inlineStr">
        <is>
          <t>06/08/1952</t>
        </is>
      </c>
      <c r="E209" s="117" t="inlineStr">
        <is>
          <t>Giường Ngoại khoa loại 2 - Khoa Chấn thương chỉnh hình</t>
        </is>
      </c>
      <c r="F209" s="272" t="n">
        <v>1</v>
      </c>
      <c r="G209" s="272" t="n">
        <v>301600</v>
      </c>
    </row>
    <row r="210" ht="15.75" customHeight="1" s="248">
      <c r="A210" s="117" t="n">
        <v>202</v>
      </c>
      <c r="B210" s="117" t="inlineStr">
        <is>
          <t>2026/05/30 00:00</t>
        </is>
      </c>
      <c r="C210" s="117" t="inlineStr">
        <is>
          <t>NGUYỄN THỊ HẤN</t>
        </is>
      </c>
      <c r="D210" s="117" t="inlineStr">
        <is>
          <t>01/01/1959</t>
        </is>
      </c>
      <c r="E210" s="117" t="inlineStr">
        <is>
          <t>Giường Ngoại khoa loại 1 - Khoa Chấn thương chỉnh hình</t>
        </is>
      </c>
      <c r="F210" s="272" t="n">
        <v>1</v>
      </c>
      <c r="G210" s="272" t="n">
        <v>341800</v>
      </c>
    </row>
    <row r="211" ht="15.75" customHeight="1" s="248">
      <c r="A211" s="117" t="n">
        <v>203</v>
      </c>
      <c r="B211" s="117" t="inlineStr">
        <is>
          <t>2026/05/30 00:00</t>
        </is>
      </c>
      <c r="C211" s="117" t="inlineStr">
        <is>
          <t>NGUYỄN THỊ LÝ</t>
        </is>
      </c>
      <c r="D211" s="117" t="inlineStr">
        <is>
          <t>01/01/1944</t>
        </is>
      </c>
      <c r="E211" s="117" t="inlineStr">
        <is>
          <t>Giường Ngoại khoa loại 2 - Khoa Chấn thương chỉnh hình</t>
        </is>
      </c>
      <c r="F211" s="272" t="n">
        <v>1</v>
      </c>
      <c r="G211" s="272" t="n">
        <v>301600</v>
      </c>
    </row>
    <row r="212" ht="15.75" customHeight="1" s="248">
      <c r="A212" s="117" t="n">
        <v>204</v>
      </c>
      <c r="B212" s="117" t="inlineStr">
        <is>
          <t>2026/05/30 00:00</t>
        </is>
      </c>
      <c r="C212" s="117" t="inlineStr">
        <is>
          <t>NGUYỄN THỊ THỦY</t>
        </is>
      </c>
      <c r="D212" s="117" t="inlineStr">
        <is>
          <t>01/01/1963</t>
        </is>
      </c>
      <c r="E212" s="117" t="inlineStr">
        <is>
          <t>Giường Nội khoa loại 2 - Khoa Chấn thương chỉnh hình</t>
        </is>
      </c>
      <c r="F212" s="272" t="n">
        <v>1</v>
      </c>
      <c r="G212" s="272" t="n">
        <v>222300</v>
      </c>
    </row>
    <row r="213" ht="15.75" customHeight="1" s="248">
      <c r="A213" s="117" t="n">
        <v>205</v>
      </c>
      <c r="B213" s="117" t="inlineStr">
        <is>
          <t>2026/05/30 00:00</t>
        </is>
      </c>
      <c r="C213" s="117" t="inlineStr">
        <is>
          <t>NGUYỄN VĂN GẬP</t>
        </is>
      </c>
      <c r="D213" s="117" t="inlineStr">
        <is>
          <t>03/04/1952</t>
        </is>
      </c>
      <c r="E213" s="117" t="inlineStr">
        <is>
          <t>Giường Ngoại khoa loại 1 - Khoa Chấn thương chỉnh hình</t>
        </is>
      </c>
      <c r="F213" s="272" t="n">
        <v>1</v>
      </c>
      <c r="G213" s="272" t="n">
        <v>341800</v>
      </c>
    </row>
    <row r="214" ht="15.75" customHeight="1" s="248">
      <c r="A214" s="117" t="n">
        <v>206</v>
      </c>
      <c r="B214" s="117" t="inlineStr">
        <is>
          <t>2026/05/30 00:00</t>
        </is>
      </c>
      <c r="C214" s="117" t="inlineStr">
        <is>
          <t>NGUYỄN VĂN LỢI</t>
        </is>
      </c>
      <c r="D214" s="117" t="inlineStr">
        <is>
          <t>01/07/1948</t>
        </is>
      </c>
      <c r="E214" s="117" t="inlineStr">
        <is>
          <t>Giường Nội khoa loại 2 - Khoa Chấn thương chỉnh hình</t>
        </is>
      </c>
      <c r="F214" s="272" t="n">
        <v>3</v>
      </c>
      <c r="G214" s="272" t="n">
        <v>666900</v>
      </c>
    </row>
    <row r="215" ht="15.75" customHeight="1" s="248">
      <c r="A215" s="117" t="n">
        <v>207</v>
      </c>
      <c r="B215" s="117" t="inlineStr">
        <is>
          <t>2026/05/30 00:00</t>
        </is>
      </c>
      <c r="C215" s="117" t="inlineStr">
        <is>
          <t>PHAN TUẤN GIỚI</t>
        </is>
      </c>
      <c r="D215" s="117" t="inlineStr">
        <is>
          <t>15/02/1965</t>
        </is>
      </c>
      <c r="E215" s="117" t="inlineStr">
        <is>
          <t>Giường Nội khoa loại 2 - Khoa Chấn thương chỉnh hình</t>
        </is>
      </c>
      <c r="F215" s="272" t="n">
        <v>1</v>
      </c>
      <c r="G215" s="272" t="n">
        <v>222300</v>
      </c>
    </row>
    <row r="216" ht="15.75" customHeight="1" s="248">
      <c r="A216" s="117" t="n">
        <v>208</v>
      </c>
      <c r="B216" s="117" t="inlineStr">
        <is>
          <t>2026/05/30 00:00</t>
        </is>
      </c>
      <c r="C216" s="117" t="inlineStr">
        <is>
          <t>PHẠM THỊ HỒNG GẤM</t>
        </is>
      </c>
      <c r="D216" s="117" t="inlineStr">
        <is>
          <t>01/01/1979</t>
        </is>
      </c>
      <c r="E216" s="117" t="inlineStr">
        <is>
          <t>Giường Nội khoa loại 2 - Khoa Chấn thương chỉnh hình</t>
        </is>
      </c>
      <c r="F216" s="272" t="n">
        <v>1</v>
      </c>
      <c r="G216" s="272" t="n">
        <v>222300</v>
      </c>
    </row>
    <row r="217" ht="15.75" customHeight="1" s="248">
      <c r="A217" s="117" t="n">
        <v>209</v>
      </c>
      <c r="B217" s="117" t="inlineStr">
        <is>
          <t>2026/05/30 00:00</t>
        </is>
      </c>
      <c r="C217" s="117" t="inlineStr">
        <is>
          <t>TRẦN NGỌC ÁNH</t>
        </is>
      </c>
      <c r="D217" s="117" t="inlineStr">
        <is>
          <t>15/05/1961</t>
        </is>
      </c>
      <c r="E217" s="117" t="inlineStr">
        <is>
          <t>Giường Ngoại khoa loại 4 - Khoa Chấn thương chỉnh hình</t>
        </is>
      </c>
      <c r="F217" s="272" t="n">
        <v>1</v>
      </c>
      <c r="G217" s="272" t="n">
        <v>229200</v>
      </c>
    </row>
    <row r="218" ht="15.75" customHeight="1" s="248">
      <c r="A218" s="117" t="n">
        <v>210</v>
      </c>
      <c r="B218" s="117" t="inlineStr">
        <is>
          <t>2026/05/30 00:00</t>
        </is>
      </c>
      <c r="C218" s="117" t="inlineStr">
        <is>
          <t>TRẦN THỊ QUẮN</t>
        </is>
      </c>
      <c r="D218" s="117" t="inlineStr">
        <is>
          <t>01/01/1934</t>
        </is>
      </c>
      <c r="E218" s="117" t="inlineStr">
        <is>
          <t>Giường Ngoại khoa loại 2 - Khoa Chấn thương chỉnh hình</t>
        </is>
      </c>
      <c r="F218" s="272" t="n">
        <v>1</v>
      </c>
      <c r="G218" s="272" t="n">
        <v>301600</v>
      </c>
    </row>
    <row r="219" ht="15.75" customHeight="1" s="248">
      <c r="A219" s="117" t="n">
        <v>211</v>
      </c>
      <c r="B219" s="117" t="inlineStr">
        <is>
          <t>2026/05/30 00:00</t>
        </is>
      </c>
      <c r="C219" s="117" t="inlineStr">
        <is>
          <t>TRẦN VĂN XIÊN</t>
        </is>
      </c>
      <c r="D219" s="117" t="inlineStr">
        <is>
          <t>01/01/1964</t>
        </is>
      </c>
      <c r="E219" s="117" t="inlineStr">
        <is>
          <t>Giường Ngoại khoa loại 3 - Khoa Chấn thương chỉnh hình</t>
        </is>
      </c>
      <c r="F219" s="272" t="n">
        <v>1</v>
      </c>
      <c r="G219" s="272" t="n">
        <v>269200</v>
      </c>
    </row>
    <row r="220" ht="15.75" customHeight="1" s="248">
      <c r="A220" s="117" t="n">
        <v>212</v>
      </c>
      <c r="B220" s="117" t="inlineStr">
        <is>
          <t>2026/05/30 00:00</t>
        </is>
      </c>
      <c r="C220" s="117" t="inlineStr">
        <is>
          <t>TỐNG MỸ DUNG</t>
        </is>
      </c>
      <c r="D220" s="117" t="inlineStr">
        <is>
          <t>03/04/2009</t>
        </is>
      </c>
      <c r="E220" s="117" t="inlineStr">
        <is>
          <t>Giường Ngoại khoa loại 1 - Khoa Chấn thương chỉnh hình</t>
        </is>
      </c>
      <c r="F220" s="272" t="n">
        <v>1</v>
      </c>
      <c r="G220" s="272" t="n">
        <v>341800</v>
      </c>
    </row>
    <row r="221" ht="15.75" customHeight="1" s="248">
      <c r="A221" s="117" t="n">
        <v>213</v>
      </c>
      <c r="B221" s="117" t="inlineStr">
        <is>
          <t>2026/05/30 00:00</t>
        </is>
      </c>
      <c r="C221" s="117" t="inlineStr">
        <is>
          <t>VÕ MINH HẰNG</t>
        </is>
      </c>
      <c r="D221" s="117" t="inlineStr">
        <is>
          <t>10/10/1975</t>
        </is>
      </c>
      <c r="E221" s="117" t="inlineStr">
        <is>
          <t>Giường Nội khoa loại 2 - Khoa Chấn thương chỉnh hình</t>
        </is>
      </c>
      <c r="F221" s="272" t="n">
        <v>3</v>
      </c>
      <c r="G221" s="272" t="n">
        <v>666900</v>
      </c>
    </row>
    <row r="222" ht="15.75" customHeight="1" s="248">
      <c r="A222" s="117" t="n">
        <v>214</v>
      </c>
      <c r="B222" s="117" t="inlineStr">
        <is>
          <t>2026/05/30 00:00</t>
        </is>
      </c>
      <c r="C222" s="117" t="inlineStr">
        <is>
          <t>VÕ VĂN BÉ BA</t>
        </is>
      </c>
      <c r="D222" s="117" t="inlineStr">
        <is>
          <t>12/12/1964</t>
        </is>
      </c>
      <c r="E222" s="117" t="inlineStr">
        <is>
          <t>Giường Ngoại khoa loại 3 - Khoa Chấn thương chỉnh hình</t>
        </is>
      </c>
      <c r="F222" s="272" t="n">
        <v>1</v>
      </c>
      <c r="G222" s="272" t="n">
        <v>269200</v>
      </c>
    </row>
    <row r="223" ht="15.75" customHeight="1" s="248">
      <c r="A223" s="117" t="n">
        <v>215</v>
      </c>
      <c r="B223" s="117" t="inlineStr">
        <is>
          <t>2026/05/30 00:00</t>
        </is>
      </c>
      <c r="C223" s="117" t="inlineStr">
        <is>
          <t>VÕ VĂN TÁM</t>
        </is>
      </c>
      <c r="D223" s="117" t="inlineStr">
        <is>
          <t>12/01/1960</t>
        </is>
      </c>
      <c r="E223" s="117" t="inlineStr">
        <is>
          <t>Giường Nội khoa loại 2 - Khoa Chấn thương chỉnh hình</t>
        </is>
      </c>
      <c r="F223" s="272" t="n">
        <v>1</v>
      </c>
      <c r="G223" s="272" t="n">
        <v>222300</v>
      </c>
    </row>
    <row r="224" ht="15.75" customHeight="1" s="248">
      <c r="A224" s="117" t="n">
        <v>216</v>
      </c>
      <c r="B224" s="117" t="inlineStr">
        <is>
          <t>2026/05/30 00:00</t>
        </is>
      </c>
      <c r="C224" s="117" t="inlineStr">
        <is>
          <t>VŨ THÀNH ĐẠT</t>
        </is>
      </c>
      <c r="D224" s="117" t="inlineStr">
        <is>
          <t>01/02/1955</t>
        </is>
      </c>
      <c r="E224" s="117" t="inlineStr">
        <is>
          <t>Giường Ngoại khoa loại 1 - Khoa Chấn thương chỉnh hình</t>
        </is>
      </c>
      <c r="F224" s="272" t="n">
        <v>1</v>
      </c>
      <c r="G224" s="272" t="n">
        <v>341800</v>
      </c>
    </row>
    <row r="225" ht="15.75" customHeight="1" s="248">
      <c r="A225" s="117" t="n">
        <v>217</v>
      </c>
      <c r="B225" s="117" t="inlineStr">
        <is>
          <t>2026/05/30 00:00</t>
        </is>
      </c>
      <c r="C225" s="117" t="inlineStr">
        <is>
          <t>VŨ THỊ THÚY</t>
        </is>
      </c>
      <c r="D225" s="117" t="inlineStr">
        <is>
          <t>02/08/1965</t>
        </is>
      </c>
      <c r="E225" s="117" t="inlineStr">
        <is>
          <t>Giường Nội khoa loại 2 - Khoa Chấn thương chỉnh hình</t>
        </is>
      </c>
      <c r="F225" s="272" t="n">
        <v>1</v>
      </c>
      <c r="G225" s="272" t="n">
        <v>222300</v>
      </c>
    </row>
    <row r="226" ht="15.75" customHeight="1" s="248">
      <c r="A226" s="117" t="n">
        <v>218</v>
      </c>
      <c r="B226" s="117" t="inlineStr">
        <is>
          <t>2026/05/30 00:00</t>
        </is>
      </c>
      <c r="C226" s="117" t="inlineStr">
        <is>
          <t>ÂU CẨM NHUNG</t>
        </is>
      </c>
      <c r="D226" s="117" t="inlineStr">
        <is>
          <t>04/07/1974</t>
        </is>
      </c>
      <c r="E226" s="117" t="inlineStr">
        <is>
          <t>Giường Nội khoa loại 2 - Khoa Chấn thương chỉnh hình</t>
        </is>
      </c>
      <c r="F226" s="272" t="n">
        <v>1</v>
      </c>
      <c r="G226" s="272" t="n">
        <v>222300</v>
      </c>
    </row>
    <row r="227" ht="15.75" customHeight="1" s="248">
      <c r="A227" s="117" t="n">
        <v>219</v>
      </c>
      <c r="B227" s="117" t="inlineStr">
        <is>
          <t>2026/05/30 00:00</t>
        </is>
      </c>
      <c r="C227" s="117" t="inlineStr">
        <is>
          <t>HUỲNH THANH HÙNG</t>
        </is>
      </c>
      <c r="D227" s="117" t="inlineStr">
        <is>
          <t>01/01/1945</t>
        </is>
      </c>
      <c r="E227" s="117" t="inlineStr">
        <is>
          <t>Giường Ngoại khoa loại 3 - Khoa Chấn thương chỉnh hình</t>
        </is>
      </c>
      <c r="F227" s="272" t="n">
        <v>1</v>
      </c>
      <c r="G227" s="272" t="n">
        <v>269200</v>
      </c>
    </row>
    <row r="228" ht="15.75" customHeight="1" s="248">
      <c r="A228" s="117" t="n">
        <v>220</v>
      </c>
      <c r="B228" s="117" t="inlineStr">
        <is>
          <t>2026/05/30 00:00</t>
        </is>
      </c>
      <c r="C228" s="117" t="inlineStr">
        <is>
          <t>MAI THÀNH DƯƠNG</t>
        </is>
      </c>
      <c r="D228" s="117" t="inlineStr">
        <is>
          <t>10/04/1964</t>
        </is>
      </c>
      <c r="E228" s="117" t="inlineStr">
        <is>
          <t>Giường Ngoại khoa loại 3 - Khoa Chấn thương chỉnh hình</t>
        </is>
      </c>
      <c r="F228" s="272" t="n">
        <v>1</v>
      </c>
      <c r="G228" s="272" t="n">
        <v>269200</v>
      </c>
    </row>
    <row r="229" ht="15.75" customHeight="1" s="248">
      <c r="A229" s="117" t="n">
        <v>221</v>
      </c>
      <c r="B229" s="117" t="inlineStr">
        <is>
          <t>2026/05/30 00:00</t>
        </is>
      </c>
      <c r="C229" s="117" t="inlineStr">
        <is>
          <t>NGUYỄN THỊ XUA</t>
        </is>
      </c>
      <c r="D229" s="117" t="inlineStr">
        <is>
          <t>01/01/1938</t>
        </is>
      </c>
      <c r="E229" s="117" t="inlineStr">
        <is>
          <t>Giường Ngoại khoa loại 1 - Khoa Chấn thương chỉnh hình</t>
        </is>
      </c>
      <c r="F229" s="272" t="n">
        <v>1</v>
      </c>
      <c r="G229" s="272" t="n">
        <v>341800</v>
      </c>
    </row>
    <row r="230" ht="15.75" customHeight="1" s="248">
      <c r="A230" s="117" t="n">
        <v>222</v>
      </c>
      <c r="B230" s="117" t="inlineStr">
        <is>
          <t>2026/05/30 00:00</t>
        </is>
      </c>
      <c r="C230" s="117" t="inlineStr">
        <is>
          <t>NGUYỄN THỊ ĐIỀN</t>
        </is>
      </c>
      <c r="D230" s="117" t="inlineStr">
        <is>
          <t>01/01/1963</t>
        </is>
      </c>
      <c r="E230" s="117" t="inlineStr">
        <is>
          <t>Giường Nội khoa loại 2 - Khoa Chấn thương chỉnh hình</t>
        </is>
      </c>
      <c r="F230" s="272" t="n">
        <v>1</v>
      </c>
      <c r="G230" s="272" t="n">
        <v>222300</v>
      </c>
    </row>
    <row r="231" ht="15.75" customHeight="1" s="248">
      <c r="A231" s="117" t="n">
        <v>223</v>
      </c>
      <c r="B231" s="117" t="inlineStr">
        <is>
          <t>2026/05/30 00:00</t>
        </is>
      </c>
      <c r="C231" s="117" t="inlineStr">
        <is>
          <t>TRƯƠNG BÉ LÀI</t>
        </is>
      </c>
      <c r="D231" s="117" t="inlineStr">
        <is>
          <t>01/01/1986</t>
        </is>
      </c>
      <c r="E231" s="117" t="inlineStr">
        <is>
          <t>Giường Ngoại khoa loại 1 - Khoa Chấn thương chỉnh hình</t>
        </is>
      </c>
      <c r="F231" s="272" t="n">
        <v>1</v>
      </c>
      <c r="G231" s="272" t="n">
        <v>341800</v>
      </c>
    </row>
    <row r="232" ht="15.75" customHeight="1" s="248">
      <c r="A232" s="117" t="n">
        <v>224</v>
      </c>
      <c r="B232" s="117" t="inlineStr">
        <is>
          <t>2026/05/30 07:43</t>
        </is>
      </c>
      <c r="C232" s="117" t="inlineStr">
        <is>
          <t>LÊ TIẾN ĐẠT</t>
        </is>
      </c>
      <c r="D232" s="117" t="inlineStr">
        <is>
          <t>20/08/2004</t>
        </is>
      </c>
      <c r="E232" s="117" t="inlineStr">
        <is>
          <t>Giường Ngoại khoa loại 1 - Khoa Chấn thương chỉnh hình</t>
        </is>
      </c>
      <c r="F232" s="272" t="n">
        <v>1</v>
      </c>
      <c r="G232" s="272" t="n">
        <v>341800</v>
      </c>
    </row>
    <row r="233" ht="15.75" customHeight="1" s="248">
      <c r="A233" s="117" t="n">
        <v>225</v>
      </c>
      <c r="B233" s="117" t="inlineStr">
        <is>
          <t>2026/05/30 12:56</t>
        </is>
      </c>
      <c r="C233" s="117" t="inlineStr">
        <is>
          <t>VÕ THỊ HỒNG LIÊN</t>
        </is>
      </c>
      <c r="D233" s="117" t="inlineStr">
        <is>
          <t>16/12/1948</t>
        </is>
      </c>
      <c r="E233" s="117" t="inlineStr">
        <is>
          <t>Giường Nội khoa loại 2 - Khoa Chấn thương chỉnh hình</t>
        </is>
      </c>
      <c r="F233" s="272" t="n">
        <v>1</v>
      </c>
      <c r="G233" s="272" t="n">
        <v>222300</v>
      </c>
    </row>
    <row r="234" ht="15.75" customHeight="1" s="248">
      <c r="A234" s="117" t="n">
        <v>226</v>
      </c>
      <c r="B234" s="117" t="inlineStr">
        <is>
          <t>2026/05/30 23:28</t>
        </is>
      </c>
      <c r="C234" s="117" t="inlineStr">
        <is>
          <t>NGUYỄN HOÀNG VIỆT TRINH</t>
        </is>
      </c>
      <c r="D234" s="117" t="inlineStr">
        <is>
          <t>16/04/1999</t>
        </is>
      </c>
      <c r="E234" s="117" t="inlineStr">
        <is>
          <t>Giường Nội khoa loại 2 - Khoa Chấn thương chỉnh hình</t>
        </is>
      </c>
      <c r="F234" s="272" t="n">
        <v>1</v>
      </c>
      <c r="G234" s="272" t="n">
        <v>222300</v>
      </c>
    </row>
    <row r="235" ht="15.75" customHeight="1" s="248">
      <c r="A235" s="117" t="n">
        <v>227</v>
      </c>
      <c r="B235" s="117" t="inlineStr">
        <is>
          <t>2026/05/30 23:59</t>
        </is>
      </c>
      <c r="C235" s="117" t="inlineStr">
        <is>
          <t>PHAN THỊ NỠ</t>
        </is>
      </c>
      <c r="D235" s="117" t="inlineStr">
        <is>
          <t>01/01/1957</t>
        </is>
      </c>
      <c r="E235" s="117" t="inlineStr">
        <is>
          <t>Giường Ngoại khoa loại 3 - Khoa Chấn thương chỉnh hình</t>
        </is>
      </c>
      <c r="F235" s="272" t="n">
        <v>1</v>
      </c>
      <c r="G235" s="272" t="n">
        <v>269200</v>
      </c>
    </row>
    <row r="236" ht="15.75" customHeight="1" s="248">
      <c r="A236" s="117" t="n">
        <v>228</v>
      </c>
      <c r="B236" s="117" t="inlineStr">
        <is>
          <t>2026/05/30 23:59</t>
        </is>
      </c>
      <c r="C236" s="117" t="inlineStr">
        <is>
          <t>DƯƠNG VĂN CHIẾN</t>
        </is>
      </c>
      <c r="D236" s="117" t="inlineStr">
        <is>
          <t>01/01/1949</t>
        </is>
      </c>
      <c r="E236" s="117" t="inlineStr">
        <is>
          <t>Giường Ngoại khoa loại 3 - Khoa Chấn thương chỉnh hình</t>
        </is>
      </c>
      <c r="F236" s="272" t="n">
        <v>1</v>
      </c>
      <c r="G236" s="272" t="n">
        <v>269200</v>
      </c>
    </row>
    <row r="237" ht="15.75" customHeight="1" s="248">
      <c r="A237" s="117" t="n">
        <v>229</v>
      </c>
      <c r="B237" s="117" t="inlineStr">
        <is>
          <t>2026/05/31 00:00</t>
        </is>
      </c>
      <c r="C237" s="117" t="inlineStr">
        <is>
          <t>BÙI VĂN LONG</t>
        </is>
      </c>
      <c r="D237" s="117" t="inlineStr">
        <is>
          <t>21/10/1961</t>
        </is>
      </c>
      <c r="E237" s="117" t="inlineStr">
        <is>
          <t>Giường Ngoại khoa loại 1 - Khoa Chấn thương chỉnh hình</t>
        </is>
      </c>
      <c r="F237" s="272" t="n">
        <v>1</v>
      </c>
      <c r="G237" s="272" t="n">
        <v>341800</v>
      </c>
    </row>
    <row r="238" ht="15.75" customHeight="1" s="248">
      <c r="A238" s="117" t="n">
        <v>230</v>
      </c>
      <c r="B238" s="117" t="inlineStr">
        <is>
          <t>2026/05/31 00:00</t>
        </is>
      </c>
      <c r="C238" s="117" t="inlineStr">
        <is>
          <t>DANH SÀ BẾT</t>
        </is>
      </c>
      <c r="D238" s="117" t="inlineStr">
        <is>
          <t>01/01/1958</t>
        </is>
      </c>
      <c r="E238" s="117" t="inlineStr">
        <is>
          <t>Giường Nội khoa loại 2 - Khoa Chấn thương chỉnh hình</t>
        </is>
      </c>
      <c r="F238" s="272" t="n">
        <v>1</v>
      </c>
      <c r="G238" s="272" t="n">
        <v>222300</v>
      </c>
    </row>
    <row r="239" ht="15.75" customHeight="1" s="248">
      <c r="A239" s="117" t="n">
        <v>231</v>
      </c>
      <c r="B239" s="117" t="inlineStr">
        <is>
          <t>2026/05/31 00:00</t>
        </is>
      </c>
      <c r="C239" s="117" t="inlineStr">
        <is>
          <t>HỒ THANH VŨ</t>
        </is>
      </c>
      <c r="D239" s="117" t="inlineStr">
        <is>
          <t>26/07/1982</t>
        </is>
      </c>
      <c r="E239" s="117" t="inlineStr">
        <is>
          <t>Giường Ngoại khoa loại 1 - Khoa Chấn thương chỉnh hình</t>
        </is>
      </c>
      <c r="F239" s="272" t="n">
        <v>1</v>
      </c>
      <c r="G239" s="272" t="n">
        <v>341800</v>
      </c>
    </row>
    <row r="240" ht="15.75" customHeight="1" s="248">
      <c r="A240" s="117" t="n">
        <v>232</v>
      </c>
      <c r="B240" s="117" t="inlineStr">
        <is>
          <t>2026/05/31 00:00</t>
        </is>
      </c>
      <c r="C240" s="117" t="inlineStr">
        <is>
          <t>KHUẤT HÙNG</t>
        </is>
      </c>
      <c r="D240" s="117" t="inlineStr">
        <is>
          <t>01/01/1948</t>
        </is>
      </c>
      <c r="E240" s="117" t="inlineStr">
        <is>
          <t>Giường Ngoại khoa loại 3 - Khoa Chấn thương chỉnh hình</t>
        </is>
      </c>
      <c r="F240" s="272" t="n">
        <v>1</v>
      </c>
      <c r="G240" s="272" t="n">
        <v>269200</v>
      </c>
    </row>
    <row r="241" ht="15.75" customHeight="1" s="248">
      <c r="A241" s="117" t="n">
        <v>233</v>
      </c>
      <c r="B241" s="117" t="inlineStr">
        <is>
          <t>2026/05/31 00:00</t>
        </is>
      </c>
      <c r="C241" s="117" t="inlineStr">
        <is>
          <t>KIM THANH ĐẠT</t>
        </is>
      </c>
      <c r="D241" s="117" t="inlineStr">
        <is>
          <t>29/12/2007</t>
        </is>
      </c>
      <c r="E241" s="117" t="inlineStr">
        <is>
          <t>Giường Ngoại khoa loại 3 - Khoa Chấn thương chỉnh hình</t>
        </is>
      </c>
      <c r="F241" s="272" t="n">
        <v>1</v>
      </c>
      <c r="G241" s="272" t="n">
        <v>269200</v>
      </c>
    </row>
    <row r="242" ht="15.75" customHeight="1" s="248">
      <c r="A242" s="117" t="n">
        <v>234</v>
      </c>
      <c r="B242" s="117" t="inlineStr">
        <is>
          <t>2026/05/31 00:00</t>
        </is>
      </c>
      <c r="C242" s="117" t="inlineStr">
        <is>
          <t>LƯU TẤN PHÁT</t>
        </is>
      </c>
      <c r="D242" s="117" t="inlineStr">
        <is>
          <t>01/01/1954</t>
        </is>
      </c>
      <c r="E242" s="117" t="inlineStr">
        <is>
          <t>Giường Nội khoa loại 2 - Khoa Chấn thương chỉnh hình</t>
        </is>
      </c>
      <c r="F242" s="272" t="n">
        <v>1</v>
      </c>
      <c r="G242" s="272" t="n">
        <v>222300</v>
      </c>
    </row>
    <row r="243" ht="15.75" customHeight="1" s="248">
      <c r="A243" s="117" t="n">
        <v>235</v>
      </c>
      <c r="B243" s="117" t="inlineStr">
        <is>
          <t>2026/05/31 00:00</t>
        </is>
      </c>
      <c r="C243" s="117" t="inlineStr">
        <is>
          <t>NGUYỄN MINH TUỆ</t>
        </is>
      </c>
      <c r="D243" s="117" t="inlineStr">
        <is>
          <t>20/05/2002</t>
        </is>
      </c>
      <c r="E243" s="117" t="inlineStr">
        <is>
          <t>Giường Ngoại khoa loại 1 - Khoa Chấn thương chỉnh hình</t>
        </is>
      </c>
      <c r="F243" s="272" t="n">
        <v>1</v>
      </c>
      <c r="G243" s="272" t="n">
        <v>341800</v>
      </c>
    </row>
    <row r="244" ht="15.75" customHeight="1" s="248">
      <c r="A244" s="117" t="n">
        <v>236</v>
      </c>
      <c r="B244" s="117" t="inlineStr">
        <is>
          <t>2026/05/31 00:00</t>
        </is>
      </c>
      <c r="C244" s="117" t="inlineStr">
        <is>
          <t>NGUYỄN THỊ CHUỐI</t>
        </is>
      </c>
      <c r="D244" s="117" t="inlineStr">
        <is>
          <t>06/08/1952</t>
        </is>
      </c>
      <c r="E244" s="117" t="inlineStr">
        <is>
          <t>Giường Ngoại khoa loại 2 - Khoa Chấn thương chỉnh hình</t>
        </is>
      </c>
      <c r="F244" s="272" t="n">
        <v>1</v>
      </c>
      <c r="G244" s="272" t="n">
        <v>301600</v>
      </c>
    </row>
    <row r="245" ht="15.75" customHeight="1" s="248">
      <c r="A245" s="117" t="n">
        <v>237</v>
      </c>
      <c r="B245" s="117" t="inlineStr">
        <is>
          <t>2026/05/31 00:00</t>
        </is>
      </c>
      <c r="C245" s="117" t="inlineStr">
        <is>
          <t>NGUYỄN THỊ HẤN</t>
        </is>
      </c>
      <c r="D245" s="117" t="inlineStr">
        <is>
          <t>01/01/1959</t>
        </is>
      </c>
      <c r="E245" s="117" t="inlineStr">
        <is>
          <t>Giường Ngoại khoa loại 1 - Khoa Chấn thương chỉnh hình</t>
        </is>
      </c>
      <c r="F245" s="272" t="n">
        <v>1</v>
      </c>
      <c r="G245" s="272" t="n">
        <v>341800</v>
      </c>
    </row>
    <row r="246" ht="15.75" customHeight="1" s="248">
      <c r="A246" s="117" t="n">
        <v>238</v>
      </c>
      <c r="B246" s="117" t="inlineStr">
        <is>
          <t>2026/05/31 00:00</t>
        </is>
      </c>
      <c r="C246" s="117" t="inlineStr">
        <is>
          <t>NGUYỄN THỊ LÝ</t>
        </is>
      </c>
      <c r="D246" s="117" t="inlineStr">
        <is>
          <t>01/01/1944</t>
        </is>
      </c>
      <c r="E246" s="117" t="inlineStr">
        <is>
          <t>Giường Ngoại khoa loại 2 - Khoa Chấn thương chỉnh hình</t>
        </is>
      </c>
      <c r="F246" s="272" t="n">
        <v>1</v>
      </c>
      <c r="G246" s="272" t="n">
        <v>301600</v>
      </c>
    </row>
    <row r="247" ht="15.75" customHeight="1" s="248">
      <c r="A247" s="117" t="n">
        <v>239</v>
      </c>
      <c r="B247" s="117" t="inlineStr">
        <is>
          <t>2026/05/31 00:00</t>
        </is>
      </c>
      <c r="C247" s="117" t="inlineStr">
        <is>
          <t>NGUYỄN THỊ THỦY</t>
        </is>
      </c>
      <c r="D247" s="117" t="inlineStr">
        <is>
          <t>01/01/1963</t>
        </is>
      </c>
      <c r="E247" s="117" t="inlineStr">
        <is>
          <t>Giường Nội khoa loại 2 - Khoa Chấn thương chỉnh hình</t>
        </is>
      </c>
      <c r="F247" s="272" t="n">
        <v>1</v>
      </c>
      <c r="G247" s="272" t="n">
        <v>222300</v>
      </c>
    </row>
    <row r="248" ht="15.75" customHeight="1" s="248">
      <c r="A248" s="117" t="n">
        <v>240</v>
      </c>
      <c r="B248" s="117" t="inlineStr">
        <is>
          <t>2026/05/31 00:00</t>
        </is>
      </c>
      <c r="C248" s="117" t="inlineStr">
        <is>
          <t>NGUYỄN VĂN GẬP</t>
        </is>
      </c>
      <c r="D248" s="117" t="inlineStr">
        <is>
          <t>03/04/1952</t>
        </is>
      </c>
      <c r="E248" s="117" t="inlineStr">
        <is>
          <t>Giường Ngoại khoa loại 1 - Khoa Chấn thương chỉnh hình</t>
        </is>
      </c>
      <c r="F248" s="272" t="n">
        <v>1</v>
      </c>
      <c r="G248" s="272" t="n">
        <v>341800</v>
      </c>
    </row>
    <row r="249" ht="15.75" customHeight="1" s="248">
      <c r="A249" s="117" t="n">
        <v>241</v>
      </c>
      <c r="B249" s="117" t="inlineStr">
        <is>
          <t>2026/05/31 00:00</t>
        </is>
      </c>
      <c r="C249" s="117" t="inlineStr">
        <is>
          <t>PHAN TUẤN GIỚI</t>
        </is>
      </c>
      <c r="D249" s="117" t="inlineStr">
        <is>
          <t>15/02/1965</t>
        </is>
      </c>
      <c r="E249" s="117" t="inlineStr">
        <is>
          <t>Giường Nội khoa loại 2 - Khoa Chấn thương chỉnh hình</t>
        </is>
      </c>
      <c r="F249" s="272" t="n">
        <v>1</v>
      </c>
      <c r="G249" s="272" t="n">
        <v>222300</v>
      </c>
    </row>
    <row r="250" ht="15.75" customHeight="1" s="248">
      <c r="A250" s="117" t="n">
        <v>242</v>
      </c>
      <c r="B250" s="117" t="inlineStr">
        <is>
          <t>2026/05/31 00:00</t>
        </is>
      </c>
      <c r="C250" s="117" t="inlineStr">
        <is>
          <t>PHẠM THỊ HỒNG GẤM</t>
        </is>
      </c>
      <c r="D250" s="117" t="inlineStr">
        <is>
          <t>01/01/1979</t>
        </is>
      </c>
      <c r="E250" s="117" t="inlineStr">
        <is>
          <t>Giường Nội khoa loại 2 - Khoa Chấn thương chỉnh hình</t>
        </is>
      </c>
      <c r="F250" s="272" t="n">
        <v>1</v>
      </c>
      <c r="G250" s="272" t="n">
        <v>222300</v>
      </c>
    </row>
    <row r="251" ht="15.75" customHeight="1" s="248">
      <c r="A251" s="117" t="n">
        <v>243</v>
      </c>
      <c r="B251" s="117" t="inlineStr">
        <is>
          <t>2026/05/31 00:00</t>
        </is>
      </c>
      <c r="C251" s="117" t="inlineStr">
        <is>
          <t>TRẦN NGỌC ÁNH</t>
        </is>
      </c>
      <c r="D251" s="117" t="inlineStr">
        <is>
          <t>15/05/1961</t>
        </is>
      </c>
      <c r="E251" s="117" t="inlineStr">
        <is>
          <t>Giường Ngoại khoa loại 4 - Khoa Chấn thương chỉnh hình</t>
        </is>
      </c>
      <c r="F251" s="272" t="n">
        <v>1</v>
      </c>
      <c r="G251" s="272" t="n">
        <v>229200</v>
      </c>
    </row>
    <row r="252" ht="15.75" customHeight="1" s="248">
      <c r="A252" s="117" t="n">
        <v>244</v>
      </c>
      <c r="B252" s="117" t="inlineStr">
        <is>
          <t>2026/05/31 00:00</t>
        </is>
      </c>
      <c r="C252" s="117" t="inlineStr">
        <is>
          <t>TRẦN THỊ QUẮN</t>
        </is>
      </c>
      <c r="D252" s="117" t="inlineStr">
        <is>
          <t>01/01/1934</t>
        </is>
      </c>
      <c r="E252" s="117" t="inlineStr">
        <is>
          <t>Giường Ngoại khoa loại 2 - Khoa Chấn thương chỉnh hình</t>
        </is>
      </c>
      <c r="F252" s="272" t="n">
        <v>1</v>
      </c>
      <c r="G252" s="272" t="n">
        <v>301600</v>
      </c>
    </row>
    <row r="253" ht="15.75" customHeight="1" s="248">
      <c r="A253" s="117" t="n">
        <v>245</v>
      </c>
      <c r="B253" s="117" t="inlineStr">
        <is>
          <t>2026/05/31 00:00</t>
        </is>
      </c>
      <c r="C253" s="117" t="inlineStr">
        <is>
          <t>TRẦN VĂN XIÊN</t>
        </is>
      </c>
      <c r="D253" s="117" t="inlineStr">
        <is>
          <t>01/01/1964</t>
        </is>
      </c>
      <c r="E253" s="117" t="inlineStr">
        <is>
          <t>Giường Ngoại khoa loại 3 - Khoa Chấn thương chỉnh hình</t>
        </is>
      </c>
      <c r="F253" s="272" t="n">
        <v>1</v>
      </c>
      <c r="G253" s="272" t="n">
        <v>269200</v>
      </c>
    </row>
    <row r="254" ht="15.75" customHeight="1" s="248">
      <c r="A254" s="117" t="n">
        <v>246</v>
      </c>
      <c r="B254" s="117" t="inlineStr">
        <is>
          <t>2026/05/31 00:00</t>
        </is>
      </c>
      <c r="C254" s="117" t="inlineStr">
        <is>
          <t>TỐNG MỸ DUNG</t>
        </is>
      </c>
      <c r="D254" s="117" t="inlineStr">
        <is>
          <t>03/04/2009</t>
        </is>
      </c>
      <c r="E254" s="117" t="inlineStr">
        <is>
          <t>Giường Ngoại khoa loại 1 - Khoa Chấn thương chỉnh hình</t>
        </is>
      </c>
      <c r="F254" s="272" t="n">
        <v>1</v>
      </c>
      <c r="G254" s="272" t="n">
        <v>341800</v>
      </c>
    </row>
    <row r="255" ht="15.75" customHeight="1" s="248">
      <c r="A255" s="117" t="n">
        <v>247</v>
      </c>
      <c r="B255" s="117" t="inlineStr">
        <is>
          <t>2026/05/31 00:00</t>
        </is>
      </c>
      <c r="C255" s="117" t="inlineStr">
        <is>
          <t>VÕ VĂN BÉ BA</t>
        </is>
      </c>
      <c r="D255" s="117" t="inlineStr">
        <is>
          <t>12/12/1964</t>
        </is>
      </c>
      <c r="E255" s="117" t="inlineStr">
        <is>
          <t>Giường Ngoại khoa loại 3 - Khoa Chấn thương chỉnh hình</t>
        </is>
      </c>
      <c r="F255" s="272" t="n">
        <v>1</v>
      </c>
      <c r="G255" s="272" t="n">
        <v>269200</v>
      </c>
    </row>
    <row r="256" ht="15.75" customHeight="1" s="248">
      <c r="A256" s="117" t="n">
        <v>248</v>
      </c>
      <c r="B256" s="117" t="inlineStr">
        <is>
          <t>2026/05/31 00:00</t>
        </is>
      </c>
      <c r="C256" s="117" t="inlineStr">
        <is>
          <t>VÕ VĂN TÁM</t>
        </is>
      </c>
      <c r="D256" s="117" t="inlineStr">
        <is>
          <t>12/01/1960</t>
        </is>
      </c>
      <c r="E256" s="117" t="inlineStr">
        <is>
          <t>Giường Nội khoa loại 2 - Khoa Chấn thương chỉnh hình</t>
        </is>
      </c>
      <c r="F256" s="272" t="n">
        <v>1</v>
      </c>
      <c r="G256" s="272" t="n">
        <v>222300</v>
      </c>
    </row>
    <row r="257" ht="15.75" customHeight="1" s="248">
      <c r="A257" s="117" t="n">
        <v>249</v>
      </c>
      <c r="B257" s="117" t="inlineStr">
        <is>
          <t>2026/05/31 00:00</t>
        </is>
      </c>
      <c r="C257" s="117" t="inlineStr">
        <is>
          <t>VŨ THÀNH ĐẠT</t>
        </is>
      </c>
      <c r="D257" s="117" t="inlineStr">
        <is>
          <t>01/02/1955</t>
        </is>
      </c>
      <c r="E257" s="117" t="inlineStr">
        <is>
          <t>Giường Nội khoa loại 2 - Khoa Chấn thương chỉnh hình</t>
        </is>
      </c>
      <c r="F257" s="272" t="n">
        <v>1</v>
      </c>
      <c r="G257" s="272" t="n">
        <v>222300</v>
      </c>
    </row>
    <row r="258" ht="15.75" customHeight="1" s="248">
      <c r="A258" s="117" t="n">
        <v>250</v>
      </c>
      <c r="B258" s="117" t="inlineStr">
        <is>
          <t>2026/05/31 00:00</t>
        </is>
      </c>
      <c r="C258" s="117" t="inlineStr">
        <is>
          <t>VŨ THỊ THÚY</t>
        </is>
      </c>
      <c r="D258" s="117" t="inlineStr">
        <is>
          <t>02/08/1965</t>
        </is>
      </c>
      <c r="E258" s="117" t="inlineStr">
        <is>
          <t>Giường Nội khoa loại 2 - Khoa Chấn thương chỉnh hình</t>
        </is>
      </c>
      <c r="F258" s="272" t="n">
        <v>1</v>
      </c>
      <c r="G258" s="272" t="n">
        <v>222300</v>
      </c>
    </row>
    <row r="259" ht="15.75" customHeight="1" s="248">
      <c r="A259" s="117" t="n">
        <v>251</v>
      </c>
      <c r="B259" s="117" t="inlineStr">
        <is>
          <t>2026/05/31 00:00</t>
        </is>
      </c>
      <c r="C259" s="117" t="inlineStr">
        <is>
          <t>ÂU CẨM NHUNG</t>
        </is>
      </c>
      <c r="D259" s="117" t="inlineStr">
        <is>
          <t>04/07/1974</t>
        </is>
      </c>
      <c r="E259" s="117" t="inlineStr">
        <is>
          <t>Giường Nội khoa loại 2 - Khoa Chấn thương chỉnh hình</t>
        </is>
      </c>
      <c r="F259" s="272" t="n">
        <v>1</v>
      </c>
      <c r="G259" s="272" t="n">
        <v>222300</v>
      </c>
    </row>
    <row r="260" ht="15.75" customHeight="1" s="248">
      <c r="A260" s="117" t="n">
        <v>252</v>
      </c>
      <c r="B260" s="117" t="inlineStr">
        <is>
          <t>2026/05/31 00:00</t>
        </is>
      </c>
      <c r="C260" s="117" t="inlineStr">
        <is>
          <t>HUỲNH THANH HÙNG</t>
        </is>
      </c>
      <c r="D260" s="117" t="inlineStr">
        <is>
          <t>01/01/1945</t>
        </is>
      </c>
      <c r="E260" s="117" t="inlineStr">
        <is>
          <t>Giường Ngoại khoa loại 3 - Khoa Chấn thương chỉnh hình</t>
        </is>
      </c>
      <c r="F260" s="272" t="n">
        <v>1</v>
      </c>
      <c r="G260" s="272" t="n">
        <v>269200</v>
      </c>
    </row>
    <row r="261" ht="15.75" customHeight="1" s="248">
      <c r="A261" s="117" t="n">
        <v>253</v>
      </c>
      <c r="B261" s="117" t="inlineStr">
        <is>
          <t>2026/05/31 00:00</t>
        </is>
      </c>
      <c r="C261" s="117" t="inlineStr">
        <is>
          <t>LÊ TIẾN ĐẠT</t>
        </is>
      </c>
      <c r="D261" s="117" t="inlineStr">
        <is>
          <t>20/08/2004</t>
        </is>
      </c>
      <c r="E261" s="117" t="inlineStr">
        <is>
          <t>Giường Ngoại khoa loại 1 - Khoa Chấn thương chỉnh hình</t>
        </is>
      </c>
      <c r="F261" s="272" t="n">
        <v>1</v>
      </c>
      <c r="G261" s="272" t="n">
        <v>341800</v>
      </c>
    </row>
    <row r="262" ht="15.75" customHeight="1" s="248">
      <c r="A262" s="117" t="n">
        <v>254</v>
      </c>
      <c r="B262" s="117" t="inlineStr">
        <is>
          <t>2026/05/31 00:00</t>
        </is>
      </c>
      <c r="C262" s="117" t="inlineStr">
        <is>
          <t>MAI THÀNH DƯƠNG</t>
        </is>
      </c>
      <c r="D262" s="117" t="inlineStr">
        <is>
          <t>10/04/1964</t>
        </is>
      </c>
      <c r="E262" s="117" t="inlineStr">
        <is>
          <t>Giường Ngoại khoa loại 3 - Khoa Chấn thương chỉnh hình</t>
        </is>
      </c>
      <c r="F262" s="272" t="n">
        <v>1</v>
      </c>
      <c r="G262" s="272" t="n">
        <v>269200</v>
      </c>
    </row>
    <row r="263" ht="15.75" customHeight="1" s="248">
      <c r="A263" s="117" t="n">
        <v>255</v>
      </c>
      <c r="B263" s="117" t="inlineStr">
        <is>
          <t>2026/05/31 00:00</t>
        </is>
      </c>
      <c r="C263" s="117" t="inlineStr">
        <is>
          <t>NGUYỄN THỊ XUA</t>
        </is>
      </c>
      <c r="D263" s="117" t="inlineStr">
        <is>
          <t>01/01/1938</t>
        </is>
      </c>
      <c r="E263" s="117" t="inlineStr">
        <is>
          <t>Giường Ngoại khoa loại 1 - Khoa Chấn thương chỉnh hình</t>
        </is>
      </c>
      <c r="F263" s="272" t="n">
        <v>1</v>
      </c>
      <c r="G263" s="272" t="n">
        <v>341800</v>
      </c>
    </row>
    <row r="264" ht="15.75" customHeight="1" s="248">
      <c r="A264" s="117" t="n">
        <v>256</v>
      </c>
      <c r="B264" s="117" t="inlineStr">
        <is>
          <t>2026/05/31 00:00</t>
        </is>
      </c>
      <c r="C264" s="117" t="inlineStr">
        <is>
          <t>NGUYỄN THỊ ĐIỀN</t>
        </is>
      </c>
      <c r="D264" s="117" t="inlineStr">
        <is>
          <t>01/01/1963</t>
        </is>
      </c>
      <c r="E264" s="117" t="inlineStr">
        <is>
          <t>Giường Nội khoa loại 2 - Khoa Chấn thương chỉnh hình</t>
        </is>
      </c>
      <c r="F264" s="272" t="n">
        <v>1</v>
      </c>
      <c r="G264" s="272" t="n">
        <v>222300</v>
      </c>
    </row>
    <row r="265" ht="15.75" customHeight="1" s="248">
      <c r="A265" s="117" t="n">
        <v>257</v>
      </c>
      <c r="B265" s="117" t="inlineStr">
        <is>
          <t>2026/05/31 00:00</t>
        </is>
      </c>
      <c r="C265" s="117" t="inlineStr">
        <is>
          <t>TRƯƠNG BÉ LÀI</t>
        </is>
      </c>
      <c r="D265" s="117" t="inlineStr">
        <is>
          <t>01/01/1986</t>
        </is>
      </c>
      <c r="E265" s="117" t="inlineStr">
        <is>
          <t>Giường Ngoại khoa loại 1 - Khoa Chấn thương chỉnh hình</t>
        </is>
      </c>
      <c r="F265" s="272" t="n">
        <v>1</v>
      </c>
      <c r="G265" s="272" t="n">
        <v>341800</v>
      </c>
    </row>
    <row r="266" ht="15.75" customHeight="1" s="248">
      <c r="A266" s="117" t="n">
        <v>258</v>
      </c>
      <c r="B266" s="117" t="inlineStr">
        <is>
          <t>2026/05/31 00:00</t>
        </is>
      </c>
      <c r="C266" s="117" t="inlineStr">
        <is>
          <t>VÕ THỊ HỒNG LIÊN</t>
        </is>
      </c>
      <c r="D266" s="117" t="inlineStr">
        <is>
          <t>16/12/1948</t>
        </is>
      </c>
      <c r="E266" s="117" t="inlineStr">
        <is>
          <t>Giường Nội khoa loại 2 - Khoa Chấn thương chỉnh hình</t>
        </is>
      </c>
      <c r="F266" s="272" t="n">
        <v>1</v>
      </c>
      <c r="G266" s="272" t="n">
        <v>222300</v>
      </c>
    </row>
    <row r="267" ht="15.75" customHeight="1" s="248">
      <c r="A267" s="117" t="n">
        <v>259</v>
      </c>
      <c r="B267" s="117" t="inlineStr">
        <is>
          <t>2026/05/31 23:59</t>
        </is>
      </c>
      <c r="C267" s="117" t="inlineStr">
        <is>
          <t>PHAN THỊ NỠ</t>
        </is>
      </c>
      <c r="D267" s="117" t="inlineStr">
        <is>
          <t>01/01/1957</t>
        </is>
      </c>
      <c r="E267" s="117" t="inlineStr">
        <is>
          <t>Giường Ngoại khoa loại 3 - Khoa Chấn thương chỉnh hình</t>
        </is>
      </c>
      <c r="F267" s="272" t="n">
        <v>1</v>
      </c>
      <c r="G267" s="272" t="n">
        <v>269200</v>
      </c>
    </row>
    <row r="268" ht="15.75" customHeight="1" s="248">
      <c r="A268" s="117" t="n">
        <v>260</v>
      </c>
      <c r="B268" s="117" t="inlineStr">
        <is>
          <t>2026/05/31 23:59</t>
        </is>
      </c>
      <c r="C268" s="117" t="inlineStr">
        <is>
          <t>DƯƠNG VĂN CHIẾN</t>
        </is>
      </c>
      <c r="D268" s="117" t="inlineStr">
        <is>
          <t>01/01/1949</t>
        </is>
      </c>
      <c r="E268" s="117" t="inlineStr">
        <is>
          <t>Giường Ngoại khoa loại 3 - Khoa Chấn thương chỉnh hình</t>
        </is>
      </c>
      <c r="F268" s="272" t="n">
        <v>1</v>
      </c>
      <c r="G268" s="272" t="n">
        <v>269200</v>
      </c>
    </row>
    <row r="269" ht="15.75" customHeight="1" s="248">
      <c r="A269" s="117" t="n">
        <v>261</v>
      </c>
      <c r="B269" s="117" t="inlineStr">
        <is>
          <t>2026/06/01 00:00</t>
        </is>
      </c>
      <c r="C269" s="117" t="inlineStr">
        <is>
          <t>BÙI VĂN LONG</t>
        </is>
      </c>
      <c r="D269" s="117" t="inlineStr">
        <is>
          <t>21/10/1961</t>
        </is>
      </c>
      <c r="E269" s="117" t="inlineStr">
        <is>
          <t>Giường Ngoại khoa loại 1 - Khoa Chấn thương chỉnh hình</t>
        </is>
      </c>
      <c r="F269" s="272" t="n">
        <v>1</v>
      </c>
      <c r="G269" s="272" t="n">
        <v>341800</v>
      </c>
    </row>
    <row r="270" ht="15.75" customHeight="1" s="248">
      <c r="A270" s="117" t="n">
        <v>262</v>
      </c>
      <c r="B270" s="117" t="inlineStr">
        <is>
          <t>2026/06/01 00:00</t>
        </is>
      </c>
      <c r="C270" s="117" t="inlineStr">
        <is>
          <t>DANH SÀ BẾT</t>
        </is>
      </c>
      <c r="D270" s="117" t="inlineStr">
        <is>
          <t>01/01/1958</t>
        </is>
      </c>
      <c r="E270" s="117" t="inlineStr">
        <is>
          <t>Giường Nội khoa loại 2 - Khoa Chấn thương chỉnh hình</t>
        </is>
      </c>
      <c r="F270" s="272" t="n">
        <v>1</v>
      </c>
      <c r="G270" s="272" t="n">
        <v>222300</v>
      </c>
    </row>
    <row r="271" ht="15.75" customHeight="1" s="248">
      <c r="A271" s="117" t="n">
        <v>263</v>
      </c>
      <c r="B271" s="117" t="inlineStr">
        <is>
          <t>2026/06/01 00:00</t>
        </is>
      </c>
      <c r="C271" s="117" t="inlineStr">
        <is>
          <t>KHUẤT HÙNG</t>
        </is>
      </c>
      <c r="D271" s="117" t="inlineStr">
        <is>
          <t>01/01/1948</t>
        </is>
      </c>
      <c r="E271" s="117" t="inlineStr">
        <is>
          <t>Giường Ngoại khoa loại 3 - Khoa Chấn thương chỉnh hình</t>
        </is>
      </c>
      <c r="F271" s="272" t="n">
        <v>1</v>
      </c>
      <c r="G271" s="272" t="n">
        <v>269200</v>
      </c>
    </row>
    <row r="272" ht="15.75" customHeight="1" s="248">
      <c r="A272" s="117" t="n">
        <v>264</v>
      </c>
      <c r="B272" s="117" t="inlineStr">
        <is>
          <t>2026/06/01 00:00</t>
        </is>
      </c>
      <c r="C272" s="117" t="inlineStr">
        <is>
          <t>KIM THANH ĐẠT</t>
        </is>
      </c>
      <c r="D272" s="117" t="inlineStr">
        <is>
          <t>29/12/2007</t>
        </is>
      </c>
      <c r="E272" s="117" t="inlineStr">
        <is>
          <t>Giường Ngoại khoa loại 3 - Khoa Chấn thương chỉnh hình</t>
        </is>
      </c>
      <c r="F272" s="272" t="n">
        <v>1</v>
      </c>
      <c r="G272" s="272" t="n">
        <v>269200</v>
      </c>
    </row>
    <row r="273" ht="15.75" customHeight="1" s="248">
      <c r="A273" s="117" t="n">
        <v>265</v>
      </c>
      <c r="B273" s="117" t="inlineStr">
        <is>
          <t>2026/06/01 00:00</t>
        </is>
      </c>
      <c r="C273" s="117" t="inlineStr">
        <is>
          <t>NGUYỄN HOÀNG VIỆT TRINH</t>
        </is>
      </c>
      <c r="D273" s="117" t="inlineStr">
        <is>
          <t>16/04/1999</t>
        </is>
      </c>
      <c r="E273" s="117" t="inlineStr">
        <is>
          <t>Giường Nội khoa loại 2 - Khoa Chấn thương chỉnh hình</t>
        </is>
      </c>
      <c r="F273" s="272" t="n">
        <v>1</v>
      </c>
      <c r="G273" s="272" t="n">
        <v>222300</v>
      </c>
    </row>
    <row r="274" ht="15.75" customHeight="1" s="248">
      <c r="A274" s="117" t="n">
        <v>266</v>
      </c>
      <c r="B274" s="117" t="inlineStr">
        <is>
          <t>2026/06/01 00:00</t>
        </is>
      </c>
      <c r="C274" s="117" t="inlineStr">
        <is>
          <t>NGUYỄN MINH TUỆ</t>
        </is>
      </c>
      <c r="D274" s="117" t="inlineStr">
        <is>
          <t>20/05/2002</t>
        </is>
      </c>
      <c r="E274" s="117" t="inlineStr">
        <is>
          <t>Giường Ngoại khoa loại 1 - Khoa Chấn thương chỉnh hình</t>
        </is>
      </c>
      <c r="F274" s="272" t="n">
        <v>1</v>
      </c>
      <c r="G274" s="272" t="n">
        <v>341800</v>
      </c>
    </row>
    <row r="275" ht="15.75" customHeight="1" s="248">
      <c r="A275" s="117" t="n">
        <v>267</v>
      </c>
      <c r="B275" s="117" t="inlineStr">
        <is>
          <t>2026/06/01 00:00</t>
        </is>
      </c>
      <c r="C275" s="117" t="inlineStr">
        <is>
          <t>NGUYỄN THỊ CHUỐI</t>
        </is>
      </c>
      <c r="D275" s="117" t="inlineStr">
        <is>
          <t>06/08/1952</t>
        </is>
      </c>
      <c r="E275" s="117" t="inlineStr">
        <is>
          <t>Giường Ngoại khoa loại 2 - Khoa Chấn thương chỉnh hình</t>
        </is>
      </c>
      <c r="F275" s="272" t="n">
        <v>1</v>
      </c>
      <c r="G275" s="272" t="n">
        <v>301600</v>
      </c>
    </row>
    <row r="276" ht="15.75" customHeight="1" s="248">
      <c r="A276" s="117" t="n">
        <v>268</v>
      </c>
      <c r="B276" s="117" t="inlineStr">
        <is>
          <t>2026/06/01 00:00</t>
        </is>
      </c>
      <c r="C276" s="117" t="inlineStr">
        <is>
          <t>NGUYỄN THỊ HẤN</t>
        </is>
      </c>
      <c r="D276" s="117" t="inlineStr">
        <is>
          <t>01/01/1959</t>
        </is>
      </c>
      <c r="E276" s="117" t="inlineStr">
        <is>
          <t>Giường Ngoại khoa loại 1 - Khoa Chấn thương chỉnh hình</t>
        </is>
      </c>
      <c r="F276" s="272" t="n">
        <v>1</v>
      </c>
      <c r="G276" s="272" t="n">
        <v>341800</v>
      </c>
    </row>
    <row r="277" ht="15.75" customHeight="1" s="248">
      <c r="A277" s="117" t="n">
        <v>269</v>
      </c>
      <c r="B277" s="117" t="inlineStr">
        <is>
          <t>2026/06/01 00:00</t>
        </is>
      </c>
      <c r="C277" s="117" t="inlineStr">
        <is>
          <t>NGUYỄN THỊ LÝ</t>
        </is>
      </c>
      <c r="D277" s="117" t="inlineStr">
        <is>
          <t>01/01/1944</t>
        </is>
      </c>
      <c r="E277" s="117" t="inlineStr">
        <is>
          <t>Giường Ngoại khoa loại 2 - Khoa Chấn thương chỉnh hình</t>
        </is>
      </c>
      <c r="F277" s="272" t="n">
        <v>1</v>
      </c>
      <c r="G277" s="272" t="n">
        <v>301600</v>
      </c>
    </row>
    <row r="278" ht="15.75" customHeight="1" s="248">
      <c r="A278" s="117" t="n">
        <v>270</v>
      </c>
      <c r="B278" s="117" t="inlineStr">
        <is>
          <t>2026/06/01 00:00</t>
        </is>
      </c>
      <c r="C278" s="117" t="inlineStr">
        <is>
          <t>NGUYỄN THỊ THỦY</t>
        </is>
      </c>
      <c r="D278" s="117" t="inlineStr">
        <is>
          <t>01/01/1963</t>
        </is>
      </c>
      <c r="E278" s="117" t="inlineStr">
        <is>
          <t>Giường Nội khoa loại 2 - Khoa Chấn thương chỉnh hình</t>
        </is>
      </c>
      <c r="F278" s="272" t="n">
        <v>1</v>
      </c>
      <c r="G278" s="272" t="n">
        <v>222300</v>
      </c>
    </row>
    <row r="279" ht="15.75" customHeight="1" s="248">
      <c r="A279" s="117" t="n">
        <v>271</v>
      </c>
      <c r="B279" s="117" t="inlineStr">
        <is>
          <t>2026/06/01 00:00</t>
        </is>
      </c>
      <c r="C279" s="117" t="inlineStr">
        <is>
          <t>NGUYỄN VĂN PHỤNG</t>
        </is>
      </c>
      <c r="D279" s="117" t="inlineStr">
        <is>
          <t>01/01/1938</t>
        </is>
      </c>
      <c r="E279" s="117" t="inlineStr">
        <is>
          <t>Giường Nội khoa loại 2 - Khoa Chấn thương chỉnh hình</t>
        </is>
      </c>
      <c r="F279" s="272" t="n">
        <v>1</v>
      </c>
      <c r="G279" s="272" t="n">
        <v>222300</v>
      </c>
    </row>
    <row r="280" ht="15.75" customHeight="1" s="248">
      <c r="A280" s="117" t="n">
        <v>272</v>
      </c>
      <c r="B280" s="117" t="inlineStr">
        <is>
          <t>2026/06/01 00:00</t>
        </is>
      </c>
      <c r="C280" s="117" t="inlineStr">
        <is>
          <t>PHẠM THỊ HỒNG GẤM</t>
        </is>
      </c>
      <c r="D280" s="117" t="inlineStr">
        <is>
          <t>01/01/1979</t>
        </is>
      </c>
      <c r="E280" s="117" t="inlineStr">
        <is>
          <t>Giường Nội khoa loại 2 - Khoa Chấn thương chỉnh hình</t>
        </is>
      </c>
      <c r="F280" s="272" t="n">
        <v>1</v>
      </c>
      <c r="G280" s="272" t="n">
        <v>222300</v>
      </c>
    </row>
    <row r="281" ht="15.75" customHeight="1" s="248">
      <c r="A281" s="117" t="n">
        <v>273</v>
      </c>
      <c r="B281" s="117" t="inlineStr">
        <is>
          <t>2026/06/01 00:00</t>
        </is>
      </c>
      <c r="C281" s="117" t="inlineStr">
        <is>
          <t>TRẦN THỊ QUẮN</t>
        </is>
      </c>
      <c r="D281" s="117" t="inlineStr">
        <is>
          <t>01/01/1934</t>
        </is>
      </c>
      <c r="E281" s="117" t="inlineStr">
        <is>
          <t>Giường Ngoại khoa loại 2 - Khoa Chấn thương chỉnh hình</t>
        </is>
      </c>
      <c r="F281" s="272" t="n">
        <v>1</v>
      </c>
      <c r="G281" s="272" t="n">
        <v>301600</v>
      </c>
    </row>
    <row r="282" ht="15.75" customHeight="1" s="248">
      <c r="A282" s="117" t="n">
        <v>274</v>
      </c>
      <c r="B282" s="117" t="inlineStr">
        <is>
          <t>2026/06/01 00:00</t>
        </is>
      </c>
      <c r="C282" s="117" t="inlineStr">
        <is>
          <t>TRẦN VĂN XIÊN</t>
        </is>
      </c>
      <c r="D282" s="117" t="inlineStr">
        <is>
          <t>01/01/1964</t>
        </is>
      </c>
      <c r="E282" s="117" t="inlineStr">
        <is>
          <t>Giường Ngoại khoa loại 3 - Khoa Chấn thương chỉnh hình</t>
        </is>
      </c>
      <c r="F282" s="272" t="n">
        <v>1</v>
      </c>
      <c r="G282" s="272" t="n">
        <v>269200</v>
      </c>
    </row>
    <row r="283" ht="15.75" customHeight="1" s="248">
      <c r="A283" s="117" t="n">
        <v>275</v>
      </c>
      <c r="B283" s="117" t="inlineStr">
        <is>
          <t>2026/06/01 00:00</t>
        </is>
      </c>
      <c r="C283" s="117" t="inlineStr">
        <is>
          <t>TỐNG MỸ DUNG</t>
        </is>
      </c>
      <c r="D283" s="117" t="inlineStr">
        <is>
          <t>03/04/2009</t>
        </is>
      </c>
      <c r="E283" s="117" t="inlineStr">
        <is>
          <t>Giường Ngoại khoa loại 1 - Khoa Chấn thương chỉnh hình</t>
        </is>
      </c>
      <c r="F283" s="272" t="n">
        <v>1</v>
      </c>
      <c r="G283" s="272" t="n">
        <v>341800</v>
      </c>
    </row>
    <row r="284" ht="15.75" customHeight="1" s="248">
      <c r="A284" s="117" t="n">
        <v>276</v>
      </c>
      <c r="B284" s="117" t="inlineStr">
        <is>
          <t>2026/06/01 00:00</t>
        </is>
      </c>
      <c r="C284" s="117" t="inlineStr">
        <is>
          <t>VÕ VĂN BÉ BA</t>
        </is>
      </c>
      <c r="D284" s="117" t="inlineStr">
        <is>
          <t>12/12/1964</t>
        </is>
      </c>
      <c r="E284" s="117" t="inlineStr">
        <is>
          <t>Giường Ngoại khoa loại 3 - Khoa Chấn thương chỉnh hình</t>
        </is>
      </c>
      <c r="F284" s="272" t="n">
        <v>1</v>
      </c>
      <c r="G284" s="272" t="n">
        <v>269200</v>
      </c>
    </row>
    <row r="285" ht="15.75" customHeight="1" s="248">
      <c r="A285" s="117" t="n">
        <v>277</v>
      </c>
      <c r="B285" s="117" t="inlineStr">
        <is>
          <t>2026/06/01 00:00</t>
        </is>
      </c>
      <c r="C285" s="117" t="inlineStr">
        <is>
          <t>VÕ VĂN TÁM</t>
        </is>
      </c>
      <c r="D285" s="117" t="inlineStr">
        <is>
          <t>12/01/1960</t>
        </is>
      </c>
      <c r="E285" s="117" t="inlineStr">
        <is>
          <t>Giường Nội khoa loại 2 - Khoa Chấn thương chỉnh hình</t>
        </is>
      </c>
      <c r="F285" s="272" t="n">
        <v>1</v>
      </c>
      <c r="G285" s="272" t="n">
        <v>222300</v>
      </c>
    </row>
    <row r="286" ht="15.75" customHeight="1" s="248">
      <c r="A286" s="117" t="n">
        <v>278</v>
      </c>
      <c r="B286" s="117" t="inlineStr">
        <is>
          <t>2026/06/01 00:00</t>
        </is>
      </c>
      <c r="C286" s="117" t="inlineStr">
        <is>
          <t>VŨ THÀNH ĐẠT</t>
        </is>
      </c>
      <c r="D286" s="117" t="inlineStr">
        <is>
          <t>01/02/1955</t>
        </is>
      </c>
      <c r="E286" s="117" t="inlineStr">
        <is>
          <t>Giường Nội khoa loại 2 - Khoa Chấn thương chỉnh hình</t>
        </is>
      </c>
      <c r="F286" s="272" t="n">
        <v>1</v>
      </c>
      <c r="G286" s="272" t="n">
        <v>222300</v>
      </c>
    </row>
    <row r="287" ht="15.75" customHeight="1" s="248">
      <c r="A287" s="117" t="n">
        <v>279</v>
      </c>
      <c r="B287" s="117" t="inlineStr">
        <is>
          <t>2026/06/01 00:00</t>
        </is>
      </c>
      <c r="C287" s="117" t="inlineStr">
        <is>
          <t>VŨ THỊ THÚY</t>
        </is>
      </c>
      <c r="D287" s="117" t="inlineStr">
        <is>
          <t>02/08/1965</t>
        </is>
      </c>
      <c r="E287" s="117" t="inlineStr">
        <is>
          <t>Giường Nội khoa loại 2 - Khoa Chấn thương chỉnh hình</t>
        </is>
      </c>
      <c r="F287" s="272" t="n">
        <v>1</v>
      </c>
      <c r="G287" s="272" t="n">
        <v>222300</v>
      </c>
    </row>
    <row r="288" ht="15.75" customHeight="1" s="248">
      <c r="A288" s="117" t="n">
        <v>280</v>
      </c>
      <c r="B288" s="117" t="inlineStr">
        <is>
          <t>2026/06/01 00:00</t>
        </is>
      </c>
      <c r="C288" s="117" t="inlineStr">
        <is>
          <t>ÂU CẨM NHUNG</t>
        </is>
      </c>
      <c r="D288" s="117" t="inlineStr">
        <is>
          <t>04/07/1974</t>
        </is>
      </c>
      <c r="E288" s="117" t="inlineStr">
        <is>
          <t>Giường Nội khoa loại 2 - Khoa Chấn thương chỉnh hình</t>
        </is>
      </c>
      <c r="F288" s="272" t="n">
        <v>1</v>
      </c>
      <c r="G288" s="272" t="n">
        <v>222300</v>
      </c>
    </row>
    <row r="289" ht="15.75" customHeight="1" s="248">
      <c r="A289" s="117" t="n">
        <v>281</v>
      </c>
      <c r="B289" s="117" t="inlineStr">
        <is>
          <t>2026/06/01 00:00</t>
        </is>
      </c>
      <c r="C289" s="117" t="inlineStr">
        <is>
          <t>HUỲNH THANH HÙNG</t>
        </is>
      </c>
      <c r="D289" s="117" t="inlineStr">
        <is>
          <t>01/01/1945</t>
        </is>
      </c>
      <c r="E289" s="117" t="inlineStr">
        <is>
          <t>Giường Ngoại khoa loại 3 - Khoa Chấn thương chỉnh hình</t>
        </is>
      </c>
      <c r="F289" s="272" t="n">
        <v>1</v>
      </c>
      <c r="G289" s="272" t="n">
        <v>269200</v>
      </c>
    </row>
    <row r="290" ht="15.75" customHeight="1" s="248">
      <c r="A290" s="117" t="n">
        <v>282</v>
      </c>
      <c r="B290" s="117" t="inlineStr">
        <is>
          <t>2026/06/01 00:00</t>
        </is>
      </c>
      <c r="C290" s="117" t="inlineStr">
        <is>
          <t>MAI THÀNH DƯƠNG</t>
        </is>
      </c>
      <c r="D290" s="117" t="inlineStr">
        <is>
          <t>10/04/1964</t>
        </is>
      </c>
      <c r="E290" s="117" t="inlineStr">
        <is>
          <t>Giường Ngoại khoa loại 3 - Khoa Chấn thương chỉnh hình</t>
        </is>
      </c>
      <c r="F290" s="272" t="n">
        <v>1</v>
      </c>
      <c r="G290" s="272" t="n">
        <v>269200</v>
      </c>
    </row>
    <row r="291" ht="15.75" customHeight="1" s="248">
      <c r="A291" s="117" t="n">
        <v>283</v>
      </c>
      <c r="B291" s="117" t="inlineStr">
        <is>
          <t>2026/06/01 00:00</t>
        </is>
      </c>
      <c r="C291" s="117" t="inlineStr">
        <is>
          <t>NGUYỄN THỊ XUA</t>
        </is>
      </c>
      <c r="D291" s="117" t="inlineStr">
        <is>
          <t>01/01/1938</t>
        </is>
      </c>
      <c r="E291" s="117" t="inlineStr">
        <is>
          <t>Giường Ngoại khoa loại 1 - Khoa Chấn thương chỉnh hình</t>
        </is>
      </c>
      <c r="F291" s="272" t="n">
        <v>1</v>
      </c>
      <c r="G291" s="272" t="n">
        <v>341800</v>
      </c>
    </row>
    <row r="292" ht="15.75" customHeight="1" s="248">
      <c r="A292" s="117" t="n">
        <v>284</v>
      </c>
      <c r="B292" s="117" t="inlineStr">
        <is>
          <t>2026/06/01 00:00</t>
        </is>
      </c>
      <c r="C292" s="117" t="inlineStr">
        <is>
          <t>VÕ THỊ HỒNG LIÊN</t>
        </is>
      </c>
      <c r="D292" s="117" t="inlineStr">
        <is>
          <t>16/12/1948</t>
        </is>
      </c>
      <c r="E292" s="117" t="inlineStr">
        <is>
          <t>Giường Nội khoa loại 2 - Khoa Chấn thương chỉnh hình</t>
        </is>
      </c>
      <c r="F292" s="272" t="n">
        <v>1</v>
      </c>
      <c r="G292" s="272" t="n">
        <v>222300</v>
      </c>
    </row>
    <row r="293" ht="15.75" customHeight="1" s="248">
      <c r="A293" s="117" t="n">
        <v>285</v>
      </c>
      <c r="B293" s="117" t="inlineStr">
        <is>
          <t>2026/06/01 09:09</t>
        </is>
      </c>
      <c r="C293" s="117" t="inlineStr">
        <is>
          <t>VÕ THỊ KIẾU</t>
        </is>
      </c>
      <c r="D293" s="117" t="inlineStr">
        <is>
          <t>01/01/1955</t>
        </is>
      </c>
      <c r="E293" s="117" t="inlineStr">
        <is>
          <t>Giường Nội khoa loại 2 - Khoa Chấn thương chỉnh hình</t>
        </is>
      </c>
      <c r="F293" s="272" t="n">
        <v>1</v>
      </c>
      <c r="G293" s="272" t="n">
        <v>222300</v>
      </c>
    </row>
    <row r="294" ht="15.75" customHeight="1" s="248">
      <c r="A294" s="117" t="n">
        <v>286</v>
      </c>
      <c r="B294" s="117" t="inlineStr">
        <is>
          <t>2026/06/01 09:23</t>
        </is>
      </c>
      <c r="C294" s="117" t="inlineStr">
        <is>
          <t>NGUYỄN THỊ THO</t>
        </is>
      </c>
      <c r="D294" s="117" t="inlineStr">
        <is>
          <t>01/01/1949</t>
        </is>
      </c>
      <c r="E294" s="117" t="inlineStr">
        <is>
          <t>Giường Nội khoa loại 2 - Khoa Chấn thương chỉnh hình</t>
        </is>
      </c>
      <c r="F294" s="272" t="n">
        <v>1</v>
      </c>
      <c r="G294" s="272" t="n">
        <v>222300</v>
      </c>
    </row>
    <row r="295" ht="15.75" customHeight="1" s="248">
      <c r="A295" s="117" t="n">
        <v>287</v>
      </c>
      <c r="B295" s="117" t="inlineStr">
        <is>
          <t>2026/06/01 10:10</t>
        </is>
      </c>
      <c r="C295" s="117" t="inlineStr">
        <is>
          <t>UNG HUỲNH TÂM</t>
        </is>
      </c>
      <c r="D295" s="117" t="inlineStr">
        <is>
          <t>15/05/1984</t>
        </is>
      </c>
      <c r="E295" s="117" t="inlineStr">
        <is>
          <t>Giường Nội khoa loại 2 - Khoa Chấn thương chỉnh hình</t>
        </is>
      </c>
      <c r="F295" s="272" t="n">
        <v>1</v>
      </c>
      <c r="G295" s="272" t="n">
        <v>222300</v>
      </c>
    </row>
    <row r="296" ht="15.75" customHeight="1" s="248">
      <c r="A296" s="117" t="n">
        <v>288</v>
      </c>
      <c r="B296" s="117" t="inlineStr">
        <is>
          <t>2026/06/01 10:18</t>
        </is>
      </c>
      <c r="C296" s="117" t="inlineStr">
        <is>
          <t>VÕ TẤN HƯNG</t>
        </is>
      </c>
      <c r="D296" s="117" t="inlineStr">
        <is>
          <t>19/09/1963</t>
        </is>
      </c>
      <c r="E296" s="117" t="inlineStr">
        <is>
          <t>Giường Nội khoa loại 2 - Khoa Chấn thương chỉnh hình</t>
        </is>
      </c>
      <c r="F296" s="272" t="n">
        <v>1</v>
      </c>
      <c r="G296" s="272" t="n">
        <v>222300</v>
      </c>
    </row>
    <row r="297" ht="15.75" customHeight="1" s="248">
      <c r="A297" s="117" t="n">
        <v>289</v>
      </c>
      <c r="B297" s="117" t="inlineStr">
        <is>
          <t>2026/06/01 10:56</t>
        </is>
      </c>
      <c r="C297" s="117" t="inlineStr">
        <is>
          <t>LÊ THỊ NGỌC BÍCH</t>
        </is>
      </c>
      <c r="D297" s="117" t="inlineStr">
        <is>
          <t>01/01/1956</t>
        </is>
      </c>
      <c r="E297" s="117" t="inlineStr">
        <is>
          <t>Giường Nội khoa loại 2 - Khoa Chấn thương chỉnh hình</t>
        </is>
      </c>
      <c r="F297" s="272" t="n">
        <v>1</v>
      </c>
      <c r="G297" s="272" t="n">
        <v>222300</v>
      </c>
    </row>
    <row r="298" ht="15.75" customHeight="1" s="248">
      <c r="A298" s="117" t="n">
        <v>290</v>
      </c>
      <c r="B298" s="117" t="inlineStr">
        <is>
          <t>2026/06/01 11:27</t>
        </is>
      </c>
      <c r="C298" s="117" t="inlineStr">
        <is>
          <t>PHẠM THANH TOÀN</t>
        </is>
      </c>
      <c r="D298" s="117" t="inlineStr">
        <is>
          <t>08/01/1986</t>
        </is>
      </c>
      <c r="E298" s="117" t="inlineStr">
        <is>
          <t>Giường Nội khoa loại 2 - Khoa Chấn thương chỉnh hình</t>
        </is>
      </c>
      <c r="F298" s="272" t="n">
        <v>1</v>
      </c>
      <c r="G298" s="272" t="n">
        <v>222300</v>
      </c>
    </row>
    <row r="299" ht="15.75" customHeight="1" s="248">
      <c r="A299" s="117" t="n">
        <v>291</v>
      </c>
      <c r="B299" s="117" t="inlineStr">
        <is>
          <t>2026/06/01 13:50</t>
        </is>
      </c>
      <c r="C299" s="117" t="inlineStr">
        <is>
          <t>TRẦN KIM LIÊN</t>
        </is>
      </c>
      <c r="D299" s="117" t="inlineStr">
        <is>
          <t>01/01/1943</t>
        </is>
      </c>
      <c r="E299" s="117" t="inlineStr">
        <is>
          <t>Giường Nội khoa loại 2 - Khoa Chấn thương chỉnh hình</t>
        </is>
      </c>
      <c r="F299" s="272" t="n">
        <v>1</v>
      </c>
      <c r="G299" s="272" t="n">
        <v>222300</v>
      </c>
    </row>
    <row r="300" ht="15.75" customHeight="1" s="248">
      <c r="A300" s="117" t="n">
        <v>292</v>
      </c>
      <c r="B300" s="117" t="inlineStr">
        <is>
          <t>2026/06/01 14:26</t>
        </is>
      </c>
      <c r="C300" s="117" t="inlineStr">
        <is>
          <t>HUỲNH THỊ HIỆP</t>
        </is>
      </c>
      <c r="D300" s="117" t="inlineStr">
        <is>
          <t>01/01/1969</t>
        </is>
      </c>
      <c r="E300" s="117" t="inlineStr">
        <is>
          <t>Giường Nội khoa loại 2 - Khoa Chấn thương chỉnh hình</t>
        </is>
      </c>
      <c r="F300" s="272" t="n">
        <v>1</v>
      </c>
      <c r="G300" s="272" t="n">
        <v>222300</v>
      </c>
    </row>
    <row r="301" ht="15.75" customHeight="1" s="248">
      <c r="A301" s="117" t="n">
        <v>293</v>
      </c>
      <c r="B301" s="117" t="inlineStr">
        <is>
          <t>2026/06/01 16:31</t>
        </is>
      </c>
      <c r="C301" s="117" t="inlineStr">
        <is>
          <t>NGUYỄN HỮU THANH</t>
        </is>
      </c>
      <c r="D301" s="117" t="inlineStr">
        <is>
          <t>22/10/1976</t>
        </is>
      </c>
      <c r="E301" s="117" t="inlineStr">
        <is>
          <t>Giường Nội khoa loại 2 - Khoa Chấn thương chỉnh hình</t>
        </is>
      </c>
      <c r="F301" s="272" t="n">
        <v>1</v>
      </c>
      <c r="G301" s="272" t="n">
        <v>222300</v>
      </c>
    </row>
    <row r="302" ht="15.75" customHeight="1" s="248">
      <c r="A302" s="117" t="n">
        <v>294</v>
      </c>
      <c r="B302" s="117" t="inlineStr">
        <is>
          <t>2026/06/01 22:34</t>
        </is>
      </c>
      <c r="C302" s="117" t="inlineStr">
        <is>
          <t>TRẦN VĂN LÂM</t>
        </is>
      </c>
      <c r="D302" s="117" t="inlineStr">
        <is>
          <t>27/09/1964</t>
        </is>
      </c>
      <c r="E302" s="117" t="inlineStr">
        <is>
          <t>Giường Nội khoa loại 2 - Khoa Chấn thương chỉnh hình</t>
        </is>
      </c>
      <c r="F302" s="272" t="n">
        <v>1</v>
      </c>
      <c r="G302" s="272" t="n">
        <v>222300</v>
      </c>
    </row>
    <row r="303" ht="15.75" customHeight="1" s="248">
      <c r="A303" s="117" t="n">
        <v>295</v>
      </c>
      <c r="B303" s="117" t="inlineStr">
        <is>
          <t>2026/06/01 23:59</t>
        </is>
      </c>
      <c r="C303" s="117" t="inlineStr">
        <is>
          <t>DƯƠNG VĂN CHIẾN</t>
        </is>
      </c>
      <c r="D303" s="117" t="inlineStr">
        <is>
          <t>01/01/1949</t>
        </is>
      </c>
      <c r="E303" s="117" t="inlineStr">
        <is>
          <t>Giường Ngoại khoa loại 3 - Khoa Chấn thương chỉnh hình</t>
        </is>
      </c>
      <c r="F303" s="272" t="n">
        <v>1</v>
      </c>
      <c r="G303" s="272" t="n">
        <v>269200</v>
      </c>
    </row>
    <row r="304" ht="15.75" customHeight="1" s="248">
      <c r="A304" s="117" t="n">
        <v>296</v>
      </c>
      <c r="B304" s="117" t="inlineStr">
        <is>
          <t>2026/06/02 00:00</t>
        </is>
      </c>
      <c r="C304" s="117" t="inlineStr">
        <is>
          <t>HUỲNH THỊ HIỆP</t>
        </is>
      </c>
      <c r="D304" s="117" t="inlineStr">
        <is>
          <t>01/01/1969</t>
        </is>
      </c>
      <c r="E304" s="117" t="inlineStr">
        <is>
          <t>Giường Ngoại khoa loại 1 - Khoa Chấn thương chỉnh hình</t>
        </is>
      </c>
      <c r="F304" s="272" t="n">
        <v>1</v>
      </c>
      <c r="G304" s="272" t="n">
        <v>341800</v>
      </c>
    </row>
    <row r="305" ht="15.75" customHeight="1" s="248">
      <c r="A305" s="117" t="n">
        <v>297</v>
      </c>
      <c r="B305" s="117" t="inlineStr">
        <is>
          <t>2026/06/02 00:00</t>
        </is>
      </c>
      <c r="C305" s="117" t="inlineStr">
        <is>
          <t>KHUẤT HÙNG</t>
        </is>
      </c>
      <c r="D305" s="117" t="inlineStr">
        <is>
          <t>01/01/1948</t>
        </is>
      </c>
      <c r="E305" s="117" t="inlineStr">
        <is>
          <t>Giường Ngoại khoa loại 3 - Khoa Chấn thương chỉnh hình</t>
        </is>
      </c>
      <c r="F305" s="272" t="n">
        <v>1</v>
      </c>
      <c r="G305" s="272" t="n">
        <v>269200</v>
      </c>
    </row>
    <row r="306" ht="15.75" customHeight="1" s="248">
      <c r="A306" s="117" t="n">
        <v>298</v>
      </c>
      <c r="B306" s="117" t="inlineStr">
        <is>
          <t>2026/06/02 00:00</t>
        </is>
      </c>
      <c r="C306" s="117" t="inlineStr">
        <is>
          <t>LÊ THỊ NGỌC BÍCH</t>
        </is>
      </c>
      <c r="D306" s="117" t="inlineStr">
        <is>
          <t>01/01/1956</t>
        </is>
      </c>
      <c r="E306" s="117" t="inlineStr">
        <is>
          <t>Giường Nội khoa loại 2 - Khoa Chấn thương chỉnh hình</t>
        </is>
      </c>
      <c r="F306" s="272" t="n">
        <v>1</v>
      </c>
      <c r="G306" s="272" t="n">
        <v>222300</v>
      </c>
    </row>
    <row r="307" ht="15.75" customHeight="1" s="248">
      <c r="A307" s="117" t="n">
        <v>299</v>
      </c>
      <c r="B307" s="117" t="inlineStr">
        <is>
          <t>2026/06/02 00:00</t>
        </is>
      </c>
      <c r="C307" s="117" t="inlineStr">
        <is>
          <t>NGUYỄN MINH TUỆ</t>
        </is>
      </c>
      <c r="D307" s="117" t="inlineStr">
        <is>
          <t>20/05/2002</t>
        </is>
      </c>
      <c r="E307" s="117" t="inlineStr">
        <is>
          <t>Giường Ngoại khoa loại 1 - Khoa Chấn thương chỉnh hình</t>
        </is>
      </c>
      <c r="F307" s="272" t="n">
        <v>1</v>
      </c>
      <c r="G307" s="272" t="n">
        <v>341800</v>
      </c>
    </row>
    <row r="308" ht="15.75" customHeight="1" s="248">
      <c r="A308" s="117" t="n">
        <v>300</v>
      </c>
      <c r="B308" s="117" t="inlineStr">
        <is>
          <t>2026/06/02 00:00</t>
        </is>
      </c>
      <c r="C308" s="117" t="inlineStr">
        <is>
          <t>NGUYỄN THỊ CHUỐI</t>
        </is>
      </c>
      <c r="D308" s="117" t="inlineStr">
        <is>
          <t>06/08/1952</t>
        </is>
      </c>
      <c r="E308" s="117" t="inlineStr">
        <is>
          <t>Giường Nội khoa loại 2 - Khoa Chấn thương chỉnh hình</t>
        </is>
      </c>
      <c r="F308" s="272" t="n">
        <v>1</v>
      </c>
      <c r="G308" s="272" t="n">
        <v>222300</v>
      </c>
    </row>
    <row r="309" ht="15.75" customHeight="1" s="248">
      <c r="A309" s="117" t="n">
        <v>301</v>
      </c>
      <c r="B309" s="117" t="inlineStr">
        <is>
          <t>2026/06/02 00:00</t>
        </is>
      </c>
      <c r="C309" s="117" t="inlineStr">
        <is>
          <t>NGUYỄN THỊ HẤN</t>
        </is>
      </c>
      <c r="D309" s="117" t="inlineStr">
        <is>
          <t>01/01/1959</t>
        </is>
      </c>
      <c r="E309" s="117" t="inlineStr">
        <is>
          <t>Giường Ngoại khoa loại 1 - Khoa Chấn thương chỉnh hình</t>
        </is>
      </c>
      <c r="F309" s="272" t="n">
        <v>1</v>
      </c>
      <c r="G309" s="272" t="n">
        <v>341800</v>
      </c>
    </row>
    <row r="310" ht="15.75" customHeight="1" s="248">
      <c r="A310" s="117" t="n">
        <v>302</v>
      </c>
      <c r="B310" s="117" t="inlineStr">
        <is>
          <t>2026/06/02 00:00</t>
        </is>
      </c>
      <c r="C310" s="117" t="inlineStr">
        <is>
          <t>NGUYỄN THỊ LÝ</t>
        </is>
      </c>
      <c r="D310" s="117" t="inlineStr">
        <is>
          <t>01/01/1944</t>
        </is>
      </c>
      <c r="E310" s="117" t="inlineStr">
        <is>
          <t>Giường Ngoại khoa loại 2 - Khoa Chấn thương chỉnh hình</t>
        </is>
      </c>
      <c r="F310" s="272" t="n">
        <v>1</v>
      </c>
      <c r="G310" s="272" t="n">
        <v>301600</v>
      </c>
    </row>
    <row r="311" ht="15.75" customHeight="1" s="248">
      <c r="A311" s="117" t="n">
        <v>303</v>
      </c>
      <c r="B311" s="117" t="inlineStr">
        <is>
          <t>2026/06/02 00:00</t>
        </is>
      </c>
      <c r="C311" s="117" t="inlineStr">
        <is>
          <t>NGUYỄN THỊ THỦY</t>
        </is>
      </c>
      <c r="D311" s="117" t="inlineStr">
        <is>
          <t>01/01/1963</t>
        </is>
      </c>
      <c r="E311" s="117" t="inlineStr">
        <is>
          <t>Giường Ngoại khoa loại 1 - Khoa Chấn thương chỉnh hình</t>
        </is>
      </c>
      <c r="F311" s="272" t="n">
        <v>1</v>
      </c>
      <c r="G311" s="272" t="n">
        <v>341800</v>
      </c>
    </row>
    <row r="312" ht="15.75" customHeight="1" s="248">
      <c r="A312" s="117" t="n">
        <v>304</v>
      </c>
      <c r="B312" s="117" t="inlineStr">
        <is>
          <t>2026/06/02 00:00</t>
        </is>
      </c>
      <c r="C312" s="117" t="inlineStr">
        <is>
          <t>NGUYỄN VĂN CẤP</t>
        </is>
      </c>
      <c r="D312" s="117" t="inlineStr">
        <is>
          <t>01/01/1957</t>
        </is>
      </c>
      <c r="E312" s="117" t="inlineStr">
        <is>
          <t>Giường Nội khoa loại 2 - Khoa Chấn thương chỉnh hình</t>
        </is>
      </c>
      <c r="F312" s="272" t="n">
        <v>1</v>
      </c>
      <c r="G312" s="272" t="n">
        <v>222300</v>
      </c>
    </row>
    <row r="313" ht="15.75" customHeight="1" s="248">
      <c r="A313" s="117" t="n">
        <v>305</v>
      </c>
      <c r="B313" s="117" t="inlineStr">
        <is>
          <t>2026/06/02 00:00</t>
        </is>
      </c>
      <c r="C313" s="117" t="inlineStr">
        <is>
          <t>NGUYỄN VĂN PHỤNG</t>
        </is>
      </c>
      <c r="D313" s="117" t="inlineStr">
        <is>
          <t>01/01/1938</t>
        </is>
      </c>
      <c r="E313" s="117" t="inlineStr">
        <is>
          <t>Giường Nội khoa loại 2 - Khoa Chấn thương chỉnh hình</t>
        </is>
      </c>
      <c r="F313" s="272" t="n">
        <v>1</v>
      </c>
      <c r="G313" s="272" t="n">
        <v>222300</v>
      </c>
    </row>
    <row r="314" ht="15.75" customHeight="1" s="248">
      <c r="A314" s="117" t="n">
        <v>306</v>
      </c>
      <c r="B314" s="117" t="inlineStr">
        <is>
          <t>2026/06/02 00:00</t>
        </is>
      </c>
      <c r="C314" s="117" t="inlineStr">
        <is>
          <t>PHAN TUẤN GIỚI</t>
        </is>
      </c>
      <c r="D314" s="117" t="inlineStr">
        <is>
          <t>15/02/1965</t>
        </is>
      </c>
      <c r="E314" s="117" t="inlineStr">
        <is>
          <t>Giường Ngoại khoa loại 1 - Khoa Chấn thương chỉnh hình</t>
        </is>
      </c>
      <c r="F314" s="272" t="n">
        <v>1</v>
      </c>
      <c r="G314" s="272" t="n">
        <v>341800</v>
      </c>
    </row>
    <row r="315" ht="15.75" customHeight="1" s="248">
      <c r="A315" s="117" t="n">
        <v>307</v>
      </c>
      <c r="B315" s="117" t="inlineStr">
        <is>
          <t>2026/06/02 00:00</t>
        </is>
      </c>
      <c r="C315" s="117" t="inlineStr">
        <is>
          <t>PHẠM THỊ HOA</t>
        </is>
      </c>
      <c r="D315" s="117" t="inlineStr">
        <is>
          <t>01/01/1946</t>
        </is>
      </c>
      <c r="E315" s="117" t="inlineStr">
        <is>
          <t>Giường Nội khoa loại 2 - Khoa Chấn thương chỉnh hình</t>
        </is>
      </c>
      <c r="F315" s="272" t="n">
        <v>1</v>
      </c>
      <c r="G315" s="272" t="n">
        <v>222300</v>
      </c>
    </row>
    <row r="316" ht="15.75" customHeight="1" s="248">
      <c r="A316" s="117" t="n">
        <v>308</v>
      </c>
      <c r="B316" s="117" t="inlineStr">
        <is>
          <t>2026/06/02 00:00</t>
        </is>
      </c>
      <c r="C316" s="117" t="inlineStr">
        <is>
          <t>PHẠM THỊ HỒNG GẤM</t>
        </is>
      </c>
      <c r="D316" s="117" t="inlineStr">
        <is>
          <t>01/01/1979</t>
        </is>
      </c>
      <c r="E316" s="117" t="inlineStr">
        <is>
          <t>Giường Ngoại khoa loại 1 - Khoa Chấn thương chỉnh hình</t>
        </is>
      </c>
      <c r="F316" s="272" t="n">
        <v>1</v>
      </c>
      <c r="G316" s="272" t="n">
        <v>341800</v>
      </c>
    </row>
    <row r="317" ht="15.75" customHeight="1" s="248">
      <c r="A317" s="117" t="n">
        <v>309</v>
      </c>
      <c r="B317" s="117" t="inlineStr">
        <is>
          <t>2026/06/02 00:00</t>
        </is>
      </c>
      <c r="C317" s="117" t="inlineStr">
        <is>
          <t>TRẦN KIM LIÊN</t>
        </is>
      </c>
      <c r="D317" s="117" t="inlineStr">
        <is>
          <t>01/01/1943</t>
        </is>
      </c>
      <c r="E317" s="117" t="inlineStr">
        <is>
          <t>Giường Nội khoa loại 2 - Khoa Chấn thương chỉnh hình</t>
        </is>
      </c>
      <c r="F317" s="272" t="n">
        <v>1</v>
      </c>
      <c r="G317" s="272" t="n">
        <v>222300</v>
      </c>
    </row>
    <row r="318" ht="15.75" customHeight="1" s="248">
      <c r="A318" s="117" t="n">
        <v>310</v>
      </c>
      <c r="B318" s="117" t="inlineStr">
        <is>
          <t>2026/06/02 00:00</t>
        </is>
      </c>
      <c r="C318" s="117" t="inlineStr">
        <is>
          <t>TRẦN THỊ QUẮN</t>
        </is>
      </c>
      <c r="D318" s="117" t="inlineStr">
        <is>
          <t>01/01/1934</t>
        </is>
      </c>
      <c r="E318" s="117" t="inlineStr">
        <is>
          <t>Giường Ngoại khoa loại 2 - Khoa Chấn thương chỉnh hình</t>
        </is>
      </c>
      <c r="F318" s="272" t="n">
        <v>1</v>
      </c>
      <c r="G318" s="272" t="n">
        <v>301600</v>
      </c>
    </row>
    <row r="319" ht="15.75" customHeight="1" s="248">
      <c r="A319" s="117" t="n">
        <v>311</v>
      </c>
      <c r="B319" s="117" t="inlineStr">
        <is>
          <t>2026/06/02 00:00</t>
        </is>
      </c>
      <c r="C319" s="117" t="inlineStr">
        <is>
          <t>TRẦN VĂN XIÊN</t>
        </is>
      </c>
      <c r="D319" s="117" t="inlineStr">
        <is>
          <t>01/01/1964</t>
        </is>
      </c>
      <c r="E319" s="117" t="inlineStr">
        <is>
          <t>Giường Ngoại khoa loại 3 - Khoa Chấn thương chỉnh hình</t>
        </is>
      </c>
      <c r="F319" s="272" t="n">
        <v>1</v>
      </c>
      <c r="G319" s="272" t="n">
        <v>269200</v>
      </c>
    </row>
    <row r="320" ht="15.75" customHeight="1" s="248">
      <c r="A320" s="117" t="n">
        <v>312</v>
      </c>
      <c r="B320" s="117" t="inlineStr">
        <is>
          <t>2026/06/02 00:00</t>
        </is>
      </c>
      <c r="C320" s="117" t="inlineStr">
        <is>
          <t>VÕ MINH HẰNG</t>
        </is>
      </c>
      <c r="D320" s="117" t="inlineStr">
        <is>
          <t>10/10/1975</t>
        </is>
      </c>
      <c r="E320" s="117" t="inlineStr">
        <is>
          <t>Giường Nội khoa loại 2 - Khoa Chấn thương chỉnh hình</t>
        </is>
      </c>
      <c r="F320" s="272" t="n">
        <v>1</v>
      </c>
      <c r="G320" s="272" t="n">
        <v>222300</v>
      </c>
    </row>
    <row r="321" ht="15.75" customHeight="1" s="248">
      <c r="A321" s="117" t="n">
        <v>313</v>
      </c>
      <c r="B321" s="117" t="inlineStr">
        <is>
          <t>2026/06/02 00:00</t>
        </is>
      </c>
      <c r="C321" s="117" t="inlineStr">
        <is>
          <t>VÕ THỊ KIẾU</t>
        </is>
      </c>
      <c r="D321" s="117" t="inlineStr">
        <is>
          <t>01/01/1955</t>
        </is>
      </c>
      <c r="E321" s="117" t="inlineStr">
        <is>
          <t>Giường Nội khoa loại 2 - Khoa Chấn thương chỉnh hình</t>
        </is>
      </c>
      <c r="F321" s="272" t="n">
        <v>1</v>
      </c>
      <c r="G321" s="272" t="n">
        <v>222300</v>
      </c>
    </row>
    <row r="322" ht="15.75" customHeight="1" s="248">
      <c r="A322" s="117" t="n">
        <v>314</v>
      </c>
      <c r="B322" s="117" t="inlineStr">
        <is>
          <t>2026/06/02 00:00</t>
        </is>
      </c>
      <c r="C322" s="117" t="inlineStr">
        <is>
          <t>VÕ TẤN HƯNG</t>
        </is>
      </c>
      <c r="D322" s="117" t="inlineStr">
        <is>
          <t>19/09/1963</t>
        </is>
      </c>
      <c r="E322" s="117" t="inlineStr">
        <is>
          <t>Giường Nội khoa loại 2 - Khoa Chấn thương chỉnh hình</t>
        </is>
      </c>
      <c r="F322" s="272" t="n">
        <v>1</v>
      </c>
      <c r="G322" s="272" t="n">
        <v>222300</v>
      </c>
    </row>
    <row r="323" ht="15.75" customHeight="1" s="248">
      <c r="A323" s="117" t="n">
        <v>315</v>
      </c>
      <c r="B323" s="117" t="inlineStr">
        <is>
          <t>2026/06/02 00:00</t>
        </is>
      </c>
      <c r="C323" s="117" t="inlineStr">
        <is>
          <t>VÕ VĂN BÉ BA</t>
        </is>
      </c>
      <c r="D323" s="117" t="inlineStr">
        <is>
          <t>12/12/1964</t>
        </is>
      </c>
      <c r="E323" s="117" t="inlineStr">
        <is>
          <t>Giường Ngoại khoa loại 3 - Khoa Chấn thương chỉnh hình</t>
        </is>
      </c>
      <c r="F323" s="272" t="n">
        <v>1</v>
      </c>
      <c r="G323" s="272" t="n">
        <v>269200</v>
      </c>
    </row>
    <row r="324" ht="15.75" customHeight="1" s="248">
      <c r="A324" s="117" t="n">
        <v>316</v>
      </c>
      <c r="B324" s="117" t="inlineStr">
        <is>
          <t>2026/06/02 00:00</t>
        </is>
      </c>
      <c r="C324" s="117" t="inlineStr">
        <is>
          <t>VŨ THÀNH ĐẠT</t>
        </is>
      </c>
      <c r="D324" s="117" t="inlineStr">
        <is>
          <t>01/02/1955</t>
        </is>
      </c>
      <c r="E324" s="117" t="inlineStr">
        <is>
          <t>Giường Nội khoa loại 2 - Khoa Chấn thương chỉnh hình</t>
        </is>
      </c>
      <c r="F324" s="272" t="n">
        <v>1</v>
      </c>
      <c r="G324" s="272" t="n">
        <v>222300</v>
      </c>
    </row>
    <row r="325" ht="15.75" customHeight="1" s="248">
      <c r="A325" s="117" t="n">
        <v>317</v>
      </c>
      <c r="B325" s="117" t="inlineStr">
        <is>
          <t>2026/06/02 00:00</t>
        </is>
      </c>
      <c r="C325" s="117" t="inlineStr">
        <is>
          <t>ÂU CẨM NHUNG</t>
        </is>
      </c>
      <c r="D325" s="117" t="inlineStr">
        <is>
          <t>04/07/1974</t>
        </is>
      </c>
      <c r="E325" s="117" t="inlineStr">
        <is>
          <t>Giường Nội khoa loại 2 - Khoa Chấn thương chỉnh hình</t>
        </is>
      </c>
      <c r="F325" s="272" t="n">
        <v>1</v>
      </c>
      <c r="G325" s="272" t="n">
        <v>222300</v>
      </c>
    </row>
    <row r="326" ht="15.75" customHeight="1" s="248">
      <c r="A326" s="117" t="n">
        <v>318</v>
      </c>
      <c r="B326" s="117" t="inlineStr">
        <is>
          <t>2026/06/02 00:00</t>
        </is>
      </c>
      <c r="C326" s="117" t="inlineStr">
        <is>
          <t>HUỲNH THANH HÙNG</t>
        </is>
      </c>
      <c r="D326" s="117" t="inlineStr">
        <is>
          <t>01/01/1945</t>
        </is>
      </c>
      <c r="E326" s="117" t="inlineStr">
        <is>
          <t>Giường Ngoại khoa loại 3 - Khoa Chấn thương chỉnh hình</t>
        </is>
      </c>
      <c r="F326" s="272" t="n">
        <v>1</v>
      </c>
      <c r="G326" s="272" t="n">
        <v>269200</v>
      </c>
    </row>
    <row r="327" ht="15.75" customHeight="1" s="248">
      <c r="A327" s="117" t="n">
        <v>319</v>
      </c>
      <c r="B327" s="117" t="inlineStr">
        <is>
          <t>2026/06/02 00:00</t>
        </is>
      </c>
      <c r="C327" s="117" t="inlineStr">
        <is>
          <t>MAI THÀNH DƯƠNG</t>
        </is>
      </c>
      <c r="D327" s="117" t="inlineStr">
        <is>
          <t>10/04/1964</t>
        </is>
      </c>
      <c r="E327" s="117" t="inlineStr">
        <is>
          <t>Giường Ngoại khoa loại 3 - Khoa Chấn thương chỉnh hình</t>
        </is>
      </c>
      <c r="F327" s="272" t="n">
        <v>1</v>
      </c>
      <c r="G327" s="272" t="n">
        <v>269200</v>
      </c>
    </row>
    <row r="328" ht="15.75" customHeight="1" s="248">
      <c r="A328" s="117" t="n">
        <v>320</v>
      </c>
      <c r="B328" s="117" t="inlineStr">
        <is>
          <t>2026/06/02 00:00</t>
        </is>
      </c>
      <c r="C328" s="117" t="inlineStr">
        <is>
          <t>NGUYỄN HOÀNG VIỆT TRINH</t>
        </is>
      </c>
      <c r="D328" s="117" t="inlineStr">
        <is>
          <t>16/04/1999</t>
        </is>
      </c>
      <c r="E328" s="117" t="inlineStr">
        <is>
          <t>Giường Ngoại khoa loại 1 - Khoa Chấn thương chỉnh hình</t>
        </is>
      </c>
      <c r="F328" s="272" t="n">
        <v>1</v>
      </c>
      <c r="G328" s="272" t="n">
        <v>341800</v>
      </c>
    </row>
    <row r="329" ht="15.75" customHeight="1" s="248">
      <c r="A329" s="117" t="n">
        <v>321</v>
      </c>
      <c r="B329" s="117" t="inlineStr">
        <is>
          <t>2026/06/02 00:00</t>
        </is>
      </c>
      <c r="C329" s="117" t="inlineStr">
        <is>
          <t>NGUYỄN THỊ XUA</t>
        </is>
      </c>
      <c r="D329" s="117" t="inlineStr">
        <is>
          <t>01/01/1938</t>
        </is>
      </c>
      <c r="E329" s="117" t="inlineStr">
        <is>
          <t>Giường Ngoại khoa loại 1 - Khoa Chấn thương chỉnh hình</t>
        </is>
      </c>
      <c r="F329" s="272" t="n">
        <v>1</v>
      </c>
      <c r="G329" s="272" t="n">
        <v>341800</v>
      </c>
    </row>
    <row r="330" ht="15.75" customHeight="1" s="248">
      <c r="A330" s="117" t="n">
        <v>322</v>
      </c>
      <c r="B330" s="117" t="inlineStr">
        <is>
          <t>2026/06/02 00:00</t>
        </is>
      </c>
      <c r="C330" s="117" t="inlineStr">
        <is>
          <t>VÕ THỊ HỒNG LIÊN</t>
        </is>
      </c>
      <c r="D330" s="117" t="inlineStr">
        <is>
          <t>16/12/1948</t>
        </is>
      </c>
      <c r="E330" s="117" t="inlineStr">
        <is>
          <t>Giường Nội khoa loại 2 - Khoa Chấn thương chỉnh hình</t>
        </is>
      </c>
      <c r="F330" s="272" t="n">
        <v>1</v>
      </c>
      <c r="G330" s="272" t="n">
        <v>222300</v>
      </c>
    </row>
    <row r="331" ht="15.75" customHeight="1" s="248">
      <c r="A331" s="117" t="n">
        <v>323</v>
      </c>
      <c r="B331" s="117" t="inlineStr">
        <is>
          <t>2026/06/02 09:00</t>
        </is>
      </c>
      <c r="C331" s="117" t="inlineStr">
        <is>
          <t>LƯƠNG THỊ PHƯỢNG</t>
        </is>
      </c>
      <c r="D331" s="117" t="inlineStr">
        <is>
          <t>13/07/1965</t>
        </is>
      </c>
      <c r="E331" s="117" t="inlineStr">
        <is>
          <t>Giường Nội khoa loại 2 - Khoa Chấn thương chỉnh hình</t>
        </is>
      </c>
      <c r="F331" s="272" t="n">
        <v>1</v>
      </c>
      <c r="G331" s="272" t="n">
        <v>222300</v>
      </c>
    </row>
    <row r="332" ht="15.75" customHeight="1" s="248">
      <c r="A332" s="117" t="n">
        <v>324</v>
      </c>
      <c r="B332" s="117" t="inlineStr">
        <is>
          <t>2026/06/02 09:00</t>
        </is>
      </c>
      <c r="C332" s="117" t="inlineStr">
        <is>
          <t>NGUYỄN VĂN LUÔNG</t>
        </is>
      </c>
      <c r="D332" s="117" t="inlineStr">
        <is>
          <t>01/01/1972</t>
        </is>
      </c>
      <c r="E332" s="117" t="inlineStr">
        <is>
          <t>Giường Nội khoa loại 2 - Khoa Chấn thương chỉnh hình</t>
        </is>
      </c>
      <c r="F332" s="272" t="n">
        <v>1</v>
      </c>
      <c r="G332" s="272" t="n">
        <v>222300</v>
      </c>
    </row>
    <row r="333" ht="15.75" customHeight="1" s="248">
      <c r="A333" s="117" t="n">
        <v>325</v>
      </c>
      <c r="B333" s="117" t="inlineStr">
        <is>
          <t>2026/06/02 10:00</t>
        </is>
      </c>
      <c r="C333" s="117" t="inlineStr">
        <is>
          <t>NGUYỄN THỊ KIỀU OANH</t>
        </is>
      </c>
      <c r="D333" s="117" t="inlineStr">
        <is>
          <t>10/11/1967</t>
        </is>
      </c>
      <c r="E333" s="117" t="inlineStr">
        <is>
          <t>Giường Nội khoa loại 2 - Khoa Chấn thương chỉnh hình</t>
        </is>
      </c>
      <c r="F333" s="272" t="n">
        <v>1</v>
      </c>
      <c r="G333" s="272" t="n">
        <v>222300</v>
      </c>
    </row>
    <row r="334" ht="15.75" customHeight="1" s="248">
      <c r="A334" s="117" t="n">
        <v>326</v>
      </c>
      <c r="B334" s="117" t="inlineStr">
        <is>
          <t>2026/06/02 10:30</t>
        </is>
      </c>
      <c r="C334" s="117" t="inlineStr">
        <is>
          <t>LÊ THỊ Y BÌNH</t>
        </is>
      </c>
      <c r="D334" s="117" t="inlineStr">
        <is>
          <t>06/08/1995</t>
        </is>
      </c>
      <c r="E334" s="117" t="inlineStr">
        <is>
          <t>Giường Nội khoa loại 2 - Khoa Chấn thương chỉnh hình</t>
        </is>
      </c>
      <c r="F334" s="272" t="n">
        <v>1</v>
      </c>
      <c r="G334" s="272" t="n">
        <v>222300</v>
      </c>
    </row>
    <row r="335" ht="15.75" customHeight="1" s="248">
      <c r="A335" s="117" t="n">
        <v>327</v>
      </c>
      <c r="B335" s="117" t="inlineStr">
        <is>
          <t>2026/06/02 10:30</t>
        </is>
      </c>
      <c r="C335" s="117" t="inlineStr">
        <is>
          <t>TRẦN THIỆN BỔN</t>
        </is>
      </c>
      <c r="D335" s="117" t="inlineStr">
        <is>
          <t>10/12/1964</t>
        </is>
      </c>
      <c r="E335" s="117" t="inlineStr">
        <is>
          <t>Giường Nội khoa loại 2 - Khoa Chấn thương chỉnh hình</t>
        </is>
      </c>
      <c r="F335" s="272" t="n">
        <v>1</v>
      </c>
      <c r="G335" s="272" t="n">
        <v>222300</v>
      </c>
    </row>
    <row r="336" ht="15.75" customHeight="1" s="248">
      <c r="A336" s="117" t="n">
        <v>328</v>
      </c>
      <c r="B336" s="117" t="inlineStr">
        <is>
          <t>2026/06/02 10:47</t>
        </is>
      </c>
      <c r="C336" s="117" t="inlineStr">
        <is>
          <t>PHẠM THANH TOÀN</t>
        </is>
      </c>
      <c r="D336" s="117" t="inlineStr">
        <is>
          <t>08/01/1986</t>
        </is>
      </c>
      <c r="E336" s="117" t="inlineStr">
        <is>
          <t>Giường Ngoại khoa loại 3 - Khoa Chấn thương chỉnh hình</t>
        </is>
      </c>
      <c r="F336" s="272" t="n">
        <v>1</v>
      </c>
      <c r="G336" s="272" t="n">
        <v>269200</v>
      </c>
    </row>
    <row r="337" ht="15.75" customHeight="1" s="248">
      <c r="A337" s="117" t="n">
        <v>329</v>
      </c>
      <c r="B337" s="117" t="inlineStr">
        <is>
          <t>2026/06/02 15:30</t>
        </is>
      </c>
      <c r="C337" s="117" t="inlineStr">
        <is>
          <t>DƯƠNG VIỆT ĐA</t>
        </is>
      </c>
      <c r="D337" s="117" t="inlineStr">
        <is>
          <t>30/08/1986</t>
        </is>
      </c>
      <c r="E337" s="117" t="inlineStr">
        <is>
          <t>Giường Nội khoa loại 2 - Khoa Chấn thương chỉnh hình</t>
        </is>
      </c>
      <c r="F337" s="272" t="n">
        <v>1</v>
      </c>
      <c r="G337" s="272" t="n">
        <v>222300</v>
      </c>
    </row>
    <row r="338" ht="15.75" customHeight="1" s="248">
      <c r="A338" s="117" t="n">
        <v>330</v>
      </c>
      <c r="B338" s="117" t="inlineStr">
        <is>
          <t>2026/06/02 16:15</t>
        </is>
      </c>
      <c r="C338" s="117" t="inlineStr">
        <is>
          <t>NGUYỄN HỮU THANH</t>
        </is>
      </c>
      <c r="D338" s="117" t="inlineStr">
        <is>
          <t>22/10/1976</t>
        </is>
      </c>
      <c r="E338" s="117" t="inlineStr">
        <is>
          <t>Giường Ngoại khoa loại 3 - Khoa Chấn thương chỉnh hình</t>
        </is>
      </c>
      <c r="F338" s="272" t="n">
        <v>1</v>
      </c>
      <c r="G338" s="272" t="n">
        <v>269200</v>
      </c>
    </row>
    <row r="339" ht="15.75" customHeight="1" s="248">
      <c r="A339" s="117" t="n">
        <v>331</v>
      </c>
      <c r="B339" s="117" t="inlineStr">
        <is>
          <t>2026/06/02 23:59</t>
        </is>
      </c>
      <c r="C339" s="117" t="inlineStr">
        <is>
          <t>DƯƠNG VĂN CHIẾN</t>
        </is>
      </c>
      <c r="D339" s="117" t="inlineStr">
        <is>
          <t>01/01/1949</t>
        </is>
      </c>
      <c r="E339" s="117" t="inlineStr">
        <is>
          <t>Giường Ngoại khoa loại 3 - Khoa Chấn thương chỉnh hình</t>
        </is>
      </c>
      <c r="F339" s="272" t="n">
        <v>1</v>
      </c>
      <c r="G339" s="272" t="n">
        <v>269200</v>
      </c>
    </row>
    <row r="340" ht="15.75" customHeight="1" s="248">
      <c r="A340" s="117" t="n">
        <v>332</v>
      </c>
      <c r="B340" s="117" t="inlineStr">
        <is>
          <t>2026/06/03 00:00</t>
        </is>
      </c>
      <c r="C340" s="117" t="inlineStr">
        <is>
          <t>DƯƠNG VIỆT ĐA</t>
        </is>
      </c>
      <c r="D340" s="117" t="inlineStr">
        <is>
          <t>30/08/1986</t>
        </is>
      </c>
      <c r="E340" s="117" t="inlineStr">
        <is>
          <t>Giường Nội khoa loại 2 - Khoa Chấn thương chỉnh hình</t>
        </is>
      </c>
      <c r="F340" s="272" t="n">
        <v>1</v>
      </c>
      <c r="G340" s="272" t="n">
        <v>222300</v>
      </c>
    </row>
    <row r="341" ht="15.75" customHeight="1" s="248">
      <c r="A341" s="117" t="n">
        <v>333</v>
      </c>
      <c r="B341" s="117" t="inlineStr">
        <is>
          <t>2026/06/03 00:00</t>
        </is>
      </c>
      <c r="C341" s="117" t="inlineStr">
        <is>
          <t>HUỲNH THỊ HIỆP</t>
        </is>
      </c>
      <c r="D341" s="117" t="inlineStr">
        <is>
          <t>01/01/1969</t>
        </is>
      </c>
      <c r="E341" s="117" t="inlineStr">
        <is>
          <t>Giường Ngoại khoa loại 1 - Khoa Chấn thương chỉnh hình</t>
        </is>
      </c>
      <c r="F341" s="272" t="n">
        <v>1</v>
      </c>
      <c r="G341" s="272" t="n">
        <v>341800</v>
      </c>
    </row>
    <row r="342" ht="15.75" customHeight="1" s="248">
      <c r="A342" s="117" t="n">
        <v>334</v>
      </c>
      <c r="B342" s="117" t="inlineStr">
        <is>
          <t>2026/06/03 00:00</t>
        </is>
      </c>
      <c r="C342" s="117" t="inlineStr">
        <is>
          <t>KHUẤT HÙNG</t>
        </is>
      </c>
      <c r="D342" s="117" t="inlineStr">
        <is>
          <t>01/01/1948</t>
        </is>
      </c>
      <c r="E342" s="117" t="inlineStr">
        <is>
          <t>Giường Ngoại khoa loại 3 - Khoa Chấn thương chỉnh hình</t>
        </is>
      </c>
      <c r="F342" s="272" t="n">
        <v>1</v>
      </c>
      <c r="G342" s="272" t="n">
        <v>269200</v>
      </c>
    </row>
    <row r="343" ht="15.75" customHeight="1" s="248">
      <c r="A343" s="117" t="n">
        <v>335</v>
      </c>
      <c r="B343" s="117" t="inlineStr">
        <is>
          <t>2026/06/03 00:00</t>
        </is>
      </c>
      <c r="C343" s="117" t="inlineStr">
        <is>
          <t>LÊ THỊ NGỌC BÍCH</t>
        </is>
      </c>
      <c r="D343" s="117" t="inlineStr">
        <is>
          <t>01/01/1956</t>
        </is>
      </c>
      <c r="E343" s="117" t="inlineStr">
        <is>
          <t>Giường Nội khoa loại 2 - Khoa Chấn thương chỉnh hình</t>
        </is>
      </c>
      <c r="F343" s="272" t="n">
        <v>1</v>
      </c>
      <c r="G343" s="272" t="n">
        <v>222300</v>
      </c>
    </row>
    <row r="344" ht="15.75" customHeight="1" s="248">
      <c r="A344" s="117" t="n">
        <v>336</v>
      </c>
      <c r="B344" s="117" t="inlineStr">
        <is>
          <t>2026/06/03 00:00</t>
        </is>
      </c>
      <c r="C344" s="117" t="inlineStr">
        <is>
          <t>LÊ THỊ Y BÌNH</t>
        </is>
      </c>
      <c r="D344" s="117" t="inlineStr">
        <is>
          <t>06/08/1995</t>
        </is>
      </c>
      <c r="E344" s="117" t="inlineStr">
        <is>
          <t>Giường Nội khoa loại 2 - Khoa Chấn thương chỉnh hình</t>
        </is>
      </c>
      <c r="F344" s="272" t="n">
        <v>1</v>
      </c>
      <c r="G344" s="272" t="n">
        <v>222300</v>
      </c>
    </row>
    <row r="345" ht="15.75" customHeight="1" s="248">
      <c r="A345" s="117" t="n">
        <v>337</v>
      </c>
      <c r="B345" s="117" t="inlineStr">
        <is>
          <t>2026/06/03 00:00</t>
        </is>
      </c>
      <c r="C345" s="117" t="inlineStr">
        <is>
          <t>MAI HOÀNG PHÚ</t>
        </is>
      </c>
      <c r="D345" s="117" t="inlineStr">
        <is>
          <t>06/08/2016</t>
        </is>
      </c>
      <c r="E345" s="117" t="inlineStr">
        <is>
          <t>Giường Nội khoa loại 2 - Khoa Chấn thương chỉnh hình</t>
        </is>
      </c>
      <c r="F345" s="272" t="n">
        <v>1</v>
      </c>
      <c r="G345" s="272" t="n">
        <v>222300</v>
      </c>
    </row>
    <row r="346" ht="15.75" customHeight="1" s="248">
      <c r="A346" s="117" t="n">
        <v>338</v>
      </c>
      <c r="B346" s="117" t="inlineStr">
        <is>
          <t>2026/06/03 00:00</t>
        </is>
      </c>
      <c r="C346" s="117" t="inlineStr">
        <is>
          <t>NGUYỄN THỊ THỦY</t>
        </is>
      </c>
      <c r="D346" s="117" t="inlineStr">
        <is>
          <t>01/01/1963</t>
        </is>
      </c>
      <c r="E346" s="117" t="inlineStr">
        <is>
          <t>Giường Ngoại khoa loại 1 - Khoa Chấn thương chỉnh hình</t>
        </is>
      </c>
      <c r="F346" s="272" t="n">
        <v>1</v>
      </c>
      <c r="G346" s="272" t="n">
        <v>341800</v>
      </c>
    </row>
    <row r="347" ht="15.75" customHeight="1" s="248">
      <c r="A347" s="117" t="n">
        <v>339</v>
      </c>
      <c r="B347" s="117" t="inlineStr">
        <is>
          <t>2026/06/03 00:00</t>
        </is>
      </c>
      <c r="C347" s="117" t="inlineStr">
        <is>
          <t>NGUYỄN VĂN LUÔNG</t>
        </is>
      </c>
      <c r="D347" s="117" t="inlineStr">
        <is>
          <t>01/01/1972</t>
        </is>
      </c>
      <c r="E347" s="117" t="inlineStr">
        <is>
          <t>Giường Ngoại khoa loại 3 - Khoa Chấn thương chỉnh hình</t>
        </is>
      </c>
      <c r="F347" s="272" t="n">
        <v>1</v>
      </c>
      <c r="G347" s="272" t="n">
        <v>269200</v>
      </c>
    </row>
    <row r="348" ht="15.75" customHeight="1" s="248">
      <c r="A348" s="117" t="n">
        <v>340</v>
      </c>
      <c r="B348" s="117" t="inlineStr">
        <is>
          <t>2026/06/03 00:00</t>
        </is>
      </c>
      <c r="C348" s="117" t="inlineStr">
        <is>
          <t>NGUYỄN VĂN PHỤNG</t>
        </is>
      </c>
      <c r="D348" s="117" t="inlineStr">
        <is>
          <t>01/01/1938</t>
        </is>
      </c>
      <c r="E348" s="117" t="inlineStr">
        <is>
          <t>Giường Ngoại khoa loại 1 - Khoa Chấn thương chỉnh hình</t>
        </is>
      </c>
      <c r="F348" s="272" t="n">
        <v>1</v>
      </c>
      <c r="G348" s="272" t="n">
        <v>341800</v>
      </c>
    </row>
    <row r="349" ht="15.75" customHeight="1" s="248">
      <c r="A349" s="117" t="n">
        <v>341</v>
      </c>
      <c r="B349" s="117" t="inlineStr">
        <is>
          <t>2026/06/03 00:00</t>
        </is>
      </c>
      <c r="C349" s="117" t="inlineStr">
        <is>
          <t>PHAN TUẤN GIỚI</t>
        </is>
      </c>
      <c r="D349" s="117" t="inlineStr">
        <is>
          <t>15/02/1965</t>
        </is>
      </c>
      <c r="E349" s="117" t="inlineStr">
        <is>
          <t>Giường Ngoại khoa loại 1 - Khoa Chấn thương chỉnh hình</t>
        </is>
      </c>
      <c r="F349" s="272" t="n">
        <v>1</v>
      </c>
      <c r="G349" s="272" t="n">
        <v>341800</v>
      </c>
    </row>
    <row r="350" ht="15.75" customHeight="1" s="248">
      <c r="A350" s="117" t="n">
        <v>342</v>
      </c>
      <c r="B350" s="117" t="inlineStr">
        <is>
          <t>2026/06/03 00:00</t>
        </is>
      </c>
      <c r="C350" s="117" t="inlineStr">
        <is>
          <t>PHẠM THỊ HỒNG GẤM</t>
        </is>
      </c>
      <c r="D350" s="117" t="inlineStr">
        <is>
          <t>01/01/1979</t>
        </is>
      </c>
      <c r="E350" s="117" t="inlineStr">
        <is>
          <t>Giường Ngoại khoa loại 1 - Khoa Chấn thương chỉnh hình</t>
        </is>
      </c>
      <c r="F350" s="272" t="n">
        <v>1</v>
      </c>
      <c r="G350" s="272" t="n">
        <v>341800</v>
      </c>
    </row>
    <row r="351" ht="15.75" customHeight="1" s="248">
      <c r="A351" s="117" t="n">
        <v>343</v>
      </c>
      <c r="B351" s="117" t="inlineStr">
        <is>
          <t>2026/06/03 00:00</t>
        </is>
      </c>
      <c r="C351" s="117" t="inlineStr">
        <is>
          <t>TRẦN VĂN XIÊN</t>
        </is>
      </c>
      <c r="D351" s="117" t="inlineStr">
        <is>
          <t>01/01/1964</t>
        </is>
      </c>
      <c r="E351" s="117" t="inlineStr">
        <is>
          <t>Giường Ngoại khoa loại 3 - Khoa Chấn thương chỉnh hình</t>
        </is>
      </c>
      <c r="F351" s="272" t="n">
        <v>1</v>
      </c>
      <c r="G351" s="272" t="n">
        <v>269200</v>
      </c>
    </row>
    <row r="352" ht="15.75" customHeight="1" s="248">
      <c r="A352" s="117" t="n">
        <v>344</v>
      </c>
      <c r="B352" s="117" t="inlineStr">
        <is>
          <t>2026/06/03 00:00</t>
        </is>
      </c>
      <c r="C352" s="117" t="inlineStr">
        <is>
          <t>UNG HUỲNH TÂM</t>
        </is>
      </c>
      <c r="D352" s="117" t="inlineStr">
        <is>
          <t>15/05/1984</t>
        </is>
      </c>
      <c r="E352" s="117" t="inlineStr">
        <is>
          <t>Giường Ngoại khoa loại 3 - Khoa Chấn thương chỉnh hình</t>
        </is>
      </c>
      <c r="F352" s="272" t="n">
        <v>1</v>
      </c>
      <c r="G352" s="272" t="n">
        <v>269200</v>
      </c>
    </row>
    <row r="353" ht="15.75" customHeight="1" s="248">
      <c r="A353" s="117" t="n">
        <v>345</v>
      </c>
      <c r="B353" s="117" t="inlineStr">
        <is>
          <t>2026/06/03 00:00</t>
        </is>
      </c>
      <c r="C353" s="117" t="inlineStr">
        <is>
          <t>VÕ THỊ KIẾU</t>
        </is>
      </c>
      <c r="D353" s="117" t="inlineStr">
        <is>
          <t>01/01/1955</t>
        </is>
      </c>
      <c r="E353" s="117" t="inlineStr">
        <is>
          <t>Giường Nội khoa loại 2 - Khoa Chấn thương chỉnh hình</t>
        </is>
      </c>
      <c r="F353" s="272" t="n">
        <v>1</v>
      </c>
      <c r="G353" s="272" t="n">
        <v>222300</v>
      </c>
    </row>
    <row r="354" ht="15.75" customHeight="1" s="248">
      <c r="A354" s="117" t="n">
        <v>346</v>
      </c>
      <c r="B354" s="117" t="inlineStr">
        <is>
          <t>2026/06/03 00:00</t>
        </is>
      </c>
      <c r="C354" s="117" t="inlineStr">
        <is>
          <t>VÕ TẤN HƯNG</t>
        </is>
      </c>
      <c r="D354" s="117" t="inlineStr">
        <is>
          <t>19/09/1963</t>
        </is>
      </c>
      <c r="E354" s="117" t="inlineStr">
        <is>
          <t>Giường Nội khoa loại 2 - Khoa Chấn thương chỉnh hình</t>
        </is>
      </c>
      <c r="F354" s="272" t="n">
        <v>1</v>
      </c>
      <c r="G354" s="272" t="n">
        <v>222300</v>
      </c>
    </row>
    <row r="355" ht="15.75" customHeight="1" s="248">
      <c r="A355" s="117" t="n">
        <v>347</v>
      </c>
      <c r="B355" s="117" t="inlineStr">
        <is>
          <t>2026/06/03 00:00</t>
        </is>
      </c>
      <c r="C355" s="117" t="inlineStr">
        <is>
          <t>VŨ THÀNH ĐẠT</t>
        </is>
      </c>
      <c r="D355" s="117" t="inlineStr">
        <is>
          <t>01/02/1955</t>
        </is>
      </c>
      <c r="E355" s="117" t="inlineStr">
        <is>
          <t>Giường Nội khoa loại 2 - Khoa Chấn thương chỉnh hình</t>
        </is>
      </c>
      <c r="F355" s="272" t="n">
        <v>1</v>
      </c>
      <c r="G355" s="272" t="n">
        <v>222300</v>
      </c>
    </row>
    <row r="356" ht="15.75" customHeight="1" s="248">
      <c r="A356" s="117" t="n">
        <v>348</v>
      </c>
      <c r="B356" s="117" t="inlineStr">
        <is>
          <t>2026/06/03 00:00</t>
        </is>
      </c>
      <c r="C356" s="117" t="inlineStr">
        <is>
          <t>MAI THÀNH DƯƠNG</t>
        </is>
      </c>
      <c r="D356" s="117" t="inlineStr">
        <is>
          <t>10/04/1964</t>
        </is>
      </c>
      <c r="E356" s="117" t="inlineStr">
        <is>
          <t>Giường Ngoại khoa loại 3 - Khoa Chấn thương chỉnh hình</t>
        </is>
      </c>
      <c r="F356" s="272" t="n">
        <v>1</v>
      </c>
      <c r="G356" s="272" t="n">
        <v>269200</v>
      </c>
    </row>
    <row r="357" ht="15.75" customHeight="1" s="248">
      <c r="A357" s="117" t="n">
        <v>349</v>
      </c>
      <c r="B357" s="117" t="inlineStr">
        <is>
          <t>2026/06/03 00:00</t>
        </is>
      </c>
      <c r="C357" s="117" t="inlineStr">
        <is>
          <t>NGUYỄN HOÀNG VIỆT TRINH</t>
        </is>
      </c>
      <c r="D357" s="117" t="inlineStr">
        <is>
          <t>16/04/1999</t>
        </is>
      </c>
      <c r="E357" s="117" t="inlineStr">
        <is>
          <t>Giường Ngoại khoa loại 1 - Khoa Chấn thương chỉnh hình</t>
        </is>
      </c>
      <c r="F357" s="272" t="n">
        <v>1</v>
      </c>
      <c r="G357" s="272" t="n">
        <v>341800</v>
      </c>
    </row>
    <row r="358" ht="15.75" customHeight="1" s="248">
      <c r="A358" s="117" t="n">
        <v>350</v>
      </c>
      <c r="B358" s="117" t="inlineStr">
        <is>
          <t>2026/06/03 00:00</t>
        </is>
      </c>
      <c r="C358" s="117" t="inlineStr">
        <is>
          <t>NGUYỄN THỊ CHUỐI</t>
        </is>
      </c>
      <c r="D358" s="117" t="inlineStr">
        <is>
          <t>06/08/1952</t>
        </is>
      </c>
      <c r="E358" s="117" t="inlineStr">
        <is>
          <t>Giường Nội khoa loại 2 - Khoa Chấn thương chỉnh hình</t>
        </is>
      </c>
      <c r="F358" s="272" t="n">
        <v>1</v>
      </c>
      <c r="G358" s="272" t="n">
        <v>222300</v>
      </c>
    </row>
    <row r="359" ht="15.75" customHeight="1" s="248">
      <c r="A359" s="117" t="n">
        <v>351</v>
      </c>
      <c r="B359" s="117" t="inlineStr">
        <is>
          <t>2026/06/03 00:00</t>
        </is>
      </c>
      <c r="C359" s="117" t="inlineStr">
        <is>
          <t>NGUYỄN THỊ XUA</t>
        </is>
      </c>
      <c r="D359" s="117" t="inlineStr">
        <is>
          <t>01/01/1938</t>
        </is>
      </c>
      <c r="E359" s="117" t="inlineStr">
        <is>
          <t>Giường Ngoại khoa loại 1 - Khoa Chấn thương chỉnh hình</t>
        </is>
      </c>
      <c r="F359" s="272" t="n">
        <v>1</v>
      </c>
      <c r="G359" s="272" t="n">
        <v>341800</v>
      </c>
    </row>
    <row r="360" ht="15.75" customHeight="1" s="248">
      <c r="A360" s="117" t="n">
        <v>352</v>
      </c>
      <c r="B360" s="117" t="inlineStr">
        <is>
          <t>2026/06/03 00:00</t>
        </is>
      </c>
      <c r="C360" s="117" t="inlineStr">
        <is>
          <t>PHẠM THỊ HOA</t>
        </is>
      </c>
      <c r="D360" s="117" t="inlineStr">
        <is>
          <t>01/01/1946</t>
        </is>
      </c>
      <c r="E360" s="117" t="inlineStr">
        <is>
          <t>Giường Ngoại khoa loại 2 - Khoa Chấn thương chỉnh hình</t>
        </is>
      </c>
      <c r="F360" s="272" t="n">
        <v>1</v>
      </c>
      <c r="G360" s="272" t="n">
        <v>301600</v>
      </c>
    </row>
    <row r="361" ht="15.75" customHeight="1" s="248">
      <c r="A361" s="117" t="n">
        <v>353</v>
      </c>
      <c r="B361" s="117" t="inlineStr">
        <is>
          <t>2026/06/03 00:00</t>
        </is>
      </c>
      <c r="C361" s="117" t="inlineStr">
        <is>
          <t>TRẦN VĂN LÂM</t>
        </is>
      </c>
      <c r="D361" s="117" t="inlineStr">
        <is>
          <t>27/09/1964</t>
        </is>
      </c>
      <c r="E361" s="117" t="inlineStr">
        <is>
          <t>Giường Ngoại khoa loại 1 - Khoa Chấn thương chỉnh hình</t>
        </is>
      </c>
      <c r="F361" s="272" t="n">
        <v>1</v>
      </c>
      <c r="G361" s="272" t="n">
        <v>341800</v>
      </c>
    </row>
    <row r="362" ht="15.75" customHeight="1" s="248">
      <c r="A362" s="117" t="n">
        <v>354</v>
      </c>
      <c r="B362" s="117" t="inlineStr">
        <is>
          <t>2026/06/03 00:00</t>
        </is>
      </c>
      <c r="C362" s="117" t="inlineStr">
        <is>
          <t>VÕ THỊ HỒNG LIÊN</t>
        </is>
      </c>
      <c r="D362" s="117" t="inlineStr">
        <is>
          <t>16/12/1948</t>
        </is>
      </c>
      <c r="E362" s="117" t="inlineStr">
        <is>
          <t>Giường Nội khoa loại 2 - Khoa Chấn thương chỉnh hình</t>
        </is>
      </c>
      <c r="F362" s="272" t="n">
        <v>1</v>
      </c>
      <c r="G362" s="272" t="n">
        <v>222300</v>
      </c>
    </row>
    <row r="363" ht="15.75" customHeight="1" s="248">
      <c r="A363" s="117" t="n">
        <v>355</v>
      </c>
      <c r="B363" s="117" t="inlineStr">
        <is>
          <t>2026/06/03 07:24</t>
        </is>
      </c>
      <c r="C363" s="117" t="inlineStr">
        <is>
          <t>VŨ BÉ TƯ</t>
        </is>
      </c>
      <c r="D363" s="117" t="inlineStr">
        <is>
          <t>29/06/1988</t>
        </is>
      </c>
      <c r="E363" s="117" t="inlineStr">
        <is>
          <t>Giường Nội khoa loại 2 - Khoa Chấn thương chỉnh hình</t>
        </is>
      </c>
      <c r="F363" s="272" t="n">
        <v>1</v>
      </c>
      <c r="G363" s="272" t="n">
        <v>222300</v>
      </c>
    </row>
    <row r="364" ht="15.75" customHeight="1" s="248">
      <c r="A364" s="117" t="n">
        <v>356</v>
      </c>
      <c r="B364" s="117" t="inlineStr">
        <is>
          <t>2026/06/03 09:05</t>
        </is>
      </c>
      <c r="C364" s="117" t="inlineStr">
        <is>
          <t>NGUYỄN THỊ NGÂN</t>
        </is>
      </c>
      <c r="D364" s="117" t="inlineStr">
        <is>
          <t>01/01/1954</t>
        </is>
      </c>
      <c r="E364" s="117" t="inlineStr">
        <is>
          <t>Giường Ngoại khoa loại 3 - Khoa Chấn thương chỉnh hình</t>
        </is>
      </c>
      <c r="F364" s="272" t="n">
        <v>1</v>
      </c>
      <c r="G364" s="272" t="n">
        <v>269200</v>
      </c>
    </row>
    <row r="365" ht="15.75" customHeight="1" s="248">
      <c r="A365" s="117" t="n">
        <v>357</v>
      </c>
      <c r="B365" s="117" t="inlineStr">
        <is>
          <t>2026/06/03 09:34</t>
        </is>
      </c>
      <c r="C365" s="117" t="inlineStr">
        <is>
          <t>VÕ THỊ TĨNH</t>
        </is>
      </c>
      <c r="D365" s="117" t="inlineStr">
        <is>
          <t>01/01/1962</t>
        </is>
      </c>
      <c r="E365" s="117" t="inlineStr">
        <is>
          <t>Giường Ngoại khoa loại 2 - Khoa Chấn thương chỉnh hình</t>
        </is>
      </c>
      <c r="F365" s="272" t="n">
        <v>1</v>
      </c>
      <c r="G365" s="272" t="n">
        <v>301600</v>
      </c>
    </row>
    <row r="366" ht="15.75" customHeight="1" s="248">
      <c r="A366" s="117" t="n">
        <v>358</v>
      </c>
      <c r="B366" s="117" t="inlineStr">
        <is>
          <t>2026/06/03 13:30</t>
        </is>
      </c>
      <c r="C366" s="117" t="inlineStr">
        <is>
          <t>BÙI THỊ ĐƯỢM</t>
        </is>
      </c>
      <c r="D366" s="117" t="inlineStr">
        <is>
          <t>01/01/1960</t>
        </is>
      </c>
      <c r="E366" s="117" t="inlineStr">
        <is>
          <t>Giường Nội khoa loại 2 - Khoa Chấn thương chỉnh hình</t>
        </is>
      </c>
      <c r="F366" s="272" t="n">
        <v>1</v>
      </c>
      <c r="G366" s="272" t="n">
        <v>222300</v>
      </c>
    </row>
    <row r="367" ht="15.75" customHeight="1" s="248">
      <c r="A367" s="117" t="n">
        <v>359</v>
      </c>
      <c r="B367" s="117" t="inlineStr">
        <is>
          <t>2026/06/03 14:00</t>
        </is>
      </c>
      <c r="C367" s="117" t="inlineStr">
        <is>
          <t>LƯƠNG THỊ PHƯỢNG</t>
        </is>
      </c>
      <c r="D367" s="117" t="inlineStr">
        <is>
          <t>13/07/1965</t>
        </is>
      </c>
      <c r="E367" s="117" t="inlineStr">
        <is>
          <t>Giường Ngoại khoa loại 4 - Khoa Chấn thương chỉnh hình</t>
        </is>
      </c>
      <c r="F367" s="272" t="n">
        <v>1</v>
      </c>
      <c r="G367" s="272" t="n">
        <v>229200</v>
      </c>
    </row>
    <row r="368" ht="15.75" customHeight="1" s="248">
      <c r="A368" s="117" t="n">
        <v>360</v>
      </c>
      <c r="B368" s="117" t="inlineStr">
        <is>
          <t>2026/06/03 14:13</t>
        </is>
      </c>
      <c r="C368" s="117" t="inlineStr">
        <is>
          <t>PHẠM THỊ HOA</t>
        </is>
      </c>
      <c r="D368" s="117" t="inlineStr">
        <is>
          <t>01/01/1946</t>
        </is>
      </c>
      <c r="E368" s="117" t="inlineStr">
        <is>
          <t>Giường Ngoại khoa loại 2 - Khoa Chấn thương chỉnh hình</t>
        </is>
      </c>
      <c r="F368" s="272" t="n">
        <v>1</v>
      </c>
      <c r="G368" s="272" t="n">
        <v>301600</v>
      </c>
    </row>
    <row r="369" ht="15.75" customHeight="1" s="248">
      <c r="A369" s="117" t="n">
        <v>361</v>
      </c>
      <c r="B369" s="117" t="inlineStr">
        <is>
          <t>2026/06/03 14:39</t>
        </is>
      </c>
      <c r="C369" s="117" t="inlineStr">
        <is>
          <t>PHAN HUỲNH BẢO TRÂN</t>
        </is>
      </c>
      <c r="D369" s="117" t="inlineStr">
        <is>
          <t>15/12/2009</t>
        </is>
      </c>
      <c r="E369" s="117" t="inlineStr">
        <is>
          <t>Giường Nội khoa loại 2 - Khoa Chấn thương chỉnh hình</t>
        </is>
      </c>
      <c r="F369" s="272" t="n">
        <v>1</v>
      </c>
      <c r="G369" s="272" t="n">
        <v>222300</v>
      </c>
    </row>
    <row r="370" ht="15.75" customHeight="1" s="248">
      <c r="A370" s="117" t="n">
        <v>362</v>
      </c>
      <c r="B370" s="117" t="inlineStr">
        <is>
          <t>2026/06/03 15:30</t>
        </is>
      </c>
      <c r="C370" s="117" t="inlineStr">
        <is>
          <t>VÕ KIM ANH</t>
        </is>
      </c>
      <c r="D370" s="117" t="inlineStr">
        <is>
          <t>31/12/1939</t>
        </is>
      </c>
      <c r="E370" s="117" t="inlineStr">
        <is>
          <t>Giường Nội khoa loại 2 - Khoa Chấn thương chỉnh hình</t>
        </is>
      </c>
      <c r="F370" s="272" t="n">
        <v>1</v>
      </c>
      <c r="G370" s="272" t="n">
        <v>222300</v>
      </c>
    </row>
    <row r="371" ht="15.75" customHeight="1" s="248">
      <c r="A371" s="117" t="n">
        <v>363</v>
      </c>
      <c r="B371" s="117" t="inlineStr">
        <is>
          <t>2026/06/03 16:15</t>
        </is>
      </c>
      <c r="C371" s="117" t="inlineStr">
        <is>
          <t>TRẦN THIỆN BỔN</t>
        </is>
      </c>
      <c r="D371" s="117" t="inlineStr">
        <is>
          <t>10/12/1964</t>
        </is>
      </c>
      <c r="E371" s="117" t="inlineStr">
        <is>
          <t>Giường Ngoại khoa loại 3 - Khoa Chấn thương chỉnh hình</t>
        </is>
      </c>
      <c r="F371" s="272" t="n">
        <v>1</v>
      </c>
      <c r="G371" s="272" t="n">
        <v>269200</v>
      </c>
    </row>
    <row r="372" ht="15.75" customHeight="1" s="248">
      <c r="A372" s="117" t="n">
        <v>364</v>
      </c>
      <c r="B372" s="117" t="inlineStr">
        <is>
          <t>2026/06/03 19:00</t>
        </is>
      </c>
      <c r="C372" s="117" t="inlineStr">
        <is>
          <t>NGUYỄN VĂN CẤP</t>
        </is>
      </c>
      <c r="D372" s="117" t="inlineStr">
        <is>
          <t>01/01/1957</t>
        </is>
      </c>
      <c r="E372" s="117" t="inlineStr">
        <is>
          <t>Giường Ngoại khoa loại 1 - Khoa Chấn thương chỉnh hình</t>
        </is>
      </c>
      <c r="F372" s="272" t="n">
        <v>1</v>
      </c>
      <c r="G372" s="272" t="n">
        <v>341800</v>
      </c>
    </row>
    <row r="373" ht="15.75" customHeight="1" s="248">
      <c r="A373" s="117" t="n">
        <v>365</v>
      </c>
      <c r="B373" s="117" t="inlineStr">
        <is>
          <t>2026/06/03 23:59</t>
        </is>
      </c>
      <c r="C373" s="117" t="inlineStr">
        <is>
          <t>DƯƠNG VĂN CHIẾN</t>
        </is>
      </c>
      <c r="D373" s="117" t="inlineStr">
        <is>
          <t>01/01/1949</t>
        </is>
      </c>
      <c r="E373" s="117" t="inlineStr">
        <is>
          <t>Giường Ngoại khoa loại 3 - Khoa Chấn thương chỉnh hình</t>
        </is>
      </c>
      <c r="F373" s="272" t="n">
        <v>1</v>
      </c>
      <c r="G373" s="272" t="n">
        <v>269200</v>
      </c>
    </row>
    <row r="374" ht="15.75" customHeight="1" s="248">
      <c r="A374" s="117" t="n">
        <v>366</v>
      </c>
      <c r="B374" s="117" t="inlineStr">
        <is>
          <t>2026/06/04 00:00</t>
        </is>
      </c>
      <c r="C374" s="117" t="inlineStr">
        <is>
          <t>BÙI THỊ ĐƯỢM</t>
        </is>
      </c>
      <c r="D374" s="117" t="inlineStr">
        <is>
          <t>01/01/1960</t>
        </is>
      </c>
      <c r="E374" s="117" t="inlineStr">
        <is>
          <t>Giường Nội khoa loại 2 - Khoa Chấn thương chỉnh hình</t>
        </is>
      </c>
      <c r="F374" s="272" t="n">
        <v>1</v>
      </c>
      <c r="G374" s="272" t="n">
        <v>222300</v>
      </c>
    </row>
    <row r="375" ht="15.75" customHeight="1" s="248">
      <c r="A375" s="117" t="n">
        <v>367</v>
      </c>
      <c r="B375" s="117" t="inlineStr">
        <is>
          <t>2026/06/04 00:00</t>
        </is>
      </c>
      <c r="C375" s="117" t="inlineStr">
        <is>
          <t>KHUẤT HÙNG</t>
        </is>
      </c>
      <c r="D375" s="117" t="inlineStr">
        <is>
          <t>01/01/1948</t>
        </is>
      </c>
      <c r="E375" s="117" t="inlineStr">
        <is>
          <t>Giường Ngoại khoa loại 3 - Khoa Chấn thương chỉnh hình</t>
        </is>
      </c>
      <c r="F375" s="272" t="n">
        <v>1</v>
      </c>
      <c r="G375" s="272" t="n">
        <v>269200</v>
      </c>
    </row>
    <row r="376" ht="15.75" customHeight="1" s="248">
      <c r="A376" s="117" t="n">
        <v>368</v>
      </c>
      <c r="B376" s="117" t="inlineStr">
        <is>
          <t>2026/06/04 00:00</t>
        </is>
      </c>
      <c r="C376" s="117" t="inlineStr">
        <is>
          <t>LÊ THỊ NGỌC BÍCH</t>
        </is>
      </c>
      <c r="D376" s="117" t="inlineStr">
        <is>
          <t>01/01/1956</t>
        </is>
      </c>
      <c r="E376" s="117" t="inlineStr">
        <is>
          <t>Giường Nội khoa loại 2 - Khoa Chấn thương chỉnh hình</t>
        </is>
      </c>
      <c r="F376" s="272" t="n">
        <v>1</v>
      </c>
      <c r="G376" s="272" t="n">
        <v>222300</v>
      </c>
    </row>
    <row r="377" ht="15.75" customHeight="1" s="248">
      <c r="A377" s="117" t="n">
        <v>369</v>
      </c>
      <c r="B377" s="117" t="inlineStr">
        <is>
          <t>2026/06/04 00:00</t>
        </is>
      </c>
      <c r="C377" s="117" t="inlineStr">
        <is>
          <t>LƯƠNG THỊ PHƯỢNG</t>
        </is>
      </c>
      <c r="D377" s="117" t="inlineStr">
        <is>
          <t>13/07/1965</t>
        </is>
      </c>
      <c r="E377" s="117" t="inlineStr">
        <is>
          <t>Giường Ngoại khoa loại 4 - Khoa Chấn thương chỉnh hình</t>
        </is>
      </c>
      <c r="F377" s="272" t="n">
        <v>1</v>
      </c>
      <c r="G377" s="272" t="n">
        <v>229200</v>
      </c>
    </row>
    <row r="378" ht="15.75" customHeight="1" s="248">
      <c r="A378" s="117" t="n">
        <v>370</v>
      </c>
      <c r="B378" s="117" t="inlineStr">
        <is>
          <t>2026/06/04 00:00</t>
        </is>
      </c>
      <c r="C378" s="117" t="inlineStr">
        <is>
          <t>NGUYỄN THỊ CHUỐI</t>
        </is>
      </c>
      <c r="D378" s="117" t="inlineStr">
        <is>
          <t>06/08/1952</t>
        </is>
      </c>
      <c r="E378" s="117" t="inlineStr">
        <is>
          <t>Giường Nội khoa loại 2 - Khoa Chấn thương chỉnh hình</t>
        </is>
      </c>
      <c r="F378" s="272" t="n">
        <v>1</v>
      </c>
      <c r="G378" s="272" t="n">
        <v>222300</v>
      </c>
    </row>
    <row r="379" ht="15.75" customHeight="1" s="248">
      <c r="A379" s="117" t="n">
        <v>371</v>
      </c>
      <c r="B379" s="117" t="inlineStr">
        <is>
          <t>2026/06/04 00:00</t>
        </is>
      </c>
      <c r="C379" s="117" t="inlineStr">
        <is>
          <t>NGUYỄN THỊ KIỀU OANH</t>
        </is>
      </c>
      <c r="D379" s="117" t="inlineStr">
        <is>
          <t>10/11/1967</t>
        </is>
      </c>
      <c r="E379" s="117" t="inlineStr">
        <is>
          <t>Giường Ngoại khoa loại 3 - Khoa Chấn thương chỉnh hình</t>
        </is>
      </c>
      <c r="F379" s="272" t="n">
        <v>1</v>
      </c>
      <c r="G379" s="272" t="n">
        <v>269200</v>
      </c>
    </row>
    <row r="380" ht="15.75" customHeight="1" s="248">
      <c r="A380" s="117" t="n">
        <v>372</v>
      </c>
      <c r="B380" s="117" t="inlineStr">
        <is>
          <t>2026/06/04 00:00</t>
        </is>
      </c>
      <c r="C380" s="117" t="inlineStr">
        <is>
          <t>NGUYỄN THỊ THỦY</t>
        </is>
      </c>
      <c r="D380" s="117" t="inlineStr">
        <is>
          <t>01/01/1963</t>
        </is>
      </c>
      <c r="E380" s="117" t="inlineStr">
        <is>
          <t>Giường Ngoại khoa loại 1 - Khoa Chấn thương chỉnh hình</t>
        </is>
      </c>
      <c r="F380" s="272" t="n">
        <v>1</v>
      </c>
      <c r="G380" s="272" t="n">
        <v>341800</v>
      </c>
    </row>
    <row r="381" ht="15.75" customHeight="1" s="248">
      <c r="A381" s="117" t="n">
        <v>373</v>
      </c>
      <c r="B381" s="117" t="inlineStr">
        <is>
          <t>2026/06/04 00:00</t>
        </is>
      </c>
      <c r="C381" s="117" t="inlineStr">
        <is>
          <t>NGUYỄN VĂN CẤP</t>
        </is>
      </c>
      <c r="D381" s="117" t="inlineStr">
        <is>
          <t>01/01/1957</t>
        </is>
      </c>
      <c r="E381" s="117" t="inlineStr">
        <is>
          <t>Giường Ngoại khoa loại 1 - Khoa Chấn thương chỉnh hình</t>
        </is>
      </c>
      <c r="F381" s="272" t="n">
        <v>1</v>
      </c>
      <c r="G381" s="272" t="n">
        <v>341800</v>
      </c>
    </row>
    <row r="382" ht="15.75" customHeight="1" s="248">
      <c r="A382" s="117" t="n">
        <v>374</v>
      </c>
      <c r="B382" s="117" t="inlineStr">
        <is>
          <t>2026/06/04 00:00</t>
        </is>
      </c>
      <c r="C382" s="117" t="inlineStr">
        <is>
          <t>NGUYỄN VĂN LUÔNG</t>
        </is>
      </c>
      <c r="D382" s="117" t="inlineStr">
        <is>
          <t>01/01/1972</t>
        </is>
      </c>
      <c r="E382" s="117" t="inlineStr">
        <is>
          <t>Giường Ngoại khoa loại 3 - Khoa Chấn thương chỉnh hình</t>
        </is>
      </c>
      <c r="F382" s="272" t="n">
        <v>1</v>
      </c>
      <c r="G382" s="272" t="n">
        <v>269200</v>
      </c>
    </row>
    <row r="383" ht="15.75" customHeight="1" s="248">
      <c r="A383" s="117" t="n">
        <v>375</v>
      </c>
      <c r="B383" s="117" t="inlineStr">
        <is>
          <t>2026/06/04 00:00</t>
        </is>
      </c>
      <c r="C383" s="117" t="inlineStr">
        <is>
          <t>NGUYỄN VĂN PHỤNG</t>
        </is>
      </c>
      <c r="D383" s="117" t="inlineStr">
        <is>
          <t>01/01/1938</t>
        </is>
      </c>
      <c r="E383" s="117" t="inlineStr">
        <is>
          <t>Giường Ngoại khoa loại 1 - Khoa Chấn thương chỉnh hình</t>
        </is>
      </c>
      <c r="F383" s="272" t="n">
        <v>1</v>
      </c>
      <c r="G383" s="272" t="n">
        <v>341800</v>
      </c>
    </row>
    <row r="384" ht="15.75" customHeight="1" s="248">
      <c r="A384" s="117" t="n">
        <v>376</v>
      </c>
      <c r="B384" s="117" t="inlineStr">
        <is>
          <t>2026/06/04 00:00</t>
        </is>
      </c>
      <c r="C384" s="117" t="inlineStr">
        <is>
          <t>PHAN HUỲNH BẢO TRÂN</t>
        </is>
      </c>
      <c r="D384" s="117" t="inlineStr">
        <is>
          <t>15/12/2009</t>
        </is>
      </c>
      <c r="E384" s="117" t="inlineStr">
        <is>
          <t>Giường Ngoại khoa loại 3 - Khoa Chấn thương chỉnh hình</t>
        </is>
      </c>
      <c r="F384" s="272" t="n">
        <v>1</v>
      </c>
      <c r="G384" s="272" t="n">
        <v>269200</v>
      </c>
    </row>
    <row r="385" ht="15.75" customHeight="1" s="248">
      <c r="A385" s="117" t="n">
        <v>377</v>
      </c>
      <c r="B385" s="117" t="inlineStr">
        <is>
          <t>2026/06/04 00:00</t>
        </is>
      </c>
      <c r="C385" s="117" t="inlineStr">
        <is>
          <t>PHAN TUẤN GIỚI</t>
        </is>
      </c>
      <c r="D385" s="117" t="inlineStr">
        <is>
          <t>15/02/1965</t>
        </is>
      </c>
      <c r="E385" s="117" t="inlineStr">
        <is>
          <t>Giường Ngoại khoa loại 1 - Khoa Chấn thương chỉnh hình</t>
        </is>
      </c>
      <c r="F385" s="272" t="n">
        <v>1</v>
      </c>
      <c r="G385" s="272" t="n">
        <v>341800</v>
      </c>
    </row>
    <row r="386" ht="15.75" customHeight="1" s="248">
      <c r="A386" s="117" t="n">
        <v>378</v>
      </c>
      <c r="B386" s="117" t="inlineStr">
        <is>
          <t>2026/06/04 00:00</t>
        </is>
      </c>
      <c r="C386" s="117" t="inlineStr">
        <is>
          <t>PHẠM THỊ HỒNG GẤM</t>
        </is>
      </c>
      <c r="D386" s="117" t="inlineStr">
        <is>
          <t>01/01/1979</t>
        </is>
      </c>
      <c r="E386" s="117" t="inlineStr">
        <is>
          <t>Giường Ngoại khoa loại 1 - Khoa Chấn thương chỉnh hình</t>
        </is>
      </c>
      <c r="F386" s="272" t="n">
        <v>1</v>
      </c>
      <c r="G386" s="272" t="n">
        <v>341800</v>
      </c>
    </row>
    <row r="387" ht="15.75" customHeight="1" s="248">
      <c r="A387" s="117" t="n">
        <v>379</v>
      </c>
      <c r="B387" s="117" t="inlineStr">
        <is>
          <t>2026/06/04 00:00</t>
        </is>
      </c>
      <c r="C387" s="117" t="inlineStr">
        <is>
          <t>UNG HUỲNH TÂM</t>
        </is>
      </c>
      <c r="D387" s="117" t="inlineStr">
        <is>
          <t>15/05/1984</t>
        </is>
      </c>
      <c r="E387" s="117" t="inlineStr">
        <is>
          <t>Giường Ngoại khoa loại 3 - Khoa Chấn thương chỉnh hình</t>
        </is>
      </c>
      <c r="F387" s="272" t="n">
        <v>1</v>
      </c>
      <c r="G387" s="272" t="n">
        <v>269200</v>
      </c>
    </row>
    <row r="388" ht="15.75" customHeight="1" s="248">
      <c r="A388" s="117" t="n">
        <v>380</v>
      </c>
      <c r="B388" s="117" t="inlineStr">
        <is>
          <t>2026/06/04 00:00</t>
        </is>
      </c>
      <c r="C388" s="117" t="inlineStr">
        <is>
          <t>VÕ THỊ KIẾU</t>
        </is>
      </c>
      <c r="D388" s="117" t="inlineStr">
        <is>
          <t>01/01/1955</t>
        </is>
      </c>
      <c r="E388" s="117" t="inlineStr">
        <is>
          <t>Giường Nội khoa loại 2 - Khoa Chấn thương chỉnh hình</t>
        </is>
      </c>
      <c r="F388" s="272" t="n">
        <v>1</v>
      </c>
      <c r="G388" s="272" t="n">
        <v>222300</v>
      </c>
    </row>
    <row r="389" ht="15.75" customHeight="1" s="248">
      <c r="A389" s="117" t="n">
        <v>381</v>
      </c>
      <c r="B389" s="117" t="inlineStr">
        <is>
          <t>2026/06/04 00:00</t>
        </is>
      </c>
      <c r="C389" s="117" t="inlineStr">
        <is>
          <t>VÕ TẤN HƯNG</t>
        </is>
      </c>
      <c r="D389" s="117" t="inlineStr">
        <is>
          <t>19/09/1963</t>
        </is>
      </c>
      <c r="E389" s="117" t="inlineStr">
        <is>
          <t>Giường Nội khoa loại 2 - Khoa Chấn thương chỉnh hình</t>
        </is>
      </c>
      <c r="F389" s="272" t="n">
        <v>1</v>
      </c>
      <c r="G389" s="272" t="n">
        <v>222300</v>
      </c>
    </row>
    <row r="390" ht="15.75" customHeight="1" s="248">
      <c r="A390" s="117" t="n">
        <v>382</v>
      </c>
      <c r="B390" s="117" t="inlineStr">
        <is>
          <t>2026/06/04 00:00</t>
        </is>
      </c>
      <c r="C390" s="117" t="inlineStr">
        <is>
          <t>VŨ THÀNH ĐẠT</t>
        </is>
      </c>
      <c r="D390" s="117" t="inlineStr">
        <is>
          <t>01/02/1955</t>
        </is>
      </c>
      <c r="E390" s="117" t="inlineStr">
        <is>
          <t>Giường Nội khoa loại 2 - Khoa Chấn thương chỉnh hình</t>
        </is>
      </c>
      <c r="F390" s="272" t="n">
        <v>1</v>
      </c>
      <c r="G390" s="272" t="n">
        <v>222300</v>
      </c>
    </row>
    <row r="391" ht="15.75" customHeight="1" s="248">
      <c r="A391" s="117" t="n">
        <v>383</v>
      </c>
      <c r="B391" s="117" t="inlineStr">
        <is>
          <t>2026/06/04 00:00</t>
        </is>
      </c>
      <c r="C391" s="117" t="inlineStr">
        <is>
          <t>HUỲNH THANH HÙNG</t>
        </is>
      </c>
      <c r="D391" s="117" t="inlineStr">
        <is>
          <t>01/01/1945</t>
        </is>
      </c>
      <c r="E391" s="117" t="inlineStr">
        <is>
          <t>Giường Ngoại khoa loại 1 - Khoa Chấn thương chỉnh hình</t>
        </is>
      </c>
      <c r="F391" s="272" t="n">
        <v>1</v>
      </c>
      <c r="G391" s="272" t="n">
        <v>341800</v>
      </c>
    </row>
    <row r="392" ht="15.75" customHeight="1" s="248">
      <c r="A392" s="117" t="n">
        <v>384</v>
      </c>
      <c r="B392" s="117" t="inlineStr">
        <is>
          <t>2026/06/04 00:00</t>
        </is>
      </c>
      <c r="C392" s="117" t="inlineStr">
        <is>
          <t>MAI THÀNH DƯƠNG</t>
        </is>
      </c>
      <c r="D392" s="117" t="inlineStr">
        <is>
          <t>10/04/1964</t>
        </is>
      </c>
      <c r="E392" s="117" t="inlineStr">
        <is>
          <t>Giường Ngoại khoa loại 3 - Khoa Chấn thương chỉnh hình</t>
        </is>
      </c>
      <c r="F392" s="272" t="n">
        <v>1</v>
      </c>
      <c r="G392" s="272" t="n">
        <v>269200</v>
      </c>
    </row>
    <row r="393" ht="15.75" customHeight="1" s="248">
      <c r="A393" s="117" t="n">
        <v>385</v>
      </c>
      <c r="B393" s="117" t="inlineStr">
        <is>
          <t>2026/06/04 00:00</t>
        </is>
      </c>
      <c r="C393" s="117" t="inlineStr">
        <is>
          <t>NGUYỄN HOÀNG VIỆT TRINH</t>
        </is>
      </c>
      <c r="D393" s="117" t="inlineStr">
        <is>
          <t>16/04/1999</t>
        </is>
      </c>
      <c r="E393" s="117" t="inlineStr">
        <is>
          <t>Giường Ngoại khoa loại 1 - Khoa Chấn thương chỉnh hình</t>
        </is>
      </c>
      <c r="F393" s="272" t="n">
        <v>1</v>
      </c>
      <c r="G393" s="272" t="n">
        <v>341800</v>
      </c>
    </row>
    <row r="394" ht="15.75" customHeight="1" s="248">
      <c r="A394" s="117" t="n">
        <v>386</v>
      </c>
      <c r="B394" s="117" t="inlineStr">
        <is>
          <t>2026/06/04 00:00</t>
        </is>
      </c>
      <c r="C394" s="117" t="inlineStr">
        <is>
          <t>NGUYỄN THỊ NGÂN</t>
        </is>
      </c>
      <c r="D394" s="117" t="inlineStr">
        <is>
          <t>01/01/1954</t>
        </is>
      </c>
      <c r="E394" s="117" t="inlineStr">
        <is>
          <t>Giường Ngoại khoa loại 3 - Khoa Chấn thương chỉnh hình</t>
        </is>
      </c>
      <c r="F394" s="272" t="n">
        <v>1</v>
      </c>
      <c r="G394" s="272" t="n">
        <v>269200</v>
      </c>
    </row>
    <row r="395" ht="15.75" customHeight="1" s="248">
      <c r="A395" s="117" t="n">
        <v>387</v>
      </c>
      <c r="B395" s="117" t="inlineStr">
        <is>
          <t>2026/06/04 00:00</t>
        </is>
      </c>
      <c r="C395" s="117" t="inlineStr">
        <is>
          <t>PHẠM THỊ HOA</t>
        </is>
      </c>
      <c r="D395" s="117" t="inlineStr">
        <is>
          <t>01/01/1946</t>
        </is>
      </c>
      <c r="E395" s="117" t="inlineStr">
        <is>
          <t>Giường Ngoại khoa loại 2 - Khoa Chấn thương chỉnh hình</t>
        </is>
      </c>
      <c r="F395" s="272" t="n">
        <v>1</v>
      </c>
      <c r="G395" s="272" t="n">
        <v>301600</v>
      </c>
    </row>
    <row r="396" ht="15.75" customHeight="1" s="248">
      <c r="A396" s="117" t="n">
        <v>388</v>
      </c>
      <c r="B396" s="117" t="inlineStr">
        <is>
          <t>2026/06/04 00:00</t>
        </is>
      </c>
      <c r="C396" s="117" t="inlineStr">
        <is>
          <t>TRẦN VĂN LÂM</t>
        </is>
      </c>
      <c r="D396" s="117" t="inlineStr">
        <is>
          <t>27/09/1964</t>
        </is>
      </c>
      <c r="E396" s="117" t="inlineStr">
        <is>
          <t>Giường Ngoại khoa loại 1 - Khoa Chấn thương chỉnh hình</t>
        </is>
      </c>
      <c r="F396" s="272" t="n">
        <v>1</v>
      </c>
      <c r="G396" s="272" t="n">
        <v>341800</v>
      </c>
    </row>
    <row r="397" ht="15.75" customHeight="1" s="248">
      <c r="A397" s="117" t="n">
        <v>389</v>
      </c>
      <c r="B397" s="117" t="inlineStr">
        <is>
          <t>2026/06/04 00:00</t>
        </is>
      </c>
      <c r="C397" s="117" t="inlineStr">
        <is>
          <t>VÕ KIM ANH</t>
        </is>
      </c>
      <c r="D397" s="117" t="inlineStr">
        <is>
          <t>31/12/1939</t>
        </is>
      </c>
      <c r="E397" s="117" t="inlineStr">
        <is>
          <t>Giường Nội khoa loại 2 - Khoa Chấn thương chỉnh hình</t>
        </is>
      </c>
      <c r="F397" s="272" t="n">
        <v>1</v>
      </c>
      <c r="G397" s="272" t="n">
        <v>222300</v>
      </c>
    </row>
    <row r="398" ht="15.75" customHeight="1" s="248">
      <c r="A398" s="117" t="n">
        <v>390</v>
      </c>
      <c r="B398" s="117" t="inlineStr">
        <is>
          <t>2026/06/04 00:00</t>
        </is>
      </c>
      <c r="C398" s="117" t="inlineStr">
        <is>
          <t>VÕ THỊ HỒNG LIÊN</t>
        </is>
      </c>
      <c r="D398" s="117" t="inlineStr">
        <is>
          <t>16/12/1948</t>
        </is>
      </c>
      <c r="E398" s="117" t="inlineStr">
        <is>
          <t>Giường Nội khoa loại 2 - Khoa Chấn thương chỉnh hình</t>
        </is>
      </c>
      <c r="F398" s="272" t="n">
        <v>1</v>
      </c>
      <c r="G398" s="272" t="n">
        <v>222300</v>
      </c>
    </row>
    <row r="399" ht="15.75" customHeight="1" s="248">
      <c r="A399" s="117" t="n">
        <v>391</v>
      </c>
      <c r="B399" s="117" t="inlineStr">
        <is>
          <t>2026/06/04 08:15</t>
        </is>
      </c>
      <c r="C399" s="117" t="inlineStr">
        <is>
          <t>NGUYỄN THỊ KỶ</t>
        </is>
      </c>
      <c r="D399" s="117" t="inlineStr">
        <is>
          <t>01/01/1949</t>
        </is>
      </c>
      <c r="E399" s="117" t="inlineStr">
        <is>
          <t>Giường Nội khoa loại 2 - Khoa Chấn thương chỉnh hình</t>
        </is>
      </c>
      <c r="F399" s="272" t="n">
        <v>1</v>
      </c>
      <c r="G399" s="272" t="n">
        <v>222300</v>
      </c>
    </row>
    <row r="400" ht="15.75" customHeight="1" s="248">
      <c r="A400" s="117" t="n">
        <v>392</v>
      </c>
      <c r="B400" s="117" t="inlineStr">
        <is>
          <t>2026/06/04 08:30</t>
        </is>
      </c>
      <c r="C400" s="117" t="inlineStr">
        <is>
          <t>NGUYỄN HOÀNG SƠN GIANG</t>
        </is>
      </c>
      <c r="D400" s="117" t="inlineStr">
        <is>
          <t>25/01/1976</t>
        </is>
      </c>
      <c r="E400" s="117" t="inlineStr">
        <is>
          <t>Giường Ngoại khoa loại 2 - Khoa Chấn thương chỉnh hình</t>
        </is>
      </c>
      <c r="F400" s="272" t="n">
        <v>1</v>
      </c>
      <c r="G400" s="272" t="n">
        <v>301600</v>
      </c>
    </row>
    <row r="401" ht="15.75" customHeight="1" s="248">
      <c r="A401" s="117" t="n">
        <v>393</v>
      </c>
      <c r="B401" s="117" t="inlineStr">
        <is>
          <t>2026/06/04 09:29</t>
        </is>
      </c>
      <c r="C401" s="117" t="inlineStr">
        <is>
          <t>LÝ VĂN KHƯƠNG</t>
        </is>
      </c>
      <c r="D401" s="117" t="inlineStr">
        <is>
          <t>05/06/1970</t>
        </is>
      </c>
      <c r="E401" s="117" t="inlineStr">
        <is>
          <t>Giường Nội khoa loại 2 - Khoa Chấn thương chỉnh hình</t>
        </is>
      </c>
      <c r="F401" s="272" t="n">
        <v>1</v>
      </c>
      <c r="G401" s="272" t="n">
        <v>222300</v>
      </c>
    </row>
    <row r="402" ht="15.75" customHeight="1" s="248">
      <c r="A402" s="117" t="n">
        <v>394</v>
      </c>
      <c r="B402" s="117" t="inlineStr">
        <is>
          <t>2026/06/04 10:30</t>
        </is>
      </c>
      <c r="C402" s="117" t="inlineStr">
        <is>
          <t>NGUYỄN THANH LIÊM</t>
        </is>
      </c>
      <c r="D402" s="117" t="inlineStr">
        <is>
          <t>13/08/1994</t>
        </is>
      </c>
      <c r="E402" s="117" t="inlineStr">
        <is>
          <t>Giường Ngoại khoa loại 2 - Khoa Chấn thương chỉnh hình</t>
        </is>
      </c>
      <c r="F402" s="272" t="n">
        <v>1</v>
      </c>
      <c r="G402" s="272" t="n">
        <v>301600</v>
      </c>
    </row>
    <row r="403" ht="15.75" customHeight="1" s="248">
      <c r="A403" s="117" t="n">
        <v>395</v>
      </c>
      <c r="B403" s="117" t="inlineStr">
        <is>
          <t>2026/06/04 12:00</t>
        </is>
      </c>
      <c r="C403" s="117" t="inlineStr">
        <is>
          <t>NGUYỄN THANH SẮC</t>
        </is>
      </c>
      <c r="D403" s="117" t="inlineStr">
        <is>
          <t>15/01/1987</t>
        </is>
      </c>
      <c r="E403" s="117" t="inlineStr">
        <is>
          <t>Giường Ngoại khoa loại 1 - Khoa Chấn thương chỉnh hình</t>
        </is>
      </c>
      <c r="F403" s="272" t="n">
        <v>1</v>
      </c>
      <c r="G403" s="272" t="n">
        <v>341800</v>
      </c>
    </row>
    <row r="404" ht="15.75" customHeight="1" s="248">
      <c r="A404" s="117" t="n">
        <v>396</v>
      </c>
      <c r="B404" s="117" t="inlineStr">
        <is>
          <t>2026/06/04 15:06</t>
        </is>
      </c>
      <c r="C404" s="117" t="inlineStr">
        <is>
          <t>TÔN VĂN PHƯỚC</t>
        </is>
      </c>
      <c r="D404" s="117" t="inlineStr">
        <is>
          <t>01/01/1970</t>
        </is>
      </c>
      <c r="E404" s="117" t="inlineStr">
        <is>
          <t>Giường Nội khoa loại 2 - Khoa Chấn thương chỉnh hình</t>
        </is>
      </c>
      <c r="F404" s="272" t="n">
        <v>1</v>
      </c>
      <c r="G404" s="272" t="n">
        <v>222300</v>
      </c>
    </row>
    <row r="405" ht="15.75" customHeight="1" s="248">
      <c r="A405" s="117" t="n">
        <v>397</v>
      </c>
      <c r="B405" s="117" t="inlineStr">
        <is>
          <t>2026/06/04 16:00</t>
        </is>
      </c>
      <c r="C405" s="117" t="inlineStr">
        <is>
          <t>LÊ THỊ Y BÌNH</t>
        </is>
      </c>
      <c r="D405" s="117" t="inlineStr">
        <is>
          <t>06/08/1995</t>
        </is>
      </c>
      <c r="E405" s="117" t="inlineStr">
        <is>
          <t>Giường Ngoại khoa loại 1 - Khoa Chấn thương chỉnh hình</t>
        </is>
      </c>
      <c r="F405" s="272" t="n">
        <v>1</v>
      </c>
      <c r="G405" s="272" t="n">
        <v>341800</v>
      </c>
    </row>
    <row r="406" ht="15.75" customHeight="1" s="248">
      <c r="A406" s="117" t="n">
        <v>398</v>
      </c>
      <c r="B406" s="117" t="inlineStr">
        <is>
          <t>2026/06/04 18:19</t>
        </is>
      </c>
      <c r="C406" s="117" t="inlineStr">
        <is>
          <t>HUỲNH NGỌC SƯƠNG</t>
        </is>
      </c>
      <c r="D406" s="117" t="inlineStr">
        <is>
          <t>05/05/1954</t>
        </is>
      </c>
      <c r="E406" s="117" t="inlineStr">
        <is>
          <t>Giường Nội khoa loại 2 - Khoa Chấn thương chỉnh hình</t>
        </is>
      </c>
      <c r="F406" s="272" t="n">
        <v>1</v>
      </c>
      <c r="G406" s="272" t="n">
        <v>222300</v>
      </c>
    </row>
    <row r="407" ht="15.75" customHeight="1" s="248">
      <c r="A407" s="117" t="n">
        <v>399</v>
      </c>
      <c r="B407" s="117" t="inlineStr">
        <is>
          <t>2026/06/04 19:12</t>
        </is>
      </c>
      <c r="C407" s="117" t="inlineStr">
        <is>
          <t>PHAN NGỌC ĐIỆP</t>
        </is>
      </c>
      <c r="D407" s="117" t="inlineStr">
        <is>
          <t>19/05/1969</t>
        </is>
      </c>
      <c r="E407" s="117" t="inlineStr">
        <is>
          <t>Giường Nội khoa loại 2 - Khoa Chấn thương chỉnh hình</t>
        </is>
      </c>
      <c r="F407" s="272" t="n">
        <v>1</v>
      </c>
      <c r="G407" s="272" t="n">
        <v>222300</v>
      </c>
    </row>
    <row r="408" ht="15.75" customHeight="1" s="248">
      <c r="A408" s="117" t="n">
        <v>400</v>
      </c>
      <c r="B408" s="117" t="inlineStr">
        <is>
          <t>2026/06/04 23:59</t>
        </is>
      </c>
      <c r="C408" s="117" t="inlineStr">
        <is>
          <t>DƯƠNG VĂN CHIẾN</t>
        </is>
      </c>
      <c r="D408" s="117" t="inlineStr">
        <is>
          <t>01/01/1949</t>
        </is>
      </c>
      <c r="E408" s="117" t="inlineStr">
        <is>
          <t>Giường Ngoại khoa loại 3 - Khoa Chấn thương chỉnh hình</t>
        </is>
      </c>
      <c r="F408" s="272" t="n">
        <v>1</v>
      </c>
      <c r="G408" s="272" t="n">
        <v>269200</v>
      </c>
    </row>
    <row r="409" ht="15.75" customHeight="1" s="248">
      <c r="A409" s="117" t="n">
        <v>401</v>
      </c>
      <c r="B409" s="117" t="inlineStr">
        <is>
          <t>2026/06/05 00:00</t>
        </is>
      </c>
      <c r="C409" s="117" t="inlineStr">
        <is>
          <t>BÙI THỊ ĐƯỢM</t>
        </is>
      </c>
      <c r="D409" s="117" t="inlineStr">
        <is>
          <t>01/01/1960</t>
        </is>
      </c>
      <c r="E409" s="117" t="inlineStr">
        <is>
          <t>Giường Nội khoa loại 2 - Khoa Chấn thương chỉnh hình</t>
        </is>
      </c>
      <c r="F409" s="272" t="n">
        <v>1</v>
      </c>
      <c r="G409" s="272" t="n">
        <v>222300</v>
      </c>
    </row>
    <row r="410" ht="15.75" customHeight="1" s="248">
      <c r="A410" s="117" t="n">
        <v>402</v>
      </c>
      <c r="B410" s="117" t="inlineStr">
        <is>
          <t>2026/06/05 00:00</t>
        </is>
      </c>
      <c r="C410" s="117" t="inlineStr">
        <is>
          <t>HUỲNH NGỌC SƯƠNG</t>
        </is>
      </c>
      <c r="D410" s="117" t="inlineStr">
        <is>
          <t>05/05/1954</t>
        </is>
      </c>
      <c r="E410" s="117" t="inlineStr">
        <is>
          <t>Giường Nội khoa loại 2 - Khoa Chấn thương chỉnh hình</t>
        </is>
      </c>
      <c r="F410" s="272" t="n">
        <v>1</v>
      </c>
      <c r="G410" s="272" t="n">
        <v>222300</v>
      </c>
    </row>
    <row r="411" ht="15.75" customHeight="1" s="248">
      <c r="A411" s="117" t="n">
        <v>403</v>
      </c>
      <c r="B411" s="117" t="inlineStr">
        <is>
          <t>2026/06/05 00:00</t>
        </is>
      </c>
      <c r="C411" s="117" t="inlineStr">
        <is>
          <t>KHUẤT HÙNG</t>
        </is>
      </c>
      <c r="D411" s="117" t="inlineStr">
        <is>
          <t>01/01/1948</t>
        </is>
      </c>
      <c r="E411" s="117" t="inlineStr">
        <is>
          <t>Giường Ngoại khoa loại 3 - Khoa Chấn thương chỉnh hình</t>
        </is>
      </c>
      <c r="F411" s="272" t="n">
        <v>1</v>
      </c>
      <c r="G411" s="272" t="n">
        <v>269200</v>
      </c>
    </row>
    <row r="412" ht="15.75" customHeight="1" s="248">
      <c r="A412" s="117" t="n">
        <v>404</v>
      </c>
      <c r="B412" s="117" t="inlineStr">
        <is>
          <t>2026/06/05 00:00</t>
        </is>
      </c>
      <c r="C412" s="117" t="inlineStr">
        <is>
          <t>LÊ THỊ NGỌC BÍCH</t>
        </is>
      </c>
      <c r="D412" s="117" t="inlineStr">
        <is>
          <t>01/01/1956</t>
        </is>
      </c>
      <c r="E412" s="117" t="inlineStr">
        <is>
          <t>Giường Nội khoa loại 2 - Khoa Chấn thương chỉnh hình</t>
        </is>
      </c>
      <c r="F412" s="272" t="n">
        <v>1</v>
      </c>
      <c r="G412" s="272" t="n">
        <v>222300</v>
      </c>
    </row>
    <row r="413" ht="15.75" customHeight="1" s="248">
      <c r="A413" s="117" t="n">
        <v>405</v>
      </c>
      <c r="B413" s="117" t="inlineStr">
        <is>
          <t>2026/06/05 00:00</t>
        </is>
      </c>
      <c r="C413" s="117" t="inlineStr">
        <is>
          <t>LÝ VĂN KHƯƠNG</t>
        </is>
      </c>
      <c r="D413" s="117" t="inlineStr">
        <is>
          <t>05/06/1970</t>
        </is>
      </c>
      <c r="E413" s="117" t="inlineStr">
        <is>
          <t>Giường Nội khoa loại 2 - Khoa Chấn thương chỉnh hình</t>
        </is>
      </c>
      <c r="F413" s="272" t="n">
        <v>1</v>
      </c>
      <c r="G413" s="272" t="n">
        <v>222300</v>
      </c>
    </row>
    <row r="414" ht="15.75" customHeight="1" s="248">
      <c r="A414" s="117" t="n">
        <v>406</v>
      </c>
      <c r="B414" s="117" t="inlineStr">
        <is>
          <t>2026/06/05 00:00</t>
        </is>
      </c>
      <c r="C414" s="117" t="inlineStr">
        <is>
          <t>LƯƠNG THỊ PHƯỢNG</t>
        </is>
      </c>
      <c r="D414" s="117" t="inlineStr">
        <is>
          <t>13/07/1965</t>
        </is>
      </c>
      <c r="E414" s="117" t="inlineStr">
        <is>
          <t>Giường Ngoại khoa loại 4 - Khoa Chấn thương chỉnh hình</t>
        </is>
      </c>
      <c r="F414" s="272" t="n">
        <v>1</v>
      </c>
      <c r="G414" s="272" t="n">
        <v>229200</v>
      </c>
    </row>
    <row r="415" ht="15.75" customHeight="1" s="248">
      <c r="A415" s="117" t="n">
        <v>407</v>
      </c>
      <c r="B415" s="117" t="inlineStr">
        <is>
          <t>2026/06/05 00:00</t>
        </is>
      </c>
      <c r="C415" s="117" t="inlineStr">
        <is>
          <t>NGUYỄN HOÀNG SƠN GIANG</t>
        </is>
      </c>
      <c r="D415" s="117" t="inlineStr">
        <is>
          <t>25/01/1976</t>
        </is>
      </c>
      <c r="E415" s="117" t="inlineStr">
        <is>
          <t>Giường Ngoại khoa loại 2 - Khoa Chấn thương chỉnh hình</t>
        </is>
      </c>
      <c r="F415" s="272" t="n">
        <v>1</v>
      </c>
      <c r="G415" s="272" t="n">
        <v>301600</v>
      </c>
    </row>
    <row r="416" ht="15.75" customHeight="1" s="248">
      <c r="A416" s="117" t="n">
        <v>408</v>
      </c>
      <c r="B416" s="117" t="inlineStr">
        <is>
          <t>2026/06/05 00:00</t>
        </is>
      </c>
      <c r="C416" s="117" t="inlineStr">
        <is>
          <t>NGUYỄN THANH LIÊM</t>
        </is>
      </c>
      <c r="D416" s="117" t="inlineStr">
        <is>
          <t>13/08/1994</t>
        </is>
      </c>
      <c r="E416" s="117" t="inlineStr">
        <is>
          <t>Giường Ngoại khoa loại 2 - Khoa Chấn thương chỉnh hình</t>
        </is>
      </c>
      <c r="F416" s="272" t="n">
        <v>1</v>
      </c>
      <c r="G416" s="272" t="n">
        <v>301600</v>
      </c>
    </row>
    <row r="417" ht="15.75" customHeight="1" s="248">
      <c r="A417" s="117" t="n">
        <v>409</v>
      </c>
      <c r="B417" s="117" t="inlineStr">
        <is>
          <t>2026/06/05 00:00</t>
        </is>
      </c>
      <c r="C417" s="117" t="inlineStr">
        <is>
          <t>NGUYỄN THANH SẮC</t>
        </is>
      </c>
      <c r="D417" s="117" t="inlineStr">
        <is>
          <t>15/01/1987</t>
        </is>
      </c>
      <c r="E417" s="117" t="inlineStr">
        <is>
          <t>Giường Ngoại khoa loại 1 - Khoa Chấn thương chỉnh hình</t>
        </is>
      </c>
      <c r="F417" s="272" t="n">
        <v>1</v>
      </c>
      <c r="G417" s="272" t="n">
        <v>341800</v>
      </c>
    </row>
    <row r="418" ht="15.75" customHeight="1" s="248">
      <c r="A418" s="117" t="n">
        <v>410</v>
      </c>
      <c r="B418" s="117" t="inlineStr">
        <is>
          <t>2026/06/05 00:00</t>
        </is>
      </c>
      <c r="C418" s="117" t="inlineStr">
        <is>
          <t>NGUYỄN THỊ CHUỐI</t>
        </is>
      </c>
      <c r="D418" s="117" t="inlineStr">
        <is>
          <t>06/08/1952</t>
        </is>
      </c>
      <c r="E418" s="117" t="inlineStr">
        <is>
          <t>Giường Nội khoa loại 2 - Khoa Chấn thương chỉnh hình</t>
        </is>
      </c>
      <c r="F418" s="272" t="n">
        <v>1</v>
      </c>
      <c r="G418" s="272" t="n">
        <v>222300</v>
      </c>
    </row>
    <row r="419" ht="15.75" customHeight="1" s="248">
      <c r="A419" s="117" t="n">
        <v>411</v>
      </c>
      <c r="B419" s="117" t="inlineStr">
        <is>
          <t>2026/06/05 00:00</t>
        </is>
      </c>
      <c r="C419" s="117" t="inlineStr">
        <is>
          <t>NGUYỄN THỊ KỶ</t>
        </is>
      </c>
      <c r="D419" s="117" t="inlineStr">
        <is>
          <t>01/01/1949</t>
        </is>
      </c>
      <c r="E419" s="117" t="inlineStr">
        <is>
          <t>Giường Nội khoa loại 2 - Khoa Chấn thương chỉnh hình</t>
        </is>
      </c>
      <c r="F419" s="272" t="n">
        <v>1</v>
      </c>
      <c r="G419" s="272" t="n">
        <v>222300</v>
      </c>
    </row>
    <row r="420" ht="15.75" customHeight="1" s="248">
      <c r="A420" s="117" t="n">
        <v>412</v>
      </c>
      <c r="B420" s="117" t="inlineStr">
        <is>
          <t>2026/06/05 00:00</t>
        </is>
      </c>
      <c r="C420" s="117" t="inlineStr">
        <is>
          <t>NGUYỄN THỊ THỦY</t>
        </is>
      </c>
      <c r="D420" s="117" t="inlineStr">
        <is>
          <t>01/01/1963</t>
        </is>
      </c>
      <c r="E420" s="117" t="inlineStr">
        <is>
          <t>Giường Ngoại khoa loại 1 - Khoa Chấn thương chỉnh hình</t>
        </is>
      </c>
      <c r="F420" s="272" t="n">
        <v>1</v>
      </c>
      <c r="G420" s="272" t="n">
        <v>341800</v>
      </c>
    </row>
    <row r="421" ht="15.75" customHeight="1" s="248">
      <c r="A421" s="117" t="n">
        <v>413</v>
      </c>
      <c r="B421" s="117" t="inlineStr">
        <is>
          <t>2026/06/05 00:00</t>
        </is>
      </c>
      <c r="C421" s="117" t="inlineStr">
        <is>
          <t>NGUYỄN VĂN CẤP</t>
        </is>
      </c>
      <c r="D421" s="117" t="inlineStr">
        <is>
          <t>01/01/1957</t>
        </is>
      </c>
      <c r="E421" s="117" t="inlineStr">
        <is>
          <t>Giường Ngoại khoa loại 1 - Khoa Chấn thương chỉnh hình</t>
        </is>
      </c>
      <c r="F421" s="272" t="n">
        <v>1</v>
      </c>
      <c r="G421" s="272" t="n">
        <v>341800</v>
      </c>
    </row>
    <row r="422" ht="15.75" customHeight="1" s="248">
      <c r="A422" s="117" t="n">
        <v>414</v>
      </c>
      <c r="B422" s="117" t="inlineStr">
        <is>
          <t>2026/06/05 00:00</t>
        </is>
      </c>
      <c r="C422" s="117" t="inlineStr">
        <is>
          <t>NGUYỄN VĂN PHỤNG</t>
        </is>
      </c>
      <c r="D422" s="117" t="inlineStr">
        <is>
          <t>01/01/1938</t>
        </is>
      </c>
      <c r="E422" s="117" t="inlineStr">
        <is>
          <t>Giường Ngoại khoa loại 1 - Khoa Chấn thương chỉnh hình</t>
        </is>
      </c>
      <c r="F422" s="272" t="n">
        <v>1</v>
      </c>
      <c r="G422" s="272" t="n">
        <v>341800</v>
      </c>
    </row>
    <row r="423" ht="15.75" customHeight="1" s="248">
      <c r="A423" s="117" t="n">
        <v>415</v>
      </c>
      <c r="B423" s="117" t="inlineStr">
        <is>
          <t>2026/06/05 00:00</t>
        </is>
      </c>
      <c r="C423" s="117" t="inlineStr">
        <is>
          <t>PHAN NGỌC ĐIỆP</t>
        </is>
      </c>
      <c r="D423" s="117" t="inlineStr">
        <is>
          <t>19/05/1969</t>
        </is>
      </c>
      <c r="E423" s="117" t="inlineStr">
        <is>
          <t>Giường Nội khoa loại 2 - Khoa Chấn thương chỉnh hình</t>
        </is>
      </c>
      <c r="F423" s="272" t="n">
        <v>1</v>
      </c>
      <c r="G423" s="272" t="n">
        <v>222300</v>
      </c>
    </row>
    <row r="424" ht="15.75" customHeight="1" s="248">
      <c r="A424" s="117" t="n">
        <v>416</v>
      </c>
      <c r="B424" s="117" t="inlineStr">
        <is>
          <t>2026/06/05 00:00</t>
        </is>
      </c>
      <c r="C424" s="117" t="inlineStr">
        <is>
          <t>PHAN TUẤN GIỚI</t>
        </is>
      </c>
      <c r="D424" s="117" t="inlineStr">
        <is>
          <t>15/02/1965</t>
        </is>
      </c>
      <c r="E424" s="117" t="inlineStr">
        <is>
          <t>Giường Ngoại khoa loại 1 - Khoa Chấn thương chỉnh hình</t>
        </is>
      </c>
      <c r="F424" s="272" t="n">
        <v>1</v>
      </c>
      <c r="G424" s="272" t="n">
        <v>341800</v>
      </c>
    </row>
    <row r="425" ht="15.75" customHeight="1" s="248">
      <c r="A425" s="117" t="n">
        <v>417</v>
      </c>
      <c r="B425" s="117" t="inlineStr">
        <is>
          <t>2026/06/05 00:00</t>
        </is>
      </c>
      <c r="C425" s="117" t="inlineStr">
        <is>
          <t>PHẠM THỊ HỒNG GẤM</t>
        </is>
      </c>
      <c r="D425" s="117" t="inlineStr">
        <is>
          <t>01/01/1979</t>
        </is>
      </c>
      <c r="E425" s="117" t="inlineStr">
        <is>
          <t>Giường Ngoại khoa loại 1 - Khoa Chấn thương chỉnh hình</t>
        </is>
      </c>
      <c r="F425" s="272" t="n">
        <v>1</v>
      </c>
      <c r="G425" s="272" t="n">
        <v>341800</v>
      </c>
    </row>
    <row r="426" ht="15.75" customHeight="1" s="248">
      <c r="A426" s="117" t="n">
        <v>418</v>
      </c>
      <c r="B426" s="117" t="inlineStr">
        <is>
          <t>2026/06/05 00:00</t>
        </is>
      </c>
      <c r="C426" s="117" t="inlineStr">
        <is>
          <t>TÔN VĂN PHƯỚC</t>
        </is>
      </c>
      <c r="D426" s="117" t="inlineStr">
        <is>
          <t>01/01/1970</t>
        </is>
      </c>
      <c r="E426" s="117" t="inlineStr">
        <is>
          <t>Giường Nội khoa loại 2 - Khoa Chấn thương chỉnh hình</t>
        </is>
      </c>
      <c r="F426" s="272" t="n">
        <v>1</v>
      </c>
      <c r="G426" s="272" t="n">
        <v>222300</v>
      </c>
    </row>
    <row r="427" ht="15.75" customHeight="1" s="248">
      <c r="A427" s="117" t="n">
        <v>419</v>
      </c>
      <c r="B427" s="117" t="inlineStr">
        <is>
          <t>2026/06/05 00:00</t>
        </is>
      </c>
      <c r="C427" s="117" t="inlineStr">
        <is>
          <t>UNG HUỲNH TÂM</t>
        </is>
      </c>
      <c r="D427" s="117" t="inlineStr">
        <is>
          <t>15/05/1984</t>
        </is>
      </c>
      <c r="E427" s="117" t="inlineStr">
        <is>
          <t>Giường Ngoại khoa loại 3 - Khoa Chấn thương chỉnh hình</t>
        </is>
      </c>
      <c r="F427" s="272" t="n">
        <v>1</v>
      </c>
      <c r="G427" s="272" t="n">
        <v>269200</v>
      </c>
    </row>
    <row r="428" ht="15.75" customHeight="1" s="248">
      <c r="A428" s="117" t="n">
        <v>420</v>
      </c>
      <c r="B428" s="117" t="inlineStr">
        <is>
          <t>2026/06/05 00:00</t>
        </is>
      </c>
      <c r="C428" s="117" t="inlineStr">
        <is>
          <t>VÕ THỊ KIẾU</t>
        </is>
      </c>
      <c r="D428" s="117" t="inlineStr">
        <is>
          <t>01/01/1955</t>
        </is>
      </c>
      <c r="E428" s="117" t="inlineStr">
        <is>
          <t>Giường Nội khoa loại 2 - Khoa Chấn thương chỉnh hình</t>
        </is>
      </c>
      <c r="F428" s="272" t="n">
        <v>1</v>
      </c>
      <c r="G428" s="272" t="n">
        <v>222300</v>
      </c>
    </row>
    <row r="429" ht="15.75" customHeight="1" s="248">
      <c r="A429" s="117" t="n">
        <v>421</v>
      </c>
      <c r="B429" s="117" t="inlineStr">
        <is>
          <t>2026/06/05 00:00</t>
        </is>
      </c>
      <c r="C429" s="117" t="inlineStr">
        <is>
          <t>VÕ TẤN HƯNG</t>
        </is>
      </c>
      <c r="D429" s="117" t="inlineStr">
        <is>
          <t>19/09/1963</t>
        </is>
      </c>
      <c r="E429" s="117" t="inlineStr">
        <is>
          <t>Giường Nội khoa loại 2 - Khoa Chấn thương chỉnh hình</t>
        </is>
      </c>
      <c r="F429" s="272" t="n">
        <v>1</v>
      </c>
      <c r="G429" s="272" t="n">
        <v>222300</v>
      </c>
    </row>
    <row r="430" ht="15.75" customHeight="1" s="248">
      <c r="A430" s="117" t="n">
        <v>422</v>
      </c>
      <c r="B430" s="117" t="inlineStr">
        <is>
          <t>2026/06/05 00:00</t>
        </is>
      </c>
      <c r="C430" s="117" t="inlineStr">
        <is>
          <t>VŨ THÀNH ĐẠT</t>
        </is>
      </c>
      <c r="D430" s="117" t="inlineStr">
        <is>
          <t>01/02/1955</t>
        </is>
      </c>
      <c r="E430" s="117" t="inlineStr">
        <is>
          <t>Giường Nội khoa loại 2 - Khoa Chấn thương chỉnh hình</t>
        </is>
      </c>
      <c r="F430" s="272" t="n">
        <v>1</v>
      </c>
      <c r="G430" s="272" t="n">
        <v>222300</v>
      </c>
    </row>
    <row r="431" ht="15.75" customHeight="1" s="248">
      <c r="A431" s="117" t="n">
        <v>423</v>
      </c>
      <c r="B431" s="117" t="inlineStr">
        <is>
          <t>2026/06/05 00:00</t>
        </is>
      </c>
      <c r="C431" s="117" t="inlineStr">
        <is>
          <t>DƯƠNG VIỆT ĐA</t>
        </is>
      </c>
      <c r="D431" s="117" t="inlineStr">
        <is>
          <t>30/08/1986</t>
        </is>
      </c>
      <c r="E431" s="117" t="inlineStr">
        <is>
          <t>Giường Ngoại khoa loại 1 - Khoa Chấn thương chỉnh hình</t>
        </is>
      </c>
      <c r="F431" s="272" t="n">
        <v>1</v>
      </c>
      <c r="G431" s="272" t="n">
        <v>341800</v>
      </c>
    </row>
    <row r="432" ht="15.75" customHeight="1" s="248">
      <c r="A432" s="117" t="n">
        <v>424</v>
      </c>
      <c r="B432" s="117" t="inlineStr">
        <is>
          <t>2026/06/05 00:00</t>
        </is>
      </c>
      <c r="C432" s="117" t="inlineStr">
        <is>
          <t>HUỲNH THANH HÙNG</t>
        </is>
      </c>
      <c r="D432" s="117" t="inlineStr">
        <is>
          <t>01/01/1945</t>
        </is>
      </c>
      <c r="E432" s="117" t="inlineStr">
        <is>
          <t>Giường Ngoại khoa loại 1 - Khoa Chấn thương chỉnh hình</t>
        </is>
      </c>
      <c r="F432" s="272" t="n">
        <v>1</v>
      </c>
      <c r="G432" s="272" t="n">
        <v>341800</v>
      </c>
    </row>
    <row r="433" ht="15.75" customHeight="1" s="248">
      <c r="A433" s="117" t="n">
        <v>425</v>
      </c>
      <c r="B433" s="117" t="inlineStr">
        <is>
          <t>2026/06/05 00:00</t>
        </is>
      </c>
      <c r="C433" s="117" t="inlineStr">
        <is>
          <t>LÊ THỊ Y BÌNH</t>
        </is>
      </c>
      <c r="D433" s="117" t="inlineStr">
        <is>
          <t>06/08/1995</t>
        </is>
      </c>
      <c r="E433" s="117" t="inlineStr">
        <is>
          <t>Giường Ngoại khoa loại 1 - Khoa Chấn thương chỉnh hình</t>
        </is>
      </c>
      <c r="F433" s="272" t="n">
        <v>1</v>
      </c>
      <c r="G433" s="272" t="n">
        <v>341800</v>
      </c>
    </row>
    <row r="434" ht="15.75" customHeight="1" s="248">
      <c r="A434" s="117" t="n">
        <v>426</v>
      </c>
      <c r="B434" s="117" t="inlineStr">
        <is>
          <t>2026/06/05 00:00</t>
        </is>
      </c>
      <c r="C434" s="117" t="inlineStr">
        <is>
          <t>MAI THÀNH DƯƠNG</t>
        </is>
      </c>
      <c r="D434" s="117" t="inlineStr">
        <is>
          <t>10/04/1964</t>
        </is>
      </c>
      <c r="E434" s="117" t="inlineStr">
        <is>
          <t>Giường Ngoại khoa loại 3 - Khoa Chấn thương chỉnh hình</t>
        </is>
      </c>
      <c r="F434" s="272" t="n">
        <v>1</v>
      </c>
      <c r="G434" s="272" t="n">
        <v>269200</v>
      </c>
    </row>
    <row r="435" ht="15.75" customHeight="1" s="248">
      <c r="A435" s="117" t="n">
        <v>427</v>
      </c>
      <c r="B435" s="117" t="inlineStr">
        <is>
          <t>2026/06/05 00:00</t>
        </is>
      </c>
      <c r="C435" s="117" t="inlineStr">
        <is>
          <t>NGUYỄN THỊ NGÂN</t>
        </is>
      </c>
      <c r="D435" s="117" t="inlineStr">
        <is>
          <t>01/01/1954</t>
        </is>
      </c>
      <c r="E435" s="117" t="inlineStr">
        <is>
          <t>Giường Ngoại khoa loại 3 - Khoa Chấn thương chỉnh hình</t>
        </is>
      </c>
      <c r="F435" s="272" t="n">
        <v>1</v>
      </c>
      <c r="G435" s="272" t="n">
        <v>269200</v>
      </c>
    </row>
    <row r="436" ht="15.75" customHeight="1" s="248">
      <c r="A436" s="117" t="n">
        <v>428</v>
      </c>
      <c r="B436" s="117" t="inlineStr">
        <is>
          <t>2026/06/05 00:00</t>
        </is>
      </c>
      <c r="C436" s="117" t="inlineStr">
        <is>
          <t>PHẠM THỊ HOA</t>
        </is>
      </c>
      <c r="D436" s="117" t="inlineStr">
        <is>
          <t>01/01/1946</t>
        </is>
      </c>
      <c r="E436" s="117" t="inlineStr">
        <is>
          <t>Giường Ngoại khoa loại 2 - Khoa Chấn thương chỉnh hình</t>
        </is>
      </c>
      <c r="F436" s="272" t="n">
        <v>1</v>
      </c>
      <c r="G436" s="272" t="n">
        <v>301600</v>
      </c>
    </row>
    <row r="437" ht="15.75" customHeight="1" s="248">
      <c r="A437" s="117" t="n">
        <v>429</v>
      </c>
      <c r="B437" s="117" t="inlineStr">
        <is>
          <t>2026/06/05 00:00</t>
        </is>
      </c>
      <c r="C437" s="117" t="inlineStr">
        <is>
          <t>TRẦN VĂN LÂM</t>
        </is>
      </c>
      <c r="D437" s="117" t="inlineStr">
        <is>
          <t>27/09/1964</t>
        </is>
      </c>
      <c r="E437" s="117" t="inlineStr">
        <is>
          <t>Giường Ngoại khoa loại 1 - Khoa Chấn thương chỉnh hình</t>
        </is>
      </c>
      <c r="F437" s="272" t="n">
        <v>1</v>
      </c>
      <c r="G437" s="272" t="n">
        <v>341800</v>
      </c>
    </row>
    <row r="438" ht="15.75" customHeight="1" s="248">
      <c r="A438" s="117" t="n">
        <v>430</v>
      </c>
      <c r="B438" s="117" t="inlineStr">
        <is>
          <t>2026/06/05 00:00</t>
        </is>
      </c>
      <c r="C438" s="117" t="inlineStr">
        <is>
          <t>VÕ KIM ANH</t>
        </is>
      </c>
      <c r="D438" s="117" t="inlineStr">
        <is>
          <t>31/12/1939</t>
        </is>
      </c>
      <c r="E438" s="117" t="inlineStr">
        <is>
          <t>Giường Nội khoa loại 2 - Khoa Chấn thương chỉnh hình</t>
        </is>
      </c>
      <c r="F438" s="272" t="n">
        <v>1</v>
      </c>
      <c r="G438" s="272" t="n">
        <v>222300</v>
      </c>
    </row>
    <row r="439" ht="15.75" customHeight="1" s="248">
      <c r="A439" s="117" t="n">
        <v>431</v>
      </c>
      <c r="B439" s="117" t="inlineStr">
        <is>
          <t>2026/06/05 00:00</t>
        </is>
      </c>
      <c r="C439" s="117" t="inlineStr">
        <is>
          <t>VÕ THỊ HỒNG LIÊN</t>
        </is>
      </c>
      <c r="D439" s="117" t="inlineStr">
        <is>
          <t>16/12/1948</t>
        </is>
      </c>
      <c r="E439" s="117" t="inlineStr">
        <is>
          <t>Giường Nội khoa loại 2 - Khoa Chấn thương chỉnh hình</t>
        </is>
      </c>
      <c r="F439" s="272" t="n">
        <v>1</v>
      </c>
      <c r="G439" s="272" t="n">
        <v>222300</v>
      </c>
    </row>
    <row r="440" ht="15.75" customHeight="1" s="248">
      <c r="A440" s="117" t="n">
        <v>432</v>
      </c>
      <c r="B440" s="117" t="inlineStr">
        <is>
          <t>2026/06/05 09:48</t>
        </is>
      </c>
      <c r="C440" s="117" t="inlineStr">
        <is>
          <t>PHẠM THỊ ANH THƯ</t>
        </is>
      </c>
      <c r="D440" s="117" t="inlineStr">
        <is>
          <t>19/03/2007</t>
        </is>
      </c>
      <c r="E440" s="117" t="inlineStr">
        <is>
          <t>Giường Ngoại khoa loại 3 - Khoa Chấn thương chỉnh hình</t>
        </is>
      </c>
      <c r="F440" s="272" t="n">
        <v>1</v>
      </c>
      <c r="G440" s="272" t="n">
        <v>269200</v>
      </c>
    </row>
    <row r="441" ht="15.75" customHeight="1" s="248">
      <c r="A441" s="117" t="n">
        <v>433</v>
      </c>
      <c r="B441" s="117" t="inlineStr">
        <is>
          <t>2026/06/05 10:00</t>
        </is>
      </c>
      <c r="C441" s="117" t="inlineStr">
        <is>
          <t>LÊ THỊ THU</t>
        </is>
      </c>
      <c r="D441" s="117" t="inlineStr">
        <is>
          <t>07/12/1965</t>
        </is>
      </c>
      <c r="E441" s="117" t="inlineStr">
        <is>
          <t>Giường Nội khoa loại 2 - Khoa Chấn thương chỉnh hình</t>
        </is>
      </c>
      <c r="F441" s="272" t="n">
        <v>1</v>
      </c>
      <c r="G441" s="272" t="n">
        <v>222300</v>
      </c>
    </row>
    <row r="442" ht="15.75" customHeight="1" s="248">
      <c r="A442" s="117" t="n">
        <v>434</v>
      </c>
      <c r="B442" s="117" t="inlineStr">
        <is>
          <t>2026/06/05 13:28</t>
        </is>
      </c>
      <c r="C442" s="117" t="inlineStr">
        <is>
          <t>LÂM THỊ MỘNG TRINH</t>
        </is>
      </c>
      <c r="D442" s="117" t="inlineStr">
        <is>
          <t>01/01/1983</t>
        </is>
      </c>
      <c r="E442" s="117" t="inlineStr">
        <is>
          <t>Giường Ngoại khoa loại 3 - Khoa Chấn thương chỉnh hình</t>
        </is>
      </c>
      <c r="F442" s="272" t="n">
        <v>1</v>
      </c>
      <c r="G442" s="272" t="n">
        <v>269200</v>
      </c>
    </row>
    <row r="443" ht="15.75" customHeight="1" s="248">
      <c r="A443" s="117" t="n">
        <v>435</v>
      </c>
      <c r="B443" s="117" t="inlineStr">
        <is>
          <t>2026/06/05 14:58</t>
        </is>
      </c>
      <c r="C443" s="117" t="inlineStr">
        <is>
          <t>CHÂU THỊ ĐỦ</t>
        </is>
      </c>
      <c r="D443" s="117" t="inlineStr">
        <is>
          <t>01/01/1963</t>
        </is>
      </c>
      <c r="E443" s="117" t="inlineStr">
        <is>
          <t>Giường Nội khoa loại 2 - Khoa Chấn thương chỉnh hình</t>
        </is>
      </c>
      <c r="F443" s="272" t="n">
        <v>1</v>
      </c>
      <c r="G443" s="272" t="n">
        <v>222300</v>
      </c>
    </row>
    <row r="444" ht="15.75" customHeight="1" s="248">
      <c r="A444" s="117" t="n">
        <v>436</v>
      </c>
      <c r="B444" s="117" t="inlineStr">
        <is>
          <t>2026/06/06 00:00</t>
        </is>
      </c>
      <c r="C444" s="117" t="inlineStr">
        <is>
          <t>BÙI THỊ ĐƯỢM</t>
        </is>
      </c>
      <c r="D444" s="117" t="inlineStr">
        <is>
          <t>01/01/1960</t>
        </is>
      </c>
      <c r="E444" s="117" t="inlineStr">
        <is>
          <t>Giường Nội khoa loại 2 - Khoa Chấn thương chỉnh hình</t>
        </is>
      </c>
      <c r="F444" s="272" t="n">
        <v>1</v>
      </c>
      <c r="G444" s="272" t="n">
        <v>222300</v>
      </c>
    </row>
    <row r="445" ht="15.75" customHeight="1" s="248">
      <c r="A445" s="117" t="n">
        <v>437</v>
      </c>
      <c r="B445" s="117" t="inlineStr">
        <is>
          <t>2026/06/06 00:00</t>
        </is>
      </c>
      <c r="C445" s="117" t="inlineStr">
        <is>
          <t>CHÂU THỊ ĐỦ</t>
        </is>
      </c>
      <c r="D445" s="117" t="inlineStr">
        <is>
          <t>01/01/1963</t>
        </is>
      </c>
      <c r="E445" s="117" t="inlineStr">
        <is>
          <t>Giường Nội khoa loại 2 - Khoa Chấn thương chỉnh hình</t>
        </is>
      </c>
      <c r="F445" s="272" t="n">
        <v>1</v>
      </c>
      <c r="G445" s="272" t="n">
        <v>222300</v>
      </c>
    </row>
    <row r="446" ht="15.75" customHeight="1" s="248">
      <c r="A446" s="117" t="n">
        <v>438</v>
      </c>
      <c r="B446" s="117" t="inlineStr">
        <is>
          <t>2026/06/06 00:00</t>
        </is>
      </c>
      <c r="C446" s="117" t="inlineStr">
        <is>
          <t>HUỲNH NGỌC SƯƠNG</t>
        </is>
      </c>
      <c r="D446" s="117" t="inlineStr">
        <is>
          <t>05/05/1954</t>
        </is>
      </c>
      <c r="E446" s="117" t="inlineStr">
        <is>
          <t>Giường Nội khoa loại 2 - Khoa Chấn thương chỉnh hình</t>
        </is>
      </c>
      <c r="F446" s="272" t="n">
        <v>1</v>
      </c>
      <c r="G446" s="272" t="n">
        <v>222300</v>
      </c>
    </row>
    <row r="447" ht="15.75" customHeight="1" s="248">
      <c r="A447" s="117" t="n">
        <v>439</v>
      </c>
      <c r="B447" s="117" t="inlineStr">
        <is>
          <t>2026/06/06 00:00</t>
        </is>
      </c>
      <c r="C447" s="117" t="inlineStr">
        <is>
          <t>KHUẤT HÙNG</t>
        </is>
      </c>
      <c r="D447" s="117" t="inlineStr">
        <is>
          <t>01/01/1948</t>
        </is>
      </c>
      <c r="E447" s="117" t="inlineStr">
        <is>
          <t>Giường Ngoại khoa loại 3 - Khoa Chấn thương chỉnh hình</t>
        </is>
      </c>
      <c r="F447" s="272" t="n">
        <v>1</v>
      </c>
      <c r="G447" s="272" t="n">
        <v>269200</v>
      </c>
    </row>
    <row r="448" ht="15.75" customHeight="1" s="248">
      <c r="A448" s="117" t="n">
        <v>440</v>
      </c>
      <c r="B448" s="117" t="inlineStr">
        <is>
          <t>2026/06/06 00:00</t>
        </is>
      </c>
      <c r="C448" s="117" t="inlineStr">
        <is>
          <t>LÂM THỊ MỘNG TRINH</t>
        </is>
      </c>
      <c r="D448" s="117" t="inlineStr">
        <is>
          <t>01/01/1983</t>
        </is>
      </c>
      <c r="E448" s="117" t="inlineStr">
        <is>
          <t>Giường Ngoại khoa loại 3 - Khoa Chấn thương chỉnh hình</t>
        </is>
      </c>
      <c r="F448" s="272" t="n">
        <v>1</v>
      </c>
      <c r="G448" s="272" t="n">
        <v>269200</v>
      </c>
    </row>
    <row r="449" ht="15.75" customHeight="1" s="248">
      <c r="A449" s="117" t="n">
        <v>441</v>
      </c>
      <c r="B449" s="117" t="inlineStr">
        <is>
          <t>2026/06/06 00:00</t>
        </is>
      </c>
      <c r="C449" s="117" t="inlineStr">
        <is>
          <t>LÊ THỊ NGỌC BÍCH</t>
        </is>
      </c>
      <c r="D449" s="117" t="inlineStr">
        <is>
          <t>01/01/1956</t>
        </is>
      </c>
      <c r="E449" s="117" t="inlineStr">
        <is>
          <t>Giường Ngoại khoa loại 2 - Khoa Chấn thương chỉnh hình</t>
        </is>
      </c>
      <c r="F449" s="272" t="n">
        <v>1</v>
      </c>
      <c r="G449" s="272" t="n">
        <v>301600</v>
      </c>
    </row>
    <row r="450" ht="15.75" customHeight="1" s="248">
      <c r="A450" s="117" t="n">
        <v>442</v>
      </c>
      <c r="B450" s="117" t="inlineStr">
        <is>
          <t>2026/06/06 00:00</t>
        </is>
      </c>
      <c r="C450" s="117" t="inlineStr">
        <is>
          <t>LÊ THỊ THU</t>
        </is>
      </c>
      <c r="D450" s="117" t="inlineStr">
        <is>
          <t>07/12/1965</t>
        </is>
      </c>
      <c r="E450" s="117" t="inlineStr">
        <is>
          <t>Giường Nội khoa loại 2 - Khoa Chấn thương chỉnh hình</t>
        </is>
      </c>
      <c r="F450" s="272" t="n">
        <v>1</v>
      </c>
      <c r="G450" s="272" t="n">
        <v>222300</v>
      </c>
    </row>
    <row r="451" ht="15.75" customHeight="1" s="248">
      <c r="A451" s="117" t="n">
        <v>443</v>
      </c>
      <c r="B451" s="117" t="inlineStr">
        <is>
          <t>2026/06/06 00:00</t>
        </is>
      </c>
      <c r="C451" s="117" t="inlineStr">
        <is>
          <t>LÝ VĂN KHƯƠNG</t>
        </is>
      </c>
      <c r="D451" s="117" t="inlineStr">
        <is>
          <t>05/06/1970</t>
        </is>
      </c>
      <c r="E451" s="117" t="inlineStr">
        <is>
          <t>Giường Nội khoa loại 2 - Khoa Chấn thương chỉnh hình</t>
        </is>
      </c>
      <c r="F451" s="272" t="n">
        <v>1</v>
      </c>
      <c r="G451" s="272" t="n">
        <v>222300</v>
      </c>
    </row>
    <row r="452" ht="15.75" customHeight="1" s="248">
      <c r="A452" s="117" t="n">
        <v>444</v>
      </c>
      <c r="B452" s="117" t="inlineStr">
        <is>
          <t>2026/06/06 00:00</t>
        </is>
      </c>
      <c r="C452" s="117" t="inlineStr">
        <is>
          <t>LƯƠNG THỊ PHƯỢNG</t>
        </is>
      </c>
      <c r="D452" s="117" t="inlineStr">
        <is>
          <t>13/07/1965</t>
        </is>
      </c>
      <c r="E452" s="117" t="inlineStr">
        <is>
          <t>Giường Ngoại khoa loại 4 - Khoa Chấn thương chỉnh hình</t>
        </is>
      </c>
      <c r="F452" s="272" t="n">
        <v>1</v>
      </c>
      <c r="G452" s="272" t="n">
        <v>229200</v>
      </c>
    </row>
    <row r="453" ht="15.75" customHeight="1" s="248">
      <c r="A453" s="117" t="n">
        <v>445</v>
      </c>
      <c r="B453" s="117" t="inlineStr">
        <is>
          <t>2026/06/06 00:00</t>
        </is>
      </c>
      <c r="C453" s="117" t="inlineStr">
        <is>
          <t>NGUYỄN HOÀNG SƠN GIANG</t>
        </is>
      </c>
      <c r="D453" s="117" t="inlineStr">
        <is>
          <t>25/01/1976</t>
        </is>
      </c>
      <c r="E453" s="117" t="inlineStr">
        <is>
          <t>Giường Ngoại khoa loại 2 - Khoa Chấn thương chỉnh hình</t>
        </is>
      </c>
      <c r="F453" s="272" t="n">
        <v>1</v>
      </c>
      <c r="G453" s="272" t="n">
        <v>301600</v>
      </c>
    </row>
    <row r="454" ht="15.75" customHeight="1" s="248">
      <c r="A454" s="117" t="n">
        <v>446</v>
      </c>
      <c r="B454" s="117" t="inlineStr">
        <is>
          <t>2026/06/06 00:00</t>
        </is>
      </c>
      <c r="C454" s="117" t="inlineStr">
        <is>
          <t>NGUYỄN THANH SẮC</t>
        </is>
      </c>
      <c r="D454" s="117" t="inlineStr">
        <is>
          <t>15/01/1987</t>
        </is>
      </c>
      <c r="E454" s="117" t="inlineStr">
        <is>
          <t>Giường Ngoại khoa loại 1 - Khoa Chấn thương chỉnh hình</t>
        </is>
      </c>
      <c r="F454" s="272" t="n">
        <v>1</v>
      </c>
      <c r="G454" s="272" t="n">
        <v>341800</v>
      </c>
    </row>
    <row r="455" ht="15.75" customHeight="1" s="248">
      <c r="A455" s="117" t="n">
        <v>447</v>
      </c>
      <c r="B455" s="117" t="inlineStr">
        <is>
          <t>2026/06/06 00:00</t>
        </is>
      </c>
      <c r="C455" s="117" t="inlineStr">
        <is>
          <t>NGUYỄN THỊ CHUỐI</t>
        </is>
      </c>
      <c r="D455" s="117" t="inlineStr">
        <is>
          <t>06/08/1952</t>
        </is>
      </c>
      <c r="E455" s="117" t="inlineStr">
        <is>
          <t>Giường Nội khoa loại 2 - Khoa Chấn thương chỉnh hình</t>
        </is>
      </c>
      <c r="F455" s="272" t="n">
        <v>1</v>
      </c>
      <c r="G455" s="272" t="n">
        <v>222300</v>
      </c>
    </row>
    <row r="456" ht="15.75" customHeight="1" s="248">
      <c r="A456" s="117" t="n">
        <v>448</v>
      </c>
      <c r="B456" s="117" t="inlineStr">
        <is>
          <t>2026/06/06 00:00</t>
        </is>
      </c>
      <c r="C456" s="117" t="inlineStr">
        <is>
          <t>NGUYỄN THỊ THỦY</t>
        </is>
      </c>
      <c r="D456" s="117" t="inlineStr">
        <is>
          <t>01/01/1963</t>
        </is>
      </c>
      <c r="E456" s="117" t="inlineStr">
        <is>
          <t>Giường Ngoại khoa loại 1 - Khoa Chấn thương chỉnh hình</t>
        </is>
      </c>
      <c r="F456" s="272" t="n">
        <v>1</v>
      </c>
      <c r="G456" s="272" t="n">
        <v>341800</v>
      </c>
    </row>
    <row r="457" ht="15.75" customHeight="1" s="248">
      <c r="A457" s="117" t="n">
        <v>449</v>
      </c>
      <c r="B457" s="117" t="inlineStr">
        <is>
          <t>2026/06/06 00:00</t>
        </is>
      </c>
      <c r="C457" s="117" t="inlineStr">
        <is>
          <t>NGUYỄN VĂN CẤP</t>
        </is>
      </c>
      <c r="D457" s="117" t="inlineStr">
        <is>
          <t>01/01/1957</t>
        </is>
      </c>
      <c r="E457" s="117" t="inlineStr">
        <is>
          <t>Giường Ngoại khoa loại 1 - Khoa Chấn thương chỉnh hình</t>
        </is>
      </c>
      <c r="F457" s="272" t="n">
        <v>1</v>
      </c>
      <c r="G457" s="272" t="n">
        <v>341800</v>
      </c>
    </row>
    <row r="458" ht="15.75" customHeight="1" s="248">
      <c r="A458" s="117" t="n">
        <v>450</v>
      </c>
      <c r="B458" s="117" t="inlineStr">
        <is>
          <t>2026/06/06 00:00</t>
        </is>
      </c>
      <c r="C458" s="117" t="inlineStr">
        <is>
          <t>NGUYỄN VĂN PHỤNG</t>
        </is>
      </c>
      <c r="D458" s="117" t="inlineStr">
        <is>
          <t>01/01/1938</t>
        </is>
      </c>
      <c r="E458" s="117" t="inlineStr">
        <is>
          <t>Giường Ngoại khoa loại 1 - Khoa Chấn thương chỉnh hình</t>
        </is>
      </c>
      <c r="F458" s="272" t="n">
        <v>1</v>
      </c>
      <c r="G458" s="272" t="n">
        <v>341800</v>
      </c>
    </row>
    <row r="459" ht="15.75" customHeight="1" s="248">
      <c r="A459" s="117" t="n">
        <v>451</v>
      </c>
      <c r="B459" s="117" t="inlineStr">
        <is>
          <t>2026/06/06 00:00</t>
        </is>
      </c>
      <c r="C459" s="117" t="inlineStr">
        <is>
          <t>PHAN NGỌC ĐIỆP</t>
        </is>
      </c>
      <c r="D459" s="117" t="inlineStr">
        <is>
          <t>19/05/1969</t>
        </is>
      </c>
      <c r="E459" s="117" t="inlineStr">
        <is>
          <t>Giường Nội khoa loại 2 - Khoa Chấn thương chỉnh hình</t>
        </is>
      </c>
      <c r="F459" s="272" t="n">
        <v>1</v>
      </c>
      <c r="G459" s="272" t="n">
        <v>222300</v>
      </c>
    </row>
    <row r="460" ht="15.75" customHeight="1" s="248">
      <c r="A460" s="117" t="n">
        <v>452</v>
      </c>
      <c r="B460" s="117" t="inlineStr">
        <is>
          <t>2026/06/06 00:00</t>
        </is>
      </c>
      <c r="C460" s="117" t="inlineStr">
        <is>
          <t>PHAN TUẤN GIỚI</t>
        </is>
      </c>
      <c r="D460" s="117" t="inlineStr">
        <is>
          <t>15/02/1965</t>
        </is>
      </c>
      <c r="E460" s="117" t="inlineStr">
        <is>
          <t>Giường Ngoại khoa loại 1 - Khoa Chấn thương chỉnh hình</t>
        </is>
      </c>
      <c r="F460" s="272" t="n">
        <v>1</v>
      </c>
      <c r="G460" s="272" t="n">
        <v>341800</v>
      </c>
    </row>
    <row r="461" ht="15.75" customHeight="1" s="248">
      <c r="A461" s="117" t="n">
        <v>453</v>
      </c>
      <c r="B461" s="117" t="inlineStr">
        <is>
          <t>2026/06/06 00:00</t>
        </is>
      </c>
      <c r="C461" s="117" t="inlineStr">
        <is>
          <t>PHẠM THỊ ANH THƯ</t>
        </is>
      </c>
      <c r="D461" s="117" t="inlineStr">
        <is>
          <t>19/03/2007</t>
        </is>
      </c>
      <c r="E461" s="117" t="inlineStr">
        <is>
          <t>Giường Ngoại khoa loại 3 - Khoa Chấn thương chỉnh hình</t>
        </is>
      </c>
      <c r="F461" s="272" t="n">
        <v>1</v>
      </c>
      <c r="G461" s="272" t="n">
        <v>269200</v>
      </c>
    </row>
    <row r="462" ht="15.75" customHeight="1" s="248">
      <c r="A462" s="117" t="n">
        <v>454</v>
      </c>
      <c r="B462" s="117" t="inlineStr">
        <is>
          <t>2026/06/06 00:00</t>
        </is>
      </c>
      <c r="C462" s="117" t="inlineStr">
        <is>
          <t>PHẠM THỊ HỒNG GẤM</t>
        </is>
      </c>
      <c r="D462" s="117" t="inlineStr">
        <is>
          <t>01/01/1979</t>
        </is>
      </c>
      <c r="E462" s="117" t="inlineStr">
        <is>
          <t>Giường Ngoại khoa loại 1 - Khoa Chấn thương chỉnh hình</t>
        </is>
      </c>
      <c r="F462" s="272" t="n">
        <v>1</v>
      </c>
      <c r="G462" s="272" t="n">
        <v>341800</v>
      </c>
    </row>
    <row r="463" ht="15.75" customHeight="1" s="248">
      <c r="A463" s="117" t="n">
        <v>455</v>
      </c>
      <c r="B463" s="117" t="inlineStr">
        <is>
          <t>2026/06/06 00:00</t>
        </is>
      </c>
      <c r="C463" s="117" t="inlineStr">
        <is>
          <t>TÔN VĂN PHƯỚC</t>
        </is>
      </c>
      <c r="D463" s="117" t="inlineStr">
        <is>
          <t>01/01/1970</t>
        </is>
      </c>
      <c r="E463" s="117" t="inlineStr">
        <is>
          <t>Giường Nội khoa loại 2 - Khoa Chấn thương chỉnh hình</t>
        </is>
      </c>
      <c r="F463" s="272" t="n">
        <v>1</v>
      </c>
      <c r="G463" s="272" t="n">
        <v>222300</v>
      </c>
    </row>
    <row r="464" ht="15.75" customHeight="1" s="248">
      <c r="A464" s="117" t="n">
        <v>456</v>
      </c>
      <c r="B464" s="117" t="inlineStr">
        <is>
          <t>2026/06/06 00:00</t>
        </is>
      </c>
      <c r="C464" s="117" t="inlineStr">
        <is>
          <t>UNG HUỲNH TÂM</t>
        </is>
      </c>
      <c r="D464" s="117" t="inlineStr">
        <is>
          <t>15/05/1984</t>
        </is>
      </c>
      <c r="E464" s="117" t="inlineStr">
        <is>
          <t>Giường Ngoại khoa loại 3 - Khoa Chấn thương chỉnh hình</t>
        </is>
      </c>
      <c r="F464" s="272" t="n">
        <v>1</v>
      </c>
      <c r="G464" s="272" t="n">
        <v>269200</v>
      </c>
    </row>
    <row r="465" ht="15.75" customHeight="1" s="248">
      <c r="A465" s="117" t="n">
        <v>457</v>
      </c>
      <c r="B465" s="117" t="inlineStr">
        <is>
          <t>2026/06/06 00:00</t>
        </is>
      </c>
      <c r="C465" s="117" t="inlineStr">
        <is>
          <t>VÕ THỊ KIẾU</t>
        </is>
      </c>
      <c r="D465" s="117" t="inlineStr">
        <is>
          <t>01/01/1955</t>
        </is>
      </c>
      <c r="E465" s="117" t="inlineStr">
        <is>
          <t>Giường Nội khoa loại 2 - Khoa Chấn thương chỉnh hình</t>
        </is>
      </c>
      <c r="F465" s="272" t="n">
        <v>1</v>
      </c>
      <c r="G465" s="272" t="n">
        <v>222300</v>
      </c>
    </row>
    <row r="466" ht="15.75" customHeight="1" s="248">
      <c r="A466" s="117" t="n">
        <v>458</v>
      </c>
      <c r="B466" s="117" t="inlineStr">
        <is>
          <t>2026/06/06 00:00</t>
        </is>
      </c>
      <c r="C466" s="117" t="inlineStr">
        <is>
          <t>VÕ TẤN HƯNG</t>
        </is>
      </c>
      <c r="D466" s="117" t="inlineStr">
        <is>
          <t>19/09/1963</t>
        </is>
      </c>
      <c r="E466" s="117" t="inlineStr">
        <is>
          <t>Giường Nội khoa loại 2 - Khoa Chấn thương chỉnh hình</t>
        </is>
      </c>
      <c r="F466" s="272" t="n">
        <v>1</v>
      </c>
      <c r="G466" s="272" t="n">
        <v>222300</v>
      </c>
    </row>
    <row r="467" ht="15.75" customHeight="1" s="248">
      <c r="A467" s="117" t="n">
        <v>459</v>
      </c>
      <c r="B467" s="117" t="inlineStr">
        <is>
          <t>2026/06/06 00:00</t>
        </is>
      </c>
      <c r="C467" s="117" t="inlineStr">
        <is>
          <t>VŨ THÀNH ĐẠT</t>
        </is>
      </c>
      <c r="D467" s="117" t="inlineStr">
        <is>
          <t>01/02/1955</t>
        </is>
      </c>
      <c r="E467" s="117" t="inlineStr">
        <is>
          <t>Giường Nội khoa loại 2 - Khoa Chấn thương chỉnh hình</t>
        </is>
      </c>
      <c r="F467" s="272" t="n">
        <v>1</v>
      </c>
      <c r="G467" s="272" t="n">
        <v>222300</v>
      </c>
    </row>
    <row r="468" ht="15.75" customHeight="1" s="248">
      <c r="A468" s="117" t="n">
        <v>460</v>
      </c>
      <c r="B468" s="117" t="inlineStr">
        <is>
          <t>2026/06/06 00:00</t>
        </is>
      </c>
      <c r="C468" s="117" t="inlineStr">
        <is>
          <t>DƯƠNG VIỆT ĐA</t>
        </is>
      </c>
      <c r="D468" s="117" t="inlineStr">
        <is>
          <t>30/08/1986</t>
        </is>
      </c>
      <c r="E468" s="117" t="inlineStr">
        <is>
          <t>Giường Ngoại khoa loại 1 - Khoa Chấn thương chỉnh hình</t>
        </is>
      </c>
      <c r="F468" s="272" t="n">
        <v>1</v>
      </c>
      <c r="G468" s="272" t="n">
        <v>341800</v>
      </c>
    </row>
    <row r="469" ht="15.75" customHeight="1" s="248">
      <c r="A469" s="117" t="n">
        <v>461</v>
      </c>
      <c r="B469" s="117" t="inlineStr">
        <is>
          <t>2026/06/06 00:00</t>
        </is>
      </c>
      <c r="C469" s="117" t="inlineStr">
        <is>
          <t>HUỲNH THANH HÙNG</t>
        </is>
      </c>
      <c r="D469" s="117" t="inlineStr">
        <is>
          <t>01/01/1945</t>
        </is>
      </c>
      <c r="E469" s="117" t="inlineStr">
        <is>
          <t>Giường Ngoại khoa loại 1 - Khoa Chấn thương chỉnh hình</t>
        </is>
      </c>
      <c r="F469" s="272" t="n">
        <v>1</v>
      </c>
      <c r="G469" s="272" t="n">
        <v>341800</v>
      </c>
    </row>
    <row r="470" ht="15.75" customHeight="1" s="248">
      <c r="A470" s="117" t="n">
        <v>462</v>
      </c>
      <c r="B470" s="117" t="inlineStr">
        <is>
          <t>2026/06/06 00:00</t>
        </is>
      </c>
      <c r="C470" s="117" t="inlineStr">
        <is>
          <t>LÊ THỊ Y BÌNH</t>
        </is>
      </c>
      <c r="D470" s="117" t="inlineStr">
        <is>
          <t>06/08/1995</t>
        </is>
      </c>
      <c r="E470" s="117" t="inlineStr">
        <is>
          <t>Giường Ngoại khoa loại 1 - Khoa Chấn thương chỉnh hình</t>
        </is>
      </c>
      <c r="F470" s="272" t="n">
        <v>1</v>
      </c>
      <c r="G470" s="272" t="n">
        <v>341800</v>
      </c>
    </row>
    <row r="471" ht="15.75" customHeight="1" s="248">
      <c r="A471" s="117" t="n">
        <v>463</v>
      </c>
      <c r="B471" s="117" t="inlineStr">
        <is>
          <t>2026/06/06 00:00</t>
        </is>
      </c>
      <c r="C471" s="117" t="inlineStr">
        <is>
          <t>MAI THÀNH DƯƠNG</t>
        </is>
      </c>
      <c r="D471" s="117" t="inlineStr">
        <is>
          <t>10/04/1964</t>
        </is>
      </c>
      <c r="E471" s="117" t="inlineStr">
        <is>
          <t>Giường Ngoại khoa loại 3 - Khoa Chấn thương chỉnh hình</t>
        </is>
      </c>
      <c r="F471" s="272" t="n">
        <v>1</v>
      </c>
      <c r="G471" s="272" t="n">
        <v>269200</v>
      </c>
    </row>
    <row r="472" ht="15.75" customHeight="1" s="248">
      <c r="A472" s="117" t="n">
        <v>464</v>
      </c>
      <c r="B472" s="117" t="inlineStr">
        <is>
          <t>2026/06/06 00:00</t>
        </is>
      </c>
      <c r="C472" s="117" t="inlineStr">
        <is>
          <t>NGUYỄN THỊ KỶ</t>
        </is>
      </c>
      <c r="D472" s="117" t="inlineStr">
        <is>
          <t>01/01/1949</t>
        </is>
      </c>
      <c r="E472" s="117" t="inlineStr">
        <is>
          <t>Giường Ngoại khoa loại 3 - Khoa Chấn thương chỉnh hình</t>
        </is>
      </c>
      <c r="F472" s="272" t="n">
        <v>1</v>
      </c>
      <c r="G472" s="272" t="n">
        <v>269200</v>
      </c>
    </row>
    <row r="473" ht="15.75" customHeight="1" s="248">
      <c r="A473" s="117" t="n">
        <v>465</v>
      </c>
      <c r="B473" s="117" t="inlineStr">
        <is>
          <t>2026/06/06 00:00</t>
        </is>
      </c>
      <c r="C473" s="117" t="inlineStr">
        <is>
          <t>NGUYỄN THỊ NGÂN</t>
        </is>
      </c>
      <c r="D473" s="117" t="inlineStr">
        <is>
          <t>01/01/1954</t>
        </is>
      </c>
      <c r="E473" s="117" t="inlineStr">
        <is>
          <t>Giường Ngoại khoa loại 3 - Khoa Chấn thương chỉnh hình</t>
        </is>
      </c>
      <c r="F473" s="272" t="n">
        <v>1</v>
      </c>
      <c r="G473" s="272" t="n">
        <v>269200</v>
      </c>
    </row>
    <row r="474" ht="15.75" customHeight="1" s="248">
      <c r="A474" s="117" t="n">
        <v>466</v>
      </c>
      <c r="B474" s="117" t="inlineStr">
        <is>
          <t>2026/06/06 00:00</t>
        </is>
      </c>
      <c r="C474" s="117" t="inlineStr">
        <is>
          <t>PHẠM THỊ HOA</t>
        </is>
      </c>
      <c r="D474" s="117" t="inlineStr">
        <is>
          <t>01/01/1946</t>
        </is>
      </c>
      <c r="E474" s="117" t="inlineStr">
        <is>
          <t>Giường Ngoại khoa loại 2 - Khoa Chấn thương chỉnh hình</t>
        </is>
      </c>
      <c r="F474" s="272" t="n">
        <v>1</v>
      </c>
      <c r="G474" s="272" t="n">
        <v>301600</v>
      </c>
    </row>
    <row r="475" ht="15.75" customHeight="1" s="248">
      <c r="A475" s="117" t="n">
        <v>467</v>
      </c>
      <c r="B475" s="117" t="inlineStr">
        <is>
          <t>2026/06/06 00:00</t>
        </is>
      </c>
      <c r="C475" s="117" t="inlineStr">
        <is>
          <t>TRẦN VĂN LÂM</t>
        </is>
      </c>
      <c r="D475" s="117" t="inlineStr">
        <is>
          <t>27/09/1964</t>
        </is>
      </c>
      <c r="E475" s="117" t="inlineStr">
        <is>
          <t>Giường Ngoại khoa loại 1 - Khoa Chấn thương chỉnh hình</t>
        </is>
      </c>
      <c r="F475" s="272" t="n">
        <v>1</v>
      </c>
      <c r="G475" s="272" t="n">
        <v>341800</v>
      </c>
    </row>
    <row r="476" ht="15.75" customHeight="1" s="248">
      <c r="A476" s="117" t="n">
        <v>468</v>
      </c>
      <c r="B476" s="117" t="inlineStr">
        <is>
          <t>2026/06/06 00:00</t>
        </is>
      </c>
      <c r="C476" s="117" t="inlineStr">
        <is>
          <t>TẠ VĂN DƯ</t>
        </is>
      </c>
      <c r="D476" s="117" t="inlineStr">
        <is>
          <t>01/01/1989</t>
        </is>
      </c>
      <c r="E476" s="117" t="inlineStr">
        <is>
          <t>Giường Ngoại khoa loại 2 - Khoa Chấn thương chỉnh hình</t>
        </is>
      </c>
      <c r="F476" s="272" t="n">
        <v>1</v>
      </c>
      <c r="G476" s="272" t="n">
        <v>301600</v>
      </c>
    </row>
    <row r="477" ht="15.75" customHeight="1" s="248">
      <c r="A477" s="117" t="n">
        <v>469</v>
      </c>
      <c r="B477" s="117" t="inlineStr">
        <is>
          <t>2026/06/06 00:00</t>
        </is>
      </c>
      <c r="C477" s="117" t="inlineStr">
        <is>
          <t>VÕ KIM ANH</t>
        </is>
      </c>
      <c r="D477" s="117" t="inlineStr">
        <is>
          <t>31/12/1939</t>
        </is>
      </c>
      <c r="E477" s="117" t="inlineStr">
        <is>
          <t>Giường Nội khoa loại 2 - Khoa Chấn thương chỉnh hình</t>
        </is>
      </c>
      <c r="F477" s="272" t="n">
        <v>1</v>
      </c>
      <c r="G477" s="272" t="n">
        <v>222300</v>
      </c>
    </row>
    <row r="478" ht="15.75" customHeight="1" s="248">
      <c r="A478" s="117" t="n">
        <v>470</v>
      </c>
      <c r="B478" s="117" t="inlineStr">
        <is>
          <t>2026/06/06 00:00</t>
        </is>
      </c>
      <c r="C478" s="117" t="inlineStr">
        <is>
          <t>VÕ THỊ HỒNG LIÊN</t>
        </is>
      </c>
      <c r="D478" s="117" t="inlineStr">
        <is>
          <t>16/12/1948</t>
        </is>
      </c>
      <c r="E478" s="117" t="inlineStr">
        <is>
          <t>Giường Nội khoa loại 2 - Khoa Chấn thương chỉnh hình</t>
        </is>
      </c>
      <c r="F478" s="272" t="n">
        <v>1</v>
      </c>
      <c r="G478" s="272" t="n">
        <v>222300</v>
      </c>
    </row>
    <row r="479" ht="15.75" customHeight="1" s="248">
      <c r="A479" s="117" t="n">
        <v>471</v>
      </c>
      <c r="B479" s="117" t="inlineStr">
        <is>
          <t>2026/06/06 23:59</t>
        </is>
      </c>
      <c r="C479" s="117" t="inlineStr">
        <is>
          <t>NGUYỄN HOÀNG SƠN GIANG</t>
        </is>
      </c>
      <c r="D479" s="117" t="inlineStr">
        <is>
          <t>25/01/1976</t>
        </is>
      </c>
      <c r="E479" s="117" t="inlineStr">
        <is>
          <t>Giường Ngoại khoa loại 2 - Khoa Chấn thương chỉnh hình</t>
        </is>
      </c>
      <c r="F479" s="272" t="n">
        <v>1</v>
      </c>
      <c r="G479" s="272" t="n">
        <v>301600</v>
      </c>
    </row>
    <row r="480" ht="15.75" customHeight="1" s="248">
      <c r="A480" s="117" t="n">
        <v>472</v>
      </c>
      <c r="B480" s="117" t="inlineStr">
        <is>
          <t>2026/06/07 00:00</t>
        </is>
      </c>
      <c r="C480" s="117" t="inlineStr">
        <is>
          <t>BÙI THỊ ĐƯỢM</t>
        </is>
      </c>
      <c r="D480" s="117" t="inlineStr">
        <is>
          <t>01/01/1960</t>
        </is>
      </c>
      <c r="E480" s="117" t="inlineStr">
        <is>
          <t>Giường Nội khoa loại 2 - Khoa Chấn thương chỉnh hình</t>
        </is>
      </c>
      <c r="F480" s="272" t="n">
        <v>1</v>
      </c>
      <c r="G480" s="272" t="n">
        <v>222300</v>
      </c>
    </row>
    <row r="481" ht="15.75" customHeight="1" s="248">
      <c r="A481" s="117" t="n">
        <v>473</v>
      </c>
      <c r="B481" s="117" t="inlineStr">
        <is>
          <t>2026/06/07 00:00</t>
        </is>
      </c>
      <c r="C481" s="117" t="inlineStr">
        <is>
          <t>CHÂU THỊ ĐỦ</t>
        </is>
      </c>
      <c r="D481" s="117" t="inlineStr">
        <is>
          <t>01/01/1963</t>
        </is>
      </c>
      <c r="E481" s="117" t="inlineStr">
        <is>
          <t>Giường Nội khoa loại 2 - Khoa Chấn thương chỉnh hình</t>
        </is>
      </c>
      <c r="F481" s="272" t="n">
        <v>1</v>
      </c>
      <c r="G481" s="272" t="n">
        <v>222300</v>
      </c>
    </row>
    <row r="482" ht="15.75" customHeight="1" s="248">
      <c r="A482" s="117" t="n">
        <v>474</v>
      </c>
      <c r="B482" s="117" t="inlineStr">
        <is>
          <t>2026/06/07 00:00</t>
        </is>
      </c>
      <c r="C482" s="117" t="inlineStr">
        <is>
          <t>HUỲNH NGỌC SƯƠNG</t>
        </is>
      </c>
      <c r="D482" s="117" t="inlineStr">
        <is>
          <t>05/05/1954</t>
        </is>
      </c>
      <c r="E482" s="117" t="inlineStr">
        <is>
          <t>Giường Nội khoa loại 2 - Khoa Chấn thương chỉnh hình</t>
        </is>
      </c>
      <c r="F482" s="272" t="n">
        <v>1</v>
      </c>
      <c r="G482" s="272" t="n">
        <v>222300</v>
      </c>
    </row>
    <row r="483" ht="15.75" customHeight="1" s="248">
      <c r="A483" s="117" t="n">
        <v>475</v>
      </c>
      <c r="B483" s="117" t="inlineStr">
        <is>
          <t>2026/06/07 00:00</t>
        </is>
      </c>
      <c r="C483" s="117" t="inlineStr">
        <is>
          <t>KHUẤT HÙNG</t>
        </is>
      </c>
      <c r="D483" s="117" t="inlineStr">
        <is>
          <t>01/01/1948</t>
        </is>
      </c>
      <c r="E483" s="117" t="inlineStr">
        <is>
          <t>Giường Ngoại khoa loại 3 - Khoa Chấn thương chỉnh hình</t>
        </is>
      </c>
      <c r="F483" s="272" t="n">
        <v>1</v>
      </c>
      <c r="G483" s="272" t="n">
        <v>269200</v>
      </c>
    </row>
    <row r="484" ht="15.75" customHeight="1" s="248">
      <c r="A484" s="117" t="n">
        <v>476</v>
      </c>
      <c r="B484" s="117" t="inlineStr">
        <is>
          <t>2026/06/07 00:00</t>
        </is>
      </c>
      <c r="C484" s="117" t="inlineStr">
        <is>
          <t>LÂM THỊ MỘNG TRINH</t>
        </is>
      </c>
      <c r="D484" s="117" t="inlineStr">
        <is>
          <t>01/01/1983</t>
        </is>
      </c>
      <c r="E484" s="117" t="inlineStr">
        <is>
          <t>Giường Ngoại khoa loại 3 - Khoa Chấn thương chỉnh hình</t>
        </is>
      </c>
      <c r="F484" s="272" t="n">
        <v>1</v>
      </c>
      <c r="G484" s="272" t="n">
        <v>269200</v>
      </c>
    </row>
    <row r="485" ht="15.75" customHeight="1" s="248">
      <c r="A485" s="117" t="n">
        <v>477</v>
      </c>
      <c r="B485" s="117" t="inlineStr">
        <is>
          <t>2026/06/07 00:00</t>
        </is>
      </c>
      <c r="C485" s="117" t="inlineStr">
        <is>
          <t>LÊ THỊ NGỌC BÍCH</t>
        </is>
      </c>
      <c r="D485" s="117" t="inlineStr">
        <is>
          <t>01/01/1956</t>
        </is>
      </c>
      <c r="E485" s="117" t="inlineStr">
        <is>
          <t>Giường Ngoại khoa loại 2 - Khoa Chấn thương chỉnh hình</t>
        </is>
      </c>
      <c r="F485" s="272" t="n">
        <v>1</v>
      </c>
      <c r="G485" s="272" t="n">
        <v>301600</v>
      </c>
    </row>
    <row r="486" ht="15.75" customHeight="1" s="248">
      <c r="A486" s="117" t="n">
        <v>478</v>
      </c>
      <c r="B486" s="117" t="inlineStr">
        <is>
          <t>2026/06/07 00:00</t>
        </is>
      </c>
      <c r="C486" s="117" t="inlineStr">
        <is>
          <t>LÊ THỊ THU</t>
        </is>
      </c>
      <c r="D486" s="117" t="inlineStr">
        <is>
          <t>07/12/1965</t>
        </is>
      </c>
      <c r="E486" s="117" t="inlineStr">
        <is>
          <t>Giường Nội khoa loại 2 - Khoa Chấn thương chỉnh hình</t>
        </is>
      </c>
      <c r="F486" s="272" t="n">
        <v>1</v>
      </c>
      <c r="G486" s="272" t="n">
        <v>222300</v>
      </c>
    </row>
    <row r="487" ht="15.75" customHeight="1" s="248">
      <c r="A487" s="117" t="n">
        <v>479</v>
      </c>
      <c r="B487" s="117" t="inlineStr">
        <is>
          <t>2026/06/07 00:00</t>
        </is>
      </c>
      <c r="C487" s="117" t="inlineStr">
        <is>
          <t>LÝ VĂN KHƯƠNG</t>
        </is>
      </c>
      <c r="D487" s="117" t="inlineStr">
        <is>
          <t>05/06/1970</t>
        </is>
      </c>
      <c r="E487" s="117" t="inlineStr">
        <is>
          <t>Giường Nội khoa loại 2 - Khoa Chấn thương chỉnh hình</t>
        </is>
      </c>
      <c r="F487" s="272" t="n">
        <v>1</v>
      </c>
      <c r="G487" s="272" t="n">
        <v>222300</v>
      </c>
    </row>
    <row r="488" ht="15.75" customHeight="1" s="248">
      <c r="A488" s="117" t="n">
        <v>480</v>
      </c>
      <c r="B488" s="117" t="inlineStr">
        <is>
          <t>2026/06/07 00:00</t>
        </is>
      </c>
      <c r="C488" s="117" t="inlineStr">
        <is>
          <t>LƯƠNG THỊ PHƯỢNG</t>
        </is>
      </c>
      <c r="D488" s="117" t="inlineStr">
        <is>
          <t>13/07/1965</t>
        </is>
      </c>
      <c r="E488" s="117" t="inlineStr">
        <is>
          <t>Giường Ngoại khoa loại 4 - Khoa Chấn thương chỉnh hình</t>
        </is>
      </c>
      <c r="F488" s="272" t="n">
        <v>1</v>
      </c>
      <c r="G488" s="272" t="n">
        <v>229200</v>
      </c>
    </row>
    <row r="489" ht="15.75" customHeight="1" s="248">
      <c r="A489" s="117" t="n">
        <v>481</v>
      </c>
      <c r="B489" s="117" t="inlineStr">
        <is>
          <t>2026/06/07 00:00</t>
        </is>
      </c>
      <c r="C489" s="117" t="inlineStr">
        <is>
          <t>NGUYỄN THANH SẮC</t>
        </is>
      </c>
      <c r="D489" s="117" t="inlineStr">
        <is>
          <t>15/01/1987</t>
        </is>
      </c>
      <c r="E489" s="117" t="inlineStr">
        <is>
          <t>Giường Ngoại khoa loại 1 - Khoa Chấn thương chỉnh hình</t>
        </is>
      </c>
      <c r="F489" s="272" t="n">
        <v>1</v>
      </c>
      <c r="G489" s="272" t="n">
        <v>341800</v>
      </c>
    </row>
    <row r="490" ht="15.75" customHeight="1" s="248">
      <c r="A490" s="117" t="n">
        <v>482</v>
      </c>
      <c r="B490" s="117" t="inlineStr">
        <is>
          <t>2026/06/07 00:00</t>
        </is>
      </c>
      <c r="C490" s="117" t="inlineStr">
        <is>
          <t>NGUYỄN THỊ THỦY</t>
        </is>
      </c>
      <c r="D490" s="117" t="inlineStr">
        <is>
          <t>01/01/1963</t>
        </is>
      </c>
      <c r="E490" s="117" t="inlineStr">
        <is>
          <t>Giường Ngoại khoa loại 1 - Khoa Chấn thương chỉnh hình</t>
        </is>
      </c>
      <c r="F490" s="272" t="n">
        <v>1</v>
      </c>
      <c r="G490" s="272" t="n">
        <v>341800</v>
      </c>
    </row>
    <row r="491" ht="15.75" customHeight="1" s="248">
      <c r="A491" s="117" t="n">
        <v>483</v>
      </c>
      <c r="B491" s="117" t="inlineStr">
        <is>
          <t>2026/06/07 00:00</t>
        </is>
      </c>
      <c r="C491" s="117" t="inlineStr">
        <is>
          <t>NGUYỄN VĂN CẤP</t>
        </is>
      </c>
      <c r="D491" s="117" t="inlineStr">
        <is>
          <t>01/01/1957</t>
        </is>
      </c>
      <c r="E491" s="117" t="inlineStr">
        <is>
          <t>Giường Ngoại khoa loại 1 - Khoa Chấn thương chỉnh hình</t>
        </is>
      </c>
      <c r="F491" s="272" t="n">
        <v>1</v>
      </c>
      <c r="G491" s="272" t="n">
        <v>341800</v>
      </c>
    </row>
    <row r="492" ht="15.75" customHeight="1" s="248">
      <c r="A492" s="117" t="n">
        <v>484</v>
      </c>
      <c r="B492" s="117" t="inlineStr">
        <is>
          <t>2026/06/07 00:00</t>
        </is>
      </c>
      <c r="C492" s="117" t="inlineStr">
        <is>
          <t>PHAN NGỌC ĐIỆP</t>
        </is>
      </c>
      <c r="D492" s="117" t="inlineStr">
        <is>
          <t>19/05/1969</t>
        </is>
      </c>
      <c r="E492" s="117" t="inlineStr">
        <is>
          <t>Giường Nội khoa loại 2 - Khoa Chấn thương chỉnh hình</t>
        </is>
      </c>
      <c r="F492" s="272" t="n">
        <v>1</v>
      </c>
      <c r="G492" s="272" t="n">
        <v>222300</v>
      </c>
    </row>
    <row r="493" ht="15.75" customHeight="1" s="248">
      <c r="A493" s="117" t="n">
        <v>485</v>
      </c>
      <c r="B493" s="117" t="inlineStr">
        <is>
          <t>2026/06/07 00:00</t>
        </is>
      </c>
      <c r="C493" s="117" t="inlineStr">
        <is>
          <t>PHAN TUẤN GIỚI</t>
        </is>
      </c>
      <c r="D493" s="117" t="inlineStr">
        <is>
          <t>15/02/1965</t>
        </is>
      </c>
      <c r="E493" s="117" t="inlineStr">
        <is>
          <t>Giường Ngoại khoa loại 1 - Khoa Chấn thương chỉnh hình</t>
        </is>
      </c>
      <c r="F493" s="272" t="n">
        <v>1</v>
      </c>
      <c r="G493" s="272" t="n">
        <v>341800</v>
      </c>
    </row>
    <row r="494" ht="15.75" customHeight="1" s="248">
      <c r="A494" s="117" t="n">
        <v>486</v>
      </c>
      <c r="B494" s="117" t="inlineStr">
        <is>
          <t>2026/06/07 00:00</t>
        </is>
      </c>
      <c r="C494" s="117" t="inlineStr">
        <is>
          <t>PHẠM THỊ ANH THƯ</t>
        </is>
      </c>
      <c r="D494" s="117" t="inlineStr">
        <is>
          <t>19/03/2007</t>
        </is>
      </c>
      <c r="E494" s="117" t="inlineStr">
        <is>
          <t>Giường Ngoại khoa loại 3 - Khoa Chấn thương chỉnh hình</t>
        </is>
      </c>
      <c r="F494" s="272" t="n">
        <v>1</v>
      </c>
      <c r="G494" s="272" t="n">
        <v>269200</v>
      </c>
    </row>
    <row r="495" ht="15.75" customHeight="1" s="248">
      <c r="A495" s="117" t="n">
        <v>487</v>
      </c>
      <c r="B495" s="117" t="inlineStr">
        <is>
          <t>2026/06/07 00:00</t>
        </is>
      </c>
      <c r="C495" s="117" t="inlineStr">
        <is>
          <t>PHẠM THỊ HỒNG GẤM</t>
        </is>
      </c>
      <c r="D495" s="117" t="inlineStr">
        <is>
          <t>01/01/1979</t>
        </is>
      </c>
      <c r="E495" s="117" t="inlineStr">
        <is>
          <t>Giường Ngoại khoa loại 1 - Khoa Chấn thương chỉnh hình</t>
        </is>
      </c>
      <c r="F495" s="272" t="n">
        <v>1</v>
      </c>
      <c r="G495" s="272" t="n">
        <v>341800</v>
      </c>
    </row>
    <row r="496" ht="15.75" customHeight="1" s="248">
      <c r="A496" s="117" t="n">
        <v>488</v>
      </c>
      <c r="B496" s="117" t="inlineStr">
        <is>
          <t>2026/06/07 00:00</t>
        </is>
      </c>
      <c r="C496" s="117" t="inlineStr">
        <is>
          <t>TRẦN VĂN BÉ</t>
        </is>
      </c>
      <c r="D496" s="117" t="inlineStr">
        <is>
          <t>01/01/1952</t>
        </is>
      </c>
      <c r="E496" s="117" t="inlineStr">
        <is>
          <t>Giường Nội khoa loại 2 - Khoa Chấn thương chỉnh hình</t>
        </is>
      </c>
      <c r="F496" s="272" t="n">
        <v>1</v>
      </c>
      <c r="G496" s="272" t="n">
        <v>222300</v>
      </c>
    </row>
    <row r="497" ht="15.75" customHeight="1" s="248">
      <c r="A497" s="117" t="n">
        <v>489</v>
      </c>
      <c r="B497" s="117" t="inlineStr">
        <is>
          <t>2026/06/07 00:00</t>
        </is>
      </c>
      <c r="C497" s="117" t="inlineStr">
        <is>
          <t>TÔN VĂN PHƯỚC</t>
        </is>
      </c>
      <c r="D497" s="117" t="inlineStr">
        <is>
          <t>01/01/1970</t>
        </is>
      </c>
      <c r="E497" s="117" t="inlineStr">
        <is>
          <t>Giường Nội khoa loại 2 - Khoa Chấn thương chỉnh hình</t>
        </is>
      </c>
      <c r="F497" s="272" t="n">
        <v>1</v>
      </c>
      <c r="G497" s="272" t="n">
        <v>222300</v>
      </c>
    </row>
    <row r="498" ht="15.75" customHeight="1" s="248">
      <c r="A498" s="117" t="n">
        <v>490</v>
      </c>
      <c r="B498" s="117" t="inlineStr">
        <is>
          <t>2026/06/07 00:00</t>
        </is>
      </c>
      <c r="C498" s="117" t="inlineStr">
        <is>
          <t>UNG HUỲNH TÂM</t>
        </is>
      </c>
      <c r="D498" s="117" t="inlineStr">
        <is>
          <t>15/05/1984</t>
        </is>
      </c>
      <c r="E498" s="117" t="inlineStr">
        <is>
          <t>Giường Ngoại khoa loại 3 - Khoa Chấn thương chỉnh hình</t>
        </is>
      </c>
      <c r="F498" s="272" t="n">
        <v>1</v>
      </c>
      <c r="G498" s="272" t="n">
        <v>269200</v>
      </c>
    </row>
    <row r="499" ht="15.75" customHeight="1" s="248">
      <c r="A499" s="117" t="n">
        <v>491</v>
      </c>
      <c r="B499" s="117" t="inlineStr">
        <is>
          <t>2026/06/07 00:00</t>
        </is>
      </c>
      <c r="C499" s="117" t="inlineStr">
        <is>
          <t>VÕ THỊ KIẾU</t>
        </is>
      </c>
      <c r="D499" s="117" t="inlineStr">
        <is>
          <t>01/01/1955</t>
        </is>
      </c>
      <c r="E499" s="117" t="inlineStr">
        <is>
          <t>Giường Nội khoa loại 2 - Khoa Chấn thương chỉnh hình</t>
        </is>
      </c>
      <c r="F499" s="272" t="n">
        <v>1</v>
      </c>
      <c r="G499" s="272" t="n">
        <v>222300</v>
      </c>
    </row>
    <row r="500" ht="15.75" customHeight="1" s="248">
      <c r="A500" s="117" t="n">
        <v>492</v>
      </c>
      <c r="B500" s="117" t="inlineStr">
        <is>
          <t>2026/06/07 00:00</t>
        </is>
      </c>
      <c r="C500" s="117" t="inlineStr">
        <is>
          <t>VÕ TẤN HƯNG</t>
        </is>
      </c>
      <c r="D500" s="117" t="inlineStr">
        <is>
          <t>19/09/1963</t>
        </is>
      </c>
      <c r="E500" s="117" t="inlineStr">
        <is>
          <t>Giường Nội khoa loại 2 - Khoa Chấn thương chỉnh hình</t>
        </is>
      </c>
      <c r="F500" s="272" t="n">
        <v>1</v>
      </c>
      <c r="G500" s="272" t="n">
        <v>222300</v>
      </c>
    </row>
    <row r="501" ht="15.75" customHeight="1" s="248">
      <c r="A501" s="117" t="n">
        <v>493</v>
      </c>
      <c r="B501" s="117" t="inlineStr">
        <is>
          <t>2026/06/07 00:00</t>
        </is>
      </c>
      <c r="C501" s="117" t="inlineStr">
        <is>
          <t>VŨ THÀNH ĐẠT</t>
        </is>
      </c>
      <c r="D501" s="117" t="inlineStr">
        <is>
          <t>01/02/1955</t>
        </is>
      </c>
      <c r="E501" s="117" t="inlineStr">
        <is>
          <t>Giường Nội khoa loại 2 - Khoa Chấn thương chỉnh hình</t>
        </is>
      </c>
      <c r="F501" s="272" t="n">
        <v>1</v>
      </c>
      <c r="G501" s="272" t="n">
        <v>222300</v>
      </c>
    </row>
    <row r="502" ht="15.75" customHeight="1" s="248">
      <c r="A502" s="117" t="n">
        <v>494</v>
      </c>
      <c r="B502" s="117" t="inlineStr">
        <is>
          <t>2026/06/07 00:00</t>
        </is>
      </c>
      <c r="C502" s="117" t="inlineStr">
        <is>
          <t>DƯƠNG VIỆT ĐA</t>
        </is>
      </c>
      <c r="D502" s="117" t="inlineStr">
        <is>
          <t>30/08/1986</t>
        </is>
      </c>
      <c r="E502" s="117" t="inlineStr">
        <is>
          <t>Giường Ngoại khoa loại 1 - Khoa Chấn thương chỉnh hình</t>
        </is>
      </c>
      <c r="F502" s="272" t="n">
        <v>1</v>
      </c>
      <c r="G502" s="272" t="n">
        <v>341800</v>
      </c>
    </row>
    <row r="503" ht="15.75" customHeight="1" s="248">
      <c r="A503" s="117" t="n">
        <v>495</v>
      </c>
      <c r="B503" s="117" t="inlineStr">
        <is>
          <t>2026/06/07 00:00</t>
        </is>
      </c>
      <c r="C503" s="117" t="inlineStr">
        <is>
          <t>HUỲNH THANH HÙNG</t>
        </is>
      </c>
      <c r="D503" s="117" t="inlineStr">
        <is>
          <t>01/01/1945</t>
        </is>
      </c>
      <c r="E503" s="117" t="inlineStr">
        <is>
          <t>Giường Ngoại khoa loại 1 - Khoa Chấn thương chỉnh hình</t>
        </is>
      </c>
      <c r="F503" s="272" t="n">
        <v>1</v>
      </c>
      <c r="G503" s="272" t="n">
        <v>341800</v>
      </c>
    </row>
    <row r="504" ht="15.75" customHeight="1" s="248">
      <c r="A504" s="117" t="n">
        <v>496</v>
      </c>
      <c r="B504" s="117" t="inlineStr">
        <is>
          <t>2026/06/07 00:00</t>
        </is>
      </c>
      <c r="C504" s="117" t="inlineStr">
        <is>
          <t>LÊ THỊ Y BÌNH</t>
        </is>
      </c>
      <c r="D504" s="117" t="inlineStr">
        <is>
          <t>06/08/1995</t>
        </is>
      </c>
      <c r="E504" s="117" t="inlineStr">
        <is>
          <t>Giường Ngoại khoa loại 1 - Khoa Chấn thương chỉnh hình</t>
        </is>
      </c>
      <c r="F504" s="272" t="n">
        <v>1</v>
      </c>
      <c r="G504" s="272" t="n">
        <v>341800</v>
      </c>
    </row>
    <row r="505" ht="15.75" customHeight="1" s="248">
      <c r="A505" s="117" t="n">
        <v>497</v>
      </c>
      <c r="B505" s="117" t="inlineStr">
        <is>
          <t>2026/06/07 00:00</t>
        </is>
      </c>
      <c r="C505" s="117" t="inlineStr">
        <is>
          <t>MAI THÀNH DƯƠNG</t>
        </is>
      </c>
      <c r="D505" s="117" t="inlineStr">
        <is>
          <t>10/04/1964</t>
        </is>
      </c>
      <c r="E505" s="117" t="inlineStr">
        <is>
          <t>Giường Ngoại khoa loại 3 - Khoa Chấn thương chỉnh hình</t>
        </is>
      </c>
      <c r="F505" s="272" t="n">
        <v>1</v>
      </c>
      <c r="G505" s="272" t="n">
        <v>269200</v>
      </c>
    </row>
    <row r="506" ht="15.75" customHeight="1" s="248">
      <c r="A506" s="117" t="n">
        <v>498</v>
      </c>
      <c r="B506" s="117" t="inlineStr">
        <is>
          <t>2026/06/07 00:00</t>
        </is>
      </c>
      <c r="C506" s="117" t="inlineStr">
        <is>
          <t>NGUYỄN THỊ CHUỐI</t>
        </is>
      </c>
      <c r="D506" s="117" t="inlineStr">
        <is>
          <t>06/08/1952</t>
        </is>
      </c>
      <c r="E506" s="117" t="inlineStr">
        <is>
          <t>Giường Nội khoa loại 2 - Khoa Chấn thương chỉnh hình</t>
        </is>
      </c>
      <c r="F506" s="272" t="n">
        <v>1</v>
      </c>
      <c r="G506" s="272" t="n">
        <v>222300</v>
      </c>
    </row>
    <row r="507" ht="15.75" customHeight="1" s="248">
      <c r="A507" s="117" t="n">
        <v>499</v>
      </c>
      <c r="B507" s="117" t="inlineStr">
        <is>
          <t>2026/06/07 00:00</t>
        </is>
      </c>
      <c r="C507" s="117" t="inlineStr">
        <is>
          <t>NGUYỄN THỊ KỶ</t>
        </is>
      </c>
      <c r="D507" s="117" t="inlineStr">
        <is>
          <t>01/01/1949</t>
        </is>
      </c>
      <c r="E507" s="117" t="inlineStr">
        <is>
          <t>Giường Ngoại khoa loại 3 - Khoa Chấn thương chỉnh hình</t>
        </is>
      </c>
      <c r="F507" s="272" t="n">
        <v>1</v>
      </c>
      <c r="G507" s="272" t="n">
        <v>269200</v>
      </c>
    </row>
    <row r="508" ht="15.75" customHeight="1" s="248">
      <c r="A508" s="117" t="n">
        <v>500</v>
      </c>
      <c r="B508" s="117" t="inlineStr">
        <is>
          <t>2026/06/07 00:00</t>
        </is>
      </c>
      <c r="C508" s="117" t="inlineStr">
        <is>
          <t>NGUYỄN THỊ NGÂN</t>
        </is>
      </c>
      <c r="D508" s="117" t="inlineStr">
        <is>
          <t>01/01/1954</t>
        </is>
      </c>
      <c r="E508" s="117" t="inlineStr">
        <is>
          <t>Giường Ngoại khoa loại 3 - Khoa Chấn thương chỉnh hình</t>
        </is>
      </c>
      <c r="F508" s="272" t="n">
        <v>1</v>
      </c>
      <c r="G508" s="272" t="n">
        <v>269200</v>
      </c>
    </row>
    <row r="509" ht="15.75" customHeight="1" s="248">
      <c r="A509" s="117" t="n">
        <v>501</v>
      </c>
      <c r="B509" s="117" t="inlineStr">
        <is>
          <t>2026/06/07 00:00</t>
        </is>
      </c>
      <c r="C509" s="117" t="inlineStr">
        <is>
          <t>PHẠM THỊ HOA</t>
        </is>
      </c>
      <c r="D509" s="117" t="inlineStr">
        <is>
          <t>01/01/1946</t>
        </is>
      </c>
      <c r="E509" s="117" t="inlineStr">
        <is>
          <t>Giường Ngoại khoa loại 2 - Khoa Chấn thương chỉnh hình</t>
        </is>
      </c>
      <c r="F509" s="272" t="n">
        <v>1</v>
      </c>
      <c r="G509" s="272" t="n">
        <v>301600</v>
      </c>
    </row>
    <row r="510" ht="15.75" customHeight="1" s="248">
      <c r="A510" s="117" t="n">
        <v>502</v>
      </c>
      <c r="B510" s="117" t="inlineStr">
        <is>
          <t>2026/06/07 00:00</t>
        </is>
      </c>
      <c r="C510" s="117" t="inlineStr">
        <is>
          <t>TRẦN VĂN LÂM</t>
        </is>
      </c>
      <c r="D510" s="117" t="inlineStr">
        <is>
          <t>27/09/1964</t>
        </is>
      </c>
      <c r="E510" s="117" t="inlineStr">
        <is>
          <t>Giường Ngoại khoa loại 1 - Khoa Chấn thương chỉnh hình</t>
        </is>
      </c>
      <c r="F510" s="272" t="n">
        <v>1</v>
      </c>
      <c r="G510" s="272" t="n">
        <v>341800</v>
      </c>
    </row>
    <row r="511" ht="15.75" customHeight="1" s="248">
      <c r="A511" s="117" t="n">
        <v>503</v>
      </c>
      <c r="B511" s="117" t="inlineStr">
        <is>
          <t>2026/06/07 00:00</t>
        </is>
      </c>
      <c r="C511" s="117" t="inlineStr">
        <is>
          <t>TẠ VĂN DƯ</t>
        </is>
      </c>
      <c r="D511" s="117" t="inlineStr">
        <is>
          <t>01/01/1989</t>
        </is>
      </c>
      <c r="E511" s="117" t="inlineStr">
        <is>
          <t>Giường Ngoại khoa loại 2 - Khoa Chấn thương chỉnh hình</t>
        </is>
      </c>
      <c r="F511" s="272" t="n">
        <v>1</v>
      </c>
      <c r="G511" s="272" t="n">
        <v>301600</v>
      </c>
    </row>
    <row r="512" ht="15.75" customHeight="1" s="248">
      <c r="A512" s="117" t="n">
        <v>504</v>
      </c>
      <c r="B512" s="117" t="inlineStr">
        <is>
          <t>2026/06/07 00:00</t>
        </is>
      </c>
      <c r="C512" s="117" t="inlineStr">
        <is>
          <t>VÕ KIM ANH</t>
        </is>
      </c>
      <c r="D512" s="117" t="inlineStr">
        <is>
          <t>31/12/1939</t>
        </is>
      </c>
      <c r="E512" s="117" t="inlineStr">
        <is>
          <t>Giường Nội khoa loại 2 - Khoa Chấn thương chỉnh hình</t>
        </is>
      </c>
      <c r="F512" s="272" t="n">
        <v>1</v>
      </c>
      <c r="G512" s="272" t="n">
        <v>222300</v>
      </c>
    </row>
    <row r="513" ht="15.75" customHeight="1" s="248">
      <c r="A513" s="117" t="n">
        <v>505</v>
      </c>
      <c r="B513" s="117" t="inlineStr">
        <is>
          <t>2026/06/07 00:00</t>
        </is>
      </c>
      <c r="C513" s="117" t="inlineStr">
        <is>
          <t>VÕ THỊ HỒNG LIÊN</t>
        </is>
      </c>
      <c r="D513" s="117" t="inlineStr">
        <is>
          <t>16/12/1948</t>
        </is>
      </c>
      <c r="E513" s="117" t="inlineStr">
        <is>
          <t>Giường Nội khoa loại 2 - Khoa Chấn thương chỉnh hình</t>
        </is>
      </c>
      <c r="F513" s="272" t="n">
        <v>1</v>
      </c>
      <c r="G513" s="272" t="n">
        <v>222300</v>
      </c>
    </row>
    <row r="514" ht="15.75" customHeight="1" s="248">
      <c r="A514" s="117" t="n">
        <v>506</v>
      </c>
      <c r="B514" s="117" t="inlineStr">
        <is>
          <t>2026/06/07 23:59</t>
        </is>
      </c>
      <c r="C514" s="117" t="inlineStr">
        <is>
          <t>NGUYỄN HOÀNG SƠN GIANG</t>
        </is>
      </c>
      <c r="D514" s="117" t="inlineStr">
        <is>
          <t>25/01/1976</t>
        </is>
      </c>
      <c r="E514" s="117" t="inlineStr">
        <is>
          <t>Giường Ngoại khoa loại 2 - Khoa Chấn thương chỉnh hình</t>
        </is>
      </c>
      <c r="F514" s="272" t="n">
        <v>1</v>
      </c>
      <c r="G514" s="272" t="n">
        <v>301600</v>
      </c>
    </row>
    <row r="515" ht="15.75" customHeight="1" s="248">
      <c r="A515" s="117" t="n">
        <v>507</v>
      </c>
      <c r="B515" s="117" t="inlineStr">
        <is>
          <t>2026/06/07 23:59</t>
        </is>
      </c>
      <c r="C515" s="117" t="inlineStr">
        <is>
          <t>PHẠM THỊ ANH THƯ</t>
        </is>
      </c>
      <c r="D515" s="117" t="inlineStr">
        <is>
          <t>19/03/2007</t>
        </is>
      </c>
      <c r="E515" s="117" t="inlineStr">
        <is>
          <t>Giường Ngoại khoa loại 3 - Khoa Chấn thương chỉnh hình</t>
        </is>
      </c>
      <c r="F515" s="272" t="n">
        <v>1</v>
      </c>
      <c r="G515" s="272" t="n">
        <v>269200</v>
      </c>
    </row>
    <row r="516" ht="15.75" customHeight="1" s="248">
      <c r="A516" s="117" t="n">
        <v>508</v>
      </c>
      <c r="B516" s="117" t="inlineStr">
        <is>
          <t>2026/06/08 00:00</t>
        </is>
      </c>
      <c r="C516" s="117" t="inlineStr">
        <is>
          <t>HUỲNH NGỌC SƯƠNG</t>
        </is>
      </c>
      <c r="D516" s="117" t="inlineStr">
        <is>
          <t>05/05/1954</t>
        </is>
      </c>
      <c r="E516" s="117" t="inlineStr">
        <is>
          <t>Giường Nội khoa loại 2 - Khoa Chấn thương chỉnh hình</t>
        </is>
      </c>
      <c r="F516" s="272" t="n">
        <v>1</v>
      </c>
      <c r="G516" s="272" t="n">
        <v>222300</v>
      </c>
    </row>
    <row r="517" ht="15.75" customHeight="1" s="248">
      <c r="A517" s="117" t="n">
        <v>509</v>
      </c>
      <c r="B517" s="117" t="inlineStr">
        <is>
          <t>2026/06/08 00:00</t>
        </is>
      </c>
      <c r="C517" s="117" t="inlineStr">
        <is>
          <t>KHUẤT HÙNG</t>
        </is>
      </c>
      <c r="D517" s="117" t="inlineStr">
        <is>
          <t>01/01/1948</t>
        </is>
      </c>
      <c r="E517" s="117" t="inlineStr">
        <is>
          <t>Giường Ngoại khoa loại 3 - Khoa Chấn thương chỉnh hình</t>
        </is>
      </c>
      <c r="F517" s="272" t="n">
        <v>1</v>
      </c>
      <c r="G517" s="272" t="n">
        <v>269200</v>
      </c>
    </row>
    <row r="518" ht="15.75" customHeight="1" s="248">
      <c r="A518" s="117" t="n">
        <v>510</v>
      </c>
      <c r="B518" s="117" t="inlineStr">
        <is>
          <t>2026/06/08 00:00</t>
        </is>
      </c>
      <c r="C518" s="117" t="inlineStr">
        <is>
          <t>LÂM THỊ MỘNG TRINH</t>
        </is>
      </c>
      <c r="D518" s="117" t="inlineStr">
        <is>
          <t>01/01/1983</t>
        </is>
      </c>
      <c r="E518" s="117" t="inlineStr">
        <is>
          <t>Giường Ngoại khoa loại 3 - Khoa Chấn thương chỉnh hình</t>
        </is>
      </c>
      <c r="F518" s="272" t="n">
        <v>1</v>
      </c>
      <c r="G518" s="272" t="n">
        <v>269200</v>
      </c>
    </row>
    <row r="519" ht="15.75" customHeight="1" s="248">
      <c r="A519" s="117" t="n">
        <v>511</v>
      </c>
      <c r="B519" s="117" t="inlineStr">
        <is>
          <t>2026/06/08 00:00</t>
        </is>
      </c>
      <c r="C519" s="117" t="inlineStr">
        <is>
          <t>LÊ THỊ NGỌC BÍCH</t>
        </is>
      </c>
      <c r="D519" s="117" t="inlineStr">
        <is>
          <t>01/01/1956</t>
        </is>
      </c>
      <c r="E519" s="117" t="inlineStr">
        <is>
          <t>Giường Ngoại khoa loại 2 - Khoa Chấn thương chỉnh hình</t>
        </is>
      </c>
      <c r="F519" s="272" t="n">
        <v>1</v>
      </c>
      <c r="G519" s="272" t="n">
        <v>301600</v>
      </c>
    </row>
    <row r="520" ht="15.75" customHeight="1" s="248">
      <c r="A520" s="117" t="n">
        <v>512</v>
      </c>
      <c r="B520" s="117" t="inlineStr">
        <is>
          <t>2026/06/08 00:00</t>
        </is>
      </c>
      <c r="C520" s="117" t="inlineStr">
        <is>
          <t>LÊ THỊ THU</t>
        </is>
      </c>
      <c r="D520" s="117" t="inlineStr">
        <is>
          <t>07/12/1965</t>
        </is>
      </c>
      <c r="E520" s="117" t="inlineStr">
        <is>
          <t>Giường Nội khoa loại 2 - Khoa Chấn thương chỉnh hình</t>
        </is>
      </c>
      <c r="F520" s="272" t="n">
        <v>1</v>
      </c>
      <c r="G520" s="272" t="n">
        <v>222300</v>
      </c>
    </row>
    <row r="521" ht="15.75" customHeight="1" s="248">
      <c r="A521" s="117" t="n">
        <v>513</v>
      </c>
      <c r="B521" s="117" t="inlineStr">
        <is>
          <t>2026/06/08 00:00</t>
        </is>
      </c>
      <c r="C521" s="117" t="inlineStr">
        <is>
          <t>LÝ VĂN KHƯƠNG</t>
        </is>
      </c>
      <c r="D521" s="117" t="inlineStr">
        <is>
          <t>05/06/1970</t>
        </is>
      </c>
      <c r="E521" s="117" t="inlineStr">
        <is>
          <t>Giường Nội khoa loại 2 - Khoa Chấn thương chỉnh hình</t>
        </is>
      </c>
      <c r="F521" s="272" t="n">
        <v>1</v>
      </c>
      <c r="G521" s="272" t="n">
        <v>222300</v>
      </c>
    </row>
    <row r="522" ht="15.75" customHeight="1" s="248">
      <c r="A522" s="117" t="n">
        <v>514</v>
      </c>
      <c r="B522" s="117" t="inlineStr">
        <is>
          <t>2026/06/08 00:00</t>
        </is>
      </c>
      <c r="C522" s="117" t="inlineStr">
        <is>
          <t>LƯƠNG THỊ PHƯỢNG</t>
        </is>
      </c>
      <c r="D522" s="117" t="inlineStr">
        <is>
          <t>13/07/1965</t>
        </is>
      </c>
      <c r="E522" s="117" t="inlineStr">
        <is>
          <t>Giường Ngoại khoa loại 4 - Khoa Chấn thương chỉnh hình</t>
        </is>
      </c>
      <c r="F522" s="272" t="n">
        <v>1</v>
      </c>
      <c r="G522" s="272" t="n">
        <v>229200</v>
      </c>
    </row>
    <row r="523" ht="15.75" customHeight="1" s="248">
      <c r="A523" s="117" t="n">
        <v>515</v>
      </c>
      <c r="B523" s="117" t="inlineStr">
        <is>
          <t>2026/06/08 00:00</t>
        </is>
      </c>
      <c r="C523" s="117" t="inlineStr">
        <is>
          <t>MAI THÀNH DƯƠNG</t>
        </is>
      </c>
      <c r="D523" s="117" t="inlineStr">
        <is>
          <t>10/04/1964</t>
        </is>
      </c>
      <c r="E523" s="117" t="inlineStr">
        <is>
          <t>Giường Nội khoa loại 2 - Khoa Chấn thương chỉnh hình</t>
        </is>
      </c>
      <c r="F523" s="272" t="n">
        <v>1</v>
      </c>
      <c r="G523" s="272" t="n">
        <v>222300</v>
      </c>
    </row>
    <row r="524" ht="15.75" customHeight="1" s="248">
      <c r="A524" s="117" t="n">
        <v>516</v>
      </c>
      <c r="B524" s="117" t="inlineStr">
        <is>
          <t>2026/06/08 00:00</t>
        </is>
      </c>
      <c r="C524" s="117" t="inlineStr">
        <is>
          <t>NGUYỄN THỊ CHUỐI</t>
        </is>
      </c>
      <c r="D524" s="117" t="inlineStr">
        <is>
          <t>06/08/1952</t>
        </is>
      </c>
      <c r="E524" s="117" t="inlineStr">
        <is>
          <t>Giường Nội khoa loại 2 - Khoa Chấn thương chỉnh hình</t>
        </is>
      </c>
      <c r="F524" s="272" t="n">
        <v>1</v>
      </c>
      <c r="G524" s="272" t="n">
        <v>222300</v>
      </c>
    </row>
    <row r="525" ht="15.75" customHeight="1" s="248">
      <c r="A525" s="117" t="n">
        <v>517</v>
      </c>
      <c r="B525" s="117" t="inlineStr">
        <is>
          <t>2026/06/08 00:00</t>
        </is>
      </c>
      <c r="C525" s="117" t="inlineStr">
        <is>
          <t>NGUYỄN THỊ THỦY</t>
        </is>
      </c>
      <c r="D525" s="117" t="inlineStr">
        <is>
          <t>01/01/1963</t>
        </is>
      </c>
      <c r="E525" s="117" t="inlineStr">
        <is>
          <t>Giường Ngoại khoa loại 1 - Khoa Chấn thương chỉnh hình</t>
        </is>
      </c>
      <c r="F525" s="272" t="n">
        <v>1</v>
      </c>
      <c r="G525" s="272" t="n">
        <v>341800</v>
      </c>
    </row>
    <row r="526" ht="15.75" customHeight="1" s="248">
      <c r="A526" s="117" t="n">
        <v>518</v>
      </c>
      <c r="B526" s="117" t="inlineStr">
        <is>
          <t>2026/06/08 00:00</t>
        </is>
      </c>
      <c r="C526" s="117" t="inlineStr">
        <is>
          <t>NGUYỄN VĂN CẤP</t>
        </is>
      </c>
      <c r="D526" s="117" t="inlineStr">
        <is>
          <t>01/01/1957</t>
        </is>
      </c>
      <c r="E526" s="117" t="inlineStr">
        <is>
          <t>Giường Ngoại khoa loại 1 - Khoa Chấn thương chỉnh hình</t>
        </is>
      </c>
      <c r="F526" s="272" t="n">
        <v>1</v>
      </c>
      <c r="G526" s="272" t="n">
        <v>341800</v>
      </c>
    </row>
    <row r="527" ht="15.75" customHeight="1" s="248">
      <c r="A527" s="117" t="n">
        <v>519</v>
      </c>
      <c r="B527" s="117" t="inlineStr">
        <is>
          <t>2026/06/08 00:00</t>
        </is>
      </c>
      <c r="C527" s="117" t="inlineStr">
        <is>
          <t>PHAN NGỌC ĐIỆP</t>
        </is>
      </c>
      <c r="D527" s="117" t="inlineStr">
        <is>
          <t>19/05/1969</t>
        </is>
      </c>
      <c r="E527" s="117" t="inlineStr">
        <is>
          <t>Giường Nội khoa loại 2 - Khoa Chấn thương chỉnh hình</t>
        </is>
      </c>
      <c r="F527" s="272" t="n">
        <v>1</v>
      </c>
      <c r="G527" s="272" t="n">
        <v>222300</v>
      </c>
    </row>
    <row r="528" ht="15.75" customHeight="1" s="248">
      <c r="A528" s="117" t="n">
        <v>520</v>
      </c>
      <c r="B528" s="117" t="inlineStr">
        <is>
          <t>2026/06/08 00:00</t>
        </is>
      </c>
      <c r="C528" s="117" t="inlineStr">
        <is>
          <t>PHAN TUẤN GIỚI</t>
        </is>
      </c>
      <c r="D528" s="117" t="inlineStr">
        <is>
          <t>15/02/1965</t>
        </is>
      </c>
      <c r="E528" s="117" t="inlineStr">
        <is>
          <t>Giường Ngoại khoa loại 1 - Khoa Chấn thương chỉnh hình</t>
        </is>
      </c>
      <c r="F528" s="272" t="n">
        <v>1</v>
      </c>
      <c r="G528" s="272" t="n">
        <v>341800</v>
      </c>
    </row>
    <row r="529" ht="15.75" customHeight="1" s="248">
      <c r="A529" s="117" t="n">
        <v>521</v>
      </c>
      <c r="B529" s="117" t="inlineStr">
        <is>
          <t>2026/06/08 00:00</t>
        </is>
      </c>
      <c r="C529" s="117" t="inlineStr">
        <is>
          <t>PHẠM THỊ HỒNG GẤM</t>
        </is>
      </c>
      <c r="D529" s="117" t="inlineStr">
        <is>
          <t>01/01/1979</t>
        </is>
      </c>
      <c r="E529" s="117" t="inlineStr">
        <is>
          <t>Giường Ngoại khoa loại 1 - Khoa Chấn thương chỉnh hình</t>
        </is>
      </c>
      <c r="F529" s="272" t="n">
        <v>1</v>
      </c>
      <c r="G529" s="272" t="n">
        <v>341800</v>
      </c>
    </row>
    <row r="530" ht="15.75" customHeight="1" s="248">
      <c r="A530" s="117" t="n">
        <v>522</v>
      </c>
      <c r="B530" s="117" t="inlineStr">
        <is>
          <t>2026/06/08 00:00</t>
        </is>
      </c>
      <c r="C530" s="117" t="inlineStr">
        <is>
          <t>TÔN VĂN PHƯỚC</t>
        </is>
      </c>
      <c r="D530" s="117" t="inlineStr">
        <is>
          <t>01/01/1970</t>
        </is>
      </c>
      <c r="E530" s="117" t="inlineStr">
        <is>
          <t>Giường Nội khoa loại 2 - Khoa Chấn thương chỉnh hình</t>
        </is>
      </c>
      <c r="F530" s="272" t="n">
        <v>1</v>
      </c>
      <c r="G530" s="272" t="n">
        <v>222300</v>
      </c>
    </row>
    <row r="531" ht="15.75" customHeight="1" s="248">
      <c r="A531" s="117" t="n">
        <v>523</v>
      </c>
      <c r="B531" s="117" t="inlineStr">
        <is>
          <t>2026/06/08 00:00</t>
        </is>
      </c>
      <c r="C531" s="117" t="inlineStr">
        <is>
          <t>UNG HUỲNH TÂM</t>
        </is>
      </c>
      <c r="D531" s="117" t="inlineStr">
        <is>
          <t>15/05/1984</t>
        </is>
      </c>
      <c r="E531" s="117" t="inlineStr">
        <is>
          <t>Giường Ngoại khoa loại 3 - Khoa Chấn thương chỉnh hình</t>
        </is>
      </c>
      <c r="F531" s="272" t="n">
        <v>1</v>
      </c>
      <c r="G531" s="272" t="n">
        <v>269200</v>
      </c>
    </row>
    <row r="532" ht="15.75" customHeight="1" s="248">
      <c r="A532" s="117" t="n">
        <v>524</v>
      </c>
      <c r="B532" s="117" t="inlineStr">
        <is>
          <t>2026/06/08 00:00</t>
        </is>
      </c>
      <c r="C532" s="117" t="inlineStr">
        <is>
          <t>VÕ THỊ KIẾU</t>
        </is>
      </c>
      <c r="D532" s="117" t="inlineStr">
        <is>
          <t>01/01/1955</t>
        </is>
      </c>
      <c r="E532" s="117" t="inlineStr">
        <is>
          <t>Giường Nội khoa loại 2 - Khoa Chấn thương chỉnh hình</t>
        </is>
      </c>
      <c r="F532" s="272" t="n">
        <v>1</v>
      </c>
      <c r="G532" s="272" t="n">
        <v>222300</v>
      </c>
    </row>
    <row r="533" ht="15.75" customHeight="1" s="248">
      <c r="A533" s="117" t="n">
        <v>525</v>
      </c>
      <c r="B533" s="117" t="inlineStr">
        <is>
          <t>2026/06/08 00:00</t>
        </is>
      </c>
      <c r="C533" s="117" t="inlineStr">
        <is>
          <t>VÕ TẤN HƯNG</t>
        </is>
      </c>
      <c r="D533" s="117" t="inlineStr">
        <is>
          <t>19/09/1963</t>
        </is>
      </c>
      <c r="E533" s="117" t="inlineStr">
        <is>
          <t>Giường Nội khoa loại 2 - Khoa Chấn thương chỉnh hình</t>
        </is>
      </c>
      <c r="F533" s="272" t="n">
        <v>1</v>
      </c>
      <c r="G533" s="272" t="n">
        <v>222300</v>
      </c>
    </row>
    <row r="534" ht="15.75" customHeight="1" s="248">
      <c r="A534" s="117" t="n">
        <v>526</v>
      </c>
      <c r="B534" s="117" t="inlineStr">
        <is>
          <t>2026/06/08 00:00</t>
        </is>
      </c>
      <c r="C534" s="117" t="inlineStr">
        <is>
          <t>VŨ THÀNH ĐẠT</t>
        </is>
      </c>
      <c r="D534" s="117" t="inlineStr">
        <is>
          <t>01/02/1955</t>
        </is>
      </c>
      <c r="E534" s="117" t="inlineStr">
        <is>
          <t>Giường Nội khoa loại 2 - Khoa Chấn thương chỉnh hình</t>
        </is>
      </c>
      <c r="F534" s="272" t="n">
        <v>1</v>
      </c>
      <c r="G534" s="272" t="n">
        <v>222300</v>
      </c>
    </row>
    <row r="535" ht="15.75" customHeight="1" s="248">
      <c r="A535" s="117" t="n">
        <v>527</v>
      </c>
      <c r="B535" s="117" t="inlineStr">
        <is>
          <t>2026/06/08 00:00</t>
        </is>
      </c>
      <c r="C535" s="117" t="inlineStr">
        <is>
          <t>CHÂU THỊ ĐỦ</t>
        </is>
      </c>
      <c r="D535" s="117" t="inlineStr">
        <is>
          <t>01/01/1963</t>
        </is>
      </c>
      <c r="E535" s="117" t="inlineStr">
        <is>
          <t>Giường Ngoại khoa loại 1 - Khoa Chấn thương chỉnh hình</t>
        </is>
      </c>
      <c r="F535" s="272" t="n">
        <v>1</v>
      </c>
      <c r="G535" s="272" t="n">
        <v>341800</v>
      </c>
    </row>
    <row r="536" ht="15.75" customHeight="1" s="248">
      <c r="A536" s="117" t="n">
        <v>528</v>
      </c>
      <c r="B536" s="117" t="inlineStr">
        <is>
          <t>2026/06/08 00:00</t>
        </is>
      </c>
      <c r="C536" s="117" t="inlineStr">
        <is>
          <t>DƯƠNG VIỆT ĐA</t>
        </is>
      </c>
      <c r="D536" s="117" t="inlineStr">
        <is>
          <t>30/08/1986</t>
        </is>
      </c>
      <c r="E536" s="117" t="inlineStr">
        <is>
          <t>Giường Ngoại khoa loại 1 - Khoa Chấn thương chỉnh hình</t>
        </is>
      </c>
      <c r="F536" s="272" t="n">
        <v>1</v>
      </c>
      <c r="G536" s="272" t="n">
        <v>341800</v>
      </c>
    </row>
    <row r="537" ht="15.75" customHeight="1" s="248">
      <c r="A537" s="117" t="n">
        <v>529</v>
      </c>
      <c r="B537" s="117" t="inlineStr">
        <is>
          <t>2026/06/08 00:00</t>
        </is>
      </c>
      <c r="C537" s="117" t="inlineStr">
        <is>
          <t>HUỲNH THANH HÙNG</t>
        </is>
      </c>
      <c r="D537" s="117" t="inlineStr">
        <is>
          <t>01/01/1945</t>
        </is>
      </c>
      <c r="E537" s="117" t="inlineStr">
        <is>
          <t>Giường Ngoại khoa loại 1 - Khoa Chấn thương chỉnh hình</t>
        </is>
      </c>
      <c r="F537" s="272" t="n">
        <v>1</v>
      </c>
      <c r="G537" s="272" t="n">
        <v>341800</v>
      </c>
    </row>
    <row r="538" ht="15.75" customHeight="1" s="248">
      <c r="A538" s="117" t="n">
        <v>530</v>
      </c>
      <c r="B538" s="117" t="inlineStr">
        <is>
          <t>2026/06/08 00:00</t>
        </is>
      </c>
      <c r="C538" s="117" t="inlineStr">
        <is>
          <t>LÊ THỊ Y BÌNH</t>
        </is>
      </c>
      <c r="D538" s="117" t="inlineStr">
        <is>
          <t>06/08/1995</t>
        </is>
      </c>
      <c r="E538" s="117" t="inlineStr">
        <is>
          <t>Giường Ngoại khoa loại 1 - Khoa Chấn thương chỉnh hình</t>
        </is>
      </c>
      <c r="F538" s="272" t="n">
        <v>1</v>
      </c>
      <c r="G538" s="272" t="n">
        <v>341800</v>
      </c>
    </row>
    <row r="539" ht="15.75" customHeight="1" s="248">
      <c r="A539" s="117" t="n">
        <v>531</v>
      </c>
      <c r="B539" s="117" t="inlineStr">
        <is>
          <t>2026/06/08 00:00</t>
        </is>
      </c>
      <c r="C539" s="117" t="inlineStr">
        <is>
          <t>NGUYỄN THỊ KỶ</t>
        </is>
      </c>
      <c r="D539" s="117" t="inlineStr">
        <is>
          <t>01/01/1949</t>
        </is>
      </c>
      <c r="E539" s="117" t="inlineStr">
        <is>
          <t>Giường Ngoại khoa loại 3 - Khoa Chấn thương chỉnh hình</t>
        </is>
      </c>
      <c r="F539" s="272" t="n">
        <v>1</v>
      </c>
      <c r="G539" s="272" t="n">
        <v>269200</v>
      </c>
    </row>
    <row r="540" ht="15.75" customHeight="1" s="248">
      <c r="A540" s="117" t="n">
        <v>532</v>
      </c>
      <c r="B540" s="117" t="inlineStr">
        <is>
          <t>2026/06/08 00:00</t>
        </is>
      </c>
      <c r="C540" s="117" t="inlineStr">
        <is>
          <t>NGUYỄN THỊ NGÂN</t>
        </is>
      </c>
      <c r="D540" s="117" t="inlineStr">
        <is>
          <t>01/01/1954</t>
        </is>
      </c>
      <c r="E540" s="117" t="inlineStr">
        <is>
          <t>Giường Ngoại khoa loại 3 - Khoa Chấn thương chỉnh hình</t>
        </is>
      </c>
      <c r="F540" s="272" t="n">
        <v>1</v>
      </c>
      <c r="G540" s="272" t="n">
        <v>269200</v>
      </c>
    </row>
    <row r="541" ht="15.75" customHeight="1" s="248">
      <c r="A541" s="117" t="n">
        <v>533</v>
      </c>
      <c r="B541" s="117" t="inlineStr">
        <is>
          <t>2026/06/08 00:00</t>
        </is>
      </c>
      <c r="C541" s="117" t="inlineStr">
        <is>
          <t>PHẠM THỊ HOA</t>
        </is>
      </c>
      <c r="D541" s="117" t="inlineStr">
        <is>
          <t>01/01/1946</t>
        </is>
      </c>
      <c r="E541" s="117" t="inlineStr">
        <is>
          <t>Giường Ngoại khoa loại 2 - Khoa Chấn thương chỉnh hình</t>
        </is>
      </c>
      <c r="F541" s="272" t="n">
        <v>1</v>
      </c>
      <c r="G541" s="272" t="n">
        <v>301600</v>
      </c>
    </row>
    <row r="542" ht="15.75" customHeight="1" s="248">
      <c r="A542" s="117" t="n">
        <v>534</v>
      </c>
      <c r="B542" s="117" t="inlineStr">
        <is>
          <t>2026/06/08 00:00</t>
        </is>
      </c>
      <c r="C542" s="117" t="inlineStr">
        <is>
          <t>TRẦN VĂN LÂM</t>
        </is>
      </c>
      <c r="D542" s="117" t="inlineStr">
        <is>
          <t>27/09/1964</t>
        </is>
      </c>
      <c r="E542" s="117" t="inlineStr">
        <is>
          <t>Giường Ngoại khoa loại 1 - Khoa Chấn thương chỉnh hình</t>
        </is>
      </c>
      <c r="F542" s="272" t="n">
        <v>1</v>
      </c>
      <c r="G542" s="272" t="n">
        <v>341800</v>
      </c>
    </row>
    <row r="543" ht="15.75" customHeight="1" s="248">
      <c r="A543" s="117" t="n">
        <v>535</v>
      </c>
      <c r="B543" s="117" t="inlineStr">
        <is>
          <t>2026/06/08 00:00</t>
        </is>
      </c>
      <c r="C543" s="117" t="inlineStr">
        <is>
          <t>TẠ VĂN DƯ</t>
        </is>
      </c>
      <c r="D543" s="117" t="inlineStr">
        <is>
          <t>01/01/1989</t>
        </is>
      </c>
      <c r="E543" s="117" t="inlineStr">
        <is>
          <t>Giường Ngoại khoa loại 2 - Khoa Chấn thương chỉnh hình</t>
        </is>
      </c>
      <c r="F543" s="272" t="n">
        <v>1</v>
      </c>
      <c r="G543" s="272" t="n">
        <v>301600</v>
      </c>
    </row>
    <row r="544" ht="15.75" customHeight="1" s="248">
      <c r="A544" s="117" t="n">
        <v>536</v>
      </c>
      <c r="B544" s="117" t="inlineStr">
        <is>
          <t>2026/06/08 00:00</t>
        </is>
      </c>
      <c r="C544" s="117" t="inlineStr">
        <is>
          <t>VÕ THỊ HỒNG LIÊN</t>
        </is>
      </c>
      <c r="D544" s="117" t="inlineStr">
        <is>
          <t>16/12/1948</t>
        </is>
      </c>
      <c r="E544" s="117" t="inlineStr">
        <is>
          <t>Giường Nội khoa loại 2 - Khoa Chấn thương chỉnh hình</t>
        </is>
      </c>
      <c r="F544" s="272" t="n">
        <v>1</v>
      </c>
      <c r="G544" s="272" t="n">
        <v>222300</v>
      </c>
    </row>
    <row r="545" ht="15.75" customHeight="1" s="248">
      <c r="A545" s="117" t="n">
        <v>537</v>
      </c>
      <c r="B545" s="117" t="inlineStr">
        <is>
          <t>2026/06/08 07:00</t>
        </is>
      </c>
      <c r="C545" s="117" t="inlineStr">
        <is>
          <t>HUỲNH VĂN BÉ</t>
        </is>
      </c>
      <c r="D545" s="117" t="inlineStr">
        <is>
          <t>18/06/1960</t>
        </is>
      </c>
      <c r="E545" s="117" t="inlineStr">
        <is>
          <t>Giường Nội khoa loại 2 - Khoa Chấn thương chỉnh hình</t>
        </is>
      </c>
      <c r="F545" s="272" t="n">
        <v>1</v>
      </c>
      <c r="G545" s="272" t="n">
        <v>222300</v>
      </c>
    </row>
    <row r="546" ht="15.75" customHeight="1" s="248">
      <c r="A546" s="117" t="n">
        <v>538</v>
      </c>
      <c r="B546" s="117" t="inlineStr">
        <is>
          <t>2026/06/08 11:13</t>
        </is>
      </c>
      <c r="C546" s="117" t="inlineStr">
        <is>
          <t>NGUYỄN THỊ TRÚC LINH</t>
        </is>
      </c>
      <c r="D546" s="117" t="inlineStr">
        <is>
          <t>26/12/1991</t>
        </is>
      </c>
      <c r="E546" s="117" t="inlineStr">
        <is>
          <t>Giường Nội khoa loại 2 - Khoa Chấn thương chỉnh hình</t>
        </is>
      </c>
      <c r="F546" s="272" t="n">
        <v>1</v>
      </c>
      <c r="G546" s="272" t="n">
        <v>222300</v>
      </c>
    </row>
    <row r="547" ht="15.75" customHeight="1" s="248">
      <c r="A547" s="117" t="n">
        <v>539</v>
      </c>
      <c r="B547" s="117" t="inlineStr">
        <is>
          <t>2026/06/08 14:00</t>
        </is>
      </c>
      <c r="C547" s="117" t="inlineStr">
        <is>
          <t>THÁI THỊ THỦY</t>
        </is>
      </c>
      <c r="D547" s="117" t="inlineStr">
        <is>
          <t>01/01/1957</t>
        </is>
      </c>
      <c r="E547" s="117" t="inlineStr">
        <is>
          <t>Giường Nội khoa loại 2 - Khoa Chấn thương chỉnh hình</t>
        </is>
      </c>
      <c r="F547" s="272" t="n">
        <v>1</v>
      </c>
      <c r="G547" s="272" t="n">
        <v>222300</v>
      </c>
    </row>
    <row r="548" ht="15.75" customHeight="1" s="248">
      <c r="A548" s="117" t="n">
        <v>540</v>
      </c>
      <c r="B548" s="117" t="inlineStr">
        <is>
          <t>2026/06/08 15:31</t>
        </is>
      </c>
      <c r="C548" s="117" t="inlineStr">
        <is>
          <t>NGUYỄN THÀNH ĐƯỢC</t>
        </is>
      </c>
      <c r="D548" s="117" t="inlineStr">
        <is>
          <t>01/01/1961</t>
        </is>
      </c>
      <c r="E548" s="117" t="inlineStr">
        <is>
          <t>Giường Nội khoa loại 2 - Khoa Chấn thương chỉnh hình</t>
        </is>
      </c>
      <c r="F548" s="272" t="n">
        <v>1</v>
      </c>
      <c r="G548" s="272" t="n">
        <v>222300</v>
      </c>
    </row>
    <row r="549" ht="15.75" customHeight="1" s="248">
      <c r="A549" s="117" t="n">
        <v>541</v>
      </c>
      <c r="B549" s="117" t="inlineStr">
        <is>
          <t>2026/06/09 00:00</t>
        </is>
      </c>
      <c r="C549" s="117" t="inlineStr">
        <is>
          <t>HUỲNH NGỌC SƯƠNG</t>
        </is>
      </c>
      <c r="D549" s="117" t="inlineStr">
        <is>
          <t>05/05/1954</t>
        </is>
      </c>
      <c r="E549" s="117" t="inlineStr">
        <is>
          <t>Giường Nội khoa loại 2 - Khoa Chấn thương chỉnh hình</t>
        </is>
      </c>
      <c r="F549" s="272" t="n">
        <v>1</v>
      </c>
      <c r="G549" s="272" t="n">
        <v>222300</v>
      </c>
    </row>
    <row r="550" ht="15.75" customHeight="1" s="248">
      <c r="A550" s="117" t="n">
        <v>542</v>
      </c>
      <c r="B550" s="117" t="inlineStr">
        <is>
          <t>2026/06/09 00:00</t>
        </is>
      </c>
      <c r="C550" s="117" t="inlineStr">
        <is>
          <t>HUỲNH VĂN BÉ</t>
        </is>
      </c>
      <c r="D550" s="117" t="inlineStr">
        <is>
          <t>18/06/1960</t>
        </is>
      </c>
      <c r="E550" s="117" t="inlineStr">
        <is>
          <t>Giường Ngoại khoa loại 3 - Khoa Chấn thương chỉnh hình</t>
        </is>
      </c>
      <c r="F550" s="272" t="n">
        <v>1</v>
      </c>
      <c r="G550" s="272" t="n">
        <v>269200</v>
      </c>
    </row>
    <row r="551" ht="15.75" customHeight="1" s="248">
      <c r="A551" s="117" t="n">
        <v>543</v>
      </c>
      <c r="B551" s="117" t="inlineStr">
        <is>
          <t>2026/06/09 00:00</t>
        </is>
      </c>
      <c r="C551" s="117" t="inlineStr">
        <is>
          <t>KHUẤT HÙNG</t>
        </is>
      </c>
      <c r="D551" s="117" t="inlineStr">
        <is>
          <t>01/01/1948</t>
        </is>
      </c>
      <c r="E551" s="117" t="inlineStr">
        <is>
          <t>Giường Ngoại khoa loại 3 - Khoa Chấn thương chỉnh hình</t>
        </is>
      </c>
      <c r="F551" s="272" t="n">
        <v>1</v>
      </c>
      <c r="G551" s="272" t="n">
        <v>269200</v>
      </c>
    </row>
    <row r="552" ht="15.75" customHeight="1" s="248">
      <c r="A552" s="117" t="n">
        <v>544</v>
      </c>
      <c r="B552" s="117" t="inlineStr">
        <is>
          <t>2026/06/09 00:00</t>
        </is>
      </c>
      <c r="C552" s="117" t="inlineStr">
        <is>
          <t>LÊ THỊ NGỌC BÍCH</t>
        </is>
      </c>
      <c r="D552" s="117" t="inlineStr">
        <is>
          <t>01/01/1956</t>
        </is>
      </c>
      <c r="E552" s="117" t="inlineStr">
        <is>
          <t>Giường Ngoại khoa loại 2 - Khoa Chấn thương chỉnh hình</t>
        </is>
      </c>
      <c r="F552" s="272" t="n">
        <v>1</v>
      </c>
      <c r="G552" s="272" t="n">
        <v>301600</v>
      </c>
    </row>
    <row r="553" ht="15.75" customHeight="1" s="248">
      <c r="A553" s="117" t="n">
        <v>545</v>
      </c>
      <c r="B553" s="117" t="inlineStr">
        <is>
          <t>2026/06/09 00:00</t>
        </is>
      </c>
      <c r="C553" s="117" t="inlineStr">
        <is>
          <t>LÊ THỊ THU</t>
        </is>
      </c>
      <c r="D553" s="117" t="inlineStr">
        <is>
          <t>07/12/1965</t>
        </is>
      </c>
      <c r="E553" s="117" t="inlineStr">
        <is>
          <t>Giường Nội khoa loại 2 - Khoa Chấn thương chỉnh hình</t>
        </is>
      </c>
      <c r="F553" s="272" t="n">
        <v>1</v>
      </c>
      <c r="G553" s="272" t="n">
        <v>222300</v>
      </c>
    </row>
    <row r="554" ht="15.75" customHeight="1" s="248">
      <c r="A554" s="117" t="n">
        <v>546</v>
      </c>
      <c r="B554" s="117" t="inlineStr">
        <is>
          <t>2026/06/09 00:00</t>
        </is>
      </c>
      <c r="C554" s="117" t="inlineStr">
        <is>
          <t>LÝ VĂN KHƯƠNG</t>
        </is>
      </c>
      <c r="D554" s="117" t="inlineStr">
        <is>
          <t>05/06/1970</t>
        </is>
      </c>
      <c r="E554" s="117" t="inlineStr">
        <is>
          <t>Giường Nội khoa loại 2 - Khoa Chấn thương chỉnh hình</t>
        </is>
      </c>
      <c r="F554" s="272" t="n">
        <v>1</v>
      </c>
      <c r="G554" s="272" t="n">
        <v>222300</v>
      </c>
    </row>
    <row r="555" ht="15.75" customHeight="1" s="248">
      <c r="A555" s="117" t="n">
        <v>547</v>
      </c>
      <c r="B555" s="117" t="inlineStr">
        <is>
          <t>2026/06/09 00:00</t>
        </is>
      </c>
      <c r="C555" s="117" t="inlineStr">
        <is>
          <t>MAI THÀNH DƯƠNG</t>
        </is>
      </c>
      <c r="D555" s="117" t="inlineStr">
        <is>
          <t>10/04/1964</t>
        </is>
      </c>
      <c r="E555" s="117" t="inlineStr">
        <is>
          <t>Giường Nội khoa loại 2 - Khoa Chấn thương chỉnh hình</t>
        </is>
      </c>
      <c r="F555" s="272" t="n">
        <v>1</v>
      </c>
      <c r="G555" s="272" t="n">
        <v>222300</v>
      </c>
    </row>
    <row r="556" ht="15.75" customHeight="1" s="248">
      <c r="A556" s="117" t="n">
        <v>548</v>
      </c>
      <c r="B556" s="117" t="inlineStr">
        <is>
          <t>2026/06/09 00:00</t>
        </is>
      </c>
      <c r="C556" s="117" t="inlineStr">
        <is>
          <t>NGUYỄN THỊ CHUỐI</t>
        </is>
      </c>
      <c r="D556" s="117" t="inlineStr">
        <is>
          <t>06/08/1952</t>
        </is>
      </c>
      <c r="E556" s="117" t="inlineStr">
        <is>
          <t>Giường Nội khoa loại 2 - Khoa Chấn thương chỉnh hình</t>
        </is>
      </c>
      <c r="F556" s="272" t="n">
        <v>1</v>
      </c>
      <c r="G556" s="272" t="n">
        <v>222300</v>
      </c>
    </row>
    <row r="557" ht="15.75" customHeight="1" s="248">
      <c r="A557" s="117" t="n">
        <v>549</v>
      </c>
      <c r="B557" s="117" t="inlineStr">
        <is>
          <t>2026/06/09 00:00</t>
        </is>
      </c>
      <c r="C557" s="117" t="inlineStr">
        <is>
          <t>NGUYỄN THỊ TRÚC LINH</t>
        </is>
      </c>
      <c r="D557" s="117" t="inlineStr">
        <is>
          <t>26/12/1991</t>
        </is>
      </c>
      <c r="E557" s="117" t="inlineStr">
        <is>
          <t>Giường Ngoại khoa loại 3 - Khoa Chấn thương chỉnh hình</t>
        </is>
      </c>
      <c r="F557" s="272" t="n">
        <v>1</v>
      </c>
      <c r="G557" s="272" t="n">
        <v>269200</v>
      </c>
    </row>
    <row r="558" ht="15.75" customHeight="1" s="248">
      <c r="A558" s="117" t="n">
        <v>550</v>
      </c>
      <c r="B558" s="117" t="inlineStr">
        <is>
          <t>2026/06/09 00:00</t>
        </is>
      </c>
      <c r="C558" s="117" t="inlineStr">
        <is>
          <t>NGUYỄN VĂN CẤP</t>
        </is>
      </c>
      <c r="D558" s="117" t="inlineStr">
        <is>
          <t>01/01/1957</t>
        </is>
      </c>
      <c r="E558" s="117" t="inlineStr">
        <is>
          <t>Giường Ngoại khoa loại 1 - Khoa Chấn thương chỉnh hình</t>
        </is>
      </c>
      <c r="F558" s="272" t="n">
        <v>1</v>
      </c>
      <c r="G558" s="272" t="n">
        <v>341800</v>
      </c>
    </row>
    <row r="559" ht="15.75" customHeight="1" s="248">
      <c r="A559" s="117" t="n">
        <v>551</v>
      </c>
      <c r="B559" s="117" t="inlineStr">
        <is>
          <t>2026/06/09 00:00</t>
        </is>
      </c>
      <c r="C559" s="117" t="inlineStr">
        <is>
          <t>PHAN NGỌC ĐIỆP</t>
        </is>
      </c>
      <c r="D559" s="117" t="inlineStr">
        <is>
          <t>19/05/1969</t>
        </is>
      </c>
      <c r="E559" s="117" t="inlineStr">
        <is>
          <t>Giường Nội khoa loại 2 - Khoa Chấn thương chỉnh hình</t>
        </is>
      </c>
      <c r="F559" s="272" t="n">
        <v>1</v>
      </c>
      <c r="G559" s="272" t="n">
        <v>222300</v>
      </c>
    </row>
    <row r="560" ht="15.75" customHeight="1" s="248">
      <c r="A560" s="117" t="n">
        <v>552</v>
      </c>
      <c r="B560" s="117" t="inlineStr">
        <is>
          <t>2026/06/09 00:00</t>
        </is>
      </c>
      <c r="C560" s="117" t="inlineStr">
        <is>
          <t>PHAN TUẤN GIỚI</t>
        </is>
      </c>
      <c r="D560" s="117" t="inlineStr">
        <is>
          <t>15/02/1965</t>
        </is>
      </c>
      <c r="E560" s="117" t="inlineStr">
        <is>
          <t>Giường Ngoại khoa loại 1 - Khoa Chấn thương chỉnh hình</t>
        </is>
      </c>
      <c r="F560" s="272" t="n">
        <v>1</v>
      </c>
      <c r="G560" s="272" t="n">
        <v>341800</v>
      </c>
    </row>
    <row r="561" ht="15.75" customHeight="1" s="248">
      <c r="A561" s="117" t="n">
        <v>553</v>
      </c>
      <c r="B561" s="117" t="inlineStr">
        <is>
          <t>2026/06/09 00:00</t>
        </is>
      </c>
      <c r="C561" s="117" t="inlineStr">
        <is>
          <t>THÁI THỊ THỦY</t>
        </is>
      </c>
      <c r="D561" s="117" t="inlineStr">
        <is>
          <t>01/01/1957</t>
        </is>
      </c>
      <c r="E561" s="117" t="inlineStr">
        <is>
          <t>Giường Ngoại khoa loại 1 - Khoa Chấn thương chỉnh hình</t>
        </is>
      </c>
      <c r="F561" s="272" t="n">
        <v>1</v>
      </c>
      <c r="G561" s="272" t="n">
        <v>341800</v>
      </c>
    </row>
    <row r="562" ht="15.75" customHeight="1" s="248">
      <c r="A562" s="117" t="n">
        <v>554</v>
      </c>
      <c r="B562" s="117" t="inlineStr">
        <is>
          <t>2026/06/09 00:00</t>
        </is>
      </c>
      <c r="C562" s="117" t="inlineStr">
        <is>
          <t>VÕ THỊ KIẾU</t>
        </is>
      </c>
      <c r="D562" s="117" t="inlineStr">
        <is>
          <t>01/01/1955</t>
        </is>
      </c>
      <c r="E562" s="117" t="inlineStr">
        <is>
          <t>Giường Ngoại khoa loại 1 - Khoa Chấn thương chỉnh hình</t>
        </is>
      </c>
      <c r="F562" s="272" t="n">
        <v>1</v>
      </c>
      <c r="G562" s="272" t="n">
        <v>341800</v>
      </c>
    </row>
    <row r="563" ht="15.75" customHeight="1" s="248">
      <c r="A563" s="117" t="n">
        <v>555</v>
      </c>
      <c r="B563" s="117" t="inlineStr">
        <is>
          <t>2026/06/09 00:00</t>
        </is>
      </c>
      <c r="C563" s="117" t="inlineStr">
        <is>
          <t>VÕ TẤN HƯNG</t>
        </is>
      </c>
      <c r="D563" s="117" t="inlineStr">
        <is>
          <t>19/09/1963</t>
        </is>
      </c>
      <c r="E563" s="117" t="inlineStr">
        <is>
          <t>Giường Ngoại khoa loại 3 - Khoa Chấn thương chỉnh hình</t>
        </is>
      </c>
      <c r="F563" s="272" t="n">
        <v>1</v>
      </c>
      <c r="G563" s="272" t="n">
        <v>269200</v>
      </c>
    </row>
    <row r="564" ht="15.75" customHeight="1" s="248">
      <c r="A564" s="117" t="n">
        <v>556</v>
      </c>
      <c r="B564" s="117" t="inlineStr">
        <is>
          <t>2026/06/09 00:00</t>
        </is>
      </c>
      <c r="C564" s="117" t="inlineStr">
        <is>
          <t>CAO THỊ CAM</t>
        </is>
      </c>
      <c r="D564" s="117" t="inlineStr">
        <is>
          <t>01/01/1946</t>
        </is>
      </c>
      <c r="E564" s="117" t="inlineStr">
        <is>
          <t>Giường Nội khoa loại 2 - Khoa Chấn thương chỉnh hình</t>
        </is>
      </c>
      <c r="F564" s="272" t="n">
        <v>1</v>
      </c>
      <c r="G564" s="272" t="n">
        <v>222300</v>
      </c>
    </row>
    <row r="565" ht="15.75" customHeight="1" s="248">
      <c r="A565" s="117" t="n">
        <v>557</v>
      </c>
      <c r="B565" s="117" t="inlineStr">
        <is>
          <t>2026/06/09 00:00</t>
        </is>
      </c>
      <c r="C565" s="117" t="inlineStr">
        <is>
          <t>CHÂU THỊ ĐỦ</t>
        </is>
      </c>
      <c r="D565" s="117" t="inlineStr">
        <is>
          <t>01/01/1963</t>
        </is>
      </c>
      <c r="E565" s="117" t="inlineStr">
        <is>
          <t>Giường Ngoại khoa loại 1 - Khoa Chấn thương chỉnh hình</t>
        </is>
      </c>
      <c r="F565" s="272" t="n">
        <v>1</v>
      </c>
      <c r="G565" s="272" t="n">
        <v>341800</v>
      </c>
    </row>
    <row r="566" ht="15.75" customHeight="1" s="248">
      <c r="A566" s="117" t="n">
        <v>558</v>
      </c>
      <c r="B566" s="117" t="inlineStr">
        <is>
          <t>2026/06/09 00:00</t>
        </is>
      </c>
      <c r="C566" s="117" t="inlineStr">
        <is>
          <t>HUỲNH THANH HÙNG</t>
        </is>
      </c>
      <c r="D566" s="117" t="inlineStr">
        <is>
          <t>01/01/1945</t>
        </is>
      </c>
      <c r="E566" s="117" t="inlineStr">
        <is>
          <t>Giường Ngoại khoa loại 1 - Khoa Chấn thương chỉnh hình</t>
        </is>
      </c>
      <c r="F566" s="272" t="n">
        <v>1</v>
      </c>
      <c r="G566" s="272" t="n">
        <v>341800</v>
      </c>
    </row>
    <row r="567" ht="15.75" customHeight="1" s="248">
      <c r="A567" s="117" t="n">
        <v>559</v>
      </c>
      <c r="B567" s="117" t="inlineStr">
        <is>
          <t>2026/06/09 00:00</t>
        </is>
      </c>
      <c r="C567" s="117" t="inlineStr">
        <is>
          <t>NGUYỄN THỊ KỶ</t>
        </is>
      </c>
      <c r="D567" s="117" t="inlineStr">
        <is>
          <t>01/01/1949</t>
        </is>
      </c>
      <c r="E567" s="117" t="inlineStr">
        <is>
          <t>Giường Ngoại khoa loại 3 - Khoa Chấn thương chỉnh hình</t>
        </is>
      </c>
      <c r="F567" s="272" t="n">
        <v>1</v>
      </c>
      <c r="G567" s="272" t="n">
        <v>269200</v>
      </c>
    </row>
    <row r="568" ht="15.75" customHeight="1" s="248">
      <c r="A568" s="117" t="n">
        <v>560</v>
      </c>
      <c r="B568" s="117" t="inlineStr">
        <is>
          <t>2026/06/09 00:00</t>
        </is>
      </c>
      <c r="C568" s="117" t="inlineStr">
        <is>
          <t>NGUYỄN THỊ NGÂN</t>
        </is>
      </c>
      <c r="D568" s="117" t="inlineStr">
        <is>
          <t>01/01/1954</t>
        </is>
      </c>
      <c r="E568" s="117" t="inlineStr">
        <is>
          <t>Giường Ngoại khoa loại 3 - Khoa Chấn thương chỉnh hình</t>
        </is>
      </c>
      <c r="F568" s="272" t="n">
        <v>1</v>
      </c>
      <c r="G568" s="272" t="n">
        <v>269200</v>
      </c>
    </row>
    <row r="569" ht="15.75" customHeight="1" s="248">
      <c r="A569" s="117" t="n">
        <v>561</v>
      </c>
      <c r="B569" s="117" t="inlineStr">
        <is>
          <t>2026/06/09 00:00</t>
        </is>
      </c>
      <c r="C569" s="117" t="inlineStr">
        <is>
          <t>TÔN VĂN PHƯỚC</t>
        </is>
      </c>
      <c r="D569" s="117" t="inlineStr">
        <is>
          <t>01/01/1970</t>
        </is>
      </c>
      <c r="E569" s="117" t="inlineStr">
        <is>
          <t>Giường Ngoại khoa loại 1 - Khoa Chấn thương chỉnh hình</t>
        </is>
      </c>
      <c r="F569" s="272" t="n">
        <v>1</v>
      </c>
      <c r="G569" s="272" t="n">
        <v>341800</v>
      </c>
    </row>
    <row r="570" ht="15.75" customHeight="1" s="248">
      <c r="A570" s="117" t="n">
        <v>562</v>
      </c>
      <c r="B570" s="117" t="inlineStr">
        <is>
          <t>2026/06/09 00:00</t>
        </is>
      </c>
      <c r="C570" s="117" t="inlineStr">
        <is>
          <t>VÕ KIM ANH</t>
        </is>
      </c>
      <c r="D570" s="117" t="inlineStr">
        <is>
          <t>31/12/1939</t>
        </is>
      </c>
      <c r="E570" s="117" t="inlineStr">
        <is>
          <t>Giường Nội khoa loại 2 - Khoa Chấn thương chỉnh hình</t>
        </is>
      </c>
      <c r="F570" s="272" t="n">
        <v>1</v>
      </c>
      <c r="G570" s="272" t="n">
        <v>222300</v>
      </c>
    </row>
    <row r="571" ht="15.75" customHeight="1" s="248">
      <c r="A571" s="117" t="n">
        <v>563</v>
      </c>
      <c r="B571" s="117" t="inlineStr">
        <is>
          <t>2026/06/09 00:00</t>
        </is>
      </c>
      <c r="C571" s="117" t="inlineStr">
        <is>
          <t>VÕ THỊ HỒNG LIÊN</t>
        </is>
      </c>
      <c r="D571" s="117" t="inlineStr">
        <is>
          <t>16/12/1948</t>
        </is>
      </c>
      <c r="E571" s="117" t="inlineStr">
        <is>
          <t>Giường Nội khoa loại 2 - Khoa Chấn thương chỉnh hình</t>
        </is>
      </c>
      <c r="F571" s="272" t="n">
        <v>1</v>
      </c>
      <c r="G571" s="272" t="n">
        <v>222300</v>
      </c>
    </row>
    <row r="572" ht="15.75" customHeight="1" s="248">
      <c r="A572" s="117" t="n">
        <v>564</v>
      </c>
      <c r="B572" s="117" t="inlineStr">
        <is>
          <t>2026/06/09 07:22</t>
        </is>
      </c>
      <c r="C572" s="117" t="inlineStr">
        <is>
          <t>TRẦN THỊ MỘNG THẮM</t>
        </is>
      </c>
      <c r="D572" s="117" t="inlineStr">
        <is>
          <t>01/01/1970</t>
        </is>
      </c>
      <c r="E572" s="117" t="inlineStr">
        <is>
          <t>Giường Nội khoa loại 2 - Khoa Chấn thương chỉnh hình</t>
        </is>
      </c>
      <c r="F572" s="272" t="n">
        <v>1</v>
      </c>
      <c r="G572" s="272" t="n">
        <v>222300</v>
      </c>
    </row>
    <row r="573" ht="15.75" customHeight="1" s="248">
      <c r="A573" s="117" t="n">
        <v>565</v>
      </c>
      <c r="B573" s="117" t="inlineStr">
        <is>
          <t>2026/06/09 08:57</t>
        </is>
      </c>
      <c r="C573" s="117" t="inlineStr">
        <is>
          <t>VÕ KIM THU</t>
        </is>
      </c>
      <c r="D573" s="117" t="inlineStr">
        <is>
          <t>01/01/1958</t>
        </is>
      </c>
      <c r="E573" s="117" t="inlineStr">
        <is>
          <t>Giường Nội khoa loại 2 - Khoa Chấn thương chỉnh hình</t>
        </is>
      </c>
      <c r="F573" s="272" t="n">
        <v>1</v>
      </c>
      <c r="G573" s="272" t="n">
        <v>222300</v>
      </c>
    </row>
    <row r="574" ht="15.75" customHeight="1" s="248">
      <c r="A574" s="117" t="n">
        <v>566</v>
      </c>
      <c r="B574" s="117" t="inlineStr">
        <is>
          <t>2026/06/09 09:13</t>
        </is>
      </c>
      <c r="C574" s="117" t="inlineStr">
        <is>
          <t>NGUYỄN VĂN DŨNG</t>
        </is>
      </c>
      <c r="D574" s="117" t="inlineStr">
        <is>
          <t>01/01/1954</t>
        </is>
      </c>
      <c r="E574" s="117" t="inlineStr">
        <is>
          <t>Giường Nội khoa loại 2 - Khoa Chấn thương chỉnh hình</t>
        </is>
      </c>
      <c r="F574" s="272" t="n">
        <v>1</v>
      </c>
      <c r="G574" s="272" t="n">
        <v>222300</v>
      </c>
    </row>
    <row r="575" ht="15.75" customHeight="1" s="248">
      <c r="A575" s="117" t="n">
        <v>567</v>
      </c>
      <c r="B575" s="117" t="inlineStr">
        <is>
          <t>2026/06/09 10:10</t>
        </is>
      </c>
      <c r="C575" s="117" t="inlineStr">
        <is>
          <t>NGUYỄN HỒNG NHIÊN</t>
        </is>
      </c>
      <c r="D575" s="117" t="inlineStr">
        <is>
          <t>01/01/1968</t>
        </is>
      </c>
      <c r="E575" s="117" t="inlineStr">
        <is>
          <t>Giường Nội khoa loại 2 - Khoa Chấn thương chỉnh hình</t>
        </is>
      </c>
      <c r="F575" s="272" t="n">
        <v>1</v>
      </c>
      <c r="G575" s="272" t="n">
        <v>222300</v>
      </c>
    </row>
    <row r="576" ht="15.75" customHeight="1" s="248">
      <c r="A576" s="117" t="n">
        <v>568</v>
      </c>
      <c r="B576" s="117" t="inlineStr">
        <is>
          <t>2026/06/09 13:00</t>
        </is>
      </c>
      <c r="C576" s="117" t="inlineStr">
        <is>
          <t>TRIỆU HOÀNG LONG</t>
        </is>
      </c>
      <c r="D576" s="117" t="inlineStr">
        <is>
          <t>01/01/1963</t>
        </is>
      </c>
      <c r="E576" s="117" t="inlineStr">
        <is>
          <t>Giường Nội khoa loại 2 - Khoa Chấn thương chỉnh hình</t>
        </is>
      </c>
      <c r="F576" s="272" t="n">
        <v>1</v>
      </c>
      <c r="G576" s="272" t="n">
        <v>222300</v>
      </c>
    </row>
    <row r="577" ht="15.75" customHeight="1" s="248">
      <c r="A577" s="117" t="n">
        <v>569</v>
      </c>
      <c r="B577" s="117" t="inlineStr">
        <is>
          <t>2026/06/09 13:30</t>
        </is>
      </c>
      <c r="C577" s="117" t="inlineStr">
        <is>
          <t>LÊ THỊ LỆ</t>
        </is>
      </c>
      <c r="D577" s="117" t="inlineStr">
        <is>
          <t>01/01/1957</t>
        </is>
      </c>
      <c r="E577" s="117" t="inlineStr">
        <is>
          <t>Giường Nội khoa loại 2 - Khoa Chấn thương chỉnh hình</t>
        </is>
      </c>
      <c r="F577" s="272" t="n">
        <v>1</v>
      </c>
      <c r="G577" s="272" t="n">
        <v>222300</v>
      </c>
    </row>
    <row r="578" ht="15.75" customHeight="1" s="248">
      <c r="A578" s="117" t="n">
        <v>570</v>
      </c>
      <c r="B578" s="117" t="inlineStr">
        <is>
          <t>2026/06/09 14:21</t>
        </is>
      </c>
      <c r="C578" s="117" t="inlineStr">
        <is>
          <t>TRẦN BÉ HIỀN</t>
        </is>
      </c>
      <c r="D578" s="117" t="inlineStr">
        <is>
          <t>22/06/1994</t>
        </is>
      </c>
      <c r="E578" s="117" t="inlineStr">
        <is>
          <t>Giường Nội khoa loại 2 - Khoa Chấn thương chỉnh hình</t>
        </is>
      </c>
      <c r="F578" s="272" t="n">
        <v>1</v>
      </c>
      <c r="G578" s="272" t="n">
        <v>222300</v>
      </c>
    </row>
    <row r="579" ht="15.75" customHeight="1" s="248">
      <c r="A579" s="117" t="n">
        <v>571</v>
      </c>
      <c r="B579" s="117" t="inlineStr">
        <is>
          <t>2026/06/09 14:56</t>
        </is>
      </c>
      <c r="C579" s="117" t="inlineStr">
        <is>
          <t>CAO HÙNG PHONG</t>
        </is>
      </c>
      <c r="D579" s="117" t="inlineStr">
        <is>
          <t>15/04/1969</t>
        </is>
      </c>
      <c r="E579" s="117" t="inlineStr">
        <is>
          <t>Giường Nội khoa loại 2 - Khoa Chấn thương chỉnh hình</t>
        </is>
      </c>
      <c r="F579" s="272" t="n">
        <v>1</v>
      </c>
      <c r="G579" s="272" t="n">
        <v>222300</v>
      </c>
    </row>
    <row r="580" ht="15.75" customHeight="1" s="248">
      <c r="A580" s="117" t="n">
        <v>572</v>
      </c>
      <c r="B580" s="117" t="inlineStr">
        <is>
          <t>2026/06/09 16:42</t>
        </is>
      </c>
      <c r="C580" s="117" t="inlineStr">
        <is>
          <t>NGÔ HÒA THUẬN</t>
        </is>
      </c>
      <c r="D580" s="117" t="inlineStr">
        <is>
          <t>28/04/1979</t>
        </is>
      </c>
      <c r="E580" s="117" t="inlineStr">
        <is>
          <t>Giường Nội khoa loại 2 - Khoa Chấn thương chỉnh hình</t>
        </is>
      </c>
      <c r="F580" s="272" t="n">
        <v>1</v>
      </c>
      <c r="G580" s="272" t="n">
        <v>222300</v>
      </c>
    </row>
    <row r="581" ht="15.75" customHeight="1" s="248">
      <c r="A581" s="117" t="n">
        <v>573</v>
      </c>
      <c r="B581" s="117" t="inlineStr">
        <is>
          <t>2026/06/09 19:00</t>
        </is>
      </c>
      <c r="C581" s="117" t="inlineStr">
        <is>
          <t>VÕ THỊ ÚT</t>
        </is>
      </c>
      <c r="D581" s="117" t="inlineStr">
        <is>
          <t>10/09/1974</t>
        </is>
      </c>
      <c r="E581" s="117" t="inlineStr">
        <is>
          <t>Giường Ngoại khoa loại 3 - Khoa Chấn thương chỉnh hình</t>
        </is>
      </c>
      <c r="F581" s="272" t="n">
        <v>1</v>
      </c>
      <c r="G581" s="272" t="n">
        <v>269200</v>
      </c>
    </row>
    <row r="582" ht="15.75" customHeight="1" s="248">
      <c r="A582" s="117" t="n">
        <v>574</v>
      </c>
      <c r="B582" s="117" t="inlineStr">
        <is>
          <t>2026/06/10 00:00</t>
        </is>
      </c>
      <c r="C582" s="117" t="inlineStr">
        <is>
          <t>HUỲNH NGỌC SƯƠNG</t>
        </is>
      </c>
      <c r="D582" s="117" t="inlineStr">
        <is>
          <t>05/05/1954</t>
        </is>
      </c>
      <c r="E582" s="117" t="inlineStr">
        <is>
          <t>Giường Ngoại khoa loại 1 - Khoa Chấn thương chỉnh hình</t>
        </is>
      </c>
      <c r="F582" s="272" t="n">
        <v>1</v>
      </c>
      <c r="G582" s="272" t="n">
        <v>341800</v>
      </c>
    </row>
    <row r="583" ht="15.75" customHeight="1" s="248">
      <c r="A583" s="117" t="n">
        <v>575</v>
      </c>
      <c r="B583" s="117" t="inlineStr">
        <is>
          <t>2026/06/10 00:00</t>
        </is>
      </c>
      <c r="C583" s="117" t="inlineStr">
        <is>
          <t>KHUẤT HÙNG</t>
        </is>
      </c>
      <c r="D583" s="117" t="inlineStr">
        <is>
          <t>01/01/1948</t>
        </is>
      </c>
      <c r="E583" s="117" t="inlineStr">
        <is>
          <t>Giường Ngoại khoa loại 3 - Khoa Chấn thương chỉnh hình</t>
        </is>
      </c>
      <c r="F583" s="272" t="n">
        <v>1</v>
      </c>
      <c r="G583" s="272" t="n">
        <v>269200</v>
      </c>
    </row>
    <row r="584" ht="15.75" customHeight="1" s="248">
      <c r="A584" s="117" t="n">
        <v>576</v>
      </c>
      <c r="B584" s="117" t="inlineStr">
        <is>
          <t>2026/06/10 00:00</t>
        </is>
      </c>
      <c r="C584" s="117" t="inlineStr">
        <is>
          <t>LÊ THỊ LỆ</t>
        </is>
      </c>
      <c r="D584" s="117" t="inlineStr">
        <is>
          <t>01/01/1957</t>
        </is>
      </c>
      <c r="E584" s="117" t="inlineStr">
        <is>
          <t>Giường Nội khoa loại 2 - Khoa Chấn thương chỉnh hình</t>
        </is>
      </c>
      <c r="F584" s="272" t="n">
        <v>1</v>
      </c>
      <c r="G584" s="272" t="n">
        <v>222300</v>
      </c>
    </row>
    <row r="585" ht="15.75" customHeight="1" s="248">
      <c r="A585" s="117" t="n">
        <v>577</v>
      </c>
      <c r="B585" s="117" t="inlineStr">
        <is>
          <t>2026/06/10 00:00</t>
        </is>
      </c>
      <c r="C585" s="117" t="inlineStr">
        <is>
          <t>LÊ THỊ THU</t>
        </is>
      </c>
      <c r="D585" s="117" t="inlineStr">
        <is>
          <t>07/12/1965</t>
        </is>
      </c>
      <c r="E585" s="117" t="inlineStr">
        <is>
          <t>Giường Nội khoa loại 2 - Khoa Chấn thương chỉnh hình</t>
        </is>
      </c>
      <c r="F585" s="272" t="n">
        <v>1</v>
      </c>
      <c r="G585" s="272" t="n">
        <v>222300</v>
      </c>
    </row>
    <row r="586" ht="15.75" customHeight="1" s="248">
      <c r="A586" s="117" t="n">
        <v>578</v>
      </c>
      <c r="B586" s="117" t="inlineStr">
        <is>
          <t>2026/06/10 00:00</t>
        </is>
      </c>
      <c r="C586" s="117" t="inlineStr">
        <is>
          <t>LÝ VĂN KHƯƠNG</t>
        </is>
      </c>
      <c r="D586" s="117" t="inlineStr">
        <is>
          <t>05/06/1970</t>
        </is>
      </c>
      <c r="E586" s="117" t="inlineStr">
        <is>
          <t>Giường Nội khoa loại 2 - Khoa Chấn thương chỉnh hình</t>
        </is>
      </c>
      <c r="F586" s="272" t="n">
        <v>1</v>
      </c>
      <c r="G586" s="272" t="n">
        <v>222300</v>
      </c>
    </row>
    <row r="587" ht="15.75" customHeight="1" s="248">
      <c r="A587" s="117" t="n">
        <v>579</v>
      </c>
      <c r="B587" s="117" t="inlineStr">
        <is>
          <t>2026/06/10 00:00</t>
        </is>
      </c>
      <c r="C587" s="117" t="inlineStr">
        <is>
          <t>MAI THÀNH DƯƠNG</t>
        </is>
      </c>
      <c r="D587" s="117" t="inlineStr">
        <is>
          <t>10/04/1964</t>
        </is>
      </c>
      <c r="E587" s="117" t="inlineStr">
        <is>
          <t>Giường Nội khoa loại 2 - Khoa Chấn thương chỉnh hình</t>
        </is>
      </c>
      <c r="F587" s="272" t="n">
        <v>1</v>
      </c>
      <c r="G587" s="272" t="n">
        <v>222300</v>
      </c>
    </row>
    <row r="588" ht="15.75" customHeight="1" s="248">
      <c r="A588" s="117" t="n">
        <v>580</v>
      </c>
      <c r="B588" s="117" t="inlineStr">
        <is>
          <t>2026/06/10 00:00</t>
        </is>
      </c>
      <c r="C588" s="117" t="inlineStr">
        <is>
          <t>NGUYỄN VĂN DŨNG</t>
        </is>
      </c>
      <c r="D588" s="117" t="inlineStr">
        <is>
          <t>01/01/1954</t>
        </is>
      </c>
      <c r="E588" s="117" t="inlineStr">
        <is>
          <t>Giường Nội khoa loại 2 - Khoa Chấn thương chỉnh hình</t>
        </is>
      </c>
      <c r="F588" s="272" t="n">
        <v>1</v>
      </c>
      <c r="G588" s="272" t="n">
        <v>222300</v>
      </c>
    </row>
    <row r="589" ht="15.75" customHeight="1" s="248">
      <c r="A589" s="117" t="n">
        <v>581</v>
      </c>
      <c r="B589" s="117" t="inlineStr">
        <is>
          <t>2026/06/10 00:00</t>
        </is>
      </c>
      <c r="C589" s="117" t="inlineStr">
        <is>
          <t>NGÔ HÒA THUẬN</t>
        </is>
      </c>
      <c r="D589" s="117" t="inlineStr">
        <is>
          <t>28/04/1979</t>
        </is>
      </c>
      <c r="E589" s="117" t="inlineStr">
        <is>
          <t>Giường Nội khoa loại 2 - Khoa Chấn thương chỉnh hình</t>
        </is>
      </c>
      <c r="F589" s="272" t="n">
        <v>1</v>
      </c>
      <c r="G589" s="272" t="n">
        <v>222300</v>
      </c>
    </row>
    <row r="590" ht="15.75" customHeight="1" s="248">
      <c r="A590" s="117" t="n">
        <v>582</v>
      </c>
      <c r="B590" s="117" t="inlineStr">
        <is>
          <t>2026/06/10 00:00</t>
        </is>
      </c>
      <c r="C590" s="117" t="inlineStr">
        <is>
          <t>PHAN NGỌC ĐIỆP</t>
        </is>
      </c>
      <c r="D590" s="117" t="inlineStr">
        <is>
          <t>19/05/1969</t>
        </is>
      </c>
      <c r="E590" s="117" t="inlineStr">
        <is>
          <t>Giường Nội khoa loại 2 - Khoa Chấn thương chỉnh hình</t>
        </is>
      </c>
      <c r="F590" s="272" t="n">
        <v>1</v>
      </c>
      <c r="G590" s="272" t="n">
        <v>222300</v>
      </c>
    </row>
    <row r="591" ht="15.75" customHeight="1" s="248">
      <c r="A591" s="117" t="n">
        <v>583</v>
      </c>
      <c r="B591" s="117" t="inlineStr">
        <is>
          <t>2026/06/10 00:00</t>
        </is>
      </c>
      <c r="C591" s="117" t="inlineStr">
        <is>
          <t>THÁI THỊ THỦY</t>
        </is>
      </c>
      <c r="D591" s="117" t="inlineStr">
        <is>
          <t>01/01/1957</t>
        </is>
      </c>
      <c r="E591" s="117" t="inlineStr">
        <is>
          <t>Giường Ngoại khoa loại 1 - Khoa Chấn thương chỉnh hình</t>
        </is>
      </c>
      <c r="F591" s="272" t="n">
        <v>1</v>
      </c>
      <c r="G591" s="272" t="n">
        <v>341800</v>
      </c>
    </row>
    <row r="592" ht="15.75" customHeight="1" s="248">
      <c r="A592" s="117" t="n">
        <v>584</v>
      </c>
      <c r="B592" s="117" t="inlineStr">
        <is>
          <t>2026/06/10 00:00</t>
        </is>
      </c>
      <c r="C592" s="117" t="inlineStr">
        <is>
          <t>TRIỆU HOÀNG LONG</t>
        </is>
      </c>
      <c r="D592" s="117" t="inlineStr">
        <is>
          <t>01/01/1963</t>
        </is>
      </c>
      <c r="E592" s="117" t="inlineStr">
        <is>
          <t>Giường Nội khoa loại 2 - Khoa Chấn thương chỉnh hình</t>
        </is>
      </c>
      <c r="F592" s="272" t="n">
        <v>1</v>
      </c>
      <c r="G592" s="272" t="n">
        <v>222300</v>
      </c>
    </row>
    <row r="593" ht="15.75" customHeight="1" s="248">
      <c r="A593" s="117" t="n">
        <v>585</v>
      </c>
      <c r="B593" s="117" t="inlineStr">
        <is>
          <t>2026/06/10 00:00</t>
        </is>
      </c>
      <c r="C593" s="117" t="inlineStr">
        <is>
          <t>TRẦN THỊ MỘNG THẮM</t>
        </is>
      </c>
      <c r="D593" s="117" t="inlineStr">
        <is>
          <t>01/01/1970</t>
        </is>
      </c>
      <c r="E593" s="117" t="inlineStr">
        <is>
          <t>Giường Nội khoa loại 2 - Khoa Chấn thương chỉnh hình</t>
        </is>
      </c>
      <c r="F593" s="272" t="n">
        <v>1</v>
      </c>
      <c r="G593" s="272" t="n">
        <v>222300</v>
      </c>
    </row>
    <row r="594" ht="15.75" customHeight="1" s="248">
      <c r="A594" s="117" t="n">
        <v>586</v>
      </c>
      <c r="B594" s="117" t="inlineStr">
        <is>
          <t>2026/06/10 00:00</t>
        </is>
      </c>
      <c r="C594" s="117" t="inlineStr">
        <is>
          <t>VÕ THỊ KIẾU</t>
        </is>
      </c>
      <c r="D594" s="117" t="inlineStr">
        <is>
          <t>01/01/1955</t>
        </is>
      </c>
      <c r="E594" s="117" t="inlineStr">
        <is>
          <t>Giường Ngoại khoa loại 1 - Khoa Chấn thương chỉnh hình</t>
        </is>
      </c>
      <c r="F594" s="272" t="n">
        <v>1</v>
      </c>
      <c r="G594" s="272" t="n">
        <v>341800</v>
      </c>
    </row>
    <row r="595" ht="15.75" customHeight="1" s="248">
      <c r="A595" s="117" t="n">
        <v>587</v>
      </c>
      <c r="B595" s="117" t="inlineStr">
        <is>
          <t>2026/06/10 00:00</t>
        </is>
      </c>
      <c r="C595" s="117" t="inlineStr">
        <is>
          <t>VÕ THỊ ÚT</t>
        </is>
      </c>
      <c r="D595" s="117" t="inlineStr">
        <is>
          <t>10/09/1974</t>
        </is>
      </c>
      <c r="E595" s="117" t="inlineStr">
        <is>
          <t>Giường Ngoại khoa loại 3 - Khoa Chấn thương chỉnh hình</t>
        </is>
      </c>
      <c r="F595" s="272" t="n">
        <v>1</v>
      </c>
      <c r="G595" s="272" t="n">
        <v>269200</v>
      </c>
    </row>
    <row r="596" ht="15.75" customHeight="1" s="248">
      <c r="A596" s="117" t="n">
        <v>588</v>
      </c>
      <c r="B596" s="117" t="inlineStr">
        <is>
          <t>2026/06/10 00:00</t>
        </is>
      </c>
      <c r="C596" s="117" t="inlineStr">
        <is>
          <t>VÕ TẤN HƯNG</t>
        </is>
      </c>
      <c r="D596" s="117" t="inlineStr">
        <is>
          <t>19/09/1963</t>
        </is>
      </c>
      <c r="E596" s="117" t="inlineStr">
        <is>
          <t>Giường Ngoại khoa loại 3 - Khoa Chấn thương chỉnh hình</t>
        </is>
      </c>
      <c r="F596" s="272" t="n">
        <v>1</v>
      </c>
      <c r="G596" s="272" t="n">
        <v>269200</v>
      </c>
    </row>
    <row r="597" ht="15.75" customHeight="1" s="248">
      <c r="A597" s="117" t="n">
        <v>589</v>
      </c>
      <c r="B597" s="117" t="inlineStr">
        <is>
          <t>2026/06/10 00:00</t>
        </is>
      </c>
      <c r="C597" s="117" t="inlineStr">
        <is>
          <t>CAO THỊ CAM</t>
        </is>
      </c>
      <c r="D597" s="117" t="inlineStr">
        <is>
          <t>01/01/1946</t>
        </is>
      </c>
      <c r="E597" s="117" t="inlineStr">
        <is>
          <t>Giường Nội khoa loại 2 - Khoa Chấn thương chỉnh hình</t>
        </is>
      </c>
      <c r="F597" s="272" t="n">
        <v>1</v>
      </c>
      <c r="G597" s="272" t="n">
        <v>222300</v>
      </c>
    </row>
    <row r="598" ht="15.75" customHeight="1" s="248">
      <c r="A598" s="117" t="n">
        <v>590</v>
      </c>
      <c r="B598" s="117" t="inlineStr">
        <is>
          <t>2026/06/10 00:00</t>
        </is>
      </c>
      <c r="C598" s="117" t="inlineStr">
        <is>
          <t>CHÂU THỊ ĐỦ</t>
        </is>
      </c>
      <c r="D598" s="117" t="inlineStr">
        <is>
          <t>01/01/1963</t>
        </is>
      </c>
      <c r="E598" s="117" t="inlineStr">
        <is>
          <t>Giường Ngoại khoa loại 1 - Khoa Chấn thương chỉnh hình</t>
        </is>
      </c>
      <c r="F598" s="272" t="n">
        <v>1</v>
      </c>
      <c r="G598" s="272" t="n">
        <v>341800</v>
      </c>
    </row>
    <row r="599" ht="15.75" customHeight="1" s="248">
      <c r="A599" s="117" t="n">
        <v>591</v>
      </c>
      <c r="B599" s="117" t="inlineStr">
        <is>
          <t>2026/06/10 00:00</t>
        </is>
      </c>
      <c r="C599" s="117" t="inlineStr">
        <is>
          <t>NGUYỄN HỒNG NHIÊN</t>
        </is>
      </c>
      <c r="D599" s="117" t="inlineStr">
        <is>
          <t>01/01/1968</t>
        </is>
      </c>
      <c r="E599" s="117" t="inlineStr">
        <is>
          <t>Giường Ngoại khoa loại 1 - Khoa Chấn thương chỉnh hình</t>
        </is>
      </c>
      <c r="F599" s="272" t="n">
        <v>1</v>
      </c>
      <c r="G599" s="272" t="n">
        <v>341800</v>
      </c>
    </row>
    <row r="600" ht="15.75" customHeight="1" s="248">
      <c r="A600" s="117" t="n">
        <v>592</v>
      </c>
      <c r="B600" s="117" t="inlineStr">
        <is>
          <t>2026/06/10 00:00</t>
        </is>
      </c>
      <c r="C600" s="117" t="inlineStr">
        <is>
          <t>NGUYỄN THỊ KỶ</t>
        </is>
      </c>
      <c r="D600" s="117" t="inlineStr">
        <is>
          <t>01/01/1949</t>
        </is>
      </c>
      <c r="E600" s="117" t="inlineStr">
        <is>
          <t>Giường Ngoại khoa loại 3 - Khoa Chấn thương chỉnh hình</t>
        </is>
      </c>
      <c r="F600" s="272" t="n">
        <v>1</v>
      </c>
      <c r="G600" s="272" t="n">
        <v>269200</v>
      </c>
    </row>
    <row r="601" ht="15.75" customHeight="1" s="248">
      <c r="A601" s="117" t="n">
        <v>593</v>
      </c>
      <c r="B601" s="117" t="inlineStr">
        <is>
          <t>2026/06/10 00:00</t>
        </is>
      </c>
      <c r="C601" s="117" t="inlineStr">
        <is>
          <t>NGUYỄN THỊ NGÂN</t>
        </is>
      </c>
      <c r="D601" s="117" t="inlineStr">
        <is>
          <t>01/01/1954</t>
        </is>
      </c>
      <c r="E601" s="117" t="inlineStr">
        <is>
          <t>Giường Ngoại khoa loại 3 - Khoa Chấn thương chỉnh hình</t>
        </is>
      </c>
      <c r="F601" s="272" t="n">
        <v>1</v>
      </c>
      <c r="G601" s="272" t="n">
        <v>269200</v>
      </c>
    </row>
    <row r="602" ht="15.75" customHeight="1" s="248">
      <c r="A602" s="117" t="n">
        <v>594</v>
      </c>
      <c r="B602" s="117" t="inlineStr">
        <is>
          <t>2026/06/10 00:00</t>
        </is>
      </c>
      <c r="C602" s="117" t="inlineStr">
        <is>
          <t>TRẦN BÉ HIỀN</t>
        </is>
      </c>
      <c r="D602" s="117" t="inlineStr">
        <is>
          <t>22/06/1994</t>
        </is>
      </c>
      <c r="E602" s="117" t="inlineStr">
        <is>
          <t>Giường Ngoại khoa loại 3 - Khoa Chấn thương chỉnh hình</t>
        </is>
      </c>
      <c r="F602" s="272" t="n">
        <v>1</v>
      </c>
      <c r="G602" s="272" t="n">
        <v>269200</v>
      </c>
    </row>
    <row r="603" ht="15.75" customHeight="1" s="248">
      <c r="A603" s="117" t="n">
        <v>595</v>
      </c>
      <c r="B603" s="117" t="inlineStr">
        <is>
          <t>2026/06/10 00:00</t>
        </is>
      </c>
      <c r="C603" s="117" t="inlineStr">
        <is>
          <t>TÔN VĂN PHƯỚC</t>
        </is>
      </c>
      <c r="D603" s="117" t="inlineStr">
        <is>
          <t>01/01/1970</t>
        </is>
      </c>
      <c r="E603" s="117" t="inlineStr">
        <is>
          <t>Giường Ngoại khoa loại 1 - Khoa Chấn thương chỉnh hình</t>
        </is>
      </c>
      <c r="F603" s="272" t="n">
        <v>1</v>
      </c>
      <c r="G603" s="272" t="n">
        <v>341800</v>
      </c>
    </row>
    <row r="604" ht="15.75" customHeight="1" s="248">
      <c r="A604" s="117" t="n">
        <v>596</v>
      </c>
      <c r="B604" s="117" t="inlineStr">
        <is>
          <t>2026/06/10 00:00</t>
        </is>
      </c>
      <c r="C604" s="117" t="inlineStr">
        <is>
          <t>VÕ KIM ANH</t>
        </is>
      </c>
      <c r="D604" s="117" t="inlineStr">
        <is>
          <t>31/12/1939</t>
        </is>
      </c>
      <c r="E604" s="117" t="inlineStr">
        <is>
          <t>Giường Nội khoa loại 2 - Khoa Chấn thương chỉnh hình</t>
        </is>
      </c>
      <c r="F604" s="272" t="n">
        <v>1</v>
      </c>
      <c r="G604" s="272" t="n">
        <v>222300</v>
      </c>
    </row>
    <row r="605" ht="15.75" customHeight="1" s="248">
      <c r="A605" s="117" t="n">
        <v>597</v>
      </c>
      <c r="B605" s="117" t="inlineStr">
        <is>
          <t>2026/06/10 00:00</t>
        </is>
      </c>
      <c r="C605" s="117" t="inlineStr">
        <is>
          <t>VÕ THỊ HỒNG LIÊN</t>
        </is>
      </c>
      <c r="D605" s="117" t="inlineStr">
        <is>
          <t>16/12/1948</t>
        </is>
      </c>
      <c r="E605" s="117" t="inlineStr">
        <is>
          <t>Giường Nội khoa loại 2 - Khoa Chấn thương chỉnh hình</t>
        </is>
      </c>
      <c r="F605" s="272" t="n">
        <v>1</v>
      </c>
      <c r="G605" s="272" t="n">
        <v>222300</v>
      </c>
    </row>
    <row r="606" ht="15.75" customHeight="1" s="248">
      <c r="A606" s="117" t="n">
        <v>598</v>
      </c>
      <c r="B606" s="117" t="inlineStr">
        <is>
          <t>2026/06/10 07:41</t>
        </is>
      </c>
      <c r="C606" s="117" t="inlineStr">
        <is>
          <t>CAO THIỆN VŨ</t>
        </is>
      </c>
      <c r="D606" s="117" t="inlineStr">
        <is>
          <t>01/01/1977</t>
        </is>
      </c>
      <c r="E606" s="117" t="inlineStr">
        <is>
          <t>Giường Nội khoa loại 2 - Khoa Chấn thương chỉnh hình</t>
        </is>
      </c>
      <c r="F606" s="272" t="n">
        <v>1</v>
      </c>
      <c r="G606" s="272" t="n">
        <v>222300</v>
      </c>
    </row>
    <row r="607" ht="15.75" customHeight="1" s="248">
      <c r="A607" s="117" t="n">
        <v>599</v>
      </c>
      <c r="B607" s="117" t="inlineStr">
        <is>
          <t>2026/06/10 07:58</t>
        </is>
      </c>
      <c r="C607" s="117" t="inlineStr">
        <is>
          <t>LÊ THỊ KIM ĐIỂU</t>
        </is>
      </c>
      <c r="D607" s="117" t="inlineStr">
        <is>
          <t>12/12/1958</t>
        </is>
      </c>
      <c r="E607" s="117" t="inlineStr">
        <is>
          <t>Giường Nội khoa loại 2 - Khoa Chấn thương chỉnh hình</t>
        </is>
      </c>
      <c r="F607" s="272" t="n">
        <v>1</v>
      </c>
      <c r="G607" s="272" t="n">
        <v>222300</v>
      </c>
    </row>
    <row r="608" ht="15.75" customHeight="1" s="248">
      <c r="A608" s="117" t="n">
        <v>600</v>
      </c>
      <c r="B608" s="117" t="inlineStr">
        <is>
          <t>2026/06/10 08:54</t>
        </is>
      </c>
      <c r="C608" s="117" t="inlineStr">
        <is>
          <t>HUỲNH XUÂN AN</t>
        </is>
      </c>
      <c r="D608" s="117" t="inlineStr">
        <is>
          <t>05/11/1992</t>
        </is>
      </c>
      <c r="E608" s="117" t="inlineStr">
        <is>
          <t>Giường Nội khoa loại 2 - Khoa Chấn thương chỉnh hình</t>
        </is>
      </c>
      <c r="F608" s="272" t="n">
        <v>1</v>
      </c>
      <c r="G608" s="272" t="n">
        <v>222300</v>
      </c>
    </row>
    <row r="609" ht="15.75" customHeight="1" s="248">
      <c r="A609" s="117" t="n">
        <v>601</v>
      </c>
      <c r="B609" s="117" t="inlineStr">
        <is>
          <t>2026/06/10 13:43</t>
        </is>
      </c>
      <c r="C609" s="117" t="inlineStr">
        <is>
          <t>VÕ KIM THU</t>
        </is>
      </c>
      <c r="D609" s="117" t="inlineStr">
        <is>
          <t>01/01/1958</t>
        </is>
      </c>
      <c r="E609" s="117" t="inlineStr">
        <is>
          <t>Giường Ngoại khoa loại 4 - Khoa Chấn thương chỉnh hình</t>
        </is>
      </c>
      <c r="F609" s="272" t="n">
        <v>1</v>
      </c>
      <c r="G609" s="272" t="n">
        <v>229200</v>
      </c>
    </row>
    <row r="610" ht="15.75" customHeight="1" s="248">
      <c r="A610" s="117" t="n">
        <v>602</v>
      </c>
      <c r="B610" s="117" t="inlineStr">
        <is>
          <t>2026/06/10 15:08</t>
        </is>
      </c>
      <c r="C610" s="117" t="inlineStr">
        <is>
          <t>TRƯƠNG THỊ XINH</t>
        </is>
      </c>
      <c r="D610" s="117" t="inlineStr">
        <is>
          <t>01/01/1957</t>
        </is>
      </c>
      <c r="E610" s="117" t="inlineStr">
        <is>
          <t>Giường Nội khoa loại 2 - Khoa Chấn thương chỉnh hình</t>
        </is>
      </c>
      <c r="F610" s="272" t="n">
        <v>1</v>
      </c>
      <c r="G610" s="272" t="n">
        <v>222300</v>
      </c>
    </row>
    <row r="611" ht="15.75" customHeight="1" s="248">
      <c r="A611" s="117" t="n">
        <v>603</v>
      </c>
      <c r="B611" s="117" t="inlineStr">
        <is>
          <t>2026/06/10 15:32</t>
        </is>
      </c>
      <c r="C611" s="117" t="inlineStr">
        <is>
          <t>TRẦN PHAN VÂN ANH</t>
        </is>
      </c>
      <c r="D611" s="117" t="inlineStr">
        <is>
          <t>08/06/1996</t>
        </is>
      </c>
      <c r="E611" s="117" t="inlineStr">
        <is>
          <t>Giường Nội khoa loại 2 - Khoa Chấn thương chỉnh hình</t>
        </is>
      </c>
      <c r="F611" s="272" t="n">
        <v>1</v>
      </c>
      <c r="G611" s="272" t="n">
        <v>222300</v>
      </c>
    </row>
    <row r="612" ht="15.75" customHeight="1" s="248">
      <c r="A612" s="117" t="n">
        <v>604</v>
      </c>
      <c r="B612" s="117" t="inlineStr">
        <is>
          <t>2026/06/11 00:00</t>
        </is>
      </c>
      <c r="C612" s="117" t="inlineStr">
        <is>
          <t>CAO HÙNG PHONG</t>
        </is>
      </c>
      <c r="D612" s="117" t="inlineStr">
        <is>
          <t>15/04/1969</t>
        </is>
      </c>
      <c r="E612" s="117" t="inlineStr">
        <is>
          <t>Giường Ngoại khoa loại 1 - Khoa Chấn thương chỉnh hình</t>
        </is>
      </c>
      <c r="F612" s="272" t="n">
        <v>1</v>
      </c>
      <c r="G612" s="272" t="n">
        <v>341800</v>
      </c>
    </row>
    <row r="613" ht="15.75" customHeight="1" s="248">
      <c r="A613" s="117" t="n">
        <v>605</v>
      </c>
      <c r="B613" s="117" t="inlineStr">
        <is>
          <t>2026/06/11 00:00</t>
        </is>
      </c>
      <c r="C613" s="117" t="inlineStr">
        <is>
          <t>HUỲNH NGỌC SƯƠNG</t>
        </is>
      </c>
      <c r="D613" s="117" t="inlineStr">
        <is>
          <t>05/05/1954</t>
        </is>
      </c>
      <c r="E613" s="117" t="inlineStr">
        <is>
          <t>Giường Ngoại khoa loại 1 - Khoa Chấn thương chỉnh hình</t>
        </is>
      </c>
      <c r="F613" s="272" t="n">
        <v>1</v>
      </c>
      <c r="G613" s="272" t="n">
        <v>341800</v>
      </c>
    </row>
    <row r="614" ht="15.75" customHeight="1" s="248">
      <c r="A614" s="117" t="n">
        <v>606</v>
      </c>
      <c r="B614" s="117" t="inlineStr">
        <is>
          <t>2026/06/11 00:00</t>
        </is>
      </c>
      <c r="C614" s="117" t="inlineStr">
        <is>
          <t>KHUẤT HÙNG</t>
        </is>
      </c>
      <c r="D614" s="117" t="inlineStr">
        <is>
          <t>01/01/1948</t>
        </is>
      </c>
      <c r="E614" s="117" t="inlineStr">
        <is>
          <t>Giường Ngoại khoa loại 3 - Khoa Chấn thương chỉnh hình</t>
        </is>
      </c>
      <c r="F614" s="272" t="n">
        <v>1</v>
      </c>
      <c r="G614" s="272" t="n">
        <v>269200</v>
      </c>
    </row>
    <row r="615" ht="15.75" customHeight="1" s="248">
      <c r="A615" s="117" t="n">
        <v>607</v>
      </c>
      <c r="B615" s="117" t="inlineStr">
        <is>
          <t>2026/06/11 00:00</t>
        </is>
      </c>
      <c r="C615" s="117" t="inlineStr">
        <is>
          <t>LÊ THỊ KIM ĐIỂU</t>
        </is>
      </c>
      <c r="D615" s="117" t="inlineStr">
        <is>
          <t>12/12/1958</t>
        </is>
      </c>
      <c r="E615" s="117" t="inlineStr">
        <is>
          <t>Giường Nội khoa loại 2 - Khoa Chấn thương chỉnh hình</t>
        </is>
      </c>
      <c r="F615" s="272" t="n">
        <v>1</v>
      </c>
      <c r="G615" s="272" t="n">
        <v>222300</v>
      </c>
    </row>
    <row r="616" ht="15.75" customHeight="1" s="248">
      <c r="A616" s="117" t="n">
        <v>608</v>
      </c>
      <c r="B616" s="117" t="inlineStr">
        <is>
          <t>2026/06/11 00:00</t>
        </is>
      </c>
      <c r="C616" s="117" t="inlineStr">
        <is>
          <t>LÊ THỊ LỆ</t>
        </is>
      </c>
      <c r="D616" s="117" t="inlineStr">
        <is>
          <t>01/01/1957</t>
        </is>
      </c>
      <c r="E616" s="117" t="inlineStr">
        <is>
          <t>Giường Nội khoa loại 2 - Khoa Chấn thương chỉnh hình</t>
        </is>
      </c>
      <c r="F616" s="272" t="n">
        <v>1</v>
      </c>
      <c r="G616" s="272" t="n">
        <v>222300</v>
      </c>
    </row>
    <row r="617" ht="15.75" customHeight="1" s="248">
      <c r="A617" s="117" t="n">
        <v>609</v>
      </c>
      <c r="B617" s="117" t="inlineStr">
        <is>
          <t>2026/06/11 00:00</t>
        </is>
      </c>
      <c r="C617" s="117" t="inlineStr">
        <is>
          <t>LÊ THỊ THU</t>
        </is>
      </c>
      <c r="D617" s="117" t="inlineStr">
        <is>
          <t>07/12/1965</t>
        </is>
      </c>
      <c r="E617" s="117" t="inlineStr">
        <is>
          <t>Giường Nội khoa loại 2 - Khoa Chấn thương chỉnh hình</t>
        </is>
      </c>
      <c r="F617" s="272" t="n">
        <v>1</v>
      </c>
      <c r="G617" s="272" t="n">
        <v>222300</v>
      </c>
    </row>
    <row r="618" ht="15.75" customHeight="1" s="248">
      <c r="A618" s="117" t="n">
        <v>610</v>
      </c>
      <c r="B618" s="117" t="inlineStr">
        <is>
          <t>2026/06/11 00:00</t>
        </is>
      </c>
      <c r="C618" s="117" t="inlineStr">
        <is>
          <t>LÝ VĂN KHƯƠNG</t>
        </is>
      </c>
      <c r="D618" s="117" t="inlineStr">
        <is>
          <t>05/06/1970</t>
        </is>
      </c>
      <c r="E618" s="117" t="inlineStr">
        <is>
          <t>Giường Nội khoa loại 2 - Khoa Chấn thương chỉnh hình</t>
        </is>
      </c>
      <c r="F618" s="272" t="n">
        <v>1</v>
      </c>
      <c r="G618" s="272" t="n">
        <v>222300</v>
      </c>
    </row>
    <row r="619" ht="15.75" customHeight="1" s="248">
      <c r="A619" s="117" t="n">
        <v>611</v>
      </c>
      <c r="B619" s="117" t="inlineStr">
        <is>
          <t>2026/06/11 00:00</t>
        </is>
      </c>
      <c r="C619" s="117" t="inlineStr">
        <is>
          <t>MAI THÀNH DƯƠNG</t>
        </is>
      </c>
      <c r="D619" s="117" t="inlineStr">
        <is>
          <t>10/04/1964</t>
        </is>
      </c>
      <c r="E619" s="117" t="inlineStr">
        <is>
          <t>Giường Nội khoa loại 2 - Khoa Chấn thương chỉnh hình</t>
        </is>
      </c>
      <c r="F619" s="272" t="n">
        <v>1</v>
      </c>
      <c r="G619" s="272" t="n">
        <v>222300</v>
      </c>
    </row>
    <row r="620" ht="15.75" customHeight="1" s="248">
      <c r="A620" s="117" t="n">
        <v>612</v>
      </c>
      <c r="B620" s="117" t="inlineStr">
        <is>
          <t>2026/06/11 00:00</t>
        </is>
      </c>
      <c r="C620" s="117" t="inlineStr">
        <is>
          <t>NGUYỄN VĂN DŨNG</t>
        </is>
      </c>
      <c r="D620" s="117" t="inlineStr">
        <is>
          <t>01/01/1954</t>
        </is>
      </c>
      <c r="E620" s="117" t="inlineStr">
        <is>
          <t>Giường Ngoại khoa loại 3 - Khoa Chấn thương chỉnh hình</t>
        </is>
      </c>
      <c r="F620" s="272" t="n">
        <v>1</v>
      </c>
      <c r="G620" s="272" t="n">
        <v>269200</v>
      </c>
    </row>
    <row r="621" ht="15.75" customHeight="1" s="248">
      <c r="A621" s="117" t="n">
        <v>613</v>
      </c>
      <c r="B621" s="117" t="inlineStr">
        <is>
          <t>2026/06/11 00:00</t>
        </is>
      </c>
      <c r="C621" s="117" t="inlineStr">
        <is>
          <t>THÁI THỊ THỦY</t>
        </is>
      </c>
      <c r="D621" s="117" t="inlineStr">
        <is>
          <t>01/01/1957</t>
        </is>
      </c>
      <c r="E621" s="117" t="inlineStr">
        <is>
          <t>Giường Ngoại khoa loại 1 - Khoa Chấn thương chỉnh hình</t>
        </is>
      </c>
      <c r="F621" s="272" t="n">
        <v>1</v>
      </c>
      <c r="G621" s="272" t="n">
        <v>341800</v>
      </c>
    </row>
    <row r="622" ht="15.75" customHeight="1" s="248">
      <c r="A622" s="117" t="n">
        <v>614</v>
      </c>
      <c r="B622" s="117" t="inlineStr">
        <is>
          <t>2026/06/11 00:00</t>
        </is>
      </c>
      <c r="C622" s="117" t="inlineStr">
        <is>
          <t>TRIỆU HOÀNG LONG</t>
        </is>
      </c>
      <c r="D622" s="117" t="inlineStr">
        <is>
          <t>01/01/1963</t>
        </is>
      </c>
      <c r="E622" s="117" t="inlineStr">
        <is>
          <t>Giường Ngoại khoa loại 1 - Khoa Chấn thương chỉnh hình</t>
        </is>
      </c>
      <c r="F622" s="272" t="n">
        <v>1</v>
      </c>
      <c r="G622" s="272" t="n">
        <v>341800</v>
      </c>
    </row>
    <row r="623" ht="15.75" customHeight="1" s="248">
      <c r="A623" s="117" t="n">
        <v>615</v>
      </c>
      <c r="B623" s="117" t="inlineStr">
        <is>
          <t>2026/06/11 00:00</t>
        </is>
      </c>
      <c r="C623" s="117" t="inlineStr">
        <is>
          <t>TRẦN PHAN VÂN ANH</t>
        </is>
      </c>
      <c r="D623" s="117" t="inlineStr">
        <is>
          <t>08/06/1996</t>
        </is>
      </c>
      <c r="E623" s="117" t="inlineStr">
        <is>
          <t>Giường Nội khoa loại 2 - Khoa Chấn thương chỉnh hình</t>
        </is>
      </c>
      <c r="F623" s="272" t="n">
        <v>1</v>
      </c>
      <c r="G623" s="272" t="n">
        <v>222300</v>
      </c>
    </row>
    <row r="624" ht="15.75" customHeight="1" s="248">
      <c r="A624" s="117" t="n">
        <v>616</v>
      </c>
      <c r="B624" s="117" t="inlineStr">
        <is>
          <t>2026/06/11 00:00</t>
        </is>
      </c>
      <c r="C624" s="117" t="inlineStr">
        <is>
          <t>TRẦN THỊ MỘNG THẮM</t>
        </is>
      </c>
      <c r="D624" s="117" t="inlineStr">
        <is>
          <t>01/01/1970</t>
        </is>
      </c>
      <c r="E624" s="117" t="inlineStr">
        <is>
          <t>Giường Nội khoa loại 2 - Khoa Chấn thương chỉnh hình</t>
        </is>
      </c>
      <c r="F624" s="272" t="n">
        <v>1</v>
      </c>
      <c r="G624" s="272" t="n">
        <v>222300</v>
      </c>
    </row>
    <row r="625" ht="15.75" customHeight="1" s="248">
      <c r="A625" s="117" t="n">
        <v>617</v>
      </c>
      <c r="B625" s="117" t="inlineStr">
        <is>
          <t>2026/06/11 00:00</t>
        </is>
      </c>
      <c r="C625" s="117" t="inlineStr">
        <is>
          <t>VÕ KIM THU</t>
        </is>
      </c>
      <c r="D625" s="117" t="inlineStr">
        <is>
          <t>01/01/1958</t>
        </is>
      </c>
      <c r="E625" s="117" t="inlineStr">
        <is>
          <t>Giường Ngoại khoa loại 4 - Khoa Chấn thương chỉnh hình</t>
        </is>
      </c>
      <c r="F625" s="272" t="n">
        <v>1</v>
      </c>
      <c r="G625" s="272" t="n">
        <v>229200</v>
      </c>
    </row>
    <row r="626" ht="15.75" customHeight="1" s="248">
      <c r="A626" s="117" t="n">
        <v>618</v>
      </c>
      <c r="B626" s="117" t="inlineStr">
        <is>
          <t>2026/06/11 00:00</t>
        </is>
      </c>
      <c r="C626" s="117" t="inlineStr">
        <is>
          <t>VÕ THỊ KIẾU</t>
        </is>
      </c>
      <c r="D626" s="117" t="inlineStr">
        <is>
          <t>01/01/1955</t>
        </is>
      </c>
      <c r="E626" s="117" t="inlineStr">
        <is>
          <t>Giường Ngoại khoa loại 1 - Khoa Chấn thương chỉnh hình</t>
        </is>
      </c>
      <c r="F626" s="272" t="n">
        <v>1</v>
      </c>
      <c r="G626" s="272" t="n">
        <v>341800</v>
      </c>
    </row>
    <row r="627" ht="15.75" customHeight="1" s="248">
      <c r="A627" s="117" t="n">
        <v>619</v>
      </c>
      <c r="B627" s="117" t="inlineStr">
        <is>
          <t>2026/06/11 00:00</t>
        </is>
      </c>
      <c r="C627" s="117" t="inlineStr">
        <is>
          <t>VÕ THỊ ÚT</t>
        </is>
      </c>
      <c r="D627" s="117" t="inlineStr">
        <is>
          <t>10/09/1974</t>
        </is>
      </c>
      <c r="E627" s="117" t="inlineStr">
        <is>
          <t>Giường Ngoại khoa loại 3 - Khoa Chấn thương chỉnh hình</t>
        </is>
      </c>
      <c r="F627" s="272" t="n">
        <v>1</v>
      </c>
      <c r="G627" s="272" t="n">
        <v>269200</v>
      </c>
    </row>
    <row r="628" ht="15.75" customHeight="1" s="248">
      <c r="A628" s="117" t="n">
        <v>620</v>
      </c>
      <c r="B628" s="117" t="inlineStr">
        <is>
          <t>2026/06/11 00:00</t>
        </is>
      </c>
      <c r="C628" s="117" t="inlineStr">
        <is>
          <t>VÕ TẤN HƯNG</t>
        </is>
      </c>
      <c r="D628" s="117" t="inlineStr">
        <is>
          <t>19/09/1963</t>
        </is>
      </c>
      <c r="E628" s="117" t="inlineStr">
        <is>
          <t>Giường Ngoại khoa loại 3 - Khoa Chấn thương chỉnh hình</t>
        </is>
      </c>
      <c r="F628" s="272" t="n">
        <v>1</v>
      </c>
      <c r="G628" s="272" t="n">
        <v>269200</v>
      </c>
    </row>
    <row r="629" ht="15.75" customHeight="1" s="248">
      <c r="A629" s="117" t="n">
        <v>621</v>
      </c>
      <c r="B629" s="117" t="inlineStr">
        <is>
          <t>2026/06/11 00:00</t>
        </is>
      </c>
      <c r="C629" s="117" t="inlineStr">
        <is>
          <t>ĐẶNG KIM OANH</t>
        </is>
      </c>
      <c r="D629" s="117" t="inlineStr">
        <is>
          <t>16/10/1986</t>
        </is>
      </c>
      <c r="E629" s="117" t="inlineStr">
        <is>
          <t>Giường Nội khoa loại 2 - Khoa Chấn thương chỉnh hình</t>
        </is>
      </c>
      <c r="F629" s="272" t="n">
        <v>1</v>
      </c>
      <c r="G629" s="272" t="n">
        <v>222300</v>
      </c>
    </row>
    <row r="630" ht="15.75" customHeight="1" s="248">
      <c r="A630" s="117" t="n">
        <v>622</v>
      </c>
      <c r="B630" s="117" t="inlineStr">
        <is>
          <t>2026/06/11 00:00</t>
        </is>
      </c>
      <c r="C630" s="117" t="inlineStr">
        <is>
          <t>ĐẶNG THÀNH THÁI</t>
        </is>
      </c>
      <c r="D630" s="117" t="inlineStr">
        <is>
          <t>01/01/1980</t>
        </is>
      </c>
      <c r="E630" s="117" t="inlineStr">
        <is>
          <t>Giường Ngoại khoa loại 3 - Khoa Chấn thương chỉnh hình</t>
        </is>
      </c>
      <c r="F630" s="272" t="n">
        <v>1</v>
      </c>
      <c r="G630" s="272" t="n">
        <v>269200</v>
      </c>
    </row>
    <row r="631" ht="15.75" customHeight="1" s="248">
      <c r="A631" s="117" t="n">
        <v>623</v>
      </c>
      <c r="B631" s="117" t="inlineStr">
        <is>
          <t>2026/06/11 00:00</t>
        </is>
      </c>
      <c r="C631" s="117" t="inlineStr">
        <is>
          <t>CAO THIỆN VŨ</t>
        </is>
      </c>
      <c r="D631" s="117" t="inlineStr">
        <is>
          <t>01/01/1977</t>
        </is>
      </c>
      <c r="E631" s="117" t="inlineStr">
        <is>
          <t>Giường Ngoại khoa loại 1 - Khoa Chấn thương chỉnh hình</t>
        </is>
      </c>
      <c r="F631" s="272" t="n">
        <v>1</v>
      </c>
      <c r="G631" s="272" t="n">
        <v>341800</v>
      </c>
    </row>
    <row r="632" ht="15.75" customHeight="1" s="248">
      <c r="A632" s="117" t="n">
        <v>624</v>
      </c>
      <c r="B632" s="117" t="inlineStr">
        <is>
          <t>2026/06/11 00:00</t>
        </is>
      </c>
      <c r="C632" s="117" t="inlineStr">
        <is>
          <t>CAO THỊ CAM</t>
        </is>
      </c>
      <c r="D632" s="117" t="inlineStr">
        <is>
          <t>01/01/1946</t>
        </is>
      </c>
      <c r="E632" s="117" t="inlineStr">
        <is>
          <t>Giường Nội khoa loại 2 - Khoa Chấn thương chỉnh hình</t>
        </is>
      </c>
      <c r="F632" s="272" t="n">
        <v>1</v>
      </c>
      <c r="G632" s="272" t="n">
        <v>222300</v>
      </c>
    </row>
    <row r="633" ht="15.75" customHeight="1" s="248">
      <c r="A633" s="117" t="n">
        <v>625</v>
      </c>
      <c r="B633" s="117" t="inlineStr">
        <is>
          <t>2026/06/11 00:00</t>
        </is>
      </c>
      <c r="C633" s="117" t="inlineStr">
        <is>
          <t>CHÂU THỊ ĐỦ</t>
        </is>
      </c>
      <c r="D633" s="117" t="inlineStr">
        <is>
          <t>01/01/1963</t>
        </is>
      </c>
      <c r="E633" s="117" t="inlineStr">
        <is>
          <t>Giường Ngoại khoa loại 1 - Khoa Chấn thương chỉnh hình</t>
        </is>
      </c>
      <c r="F633" s="272" t="n">
        <v>1</v>
      </c>
      <c r="G633" s="272" t="n">
        <v>341800</v>
      </c>
    </row>
    <row r="634" ht="15.75" customHeight="1" s="248">
      <c r="A634" s="117" t="n">
        <v>626</v>
      </c>
      <c r="B634" s="117" t="inlineStr">
        <is>
          <t>2026/06/11 00:00</t>
        </is>
      </c>
      <c r="C634" s="117" t="inlineStr">
        <is>
          <t>NGUYỄN HỒNG NHIÊN</t>
        </is>
      </c>
      <c r="D634" s="117" t="inlineStr">
        <is>
          <t>01/01/1968</t>
        </is>
      </c>
      <c r="E634" s="117" t="inlineStr">
        <is>
          <t>Giường Ngoại khoa loại 1 - Khoa Chấn thương chỉnh hình</t>
        </is>
      </c>
      <c r="F634" s="272" t="n">
        <v>1</v>
      </c>
      <c r="G634" s="272" t="n">
        <v>341800</v>
      </c>
    </row>
    <row r="635" ht="15.75" customHeight="1" s="248">
      <c r="A635" s="117" t="n">
        <v>627</v>
      </c>
      <c r="B635" s="117" t="inlineStr">
        <is>
          <t>2026/06/11 00:00</t>
        </is>
      </c>
      <c r="C635" s="117" t="inlineStr">
        <is>
          <t>NGUYỄN THỊ KỶ</t>
        </is>
      </c>
      <c r="D635" s="117" t="inlineStr">
        <is>
          <t>01/01/1949</t>
        </is>
      </c>
      <c r="E635" s="117" t="inlineStr">
        <is>
          <t>Giường Ngoại khoa loại 3 - Khoa Chấn thương chỉnh hình</t>
        </is>
      </c>
      <c r="F635" s="272" t="n">
        <v>1</v>
      </c>
      <c r="G635" s="272" t="n">
        <v>269200</v>
      </c>
    </row>
    <row r="636" ht="15.75" customHeight="1" s="248">
      <c r="A636" s="117" t="n">
        <v>628</v>
      </c>
      <c r="B636" s="117" t="inlineStr">
        <is>
          <t>2026/06/11 00:00</t>
        </is>
      </c>
      <c r="C636" s="117" t="inlineStr">
        <is>
          <t>NGUYỄN THỊ NGÂN</t>
        </is>
      </c>
      <c r="D636" s="117" t="inlineStr">
        <is>
          <t>01/01/1954</t>
        </is>
      </c>
      <c r="E636" s="117" t="inlineStr">
        <is>
          <t>Giường Ngoại khoa loại 3 - Khoa Chấn thương chỉnh hình</t>
        </is>
      </c>
      <c r="F636" s="272" t="n">
        <v>1</v>
      </c>
      <c r="G636" s="272" t="n">
        <v>269200</v>
      </c>
    </row>
    <row r="637" ht="15.75" customHeight="1" s="248">
      <c r="A637" s="117" t="n">
        <v>629</v>
      </c>
      <c r="B637" s="117" t="inlineStr">
        <is>
          <t>2026/06/11 00:00</t>
        </is>
      </c>
      <c r="C637" s="117" t="inlineStr">
        <is>
          <t>NGÔ HÒA THUẬN</t>
        </is>
      </c>
      <c r="D637" s="117" t="inlineStr">
        <is>
          <t>28/04/1979</t>
        </is>
      </c>
      <c r="E637" s="117" t="inlineStr">
        <is>
          <t>Giường Ngoại khoa loại 1 - Khoa Chấn thương chỉnh hình</t>
        </is>
      </c>
      <c r="F637" s="272" t="n">
        <v>1</v>
      </c>
      <c r="G637" s="272" t="n">
        <v>341800</v>
      </c>
    </row>
    <row r="638" ht="15.75" customHeight="1" s="248">
      <c r="A638" s="117" t="n">
        <v>630</v>
      </c>
      <c r="B638" s="117" t="inlineStr">
        <is>
          <t>2026/06/11 00:00</t>
        </is>
      </c>
      <c r="C638" s="117" t="inlineStr">
        <is>
          <t>TRẦN BÉ HIỀN</t>
        </is>
      </c>
      <c r="D638" s="117" t="inlineStr">
        <is>
          <t>22/06/1994</t>
        </is>
      </c>
      <c r="E638" s="117" t="inlineStr">
        <is>
          <t>Giường Ngoại khoa loại 3 - Khoa Chấn thương chỉnh hình</t>
        </is>
      </c>
      <c r="F638" s="272" t="n">
        <v>1</v>
      </c>
      <c r="G638" s="272" t="n">
        <v>269200</v>
      </c>
    </row>
    <row r="639" ht="15.75" customHeight="1" s="248">
      <c r="A639" s="117" t="n">
        <v>631</v>
      </c>
      <c r="B639" s="117" t="inlineStr">
        <is>
          <t>2026/06/11 00:00</t>
        </is>
      </c>
      <c r="C639" s="117" t="inlineStr">
        <is>
          <t>TÔN VĂN PHƯỚC</t>
        </is>
      </c>
      <c r="D639" s="117" t="inlineStr">
        <is>
          <t>01/01/1970</t>
        </is>
      </c>
      <c r="E639" s="117" t="inlineStr">
        <is>
          <t>Giường Ngoại khoa loại 1 - Khoa Chấn thương chỉnh hình</t>
        </is>
      </c>
      <c r="F639" s="272" t="n">
        <v>1</v>
      </c>
      <c r="G639" s="272" t="n">
        <v>341800</v>
      </c>
    </row>
    <row r="640" ht="15.75" customHeight="1" s="248">
      <c r="A640" s="117" t="n">
        <v>632</v>
      </c>
      <c r="B640" s="117" t="inlineStr">
        <is>
          <t>2026/06/11 00:00</t>
        </is>
      </c>
      <c r="C640" s="117" t="inlineStr">
        <is>
          <t>VÕ KIM ANH</t>
        </is>
      </c>
      <c r="D640" s="117" t="inlineStr">
        <is>
          <t>31/12/1939</t>
        </is>
      </c>
      <c r="E640" s="117" t="inlineStr">
        <is>
          <t>Giường Nội khoa loại 2 - Khoa Chấn thương chỉnh hình</t>
        </is>
      </c>
      <c r="F640" s="272" t="n">
        <v>1</v>
      </c>
      <c r="G640" s="272" t="n">
        <v>222300</v>
      </c>
    </row>
    <row r="641" ht="15.75" customHeight="1" s="248">
      <c r="A641" s="117" t="n">
        <v>633</v>
      </c>
      <c r="B641" s="117" t="inlineStr">
        <is>
          <t>2026/06/11 00:00</t>
        </is>
      </c>
      <c r="C641" s="117" t="inlineStr">
        <is>
          <t>VÕ THỊ HỒNG LIÊN</t>
        </is>
      </c>
      <c r="D641" s="117" t="inlineStr">
        <is>
          <t>16/12/1948</t>
        </is>
      </c>
      <c r="E641" s="117" t="inlineStr">
        <is>
          <t>Giường Nội khoa loại 2 - Khoa Chấn thương chỉnh hình</t>
        </is>
      </c>
      <c r="F641" s="272" t="n">
        <v>1</v>
      </c>
      <c r="G641" s="272" t="n">
        <v>222300</v>
      </c>
    </row>
    <row r="642" ht="15.75" customHeight="1" s="248">
      <c r="A642" s="117" t="n">
        <v>634</v>
      </c>
      <c r="B642" s="117" t="inlineStr">
        <is>
          <t>2026/06/11 07:00</t>
        </is>
      </c>
      <c r="C642" s="117" t="inlineStr">
        <is>
          <t>ĐẶNG KIM BÍCH</t>
        </is>
      </c>
      <c r="D642" s="117" t="inlineStr">
        <is>
          <t>01/01/1972</t>
        </is>
      </c>
      <c r="E642" s="117" t="inlineStr">
        <is>
          <t>Giường Nội khoa loại 2 - Khoa Chấn thương chỉnh hình</t>
        </is>
      </c>
      <c r="F642" s="272" t="n">
        <v>1</v>
      </c>
      <c r="G642" s="272" t="n">
        <v>222300</v>
      </c>
    </row>
    <row r="643" ht="15.75" customHeight="1" s="248">
      <c r="A643" s="117" t="n">
        <v>635</v>
      </c>
      <c r="B643" s="117" t="inlineStr">
        <is>
          <t>2026/06/11 07:26</t>
        </is>
      </c>
      <c r="C643" s="117" t="inlineStr">
        <is>
          <t>NGUYỄN THỊ ÚT NHỎ</t>
        </is>
      </c>
      <c r="D643" s="117" t="inlineStr">
        <is>
          <t>15/08/1969</t>
        </is>
      </c>
      <c r="E643" s="117" t="inlineStr">
        <is>
          <t>Giường Nội khoa loại 2 - Khoa Chấn thương chỉnh hình</t>
        </is>
      </c>
      <c r="F643" s="272" t="n">
        <v>1</v>
      </c>
      <c r="G643" s="272" t="n">
        <v>222300</v>
      </c>
    </row>
    <row r="644" ht="15.75" customHeight="1" s="248">
      <c r="A644" s="117" t="n">
        <v>636</v>
      </c>
      <c r="B644" s="117" t="inlineStr">
        <is>
          <t>2026/06/11 08:01</t>
        </is>
      </c>
      <c r="C644" s="117" t="inlineStr">
        <is>
          <t>LÊ THỊ HOA</t>
        </is>
      </c>
      <c r="D644" s="117" t="inlineStr">
        <is>
          <t>12/08/1948</t>
        </is>
      </c>
      <c r="E644" s="117" t="inlineStr">
        <is>
          <t>Giường Nội khoa loại 2 - Khoa Chấn thương chỉnh hình</t>
        </is>
      </c>
      <c r="F644" s="272" t="n">
        <v>1</v>
      </c>
      <c r="G644" s="272" t="n">
        <v>222300</v>
      </c>
    </row>
    <row r="645" ht="15.75" customHeight="1" s="248">
      <c r="A645" s="117" t="n">
        <v>637</v>
      </c>
      <c r="B645" s="117" t="inlineStr">
        <is>
          <t>2026/06/11 09:21</t>
        </is>
      </c>
      <c r="C645" s="117" t="inlineStr">
        <is>
          <t>NGUYỄN THỊ MƯỜI</t>
        </is>
      </c>
      <c r="D645" s="117" t="inlineStr">
        <is>
          <t>01/01/1951</t>
        </is>
      </c>
      <c r="E645" s="117" t="inlineStr">
        <is>
          <t>Giường Nội khoa loại 2 - Khoa Chấn thương chỉnh hình</t>
        </is>
      </c>
      <c r="F645" s="272" t="n">
        <v>1</v>
      </c>
      <c r="G645" s="272" t="n">
        <v>222300</v>
      </c>
    </row>
    <row r="646" ht="15.75" customHeight="1" s="248">
      <c r="A646" s="117" t="n">
        <v>638</v>
      </c>
      <c r="B646" s="117" t="inlineStr">
        <is>
          <t>2026/06/11 10:02</t>
        </is>
      </c>
      <c r="C646" s="117" t="inlineStr">
        <is>
          <t>VÕ THANH TÂN</t>
        </is>
      </c>
      <c r="D646" s="117" t="inlineStr">
        <is>
          <t>29/06/1996</t>
        </is>
      </c>
      <c r="E646" s="117" t="inlineStr">
        <is>
          <t>Giường Nội khoa loại 2 - Khoa Chấn thương chỉnh hình</t>
        </is>
      </c>
      <c r="F646" s="272" t="n">
        <v>1</v>
      </c>
      <c r="G646" s="272" t="n">
        <v>222300</v>
      </c>
    </row>
    <row r="647" ht="15.75" customHeight="1" s="248">
      <c r="A647" s="117" t="n">
        <v>639</v>
      </c>
      <c r="B647" s="117" t="inlineStr">
        <is>
          <t>2026/06/11 10:21</t>
        </is>
      </c>
      <c r="C647" s="117" t="inlineStr">
        <is>
          <t>ĐINH THỊ THI</t>
        </is>
      </c>
      <c r="D647" s="117" t="inlineStr">
        <is>
          <t>01/01/1971</t>
        </is>
      </c>
      <c r="E647" s="117" t="inlineStr">
        <is>
          <t>Giường Nội khoa loại 2 - Khoa Chấn thương chỉnh hình</t>
        </is>
      </c>
      <c r="F647" s="272" t="n">
        <v>1</v>
      </c>
      <c r="G647" s="272" t="n">
        <v>222300</v>
      </c>
    </row>
    <row r="648" ht="15.75" customHeight="1" s="248">
      <c r="A648" s="117" t="n">
        <v>640</v>
      </c>
      <c r="B648" s="117" t="inlineStr">
        <is>
          <t>2026/06/11 10:28</t>
        </is>
      </c>
      <c r="C648" s="117" t="inlineStr">
        <is>
          <t>NGUYỄN THỊ NHƯ TRÚC</t>
        </is>
      </c>
      <c r="D648" s="117" t="inlineStr">
        <is>
          <t>30/03/2006</t>
        </is>
      </c>
      <c r="E648" s="117" t="inlineStr">
        <is>
          <t>Giường Nội khoa loại 2 - Khoa Chấn thương chỉnh hình</t>
        </is>
      </c>
      <c r="F648" s="272" t="n">
        <v>1</v>
      </c>
      <c r="G648" s="272" t="n">
        <v>222300</v>
      </c>
    </row>
    <row r="649" ht="15.75" customHeight="1" s="248">
      <c r="A649" s="117" t="n">
        <v>641</v>
      </c>
      <c r="B649" s="117" t="inlineStr">
        <is>
          <t>2026/06/11 11:49</t>
        </is>
      </c>
      <c r="C649" s="117" t="inlineStr">
        <is>
          <t>TRẦN ĐẶNG NHƠN</t>
        </is>
      </c>
      <c r="D649" s="117" t="inlineStr">
        <is>
          <t>14/03/1991</t>
        </is>
      </c>
      <c r="E649" s="117" t="inlineStr">
        <is>
          <t>Giường Nội khoa loại 2 - Khoa Chấn thương chỉnh hình</t>
        </is>
      </c>
      <c r="F649" s="272" t="n">
        <v>1</v>
      </c>
      <c r="G649" s="272" t="n">
        <v>222300</v>
      </c>
    </row>
    <row r="650" ht="15.75" customHeight="1" s="248">
      <c r="A650" s="117" t="n">
        <v>642</v>
      </c>
      <c r="B650" s="117" t="inlineStr">
        <is>
          <t>2026/06/11 13:56</t>
        </is>
      </c>
      <c r="C650" s="117" t="inlineStr">
        <is>
          <t>ĐẶNG THỊ XOE</t>
        </is>
      </c>
      <c r="D650" s="117" t="inlineStr">
        <is>
          <t>01/01/1936</t>
        </is>
      </c>
      <c r="E650" s="117" t="inlineStr">
        <is>
          <t>Giường Nội khoa loại 2 - Khoa Chấn thương chỉnh hình</t>
        </is>
      </c>
      <c r="F650" s="272" t="n">
        <v>1</v>
      </c>
      <c r="G650" s="272" t="n">
        <v>222300</v>
      </c>
    </row>
    <row r="651" ht="15.75" customHeight="1" s="248">
      <c r="A651" s="117" t="n">
        <v>643</v>
      </c>
      <c r="B651" s="117" t="inlineStr">
        <is>
          <t>2026/06/11 15:11</t>
        </is>
      </c>
      <c r="C651" s="117" t="inlineStr">
        <is>
          <t>HOÀNG TUẤN ANH</t>
        </is>
      </c>
      <c r="D651" s="117" t="inlineStr">
        <is>
          <t>07/12/1982</t>
        </is>
      </c>
      <c r="E651" s="117" t="inlineStr">
        <is>
          <t>Giường Nội khoa loại 2 - Khoa Chấn thương chỉnh hình</t>
        </is>
      </c>
      <c r="F651" s="272" t="n">
        <v>1</v>
      </c>
      <c r="G651" s="272" t="n">
        <v>222300</v>
      </c>
    </row>
    <row r="652" ht="15.75" customHeight="1" s="248">
      <c r="A652" s="117" t="n">
        <v>644</v>
      </c>
      <c r="B652" s="117" t="inlineStr">
        <is>
          <t>2026/06/11 15:11</t>
        </is>
      </c>
      <c r="C652" s="117" t="inlineStr">
        <is>
          <t>LÊ VĂN MẠNH</t>
        </is>
      </c>
      <c r="D652" s="117" t="inlineStr">
        <is>
          <t>01/01/1967</t>
        </is>
      </c>
      <c r="E652" s="117" t="inlineStr">
        <is>
          <t>Giường Nội khoa loại 2 - Khoa Chấn thương chỉnh hình</t>
        </is>
      </c>
      <c r="F652" s="272" t="n">
        <v>1</v>
      </c>
      <c r="G652" s="272" t="n">
        <v>222300</v>
      </c>
    </row>
    <row r="653" ht="15.75" customHeight="1" s="248">
      <c r="A653" s="117" t="n">
        <v>645</v>
      </c>
      <c r="B653" s="117" t="inlineStr">
        <is>
          <t>2026/06/11 16:58</t>
        </is>
      </c>
      <c r="C653" s="117" t="inlineStr">
        <is>
          <t>PHAN VĂN ĐƯỢC</t>
        </is>
      </c>
      <c r="D653" s="117" t="inlineStr">
        <is>
          <t>01/01/1934</t>
        </is>
      </c>
      <c r="E653" s="117" t="inlineStr">
        <is>
          <t>Giường Nội khoa loại 2 - Khoa Chấn thương chỉnh hình</t>
        </is>
      </c>
      <c r="F653" s="272" t="n">
        <v>1</v>
      </c>
      <c r="G653" s="272" t="n">
        <v>222300</v>
      </c>
    </row>
    <row r="654" ht="15.75" customHeight="1" s="248">
      <c r="A654" s="117" t="n">
        <v>646</v>
      </c>
      <c r="B654" s="117" t="inlineStr">
        <is>
          <t>2026/06/12 00:00</t>
        </is>
      </c>
      <c r="C654" s="117" t="inlineStr">
        <is>
          <t>CAO HÙNG PHONG</t>
        </is>
      </c>
      <c r="D654" s="117" t="inlineStr">
        <is>
          <t>15/04/1969</t>
        </is>
      </c>
      <c r="E654" s="117" t="inlineStr">
        <is>
          <t>Giường Ngoại khoa loại 1 - Khoa Chấn thương chỉnh hình</t>
        </is>
      </c>
      <c r="F654" s="272" t="n">
        <v>1</v>
      </c>
      <c r="G654" s="272" t="n">
        <v>341800</v>
      </c>
    </row>
    <row r="655" ht="15.75" customHeight="1" s="248">
      <c r="A655" s="117" t="n">
        <v>647</v>
      </c>
      <c r="B655" s="117" t="inlineStr">
        <is>
          <t>2026/06/12 00:00</t>
        </is>
      </c>
      <c r="C655" s="117" t="inlineStr">
        <is>
          <t>HUỲNH NGỌC SƯƠNG</t>
        </is>
      </c>
      <c r="D655" s="117" t="inlineStr">
        <is>
          <t>05/05/1954</t>
        </is>
      </c>
      <c r="E655" s="117" t="inlineStr">
        <is>
          <t>Giường Ngoại khoa loại 1 - Khoa Chấn thương chỉnh hình</t>
        </is>
      </c>
      <c r="F655" s="272" t="n">
        <v>1</v>
      </c>
      <c r="G655" s="272" t="n">
        <v>341800</v>
      </c>
    </row>
    <row r="656" ht="15.75" customHeight="1" s="248">
      <c r="A656" s="117" t="n">
        <v>648</v>
      </c>
      <c r="B656" s="117" t="inlineStr">
        <is>
          <t>2026/06/12 00:00</t>
        </is>
      </c>
      <c r="C656" s="117" t="inlineStr">
        <is>
          <t>LÊ THỊ KIM ĐIỂU</t>
        </is>
      </c>
      <c r="D656" s="117" t="inlineStr">
        <is>
          <t>12/12/1958</t>
        </is>
      </c>
      <c r="E656" s="117" t="inlineStr">
        <is>
          <t>Giường Nội khoa loại 2 - Khoa Chấn thương chỉnh hình</t>
        </is>
      </c>
      <c r="F656" s="272" t="n">
        <v>1</v>
      </c>
      <c r="G656" s="272" t="n">
        <v>222300</v>
      </c>
    </row>
    <row r="657" ht="15.75" customHeight="1" s="248">
      <c r="A657" s="117" t="n">
        <v>649</v>
      </c>
      <c r="B657" s="117" t="inlineStr">
        <is>
          <t>2026/06/12 00:00</t>
        </is>
      </c>
      <c r="C657" s="117" t="inlineStr">
        <is>
          <t>LÊ THỊ LỆ</t>
        </is>
      </c>
      <c r="D657" s="117" t="inlineStr">
        <is>
          <t>01/01/1957</t>
        </is>
      </c>
      <c r="E657" s="117" t="inlineStr">
        <is>
          <t>Giường Nội khoa loại 2 - Khoa Chấn thương chỉnh hình</t>
        </is>
      </c>
      <c r="F657" s="272" t="n">
        <v>1</v>
      </c>
      <c r="G657" s="272" t="n">
        <v>222300</v>
      </c>
    </row>
    <row r="658" ht="15.75" customHeight="1" s="248">
      <c r="A658" s="117" t="n">
        <v>650</v>
      </c>
      <c r="B658" s="117" t="inlineStr">
        <is>
          <t>2026/06/12 00:00</t>
        </is>
      </c>
      <c r="C658" s="117" t="inlineStr">
        <is>
          <t>LÊ THỊ THU</t>
        </is>
      </c>
      <c r="D658" s="117" t="inlineStr">
        <is>
          <t>07/12/1965</t>
        </is>
      </c>
      <c r="E658" s="117" t="inlineStr">
        <is>
          <t>Giường Nội khoa loại 2 - Khoa Chấn thương chỉnh hình</t>
        </is>
      </c>
      <c r="F658" s="272" t="n">
        <v>1</v>
      </c>
      <c r="G658" s="272" t="n">
        <v>222300</v>
      </c>
    </row>
    <row r="659" ht="15.75" customHeight="1" s="248">
      <c r="A659" s="117" t="n">
        <v>651</v>
      </c>
      <c r="B659" s="117" t="inlineStr">
        <is>
          <t>2026/06/12 00:00</t>
        </is>
      </c>
      <c r="C659" s="117" t="inlineStr">
        <is>
          <t>LÊ VĂN LANH</t>
        </is>
      </c>
      <c r="D659" s="117" t="inlineStr">
        <is>
          <t>01/01/1953</t>
        </is>
      </c>
      <c r="E659" s="117" t="inlineStr">
        <is>
          <t>Giường Nội khoa loại 2 - Khoa Chấn thương chỉnh hình</t>
        </is>
      </c>
      <c r="F659" s="272" t="n">
        <v>1</v>
      </c>
      <c r="G659" s="272" t="n">
        <v>222300</v>
      </c>
    </row>
    <row r="660" ht="15.75" customHeight="1" s="248">
      <c r="A660" s="117" t="n">
        <v>652</v>
      </c>
      <c r="B660" s="117" t="inlineStr">
        <is>
          <t>2026/06/12 00:00</t>
        </is>
      </c>
      <c r="C660" s="117" t="inlineStr">
        <is>
          <t>LÝ VĂN KHƯƠNG</t>
        </is>
      </c>
      <c r="D660" s="117" t="inlineStr">
        <is>
          <t>05/06/1970</t>
        </is>
      </c>
      <c r="E660" s="117" t="inlineStr">
        <is>
          <t>Giường Nội khoa loại 2 - Khoa Chấn thương chỉnh hình</t>
        </is>
      </c>
      <c r="F660" s="272" t="n">
        <v>1</v>
      </c>
      <c r="G660" s="272" t="n">
        <v>222300</v>
      </c>
    </row>
    <row r="661" ht="15.75" customHeight="1" s="248">
      <c r="A661" s="117" t="n">
        <v>653</v>
      </c>
      <c r="B661" s="117" t="inlineStr">
        <is>
          <t>2026/06/12 00:00</t>
        </is>
      </c>
      <c r="C661" s="117" t="inlineStr">
        <is>
          <t>MAI THÀNH DƯƠNG</t>
        </is>
      </c>
      <c r="D661" s="117" t="inlineStr">
        <is>
          <t>10/04/1964</t>
        </is>
      </c>
      <c r="E661" s="117" t="inlineStr">
        <is>
          <t>Giường Nội khoa loại 2 - Khoa Chấn thương chỉnh hình</t>
        </is>
      </c>
      <c r="F661" s="272" t="n">
        <v>1</v>
      </c>
      <c r="G661" s="272" t="n">
        <v>222300</v>
      </c>
    </row>
    <row r="662" ht="15.75" customHeight="1" s="248">
      <c r="A662" s="117" t="n">
        <v>654</v>
      </c>
      <c r="B662" s="117" t="inlineStr">
        <is>
          <t>2026/06/12 00:00</t>
        </is>
      </c>
      <c r="C662" s="117" t="inlineStr">
        <is>
          <t>NGUYỄN THỊ MƯỜI</t>
        </is>
      </c>
      <c r="D662" s="117" t="inlineStr">
        <is>
          <t>01/01/1951</t>
        </is>
      </c>
      <c r="E662" s="117" t="inlineStr">
        <is>
          <t>Giường Nội khoa loại 2 - Khoa Chấn thương chỉnh hình</t>
        </is>
      </c>
      <c r="F662" s="272" t="n">
        <v>1</v>
      </c>
      <c r="G662" s="272" t="n">
        <v>222300</v>
      </c>
    </row>
    <row r="663" ht="15.75" customHeight="1" s="248">
      <c r="A663" s="117" t="n">
        <v>655</v>
      </c>
      <c r="B663" s="117" t="inlineStr">
        <is>
          <t>2026/06/12 00:00</t>
        </is>
      </c>
      <c r="C663" s="117" t="inlineStr">
        <is>
          <t>NGUYỄN THỊ NHƯ TRÚC</t>
        </is>
      </c>
      <c r="D663" s="117" t="inlineStr">
        <is>
          <t>30/03/2006</t>
        </is>
      </c>
      <c r="E663" s="117" t="inlineStr">
        <is>
          <t>Giường Ngoại khoa loại 3 - Khoa Chấn thương chỉnh hình</t>
        </is>
      </c>
      <c r="F663" s="272" t="n">
        <v>1</v>
      </c>
      <c r="G663" s="272" t="n">
        <v>269200</v>
      </c>
    </row>
    <row r="664" ht="15.75" customHeight="1" s="248">
      <c r="A664" s="117" t="n">
        <v>656</v>
      </c>
      <c r="B664" s="117" t="inlineStr">
        <is>
          <t>2026/06/12 00:00</t>
        </is>
      </c>
      <c r="C664" s="117" t="inlineStr">
        <is>
          <t>PHAN VĂN ĐƯỢC</t>
        </is>
      </c>
      <c r="D664" s="117" t="inlineStr">
        <is>
          <t>01/01/1934</t>
        </is>
      </c>
      <c r="E664" s="117" t="inlineStr">
        <is>
          <t>Giường Nội khoa loại 2 - Khoa Chấn thương chỉnh hình</t>
        </is>
      </c>
      <c r="F664" s="272" t="n">
        <v>1</v>
      </c>
      <c r="G664" s="272" t="n">
        <v>222300</v>
      </c>
    </row>
    <row r="665" ht="15.75" customHeight="1" s="248">
      <c r="A665" s="117" t="n">
        <v>657</v>
      </c>
      <c r="B665" s="117" t="inlineStr">
        <is>
          <t>2026/06/12 00:00</t>
        </is>
      </c>
      <c r="C665" s="117" t="inlineStr">
        <is>
          <t>THÁI THỊ THỦY</t>
        </is>
      </c>
      <c r="D665" s="117" t="inlineStr">
        <is>
          <t>01/01/1957</t>
        </is>
      </c>
      <c r="E665" s="117" t="inlineStr">
        <is>
          <t>Giường Ngoại khoa loại 1 - Khoa Chấn thương chỉnh hình</t>
        </is>
      </c>
      <c r="F665" s="272" t="n">
        <v>1</v>
      </c>
      <c r="G665" s="272" t="n">
        <v>341800</v>
      </c>
    </row>
    <row r="666" ht="15.75" customHeight="1" s="248">
      <c r="A666" s="117" t="n">
        <v>658</v>
      </c>
      <c r="B666" s="117" t="inlineStr">
        <is>
          <t>2026/06/12 00:00</t>
        </is>
      </c>
      <c r="C666" s="117" t="inlineStr">
        <is>
          <t>TRIỆU HOÀNG LONG</t>
        </is>
      </c>
      <c r="D666" s="117" t="inlineStr">
        <is>
          <t>01/01/1963</t>
        </is>
      </c>
      <c r="E666" s="117" t="inlineStr">
        <is>
          <t>Giường Ngoại khoa loại 1 - Khoa Chấn thương chỉnh hình</t>
        </is>
      </c>
      <c r="F666" s="272" t="n">
        <v>1</v>
      </c>
      <c r="G666" s="272" t="n">
        <v>341800</v>
      </c>
    </row>
    <row r="667" ht="15.75" customHeight="1" s="248">
      <c r="A667" s="117" t="n">
        <v>659</v>
      </c>
      <c r="B667" s="117" t="inlineStr">
        <is>
          <t>2026/06/12 00:00</t>
        </is>
      </c>
      <c r="C667" s="117" t="inlineStr">
        <is>
          <t>TRƯƠNG THỊ XINH</t>
        </is>
      </c>
      <c r="D667" s="117" t="inlineStr">
        <is>
          <t>01/01/1957</t>
        </is>
      </c>
      <c r="E667" s="117" t="inlineStr">
        <is>
          <t>Giường Ngoại khoa loại 3 - Khoa Chấn thương chỉnh hình</t>
        </is>
      </c>
      <c r="F667" s="272" t="n">
        <v>1</v>
      </c>
      <c r="G667" s="272" t="n">
        <v>269200</v>
      </c>
    </row>
    <row r="668" ht="15.75" customHeight="1" s="248">
      <c r="A668" s="117" t="n">
        <v>660</v>
      </c>
      <c r="B668" s="117" t="inlineStr">
        <is>
          <t>2026/06/12 00:00</t>
        </is>
      </c>
      <c r="C668" s="117" t="inlineStr">
        <is>
          <t>TRẦN PHAN VÂN ANH</t>
        </is>
      </c>
      <c r="D668" s="117" t="inlineStr">
        <is>
          <t>08/06/1996</t>
        </is>
      </c>
      <c r="E668" s="117" t="inlineStr">
        <is>
          <t>Giường Nội khoa loại 2 - Khoa Chấn thương chỉnh hình</t>
        </is>
      </c>
      <c r="F668" s="272" t="n">
        <v>1</v>
      </c>
      <c r="G668" s="272" t="n">
        <v>222300</v>
      </c>
    </row>
    <row r="669" ht="15.75" customHeight="1" s="248">
      <c r="A669" s="117" t="n">
        <v>661</v>
      </c>
      <c r="B669" s="117" t="inlineStr">
        <is>
          <t>2026/06/12 00:00</t>
        </is>
      </c>
      <c r="C669" s="117" t="inlineStr">
        <is>
          <t>VÕ KIM THU</t>
        </is>
      </c>
      <c r="D669" s="117" t="inlineStr">
        <is>
          <t>01/01/1958</t>
        </is>
      </c>
      <c r="E669" s="117" t="inlineStr">
        <is>
          <t>Giường Ngoại khoa loại 4 - Khoa Chấn thương chỉnh hình</t>
        </is>
      </c>
      <c r="F669" s="272" t="n">
        <v>1</v>
      </c>
      <c r="G669" s="272" t="n">
        <v>229200</v>
      </c>
    </row>
    <row r="670" ht="15.75" customHeight="1" s="248">
      <c r="A670" s="117" t="n">
        <v>662</v>
      </c>
      <c r="B670" s="117" t="inlineStr">
        <is>
          <t>2026/06/12 00:00</t>
        </is>
      </c>
      <c r="C670" s="117" t="inlineStr">
        <is>
          <t>VÕ THANH TÂN</t>
        </is>
      </c>
      <c r="D670" s="117" t="inlineStr">
        <is>
          <t>29/06/1996</t>
        </is>
      </c>
      <c r="E670" s="117" t="inlineStr">
        <is>
          <t>Giường Nội khoa loại 2 - Khoa Chấn thương chỉnh hình</t>
        </is>
      </c>
      <c r="F670" s="272" t="n">
        <v>1</v>
      </c>
      <c r="G670" s="272" t="n">
        <v>222300</v>
      </c>
    </row>
    <row r="671" ht="15.75" customHeight="1" s="248">
      <c r="A671" s="117" t="n">
        <v>663</v>
      </c>
      <c r="B671" s="117" t="inlineStr">
        <is>
          <t>2026/06/12 00:00</t>
        </is>
      </c>
      <c r="C671" s="117" t="inlineStr">
        <is>
          <t>VÕ THỊ KIẾU</t>
        </is>
      </c>
      <c r="D671" s="117" t="inlineStr">
        <is>
          <t>01/01/1955</t>
        </is>
      </c>
      <c r="E671" s="117" t="inlineStr">
        <is>
          <t>Giường Ngoại khoa loại 1 - Khoa Chấn thương chỉnh hình</t>
        </is>
      </c>
      <c r="F671" s="272" t="n">
        <v>1</v>
      </c>
      <c r="G671" s="272" t="n">
        <v>341800</v>
      </c>
    </row>
    <row r="672" ht="15.75" customHeight="1" s="248">
      <c r="A672" s="117" t="n">
        <v>664</v>
      </c>
      <c r="B672" s="117" t="inlineStr">
        <is>
          <t>2026/06/12 00:00</t>
        </is>
      </c>
      <c r="C672" s="117" t="inlineStr">
        <is>
          <t>VÕ THỊ ÚT</t>
        </is>
      </c>
      <c r="D672" s="117" t="inlineStr">
        <is>
          <t>10/09/1974</t>
        </is>
      </c>
      <c r="E672" s="117" t="inlineStr">
        <is>
          <t>Giường Ngoại khoa loại 3 - Khoa Chấn thương chỉnh hình</t>
        </is>
      </c>
      <c r="F672" s="272" t="n">
        <v>1</v>
      </c>
      <c r="G672" s="272" t="n">
        <v>269200</v>
      </c>
    </row>
    <row r="673" ht="15.75" customHeight="1" s="248">
      <c r="A673" s="117" t="n">
        <v>665</v>
      </c>
      <c r="B673" s="117" t="inlineStr">
        <is>
          <t>2026/06/12 00:00</t>
        </is>
      </c>
      <c r="C673" s="117" t="inlineStr">
        <is>
          <t>VÕ TẤN HƯNG</t>
        </is>
      </c>
      <c r="D673" s="117" t="inlineStr">
        <is>
          <t>19/09/1963</t>
        </is>
      </c>
      <c r="E673" s="117" t="inlineStr">
        <is>
          <t>Giường Ngoại khoa loại 3 - Khoa Chấn thương chỉnh hình</t>
        </is>
      </c>
      <c r="F673" s="272" t="n">
        <v>1</v>
      </c>
      <c r="G673" s="272" t="n">
        <v>269200</v>
      </c>
    </row>
    <row r="674" ht="15.75" customHeight="1" s="248">
      <c r="A674" s="117" t="n">
        <v>666</v>
      </c>
      <c r="B674" s="117" t="inlineStr">
        <is>
          <t>2026/06/12 00:00</t>
        </is>
      </c>
      <c r="C674" s="117" t="inlineStr">
        <is>
          <t>ĐẶNG KIM BÍCH</t>
        </is>
      </c>
      <c r="D674" s="117" t="inlineStr">
        <is>
          <t>01/01/1972</t>
        </is>
      </c>
      <c r="E674" s="117" t="inlineStr">
        <is>
          <t>Giường Ngoại khoa loại 1 - Khoa Chấn thương chỉnh hình</t>
        </is>
      </c>
      <c r="F674" s="272" t="n">
        <v>1</v>
      </c>
      <c r="G674" s="272" t="n">
        <v>341800</v>
      </c>
    </row>
    <row r="675" ht="15.75" customHeight="1" s="248">
      <c r="A675" s="117" t="n">
        <v>667</v>
      </c>
      <c r="B675" s="117" t="inlineStr">
        <is>
          <t>2026/06/12 00:00</t>
        </is>
      </c>
      <c r="C675" s="117" t="inlineStr">
        <is>
          <t>ĐẶNG KIM OANH</t>
        </is>
      </c>
      <c r="D675" s="117" t="inlineStr">
        <is>
          <t>16/10/1986</t>
        </is>
      </c>
      <c r="E675" s="117" t="inlineStr">
        <is>
          <t>Giường Nội khoa loại 2 - Khoa Chấn thương chỉnh hình</t>
        </is>
      </c>
      <c r="F675" s="272" t="n">
        <v>1</v>
      </c>
      <c r="G675" s="272" t="n">
        <v>222300</v>
      </c>
    </row>
    <row r="676" ht="15.75" customHeight="1" s="248">
      <c r="A676" s="117" t="n">
        <v>668</v>
      </c>
      <c r="B676" s="117" t="inlineStr">
        <is>
          <t>2026/06/12 00:00</t>
        </is>
      </c>
      <c r="C676" s="117" t="inlineStr">
        <is>
          <t>ĐẶNG THÀNH THÁI</t>
        </is>
      </c>
      <c r="D676" s="117" t="inlineStr">
        <is>
          <t>01/01/1980</t>
        </is>
      </c>
      <c r="E676" s="117" t="inlineStr">
        <is>
          <t>Giường Ngoại khoa loại 3 - Khoa Chấn thương chỉnh hình</t>
        </is>
      </c>
      <c r="F676" s="272" t="n">
        <v>1</v>
      </c>
      <c r="G676" s="272" t="n">
        <v>269200</v>
      </c>
    </row>
    <row r="677" ht="15.75" customHeight="1" s="248">
      <c r="A677" s="117" t="n">
        <v>669</v>
      </c>
      <c r="B677" s="117" t="inlineStr">
        <is>
          <t>2026/06/12 00:00</t>
        </is>
      </c>
      <c r="C677" s="117" t="inlineStr">
        <is>
          <t>ĐẶNG THỊ XOE</t>
        </is>
      </c>
      <c r="D677" s="117" t="inlineStr">
        <is>
          <t>01/01/1936</t>
        </is>
      </c>
      <c r="E677" s="117" t="inlineStr">
        <is>
          <t>Giường Nội khoa loại 2 - Khoa Chấn thương chỉnh hình</t>
        </is>
      </c>
      <c r="F677" s="272" t="n">
        <v>1</v>
      </c>
      <c r="G677" s="272" t="n">
        <v>222300</v>
      </c>
    </row>
    <row r="678" ht="15.75" customHeight="1" s="248">
      <c r="A678" s="117" t="n">
        <v>670</v>
      </c>
      <c r="B678" s="117" t="inlineStr">
        <is>
          <t>2026/06/12 00:00</t>
        </is>
      </c>
      <c r="C678" s="117" t="inlineStr">
        <is>
          <t>CAO THIỆN VŨ</t>
        </is>
      </c>
      <c r="D678" s="117" t="inlineStr">
        <is>
          <t>01/01/1977</t>
        </is>
      </c>
      <c r="E678" s="117" t="inlineStr">
        <is>
          <t>Giường Ngoại khoa loại 1 - Khoa Chấn thương chỉnh hình</t>
        </is>
      </c>
      <c r="F678" s="272" t="n">
        <v>1</v>
      </c>
      <c r="G678" s="272" t="n">
        <v>341800</v>
      </c>
    </row>
    <row r="679" ht="15.75" customHeight="1" s="248">
      <c r="A679" s="117" t="n">
        <v>671</v>
      </c>
      <c r="B679" s="117" t="inlineStr">
        <is>
          <t>2026/06/12 00:00</t>
        </is>
      </c>
      <c r="C679" s="117" t="inlineStr">
        <is>
          <t>CHÂU THỊ ĐỦ</t>
        </is>
      </c>
      <c r="D679" s="117" t="inlineStr">
        <is>
          <t>01/01/1963</t>
        </is>
      </c>
      <c r="E679" s="117" t="inlineStr">
        <is>
          <t>Giường Ngoại khoa loại 1 - Khoa Chấn thương chỉnh hình</t>
        </is>
      </c>
      <c r="F679" s="272" t="n">
        <v>1</v>
      </c>
      <c r="G679" s="272" t="n">
        <v>341800</v>
      </c>
    </row>
    <row r="680" ht="15.75" customHeight="1" s="248">
      <c r="A680" s="117" t="n">
        <v>672</v>
      </c>
      <c r="B680" s="117" t="inlineStr">
        <is>
          <t>2026/06/12 00:00</t>
        </is>
      </c>
      <c r="C680" s="117" t="inlineStr">
        <is>
          <t>LÊ VĂN MẠNH</t>
        </is>
      </c>
      <c r="D680" s="117" t="inlineStr">
        <is>
          <t>01/01/1967</t>
        </is>
      </c>
      <c r="E680" s="117" t="inlineStr">
        <is>
          <t>Giường Ngoại khoa loại 1 - Khoa Chấn thương chỉnh hình</t>
        </is>
      </c>
      <c r="F680" s="272" t="n">
        <v>1</v>
      </c>
      <c r="G680" s="272" t="n">
        <v>341800</v>
      </c>
    </row>
    <row r="681" ht="15.75" customHeight="1" s="248">
      <c r="A681" s="117" t="n">
        <v>673</v>
      </c>
      <c r="B681" s="117" t="inlineStr">
        <is>
          <t>2026/06/12 00:00</t>
        </is>
      </c>
      <c r="C681" s="117" t="inlineStr">
        <is>
          <t>NGUYỄN HỒNG NHIÊN</t>
        </is>
      </c>
      <c r="D681" s="117" t="inlineStr">
        <is>
          <t>01/01/1968</t>
        </is>
      </c>
      <c r="E681" s="117" t="inlineStr">
        <is>
          <t>Giường Ngoại khoa loại 1 - Khoa Chấn thương chỉnh hình</t>
        </is>
      </c>
      <c r="F681" s="272" t="n">
        <v>1</v>
      </c>
      <c r="G681" s="272" t="n">
        <v>341800</v>
      </c>
    </row>
    <row r="682" ht="15.75" customHeight="1" s="248">
      <c r="A682" s="117" t="n">
        <v>674</v>
      </c>
      <c r="B682" s="117" t="inlineStr">
        <is>
          <t>2026/06/12 00:00</t>
        </is>
      </c>
      <c r="C682" s="117" t="inlineStr">
        <is>
          <t>NGUYỄN THỊ NGÂN</t>
        </is>
      </c>
      <c r="D682" s="117" t="inlineStr">
        <is>
          <t>01/01/1954</t>
        </is>
      </c>
      <c r="E682" s="117" t="inlineStr">
        <is>
          <t>Giường Ngoại khoa loại 3 - Khoa Chấn thương chỉnh hình</t>
        </is>
      </c>
      <c r="F682" s="272" t="n">
        <v>1</v>
      </c>
      <c r="G682" s="272" t="n">
        <v>269200</v>
      </c>
    </row>
    <row r="683" ht="15.75" customHeight="1" s="248">
      <c r="A683" s="117" t="n">
        <v>675</v>
      </c>
      <c r="B683" s="117" t="inlineStr">
        <is>
          <t>2026/06/12 00:00</t>
        </is>
      </c>
      <c r="C683" s="117" t="inlineStr">
        <is>
          <t>NGÔ HÒA THUẬN</t>
        </is>
      </c>
      <c r="D683" s="117" t="inlineStr">
        <is>
          <t>28/04/1979</t>
        </is>
      </c>
      <c r="E683" s="117" t="inlineStr">
        <is>
          <t>Giường Ngoại khoa loại 1 - Khoa Chấn thương chỉnh hình</t>
        </is>
      </c>
      <c r="F683" s="272" t="n">
        <v>1</v>
      </c>
      <c r="G683" s="272" t="n">
        <v>341800</v>
      </c>
    </row>
    <row r="684" ht="15.75" customHeight="1" s="248">
      <c r="A684" s="117" t="n">
        <v>676</v>
      </c>
      <c r="B684" s="117" t="inlineStr">
        <is>
          <t>2026/06/12 00:00</t>
        </is>
      </c>
      <c r="C684" s="117" t="inlineStr">
        <is>
          <t>TRẦN BÉ HIỀN</t>
        </is>
      </c>
      <c r="D684" s="117" t="inlineStr">
        <is>
          <t>22/06/1994</t>
        </is>
      </c>
      <c r="E684" s="117" t="inlineStr">
        <is>
          <t>Giường Ngoại khoa loại 3 - Khoa Chấn thương chỉnh hình</t>
        </is>
      </c>
      <c r="F684" s="272" t="n">
        <v>1</v>
      </c>
      <c r="G684" s="272" t="n">
        <v>269200</v>
      </c>
    </row>
    <row r="685" ht="15.75" customHeight="1" s="248">
      <c r="A685" s="117" t="n">
        <v>677</v>
      </c>
      <c r="B685" s="117" t="inlineStr">
        <is>
          <t>2026/06/12 00:00</t>
        </is>
      </c>
      <c r="C685" s="117" t="inlineStr">
        <is>
          <t>TÔN VĂN PHƯỚC</t>
        </is>
      </c>
      <c r="D685" s="117" t="inlineStr">
        <is>
          <t>01/01/1970</t>
        </is>
      </c>
      <c r="E685" s="117" t="inlineStr">
        <is>
          <t>Giường Ngoại khoa loại 1 - Khoa Chấn thương chỉnh hình</t>
        </is>
      </c>
      <c r="F685" s="272" t="n">
        <v>1</v>
      </c>
      <c r="G685" s="272" t="n">
        <v>341800</v>
      </c>
    </row>
    <row r="686" ht="15.75" customHeight="1" s="248">
      <c r="A686" s="117" t="n">
        <v>678</v>
      </c>
      <c r="B686" s="117" t="inlineStr">
        <is>
          <t>2026/06/12 00:00</t>
        </is>
      </c>
      <c r="C686" s="117" t="inlineStr">
        <is>
          <t>VÕ KIM ANH</t>
        </is>
      </c>
      <c r="D686" s="117" t="inlineStr">
        <is>
          <t>31/12/1939</t>
        </is>
      </c>
      <c r="E686" s="117" t="inlineStr">
        <is>
          <t>Giường Nội khoa loại 2 - Khoa Chấn thương chỉnh hình</t>
        </is>
      </c>
      <c r="F686" s="272" t="n">
        <v>1</v>
      </c>
      <c r="G686" s="272" t="n">
        <v>222300</v>
      </c>
    </row>
    <row r="687" ht="15.75" customHeight="1" s="248">
      <c r="A687" s="117" t="n">
        <v>679</v>
      </c>
      <c r="B687" s="117" t="inlineStr">
        <is>
          <t>2026/06/12 13:45</t>
        </is>
      </c>
      <c r="C687" s="117" t="inlineStr">
        <is>
          <t>CAO THỊ BẢY</t>
        </is>
      </c>
      <c r="D687" s="117" t="inlineStr">
        <is>
          <t>09/10/1941</t>
        </is>
      </c>
      <c r="E687" s="117" t="inlineStr">
        <is>
          <t>Giường Nội khoa loại 2 - Khoa Chấn thương chỉnh hình</t>
        </is>
      </c>
      <c r="F687" s="272" t="n">
        <v>1</v>
      </c>
      <c r="G687" s="272" t="n">
        <v>222300</v>
      </c>
    </row>
    <row r="688" ht="15.75" customHeight="1" s="248">
      <c r="A688" s="117" t="n">
        <v>680</v>
      </c>
      <c r="B688" s="117" t="inlineStr">
        <is>
          <t>2026/06/12 14:27</t>
        </is>
      </c>
      <c r="C688" s="117" t="inlineStr">
        <is>
          <t>CHIÊM THỊ NHÀN</t>
        </is>
      </c>
      <c r="D688" s="117" t="inlineStr">
        <is>
          <t>01/01/1953</t>
        </is>
      </c>
      <c r="E688" s="117" t="inlineStr">
        <is>
          <t>Giường Nội khoa loại 2 - Khoa Chấn thương chỉnh hình</t>
        </is>
      </c>
      <c r="F688" s="272" t="n">
        <v>1</v>
      </c>
      <c r="G688" s="272" t="n">
        <v>222300</v>
      </c>
    </row>
    <row r="689" ht="15.75" customHeight="1" s="248">
      <c r="A689" s="117" t="n">
        <v>681</v>
      </c>
      <c r="B689" s="117" t="inlineStr">
        <is>
          <t>2026/06/12 14:30</t>
        </is>
      </c>
      <c r="C689" s="117" t="inlineStr">
        <is>
          <t>TRẦN THỊ MỘNG THẮM</t>
        </is>
      </c>
      <c r="D689" s="117" t="inlineStr">
        <is>
          <t>01/01/1970</t>
        </is>
      </c>
      <c r="E689" s="117" t="inlineStr">
        <is>
          <t>Giường Ngoại khoa loại 1 - Khoa Chấn thương chỉnh hình</t>
        </is>
      </c>
      <c r="F689" s="272" t="n">
        <v>1</v>
      </c>
      <c r="G689" s="272" t="n">
        <v>341800</v>
      </c>
    </row>
    <row r="690" ht="15.75" customHeight="1" s="248">
      <c r="A690" s="117" t="n">
        <v>682</v>
      </c>
      <c r="B690" s="117" t="inlineStr">
        <is>
          <t>2026/06/12 15:59</t>
        </is>
      </c>
      <c r="C690" s="117" t="inlineStr">
        <is>
          <t>HOÀNG TUẤN ANH</t>
        </is>
      </c>
      <c r="D690" s="117" t="inlineStr">
        <is>
          <t>07/12/1982</t>
        </is>
      </c>
      <c r="E690" s="117" t="inlineStr">
        <is>
          <t>Giường Ngoại khoa loại 1 - Khoa Chấn thương chỉnh hình</t>
        </is>
      </c>
      <c r="F690" s="272" t="n">
        <v>1</v>
      </c>
      <c r="G690" s="272" t="n">
        <v>341800</v>
      </c>
    </row>
    <row r="691" ht="15.75" customHeight="1" s="248">
      <c r="A691" s="117" t="n">
        <v>683</v>
      </c>
      <c r="B691" s="117" t="inlineStr">
        <is>
          <t>2026/06/12 16:40</t>
        </is>
      </c>
      <c r="C691" s="117" t="inlineStr">
        <is>
          <t>LÊ THÀNH ĐẠT</t>
        </is>
      </c>
      <c r="D691" s="117" t="inlineStr">
        <is>
          <t>06/11/1975</t>
        </is>
      </c>
      <c r="E691" s="117" t="inlineStr">
        <is>
          <t>Giường Nội khoa loại 2 - Khoa Chấn thương chỉnh hình</t>
        </is>
      </c>
      <c r="F691" s="272" t="n">
        <v>1</v>
      </c>
      <c r="G691" s="272" t="n">
        <v>222300</v>
      </c>
    </row>
    <row r="692" ht="15.75" customHeight="1" s="248">
      <c r="A692" s="117" t="n">
        <v>684</v>
      </c>
      <c r="B692" s="117" t="inlineStr">
        <is>
          <t>2026/06/12 19:55</t>
        </is>
      </c>
      <c r="C692" s="117" t="inlineStr">
        <is>
          <t>TRẦN ĐẶNG NHƠN</t>
        </is>
      </c>
      <c r="D692" s="117" t="inlineStr">
        <is>
          <t>14/03/1991</t>
        </is>
      </c>
      <c r="E692" s="117" t="inlineStr">
        <is>
          <t>Giường Ngoại khoa loại 1 - Khoa Chấn thương chỉnh hình</t>
        </is>
      </c>
      <c r="F692" s="272" t="n">
        <v>1</v>
      </c>
      <c r="G692" s="272" t="n">
        <v>341800</v>
      </c>
    </row>
    <row r="693" ht="15.75" customHeight="1" s="248">
      <c r="A693" s="117" t="n">
        <v>685</v>
      </c>
      <c r="B693" s="117" t="inlineStr">
        <is>
          <t>2026/06/13 00:00</t>
        </is>
      </c>
      <c r="C693" s="117" t="inlineStr">
        <is>
          <t>CAO HÙNG PHONG</t>
        </is>
      </c>
      <c r="D693" s="117" t="inlineStr">
        <is>
          <t>15/04/1969</t>
        </is>
      </c>
      <c r="E693" s="117" t="inlineStr">
        <is>
          <t>Giường Ngoại khoa loại 1 - Khoa Chấn thương chỉnh hình</t>
        </is>
      </c>
      <c r="F693" s="272" t="n">
        <v>1</v>
      </c>
      <c r="G693" s="272" t="n">
        <v>341800</v>
      </c>
    </row>
    <row r="694" ht="15.75" customHeight="1" s="248">
      <c r="A694" s="117" t="n">
        <v>686</v>
      </c>
      <c r="B694" s="117" t="inlineStr">
        <is>
          <t>2026/06/13 00:00</t>
        </is>
      </c>
      <c r="C694" s="117" t="inlineStr">
        <is>
          <t>CAO THỊ BẢY</t>
        </is>
      </c>
      <c r="D694" s="117" t="inlineStr">
        <is>
          <t>09/10/1941</t>
        </is>
      </c>
      <c r="E694" s="117" t="inlineStr">
        <is>
          <t>Giường Ngoại khoa loại 2 - Khoa Chấn thương chỉnh hình</t>
        </is>
      </c>
      <c r="F694" s="272" t="n">
        <v>1</v>
      </c>
      <c r="G694" s="272" t="n">
        <v>301600</v>
      </c>
    </row>
    <row r="695" ht="15.75" customHeight="1" s="248">
      <c r="A695" s="117" t="n">
        <v>687</v>
      </c>
      <c r="B695" s="117" t="inlineStr">
        <is>
          <t>2026/06/13 00:00</t>
        </is>
      </c>
      <c r="C695" s="117" t="inlineStr">
        <is>
          <t>HOÀNG TUẤN ANH</t>
        </is>
      </c>
      <c r="D695" s="117" t="inlineStr">
        <is>
          <t>07/12/1982</t>
        </is>
      </c>
      <c r="E695" s="117" t="inlineStr">
        <is>
          <t>Giường Ngoại khoa loại 1 - Khoa Chấn thương chỉnh hình</t>
        </is>
      </c>
      <c r="F695" s="272" t="n">
        <v>1</v>
      </c>
      <c r="G695" s="272" t="n">
        <v>341800</v>
      </c>
    </row>
    <row r="696" hidden="1" ht="17.25" customHeight="1" s="248">
      <c r="A696" s="117" t="n">
        <v>688</v>
      </c>
      <c r="B696" s="117" t="inlineStr">
        <is>
          <t>2026/06/13 00:00</t>
        </is>
      </c>
      <c r="C696" s="117" t="inlineStr">
        <is>
          <t>HUỲNH NGỌC SƯƠNG</t>
        </is>
      </c>
      <c r="D696" s="117" t="inlineStr">
        <is>
          <t>05/05/1954</t>
        </is>
      </c>
      <c r="E696" s="117" t="inlineStr">
        <is>
          <t>Giường Ngoại khoa loại 1 - Khoa Chấn thương chỉnh hình</t>
        </is>
      </c>
      <c r="F696" s="272" t="n">
        <v>1</v>
      </c>
      <c r="G696" s="272" t="n">
        <v>341800</v>
      </c>
    </row>
    <row r="697" hidden="1" ht="17.25" customHeight="1" s="248">
      <c r="A697" s="117" t="n">
        <v>689</v>
      </c>
      <c r="B697" s="117" t="inlineStr">
        <is>
          <t>2026/06/13 00:00</t>
        </is>
      </c>
      <c r="C697" s="117" t="inlineStr">
        <is>
          <t>LÊ THÀNH ĐẠT</t>
        </is>
      </c>
      <c r="D697" s="117" t="inlineStr">
        <is>
          <t>06/11/1975</t>
        </is>
      </c>
      <c r="E697" s="117" t="inlineStr">
        <is>
          <t>Giường Nội khoa loại 2 - Khoa Chấn thương chỉnh hình</t>
        </is>
      </c>
      <c r="F697" s="272" t="n">
        <v>1</v>
      </c>
      <c r="G697" s="272" t="n">
        <v>222300</v>
      </c>
    </row>
    <row r="698" hidden="1" ht="17.25" customHeight="1" s="248">
      <c r="A698" s="117" t="n">
        <v>690</v>
      </c>
      <c r="B698" s="117" t="inlineStr">
        <is>
          <t>2026/06/13 00:00</t>
        </is>
      </c>
      <c r="C698" s="117" t="inlineStr">
        <is>
          <t>LÊ THỊ KIM ĐIỂU</t>
        </is>
      </c>
      <c r="D698" s="117" t="inlineStr">
        <is>
          <t>12/12/1958</t>
        </is>
      </c>
      <c r="E698" s="117" t="inlineStr">
        <is>
          <t>Giường Nội khoa loại 2 - Khoa Chấn thương chỉnh hình</t>
        </is>
      </c>
      <c r="F698" s="272" t="n">
        <v>1</v>
      </c>
      <c r="G698" s="272" t="n">
        <v>222300</v>
      </c>
    </row>
    <row r="699" hidden="1" ht="17.25" customHeight="1" s="248">
      <c r="A699" s="117" t="n">
        <v>691</v>
      </c>
      <c r="B699" s="117" t="inlineStr">
        <is>
          <t>2026/06/13 00:00</t>
        </is>
      </c>
      <c r="C699" s="117" t="inlineStr">
        <is>
          <t>LÊ THỊ LỆ</t>
        </is>
      </c>
      <c r="D699" s="117" t="inlineStr">
        <is>
          <t>01/01/1957</t>
        </is>
      </c>
      <c r="E699" s="117" t="inlineStr">
        <is>
          <t>Giường Nội khoa loại 2 - Khoa Chấn thương chỉnh hình</t>
        </is>
      </c>
      <c r="F699" s="272" t="n">
        <v>1</v>
      </c>
      <c r="G699" s="272" t="n">
        <v>222300</v>
      </c>
    </row>
    <row r="700" ht="17.25" customHeight="1" s="248">
      <c r="A700" s="117" t="n">
        <v>692</v>
      </c>
      <c r="B700" s="117" t="inlineStr">
        <is>
          <t>2026/06/13 00:00</t>
        </is>
      </c>
      <c r="C700" s="117" t="inlineStr">
        <is>
          <t>LÊ THỊ THU</t>
        </is>
      </c>
      <c r="D700" s="117" t="inlineStr">
        <is>
          <t>07/12/1965</t>
        </is>
      </c>
      <c r="E700" s="117" t="inlineStr">
        <is>
          <t>Giường Nội khoa loại 2 - Khoa Chấn thương chỉnh hình</t>
        </is>
      </c>
      <c r="F700" s="272" t="n">
        <v>1</v>
      </c>
      <c r="G700" s="272" t="n">
        <v>222300</v>
      </c>
    </row>
    <row r="701" ht="17.25" customHeight="1" s="248">
      <c r="A701" s="117" t="n">
        <v>693</v>
      </c>
      <c r="B701" s="117" t="inlineStr">
        <is>
          <t>2026/06/13 00:00</t>
        </is>
      </c>
      <c r="C701" s="117" t="inlineStr">
        <is>
          <t>LÊ VĂN LANH</t>
        </is>
      </c>
      <c r="D701" s="117" t="inlineStr">
        <is>
          <t>01/01/1953</t>
        </is>
      </c>
      <c r="E701" s="117" t="inlineStr">
        <is>
          <t>Giường Nội khoa loại 2 - Khoa Chấn thương chỉnh hình</t>
        </is>
      </c>
      <c r="F701" s="272" t="n">
        <v>1</v>
      </c>
      <c r="G701" s="272" t="n">
        <v>222300</v>
      </c>
    </row>
    <row r="702" ht="17.25" customHeight="1" s="248">
      <c r="A702" s="117" t="n">
        <v>694</v>
      </c>
      <c r="B702" s="117" t="inlineStr">
        <is>
          <t>2026/06/13 00:00</t>
        </is>
      </c>
      <c r="C702" s="117" t="inlineStr">
        <is>
          <t>LÊ VĂN MẠNH</t>
        </is>
      </c>
      <c r="D702" s="117" t="inlineStr">
        <is>
          <t>01/01/1967</t>
        </is>
      </c>
      <c r="E702" s="117" t="inlineStr">
        <is>
          <t>Giường Ngoại khoa loại 1 - Khoa Chấn thương chỉnh hình</t>
        </is>
      </c>
      <c r="F702" s="272" t="n">
        <v>1</v>
      </c>
      <c r="G702" s="272" t="n">
        <v>341800</v>
      </c>
    </row>
    <row r="703" ht="17.25" customHeight="1" s="248">
      <c r="A703" s="117" t="n">
        <v>695</v>
      </c>
      <c r="B703" s="117" t="inlineStr">
        <is>
          <t>2026/06/13 00:00</t>
        </is>
      </c>
      <c r="C703" s="117" t="inlineStr">
        <is>
          <t>LÝ VĂN KHƯƠNG</t>
        </is>
      </c>
      <c r="D703" s="117" t="inlineStr">
        <is>
          <t>05/06/1970</t>
        </is>
      </c>
      <c r="E703" s="117" t="inlineStr">
        <is>
          <t>Giường Nội khoa loại 2 - Khoa Chấn thương chỉnh hình</t>
        </is>
      </c>
      <c r="F703" s="272" t="n">
        <v>1</v>
      </c>
      <c r="G703" s="272" t="n">
        <v>222300</v>
      </c>
    </row>
    <row r="704" ht="17.25" customHeight="1" s="248">
      <c r="A704" s="117" t="n">
        <v>696</v>
      </c>
      <c r="B704" s="117" t="inlineStr">
        <is>
          <t>2026/06/13 00:00</t>
        </is>
      </c>
      <c r="C704" s="117" t="inlineStr">
        <is>
          <t>MAI THÀNH DƯƠNG</t>
        </is>
      </c>
      <c r="D704" s="117" t="inlineStr">
        <is>
          <t>10/04/1964</t>
        </is>
      </c>
      <c r="E704" s="117" t="inlineStr">
        <is>
          <t>Giường Nội khoa loại 2 - Khoa Chấn thương chỉnh hình</t>
        </is>
      </c>
      <c r="F704" s="272" t="n">
        <v>1</v>
      </c>
      <c r="G704" s="272" t="n">
        <v>222300</v>
      </c>
    </row>
    <row r="705" ht="17.25" customHeight="1" s="248">
      <c r="A705" s="117" t="n">
        <v>697</v>
      </c>
      <c r="B705" s="117" t="inlineStr">
        <is>
          <t>2026/06/13 00:00</t>
        </is>
      </c>
      <c r="C705" s="117" t="inlineStr">
        <is>
          <t>NGUYỄN THỊ NGÂN</t>
        </is>
      </c>
      <c r="D705" s="117" t="inlineStr">
        <is>
          <t>01/01/1954</t>
        </is>
      </c>
      <c r="E705" s="117" t="inlineStr">
        <is>
          <t>Giường Nội khoa loại 2 - Khoa Chấn thương chỉnh hình</t>
        </is>
      </c>
      <c r="F705" s="272" t="n">
        <v>1</v>
      </c>
      <c r="G705" s="272" t="n">
        <v>222300</v>
      </c>
    </row>
    <row r="706" ht="17.25" customHeight="1" s="248">
      <c r="A706" s="117" t="n">
        <v>698</v>
      </c>
      <c r="B706" s="117" t="inlineStr">
        <is>
          <t>2026/06/13 00:00</t>
        </is>
      </c>
      <c r="C706" s="117" t="inlineStr">
        <is>
          <t>NGUYỄN THỊ NHƯ TRÚC</t>
        </is>
      </c>
      <c r="D706" s="117" t="inlineStr">
        <is>
          <t>30/03/2006</t>
        </is>
      </c>
      <c r="E706" s="117" t="inlineStr">
        <is>
          <t>Giường Ngoại khoa loại 3 - Khoa Chấn thương chỉnh hình</t>
        </is>
      </c>
      <c r="F706" s="272" t="n">
        <v>1</v>
      </c>
      <c r="G706" s="272" t="n">
        <v>269200</v>
      </c>
    </row>
    <row r="707" ht="17.25" customHeight="1" s="248">
      <c r="A707" s="117" t="n">
        <v>699</v>
      </c>
      <c r="B707" s="117" t="inlineStr">
        <is>
          <t>2026/06/13 00:00</t>
        </is>
      </c>
      <c r="C707" s="117" t="inlineStr">
        <is>
          <t>PHAN VĂN ĐƯỢC</t>
        </is>
      </c>
      <c r="D707" s="117" t="inlineStr">
        <is>
          <t>01/01/1934</t>
        </is>
      </c>
      <c r="E707" s="117" t="inlineStr">
        <is>
          <t>Giường Nội khoa loại 2 - Khoa Chấn thương chỉnh hình</t>
        </is>
      </c>
      <c r="F707" s="272" t="n">
        <v>1</v>
      </c>
      <c r="G707" s="272" t="n">
        <v>222300</v>
      </c>
    </row>
    <row r="708" ht="17.25" customHeight="1" s="248">
      <c r="A708" s="117" t="n">
        <v>700</v>
      </c>
      <c r="B708" s="117" t="inlineStr">
        <is>
          <t>2026/06/13 00:00</t>
        </is>
      </c>
      <c r="C708" s="117" t="inlineStr">
        <is>
          <t>THÁI THỊ THỦY</t>
        </is>
      </c>
      <c r="D708" s="117" t="inlineStr">
        <is>
          <t>01/01/1957</t>
        </is>
      </c>
      <c r="E708" s="117" t="inlineStr">
        <is>
          <t>Giường Ngoại khoa loại 1 - Khoa Chấn thương chỉnh hình</t>
        </is>
      </c>
      <c r="F708" s="272" t="n">
        <v>1</v>
      </c>
      <c r="G708" s="272" t="n">
        <v>341800</v>
      </c>
    </row>
    <row r="709" ht="17.25" customHeight="1" s="248">
      <c r="A709" s="117" t="n">
        <v>701</v>
      </c>
      <c r="B709" s="117" t="inlineStr">
        <is>
          <t>2026/06/13 00:00</t>
        </is>
      </c>
      <c r="C709" s="117" t="inlineStr">
        <is>
          <t>TRIỆU HOÀNG LONG</t>
        </is>
      </c>
      <c r="D709" s="117" t="inlineStr">
        <is>
          <t>01/01/1963</t>
        </is>
      </c>
      <c r="E709" s="117" t="inlineStr">
        <is>
          <t>Giường Ngoại khoa loại 1 - Khoa Chấn thương chỉnh hình</t>
        </is>
      </c>
      <c r="F709" s="272" t="n">
        <v>1</v>
      </c>
      <c r="G709" s="272" t="n">
        <v>341800</v>
      </c>
    </row>
    <row r="710" ht="17.25" customHeight="1" s="248">
      <c r="A710" s="117" t="n">
        <v>702</v>
      </c>
      <c r="B710" s="117" t="inlineStr">
        <is>
          <t>2026/06/13 00:00</t>
        </is>
      </c>
      <c r="C710" s="117" t="inlineStr">
        <is>
          <t>TRẦN PHAN VÂN ANH</t>
        </is>
      </c>
      <c r="D710" s="117" t="inlineStr">
        <is>
          <t>08/06/1996</t>
        </is>
      </c>
      <c r="E710" s="117" t="inlineStr">
        <is>
          <t>Giường Nội khoa loại 2 - Khoa Chấn thương chỉnh hình</t>
        </is>
      </c>
      <c r="F710" s="272" t="n">
        <v>1</v>
      </c>
      <c r="G710" s="272" t="n">
        <v>222300</v>
      </c>
    </row>
    <row r="711" ht="17.25" customHeight="1" s="248">
      <c r="A711" s="117" t="n">
        <v>703</v>
      </c>
      <c r="B711" s="117" t="inlineStr">
        <is>
          <t>2026/06/13 00:00</t>
        </is>
      </c>
      <c r="C711" s="117" t="inlineStr">
        <is>
          <t>TRẦN THỊ MỘNG THẮM</t>
        </is>
      </c>
      <c r="D711" s="117" t="inlineStr">
        <is>
          <t>01/01/1970</t>
        </is>
      </c>
      <c r="E711" s="117" t="inlineStr">
        <is>
          <t>Giường Ngoại khoa loại 1 - Khoa Chấn thương chỉnh hình</t>
        </is>
      </c>
      <c r="F711" s="272" t="n">
        <v>1</v>
      </c>
      <c r="G711" s="272" t="n">
        <v>341800</v>
      </c>
    </row>
    <row r="712" ht="17.25" customHeight="1" s="248">
      <c r="A712" s="117" t="n">
        <v>704</v>
      </c>
      <c r="B712" s="117" t="inlineStr">
        <is>
          <t>2026/06/13 00:00</t>
        </is>
      </c>
      <c r="C712" s="117" t="inlineStr">
        <is>
          <t>TRẦN ĐẶNG NHƠN</t>
        </is>
      </c>
      <c r="D712" s="117" t="inlineStr">
        <is>
          <t>14/03/1991</t>
        </is>
      </c>
      <c r="E712" s="117" t="inlineStr">
        <is>
          <t>Giường Ngoại khoa loại 1 - Khoa Chấn thương chỉnh hình</t>
        </is>
      </c>
      <c r="F712" s="272" t="n">
        <v>1</v>
      </c>
      <c r="G712" s="272" t="n">
        <v>341800</v>
      </c>
    </row>
    <row r="713" ht="17.25" customHeight="1" s="248">
      <c r="A713" s="117" t="n">
        <v>705</v>
      </c>
      <c r="B713" s="117" t="inlineStr">
        <is>
          <t>2026/06/13 00:00</t>
        </is>
      </c>
      <c r="C713" s="117" t="inlineStr">
        <is>
          <t>VÕ KIM THU</t>
        </is>
      </c>
      <c r="D713" s="117" t="inlineStr">
        <is>
          <t>01/01/1958</t>
        </is>
      </c>
      <c r="E713" s="117" t="inlineStr">
        <is>
          <t>Giường Ngoại khoa loại 4 - Khoa Chấn thương chỉnh hình</t>
        </is>
      </c>
      <c r="F713" s="272" t="n">
        <v>1</v>
      </c>
      <c r="G713" s="272" t="n">
        <v>229200</v>
      </c>
    </row>
    <row r="714" ht="17.25" customHeight="1" s="248">
      <c r="A714" s="117" t="n">
        <v>706</v>
      </c>
      <c r="B714" s="117" t="inlineStr">
        <is>
          <t>2026/06/13 00:00</t>
        </is>
      </c>
      <c r="C714" s="117" t="inlineStr">
        <is>
          <t>VÕ THANH TÂN</t>
        </is>
      </c>
      <c r="D714" s="117" t="inlineStr">
        <is>
          <t>29/06/1996</t>
        </is>
      </c>
      <c r="E714" s="117" t="inlineStr">
        <is>
          <t>Giường Nội khoa loại 2 - Khoa Chấn thương chỉnh hình</t>
        </is>
      </c>
      <c r="F714" s="272" t="n">
        <v>1</v>
      </c>
      <c r="G714" s="272" t="n">
        <v>222300</v>
      </c>
    </row>
    <row r="715" ht="17.25" customHeight="1" s="248">
      <c r="A715" s="117" t="n">
        <v>707</v>
      </c>
      <c r="B715" s="117" t="inlineStr">
        <is>
          <t>2026/06/13 00:00</t>
        </is>
      </c>
      <c r="C715" s="117" t="inlineStr">
        <is>
          <t>VÕ THỊ KIẾU</t>
        </is>
      </c>
      <c r="D715" s="117" t="inlineStr">
        <is>
          <t>01/01/1955</t>
        </is>
      </c>
      <c r="E715" s="117" t="inlineStr">
        <is>
          <t>Giường Ngoại khoa loại 1 - Khoa Chấn thương chỉnh hình</t>
        </is>
      </c>
      <c r="F715" s="272" t="n">
        <v>1</v>
      </c>
      <c r="G715" s="272" t="n">
        <v>341800</v>
      </c>
    </row>
    <row r="716" ht="17.25" customHeight="1" s="248">
      <c r="A716" s="117" t="n">
        <v>708</v>
      </c>
      <c r="B716" s="117" t="inlineStr">
        <is>
          <t>2026/06/13 00:00</t>
        </is>
      </c>
      <c r="C716" s="117" t="inlineStr">
        <is>
          <t>VÕ THỊ ÚT</t>
        </is>
      </c>
      <c r="D716" s="117" t="inlineStr">
        <is>
          <t>10/09/1974</t>
        </is>
      </c>
      <c r="E716" s="117" t="inlineStr">
        <is>
          <t>Giường Ngoại khoa loại 3 - Khoa Chấn thương chỉnh hình</t>
        </is>
      </c>
      <c r="F716" s="272" t="n">
        <v>1</v>
      </c>
      <c r="G716" s="272" t="n">
        <v>269200</v>
      </c>
    </row>
    <row r="717" ht="17.25" customHeight="1" s="248">
      <c r="A717" s="117" t="n">
        <v>709</v>
      </c>
      <c r="B717" s="117" t="inlineStr">
        <is>
          <t>2026/06/13 00:00</t>
        </is>
      </c>
      <c r="C717" s="117" t="inlineStr">
        <is>
          <t>VÕ TẤN HƯNG</t>
        </is>
      </c>
      <c r="D717" s="117" t="inlineStr">
        <is>
          <t>19/09/1963</t>
        </is>
      </c>
      <c r="E717" s="117" t="inlineStr">
        <is>
          <t>Giường Ngoại khoa loại 3 - Khoa Chấn thương chỉnh hình</t>
        </is>
      </c>
      <c r="F717" s="272" t="n">
        <v>1</v>
      </c>
      <c r="G717" s="272" t="n">
        <v>269200</v>
      </c>
    </row>
    <row r="718" ht="17.25" customHeight="1" s="248">
      <c r="A718" s="117" t="n">
        <v>710</v>
      </c>
      <c r="B718" s="117" t="inlineStr">
        <is>
          <t>2026/06/13 00:00</t>
        </is>
      </c>
      <c r="C718" s="117" t="inlineStr">
        <is>
          <t>ĐẶNG KIM BÍCH</t>
        </is>
      </c>
      <c r="D718" s="117" t="inlineStr">
        <is>
          <t>01/01/1972</t>
        </is>
      </c>
      <c r="E718" s="117" t="inlineStr">
        <is>
          <t>Giường Ngoại khoa loại 1 - Khoa Chấn thương chỉnh hình</t>
        </is>
      </c>
      <c r="F718" s="272" t="n">
        <v>1</v>
      </c>
      <c r="G718" s="272" t="n">
        <v>341800</v>
      </c>
    </row>
    <row r="719" ht="17.25" customHeight="1" s="248">
      <c r="A719" s="117" t="n">
        <v>711</v>
      </c>
      <c r="B719" s="117" t="inlineStr">
        <is>
          <t>2026/06/13 00:00</t>
        </is>
      </c>
      <c r="C719" s="117" t="inlineStr">
        <is>
          <t>ĐẶNG KIM OANH</t>
        </is>
      </c>
      <c r="D719" s="117" t="inlineStr">
        <is>
          <t>16/10/1986</t>
        </is>
      </c>
      <c r="E719" s="117" t="inlineStr">
        <is>
          <t>Giường Nội khoa loại 2 - Khoa Chấn thương chỉnh hình</t>
        </is>
      </c>
      <c r="F719" s="272" t="n">
        <v>1</v>
      </c>
      <c r="G719" s="272" t="n">
        <v>222300</v>
      </c>
    </row>
    <row r="720" ht="17.25" customHeight="1" s="248">
      <c r="A720" s="117" t="n">
        <v>712</v>
      </c>
      <c r="B720" s="117" t="inlineStr">
        <is>
          <t>2026/06/13 00:00</t>
        </is>
      </c>
      <c r="C720" s="117" t="inlineStr">
        <is>
          <t>ĐẶNG THỊ XOE</t>
        </is>
      </c>
      <c r="D720" s="117" t="inlineStr">
        <is>
          <t>01/01/1936</t>
        </is>
      </c>
      <c r="E720" s="117" t="inlineStr">
        <is>
          <t>Giường Nội khoa loại 2 - Khoa Chấn thương chỉnh hình</t>
        </is>
      </c>
      <c r="F720" s="272" t="n">
        <v>1</v>
      </c>
      <c r="G720" s="272" t="n">
        <v>222300</v>
      </c>
    </row>
    <row r="721" ht="17.25" customHeight="1" s="248">
      <c r="A721" s="117" t="n">
        <v>713</v>
      </c>
      <c r="B721" s="117" t="inlineStr">
        <is>
          <t>2026/06/13 00:00</t>
        </is>
      </c>
      <c r="C721" s="117" t="inlineStr">
        <is>
          <t>CAO THIỆN VŨ</t>
        </is>
      </c>
      <c r="D721" s="117" t="inlineStr">
        <is>
          <t>01/01/1977</t>
        </is>
      </c>
      <c r="E721" s="117" t="inlineStr">
        <is>
          <t>Giường Ngoại khoa loại 1 - Khoa Chấn thương chỉnh hình</t>
        </is>
      </c>
      <c r="F721" s="272" t="n">
        <v>1</v>
      </c>
      <c r="G721" s="272" t="n">
        <v>341800</v>
      </c>
    </row>
    <row r="722" ht="17.25" customHeight="1" s="248">
      <c r="A722" s="117" t="n">
        <v>714</v>
      </c>
      <c r="B722" s="117" t="inlineStr">
        <is>
          <t>2026/06/13 00:00</t>
        </is>
      </c>
      <c r="C722" s="117" t="inlineStr">
        <is>
          <t>CHÂU THỊ ĐỦ</t>
        </is>
      </c>
      <c r="D722" s="117" t="inlineStr">
        <is>
          <t>01/01/1963</t>
        </is>
      </c>
      <c r="E722" s="117" t="inlineStr">
        <is>
          <t>Giường Ngoại khoa loại 1 - Khoa Chấn thương chỉnh hình</t>
        </is>
      </c>
      <c r="F722" s="272" t="n">
        <v>1</v>
      </c>
      <c r="G722" s="272" t="n">
        <v>341800</v>
      </c>
    </row>
    <row r="723" ht="17.25" customHeight="1" s="248">
      <c r="A723" s="117" t="n">
        <v>715</v>
      </c>
      <c r="B723" s="117" t="inlineStr">
        <is>
          <t>2026/06/13 00:00</t>
        </is>
      </c>
      <c r="C723" s="117" t="inlineStr">
        <is>
          <t>NGUYỄN HỒNG NHIÊN</t>
        </is>
      </c>
      <c r="D723" s="117" t="inlineStr">
        <is>
          <t>01/01/1968</t>
        </is>
      </c>
      <c r="E723" s="117" t="inlineStr">
        <is>
          <t>Giường Ngoại khoa loại 1 - Khoa Chấn thương chỉnh hình</t>
        </is>
      </c>
      <c r="F723" s="272" t="n">
        <v>1</v>
      </c>
      <c r="G723" s="272" t="n">
        <v>341800</v>
      </c>
    </row>
    <row r="724" ht="17.25" customHeight="1" s="248">
      <c r="A724" s="117" t="n">
        <v>716</v>
      </c>
      <c r="B724" s="117" t="inlineStr">
        <is>
          <t>2026/06/13 00:00</t>
        </is>
      </c>
      <c r="C724" s="117" t="inlineStr">
        <is>
          <t>NGÔ HÒA THUẬN</t>
        </is>
      </c>
      <c r="D724" s="117" t="inlineStr">
        <is>
          <t>28/04/1979</t>
        </is>
      </c>
      <c r="E724" s="117" t="inlineStr">
        <is>
          <t>Giường Ngoại khoa loại 1 - Khoa Chấn thương chỉnh hình</t>
        </is>
      </c>
      <c r="F724" s="272" t="n">
        <v>1</v>
      </c>
      <c r="G724" s="272" t="n">
        <v>341800</v>
      </c>
    </row>
    <row r="725" ht="17.25" customHeight="1" s="248">
      <c r="A725" s="117" t="n">
        <v>717</v>
      </c>
      <c r="B725" s="117" t="inlineStr">
        <is>
          <t>2026/06/13 00:00</t>
        </is>
      </c>
      <c r="C725" s="117" t="inlineStr">
        <is>
          <t>TRẦN BÉ HIỀN</t>
        </is>
      </c>
      <c r="D725" s="117" t="inlineStr">
        <is>
          <t>22/06/1994</t>
        </is>
      </c>
      <c r="E725" s="117" t="inlineStr">
        <is>
          <t>Giường Ngoại khoa loại 3 - Khoa Chấn thương chỉnh hình</t>
        </is>
      </c>
      <c r="F725" s="272" t="n">
        <v>1</v>
      </c>
      <c r="G725" s="272" t="n">
        <v>269200</v>
      </c>
    </row>
    <row r="726" ht="17.25" customHeight="1" s="248">
      <c r="A726" s="117" t="n">
        <v>718</v>
      </c>
      <c r="B726" s="117" t="inlineStr">
        <is>
          <t>2026/06/13 00:00</t>
        </is>
      </c>
      <c r="C726" s="117" t="inlineStr">
        <is>
          <t>TÔN VĂN PHƯỚC</t>
        </is>
      </c>
      <c r="D726" s="117" t="inlineStr">
        <is>
          <t>01/01/1970</t>
        </is>
      </c>
      <c r="E726" s="117" t="inlineStr">
        <is>
          <t>Giường Ngoại khoa loại 1 - Khoa Chấn thương chỉnh hình</t>
        </is>
      </c>
      <c r="F726" s="272" t="n">
        <v>1</v>
      </c>
      <c r="G726" s="272" t="n">
        <v>341800</v>
      </c>
    </row>
    <row r="727" ht="17.25" customHeight="1" s="248">
      <c r="A727" s="117" t="n">
        <v>719</v>
      </c>
      <c r="B727" s="117" t="inlineStr">
        <is>
          <t>2026/06/13 00:01</t>
        </is>
      </c>
      <c r="C727" s="117" t="inlineStr">
        <is>
          <t>NGUYỄN THỊ MƯỜI</t>
        </is>
      </c>
      <c r="D727" s="117" t="inlineStr">
        <is>
          <t>01/01/1951</t>
        </is>
      </c>
      <c r="E727" s="117" t="inlineStr">
        <is>
          <t>Giường Nội khoa loại 2 - Khoa Chấn thương chỉnh hình</t>
        </is>
      </c>
      <c r="F727" s="272" t="n">
        <v>1</v>
      </c>
      <c r="G727" s="272" t="n">
        <v>222300</v>
      </c>
    </row>
    <row r="728" ht="17.25" customHeight="1" s="248">
      <c r="A728" s="117" t="n">
        <v>720</v>
      </c>
      <c r="B728" s="117" t="inlineStr">
        <is>
          <t>2026/06/13 08:32</t>
        </is>
      </c>
      <c r="C728" s="117" t="inlineStr">
        <is>
          <t>ĐINH THỊ THI</t>
        </is>
      </c>
      <c r="D728" s="117" t="inlineStr">
        <is>
          <t>01/01/1971</t>
        </is>
      </c>
      <c r="E728" s="117" t="inlineStr">
        <is>
          <t>Giường Ngoại khoa loại 1 - Khoa Chấn thương chỉnh hình</t>
        </is>
      </c>
      <c r="F728" s="272" t="n">
        <v>1</v>
      </c>
      <c r="G728" s="272" t="n">
        <v>341800</v>
      </c>
    </row>
    <row r="729" ht="17.25" customHeight="1" s="248">
      <c r="A729" s="117" t="n">
        <v>721</v>
      </c>
      <c r="B729" s="117" t="inlineStr">
        <is>
          <t>2026/06/13 11:40</t>
        </is>
      </c>
      <c r="C729" s="117" t="inlineStr">
        <is>
          <t>HUỲNH KIM ĐỒNG</t>
        </is>
      </c>
      <c r="D729" s="117" t="inlineStr">
        <is>
          <t>01/01/1944</t>
        </is>
      </c>
      <c r="E729" s="117" t="inlineStr">
        <is>
          <t>Giường Nội khoa loại 2 - Khoa Chấn thương chỉnh hình</t>
        </is>
      </c>
      <c r="F729" s="272" t="n">
        <v>1</v>
      </c>
      <c r="G729" s="272" t="n">
        <v>222300</v>
      </c>
    </row>
    <row r="730" ht="17.25" customHeight="1" s="248">
      <c r="A730" s="117" t="n">
        <v>722</v>
      </c>
      <c r="B730" s="117" t="inlineStr">
        <is>
          <t>2026/06/13 13:55</t>
        </is>
      </c>
      <c r="C730" s="117" t="inlineStr">
        <is>
          <t>NGUYỄN MỸ LỆ</t>
        </is>
      </c>
      <c r="D730" s="117" t="inlineStr">
        <is>
          <t>02/02/1953</t>
        </is>
      </c>
      <c r="E730" s="117" t="inlineStr">
        <is>
          <t>Giường Nội khoa loại 2 - Khoa Chấn thương chỉnh hình</t>
        </is>
      </c>
      <c r="F730" s="272" t="n">
        <v>1</v>
      </c>
      <c r="G730" s="272" t="n">
        <v>222300</v>
      </c>
    </row>
    <row r="731" ht="17.25" customHeight="1" s="248">
      <c r="A731" s="117" t="n">
        <v>723</v>
      </c>
      <c r="B731" s="117" t="inlineStr">
        <is>
          <t>2026/06/14 00:00</t>
        </is>
      </c>
      <c r="C731" s="117" t="inlineStr">
        <is>
          <t>CAO HÙNG PHONG</t>
        </is>
      </c>
      <c r="D731" s="117" t="inlineStr">
        <is>
          <t>15/04/1969</t>
        </is>
      </c>
      <c r="E731" s="117" t="inlineStr">
        <is>
          <t>Giường Ngoại khoa loại 1 - Khoa Chấn thương chỉnh hình</t>
        </is>
      </c>
      <c r="F731" s="272" t="n">
        <v>1</v>
      </c>
      <c r="G731" s="272" t="n">
        <v>341800</v>
      </c>
    </row>
    <row r="732" ht="17.25" customHeight="1" s="248">
      <c r="A732" s="117" t="n">
        <v>724</v>
      </c>
      <c r="B732" s="117" t="inlineStr">
        <is>
          <t>2026/06/14 00:00</t>
        </is>
      </c>
      <c r="C732" s="117" t="inlineStr">
        <is>
          <t>CAO THỊ BẢY</t>
        </is>
      </c>
      <c r="D732" s="117" t="inlineStr">
        <is>
          <t>09/10/1941</t>
        </is>
      </c>
      <c r="E732" s="117" t="inlineStr">
        <is>
          <t>Giường Ngoại khoa loại 2 - Khoa Chấn thương chỉnh hình</t>
        </is>
      </c>
      <c r="F732" s="272" t="n">
        <v>1</v>
      </c>
      <c r="G732" s="272" t="n">
        <v>301600</v>
      </c>
    </row>
    <row r="733" ht="17.25" customHeight="1" s="248">
      <c r="A733" s="117" t="n">
        <v>725</v>
      </c>
      <c r="B733" s="117" t="inlineStr">
        <is>
          <t>2026/06/14 00:00</t>
        </is>
      </c>
      <c r="C733" s="117" t="inlineStr">
        <is>
          <t>CHIÊM THỊ NHÀN</t>
        </is>
      </c>
      <c r="D733" s="117" t="inlineStr">
        <is>
          <t>01/01/1953</t>
        </is>
      </c>
      <c r="E733" s="117" t="inlineStr">
        <is>
          <t>Giường Ngoại khoa loại 1 - Khoa Chấn thương chỉnh hình</t>
        </is>
      </c>
      <c r="F733" s="272" t="n">
        <v>1</v>
      </c>
      <c r="G733" s="272" t="n">
        <v>341800</v>
      </c>
    </row>
    <row r="734" ht="17.25" customHeight="1" s="248">
      <c r="A734" s="117" t="n">
        <v>726</v>
      </c>
      <c r="B734" s="117" t="inlineStr">
        <is>
          <t>2026/06/14 00:00</t>
        </is>
      </c>
      <c r="C734" s="117" t="inlineStr">
        <is>
          <t>HOÀNG TUẤN ANH</t>
        </is>
      </c>
      <c r="D734" s="117" t="inlineStr">
        <is>
          <t>07/12/1982</t>
        </is>
      </c>
      <c r="E734" s="117" t="inlineStr">
        <is>
          <t>Giường Ngoại khoa loại 1 - Khoa Chấn thương chỉnh hình</t>
        </is>
      </c>
      <c r="F734" s="272" t="n">
        <v>1</v>
      </c>
      <c r="G734" s="272" t="n">
        <v>341800</v>
      </c>
    </row>
    <row r="735" ht="17.25" customHeight="1" s="248">
      <c r="A735" s="117" t="n">
        <v>727</v>
      </c>
      <c r="B735" s="117" t="inlineStr">
        <is>
          <t>2026/06/14 00:00</t>
        </is>
      </c>
      <c r="C735" s="117" t="inlineStr">
        <is>
          <t>HUỲNH KIM ĐỒNG</t>
        </is>
      </c>
      <c r="D735" s="117" t="inlineStr">
        <is>
          <t>01/01/1944</t>
        </is>
      </c>
      <c r="E735" s="117" t="inlineStr">
        <is>
          <t>Giường Nội khoa loại 2 - Khoa Chấn thương chỉnh hình</t>
        </is>
      </c>
      <c r="F735" s="272" t="n">
        <v>1</v>
      </c>
      <c r="G735" s="272" t="n">
        <v>222300</v>
      </c>
    </row>
    <row r="736" ht="17.25" customHeight="1" s="248">
      <c r="A736" s="117" t="n">
        <v>728</v>
      </c>
      <c r="B736" s="117" t="inlineStr">
        <is>
          <t>2026/06/14 00:00</t>
        </is>
      </c>
      <c r="C736" s="117" t="inlineStr">
        <is>
          <t>HUỲNH NGỌC SƯƠNG</t>
        </is>
      </c>
      <c r="D736" s="117" t="inlineStr">
        <is>
          <t>05/05/1954</t>
        </is>
      </c>
      <c r="E736" s="117" t="inlineStr">
        <is>
          <t>Giường Ngoại khoa loại 1 - Khoa Chấn thương chỉnh hình</t>
        </is>
      </c>
      <c r="F736" s="272" t="n">
        <v>1</v>
      </c>
      <c r="G736" s="272" t="n">
        <v>341800</v>
      </c>
    </row>
    <row r="737" ht="17.25" customHeight="1" s="248">
      <c r="A737" s="117" t="n">
        <v>729</v>
      </c>
      <c r="B737" s="117" t="inlineStr">
        <is>
          <t>2026/06/14 00:00</t>
        </is>
      </c>
      <c r="C737" s="117" t="inlineStr">
        <is>
          <t>LÊ THÀNH ĐẠT</t>
        </is>
      </c>
      <c r="D737" s="117" t="inlineStr">
        <is>
          <t>06/11/1975</t>
        </is>
      </c>
      <c r="E737" s="117" t="inlineStr">
        <is>
          <t>Giường Nội khoa loại 2 - Khoa Chấn thương chỉnh hình</t>
        </is>
      </c>
      <c r="F737" s="272" t="n">
        <v>1</v>
      </c>
      <c r="G737" s="272" t="n">
        <v>222300</v>
      </c>
    </row>
    <row r="738" ht="17.25" customHeight="1" s="248">
      <c r="A738" s="117" t="n">
        <v>730</v>
      </c>
      <c r="B738" s="117" t="inlineStr">
        <is>
          <t>2026/06/14 00:00</t>
        </is>
      </c>
      <c r="C738" s="117" t="inlineStr">
        <is>
          <t>LÊ THỊ KIM ĐIỂU</t>
        </is>
      </c>
      <c r="D738" s="117" t="inlineStr">
        <is>
          <t>12/12/1958</t>
        </is>
      </c>
      <c r="E738" s="117" t="inlineStr">
        <is>
          <t>Giường Nội khoa loại 2 - Khoa Chấn thương chỉnh hình</t>
        </is>
      </c>
      <c r="F738" s="272" t="n">
        <v>1</v>
      </c>
      <c r="G738" s="272" t="n">
        <v>222300</v>
      </c>
    </row>
    <row r="739" ht="17.25" customHeight="1" s="248">
      <c r="A739" s="117" t="n">
        <v>731</v>
      </c>
      <c r="B739" s="117" t="inlineStr">
        <is>
          <t>2026/06/14 00:00</t>
        </is>
      </c>
      <c r="C739" s="117" t="inlineStr">
        <is>
          <t>LÊ THỊ LỆ</t>
        </is>
      </c>
      <c r="D739" s="117" t="inlineStr">
        <is>
          <t>01/01/1957</t>
        </is>
      </c>
      <c r="E739" s="117" t="inlineStr">
        <is>
          <t>Giường Nội khoa loại 2 - Khoa Chấn thương chỉnh hình</t>
        </is>
      </c>
      <c r="F739" s="272" t="n">
        <v>1</v>
      </c>
      <c r="G739" s="272" t="n">
        <v>222300</v>
      </c>
    </row>
    <row r="740" ht="17.25" customHeight="1" s="248">
      <c r="A740" s="117" t="n">
        <v>732</v>
      </c>
      <c r="B740" s="117" t="inlineStr">
        <is>
          <t>2026/06/14 00:00</t>
        </is>
      </c>
      <c r="C740" s="117" t="inlineStr">
        <is>
          <t>LÊ THỊ THU</t>
        </is>
      </c>
      <c r="D740" s="117" t="inlineStr">
        <is>
          <t>07/12/1965</t>
        </is>
      </c>
      <c r="E740" s="117" t="inlineStr">
        <is>
          <t>Giường Nội khoa loại 2 - Khoa Chấn thương chỉnh hình</t>
        </is>
      </c>
      <c r="F740" s="272" t="n">
        <v>1</v>
      </c>
      <c r="G740" s="272" t="n">
        <v>222300</v>
      </c>
    </row>
    <row r="741" ht="17.25" customHeight="1" s="248">
      <c r="A741" s="117" t="n">
        <v>733</v>
      </c>
      <c r="B741" s="117" t="inlineStr">
        <is>
          <t>2026/06/14 00:00</t>
        </is>
      </c>
      <c r="C741" s="117" t="inlineStr">
        <is>
          <t>LÊ VĂN LANH</t>
        </is>
      </c>
      <c r="D741" s="117" t="inlineStr">
        <is>
          <t>01/01/1953</t>
        </is>
      </c>
      <c r="E741" s="117" t="inlineStr">
        <is>
          <t>Giường Nội khoa loại 2 - Khoa Chấn thương chỉnh hình</t>
        </is>
      </c>
      <c r="F741" s="272" t="n">
        <v>1</v>
      </c>
      <c r="G741" s="272" t="n">
        <v>222300</v>
      </c>
    </row>
    <row r="742" ht="17.25" customHeight="1" s="248">
      <c r="A742" s="117" t="n">
        <v>734</v>
      </c>
      <c r="B742" s="117" t="inlineStr">
        <is>
          <t>2026/06/14 00:00</t>
        </is>
      </c>
      <c r="C742" s="117" t="inlineStr">
        <is>
          <t>LÊ VĂN MẠNH</t>
        </is>
      </c>
      <c r="D742" s="117" t="inlineStr">
        <is>
          <t>01/01/1967</t>
        </is>
      </c>
      <c r="E742" s="117" t="inlineStr">
        <is>
          <t>Giường Ngoại khoa loại 1 - Khoa Chấn thương chỉnh hình</t>
        </is>
      </c>
      <c r="F742" s="272" t="n">
        <v>1</v>
      </c>
      <c r="G742" s="272" t="n">
        <v>341800</v>
      </c>
    </row>
    <row r="743" ht="17.25" customHeight="1" s="248">
      <c r="A743" s="117" t="n">
        <v>735</v>
      </c>
      <c r="B743" s="117" t="inlineStr">
        <is>
          <t>2026/06/14 00:00</t>
        </is>
      </c>
      <c r="C743" s="117" t="inlineStr">
        <is>
          <t>LÝ VĂN KHƯƠNG</t>
        </is>
      </c>
      <c r="D743" s="117" t="inlineStr">
        <is>
          <t>05/06/1970</t>
        </is>
      </c>
      <c r="E743" s="117" t="inlineStr">
        <is>
          <t>Giường Nội khoa loại 2 - Khoa Chấn thương chỉnh hình</t>
        </is>
      </c>
      <c r="F743" s="272" t="n">
        <v>1</v>
      </c>
      <c r="G743" s="272" t="n">
        <v>222300</v>
      </c>
    </row>
    <row r="744" ht="17.25" customHeight="1" s="248">
      <c r="A744" s="117" t="n">
        <v>736</v>
      </c>
      <c r="B744" s="117" t="inlineStr">
        <is>
          <t>2026/06/14 00:00</t>
        </is>
      </c>
      <c r="C744" s="117" t="inlineStr">
        <is>
          <t>MAI THÀNH DƯƠNG</t>
        </is>
      </c>
      <c r="D744" s="117" t="inlineStr">
        <is>
          <t>10/04/1964</t>
        </is>
      </c>
      <c r="E744" s="117" t="inlineStr">
        <is>
          <t>Giường Nội khoa loại 2 - Khoa Chấn thương chỉnh hình</t>
        </is>
      </c>
      <c r="F744" s="272" t="n">
        <v>1</v>
      </c>
      <c r="G744" s="272" t="n">
        <v>222300</v>
      </c>
    </row>
    <row r="745" ht="17.25" customHeight="1" s="248">
      <c r="A745" s="117" t="n">
        <v>737</v>
      </c>
      <c r="B745" s="117" t="inlineStr">
        <is>
          <t>2026/06/14 00:00</t>
        </is>
      </c>
      <c r="C745" s="117" t="inlineStr">
        <is>
          <t>NGUYỄN MỸ LỆ</t>
        </is>
      </c>
      <c r="D745" s="117" t="inlineStr">
        <is>
          <t>02/02/1953</t>
        </is>
      </c>
      <c r="E745" s="117" t="inlineStr">
        <is>
          <t>Giường Nội khoa loại 2 - Khoa Chấn thương chỉnh hình</t>
        </is>
      </c>
      <c r="F745" s="272" t="n">
        <v>1</v>
      </c>
      <c r="G745" s="272" t="n">
        <v>222300</v>
      </c>
    </row>
    <row r="746" ht="17.25" customHeight="1" s="248">
      <c r="A746" s="117" t="n">
        <v>738</v>
      </c>
      <c r="B746" s="117" t="inlineStr">
        <is>
          <t>2026/06/14 00:00</t>
        </is>
      </c>
      <c r="C746" s="117" t="inlineStr">
        <is>
          <t>NGUYỄN THỊ MƯỜI</t>
        </is>
      </c>
      <c r="D746" s="117" t="inlineStr">
        <is>
          <t>01/01/1951</t>
        </is>
      </c>
      <c r="E746" s="117" t="inlineStr">
        <is>
          <t>Giường Nội khoa loại 2 - Khoa Chấn thương chỉnh hình</t>
        </is>
      </c>
      <c r="F746" s="272" t="n">
        <v>1</v>
      </c>
      <c r="G746" s="272" t="n">
        <v>222300</v>
      </c>
    </row>
    <row r="747" ht="17.25" customHeight="1" s="248">
      <c r="A747" s="117" t="n">
        <v>739</v>
      </c>
      <c r="B747" s="117" t="inlineStr">
        <is>
          <t>2026/06/14 00:00</t>
        </is>
      </c>
      <c r="C747" s="117" t="inlineStr">
        <is>
          <t>NGUYỄN THỊ NGÂN</t>
        </is>
      </c>
      <c r="D747" s="117" t="inlineStr">
        <is>
          <t>01/01/1954</t>
        </is>
      </c>
      <c r="E747" s="117" t="inlineStr">
        <is>
          <t>Giường Nội khoa loại 2 - Khoa Chấn thương chỉnh hình</t>
        </is>
      </c>
      <c r="F747" s="272" t="n">
        <v>1</v>
      </c>
      <c r="G747" s="272" t="n">
        <v>222300</v>
      </c>
    </row>
    <row r="748" ht="17.25" customHeight="1" s="248">
      <c r="A748" s="117" t="n">
        <v>740</v>
      </c>
      <c r="B748" s="117" t="inlineStr">
        <is>
          <t>2026/06/14 00:00</t>
        </is>
      </c>
      <c r="C748" s="117" t="inlineStr">
        <is>
          <t>NGUYỄN THỊ NHƯ TRÚC</t>
        </is>
      </c>
      <c r="D748" s="117" t="inlineStr">
        <is>
          <t>30/03/2006</t>
        </is>
      </c>
      <c r="E748" s="117" t="inlineStr">
        <is>
          <t>Giường Ngoại khoa loại 3 - Khoa Chấn thương chỉnh hình</t>
        </is>
      </c>
      <c r="F748" s="272" t="n">
        <v>1</v>
      </c>
      <c r="G748" s="272" t="n">
        <v>269200</v>
      </c>
    </row>
    <row r="749" ht="17.25" customHeight="1" s="248">
      <c r="A749" s="117" t="n">
        <v>741</v>
      </c>
      <c r="B749" s="117" t="inlineStr">
        <is>
          <t>2026/06/14 00:00</t>
        </is>
      </c>
      <c r="C749" s="117" t="inlineStr">
        <is>
          <t>PHAN VĂN ĐƯỢC</t>
        </is>
      </c>
      <c r="D749" s="117" t="inlineStr">
        <is>
          <t>01/01/1934</t>
        </is>
      </c>
      <c r="E749" s="117" t="inlineStr">
        <is>
          <t>Giường Nội khoa loại 2 - Khoa Chấn thương chỉnh hình</t>
        </is>
      </c>
      <c r="F749" s="272" t="n">
        <v>1</v>
      </c>
      <c r="G749" s="272" t="n">
        <v>222300</v>
      </c>
    </row>
    <row r="750" ht="17.25" customHeight="1" s="248">
      <c r="A750" s="117" t="n">
        <v>742</v>
      </c>
      <c r="B750" s="117" t="inlineStr">
        <is>
          <t>2026/06/14 00:00</t>
        </is>
      </c>
      <c r="C750" s="117" t="inlineStr">
        <is>
          <t>PHẠM THỊ DUNG</t>
        </is>
      </c>
      <c r="D750" s="117" t="inlineStr">
        <is>
          <t>01/01/1968</t>
        </is>
      </c>
      <c r="E750" s="117" t="inlineStr">
        <is>
          <t>Giường Nội khoa loại 2 - Khoa Chấn thương chỉnh hình</t>
        </is>
      </c>
      <c r="F750" s="272" t="n">
        <v>1</v>
      </c>
      <c r="G750" s="272" t="n">
        <v>222300</v>
      </c>
    </row>
    <row r="751" ht="17.25" customHeight="1" s="248">
      <c r="A751" s="117" t="n">
        <v>743</v>
      </c>
      <c r="B751" s="117" t="inlineStr">
        <is>
          <t>2026/06/14 00:00</t>
        </is>
      </c>
      <c r="C751" s="117" t="inlineStr">
        <is>
          <t>THÁI THỊ THỦY</t>
        </is>
      </c>
      <c r="D751" s="117" t="inlineStr">
        <is>
          <t>01/01/1957</t>
        </is>
      </c>
      <c r="E751" s="117" t="inlineStr">
        <is>
          <t>Giường Ngoại khoa loại 1 - Khoa Chấn thương chỉnh hình</t>
        </is>
      </c>
      <c r="F751" s="272" t="n">
        <v>1</v>
      </c>
      <c r="G751" s="272" t="n">
        <v>341800</v>
      </c>
    </row>
    <row r="752" ht="17.25" customHeight="1" s="248">
      <c r="A752" s="117" t="n">
        <v>744</v>
      </c>
      <c r="B752" s="117" t="inlineStr">
        <is>
          <t>2026/06/14 00:00</t>
        </is>
      </c>
      <c r="C752" s="117" t="inlineStr">
        <is>
          <t>TRIỆU HOÀNG LONG</t>
        </is>
      </c>
      <c r="D752" s="117" t="inlineStr">
        <is>
          <t>01/01/1963</t>
        </is>
      </c>
      <c r="E752" s="117" t="inlineStr">
        <is>
          <t>Giường Ngoại khoa loại 1 - Khoa Chấn thương chỉnh hình</t>
        </is>
      </c>
      <c r="F752" s="272" t="n">
        <v>1</v>
      </c>
      <c r="G752" s="272" t="n">
        <v>341800</v>
      </c>
    </row>
    <row r="753" ht="17.25" customHeight="1" s="248">
      <c r="A753" s="117" t="n">
        <v>745</v>
      </c>
      <c r="B753" s="117" t="inlineStr">
        <is>
          <t>2026/06/14 00:00</t>
        </is>
      </c>
      <c r="C753" s="117" t="inlineStr">
        <is>
          <t>TRẦN PHAN VÂN ANH</t>
        </is>
      </c>
      <c r="D753" s="117" t="inlineStr">
        <is>
          <t>08/06/1996</t>
        </is>
      </c>
      <c r="E753" s="117" t="inlineStr">
        <is>
          <t>Giường Nội khoa loại 2 - Khoa Chấn thương chỉnh hình</t>
        </is>
      </c>
      <c r="F753" s="272" t="n">
        <v>1</v>
      </c>
      <c r="G753" s="272" t="n">
        <v>222300</v>
      </c>
    </row>
    <row r="754" ht="17.25" customHeight="1" s="248">
      <c r="A754" s="117" t="n">
        <v>746</v>
      </c>
      <c r="B754" s="117" t="inlineStr">
        <is>
          <t>2026/06/14 00:00</t>
        </is>
      </c>
      <c r="C754" s="117" t="inlineStr">
        <is>
          <t>TRẦN THỊ MỘNG THẮM</t>
        </is>
      </c>
      <c r="D754" s="117" t="inlineStr">
        <is>
          <t>01/01/1970</t>
        </is>
      </c>
      <c r="E754" s="117" t="inlineStr">
        <is>
          <t>Giường Ngoại khoa loại 1 - Khoa Chấn thương chỉnh hình</t>
        </is>
      </c>
      <c r="F754" s="272" t="n">
        <v>1</v>
      </c>
      <c r="G754" s="272" t="n">
        <v>341800</v>
      </c>
    </row>
    <row r="755" ht="17.25" customHeight="1" s="248">
      <c r="A755" s="117" t="n">
        <v>747</v>
      </c>
      <c r="B755" s="117" t="inlineStr">
        <is>
          <t>2026/06/14 00:00</t>
        </is>
      </c>
      <c r="C755" s="117" t="inlineStr">
        <is>
          <t>TRẦN ĐẶNG NHƠN</t>
        </is>
      </c>
      <c r="D755" s="117" t="inlineStr">
        <is>
          <t>14/03/1991</t>
        </is>
      </c>
      <c r="E755" s="117" t="inlineStr">
        <is>
          <t>Giường Ngoại khoa loại 1 - Khoa Chấn thương chỉnh hình</t>
        </is>
      </c>
      <c r="F755" s="272" t="n">
        <v>1</v>
      </c>
      <c r="G755" s="272" t="n">
        <v>341800</v>
      </c>
    </row>
    <row r="756" ht="17.25" customHeight="1" s="248">
      <c r="A756" s="117" t="n">
        <v>748</v>
      </c>
      <c r="B756" s="117" t="inlineStr">
        <is>
          <t>2026/06/14 00:00</t>
        </is>
      </c>
      <c r="C756" s="117" t="inlineStr">
        <is>
          <t>VÕ KIM THU</t>
        </is>
      </c>
      <c r="D756" s="117" t="inlineStr">
        <is>
          <t>01/01/1958</t>
        </is>
      </c>
      <c r="E756" s="117" t="inlineStr">
        <is>
          <t>Giường Ngoại khoa loại 4 - Khoa Chấn thương chỉnh hình</t>
        </is>
      </c>
      <c r="F756" s="272" t="n">
        <v>1</v>
      </c>
      <c r="G756" s="272" t="n">
        <v>229200</v>
      </c>
    </row>
    <row r="757" ht="17.25" customHeight="1" s="248">
      <c r="A757" s="117" t="n">
        <v>749</v>
      </c>
      <c r="B757" s="117" t="inlineStr">
        <is>
          <t>2026/06/14 00:00</t>
        </is>
      </c>
      <c r="C757" s="117" t="inlineStr">
        <is>
          <t>VÕ THANH TÂN</t>
        </is>
      </c>
      <c r="D757" s="117" t="inlineStr">
        <is>
          <t>29/06/1996</t>
        </is>
      </c>
      <c r="E757" s="117" t="inlineStr">
        <is>
          <t>Giường Nội khoa loại 2 - Khoa Chấn thương chỉnh hình</t>
        </is>
      </c>
      <c r="F757" s="272" t="n">
        <v>1</v>
      </c>
      <c r="G757" s="272" t="n">
        <v>222300</v>
      </c>
    </row>
    <row r="758" ht="17.25" customHeight="1" s="248">
      <c r="A758" s="117" t="n">
        <v>750</v>
      </c>
      <c r="B758" s="117" t="inlineStr">
        <is>
          <t>2026/06/14 00:00</t>
        </is>
      </c>
      <c r="C758" s="117" t="inlineStr">
        <is>
          <t>VÕ THỊ KIẾU</t>
        </is>
      </c>
      <c r="D758" s="117" t="inlineStr">
        <is>
          <t>01/01/1955</t>
        </is>
      </c>
      <c r="E758" s="117" t="inlineStr">
        <is>
          <t>Giường Ngoại khoa loại 1 - Khoa Chấn thương chỉnh hình</t>
        </is>
      </c>
      <c r="F758" s="272" t="n">
        <v>1</v>
      </c>
      <c r="G758" s="272" t="n">
        <v>341800</v>
      </c>
    </row>
    <row r="759" ht="17.25" customHeight="1" s="248">
      <c r="A759" s="117" t="n">
        <v>751</v>
      </c>
      <c r="B759" s="117" t="inlineStr">
        <is>
          <t>2026/06/14 00:00</t>
        </is>
      </c>
      <c r="C759" s="117" t="inlineStr">
        <is>
          <t>VÕ THỊ ÚT</t>
        </is>
      </c>
      <c r="D759" s="117" t="inlineStr">
        <is>
          <t>10/09/1974</t>
        </is>
      </c>
      <c r="E759" s="117" t="inlineStr">
        <is>
          <t>Giường Ngoại khoa loại 3 - Khoa Chấn thương chỉnh hình</t>
        </is>
      </c>
      <c r="F759" s="272" t="n">
        <v>1</v>
      </c>
      <c r="G759" s="272" t="n">
        <v>269200</v>
      </c>
    </row>
    <row r="760" ht="17.25" customHeight="1" s="248">
      <c r="A760" s="117" t="n">
        <v>752</v>
      </c>
      <c r="B760" s="117" t="inlineStr">
        <is>
          <t>2026/06/14 00:00</t>
        </is>
      </c>
      <c r="C760" s="117" t="inlineStr">
        <is>
          <t>VÕ TẤN HƯNG</t>
        </is>
      </c>
      <c r="D760" s="117" t="inlineStr">
        <is>
          <t>19/09/1963</t>
        </is>
      </c>
      <c r="E760" s="117" t="inlineStr">
        <is>
          <t>Giường Ngoại khoa loại 3 - Khoa Chấn thương chỉnh hình</t>
        </is>
      </c>
      <c r="F760" s="272" t="n">
        <v>1</v>
      </c>
      <c r="G760" s="272" t="n">
        <v>269200</v>
      </c>
    </row>
    <row r="761" ht="17.25" customHeight="1" s="248">
      <c r="A761" s="117" t="n">
        <v>753</v>
      </c>
      <c r="B761" s="117" t="inlineStr">
        <is>
          <t>2026/06/14 00:00</t>
        </is>
      </c>
      <c r="C761" s="117" t="inlineStr">
        <is>
          <t>ĐINH THỊ THI</t>
        </is>
      </c>
      <c r="D761" s="117" t="inlineStr">
        <is>
          <t>01/01/1971</t>
        </is>
      </c>
      <c r="E761" s="117" t="inlineStr">
        <is>
          <t>Giường Ngoại khoa loại 1 - Khoa Chấn thương chỉnh hình</t>
        </is>
      </c>
      <c r="F761" s="272" t="n">
        <v>1</v>
      </c>
      <c r="G761" s="272" t="n">
        <v>341800</v>
      </c>
    </row>
    <row r="762" ht="17.25" customHeight="1" s="248">
      <c r="A762" s="117" t="n">
        <v>754</v>
      </c>
      <c r="B762" s="117" t="inlineStr">
        <is>
          <t>2026/06/14 00:00</t>
        </is>
      </c>
      <c r="C762" s="117" t="inlineStr">
        <is>
          <t>ĐẶNG KIM BÍCH</t>
        </is>
      </c>
      <c r="D762" s="117" t="inlineStr">
        <is>
          <t>01/01/1972</t>
        </is>
      </c>
      <c r="E762" s="117" t="inlineStr">
        <is>
          <t>Giường Ngoại khoa loại 1 - Khoa Chấn thương chỉnh hình</t>
        </is>
      </c>
      <c r="F762" s="272" t="n">
        <v>1</v>
      </c>
      <c r="G762" s="272" t="n">
        <v>341800</v>
      </c>
    </row>
    <row r="763" ht="17.25" customHeight="1" s="248">
      <c r="A763" s="117" t="n">
        <v>755</v>
      </c>
      <c r="B763" s="117" t="inlineStr">
        <is>
          <t>2026/06/14 00:00</t>
        </is>
      </c>
      <c r="C763" s="117" t="inlineStr">
        <is>
          <t>ĐẶNG KIM OANH</t>
        </is>
      </c>
      <c r="D763" s="117" t="inlineStr">
        <is>
          <t>16/10/1986</t>
        </is>
      </c>
      <c r="E763" s="117" t="inlineStr">
        <is>
          <t>Giường Nội khoa loại 2 - Khoa Chấn thương chỉnh hình</t>
        </is>
      </c>
      <c r="F763" s="272" t="n">
        <v>1</v>
      </c>
      <c r="G763" s="272" t="n">
        <v>222300</v>
      </c>
    </row>
    <row r="764" ht="17.25" customHeight="1" s="248">
      <c r="A764" s="117" t="n">
        <v>756</v>
      </c>
      <c r="B764" s="117" t="inlineStr">
        <is>
          <t>2026/06/14 00:00</t>
        </is>
      </c>
      <c r="C764" s="117" t="inlineStr">
        <is>
          <t>ĐẶNG THỊ XOE</t>
        </is>
      </c>
      <c r="D764" s="117" t="inlineStr">
        <is>
          <t>01/01/1936</t>
        </is>
      </c>
      <c r="E764" s="117" t="inlineStr">
        <is>
          <t>Giường Nội khoa loại 2 - Khoa Chấn thương chỉnh hình</t>
        </is>
      </c>
      <c r="F764" s="272" t="n">
        <v>1</v>
      </c>
      <c r="G764" s="272" t="n">
        <v>222300</v>
      </c>
    </row>
    <row r="765" ht="17.25" customHeight="1" s="248">
      <c r="A765" s="117" t="n">
        <v>757</v>
      </c>
      <c r="B765" s="117" t="inlineStr">
        <is>
          <t>2026/06/14 00:00</t>
        </is>
      </c>
      <c r="C765" s="117" t="inlineStr">
        <is>
          <t>CAO THIỆN VŨ</t>
        </is>
      </c>
      <c r="D765" s="117" t="inlineStr">
        <is>
          <t>01/01/1977</t>
        </is>
      </c>
      <c r="E765" s="117" t="inlineStr">
        <is>
          <t>Giường Ngoại khoa loại 1 - Khoa Chấn thương chỉnh hình</t>
        </is>
      </c>
      <c r="F765" s="272" t="n">
        <v>1</v>
      </c>
      <c r="G765" s="272" t="n">
        <v>341800</v>
      </c>
    </row>
    <row r="766" ht="17.25" customHeight="1" s="248">
      <c r="A766" s="117" t="n">
        <v>758</v>
      </c>
      <c r="B766" s="117" t="inlineStr">
        <is>
          <t>2026/06/14 00:00</t>
        </is>
      </c>
      <c r="C766" s="117" t="inlineStr">
        <is>
          <t>CHÂU THỊ ĐỦ</t>
        </is>
      </c>
      <c r="D766" s="117" t="inlineStr">
        <is>
          <t>01/01/1963</t>
        </is>
      </c>
      <c r="E766" s="117" t="inlineStr">
        <is>
          <t>Giường Ngoại khoa loại 1 - Khoa Chấn thương chỉnh hình</t>
        </is>
      </c>
      <c r="F766" s="272" t="n">
        <v>1</v>
      </c>
      <c r="G766" s="272" t="n">
        <v>341800</v>
      </c>
    </row>
    <row r="767" ht="17.25" customHeight="1" s="248">
      <c r="A767" s="117" t="n">
        <v>759</v>
      </c>
      <c r="B767" s="117" t="inlineStr">
        <is>
          <t>2026/06/14 00:00</t>
        </is>
      </c>
      <c r="C767" s="117" t="inlineStr">
        <is>
          <t>NGUYỄN HỒNG NHIÊN</t>
        </is>
      </c>
      <c r="D767" s="117" t="inlineStr">
        <is>
          <t>01/01/1968</t>
        </is>
      </c>
      <c r="E767" s="117" t="inlineStr">
        <is>
          <t>Giường Ngoại khoa loại 1 - Khoa Chấn thương chỉnh hình</t>
        </is>
      </c>
      <c r="F767" s="272" t="n">
        <v>1</v>
      </c>
      <c r="G767" s="272" t="n">
        <v>341800</v>
      </c>
    </row>
    <row r="768" ht="17.25" customHeight="1" s="248">
      <c r="A768" s="117" t="n">
        <v>760</v>
      </c>
      <c r="B768" s="117" t="inlineStr">
        <is>
          <t>2026/06/14 00:00</t>
        </is>
      </c>
      <c r="C768" s="117" t="inlineStr">
        <is>
          <t>NGÔ HÒA THUẬN</t>
        </is>
      </c>
      <c r="D768" s="117" t="inlineStr">
        <is>
          <t>28/04/1979</t>
        </is>
      </c>
      <c r="E768" s="117" t="inlineStr">
        <is>
          <t>Giường Ngoại khoa loại 1 - Khoa Chấn thương chỉnh hình</t>
        </is>
      </c>
      <c r="F768" s="272" t="n">
        <v>1</v>
      </c>
      <c r="G768" s="272" t="n">
        <v>341800</v>
      </c>
    </row>
    <row r="769" ht="17.25" customHeight="1" s="248">
      <c r="A769" s="117" t="n">
        <v>761</v>
      </c>
      <c r="B769" s="117" t="inlineStr">
        <is>
          <t>2026/06/14 00:00</t>
        </is>
      </c>
      <c r="C769" s="117" t="inlineStr">
        <is>
          <t>TRẦN BÉ HIỀN</t>
        </is>
      </c>
      <c r="D769" s="117" t="inlineStr">
        <is>
          <t>22/06/1994</t>
        </is>
      </c>
      <c r="E769" s="117" t="inlineStr">
        <is>
          <t>Giường Ngoại khoa loại 3 - Khoa Chấn thương chỉnh hình</t>
        </is>
      </c>
      <c r="F769" s="272" t="n">
        <v>1</v>
      </c>
      <c r="G769" s="272" t="n">
        <v>269200</v>
      </c>
    </row>
    <row r="770" ht="17.25" customHeight="1" s="248">
      <c r="A770" s="117" t="n">
        <v>762</v>
      </c>
      <c r="B770" s="117" t="inlineStr">
        <is>
          <t>2026/06/14 00:00</t>
        </is>
      </c>
      <c r="C770" s="117" t="inlineStr">
        <is>
          <t>TÔN VĂN PHƯỚC</t>
        </is>
      </c>
      <c r="D770" s="117" t="inlineStr">
        <is>
          <t>01/01/1970</t>
        </is>
      </c>
      <c r="E770" s="117" t="inlineStr">
        <is>
          <t>Giường Ngoại khoa loại 1 - Khoa Chấn thương chỉnh hình</t>
        </is>
      </c>
      <c r="F770" s="272" t="n">
        <v>1</v>
      </c>
      <c r="G770" s="272" t="n">
        <v>341800</v>
      </c>
    </row>
    <row r="771" ht="17.25" customHeight="1" s="248">
      <c r="A771" s="117" t="n">
        <v>763</v>
      </c>
      <c r="B771" s="117" t="inlineStr">
        <is>
          <t>2026/06/15 00:00</t>
        </is>
      </c>
      <c r="C771" s="117" t="inlineStr">
        <is>
          <t>CAO HÙNG PHONG</t>
        </is>
      </c>
      <c r="D771" s="117" t="inlineStr">
        <is>
          <t>15/04/1969</t>
        </is>
      </c>
      <c r="E771" s="117" t="inlineStr">
        <is>
          <t>Giường Ngoại khoa loại 1 - Khoa Chấn thương chỉnh hình</t>
        </is>
      </c>
      <c r="F771" s="272" t="n">
        <v>1</v>
      </c>
      <c r="G771" s="272" t="n">
        <v>341800</v>
      </c>
    </row>
    <row r="772" ht="17.25" customHeight="1" s="248">
      <c r="A772" s="117" t="n">
        <v>764</v>
      </c>
      <c r="B772" s="117" t="inlineStr">
        <is>
          <t>2026/06/15 00:00</t>
        </is>
      </c>
      <c r="C772" s="117" t="inlineStr">
        <is>
          <t>CAO THỊ BẢY</t>
        </is>
      </c>
      <c r="D772" s="117" t="inlineStr">
        <is>
          <t>09/10/1941</t>
        </is>
      </c>
      <c r="E772" s="117" t="inlineStr">
        <is>
          <t>Giường Ngoại khoa loại 2 - Khoa Chấn thương chỉnh hình</t>
        </is>
      </c>
      <c r="F772" s="272" t="n">
        <v>1</v>
      </c>
      <c r="G772" s="272" t="n">
        <v>301600</v>
      </c>
    </row>
    <row r="773" ht="17.25" customHeight="1" s="248">
      <c r="A773" s="117" t="n">
        <v>765</v>
      </c>
      <c r="B773" s="117" t="inlineStr">
        <is>
          <t>2026/06/15 00:00</t>
        </is>
      </c>
      <c r="C773" s="117" t="inlineStr">
        <is>
          <t>CHIÊM THỊ NHÀN</t>
        </is>
      </c>
      <c r="D773" s="117" t="inlineStr">
        <is>
          <t>01/01/1953</t>
        </is>
      </c>
      <c r="E773" s="117" t="inlineStr">
        <is>
          <t>Giường Ngoại khoa loại 1 - Khoa Chấn thương chỉnh hình</t>
        </is>
      </c>
      <c r="F773" s="272" t="n">
        <v>1</v>
      </c>
      <c r="G773" s="272" t="n">
        <v>341800</v>
      </c>
    </row>
    <row r="774" ht="17.25" customHeight="1" s="248">
      <c r="A774" s="117" t="n">
        <v>766</v>
      </c>
      <c r="B774" s="117" t="inlineStr">
        <is>
          <t>2026/06/15 00:00</t>
        </is>
      </c>
      <c r="C774" s="117" t="inlineStr">
        <is>
          <t>HOÀNG TUẤN ANH</t>
        </is>
      </c>
      <c r="D774" s="117" t="inlineStr">
        <is>
          <t>07/12/1982</t>
        </is>
      </c>
      <c r="E774" s="117" t="inlineStr">
        <is>
          <t>Giường Ngoại khoa loại 1 - Khoa Chấn thương chỉnh hình</t>
        </is>
      </c>
      <c r="F774" s="272" t="n">
        <v>1</v>
      </c>
      <c r="G774" s="272" t="n">
        <v>341800</v>
      </c>
    </row>
    <row r="775" ht="17.25" customHeight="1" s="248">
      <c r="A775" s="117" t="n">
        <v>767</v>
      </c>
      <c r="B775" s="117" t="inlineStr">
        <is>
          <t>2026/06/15 00:00</t>
        </is>
      </c>
      <c r="C775" s="117" t="inlineStr">
        <is>
          <t>HUỲNH NGỌC SƯƠNG</t>
        </is>
      </c>
      <c r="D775" s="117" t="inlineStr">
        <is>
          <t>05/05/1954</t>
        </is>
      </c>
      <c r="E775" s="117" t="inlineStr">
        <is>
          <t>Giường Ngoại khoa loại 1 - Khoa Chấn thương chỉnh hình</t>
        </is>
      </c>
      <c r="F775" s="272" t="n">
        <v>1</v>
      </c>
      <c r="G775" s="272" t="n">
        <v>341800</v>
      </c>
    </row>
    <row r="776" ht="17.25" customHeight="1" s="248">
      <c r="A776" s="117" t="n">
        <v>768</v>
      </c>
      <c r="B776" s="117" t="inlineStr">
        <is>
          <t>2026/06/15 00:00</t>
        </is>
      </c>
      <c r="C776" s="117" t="inlineStr">
        <is>
          <t>LÊ THÀNH ĐẠT</t>
        </is>
      </c>
      <c r="D776" s="117" t="inlineStr">
        <is>
          <t>06/11/1975</t>
        </is>
      </c>
      <c r="E776" s="117" t="inlineStr">
        <is>
          <t>Giường Nội khoa loại 2 - Khoa Chấn thương chỉnh hình</t>
        </is>
      </c>
      <c r="F776" s="272" t="n">
        <v>1</v>
      </c>
      <c r="G776" s="272" t="n">
        <v>222300</v>
      </c>
    </row>
    <row r="777" ht="17.25" customHeight="1" s="248">
      <c r="A777" s="117" t="n">
        <v>769</v>
      </c>
      <c r="B777" s="117" t="inlineStr">
        <is>
          <t>2026/06/15 00:00</t>
        </is>
      </c>
      <c r="C777" s="117" t="inlineStr">
        <is>
          <t>LÊ THỊ LỆ</t>
        </is>
      </c>
      <c r="D777" s="117" t="inlineStr">
        <is>
          <t>01/01/1957</t>
        </is>
      </c>
      <c r="E777" s="117" t="inlineStr">
        <is>
          <t>Giường Nội khoa loại 2 - Khoa Chấn thương chỉnh hình</t>
        </is>
      </c>
      <c r="F777" s="272" t="n">
        <v>1</v>
      </c>
      <c r="G777" s="272" t="n">
        <v>222300</v>
      </c>
    </row>
    <row r="778" ht="17.25" customHeight="1" s="248">
      <c r="A778" s="117" t="n">
        <v>770</v>
      </c>
      <c r="B778" s="117" t="inlineStr">
        <is>
          <t>2026/06/15 00:00</t>
        </is>
      </c>
      <c r="C778" s="117" t="inlineStr">
        <is>
          <t>LÊ THỊ THU</t>
        </is>
      </c>
      <c r="D778" s="117" t="inlineStr">
        <is>
          <t>07/12/1965</t>
        </is>
      </c>
      <c r="E778" s="117" t="inlineStr">
        <is>
          <t>Giường Nội khoa loại 2 - Khoa Chấn thương chỉnh hình</t>
        </is>
      </c>
      <c r="F778" s="272" t="n">
        <v>1</v>
      </c>
      <c r="G778" s="272" t="n">
        <v>222300</v>
      </c>
    </row>
    <row r="779" ht="17.25" customHeight="1" s="248">
      <c r="A779" s="117" t="n">
        <v>771</v>
      </c>
      <c r="B779" s="117" t="inlineStr">
        <is>
          <t>2026/06/15 00:00</t>
        </is>
      </c>
      <c r="C779" s="117" t="inlineStr">
        <is>
          <t>LÊ VĂN LANH</t>
        </is>
      </c>
      <c r="D779" s="117" t="inlineStr">
        <is>
          <t>01/01/1953</t>
        </is>
      </c>
      <c r="E779" s="117" t="inlineStr">
        <is>
          <t>Giường Nội khoa loại 2 - Khoa Chấn thương chỉnh hình</t>
        </is>
      </c>
      <c r="F779" s="272" t="n">
        <v>1</v>
      </c>
      <c r="G779" s="272" t="n">
        <v>222300</v>
      </c>
    </row>
    <row r="780" ht="17.25" customHeight="1" s="248">
      <c r="A780" s="117" t="n">
        <v>772</v>
      </c>
      <c r="B780" s="117" t="inlineStr">
        <is>
          <t>2026/06/15 00:00</t>
        </is>
      </c>
      <c r="C780" s="117" t="inlineStr">
        <is>
          <t>LÝ VĂN KHƯƠNG</t>
        </is>
      </c>
      <c r="D780" s="117" t="inlineStr">
        <is>
          <t>05/06/1970</t>
        </is>
      </c>
      <c r="E780" s="117" t="inlineStr">
        <is>
          <t>Giường Nội khoa loại 2 - Khoa Chấn thương chỉnh hình</t>
        </is>
      </c>
      <c r="F780" s="272" t="n">
        <v>1</v>
      </c>
      <c r="G780" s="272" t="n">
        <v>222300</v>
      </c>
    </row>
    <row r="781" ht="17.25" customHeight="1" s="248">
      <c r="A781" s="117" t="n">
        <v>773</v>
      </c>
      <c r="B781" s="117" t="inlineStr">
        <is>
          <t>2026/06/15 00:00</t>
        </is>
      </c>
      <c r="C781" s="117" t="inlineStr">
        <is>
          <t>MAI THÀNH DƯƠNG</t>
        </is>
      </c>
      <c r="D781" s="117" t="inlineStr">
        <is>
          <t>10/04/1964</t>
        </is>
      </c>
      <c r="E781" s="117" t="inlineStr">
        <is>
          <t>Giường Nội khoa loại 2 - Khoa Chấn thương chỉnh hình</t>
        </is>
      </c>
      <c r="F781" s="272" t="n">
        <v>1</v>
      </c>
      <c r="G781" s="272" t="n">
        <v>222300</v>
      </c>
    </row>
    <row r="782" ht="17.25" customHeight="1" s="248">
      <c r="A782" s="117" t="n">
        <v>774</v>
      </c>
      <c r="B782" s="117" t="inlineStr">
        <is>
          <t>2026/06/15 00:00</t>
        </is>
      </c>
      <c r="C782" s="117" t="inlineStr">
        <is>
          <t>NGUYỄN THỊ MƯỜI</t>
        </is>
      </c>
      <c r="D782" s="117" t="inlineStr">
        <is>
          <t>01/01/1951</t>
        </is>
      </c>
      <c r="E782" s="117" t="inlineStr">
        <is>
          <t>Giường Ngoại khoa loại 1 - Khoa Chấn thương chỉnh hình</t>
        </is>
      </c>
      <c r="F782" s="272" t="n">
        <v>1</v>
      </c>
      <c r="G782" s="272" t="n">
        <v>341800</v>
      </c>
    </row>
    <row r="783" ht="17.25" customHeight="1" s="248">
      <c r="A783" s="117" t="n">
        <v>775</v>
      </c>
      <c r="B783" s="117" t="inlineStr">
        <is>
          <t>2026/06/15 00:00</t>
        </is>
      </c>
      <c r="C783" s="117" t="inlineStr">
        <is>
          <t>NGUYỄN THỊ NGÂN</t>
        </is>
      </c>
      <c r="D783" s="117" t="inlineStr">
        <is>
          <t>01/01/1954</t>
        </is>
      </c>
      <c r="E783" s="117" t="inlineStr">
        <is>
          <t>Giường Nội khoa loại 2 - Khoa Chấn thương chỉnh hình</t>
        </is>
      </c>
      <c r="F783" s="272" t="n">
        <v>1</v>
      </c>
      <c r="G783" s="272" t="n">
        <v>222300</v>
      </c>
    </row>
    <row r="784" ht="17.25" customHeight="1" s="248">
      <c r="A784" s="117" t="n">
        <v>776</v>
      </c>
      <c r="B784" s="117" t="inlineStr">
        <is>
          <t>2026/06/15 00:00</t>
        </is>
      </c>
      <c r="C784" s="117" t="inlineStr">
        <is>
          <t>PHAN VĂN ĐƯỢC</t>
        </is>
      </c>
      <c r="D784" s="117" t="inlineStr">
        <is>
          <t>01/01/1934</t>
        </is>
      </c>
      <c r="E784" s="117" t="inlineStr">
        <is>
          <t>Giường Nội khoa loại 2 - Khoa Chấn thương chỉnh hình</t>
        </is>
      </c>
      <c r="F784" s="272" t="n">
        <v>1</v>
      </c>
      <c r="G784" s="272" t="n">
        <v>222300</v>
      </c>
    </row>
    <row r="785" ht="17.25" customHeight="1" s="248">
      <c r="A785" s="117" t="n">
        <v>777</v>
      </c>
      <c r="B785" s="117" t="inlineStr">
        <is>
          <t>2026/06/15 00:00</t>
        </is>
      </c>
      <c r="C785" s="117" t="inlineStr">
        <is>
          <t>PHẠM THỊ DUNG</t>
        </is>
      </c>
      <c r="D785" s="117" t="inlineStr">
        <is>
          <t>01/01/1968</t>
        </is>
      </c>
      <c r="E785" s="117" t="inlineStr">
        <is>
          <t>Giường Nội khoa loại 2 - Khoa Chấn thương chỉnh hình</t>
        </is>
      </c>
      <c r="F785" s="272" t="n">
        <v>1</v>
      </c>
      <c r="G785" s="272" t="n">
        <v>222300</v>
      </c>
    </row>
    <row r="786" ht="17.25" customHeight="1" s="248">
      <c r="A786" s="117" t="n">
        <v>778</v>
      </c>
      <c r="B786" s="117" t="inlineStr">
        <is>
          <t>2026/06/15 00:00</t>
        </is>
      </c>
      <c r="C786" s="117" t="inlineStr">
        <is>
          <t>TRẦN THỊ MỘNG THẮM</t>
        </is>
      </c>
      <c r="D786" s="117" t="inlineStr">
        <is>
          <t>01/01/1970</t>
        </is>
      </c>
      <c r="E786" s="117" t="inlineStr">
        <is>
          <t>Giường Ngoại khoa loại 1 - Khoa Chấn thương chỉnh hình</t>
        </is>
      </c>
      <c r="F786" s="272" t="n">
        <v>1</v>
      </c>
      <c r="G786" s="272" t="n">
        <v>341800</v>
      </c>
    </row>
    <row r="787" ht="17.25" customHeight="1" s="248">
      <c r="A787" s="117" t="n">
        <v>779</v>
      </c>
      <c r="B787" s="117" t="inlineStr">
        <is>
          <t>2026/06/15 00:00</t>
        </is>
      </c>
      <c r="C787" s="117" t="inlineStr">
        <is>
          <t>TRẦN ĐẶNG NHƠN</t>
        </is>
      </c>
      <c r="D787" s="117" t="inlineStr">
        <is>
          <t>14/03/1991</t>
        </is>
      </c>
      <c r="E787" s="117" t="inlineStr">
        <is>
          <t>Giường Ngoại khoa loại 1 - Khoa Chấn thương chỉnh hình</t>
        </is>
      </c>
      <c r="F787" s="272" t="n">
        <v>1</v>
      </c>
      <c r="G787" s="272" t="n">
        <v>341800</v>
      </c>
    </row>
    <row r="788" ht="17.25" customHeight="1" s="248">
      <c r="A788" s="117" t="n">
        <v>780</v>
      </c>
      <c r="B788" s="117" t="inlineStr">
        <is>
          <t>2026/06/15 00:00</t>
        </is>
      </c>
      <c r="C788" s="117" t="inlineStr">
        <is>
          <t>VÕ KIM THU</t>
        </is>
      </c>
      <c r="D788" s="117" t="inlineStr">
        <is>
          <t>01/01/1958</t>
        </is>
      </c>
      <c r="E788" s="117" t="inlineStr">
        <is>
          <t>Giường Ngoại khoa loại 4 - Khoa Chấn thương chỉnh hình</t>
        </is>
      </c>
      <c r="F788" s="272" t="n">
        <v>1</v>
      </c>
      <c r="G788" s="272" t="n">
        <v>229200</v>
      </c>
    </row>
    <row r="789" ht="17.25" customHeight="1" s="248">
      <c r="A789" s="117" t="n">
        <v>781</v>
      </c>
      <c r="B789" s="117" t="inlineStr">
        <is>
          <t>2026/06/15 00:00</t>
        </is>
      </c>
      <c r="C789" s="117" t="inlineStr">
        <is>
          <t>VÕ THANH TÂN</t>
        </is>
      </c>
      <c r="D789" s="117" t="inlineStr">
        <is>
          <t>29/06/1996</t>
        </is>
      </c>
      <c r="E789" s="117" t="inlineStr">
        <is>
          <t>Giường Nội khoa loại 2 - Khoa Chấn thương chỉnh hình</t>
        </is>
      </c>
      <c r="F789" s="272" t="n">
        <v>1</v>
      </c>
      <c r="G789" s="272" t="n">
        <v>222300</v>
      </c>
    </row>
    <row r="790" ht="17.25" customHeight="1" s="248">
      <c r="A790" s="117" t="n">
        <v>782</v>
      </c>
      <c r="B790" s="117" t="inlineStr">
        <is>
          <t>2026/06/15 00:00</t>
        </is>
      </c>
      <c r="C790" s="117" t="inlineStr">
        <is>
          <t>ĐINH THỊ THI</t>
        </is>
      </c>
      <c r="D790" s="117" t="inlineStr">
        <is>
          <t>01/01/1971</t>
        </is>
      </c>
      <c r="E790" s="117" t="inlineStr">
        <is>
          <t>Giường Ngoại khoa loại 1 - Khoa Chấn thương chỉnh hình</t>
        </is>
      </c>
      <c r="F790" s="272" t="n">
        <v>1</v>
      </c>
      <c r="G790" s="272" t="n">
        <v>341800</v>
      </c>
    </row>
    <row r="791" ht="17.25" customHeight="1" s="248">
      <c r="A791" s="117" t="n">
        <v>783</v>
      </c>
      <c r="B791" s="117" t="inlineStr">
        <is>
          <t>2026/06/15 00:00</t>
        </is>
      </c>
      <c r="C791" s="117" t="inlineStr">
        <is>
          <t>ĐẶNG KIM OANH</t>
        </is>
      </c>
      <c r="D791" s="117" t="inlineStr">
        <is>
          <t>16/10/1986</t>
        </is>
      </c>
      <c r="E791" s="117" t="inlineStr">
        <is>
          <t>Giường Nội khoa loại 2 - Khoa Chấn thương chỉnh hình</t>
        </is>
      </c>
      <c r="F791" s="272" t="n">
        <v>1</v>
      </c>
      <c r="G791" s="272" t="n">
        <v>222300</v>
      </c>
    </row>
    <row r="792" ht="17.25" customHeight="1" s="248">
      <c r="A792" s="117" t="n">
        <v>784</v>
      </c>
      <c r="B792" s="117" t="inlineStr">
        <is>
          <t>2026/06/15 00:00</t>
        </is>
      </c>
      <c r="C792" s="117" t="inlineStr">
        <is>
          <t>ĐẶNG THỊ XOE</t>
        </is>
      </c>
      <c r="D792" s="117" t="inlineStr">
        <is>
          <t>01/01/1936</t>
        </is>
      </c>
      <c r="E792" s="117" t="inlineStr">
        <is>
          <t>Giường Ngoại khoa loại 2 - Khoa Chấn thương chỉnh hình</t>
        </is>
      </c>
      <c r="F792" s="272" t="n">
        <v>1</v>
      </c>
      <c r="G792" s="272" t="n">
        <v>301600</v>
      </c>
    </row>
    <row r="793" ht="17.25" customHeight="1" s="248">
      <c r="A793" s="117" t="n">
        <v>785</v>
      </c>
      <c r="B793" s="117" t="inlineStr">
        <is>
          <t>2026/06/15 00:00</t>
        </is>
      </c>
      <c r="C793" s="117" t="inlineStr">
        <is>
          <t>CAO KIỀU DUYÊN</t>
        </is>
      </c>
      <c r="D793" s="117" t="inlineStr">
        <is>
          <t>12/06/1991</t>
        </is>
      </c>
      <c r="E793" s="117" t="inlineStr">
        <is>
          <t>Giường Ngoại khoa loại 1 - Khoa Chấn thương chỉnh hình</t>
        </is>
      </c>
      <c r="F793" s="272" t="n">
        <v>1</v>
      </c>
      <c r="G793" s="272" t="n">
        <v>341800</v>
      </c>
    </row>
    <row r="794" ht="17.25" customHeight="1" s="248">
      <c r="A794" s="117" t="n">
        <v>786</v>
      </c>
      <c r="B794" s="117" t="inlineStr">
        <is>
          <t>2026/06/15 07:38</t>
        </is>
      </c>
      <c r="C794" s="117" t="inlineStr">
        <is>
          <t>LÊ THỊ KIM TUYỀN</t>
        </is>
      </c>
      <c r="D794" s="117" t="inlineStr">
        <is>
          <t>01/01/1968</t>
        </is>
      </c>
      <c r="E794" s="117" t="inlineStr">
        <is>
          <t>Giường Nội khoa loại 2 - Khoa Chấn thương chỉnh hình</t>
        </is>
      </c>
      <c r="F794" s="272" t="n">
        <v>1</v>
      </c>
      <c r="G794" s="272" t="n">
        <v>222300</v>
      </c>
    </row>
    <row r="795" ht="17.25" customHeight="1" s="248">
      <c r="A795" s="117" t="n">
        <v>787</v>
      </c>
      <c r="B795" s="117" t="inlineStr">
        <is>
          <t>2026/06/15 07:54</t>
        </is>
      </c>
      <c r="C795" s="117" t="inlineStr">
        <is>
          <t>NGUYỄN MINH NHỰT</t>
        </is>
      </c>
      <c r="D795" s="117" t="inlineStr">
        <is>
          <t>10/06/1988</t>
        </is>
      </c>
      <c r="E795" s="117" t="inlineStr">
        <is>
          <t>Giường Nội khoa loại 2 - Khoa Chấn thương chỉnh hình</t>
        </is>
      </c>
      <c r="F795" s="272" t="n">
        <v>1</v>
      </c>
      <c r="G795" s="272" t="n">
        <v>222300</v>
      </c>
    </row>
    <row r="796" ht="17.25" customHeight="1" s="248">
      <c r="A796" s="117" t="n">
        <v>788</v>
      </c>
      <c r="B796" s="117" t="inlineStr">
        <is>
          <t>2026/06/15 08:13</t>
        </is>
      </c>
      <c r="C796" s="117" t="inlineStr">
        <is>
          <t>NGUYỄN THỊ NGỌC DUYÊN</t>
        </is>
      </c>
      <c r="D796" s="117" t="inlineStr">
        <is>
          <t>01/02/1971</t>
        </is>
      </c>
      <c r="E796" s="117" t="inlineStr">
        <is>
          <t>Giường Nội khoa loại 2 - Khoa Chấn thương chỉnh hình</t>
        </is>
      </c>
      <c r="F796" s="272" t="n">
        <v>1</v>
      </c>
      <c r="G796" s="272" t="n">
        <v>222300</v>
      </c>
    </row>
    <row r="797" ht="17.25" customHeight="1" s="248">
      <c r="A797" s="117" t="n">
        <v>789</v>
      </c>
      <c r="B797" s="117" t="inlineStr">
        <is>
          <t>2026/06/15 09:25</t>
        </is>
      </c>
      <c r="C797" s="117" t="inlineStr">
        <is>
          <t>TRIỆU CẨM THU</t>
        </is>
      </c>
      <c r="D797" s="117" t="inlineStr">
        <is>
          <t>27/03/1973</t>
        </is>
      </c>
      <c r="E797" s="117" t="inlineStr">
        <is>
          <t>Giường Ngoại khoa loại 1 - Khoa Chấn thương chỉnh hình</t>
        </is>
      </c>
      <c r="F797" s="272" t="n">
        <v>1</v>
      </c>
      <c r="G797" s="272" t="n">
        <v>341800</v>
      </c>
    </row>
    <row r="798" ht="17.25" customHeight="1" s="248">
      <c r="A798" s="117" t="n">
        <v>790</v>
      </c>
      <c r="B798" s="117" t="inlineStr">
        <is>
          <t>2026/06/15 09:31</t>
        </is>
      </c>
      <c r="C798" s="117" t="inlineStr">
        <is>
          <t>NGUYỄN THỊ NGỌC ĐIỆP</t>
        </is>
      </c>
      <c r="D798" s="117" t="inlineStr">
        <is>
          <t>20/08/1973</t>
        </is>
      </c>
      <c r="E798" s="117" t="inlineStr">
        <is>
          <t>Giường Nội khoa loại 2 - Khoa Chấn thương chỉnh hình</t>
        </is>
      </c>
      <c r="F798" s="272" t="n">
        <v>1</v>
      </c>
      <c r="G798" s="272" t="n">
        <v>222300</v>
      </c>
    </row>
    <row r="799" ht="17.25" customHeight="1" s="248">
      <c r="A799" s="117" t="n">
        <v>791</v>
      </c>
      <c r="B799" s="117" t="inlineStr">
        <is>
          <t>2026/06/15 09:43</t>
        </is>
      </c>
      <c r="C799" s="117" t="inlineStr">
        <is>
          <t>LƯU THỊ MỸ</t>
        </is>
      </c>
      <c r="D799" s="117" t="inlineStr">
        <is>
          <t>01/01/1962</t>
        </is>
      </c>
      <c r="E799" s="117" t="inlineStr">
        <is>
          <t>Giường Nội khoa loại 2 - Khoa Chấn thương chỉnh hình</t>
        </is>
      </c>
      <c r="F799" s="272" t="n">
        <v>1</v>
      </c>
      <c r="G799" s="272" t="n">
        <v>222300</v>
      </c>
    </row>
    <row r="800" ht="17.25" customHeight="1" s="248">
      <c r="A800" s="117" t="n">
        <v>792</v>
      </c>
      <c r="B800" s="117" t="inlineStr">
        <is>
          <t>2026/06/15 10:12</t>
        </is>
      </c>
      <c r="C800" s="117" t="inlineStr">
        <is>
          <t>VÕ THỊ THE</t>
        </is>
      </c>
      <c r="D800" s="117" t="inlineStr">
        <is>
          <t>01/01/1963</t>
        </is>
      </c>
      <c r="E800" s="117" t="inlineStr">
        <is>
          <t>Giường Nội khoa loại 2 - Khoa Chấn thương chỉnh hình</t>
        </is>
      </c>
      <c r="F800" s="272" t="n">
        <v>1</v>
      </c>
      <c r="G800" s="272" t="n">
        <v>222300</v>
      </c>
    </row>
    <row r="801" ht="17.25" customHeight="1" s="248">
      <c r="A801" s="117" t="n">
        <v>793</v>
      </c>
      <c r="B801" s="117" t="inlineStr">
        <is>
          <t>2026/06/15 10:22</t>
        </is>
      </c>
      <c r="C801" s="117" t="inlineStr">
        <is>
          <t>CHÂU THỊ A</t>
        </is>
      </c>
      <c r="D801" s="117" t="inlineStr">
        <is>
          <t>01/01/1958</t>
        </is>
      </c>
      <c r="E801" s="117" t="inlineStr">
        <is>
          <t>Giường Nội khoa loại 2 - Khoa Chấn thương chỉnh hình</t>
        </is>
      </c>
      <c r="F801" s="272" t="n">
        <v>1</v>
      </c>
      <c r="G801" s="272" t="n">
        <v>222300</v>
      </c>
    </row>
    <row r="802" ht="17.25" customHeight="1" s="248">
      <c r="A802" s="117" t="n">
        <v>794</v>
      </c>
      <c r="B802" s="117" t="inlineStr">
        <is>
          <t>2026/06/15 10:51</t>
        </is>
      </c>
      <c r="C802" s="117" t="inlineStr">
        <is>
          <t>ĐỖ THỊ PHƯƠNG MAI</t>
        </is>
      </c>
      <c r="D802" s="117" t="inlineStr">
        <is>
          <t>23/04/1980</t>
        </is>
      </c>
      <c r="E802" s="117" t="inlineStr">
        <is>
          <t>Giường Nội khoa loại 2 - Khoa Chấn thương chỉnh hình</t>
        </is>
      </c>
      <c r="F802" s="272" t="n">
        <v>1</v>
      </c>
      <c r="G802" s="272" t="n">
        <v>222300</v>
      </c>
    </row>
    <row r="803" ht="17.25" customHeight="1" s="248">
      <c r="A803" s="117" t="n">
        <v>795</v>
      </c>
      <c r="B803" s="117" t="inlineStr">
        <is>
          <t>2026/06/15 11:18</t>
        </is>
      </c>
      <c r="C803" s="117" t="inlineStr">
        <is>
          <t>ĐẶNG TÔN THỊNH</t>
        </is>
      </c>
      <c r="D803" s="117" t="inlineStr">
        <is>
          <t>03/02/1983</t>
        </is>
      </c>
      <c r="E803" s="117" t="inlineStr">
        <is>
          <t>Giường Nội khoa loại 2 - Khoa Chấn thương chỉnh hình</t>
        </is>
      </c>
      <c r="F803" s="272" t="n">
        <v>1</v>
      </c>
      <c r="G803" s="272" t="n">
        <v>250000</v>
      </c>
    </row>
    <row r="804" ht="17.25" customHeight="1" s="248">
      <c r="A804" s="117" t="n">
        <v>796</v>
      </c>
      <c r="B804" s="117" t="inlineStr">
        <is>
          <t>2026/06/15 12:02</t>
        </is>
      </c>
      <c r="C804" s="117" t="inlineStr">
        <is>
          <t>TIÊU QUỐC TOÀN</t>
        </is>
      </c>
      <c r="D804" s="117" t="inlineStr">
        <is>
          <t>29/12/2004</t>
        </is>
      </c>
      <c r="E804" s="117" t="inlineStr">
        <is>
          <t>Giường Nội khoa loại 2 - Khoa Chấn thương chỉnh hình</t>
        </is>
      </c>
      <c r="F804" s="272" t="n">
        <v>1</v>
      </c>
      <c r="G804" s="272" t="n">
        <v>222300</v>
      </c>
    </row>
    <row r="805" ht="17.25" customHeight="1" s="248">
      <c r="A805" s="117" t="n">
        <v>797</v>
      </c>
      <c r="B805" s="117" t="inlineStr">
        <is>
          <t>2026/06/15 12:23</t>
        </is>
      </c>
      <c r="C805" s="117" t="inlineStr">
        <is>
          <t>HỒ VĂN DÃ</t>
        </is>
      </c>
      <c r="D805" s="117" t="inlineStr">
        <is>
          <t>21/12/1976</t>
        </is>
      </c>
      <c r="E805" s="117" t="inlineStr">
        <is>
          <t>Giường Nội khoa loại 2 - Khoa Chấn thương chỉnh hình</t>
        </is>
      </c>
      <c r="F805" s="272" t="n">
        <v>1</v>
      </c>
      <c r="G805" s="272" t="n">
        <v>222300</v>
      </c>
    </row>
    <row r="806" ht="17.25" customHeight="1" s="248">
      <c r="A806" s="117" t="n">
        <v>798</v>
      </c>
      <c r="B806" s="117" t="inlineStr">
        <is>
          <t>2026/06/15 12:40</t>
        </is>
      </c>
      <c r="C806" s="117" t="inlineStr">
        <is>
          <t>PHAN KIỀU TIÊN</t>
        </is>
      </c>
      <c r="D806" s="117" t="inlineStr">
        <is>
          <t>01/01/1973</t>
        </is>
      </c>
      <c r="E806" s="117" t="inlineStr">
        <is>
          <t>Giường Nội khoa loại 2 - Khoa Chấn thương chỉnh hình</t>
        </is>
      </c>
      <c r="F806" s="272" t="n">
        <v>1</v>
      </c>
      <c r="G806" s="272" t="n">
        <v>222300</v>
      </c>
    </row>
    <row r="807" ht="17.25" customHeight="1" s="248">
      <c r="A807" s="117" t="n">
        <v>799</v>
      </c>
      <c r="B807" s="117" t="inlineStr">
        <is>
          <t>2026/06/15 13:24</t>
        </is>
      </c>
      <c r="C807" s="117" t="inlineStr">
        <is>
          <t>BÙI THỊ THU BA</t>
        </is>
      </c>
      <c r="D807" s="117" t="inlineStr">
        <is>
          <t>01/01/1960</t>
        </is>
      </c>
      <c r="E807" s="117" t="inlineStr">
        <is>
          <t>Giường Nội khoa loại 2 - Khoa Chấn thương chỉnh hình</t>
        </is>
      </c>
      <c r="F807" s="272" t="n">
        <v>1</v>
      </c>
      <c r="G807" s="272" t="n">
        <v>222300</v>
      </c>
    </row>
    <row r="808" ht="17.25" customHeight="1" s="248">
      <c r="A808" s="117" t="n">
        <v>800</v>
      </c>
      <c r="B808" s="117" t="inlineStr">
        <is>
          <t>2026/06/15 14:00</t>
        </is>
      </c>
      <c r="C808" s="117" t="inlineStr">
        <is>
          <t>LÊ THỊ KIM ĐIỂU</t>
        </is>
      </c>
      <c r="D808" s="117" t="inlineStr">
        <is>
          <t>12/12/1958</t>
        </is>
      </c>
      <c r="E808" s="117" t="inlineStr">
        <is>
          <t>Giường Ngoại khoa loại 3 - Khoa Chấn thương chỉnh hình</t>
        </is>
      </c>
      <c r="F808" s="272" t="n">
        <v>1</v>
      </c>
      <c r="G808" s="272" t="n">
        <v>269200</v>
      </c>
    </row>
    <row r="809" ht="17.25" customHeight="1" s="248">
      <c r="A809" s="117" t="n">
        <v>801</v>
      </c>
      <c r="B809" s="117" t="inlineStr">
        <is>
          <t>2026/06/15 16:07</t>
        </is>
      </c>
      <c r="C809" s="117" t="inlineStr">
        <is>
          <t>HUỲNH VĂN CỨ</t>
        </is>
      </c>
      <c r="D809" s="117" t="inlineStr">
        <is>
          <t>01/01/1967</t>
        </is>
      </c>
      <c r="E809" s="117" t="inlineStr">
        <is>
          <t>Giường Nội khoa loại 2 - Khoa Chấn thương chỉnh hình</t>
        </is>
      </c>
      <c r="F809" s="272" t="n">
        <v>1</v>
      </c>
      <c r="G809" s="272" t="n">
        <v>222300</v>
      </c>
    </row>
    <row r="810" ht="17.25" customHeight="1" s="248">
      <c r="A810" s="117" t="n">
        <v>802</v>
      </c>
      <c r="B810" s="117" t="inlineStr">
        <is>
          <t>2026/06/15 17:00</t>
        </is>
      </c>
      <c r="C810" s="117" t="inlineStr">
        <is>
          <t>HUỲNH KIM ĐỒNG</t>
        </is>
      </c>
      <c r="D810" s="117" t="inlineStr">
        <is>
          <t>01/01/1944</t>
        </is>
      </c>
      <c r="E810" s="117" t="inlineStr">
        <is>
          <t>Giường Ngoại khoa loại 2 - Khoa Chấn thương chỉnh hình</t>
        </is>
      </c>
      <c r="F810" s="272" t="n">
        <v>1</v>
      </c>
      <c r="G810" s="272" t="n">
        <v>301600</v>
      </c>
    </row>
    <row r="811" ht="17.25" customHeight="1" s="248">
      <c r="A811" s="117" t="n">
        <v>803</v>
      </c>
      <c r="B811" s="117" t="inlineStr">
        <is>
          <t>2026/06/15 17:16</t>
        </is>
      </c>
      <c r="C811" s="117" t="inlineStr">
        <is>
          <t>VÕ THANH SANG</t>
        </is>
      </c>
      <c r="D811" s="117" t="inlineStr">
        <is>
          <t>03/12/2003</t>
        </is>
      </c>
      <c r="E811" s="117" t="inlineStr">
        <is>
          <t>Giường Nội khoa loại 2 - Khoa Chấn thương chỉnh hình</t>
        </is>
      </c>
      <c r="F811" s="272" t="n">
        <v>1</v>
      </c>
      <c r="G811" s="272" t="n">
        <v>222300</v>
      </c>
    </row>
    <row r="812" ht="17.25" customHeight="1" s="248">
      <c r="A812" s="117" t="n">
        <v>804</v>
      </c>
      <c r="B812" s="117" t="inlineStr">
        <is>
          <t>2026/06/15 18:46</t>
        </is>
      </c>
      <c r="C812" s="117" t="inlineStr">
        <is>
          <t>PHẠM THỊ PHƯƠNG THẢO</t>
        </is>
      </c>
      <c r="D812" s="117" t="inlineStr">
        <is>
          <t>03/06/1998</t>
        </is>
      </c>
      <c r="E812" s="117" t="inlineStr">
        <is>
          <t>Giường Nội khoa loại 2 - Khoa Chấn thương chỉnh hình</t>
        </is>
      </c>
      <c r="F812" s="272" t="n">
        <v>1</v>
      </c>
      <c r="G812" s="272" t="n">
        <v>222300</v>
      </c>
    </row>
    <row r="813" ht="17.25" customHeight="1" s="248">
      <c r="A813" s="117" t="n">
        <v>805</v>
      </c>
      <c r="B813" s="117" t="inlineStr">
        <is>
          <t>2026/06/16 00:00</t>
        </is>
      </c>
      <c r="C813" s="117" t="inlineStr">
        <is>
          <t>BÙI THỊ THU BA</t>
        </is>
      </c>
      <c r="D813" s="117" t="inlineStr">
        <is>
          <t>01/01/1960</t>
        </is>
      </c>
      <c r="E813" s="117" t="inlineStr">
        <is>
          <t>Giường Ngoại khoa loại 3 - Khoa Chấn thương chỉnh hình</t>
        </is>
      </c>
      <c r="F813" s="272" t="n">
        <v>1</v>
      </c>
      <c r="G813" s="272" t="n">
        <v>269200</v>
      </c>
    </row>
    <row r="814" ht="17.25" customHeight="1" s="248">
      <c r="A814" s="117" t="n">
        <v>806</v>
      </c>
      <c r="B814" s="117" t="inlineStr">
        <is>
          <t>2026/06/16 00:00</t>
        </is>
      </c>
      <c r="C814" s="117" t="inlineStr">
        <is>
          <t>CAO HÙNG PHONG</t>
        </is>
      </c>
      <c r="D814" s="117" t="inlineStr">
        <is>
          <t>15/04/1969</t>
        </is>
      </c>
      <c r="E814" s="117" t="inlineStr">
        <is>
          <t>Giường Ngoại khoa loại 1 - Khoa Chấn thương chỉnh hình</t>
        </is>
      </c>
      <c r="F814" s="272" t="n">
        <v>1</v>
      </c>
      <c r="G814" s="272" t="n">
        <v>341800</v>
      </c>
    </row>
    <row r="815" ht="17.25" customHeight="1" s="248">
      <c r="A815" s="117" t="n">
        <v>807</v>
      </c>
      <c r="B815" s="117" t="inlineStr">
        <is>
          <t>2026/06/16 00:00</t>
        </is>
      </c>
      <c r="C815" s="117" t="inlineStr">
        <is>
          <t>CAO KIỀU DUYÊN</t>
        </is>
      </c>
      <c r="D815" s="117" t="inlineStr">
        <is>
          <t>12/06/1991</t>
        </is>
      </c>
      <c r="E815" s="117" t="inlineStr">
        <is>
          <t>Giường Ngoại khoa loại 1 - Khoa Chấn thương chỉnh hình</t>
        </is>
      </c>
      <c r="F815" s="272" t="n">
        <v>1</v>
      </c>
      <c r="G815" s="272" t="n">
        <v>341800</v>
      </c>
    </row>
    <row r="816" ht="17.25" customHeight="1" s="248">
      <c r="A816" s="117" t="n">
        <v>808</v>
      </c>
      <c r="B816" s="117" t="inlineStr">
        <is>
          <t>2026/06/16 00:00</t>
        </is>
      </c>
      <c r="C816" s="117" t="inlineStr">
        <is>
          <t>CAO THỊ BẢY</t>
        </is>
      </c>
      <c r="D816" s="117" t="inlineStr">
        <is>
          <t>09/10/1941</t>
        </is>
      </c>
      <c r="E816" s="117" t="inlineStr">
        <is>
          <t>Giường Ngoại khoa loại 2 - Khoa Chấn thương chỉnh hình</t>
        </is>
      </c>
      <c r="F816" s="272" t="n">
        <v>1</v>
      </c>
      <c r="G816" s="272" t="n">
        <v>301600</v>
      </c>
    </row>
    <row r="817" ht="17.25" customHeight="1" s="248">
      <c r="A817" s="117" t="n">
        <v>809</v>
      </c>
      <c r="B817" s="117" t="inlineStr">
        <is>
          <t>2026/06/16 00:00</t>
        </is>
      </c>
      <c r="C817" s="117" t="inlineStr">
        <is>
          <t>CHIÊM THỊ NHÀN</t>
        </is>
      </c>
      <c r="D817" s="117" t="inlineStr">
        <is>
          <t>01/01/1953</t>
        </is>
      </c>
      <c r="E817" s="117" t="inlineStr">
        <is>
          <t>Giường Ngoại khoa loại 1 - Khoa Chấn thương chỉnh hình</t>
        </is>
      </c>
      <c r="F817" s="272" t="n">
        <v>1</v>
      </c>
      <c r="G817" s="272" t="n">
        <v>341800</v>
      </c>
    </row>
    <row r="818" ht="17.25" customHeight="1" s="248">
      <c r="A818" s="117" t="n">
        <v>810</v>
      </c>
      <c r="B818" s="117" t="inlineStr">
        <is>
          <t>2026/06/16 00:00</t>
        </is>
      </c>
      <c r="C818" s="117" t="inlineStr">
        <is>
          <t>HOÀNG TUẤN ANH</t>
        </is>
      </c>
      <c r="D818" s="117" t="inlineStr">
        <is>
          <t>07/12/1982</t>
        </is>
      </c>
      <c r="E818" s="117" t="inlineStr">
        <is>
          <t>Giường Ngoại khoa loại 1 - Khoa Chấn thương chỉnh hình</t>
        </is>
      </c>
      <c r="F818" s="272" t="n">
        <v>1</v>
      </c>
      <c r="G818" s="272" t="n">
        <v>341800</v>
      </c>
    </row>
    <row r="819" ht="17.25" customHeight="1" s="248">
      <c r="A819" s="117" t="n">
        <v>811</v>
      </c>
      <c r="B819" s="117" t="inlineStr">
        <is>
          <t>2026/06/16 00:00</t>
        </is>
      </c>
      <c r="C819" s="117" t="inlineStr">
        <is>
          <t>HUỲNH NGỌC SƯƠNG</t>
        </is>
      </c>
      <c r="D819" s="117" t="inlineStr">
        <is>
          <t>05/05/1954</t>
        </is>
      </c>
      <c r="E819" s="117" t="inlineStr">
        <is>
          <t>Giường Ngoại khoa loại 1 - Khoa Chấn thương chỉnh hình</t>
        </is>
      </c>
      <c r="F819" s="272" t="n">
        <v>1</v>
      </c>
      <c r="G819" s="272" t="n">
        <v>341800</v>
      </c>
    </row>
    <row r="820" ht="17.25" customHeight="1" s="248">
      <c r="A820" s="117" t="n">
        <v>812</v>
      </c>
      <c r="B820" s="117" t="inlineStr">
        <is>
          <t>2026/06/16 00:00</t>
        </is>
      </c>
      <c r="C820" s="117" t="inlineStr">
        <is>
          <t>HUỲNH VĂN CỨ</t>
        </is>
      </c>
      <c r="D820" s="117" t="inlineStr">
        <is>
          <t>01/01/1967</t>
        </is>
      </c>
      <c r="E820" s="117" t="inlineStr">
        <is>
          <t>Giường Nội khoa loại 2 - Khoa Chấn thương chỉnh hình</t>
        </is>
      </c>
      <c r="F820" s="272" t="n">
        <v>1</v>
      </c>
      <c r="G820" s="272" t="n">
        <v>222300</v>
      </c>
    </row>
    <row r="821" ht="17.25" customHeight="1" s="248">
      <c r="A821" s="117" t="n">
        <v>813</v>
      </c>
      <c r="B821" s="117" t="inlineStr">
        <is>
          <t>2026/06/16 00:00</t>
        </is>
      </c>
      <c r="C821" s="117" t="inlineStr">
        <is>
          <t>LÊ THÀNH ĐẠT</t>
        </is>
      </c>
      <c r="D821" s="117" t="inlineStr">
        <is>
          <t>06/11/1975</t>
        </is>
      </c>
      <c r="E821" s="117" t="inlineStr">
        <is>
          <t>Giường Ngoại khoa loại 1 - Khoa Chấn thương chỉnh hình</t>
        </is>
      </c>
      <c r="F821" s="272" t="n">
        <v>1</v>
      </c>
      <c r="G821" s="272" t="n">
        <v>341800</v>
      </c>
    </row>
    <row r="822" ht="17.25" customHeight="1" s="248">
      <c r="A822" s="117" t="n">
        <v>814</v>
      </c>
      <c r="B822" s="117" t="inlineStr">
        <is>
          <t>2026/06/16 00:00</t>
        </is>
      </c>
      <c r="C822" s="117" t="inlineStr">
        <is>
          <t>LÊ THỊ CẨM VÂN</t>
        </is>
      </c>
      <c r="D822" s="117" t="inlineStr">
        <is>
          <t>20/05/1985</t>
        </is>
      </c>
      <c r="E822" s="117" t="inlineStr">
        <is>
          <t>Giường Nội khoa loại 2 - Khoa Chấn thương chỉnh hình</t>
        </is>
      </c>
      <c r="F822" s="272" t="n">
        <v>1</v>
      </c>
      <c r="G822" s="272" t="n">
        <v>222300</v>
      </c>
    </row>
    <row r="823" ht="17.25" customHeight="1" s="248">
      <c r="A823" s="117" t="n">
        <v>815</v>
      </c>
      <c r="B823" s="117" t="inlineStr">
        <is>
          <t>2026/06/16 00:00</t>
        </is>
      </c>
      <c r="C823" s="117" t="inlineStr">
        <is>
          <t>LÊ THỊ KIM TUYỀN</t>
        </is>
      </c>
      <c r="D823" s="117" t="inlineStr">
        <is>
          <t>01/01/1968</t>
        </is>
      </c>
      <c r="E823" s="117" t="inlineStr">
        <is>
          <t>Giường Nội khoa loại 2 - Khoa Chấn thương chỉnh hình</t>
        </is>
      </c>
      <c r="F823" s="272" t="n">
        <v>1</v>
      </c>
      <c r="G823" s="272" t="n">
        <v>222300</v>
      </c>
    </row>
    <row r="824" ht="17.25" customHeight="1" s="248">
      <c r="A824" s="117" t="n">
        <v>816</v>
      </c>
      <c r="B824" s="117" t="inlineStr">
        <is>
          <t>2026/06/16 00:00</t>
        </is>
      </c>
      <c r="C824" s="117" t="inlineStr">
        <is>
          <t>LÊ THỊ KIM ĐIỂU</t>
        </is>
      </c>
      <c r="D824" s="117" t="inlineStr">
        <is>
          <t>12/12/1958</t>
        </is>
      </c>
      <c r="E824" s="117" t="inlineStr">
        <is>
          <t>Giường Ngoại khoa loại 3 - Khoa Chấn thương chỉnh hình</t>
        </is>
      </c>
      <c r="F824" s="272" t="n">
        <v>1</v>
      </c>
      <c r="G824" s="272" t="n">
        <v>269200</v>
      </c>
    </row>
    <row r="825" ht="17.25" customHeight="1" s="248">
      <c r="A825" s="117" t="n">
        <v>817</v>
      </c>
      <c r="B825" s="117" t="inlineStr">
        <is>
          <t>2026/06/16 00:00</t>
        </is>
      </c>
      <c r="C825" s="117" t="inlineStr">
        <is>
          <t>LÊ THỊ LỆ</t>
        </is>
      </c>
      <c r="D825" s="117" t="inlineStr">
        <is>
          <t>01/01/1957</t>
        </is>
      </c>
      <c r="E825" s="117" t="inlineStr">
        <is>
          <t>Giường Nội khoa loại 2 - Khoa Chấn thương chỉnh hình</t>
        </is>
      </c>
      <c r="F825" s="272" t="n">
        <v>1</v>
      </c>
      <c r="G825" s="272" t="n">
        <v>222300</v>
      </c>
    </row>
    <row r="826" ht="17.25" customHeight="1" s="248">
      <c r="A826" s="117" t="n">
        <v>818</v>
      </c>
      <c r="B826" s="117" t="inlineStr">
        <is>
          <t>2026/06/16 00:00</t>
        </is>
      </c>
      <c r="C826" s="117" t="inlineStr">
        <is>
          <t>LÊ THỊ THU</t>
        </is>
      </c>
      <c r="D826" s="117" t="inlineStr">
        <is>
          <t>07/12/1965</t>
        </is>
      </c>
      <c r="E826" s="117" t="inlineStr">
        <is>
          <t>Giường Nội khoa loại 2 - Khoa Chấn thương chỉnh hình</t>
        </is>
      </c>
      <c r="F826" s="272" t="n">
        <v>1</v>
      </c>
      <c r="G826" s="272" t="n">
        <v>222300</v>
      </c>
    </row>
    <row r="827" ht="17.25" customHeight="1" s="248">
      <c r="A827" s="117" t="n">
        <v>819</v>
      </c>
      <c r="B827" s="117" t="inlineStr">
        <is>
          <t>2026/06/16 00:00</t>
        </is>
      </c>
      <c r="C827" s="117" t="inlineStr">
        <is>
          <t>LÊ VĂN LANH</t>
        </is>
      </c>
      <c r="D827" s="117" t="inlineStr">
        <is>
          <t>01/01/1953</t>
        </is>
      </c>
      <c r="E827" s="117" t="inlineStr">
        <is>
          <t>Giường Nội khoa loại 2 - Khoa Chấn thương chỉnh hình</t>
        </is>
      </c>
      <c r="F827" s="272" t="n">
        <v>1</v>
      </c>
      <c r="G827" s="272" t="n">
        <v>222300</v>
      </c>
    </row>
    <row r="828" ht="17.25" customHeight="1" s="248">
      <c r="A828" s="117" t="n">
        <v>820</v>
      </c>
      <c r="B828" s="117" t="inlineStr">
        <is>
          <t>2026/06/16 00:00</t>
        </is>
      </c>
      <c r="C828" s="117" t="inlineStr">
        <is>
          <t>LƯU THỊ MỸ</t>
        </is>
      </c>
      <c r="D828" s="117" t="inlineStr">
        <is>
          <t>01/01/1962</t>
        </is>
      </c>
      <c r="E828" s="117" t="inlineStr">
        <is>
          <t>Giường Nội khoa loại 2 - Khoa Chấn thương chỉnh hình</t>
        </is>
      </c>
      <c r="F828" s="272" t="n">
        <v>1</v>
      </c>
      <c r="G828" s="272" t="n">
        <v>222300</v>
      </c>
    </row>
    <row r="829" ht="17.25" customHeight="1" s="248">
      <c r="A829" s="117" t="n">
        <v>821</v>
      </c>
      <c r="B829" s="117" t="inlineStr">
        <is>
          <t>2026/06/16 00:00</t>
        </is>
      </c>
      <c r="C829" s="117" t="inlineStr">
        <is>
          <t>MAI THÀNH DƯƠNG</t>
        </is>
      </c>
      <c r="D829" s="117" t="inlineStr">
        <is>
          <t>10/04/1964</t>
        </is>
      </c>
      <c r="E829" s="117" t="inlineStr">
        <is>
          <t>Giường Nội khoa loại 2 - Khoa Chấn thương chỉnh hình</t>
        </is>
      </c>
      <c r="F829" s="272" t="n">
        <v>1</v>
      </c>
      <c r="G829" s="272" t="n">
        <v>222300</v>
      </c>
    </row>
    <row r="830" ht="17.25" customHeight="1" s="248">
      <c r="A830" s="117" t="n">
        <v>822</v>
      </c>
      <c r="B830" s="117" t="inlineStr">
        <is>
          <t>2026/06/16 00:00</t>
        </is>
      </c>
      <c r="C830" s="117" t="inlineStr">
        <is>
          <t>NGUYỄN MINH NHỰT</t>
        </is>
      </c>
      <c r="D830" s="117" t="inlineStr">
        <is>
          <t>10/06/1988</t>
        </is>
      </c>
      <c r="E830" s="117" t="inlineStr">
        <is>
          <t>Giường Ngoại khoa loại 1 - Khoa Chấn thương chỉnh hình</t>
        </is>
      </c>
      <c r="F830" s="272" t="n">
        <v>1</v>
      </c>
      <c r="G830" s="272" t="n">
        <v>170900</v>
      </c>
    </row>
    <row r="831" ht="17.25" customHeight="1" s="248">
      <c r="A831" s="117" t="n">
        <v>823</v>
      </c>
      <c r="B831" s="117" t="inlineStr">
        <is>
          <t>2026/06/16 00:00</t>
        </is>
      </c>
      <c r="C831" s="117" t="inlineStr">
        <is>
          <t>NGUYỄN THỊ MƯỜI</t>
        </is>
      </c>
      <c r="D831" s="117" t="inlineStr">
        <is>
          <t>01/01/1951</t>
        </is>
      </c>
      <c r="E831" s="117" t="inlineStr">
        <is>
          <t>Giường Ngoại khoa loại 1 - Khoa Chấn thương chỉnh hình</t>
        </is>
      </c>
      <c r="F831" s="272" t="n">
        <v>1</v>
      </c>
      <c r="G831" s="272" t="n">
        <v>341800</v>
      </c>
    </row>
    <row r="832" ht="17.25" customHeight="1" s="248">
      <c r="A832" s="117" t="n">
        <v>824</v>
      </c>
      <c r="B832" s="117" t="inlineStr">
        <is>
          <t>2026/06/16 00:00</t>
        </is>
      </c>
      <c r="C832" s="117" t="inlineStr">
        <is>
          <t>NGUYỄN THỊ NGỌC DUYÊN</t>
        </is>
      </c>
      <c r="D832" s="117" t="inlineStr">
        <is>
          <t>01/02/1971</t>
        </is>
      </c>
      <c r="E832" s="117" t="inlineStr">
        <is>
          <t>Giường Ngoại khoa loại 1 - Khoa Chấn thương chỉnh hình</t>
        </is>
      </c>
      <c r="F832" s="272" t="n">
        <v>1</v>
      </c>
      <c r="G832" s="272" t="n">
        <v>341800</v>
      </c>
    </row>
    <row r="833" ht="17.25" customHeight="1" s="248">
      <c r="A833" s="117" t="n">
        <v>825</v>
      </c>
      <c r="B833" s="117" t="inlineStr">
        <is>
          <t>2026/06/16 00:00</t>
        </is>
      </c>
      <c r="C833" s="117" t="inlineStr">
        <is>
          <t>PHAN KIỀU TIÊN</t>
        </is>
      </c>
      <c r="D833" s="117" t="inlineStr">
        <is>
          <t>01/01/1973</t>
        </is>
      </c>
      <c r="E833" s="117" t="inlineStr">
        <is>
          <t>Giường Nội khoa loại 2 - Khoa Chấn thương chỉnh hình</t>
        </is>
      </c>
      <c r="F833" s="272" t="n">
        <v>1</v>
      </c>
      <c r="G833" s="272" t="n">
        <v>222300</v>
      </c>
    </row>
    <row r="834" ht="17.25" customHeight="1" s="248">
      <c r="A834" s="117" t="n">
        <v>826</v>
      </c>
      <c r="B834" s="117" t="inlineStr">
        <is>
          <t>2026/06/16 00:00</t>
        </is>
      </c>
      <c r="C834" s="117" t="inlineStr">
        <is>
          <t>PHAN VĂN ĐƯỢC</t>
        </is>
      </c>
      <c r="D834" s="117" t="inlineStr">
        <is>
          <t>01/01/1934</t>
        </is>
      </c>
      <c r="E834" s="117" t="inlineStr">
        <is>
          <t>Giường Nội khoa loại 2 - Khoa Chấn thương chỉnh hình</t>
        </is>
      </c>
      <c r="F834" s="272" t="n">
        <v>1</v>
      </c>
      <c r="G834" s="272" t="n">
        <v>222300</v>
      </c>
    </row>
    <row r="835" ht="17.25" customHeight="1" s="248">
      <c r="A835" s="117" t="n">
        <v>827</v>
      </c>
      <c r="B835" s="117" t="inlineStr">
        <is>
          <t>2026/06/16 00:00</t>
        </is>
      </c>
      <c r="C835" s="117" t="inlineStr">
        <is>
          <t>PHẠM THỊ DUNG</t>
        </is>
      </c>
      <c r="D835" s="117" t="inlineStr">
        <is>
          <t>01/01/1968</t>
        </is>
      </c>
      <c r="E835" s="117" t="inlineStr">
        <is>
          <t>Giường Nội khoa loại 2 - Khoa Chấn thương chỉnh hình</t>
        </is>
      </c>
      <c r="F835" s="272" t="n">
        <v>1</v>
      </c>
      <c r="G835" s="272" t="n">
        <v>222300</v>
      </c>
    </row>
    <row r="836" ht="17.25" customHeight="1" s="248">
      <c r="A836" s="117" t="n">
        <v>828</v>
      </c>
      <c r="B836" s="117" t="inlineStr">
        <is>
          <t>2026/06/16 00:00</t>
        </is>
      </c>
      <c r="C836" s="117" t="inlineStr">
        <is>
          <t>TRIỆU CẨM THU</t>
        </is>
      </c>
      <c r="D836" s="117" t="inlineStr">
        <is>
          <t>27/03/1973</t>
        </is>
      </c>
      <c r="E836" s="117" t="inlineStr">
        <is>
          <t>Giường Ngoại khoa loại 1 - Khoa Chấn thương chỉnh hình</t>
        </is>
      </c>
      <c r="F836" s="272" t="n">
        <v>1</v>
      </c>
      <c r="G836" s="272" t="n">
        <v>341800</v>
      </c>
    </row>
    <row r="837" ht="17.25" customHeight="1" s="248">
      <c r="A837" s="117" t="n">
        <v>829</v>
      </c>
      <c r="B837" s="117" t="inlineStr">
        <is>
          <t>2026/06/16 00:00</t>
        </is>
      </c>
      <c r="C837" s="117" t="inlineStr">
        <is>
          <t>TRẦN THỊ MỘNG THẮM</t>
        </is>
      </c>
      <c r="D837" s="117" t="inlineStr">
        <is>
          <t>01/01/1970</t>
        </is>
      </c>
      <c r="E837" s="117" t="inlineStr">
        <is>
          <t>Giường Ngoại khoa loại 1 - Khoa Chấn thương chỉnh hình</t>
        </is>
      </c>
      <c r="F837" s="272" t="n">
        <v>1</v>
      </c>
      <c r="G837" s="272" t="n">
        <v>341800</v>
      </c>
    </row>
    <row r="838" ht="17.25" customHeight="1" s="248">
      <c r="A838" s="117" t="n">
        <v>830</v>
      </c>
      <c r="B838" s="117" t="inlineStr">
        <is>
          <t>2026/06/16 00:00</t>
        </is>
      </c>
      <c r="C838" s="117" t="inlineStr">
        <is>
          <t>VÕ THANH SANG</t>
        </is>
      </c>
      <c r="D838" s="117" t="inlineStr">
        <is>
          <t>03/12/2003</t>
        </is>
      </c>
      <c r="E838" s="117" t="inlineStr">
        <is>
          <t>Giường Nội khoa loại 2 - Khoa Chấn thương chỉnh hình</t>
        </is>
      </c>
      <c r="F838" s="272" t="n">
        <v>1</v>
      </c>
      <c r="G838" s="272" t="n">
        <v>222300</v>
      </c>
    </row>
    <row r="839" ht="17.25" customHeight="1" s="248">
      <c r="A839" s="117" t="n">
        <v>831</v>
      </c>
      <c r="B839" s="117" t="inlineStr">
        <is>
          <t>2026/06/16 00:00</t>
        </is>
      </c>
      <c r="C839" s="117" t="inlineStr">
        <is>
          <t>VÕ THANH TÂN</t>
        </is>
      </c>
      <c r="D839" s="117" t="inlineStr">
        <is>
          <t>29/06/1996</t>
        </is>
      </c>
      <c r="E839" s="117" t="inlineStr">
        <is>
          <t>Giường Nội khoa loại 2 - Khoa Chấn thương chỉnh hình</t>
        </is>
      </c>
      <c r="F839" s="272" t="n">
        <v>1</v>
      </c>
      <c r="G839" s="272" t="n">
        <v>222300</v>
      </c>
    </row>
    <row r="840" ht="17.25" customHeight="1" s="248">
      <c r="A840" s="117" t="n">
        <v>832</v>
      </c>
      <c r="B840" s="117" t="inlineStr">
        <is>
          <t>2026/06/16 00:00</t>
        </is>
      </c>
      <c r="C840" s="117" t="inlineStr">
        <is>
          <t>VÕ THỊ THE</t>
        </is>
      </c>
      <c r="D840" s="117" t="inlineStr">
        <is>
          <t>01/01/1963</t>
        </is>
      </c>
      <c r="E840" s="117" t="inlineStr">
        <is>
          <t>Giường Nội khoa loại 2 - Khoa Chấn thương chỉnh hình</t>
        </is>
      </c>
      <c r="F840" s="272" t="n">
        <v>1</v>
      </c>
      <c r="G840" s="272" t="n">
        <v>222300</v>
      </c>
    </row>
    <row r="841" ht="17.25" customHeight="1" s="248">
      <c r="A841" s="117" t="n">
        <v>833</v>
      </c>
      <c r="B841" s="117" t="inlineStr">
        <is>
          <t>2026/06/16 00:00</t>
        </is>
      </c>
      <c r="C841" s="117" t="inlineStr">
        <is>
          <t>ĐINH THỊ THI</t>
        </is>
      </c>
      <c r="D841" s="117" t="inlineStr">
        <is>
          <t>01/01/1971</t>
        </is>
      </c>
      <c r="E841" s="117" t="inlineStr">
        <is>
          <t>Giường Ngoại khoa loại 1 - Khoa Chấn thương chỉnh hình</t>
        </is>
      </c>
      <c r="F841" s="272" t="n">
        <v>1</v>
      </c>
      <c r="G841" s="272" t="n">
        <v>341800</v>
      </c>
    </row>
    <row r="842" ht="17.25" customHeight="1" s="248">
      <c r="A842" s="117" t="n">
        <v>834</v>
      </c>
      <c r="B842" s="117" t="inlineStr">
        <is>
          <t>2026/06/16 00:00</t>
        </is>
      </c>
      <c r="C842" s="117" t="inlineStr">
        <is>
          <t>ĐẶNG THỊ XOE</t>
        </is>
      </c>
      <c r="D842" s="117" t="inlineStr">
        <is>
          <t>01/01/1936</t>
        </is>
      </c>
      <c r="E842" s="117" t="inlineStr">
        <is>
          <t>Giường Ngoại khoa loại 2 - Khoa Chấn thương chỉnh hình</t>
        </is>
      </c>
      <c r="F842" s="272" t="n">
        <v>1</v>
      </c>
      <c r="G842" s="272" t="n">
        <v>301600</v>
      </c>
    </row>
    <row r="843" ht="17.25" customHeight="1" s="248">
      <c r="A843" s="117" t="n">
        <v>835</v>
      </c>
      <c r="B843" s="117" t="inlineStr">
        <is>
          <t>2026/06/16 00:00</t>
        </is>
      </c>
      <c r="C843" s="117" t="inlineStr">
        <is>
          <t>ĐẶNG TÔN THỊNH</t>
        </is>
      </c>
      <c r="D843" s="117" t="inlineStr">
        <is>
          <t>03/02/1983</t>
        </is>
      </c>
      <c r="E843" s="117" t="inlineStr">
        <is>
          <t>Giường Ngoại khoa loại 2 - Khoa Chấn thương chỉnh hình</t>
        </is>
      </c>
      <c r="F843" s="272" t="n">
        <v>1</v>
      </c>
      <c r="G843" s="272" t="n">
        <v>301600</v>
      </c>
    </row>
    <row r="844" ht="17.25" customHeight="1" s="248">
      <c r="A844" s="117" t="n">
        <v>836</v>
      </c>
      <c r="B844" s="117" t="inlineStr">
        <is>
          <t>2026/06/16 00:00</t>
        </is>
      </c>
      <c r="C844" s="117" t="inlineStr">
        <is>
          <t>ĐỖ THỊ PHƯƠNG MAI</t>
        </is>
      </c>
      <c r="D844" s="117" t="inlineStr">
        <is>
          <t>23/04/1980</t>
        </is>
      </c>
      <c r="E844" s="117" t="inlineStr">
        <is>
          <t>Giường Ngoại khoa loại 3 - Khoa Chấn thương chỉnh hình</t>
        </is>
      </c>
      <c r="F844" s="272" t="n">
        <v>1</v>
      </c>
      <c r="G844" s="272" t="n">
        <v>269200</v>
      </c>
    </row>
    <row r="845" ht="17.25" customHeight="1" s="248">
      <c r="A845" s="117" t="n">
        <v>837</v>
      </c>
      <c r="B845" s="117" t="inlineStr">
        <is>
          <t>2026/06/16 00:00</t>
        </is>
      </c>
      <c r="C845" s="117" t="inlineStr">
        <is>
          <t>CHÂU THỊ A</t>
        </is>
      </c>
      <c r="D845" s="117" t="inlineStr">
        <is>
          <t>01/01/1958</t>
        </is>
      </c>
      <c r="E845" s="117" t="inlineStr">
        <is>
          <t>Giường Ngoại khoa loại 3 - Khoa Chấn thương chỉnh hình</t>
        </is>
      </c>
      <c r="F845" s="272" t="n">
        <v>1</v>
      </c>
      <c r="G845" s="272" t="n">
        <v>269200</v>
      </c>
    </row>
    <row r="846" ht="17.25" customHeight="1" s="248">
      <c r="A846" s="117" t="n">
        <v>838</v>
      </c>
      <c r="B846" s="117" t="inlineStr">
        <is>
          <t>2026/06/16 00:00</t>
        </is>
      </c>
      <c r="C846" s="117" t="inlineStr">
        <is>
          <t>HUỲNH KIM ĐỒNG</t>
        </is>
      </c>
      <c r="D846" s="117" t="inlineStr">
        <is>
          <t>01/01/1944</t>
        </is>
      </c>
      <c r="E846" s="117" t="inlineStr">
        <is>
          <t>Giường Ngoại khoa loại 2 - Khoa Chấn thương chỉnh hình</t>
        </is>
      </c>
      <c r="F846" s="272" t="n">
        <v>1</v>
      </c>
      <c r="G846" s="272" t="n">
        <v>301600</v>
      </c>
    </row>
    <row r="847" ht="17.25" customHeight="1" s="248">
      <c r="A847" s="117" t="n">
        <v>839</v>
      </c>
      <c r="B847" s="117" t="inlineStr">
        <is>
          <t>2026/06/16 08:42</t>
        </is>
      </c>
      <c r="C847" s="117" t="inlineStr">
        <is>
          <t>NGUYỄN THỊ KIỀU LOAN</t>
        </is>
      </c>
      <c r="D847" s="117" t="inlineStr">
        <is>
          <t>01/01/1970</t>
        </is>
      </c>
      <c r="E847" s="117" t="inlineStr">
        <is>
          <t>Giường Nội khoa loại 2 - Khoa Chấn thương chỉnh hình</t>
        </is>
      </c>
      <c r="F847" s="272" t="n">
        <v>1</v>
      </c>
      <c r="G847" s="272" t="n">
        <v>222300</v>
      </c>
    </row>
    <row r="848" ht="17.25" customHeight="1" s="248">
      <c r="A848" s="117" t="n">
        <v>840</v>
      </c>
      <c r="B848" s="117" t="inlineStr">
        <is>
          <t>2026/06/16 08:54</t>
        </is>
      </c>
      <c r="C848" s="117" t="inlineStr">
        <is>
          <t>TRẦN THỊ BÉ BA</t>
        </is>
      </c>
      <c r="D848" s="117" t="inlineStr">
        <is>
          <t>01/01/1966</t>
        </is>
      </c>
      <c r="E848" s="117" t="inlineStr">
        <is>
          <t>Giường Nội khoa loại 2 - Khoa Chấn thương chỉnh hình</t>
        </is>
      </c>
      <c r="F848" s="272" t="n">
        <v>1</v>
      </c>
      <c r="G848" s="272" t="n">
        <v>222300</v>
      </c>
    </row>
    <row r="849" ht="17.25" customHeight="1" s="248">
      <c r="A849" s="117" t="n">
        <v>841</v>
      </c>
      <c r="B849" s="117" t="inlineStr">
        <is>
          <t>2026/06/16 09:19</t>
        </is>
      </c>
      <c r="C849" s="117" t="inlineStr">
        <is>
          <t>LÊ DUY HÙNG</t>
        </is>
      </c>
      <c r="D849" s="117" t="inlineStr">
        <is>
          <t>19/05/1978</t>
        </is>
      </c>
      <c r="E849" s="117" t="inlineStr">
        <is>
          <t>Giường Nội khoa loại 2 - Khoa Chấn thương chỉnh hình</t>
        </is>
      </c>
      <c r="F849" s="272" t="n">
        <v>1</v>
      </c>
      <c r="G849" s="272" t="n">
        <v>250000</v>
      </c>
    </row>
    <row r="850" ht="17.25" customHeight="1" s="248">
      <c r="A850" s="117" t="n">
        <v>842</v>
      </c>
      <c r="B850" s="117" t="inlineStr">
        <is>
          <t>2026/06/16 10:38</t>
        </is>
      </c>
      <c r="C850" s="117" t="inlineStr">
        <is>
          <t>TRẦN THANH TUYỀN</t>
        </is>
      </c>
      <c r="D850" s="117" t="inlineStr">
        <is>
          <t>05/05/1988</t>
        </is>
      </c>
      <c r="E850" s="117" t="inlineStr">
        <is>
          <t>Giường Nội khoa loại 2 - Khoa Chấn thương chỉnh hình</t>
        </is>
      </c>
      <c r="F850" s="272" t="n">
        <v>1</v>
      </c>
      <c r="G850" s="272" t="n">
        <v>222300</v>
      </c>
    </row>
    <row r="851" ht="17.25" customHeight="1" s="248">
      <c r="A851" s="117" t="n">
        <v>843</v>
      </c>
      <c r="B851" s="117" t="inlineStr">
        <is>
          <t>2026/06/16 11:20</t>
        </is>
      </c>
      <c r="C851" s="117" t="inlineStr">
        <is>
          <t>TÔ VĂN THIỆN</t>
        </is>
      </c>
      <c r="D851" s="117" t="inlineStr">
        <is>
          <t>01/01/1963</t>
        </is>
      </c>
      <c r="E851" s="117" t="inlineStr">
        <is>
          <t>Giường Nội khoa loại 2 - Khoa Chấn thương chỉnh hình</t>
        </is>
      </c>
      <c r="F851" s="272" t="n">
        <v>1</v>
      </c>
      <c r="G851" s="272" t="n">
        <v>222300</v>
      </c>
    </row>
    <row r="852" ht="17.25" customHeight="1" s="248">
      <c r="A852" s="117" t="n">
        <v>844</v>
      </c>
      <c r="B852" s="117" t="inlineStr">
        <is>
          <t>2026/06/16 13:53</t>
        </is>
      </c>
      <c r="C852" s="117" t="inlineStr">
        <is>
          <t>HỒ THỊ HOÀNG</t>
        </is>
      </c>
      <c r="D852" s="117" t="inlineStr">
        <is>
          <t>08/08/1963</t>
        </is>
      </c>
      <c r="E852" s="117" t="inlineStr">
        <is>
          <t>Giường Nội khoa loại 2 - Khoa Chấn thương chỉnh hình</t>
        </is>
      </c>
      <c r="F852" s="272" t="n">
        <v>1</v>
      </c>
      <c r="G852" s="272" t="n">
        <v>222300</v>
      </c>
    </row>
    <row r="853" ht="17.25" customHeight="1" s="248">
      <c r="A853" s="117" t="n">
        <v>845</v>
      </c>
      <c r="B853" s="117" t="inlineStr">
        <is>
          <t>2026/06/16 14:00</t>
        </is>
      </c>
      <c r="C853" s="117" t="inlineStr">
        <is>
          <t>NGUYỄN THỊ NGỌC ĐIỆP</t>
        </is>
      </c>
      <c r="D853" s="117" t="inlineStr">
        <is>
          <t>20/08/1973</t>
        </is>
      </c>
      <c r="E853" s="117" t="inlineStr">
        <is>
          <t>Giường Ngoại khoa loại 1 - Khoa Chấn thương chỉnh hình</t>
        </is>
      </c>
      <c r="F853" s="272" t="n">
        <v>1</v>
      </c>
      <c r="G853" s="272" t="n">
        <v>341800</v>
      </c>
    </row>
    <row r="854" ht="17.25" customHeight="1" s="248">
      <c r="A854" s="117" t="n">
        <v>846</v>
      </c>
      <c r="B854" s="117" t="inlineStr">
        <is>
          <t>2026/06/16 14:00</t>
        </is>
      </c>
      <c r="C854" s="117" t="inlineStr">
        <is>
          <t>TIÊU QUỐC TOÀN</t>
        </is>
      </c>
      <c r="D854" s="117" t="inlineStr">
        <is>
          <t>29/12/2004</t>
        </is>
      </c>
      <c r="E854" s="117" t="inlineStr">
        <is>
          <t>Giường Ngoại khoa loại 1 - Khoa Chấn thương chỉnh hình</t>
        </is>
      </c>
      <c r="F854" s="272" t="n">
        <v>1</v>
      </c>
      <c r="G854" s="272" t="n">
        <v>341800</v>
      </c>
    </row>
    <row r="855" ht="17.25" customHeight="1" s="248">
      <c r="A855" s="117" t="n">
        <v>847</v>
      </c>
      <c r="B855" s="117" t="inlineStr">
        <is>
          <t>2026/06/16 14:12</t>
        </is>
      </c>
      <c r="C855" s="117" t="inlineStr">
        <is>
          <t>LÊ THỊ QUEN</t>
        </is>
      </c>
      <c r="D855" s="117" t="inlineStr">
        <is>
          <t>01/01/1956</t>
        </is>
      </c>
      <c r="E855" s="117" t="inlineStr">
        <is>
          <t>Giường Nội khoa loại 2 - Khoa Chấn thương chỉnh hình</t>
        </is>
      </c>
      <c r="F855" s="272" t="n">
        <v>1</v>
      </c>
      <c r="G855" s="272" t="n">
        <v>222300</v>
      </c>
    </row>
    <row r="856" ht="17.25" customHeight="1" s="248">
      <c r="A856" s="117" t="n">
        <v>848</v>
      </c>
      <c r="B856" s="117" t="inlineStr">
        <is>
          <t>2026/06/16 19:00</t>
        </is>
      </c>
      <c r="C856" s="117" t="inlineStr">
        <is>
          <t>HỒ VĂN DÃ</t>
        </is>
      </c>
      <c r="D856" s="117" t="inlineStr">
        <is>
          <t>21/12/1976</t>
        </is>
      </c>
      <c r="E856" s="117" t="inlineStr">
        <is>
          <t>Giường Ngoại khoa loại 1 - Khoa Chấn thương chỉnh hình</t>
        </is>
      </c>
      <c r="F856" s="272" t="n">
        <v>1</v>
      </c>
      <c r="G856" s="272" t="n">
        <v>341800</v>
      </c>
    </row>
    <row r="857" ht="17.25" customHeight="1" s="248">
      <c r="A857" s="117" t="n">
        <v>849</v>
      </c>
      <c r="B857" s="117" t="inlineStr">
        <is>
          <t>2026/06/17 00:00</t>
        </is>
      </c>
      <c r="C857" s="117" t="inlineStr">
        <is>
          <t>BÙI THỊ THU BA</t>
        </is>
      </c>
      <c r="D857" s="117" t="inlineStr">
        <is>
          <t>01/01/1960</t>
        </is>
      </c>
      <c r="E857" s="117" t="inlineStr">
        <is>
          <t>Giường Ngoại khoa loại 3 - Khoa Chấn thương chỉnh hình</t>
        </is>
      </c>
      <c r="F857" s="272" t="n">
        <v>1</v>
      </c>
      <c r="G857" s="272" t="n">
        <v>269200</v>
      </c>
    </row>
    <row r="858" ht="17.25" customHeight="1" s="248">
      <c r="A858" s="117" t="n">
        <v>850</v>
      </c>
      <c r="B858" s="117" t="inlineStr">
        <is>
          <t>2026/06/17 00:00</t>
        </is>
      </c>
      <c r="C858" s="117" t="inlineStr">
        <is>
          <t>CAO HÙNG PHONG</t>
        </is>
      </c>
      <c r="D858" s="117" t="inlineStr">
        <is>
          <t>15/04/1969</t>
        </is>
      </c>
      <c r="E858" s="117" t="inlineStr">
        <is>
          <t>Giường Ngoại khoa loại 1 - Khoa Chấn thương chỉnh hình</t>
        </is>
      </c>
      <c r="F858" s="272" t="n">
        <v>1</v>
      </c>
      <c r="G858" s="272" t="n">
        <v>341800</v>
      </c>
    </row>
    <row r="859" ht="17.25" customHeight="1" s="248">
      <c r="A859" s="117" t="n">
        <v>851</v>
      </c>
      <c r="B859" s="117" t="inlineStr">
        <is>
          <t>2026/06/17 00:00</t>
        </is>
      </c>
      <c r="C859" s="117" t="inlineStr">
        <is>
          <t>CAO KIỀU DUYÊN</t>
        </is>
      </c>
      <c r="D859" s="117" t="inlineStr">
        <is>
          <t>12/06/1991</t>
        </is>
      </c>
      <c r="E859" s="117" t="inlineStr">
        <is>
          <t>Giường Ngoại khoa loại 1 - Khoa Chấn thương chỉnh hình</t>
        </is>
      </c>
      <c r="F859" s="272" t="n">
        <v>1</v>
      </c>
      <c r="G859" s="272" t="n">
        <v>341800</v>
      </c>
    </row>
    <row r="860" ht="17.25" customHeight="1" s="248">
      <c r="A860" s="117" t="n">
        <v>852</v>
      </c>
      <c r="B860" s="117" t="inlineStr">
        <is>
          <t>2026/06/17 00:00</t>
        </is>
      </c>
      <c r="C860" s="117" t="inlineStr">
        <is>
          <t>CAO THỊ BẢY</t>
        </is>
      </c>
      <c r="D860" s="117" t="inlineStr">
        <is>
          <t>09/10/1941</t>
        </is>
      </c>
      <c r="E860" s="117" t="inlineStr">
        <is>
          <t>Giường Ngoại khoa loại 2 - Khoa Chấn thương chỉnh hình</t>
        </is>
      </c>
      <c r="F860" s="272" t="n">
        <v>1</v>
      </c>
      <c r="G860" s="272" t="n">
        <v>301600</v>
      </c>
    </row>
    <row r="861" ht="17.25" customHeight="1" s="248">
      <c r="A861" s="117" t="n">
        <v>853</v>
      </c>
      <c r="B861" s="117" t="inlineStr">
        <is>
          <t>2026/06/17 00:00</t>
        </is>
      </c>
      <c r="C861" s="117" t="inlineStr">
        <is>
          <t>CHIÊM THỊ NHÀN</t>
        </is>
      </c>
      <c r="D861" s="117" t="inlineStr">
        <is>
          <t>01/01/1953</t>
        </is>
      </c>
      <c r="E861" s="117" t="inlineStr">
        <is>
          <t>Giường Ngoại khoa loại 1 - Khoa Chấn thương chỉnh hình</t>
        </is>
      </c>
      <c r="F861" s="272" t="n">
        <v>1</v>
      </c>
      <c r="G861" s="272" t="n">
        <v>341800</v>
      </c>
    </row>
    <row r="862" ht="17.25" customHeight="1" s="248">
      <c r="A862" s="117" t="n">
        <v>854</v>
      </c>
      <c r="B862" s="117" t="inlineStr">
        <is>
          <t>2026/06/17 00:00</t>
        </is>
      </c>
      <c r="C862" s="117" t="inlineStr">
        <is>
          <t>HUỲNH VĂN CỨ</t>
        </is>
      </c>
      <c r="D862" s="117" t="inlineStr">
        <is>
          <t>01/01/1967</t>
        </is>
      </c>
      <c r="E862" s="117" t="inlineStr">
        <is>
          <t>Giường Ngoại khoa loại 3 - Khoa Chấn thương chỉnh hình</t>
        </is>
      </c>
      <c r="F862" s="272" t="n">
        <v>1</v>
      </c>
      <c r="G862" s="272" t="n">
        <v>269200</v>
      </c>
    </row>
    <row r="863" ht="17.25" customHeight="1" s="248">
      <c r="A863" s="117" t="n">
        <v>855</v>
      </c>
      <c r="B863" s="117" t="inlineStr">
        <is>
          <t>2026/06/17 00:00</t>
        </is>
      </c>
      <c r="C863" s="117" t="inlineStr">
        <is>
          <t>LÊ THÀNH ĐẠT</t>
        </is>
      </c>
      <c r="D863" s="117" t="inlineStr">
        <is>
          <t>06/11/1975</t>
        </is>
      </c>
      <c r="E863" s="117" t="inlineStr">
        <is>
          <t>Giường Ngoại khoa loại 1 - Khoa Chấn thương chỉnh hình</t>
        </is>
      </c>
      <c r="F863" s="272" t="n">
        <v>1</v>
      </c>
      <c r="G863" s="272" t="n">
        <v>341800</v>
      </c>
    </row>
    <row r="864" ht="17.25" customHeight="1" s="248">
      <c r="A864" s="117" t="n">
        <v>856</v>
      </c>
      <c r="B864" s="117" t="inlineStr">
        <is>
          <t>2026/06/17 00:00</t>
        </is>
      </c>
      <c r="C864" s="117" t="inlineStr">
        <is>
          <t>LÊ THỊ CẨM VÂN</t>
        </is>
      </c>
      <c r="D864" s="117" t="inlineStr">
        <is>
          <t>20/05/1985</t>
        </is>
      </c>
      <c r="E864" s="117" t="inlineStr">
        <is>
          <t>Giường Nội khoa loại 2 - Khoa Chấn thương chỉnh hình</t>
        </is>
      </c>
      <c r="F864" s="272" t="n">
        <v>1</v>
      </c>
      <c r="G864" s="272" t="n">
        <v>222300</v>
      </c>
    </row>
    <row r="865" ht="17.25" customHeight="1" s="248">
      <c r="A865" s="117" t="n">
        <v>857</v>
      </c>
      <c r="B865" s="117" t="inlineStr">
        <is>
          <t>2026/06/17 00:00</t>
        </is>
      </c>
      <c r="C865" s="117" t="inlineStr">
        <is>
          <t>LÊ THỊ KIM ĐIỂU</t>
        </is>
      </c>
      <c r="D865" s="117" t="inlineStr">
        <is>
          <t>12/12/1958</t>
        </is>
      </c>
      <c r="E865" s="117" t="inlineStr">
        <is>
          <t>Giường Ngoại khoa loại 3 - Khoa Chấn thương chỉnh hình</t>
        </is>
      </c>
      <c r="F865" s="272" t="n">
        <v>1</v>
      </c>
      <c r="G865" s="272" t="n">
        <v>269200</v>
      </c>
    </row>
    <row r="866" ht="17.25" customHeight="1" s="248">
      <c r="A866" s="117" t="n">
        <v>858</v>
      </c>
      <c r="B866" s="117" t="inlineStr">
        <is>
          <t>2026/06/17 00:00</t>
        </is>
      </c>
      <c r="C866" s="117" t="inlineStr">
        <is>
          <t>LÊ THỊ LỆ</t>
        </is>
      </c>
      <c r="D866" s="117" t="inlineStr">
        <is>
          <t>01/01/1957</t>
        </is>
      </c>
      <c r="E866" s="117" t="inlineStr">
        <is>
          <t>Giường Nội khoa loại 2 - Khoa Chấn thương chỉnh hình</t>
        </is>
      </c>
      <c r="F866" s="272" t="n">
        <v>1</v>
      </c>
      <c r="G866" s="272" t="n">
        <v>222300</v>
      </c>
    </row>
    <row r="867" ht="17.25" customHeight="1" s="248">
      <c r="A867" s="117" t="n">
        <v>859</v>
      </c>
      <c r="B867" s="117" t="inlineStr">
        <is>
          <t>2026/06/17 00:00</t>
        </is>
      </c>
      <c r="C867" s="117" t="inlineStr">
        <is>
          <t>LÊ THỊ THU</t>
        </is>
      </c>
      <c r="D867" s="117" t="inlineStr">
        <is>
          <t>07/12/1965</t>
        </is>
      </c>
      <c r="E867" s="117" t="inlineStr">
        <is>
          <t>Giường Nội khoa loại 2 - Khoa Chấn thương chỉnh hình</t>
        </is>
      </c>
      <c r="F867" s="272" t="n">
        <v>1</v>
      </c>
      <c r="G867" s="272" t="n">
        <v>222300</v>
      </c>
    </row>
    <row r="868" ht="17.25" customHeight="1" s="248">
      <c r="A868" s="117" t="n">
        <v>860</v>
      </c>
      <c r="B868" s="117" t="inlineStr">
        <is>
          <t>2026/06/17 00:00</t>
        </is>
      </c>
      <c r="C868" s="117" t="inlineStr">
        <is>
          <t>MAI THÀNH DƯƠNG</t>
        </is>
      </c>
      <c r="D868" s="117" t="inlineStr">
        <is>
          <t>10/04/1964</t>
        </is>
      </c>
      <c r="E868" s="117" t="inlineStr">
        <is>
          <t>Giường Nội khoa loại 2 - Khoa Chấn thương chỉnh hình</t>
        </is>
      </c>
      <c r="F868" s="272" t="n">
        <v>1</v>
      </c>
      <c r="G868" s="272" t="n">
        <v>222300</v>
      </c>
    </row>
    <row r="869" ht="17.25" customHeight="1" s="248">
      <c r="A869" s="117" t="n">
        <v>861</v>
      </c>
      <c r="B869" s="117" t="inlineStr">
        <is>
          <t>2026/06/17 00:00</t>
        </is>
      </c>
      <c r="C869" s="117" t="inlineStr">
        <is>
          <t>NGUYỄN THỊ MƯỜI</t>
        </is>
      </c>
      <c r="D869" s="117" t="inlineStr">
        <is>
          <t>01/01/1951</t>
        </is>
      </c>
      <c r="E869" s="117" t="inlineStr">
        <is>
          <t>Giường Ngoại khoa loại 1 - Khoa Chấn thương chỉnh hình</t>
        </is>
      </c>
      <c r="F869" s="272" t="n">
        <v>1</v>
      </c>
      <c r="G869" s="272" t="n">
        <v>341800</v>
      </c>
    </row>
    <row r="870" ht="17.25" customHeight="1" s="248">
      <c r="A870" s="117" t="n">
        <v>862</v>
      </c>
      <c r="B870" s="117" t="inlineStr">
        <is>
          <t>2026/06/17 00:00</t>
        </is>
      </c>
      <c r="C870" s="117" t="inlineStr">
        <is>
          <t>NGUYỄN THỊ NGỌC DUYÊN</t>
        </is>
      </c>
      <c r="D870" s="117" t="inlineStr">
        <is>
          <t>01/02/1971</t>
        </is>
      </c>
      <c r="E870" s="117" t="inlineStr">
        <is>
          <t>Giường Ngoại khoa loại 1 - Khoa Chấn thương chỉnh hình</t>
        </is>
      </c>
      <c r="F870" s="272" t="n">
        <v>1</v>
      </c>
      <c r="G870" s="272" t="n">
        <v>341800</v>
      </c>
    </row>
    <row r="871" ht="17.25" customHeight="1" s="248">
      <c r="A871" s="117" t="n">
        <v>863</v>
      </c>
      <c r="B871" s="117" t="inlineStr">
        <is>
          <t>2026/06/17 00:00</t>
        </is>
      </c>
      <c r="C871" s="117" t="inlineStr">
        <is>
          <t>NGUYỄN THỊ NGỌC ĐIỆP</t>
        </is>
      </c>
      <c r="D871" s="117" t="inlineStr">
        <is>
          <t>20/08/1973</t>
        </is>
      </c>
      <c r="E871" s="117" t="inlineStr">
        <is>
          <t>Giường Ngoại khoa loại 1 - Khoa Chấn thương chỉnh hình</t>
        </is>
      </c>
      <c r="F871" s="272" t="n">
        <v>1</v>
      </c>
      <c r="G871" s="272" t="n">
        <v>341800</v>
      </c>
    </row>
    <row r="872" ht="17.25" customHeight="1" s="248">
      <c r="A872" s="117" t="n">
        <v>864</v>
      </c>
      <c r="B872" s="117" t="inlineStr">
        <is>
          <t>2026/06/17 00:00</t>
        </is>
      </c>
      <c r="C872" s="117" t="inlineStr">
        <is>
          <t>PHAN KIỀU TIÊN</t>
        </is>
      </c>
      <c r="D872" s="117" t="inlineStr">
        <is>
          <t>01/01/1973</t>
        </is>
      </c>
      <c r="E872" s="117" t="inlineStr">
        <is>
          <t>Giường Nội khoa loại 2 - Khoa Chấn thương chỉnh hình</t>
        </is>
      </c>
      <c r="F872" s="272" t="n">
        <v>1</v>
      </c>
      <c r="G872" s="272" t="n">
        <v>222300</v>
      </c>
    </row>
    <row r="873" ht="17.25" customHeight="1" s="248">
      <c r="A873" s="117" t="n">
        <v>865</v>
      </c>
      <c r="B873" s="117" t="inlineStr">
        <is>
          <t>2026/06/17 00:00</t>
        </is>
      </c>
      <c r="C873" s="117" t="inlineStr">
        <is>
          <t>PHAN VĂN ĐƯỢC</t>
        </is>
      </c>
      <c r="D873" s="117" t="inlineStr">
        <is>
          <t>01/01/1934</t>
        </is>
      </c>
      <c r="E873" s="117" t="inlineStr">
        <is>
          <t>Giường Nội khoa loại 2 - Khoa Chấn thương chỉnh hình</t>
        </is>
      </c>
      <c r="F873" s="272" t="n">
        <v>1</v>
      </c>
      <c r="G873" s="272" t="n">
        <v>222300</v>
      </c>
    </row>
    <row r="874" ht="17.25" customHeight="1" s="248">
      <c r="A874" s="117" t="n">
        <v>866</v>
      </c>
      <c r="B874" s="117" t="inlineStr">
        <is>
          <t>2026/06/17 00:00</t>
        </is>
      </c>
      <c r="C874" s="117" t="inlineStr">
        <is>
          <t>PHẠM THỊ DUNG</t>
        </is>
      </c>
      <c r="D874" s="117" t="inlineStr">
        <is>
          <t>01/01/1968</t>
        </is>
      </c>
      <c r="E874" s="117" t="inlineStr">
        <is>
          <t>Giường Nội khoa loại 2 - Khoa Chấn thương chỉnh hình</t>
        </is>
      </c>
      <c r="F874" s="272" t="n">
        <v>1</v>
      </c>
      <c r="G874" s="272" t="n">
        <v>222300</v>
      </c>
    </row>
    <row r="875" ht="17.25" customHeight="1" s="248">
      <c r="A875" s="117" t="n">
        <v>867</v>
      </c>
      <c r="B875" s="117" t="inlineStr">
        <is>
          <t>2026/06/17 00:00</t>
        </is>
      </c>
      <c r="C875" s="117" t="inlineStr">
        <is>
          <t>TIÊU QUỐC TOÀN</t>
        </is>
      </c>
      <c r="D875" s="117" t="inlineStr">
        <is>
          <t>29/12/2004</t>
        </is>
      </c>
      <c r="E875" s="117" t="inlineStr">
        <is>
          <t>Giường Ngoại khoa loại 1 - Khoa Chấn thương chỉnh hình</t>
        </is>
      </c>
      <c r="F875" s="272" t="n">
        <v>1</v>
      </c>
      <c r="G875" s="272" t="n">
        <v>341800</v>
      </c>
    </row>
    <row r="876" ht="17.25" customHeight="1" s="248">
      <c r="A876" s="117" t="n">
        <v>868</v>
      </c>
      <c r="B876" s="117" t="inlineStr">
        <is>
          <t>2026/06/17 00:00</t>
        </is>
      </c>
      <c r="C876" s="117" t="inlineStr">
        <is>
          <t>TRIỆU CẨM THU</t>
        </is>
      </c>
      <c r="D876" s="117" t="inlineStr">
        <is>
          <t>27/03/1973</t>
        </is>
      </c>
      <c r="E876" s="117" t="inlineStr">
        <is>
          <t>Giường Ngoại khoa loại 1 - Khoa Chấn thương chỉnh hình</t>
        </is>
      </c>
      <c r="F876" s="272" t="n">
        <v>1</v>
      </c>
      <c r="G876" s="272" t="n">
        <v>341800</v>
      </c>
    </row>
    <row r="877" ht="17.25" customHeight="1" s="248">
      <c r="A877" s="117" t="n">
        <v>869</v>
      </c>
      <c r="B877" s="117" t="inlineStr">
        <is>
          <t>2026/06/17 00:00</t>
        </is>
      </c>
      <c r="C877" s="117" t="inlineStr">
        <is>
          <t>TRẦN THANH TUYỀN</t>
        </is>
      </c>
      <c r="D877" s="117" t="inlineStr">
        <is>
          <t>05/05/1988</t>
        </is>
      </c>
      <c r="E877" s="117" t="inlineStr">
        <is>
          <t>Giường Nội khoa loại 2 - Khoa Chấn thương chỉnh hình</t>
        </is>
      </c>
      <c r="F877" s="272" t="n">
        <v>1</v>
      </c>
      <c r="G877" s="272" t="n">
        <v>222300</v>
      </c>
    </row>
    <row r="878" ht="17.25" customHeight="1" s="248">
      <c r="A878" s="117" t="n">
        <v>870</v>
      </c>
      <c r="B878" s="117" t="inlineStr">
        <is>
          <t>2026/06/17 00:00</t>
        </is>
      </c>
      <c r="C878" s="117" t="inlineStr">
        <is>
          <t>TRẦN THỊ BÉ BA</t>
        </is>
      </c>
      <c r="D878" s="117" t="inlineStr">
        <is>
          <t>01/01/1966</t>
        </is>
      </c>
      <c r="E878" s="117" t="inlineStr">
        <is>
          <t>Giường Nội khoa loại 2 - Khoa Chấn thương chỉnh hình</t>
        </is>
      </c>
      <c r="F878" s="272" t="n">
        <v>1</v>
      </c>
      <c r="G878" s="272" t="n">
        <v>222300</v>
      </c>
    </row>
    <row r="879" ht="17.25" customHeight="1" s="248">
      <c r="A879" s="117" t="n">
        <v>871</v>
      </c>
      <c r="B879" s="117" t="inlineStr">
        <is>
          <t>2026/06/17 00:00</t>
        </is>
      </c>
      <c r="C879" s="117" t="inlineStr">
        <is>
          <t>TRẦN THỊ MỘNG THẮM</t>
        </is>
      </c>
      <c r="D879" s="117" t="inlineStr">
        <is>
          <t>01/01/1970</t>
        </is>
      </c>
      <c r="E879" s="117" t="inlineStr">
        <is>
          <t>Giường Ngoại khoa loại 1 - Khoa Chấn thương chỉnh hình</t>
        </is>
      </c>
      <c r="F879" s="272" t="n">
        <v>1</v>
      </c>
      <c r="G879" s="272" t="n">
        <v>341800</v>
      </c>
    </row>
    <row r="880" ht="17.25" customHeight="1" s="248">
      <c r="A880" s="117" t="n">
        <v>872</v>
      </c>
      <c r="B880" s="117" t="inlineStr">
        <is>
          <t>2026/06/17 00:00</t>
        </is>
      </c>
      <c r="C880" s="117" t="inlineStr">
        <is>
          <t>TÔ VĂN THIỆN</t>
        </is>
      </c>
      <c r="D880" s="117" t="inlineStr">
        <is>
          <t>01/01/1963</t>
        </is>
      </c>
      <c r="E880" s="117" t="inlineStr">
        <is>
          <t>Giường Nội khoa loại 2 - Khoa Chấn thương chỉnh hình</t>
        </is>
      </c>
      <c r="F880" s="272" t="n">
        <v>1</v>
      </c>
      <c r="G880" s="272" t="n">
        <v>222300</v>
      </c>
    </row>
    <row r="881" ht="17.25" customHeight="1" s="248">
      <c r="A881" s="117" t="n">
        <v>873</v>
      </c>
      <c r="B881" s="117" t="inlineStr">
        <is>
          <t>2026/06/17 00:00</t>
        </is>
      </c>
      <c r="C881" s="117" t="inlineStr">
        <is>
          <t>VÕ THANH SANG</t>
        </is>
      </c>
      <c r="D881" s="117" t="inlineStr">
        <is>
          <t>03/12/2003</t>
        </is>
      </c>
      <c r="E881" s="117" t="inlineStr">
        <is>
          <t>Giường Nội khoa loại 2 - Khoa Chấn thương chỉnh hình</t>
        </is>
      </c>
      <c r="F881" s="272" t="n">
        <v>1</v>
      </c>
      <c r="G881" s="272" t="n">
        <v>222300</v>
      </c>
    </row>
    <row r="882" ht="17.25" customHeight="1" s="248">
      <c r="A882" s="117" t="n">
        <v>874</v>
      </c>
      <c r="B882" s="117" t="inlineStr">
        <is>
          <t>2026/06/17 00:00</t>
        </is>
      </c>
      <c r="C882" s="117" t="inlineStr">
        <is>
          <t>VÕ THỊ THE</t>
        </is>
      </c>
      <c r="D882" s="117" t="inlineStr">
        <is>
          <t>01/01/1963</t>
        </is>
      </c>
      <c r="E882" s="117" t="inlineStr">
        <is>
          <t>Giường Nội khoa loại 2 - Khoa Chấn thương chỉnh hình</t>
        </is>
      </c>
      <c r="F882" s="272" t="n">
        <v>1</v>
      </c>
      <c r="G882" s="272" t="n">
        <v>222300</v>
      </c>
    </row>
    <row r="883" ht="17.25" customHeight="1" s="248">
      <c r="A883" s="117" t="n">
        <v>875</v>
      </c>
      <c r="B883" s="117" t="inlineStr">
        <is>
          <t>2026/06/17 00:00</t>
        </is>
      </c>
      <c r="C883" s="117" t="inlineStr">
        <is>
          <t>ĐẶNG THỊ XOE</t>
        </is>
      </c>
      <c r="D883" s="117" t="inlineStr">
        <is>
          <t>01/01/1936</t>
        </is>
      </c>
      <c r="E883" s="117" t="inlineStr">
        <is>
          <t>Giường Ngoại khoa loại 2 - Khoa Chấn thương chỉnh hình</t>
        </is>
      </c>
      <c r="F883" s="272" t="n">
        <v>1</v>
      </c>
      <c r="G883" s="272" t="n">
        <v>301600</v>
      </c>
    </row>
    <row r="884" ht="17.25" customHeight="1" s="248">
      <c r="A884" s="117" t="n">
        <v>876</v>
      </c>
      <c r="B884" s="117" t="inlineStr">
        <is>
          <t>2026/06/17 00:00</t>
        </is>
      </c>
      <c r="C884" s="117" t="inlineStr">
        <is>
          <t>CHÂU THỊ A</t>
        </is>
      </c>
      <c r="D884" s="117" t="inlineStr">
        <is>
          <t>01/01/1958</t>
        </is>
      </c>
      <c r="E884" s="117" t="inlineStr">
        <is>
          <t>Giường Ngoại khoa loại 3 - Khoa Chấn thương chỉnh hình</t>
        </is>
      </c>
      <c r="F884" s="272" t="n">
        <v>1</v>
      </c>
      <c r="G884" s="272" t="n">
        <v>269200</v>
      </c>
    </row>
    <row r="885" ht="17.25" customHeight="1" s="248">
      <c r="A885" s="117" t="n">
        <v>877</v>
      </c>
      <c r="B885" s="117" t="inlineStr">
        <is>
          <t>2026/06/17 00:00</t>
        </is>
      </c>
      <c r="C885" s="117" t="inlineStr">
        <is>
          <t>HUỲNH KIM ĐỒNG</t>
        </is>
      </c>
      <c r="D885" s="117" t="inlineStr">
        <is>
          <t>01/01/1944</t>
        </is>
      </c>
      <c r="E885" s="117" t="inlineStr">
        <is>
          <t>Giường Ngoại khoa loại 2 - Khoa Chấn thương chỉnh hình</t>
        </is>
      </c>
      <c r="F885" s="272" t="n">
        <v>1</v>
      </c>
      <c r="G885" s="272" t="n">
        <v>301600</v>
      </c>
    </row>
    <row r="886" ht="17.25" customHeight="1" s="248">
      <c r="A886" s="117" t="n">
        <v>878</v>
      </c>
      <c r="B886" s="117" t="inlineStr">
        <is>
          <t>2026/06/17 00:00</t>
        </is>
      </c>
      <c r="C886" s="117" t="inlineStr">
        <is>
          <t>HỒ VĂN DÃ</t>
        </is>
      </c>
      <c r="D886" s="117" t="inlineStr">
        <is>
          <t>21/12/1976</t>
        </is>
      </c>
      <c r="E886" s="117" t="inlineStr">
        <is>
          <t>Giường Ngoại khoa loại 1 - Khoa Chấn thương chỉnh hình</t>
        </is>
      </c>
      <c r="F886" s="272" t="n">
        <v>1</v>
      </c>
      <c r="G886" s="272" t="n">
        <v>341800</v>
      </c>
    </row>
    <row r="887" ht="17.25" customHeight="1" s="248">
      <c r="A887" s="117" t="n">
        <v>879</v>
      </c>
      <c r="B887" s="117" t="inlineStr">
        <is>
          <t>2026/06/17 00:00</t>
        </is>
      </c>
      <c r="C887" s="117" t="inlineStr">
        <is>
          <t>LÊ THỊ QUEN</t>
        </is>
      </c>
      <c r="D887" s="117" t="inlineStr">
        <is>
          <t>01/01/1956</t>
        </is>
      </c>
      <c r="E887" s="117" t="inlineStr">
        <is>
          <t>Giường Nội khoa loại 2 - Khoa Chấn thương chỉnh hình</t>
        </is>
      </c>
      <c r="F887" s="272" t="n">
        <v>1</v>
      </c>
      <c r="G887" s="272" t="n">
        <v>222300</v>
      </c>
    </row>
    <row r="888" ht="17.25" customHeight="1" s="248">
      <c r="A888" s="117" t="n">
        <v>880</v>
      </c>
      <c r="B888" s="117" t="inlineStr">
        <is>
          <t>2026/06/17 07:59</t>
        </is>
      </c>
      <c r="C888" s="117" t="inlineStr">
        <is>
          <t>VÕ THỊ TUYẾT PHƯƠNG</t>
        </is>
      </c>
      <c r="D888" s="117" t="inlineStr">
        <is>
          <t>20/01/1994</t>
        </is>
      </c>
      <c r="E888" s="117" t="inlineStr">
        <is>
          <t>Giường Ngoại khoa loại 3 - Khoa Chấn thương chỉnh hình</t>
        </is>
      </c>
      <c r="F888" s="272" t="n">
        <v>1</v>
      </c>
      <c r="G888" s="272" t="n">
        <v>269200</v>
      </c>
    </row>
    <row r="889" ht="17.25" customHeight="1" s="248">
      <c r="A889" s="117" t="n">
        <v>881</v>
      </c>
      <c r="B889" s="117" t="inlineStr">
        <is>
          <t>2026/06/17 13:44</t>
        </is>
      </c>
      <c r="C889" s="117" t="inlineStr">
        <is>
          <t>HUỲNH THỊ THANH HƯỜNG</t>
        </is>
      </c>
      <c r="D889" s="117" t="inlineStr">
        <is>
          <t>01/01/1984</t>
        </is>
      </c>
      <c r="E889" s="117" t="inlineStr">
        <is>
          <t>Giường Nội khoa loại 2 - Khoa Chấn thương chỉnh hình</t>
        </is>
      </c>
      <c r="F889" s="272" t="n">
        <v>1</v>
      </c>
      <c r="G889" s="272" t="n">
        <v>222300</v>
      </c>
    </row>
    <row r="890" ht="17.25" customHeight="1" s="248">
      <c r="A890" s="117" t="n">
        <v>882</v>
      </c>
      <c r="B890" s="117" t="inlineStr">
        <is>
          <t>2026/06/17 13:49</t>
        </is>
      </c>
      <c r="C890" s="117" t="inlineStr">
        <is>
          <t>HUỲNH THANH TÚ</t>
        </is>
      </c>
      <c r="D890" s="117" t="inlineStr">
        <is>
          <t>25/05/1995</t>
        </is>
      </c>
      <c r="E890" s="117" t="inlineStr">
        <is>
          <t>Giường Ngoại khoa loại 3 - Khoa Chấn thương chỉnh hình</t>
        </is>
      </c>
      <c r="F890" s="272" t="n">
        <v>1</v>
      </c>
      <c r="G890" s="272" t="n">
        <v>269200</v>
      </c>
    </row>
    <row r="891" ht="17.25" customHeight="1" s="248">
      <c r="A891" s="117" t="n">
        <v>883</v>
      </c>
      <c r="B891" s="117" t="inlineStr">
        <is>
          <t>2026/06/17 13:54</t>
        </is>
      </c>
      <c r="C891" s="117" t="inlineStr">
        <is>
          <t>HỒ THỊ HOÀNG</t>
        </is>
      </c>
      <c r="D891" s="117" t="inlineStr">
        <is>
          <t>08/08/1963</t>
        </is>
      </c>
      <c r="E891" s="117" t="inlineStr">
        <is>
          <t>Giường Nội khoa loại 2 - Khoa Chấn thương chỉnh hình</t>
        </is>
      </c>
      <c r="F891" s="272" t="n">
        <v>1</v>
      </c>
      <c r="G891" s="272" t="n">
        <v>222300</v>
      </c>
    </row>
    <row r="892" ht="17.25" customHeight="1" s="248">
      <c r="A892" s="117" t="n">
        <v>884</v>
      </c>
      <c r="B892" s="117" t="inlineStr">
        <is>
          <t>2026/06/17 16:36</t>
        </is>
      </c>
      <c r="C892" s="117" t="inlineStr">
        <is>
          <t>NGUYỄN THÀNH ĐƯỢC</t>
        </is>
      </c>
      <c r="D892" s="117" t="inlineStr">
        <is>
          <t>01/01/1961</t>
        </is>
      </c>
      <c r="E892" s="117" t="inlineStr">
        <is>
          <t>Giường Nội khoa loại 2 - Khoa Chấn thương chỉnh hình</t>
        </is>
      </c>
      <c r="F892" s="272" t="n">
        <v>1</v>
      </c>
      <c r="G892" s="272" t="n">
        <v>222300</v>
      </c>
    </row>
    <row r="893" ht="17.25" customHeight="1" s="248">
      <c r="A893" s="117" t="n">
        <v>885</v>
      </c>
      <c r="B893" s="117" t="inlineStr">
        <is>
          <t>2026/06/17 16:45</t>
        </is>
      </c>
      <c r="C893" s="117" t="inlineStr">
        <is>
          <t>PHẠM THỊ PHƯƠNG THẢO</t>
        </is>
      </c>
      <c r="D893" s="117" t="inlineStr">
        <is>
          <t>03/06/1998</t>
        </is>
      </c>
      <c r="E893" s="117" t="inlineStr">
        <is>
          <t>Giường Ngoại khoa loại 1 - Khoa Chấn thương chỉnh hình</t>
        </is>
      </c>
      <c r="F893" s="272" t="n">
        <v>1</v>
      </c>
      <c r="G893" s="272" t="n">
        <v>341800</v>
      </c>
    </row>
    <row r="894" ht="17.25" customHeight="1" s="248">
      <c r="A894" s="117" t="n">
        <v>886</v>
      </c>
      <c r="B894" s="117" t="inlineStr">
        <is>
          <t>2026/06/17 19:00</t>
        </is>
      </c>
      <c r="C894" s="117" t="inlineStr">
        <is>
          <t>LÊ DUY HÙNG</t>
        </is>
      </c>
      <c r="D894" s="117" t="inlineStr">
        <is>
          <t>19/05/1978</t>
        </is>
      </c>
      <c r="E894" s="117" t="inlineStr">
        <is>
          <t>Giường Ngoại khoa loại 3 - Khoa Chấn thương chỉnh hình</t>
        </is>
      </c>
      <c r="F894" s="272" t="n">
        <v>1</v>
      </c>
      <c r="G894" s="272" t="n">
        <v>269200</v>
      </c>
    </row>
    <row r="895" ht="17.25" customHeight="1" s="248">
      <c r="A895" s="117" t="n">
        <v>887</v>
      </c>
      <c r="B895" s="117" t="inlineStr">
        <is>
          <t>2026/06/17 19:00</t>
        </is>
      </c>
      <c r="C895" s="117" t="inlineStr">
        <is>
          <t>TRẦN THỊ THÚY NGÂN</t>
        </is>
      </c>
      <c r="D895" s="117" t="inlineStr">
        <is>
          <t>01/01/1978</t>
        </is>
      </c>
      <c r="E895" s="117" t="inlineStr">
        <is>
          <t>Giường Nội khoa loại 2 - Khoa Chấn thương chỉnh hình</t>
        </is>
      </c>
      <c r="F895" s="272" t="n">
        <v>1</v>
      </c>
      <c r="G895" s="272" t="n">
        <v>222300</v>
      </c>
    </row>
    <row r="896" ht="17.25" customHeight="1" s="248">
      <c r="A896" s="117" t="n">
        <v>888</v>
      </c>
      <c r="B896" s="117" t="inlineStr">
        <is>
          <t>2026/06/18 00:00</t>
        </is>
      </c>
      <c r="C896" s="117" t="inlineStr">
        <is>
          <t>BÙI THỊ THU BA</t>
        </is>
      </c>
      <c r="D896" s="117" t="inlineStr">
        <is>
          <t>01/01/1960</t>
        </is>
      </c>
      <c r="E896" s="117" t="inlineStr">
        <is>
          <t>Giường Ngoại khoa loại 3 - Khoa Chấn thương chỉnh hình</t>
        </is>
      </c>
      <c r="F896" s="272" t="n">
        <v>1</v>
      </c>
      <c r="G896" s="272" t="n">
        <v>269200</v>
      </c>
    </row>
    <row r="897" ht="17.25" customHeight="1" s="248">
      <c r="A897" s="117" t="n">
        <v>889</v>
      </c>
      <c r="B897" s="117" t="inlineStr">
        <is>
          <t>2026/06/18 00:00</t>
        </is>
      </c>
      <c r="C897" s="117" t="inlineStr">
        <is>
          <t>CAO HÙNG PHONG</t>
        </is>
      </c>
      <c r="D897" s="117" t="inlineStr">
        <is>
          <t>15/04/1969</t>
        </is>
      </c>
      <c r="E897" s="117" t="inlineStr">
        <is>
          <t>Giường Ngoại khoa loại 1 - Khoa Chấn thương chỉnh hình</t>
        </is>
      </c>
      <c r="F897" s="272" t="n">
        <v>1</v>
      </c>
      <c r="G897" s="272" t="n">
        <v>341800</v>
      </c>
    </row>
    <row r="898" ht="17.25" customHeight="1" s="248">
      <c r="A898" s="117" t="n">
        <v>890</v>
      </c>
      <c r="B898" s="117" t="inlineStr">
        <is>
          <t>2026/06/18 00:00</t>
        </is>
      </c>
      <c r="C898" s="117" t="inlineStr">
        <is>
          <t>CAO KIỀU DUYÊN</t>
        </is>
      </c>
      <c r="D898" s="117" t="inlineStr">
        <is>
          <t>12/06/1991</t>
        </is>
      </c>
      <c r="E898" s="117" t="inlineStr">
        <is>
          <t>Giường Ngoại khoa loại 1 - Khoa Chấn thương chỉnh hình</t>
        </is>
      </c>
      <c r="F898" s="272" t="n">
        <v>1</v>
      </c>
      <c r="G898" s="272" t="n">
        <v>341800</v>
      </c>
    </row>
    <row r="899" ht="17.25" customHeight="1" s="248">
      <c r="A899" s="117" t="n">
        <v>891</v>
      </c>
      <c r="B899" s="117" t="inlineStr">
        <is>
          <t>2026/06/18 00:00</t>
        </is>
      </c>
      <c r="C899" s="117" t="inlineStr">
        <is>
          <t>CHIÊM THỊ NHÀN</t>
        </is>
      </c>
      <c r="D899" s="117" t="inlineStr">
        <is>
          <t>01/01/1953</t>
        </is>
      </c>
      <c r="E899" s="117" t="inlineStr">
        <is>
          <t>Giường Ngoại khoa loại 1 - Khoa Chấn thương chỉnh hình</t>
        </is>
      </c>
      <c r="F899" s="272" t="n">
        <v>1</v>
      </c>
      <c r="G899" s="272" t="n">
        <v>341800</v>
      </c>
    </row>
    <row r="900" ht="17.25" customHeight="1" s="248">
      <c r="A900" s="117" t="n">
        <v>892</v>
      </c>
      <c r="B900" s="117" t="inlineStr">
        <is>
          <t>2026/06/18 00:00</t>
        </is>
      </c>
      <c r="C900" s="117" t="inlineStr">
        <is>
          <t>HUỲNH VĂN CỨ</t>
        </is>
      </c>
      <c r="D900" s="117" t="inlineStr">
        <is>
          <t>01/01/1967</t>
        </is>
      </c>
      <c r="E900" s="117" t="inlineStr">
        <is>
          <t>Giường Ngoại khoa loại 3 - Khoa Chấn thương chỉnh hình</t>
        </is>
      </c>
      <c r="F900" s="272" t="n">
        <v>1</v>
      </c>
      <c r="G900" s="272" t="n">
        <v>269200</v>
      </c>
    </row>
    <row r="901" ht="17.25" customHeight="1" s="248">
      <c r="A901" s="117" t="n">
        <v>893</v>
      </c>
      <c r="B901" s="117" t="inlineStr">
        <is>
          <t>2026/06/18 00:00</t>
        </is>
      </c>
      <c r="C901" s="117" t="inlineStr">
        <is>
          <t>HỒ THỊ HOÀNG</t>
        </is>
      </c>
      <c r="D901" s="117" t="inlineStr">
        <is>
          <t>08/08/1963</t>
        </is>
      </c>
      <c r="E901" s="117" t="inlineStr">
        <is>
          <t>Giường Nội khoa loại 2 - Khoa Chấn thương chỉnh hình</t>
        </is>
      </c>
      <c r="F901" s="272" t="n">
        <v>1</v>
      </c>
      <c r="G901" s="272" t="n">
        <v>222300</v>
      </c>
    </row>
    <row r="902" ht="17.25" customHeight="1" s="248">
      <c r="A902" s="117" t="n">
        <v>894</v>
      </c>
      <c r="B902" s="117" t="inlineStr">
        <is>
          <t>2026/06/18 00:00</t>
        </is>
      </c>
      <c r="C902" s="117" t="inlineStr">
        <is>
          <t>LÊ THÀNH ĐẠT</t>
        </is>
      </c>
      <c r="D902" s="117" t="inlineStr">
        <is>
          <t>06/11/1975</t>
        </is>
      </c>
      <c r="E902" s="117" t="inlineStr">
        <is>
          <t>Giường Ngoại khoa loại 1 - Khoa Chấn thương chỉnh hình</t>
        </is>
      </c>
      <c r="F902" s="272" t="n">
        <v>1</v>
      </c>
      <c r="G902" s="272" t="n">
        <v>341800</v>
      </c>
    </row>
    <row r="903" ht="17.25" customHeight="1" s="248">
      <c r="A903" s="117" t="n">
        <v>895</v>
      </c>
      <c r="B903" s="117" t="inlineStr">
        <is>
          <t>2026/06/18 00:00</t>
        </is>
      </c>
      <c r="C903" s="117" t="inlineStr">
        <is>
          <t>LÊ THỊ CẨM VÂN</t>
        </is>
      </c>
      <c r="D903" s="117" t="inlineStr">
        <is>
          <t>20/05/1985</t>
        </is>
      </c>
      <c r="E903" s="117" t="inlineStr">
        <is>
          <t>Giường Nội khoa loại 2 - Khoa Chấn thương chỉnh hình</t>
        </is>
      </c>
      <c r="F903" s="272" t="n">
        <v>1</v>
      </c>
      <c r="G903" s="272" t="n">
        <v>222300</v>
      </c>
    </row>
    <row r="904" ht="17.25" customHeight="1" s="248">
      <c r="A904" s="117" t="n">
        <v>896</v>
      </c>
      <c r="B904" s="117" t="inlineStr">
        <is>
          <t>2026/06/18 00:00</t>
        </is>
      </c>
      <c r="C904" s="117" t="inlineStr">
        <is>
          <t>LÊ THỊ KIM ĐIỂU</t>
        </is>
      </c>
      <c r="D904" s="117" t="inlineStr">
        <is>
          <t>12/12/1958</t>
        </is>
      </c>
      <c r="E904" s="117" t="inlineStr">
        <is>
          <t>Giường Ngoại khoa loại 3 - Khoa Chấn thương chỉnh hình</t>
        </is>
      </c>
      <c r="F904" s="272" t="n">
        <v>1</v>
      </c>
      <c r="G904" s="272" t="n">
        <v>269200</v>
      </c>
    </row>
    <row r="905" ht="17.25" customHeight="1" s="248">
      <c r="A905" s="117" t="n">
        <v>897</v>
      </c>
      <c r="B905" s="117" t="inlineStr">
        <is>
          <t>2026/06/18 00:00</t>
        </is>
      </c>
      <c r="C905" s="117" t="inlineStr">
        <is>
          <t>LÊ THỊ LỆ</t>
        </is>
      </c>
      <c r="D905" s="117" t="inlineStr">
        <is>
          <t>01/01/1957</t>
        </is>
      </c>
      <c r="E905" s="117" t="inlineStr">
        <is>
          <t>Giường Nội khoa loại 2 - Khoa Chấn thương chỉnh hình</t>
        </is>
      </c>
      <c r="F905" s="272" t="n">
        <v>1</v>
      </c>
      <c r="G905" s="272" t="n">
        <v>222300</v>
      </c>
    </row>
    <row r="906" ht="17.25" customHeight="1" s="248">
      <c r="A906" s="117" t="n">
        <v>898</v>
      </c>
      <c r="B906" s="117" t="inlineStr">
        <is>
          <t>2026/06/18 00:00</t>
        </is>
      </c>
      <c r="C906" s="117" t="inlineStr">
        <is>
          <t>LÊ THỊ THU</t>
        </is>
      </c>
      <c r="D906" s="117" t="inlineStr">
        <is>
          <t>07/12/1965</t>
        </is>
      </c>
      <c r="E906" s="117" t="inlineStr">
        <is>
          <t>Giường Nội khoa loại 2 - Khoa Chấn thương chỉnh hình</t>
        </is>
      </c>
      <c r="F906" s="272" t="n">
        <v>1</v>
      </c>
      <c r="G906" s="272" t="n">
        <v>222300</v>
      </c>
    </row>
    <row r="907" ht="17.25" customHeight="1" s="248">
      <c r="A907" s="117" t="n">
        <v>899</v>
      </c>
      <c r="B907" s="117" t="inlineStr">
        <is>
          <t>2026/06/18 00:00</t>
        </is>
      </c>
      <c r="C907" s="117" t="inlineStr">
        <is>
          <t>MAI THÀNH DƯƠNG</t>
        </is>
      </c>
      <c r="D907" s="117" t="inlineStr">
        <is>
          <t>10/04/1964</t>
        </is>
      </c>
      <c r="E907" s="117" t="inlineStr">
        <is>
          <t>Giường Nội khoa loại 2 - Khoa Chấn thương chỉnh hình</t>
        </is>
      </c>
      <c r="F907" s="272" t="n">
        <v>1</v>
      </c>
      <c r="G907" s="272" t="n">
        <v>222300</v>
      </c>
    </row>
    <row r="908" ht="17.25" customHeight="1" s="248">
      <c r="A908" s="117" t="n">
        <v>900</v>
      </c>
      <c r="B908" s="117" t="inlineStr">
        <is>
          <t>2026/06/18 00:00</t>
        </is>
      </c>
      <c r="C908" s="117" t="inlineStr">
        <is>
          <t>NGUYỄN MINH NHỰT</t>
        </is>
      </c>
      <c r="D908" s="117" t="inlineStr">
        <is>
          <t>10/06/1988</t>
        </is>
      </c>
      <c r="E908" s="117" t="inlineStr">
        <is>
          <t>Giường Ngoại khoa loại 1 - Khoa Chấn thương chỉnh hình</t>
        </is>
      </c>
      <c r="F908" s="272" t="n">
        <v>1</v>
      </c>
      <c r="G908" s="272" t="n">
        <v>341800</v>
      </c>
    </row>
    <row r="909" ht="17.25" customHeight="1" s="248">
      <c r="A909" s="117" t="n">
        <v>901</v>
      </c>
      <c r="B909" s="117" t="inlineStr">
        <is>
          <t>2026/06/18 00:00</t>
        </is>
      </c>
      <c r="C909" s="117" t="inlineStr">
        <is>
          <t>NGUYỄN THỊ KIỀU LOAN</t>
        </is>
      </c>
      <c r="D909" s="117" t="inlineStr">
        <is>
          <t>01/01/1970</t>
        </is>
      </c>
      <c r="E909" s="117" t="inlineStr">
        <is>
          <t>Giường Ngoại khoa loại 4 - Khoa Chấn thương chỉnh hình</t>
        </is>
      </c>
      <c r="F909" s="272" t="n">
        <v>1</v>
      </c>
      <c r="G909" s="272" t="n">
        <v>229200</v>
      </c>
    </row>
    <row r="910" ht="17.25" customHeight="1" s="248">
      <c r="A910" s="117" t="n">
        <v>902</v>
      </c>
      <c r="B910" s="117" t="inlineStr">
        <is>
          <t>2026/06/18 00:00</t>
        </is>
      </c>
      <c r="C910" s="117" t="inlineStr">
        <is>
          <t>NGUYỄN THỊ MƯỜI</t>
        </is>
      </c>
      <c r="D910" s="117" t="inlineStr">
        <is>
          <t>01/01/1951</t>
        </is>
      </c>
      <c r="E910" s="117" t="inlineStr">
        <is>
          <t>Giường Ngoại khoa loại 1 - Khoa Chấn thương chỉnh hình</t>
        </is>
      </c>
      <c r="F910" s="272" t="n">
        <v>1</v>
      </c>
      <c r="G910" s="272" t="n">
        <v>341800</v>
      </c>
    </row>
    <row r="911" ht="17.25" customHeight="1" s="248">
      <c r="A911" s="117" t="n">
        <v>903</v>
      </c>
      <c r="B911" s="117" t="inlineStr">
        <is>
          <t>2026/06/18 00:00</t>
        </is>
      </c>
      <c r="C911" s="117" t="inlineStr">
        <is>
          <t>NGUYỄN THỊ NGỌC DUYÊN</t>
        </is>
      </c>
      <c r="D911" s="117" t="inlineStr">
        <is>
          <t>01/02/1971</t>
        </is>
      </c>
      <c r="E911" s="117" t="inlineStr">
        <is>
          <t>Giường Ngoại khoa loại 1 - Khoa Chấn thương chỉnh hình</t>
        </is>
      </c>
      <c r="F911" s="272" t="n">
        <v>1</v>
      </c>
      <c r="G911" s="272" t="n">
        <v>341800</v>
      </c>
    </row>
    <row r="912" ht="17.25" customHeight="1" s="248">
      <c r="A912" s="117" t="n">
        <v>904</v>
      </c>
      <c r="B912" s="117" t="inlineStr">
        <is>
          <t>2026/06/18 00:00</t>
        </is>
      </c>
      <c r="C912" s="117" t="inlineStr">
        <is>
          <t>NGUYỄN THỊ NGỌC ĐIỆP</t>
        </is>
      </c>
      <c r="D912" s="117" t="inlineStr">
        <is>
          <t>20/08/1973</t>
        </is>
      </c>
      <c r="E912" s="117" t="inlineStr">
        <is>
          <t>Giường Ngoại khoa loại 1 - Khoa Chấn thương chỉnh hình</t>
        </is>
      </c>
      <c r="F912" s="272" t="n">
        <v>1</v>
      </c>
      <c r="G912" s="272" t="n">
        <v>341800</v>
      </c>
    </row>
    <row r="913" ht="17.25" customHeight="1" s="248">
      <c r="A913" s="117" t="n">
        <v>905</v>
      </c>
      <c r="B913" s="117" t="inlineStr">
        <is>
          <t>2026/06/18 00:00</t>
        </is>
      </c>
      <c r="C913" s="117" t="inlineStr">
        <is>
          <t>PHAN KIỀU TIÊN</t>
        </is>
      </c>
      <c r="D913" s="117" t="inlineStr">
        <is>
          <t>01/01/1973</t>
        </is>
      </c>
      <c r="E913" s="117" t="inlineStr">
        <is>
          <t>Giường Nội khoa loại 2 - Khoa Chấn thương chỉnh hình</t>
        </is>
      </c>
      <c r="F913" s="272" t="n">
        <v>1</v>
      </c>
      <c r="G913" s="272" t="n">
        <v>222300</v>
      </c>
    </row>
    <row r="914" ht="17.25" customHeight="1" s="248">
      <c r="A914" s="117" t="n">
        <v>906</v>
      </c>
      <c r="B914" s="117" t="inlineStr">
        <is>
          <t>2026/06/18 00:00</t>
        </is>
      </c>
      <c r="C914" s="117" t="inlineStr">
        <is>
          <t>PHAN VĂN ĐƯỢC</t>
        </is>
      </c>
      <c r="D914" s="117" t="inlineStr">
        <is>
          <t>01/01/1934</t>
        </is>
      </c>
      <c r="E914" s="117" t="inlineStr">
        <is>
          <t>Giường Nội khoa loại 2 - Khoa Chấn thương chỉnh hình</t>
        </is>
      </c>
      <c r="F914" s="272" t="n">
        <v>1</v>
      </c>
      <c r="G914" s="272" t="n">
        <v>222300</v>
      </c>
    </row>
    <row r="915" ht="17.25" customHeight="1" s="248">
      <c r="A915" s="117" t="n">
        <v>907</v>
      </c>
      <c r="B915" s="117" t="inlineStr">
        <is>
          <t>2026/06/18 00:00</t>
        </is>
      </c>
      <c r="C915" s="117" t="inlineStr">
        <is>
          <t>PHẠM THỊ DUNG</t>
        </is>
      </c>
      <c r="D915" s="117" t="inlineStr">
        <is>
          <t>01/01/1968</t>
        </is>
      </c>
      <c r="E915" s="117" t="inlineStr">
        <is>
          <t>Giường Nội khoa loại 2 - Khoa Chấn thương chỉnh hình</t>
        </is>
      </c>
      <c r="F915" s="272" t="n">
        <v>1</v>
      </c>
      <c r="G915" s="272" t="n">
        <v>222300</v>
      </c>
    </row>
    <row r="916" ht="17.25" customHeight="1" s="248">
      <c r="A916" s="117" t="n">
        <v>908</v>
      </c>
      <c r="B916" s="117" t="inlineStr">
        <is>
          <t>2026/06/18 00:00</t>
        </is>
      </c>
      <c r="C916" s="117" t="inlineStr">
        <is>
          <t>PHẠM THỊ PHƯƠNG THẢO</t>
        </is>
      </c>
      <c r="D916" s="117" t="inlineStr">
        <is>
          <t>03/06/1998</t>
        </is>
      </c>
      <c r="E916" s="117" t="inlineStr">
        <is>
          <t>Giường Ngoại khoa loại 1 - Khoa Chấn thương chỉnh hình</t>
        </is>
      </c>
      <c r="F916" s="272" t="n">
        <v>1</v>
      </c>
      <c r="G916" s="272" t="n">
        <v>341800</v>
      </c>
    </row>
    <row r="917" ht="17.25" customHeight="1" s="248">
      <c r="A917" s="117" t="n">
        <v>909</v>
      </c>
      <c r="B917" s="117" t="inlineStr">
        <is>
          <t>2026/06/18 00:00</t>
        </is>
      </c>
      <c r="C917" s="117" t="inlineStr">
        <is>
          <t>TIÊU QUỐC TOÀN</t>
        </is>
      </c>
      <c r="D917" s="117" t="inlineStr">
        <is>
          <t>29/12/2004</t>
        </is>
      </c>
      <c r="E917" s="117" t="inlineStr">
        <is>
          <t>Giường Ngoại khoa loại 1 - Khoa Chấn thương chỉnh hình</t>
        </is>
      </c>
      <c r="F917" s="272" t="n">
        <v>1</v>
      </c>
      <c r="G917" s="272" t="n">
        <v>341800</v>
      </c>
    </row>
    <row r="918" ht="17.25" customHeight="1" s="248">
      <c r="A918" s="117" t="n">
        <v>910</v>
      </c>
      <c r="B918" s="117" t="inlineStr">
        <is>
          <t>2026/06/18 00:00</t>
        </is>
      </c>
      <c r="C918" s="117" t="inlineStr">
        <is>
          <t>TRIỆU CẨM THU</t>
        </is>
      </c>
      <c r="D918" s="117" t="inlineStr">
        <is>
          <t>27/03/1973</t>
        </is>
      </c>
      <c r="E918" s="117" t="inlineStr">
        <is>
          <t>Giường Ngoại khoa loại 1 - Khoa Chấn thương chỉnh hình</t>
        </is>
      </c>
      <c r="F918" s="272" t="n">
        <v>1</v>
      </c>
      <c r="G918" s="272" t="n">
        <v>341800</v>
      </c>
    </row>
    <row r="919" ht="17.25" customHeight="1" s="248">
      <c r="A919" s="117" t="n">
        <v>911</v>
      </c>
      <c r="B919" s="117" t="inlineStr">
        <is>
          <t>2026/06/18 00:00</t>
        </is>
      </c>
      <c r="C919" s="117" t="inlineStr">
        <is>
          <t>TRẦN THANH TUYỀN</t>
        </is>
      </c>
      <c r="D919" s="117" t="inlineStr">
        <is>
          <t>05/05/1988</t>
        </is>
      </c>
      <c r="E919" s="117" t="inlineStr">
        <is>
          <t>Giường Nội khoa loại 2 - Khoa Chấn thương chỉnh hình</t>
        </is>
      </c>
      <c r="F919" s="272" t="n">
        <v>1</v>
      </c>
      <c r="G919" s="272" t="n">
        <v>222300</v>
      </c>
    </row>
    <row r="920" ht="17.25" customHeight="1" s="248">
      <c r="A920" s="117" t="n">
        <v>912</v>
      </c>
      <c r="B920" s="117" t="inlineStr">
        <is>
          <t>2026/06/18 00:00</t>
        </is>
      </c>
      <c r="C920" s="117" t="inlineStr">
        <is>
          <t>TRẦN THỊ MỘNG THẮM</t>
        </is>
      </c>
      <c r="D920" s="117" t="inlineStr">
        <is>
          <t>01/01/1970</t>
        </is>
      </c>
      <c r="E920" s="117" t="inlineStr">
        <is>
          <t>Giường Ngoại khoa loại 1 - Khoa Chấn thương chỉnh hình</t>
        </is>
      </c>
      <c r="F920" s="272" t="n">
        <v>1</v>
      </c>
      <c r="G920" s="272" t="n">
        <v>341800</v>
      </c>
    </row>
    <row r="921" ht="17.25" customHeight="1" s="248">
      <c r="A921" s="117" t="n">
        <v>913</v>
      </c>
      <c r="B921" s="117" t="inlineStr">
        <is>
          <t>2026/06/18 00:00</t>
        </is>
      </c>
      <c r="C921" s="117" t="inlineStr">
        <is>
          <t>TRẦN THỊ THÚY NGÂN</t>
        </is>
      </c>
      <c r="D921" s="117" t="inlineStr">
        <is>
          <t>01/01/1978</t>
        </is>
      </c>
      <c r="E921" s="117" t="inlineStr">
        <is>
          <t>Giường Ngoại khoa loại 2 - Khoa Chấn thương chỉnh hình</t>
        </is>
      </c>
      <c r="F921" s="272" t="n">
        <v>1</v>
      </c>
      <c r="G921" s="272" t="n">
        <v>301600</v>
      </c>
    </row>
    <row r="922" ht="17.25" customHeight="1" s="248">
      <c r="A922" s="117" t="n">
        <v>914</v>
      </c>
      <c r="B922" s="117" t="inlineStr">
        <is>
          <t>2026/06/18 00:00</t>
        </is>
      </c>
      <c r="C922" s="117" t="inlineStr">
        <is>
          <t>TÔ VĂN THIỆN</t>
        </is>
      </c>
      <c r="D922" s="117" t="inlineStr">
        <is>
          <t>01/01/1963</t>
        </is>
      </c>
      <c r="E922" s="117" t="inlineStr">
        <is>
          <t>Giường Nội khoa loại 2 - Khoa Chấn thương chỉnh hình</t>
        </is>
      </c>
      <c r="F922" s="272" t="n">
        <v>1</v>
      </c>
      <c r="G922" s="272" t="n">
        <v>222300</v>
      </c>
    </row>
    <row r="923" ht="17.25" customHeight="1" s="248">
      <c r="A923" s="117" t="n">
        <v>915</v>
      </c>
      <c r="B923" s="117" t="inlineStr">
        <is>
          <t>2026/06/18 00:00</t>
        </is>
      </c>
      <c r="C923" s="117" t="inlineStr">
        <is>
          <t>VÕ THỊ THE</t>
        </is>
      </c>
      <c r="D923" s="117" t="inlineStr">
        <is>
          <t>01/01/1963</t>
        </is>
      </c>
      <c r="E923" s="117" t="inlineStr">
        <is>
          <t>Giường Nội khoa loại 2 - Khoa Chấn thương chỉnh hình</t>
        </is>
      </c>
      <c r="F923" s="272" t="n">
        <v>1</v>
      </c>
      <c r="G923" s="272" t="n">
        <v>222300</v>
      </c>
    </row>
    <row r="924" ht="17.25" customHeight="1" s="248">
      <c r="A924" s="117" t="n">
        <v>916</v>
      </c>
      <c r="B924" s="117" t="inlineStr">
        <is>
          <t>2026/06/18 00:00</t>
        </is>
      </c>
      <c r="C924" s="117" t="inlineStr">
        <is>
          <t>VÕ THỊ TUYẾT PHƯƠNG</t>
        </is>
      </c>
      <c r="D924" s="117" t="inlineStr">
        <is>
          <t>20/01/1994</t>
        </is>
      </c>
      <c r="E924" s="117" t="inlineStr">
        <is>
          <t>Giường Ngoại khoa loại 3 - Khoa Chấn thương chỉnh hình</t>
        </is>
      </c>
      <c r="F924" s="272" t="n">
        <v>1</v>
      </c>
      <c r="G924" s="272" t="n">
        <v>269200</v>
      </c>
    </row>
    <row r="925" ht="17.25" customHeight="1" s="248">
      <c r="A925" s="117" t="n">
        <v>917</v>
      </c>
      <c r="B925" s="117" t="inlineStr">
        <is>
          <t>2026/06/18 00:00</t>
        </is>
      </c>
      <c r="C925" s="117" t="inlineStr">
        <is>
          <t>ĐẶNG THỊ XOE</t>
        </is>
      </c>
      <c r="D925" s="117" t="inlineStr">
        <is>
          <t>01/01/1936</t>
        </is>
      </c>
      <c r="E925" s="117" t="inlineStr">
        <is>
          <t>Giường Ngoại khoa loại 2 - Khoa Chấn thương chỉnh hình</t>
        </is>
      </c>
      <c r="F925" s="272" t="n">
        <v>1</v>
      </c>
      <c r="G925" s="272" t="n">
        <v>301600</v>
      </c>
    </row>
    <row r="926" ht="17.25" customHeight="1" s="248">
      <c r="A926" s="117" t="n">
        <v>918</v>
      </c>
      <c r="B926" s="117" t="inlineStr">
        <is>
          <t>2026/06/18 00:00</t>
        </is>
      </c>
      <c r="C926" s="117" t="inlineStr">
        <is>
          <t>HUỲNH KIM ĐỒNG</t>
        </is>
      </c>
      <c r="D926" s="117" t="inlineStr">
        <is>
          <t>01/01/1944</t>
        </is>
      </c>
      <c r="E926" s="117" t="inlineStr">
        <is>
          <t>Giường Ngoại khoa loại 2 - Khoa Chấn thương chỉnh hình</t>
        </is>
      </c>
      <c r="F926" s="272" t="n">
        <v>1</v>
      </c>
      <c r="G926" s="272" t="n">
        <v>301600</v>
      </c>
    </row>
    <row r="927" ht="17.25" customHeight="1" s="248">
      <c r="A927" s="117" t="n">
        <v>919</v>
      </c>
      <c r="B927" s="117" t="inlineStr">
        <is>
          <t>2026/06/18 00:00</t>
        </is>
      </c>
      <c r="C927" s="117" t="inlineStr">
        <is>
          <t>HỒ VĂN DÃ</t>
        </is>
      </c>
      <c r="D927" s="117" t="inlineStr">
        <is>
          <t>21/12/1976</t>
        </is>
      </c>
      <c r="E927" s="117" t="inlineStr">
        <is>
          <t>Giường Ngoại khoa loại 1 - Khoa Chấn thương chỉnh hình</t>
        </is>
      </c>
      <c r="F927" s="272" t="n">
        <v>1</v>
      </c>
      <c r="G927" s="272" t="n">
        <v>341800</v>
      </c>
    </row>
    <row r="928" ht="17.25" customHeight="1" s="248">
      <c r="A928" s="117" t="n">
        <v>920</v>
      </c>
      <c r="B928" s="117" t="inlineStr">
        <is>
          <t>2026/06/18 00:00</t>
        </is>
      </c>
      <c r="C928" s="117" t="inlineStr">
        <is>
          <t>LÊ THỊ QUEN</t>
        </is>
      </c>
      <c r="D928" s="117" t="inlineStr">
        <is>
          <t>01/01/1956</t>
        </is>
      </c>
      <c r="E928" s="117" t="inlineStr">
        <is>
          <t>Giường Nội khoa loại 2 - Khoa Chấn thương chỉnh hình</t>
        </is>
      </c>
      <c r="F928" s="272" t="n">
        <v>1</v>
      </c>
      <c r="G928" s="272" t="n">
        <v>222300</v>
      </c>
    </row>
    <row r="929" ht="17.25" customHeight="1" s="248">
      <c r="A929" s="117" t="n">
        <v>921</v>
      </c>
      <c r="B929" s="117" t="inlineStr">
        <is>
          <t>2026/06/18 00:01</t>
        </is>
      </c>
      <c r="C929" s="117" t="inlineStr">
        <is>
          <t>HUỲNH THỊ THANH HƯỜNG</t>
        </is>
      </c>
      <c r="D929" s="117" t="inlineStr">
        <is>
          <t>01/01/1984</t>
        </is>
      </c>
      <c r="E929" s="117" t="inlineStr">
        <is>
          <t>Giường Nội khoa loại 2 - Khoa Chấn thương chỉnh hình</t>
        </is>
      </c>
      <c r="F929" s="272" t="n">
        <v>1</v>
      </c>
      <c r="G929" s="272" t="n">
        <v>222300</v>
      </c>
    </row>
    <row r="930" ht="17.25" customHeight="1" s="248">
      <c r="A930" s="117" t="n">
        <v>922</v>
      </c>
      <c r="B930" s="117" t="inlineStr">
        <is>
          <t>2026/06/18 07:47</t>
        </is>
      </c>
      <c r="C930" s="117" t="inlineStr">
        <is>
          <t>TRỊNH THÚY NGA</t>
        </is>
      </c>
      <c r="D930" s="117" t="inlineStr">
        <is>
          <t>01/01/1965</t>
        </is>
      </c>
      <c r="E930" s="117" t="inlineStr">
        <is>
          <t>Giường Nội khoa loại 2 - Khoa Chấn thương chỉnh hình</t>
        </is>
      </c>
      <c r="F930" s="272" t="n">
        <v>1</v>
      </c>
      <c r="G930" s="272" t="n">
        <v>222300</v>
      </c>
    </row>
    <row r="931" ht="17.25" customHeight="1" s="248">
      <c r="A931" s="117" t="n">
        <v>923</v>
      </c>
      <c r="B931" s="117" t="inlineStr">
        <is>
          <t>2026/06/18 08:14</t>
        </is>
      </c>
      <c r="C931" s="117" t="inlineStr">
        <is>
          <t>VÕ VĂN HƠN</t>
        </is>
      </c>
      <c r="D931" s="117" t="inlineStr">
        <is>
          <t>26/04/1989</t>
        </is>
      </c>
      <c r="E931" s="117" t="inlineStr">
        <is>
          <t>Giường Nội khoa loại 2 - Khoa Chấn thương chỉnh hình</t>
        </is>
      </c>
      <c r="F931" s="272" t="n">
        <v>1</v>
      </c>
      <c r="G931" s="272" t="n">
        <v>222300</v>
      </c>
    </row>
    <row r="932" ht="17.25" customHeight="1" s="248">
      <c r="A932" s="117" t="n">
        <v>924</v>
      </c>
      <c r="B932" s="117" t="inlineStr">
        <is>
          <t>2026/06/18 08:30</t>
        </is>
      </c>
      <c r="C932" s="117" t="inlineStr">
        <is>
          <t>NGUYỄN NHƯ Ý</t>
        </is>
      </c>
      <c r="D932" s="117" t="inlineStr">
        <is>
          <t>16/09/2000</t>
        </is>
      </c>
      <c r="E932" s="117" t="inlineStr">
        <is>
          <t>Giường Ngoại khoa loại 3 - Khoa Chấn thương chỉnh hình</t>
        </is>
      </c>
      <c r="F932" s="272" t="n">
        <v>1</v>
      </c>
      <c r="G932" s="272" t="n">
        <v>269200</v>
      </c>
    </row>
    <row r="933" ht="17.25" customHeight="1" s="248">
      <c r="A933" s="117" t="n">
        <v>925</v>
      </c>
      <c r="B933" s="117" t="inlineStr">
        <is>
          <t>2026/06/18 08:30</t>
        </is>
      </c>
      <c r="C933" s="117" t="inlineStr">
        <is>
          <t>NGUYỄN THỊ MỘNG LINH</t>
        </is>
      </c>
      <c r="D933" s="117" t="inlineStr">
        <is>
          <t>18/08/1978</t>
        </is>
      </c>
      <c r="E933" s="117" t="inlineStr">
        <is>
          <t>Giường Ngoại khoa loại 1 - Khoa Chấn thương chỉnh hình</t>
        </is>
      </c>
      <c r="F933" s="272" t="n">
        <v>1</v>
      </c>
      <c r="G933" s="272" t="n">
        <v>341800</v>
      </c>
    </row>
    <row r="934" ht="17.25" customHeight="1" s="248">
      <c r="A934" s="117" t="n">
        <v>926</v>
      </c>
      <c r="B934" s="117" t="inlineStr">
        <is>
          <t>2026/06/18 13:01</t>
        </is>
      </c>
      <c r="C934" s="117" t="inlineStr">
        <is>
          <t>TRẦN THỊ BÉ BA</t>
        </is>
      </c>
      <c r="D934" s="117" t="inlineStr">
        <is>
          <t>01/01/1966</t>
        </is>
      </c>
      <c r="E934" s="117" t="inlineStr">
        <is>
          <t>Giường Ngoại khoa loại 4 - Khoa Chấn thương chỉnh hình</t>
        </is>
      </c>
      <c r="F934" s="272" t="n">
        <v>1</v>
      </c>
      <c r="G934" s="272" t="n">
        <v>229200</v>
      </c>
    </row>
    <row r="935" ht="17.25" customHeight="1" s="248">
      <c r="A935" s="117" t="n">
        <v>927</v>
      </c>
      <c r="B935" s="117" t="inlineStr">
        <is>
          <t>2026/06/18 13:28</t>
        </is>
      </c>
      <c r="C935" s="117" t="inlineStr">
        <is>
          <t>TRƯƠNG HOÀNG DIỄM THÚY</t>
        </is>
      </c>
      <c r="D935" s="117" t="inlineStr">
        <is>
          <t>01/01/1985</t>
        </is>
      </c>
      <c r="E935" s="117" t="inlineStr">
        <is>
          <t>Giường Nội khoa loại 2 - Khoa Chấn thương chỉnh hình</t>
        </is>
      </c>
      <c r="F935" s="272" t="n">
        <v>1</v>
      </c>
      <c r="G935" s="272" t="n">
        <v>222300</v>
      </c>
    </row>
    <row r="936" ht="17.25" customHeight="1" s="248">
      <c r="A936" s="117" t="n">
        <v>928</v>
      </c>
      <c r="B936" s="117" t="inlineStr">
        <is>
          <t>2026/06/18 14:39</t>
        </is>
      </c>
      <c r="C936" s="117" t="inlineStr">
        <is>
          <t>LÊ VĂN NỮA</t>
        </is>
      </c>
      <c r="D936" s="117" t="inlineStr">
        <is>
          <t>05/01/1959</t>
        </is>
      </c>
      <c r="E936" s="117" t="inlineStr">
        <is>
          <t>Giường Nội khoa loại 2 - Khoa Chấn thương chỉnh hình</t>
        </is>
      </c>
      <c r="F936" s="272" t="n">
        <v>1</v>
      </c>
      <c r="G936" s="272" t="n">
        <v>250000</v>
      </c>
    </row>
    <row r="937" ht="17.25" customHeight="1" s="248">
      <c r="A937" s="117" t="n">
        <v>929</v>
      </c>
      <c r="B937" s="117" t="inlineStr">
        <is>
          <t>2026/06/18 23:59</t>
        </is>
      </c>
      <c r="C937" s="117" t="inlineStr">
        <is>
          <t>CHUNG VIỆT HÙNG</t>
        </is>
      </c>
      <c r="D937" s="117" t="inlineStr">
        <is>
          <t>01/01/1958</t>
        </is>
      </c>
      <c r="E937" s="117" t="inlineStr">
        <is>
          <t>Giường Nội khoa loại 2 - Khoa Chấn thương chỉnh hình</t>
        </is>
      </c>
      <c r="F937" s="272" t="n">
        <v>1</v>
      </c>
      <c r="G937" s="272" t="n">
        <v>222300</v>
      </c>
    </row>
    <row r="938" ht="17.25" customHeight="1" s="248">
      <c r="A938" s="117" t="n">
        <v>930</v>
      </c>
      <c r="B938" s="117" t="inlineStr">
        <is>
          <t>2026/06/19 00:00</t>
        </is>
      </c>
      <c r="C938" s="117" t="inlineStr">
        <is>
          <t>BÙI THỊ THU BA</t>
        </is>
      </c>
      <c r="D938" s="117" t="inlineStr">
        <is>
          <t>01/01/1960</t>
        </is>
      </c>
      <c r="E938" s="117" t="inlineStr">
        <is>
          <t>Giường Ngoại khoa loại 3 - Khoa Chấn thương chỉnh hình</t>
        </is>
      </c>
      <c r="F938" s="272" t="n">
        <v>1</v>
      </c>
      <c r="G938" s="272" t="n">
        <v>269200</v>
      </c>
    </row>
    <row r="939" ht="17.25" customHeight="1" s="248">
      <c r="A939" s="117" t="n">
        <v>931</v>
      </c>
      <c r="B939" s="117" t="inlineStr">
        <is>
          <t>2026/06/19 00:00</t>
        </is>
      </c>
      <c r="C939" s="117" t="inlineStr">
        <is>
          <t>CAO HÙNG PHONG</t>
        </is>
      </c>
      <c r="D939" s="117" t="inlineStr">
        <is>
          <t>15/04/1969</t>
        </is>
      </c>
      <c r="E939" s="117" t="inlineStr">
        <is>
          <t>Giường Ngoại khoa loại 1 - Khoa Chấn thương chỉnh hình</t>
        </is>
      </c>
      <c r="F939" s="272" t="n">
        <v>1</v>
      </c>
      <c r="G939" s="272" t="n">
        <v>341800</v>
      </c>
    </row>
    <row r="940" ht="17.25" customHeight="1" s="248">
      <c r="A940" s="117" t="n">
        <v>932</v>
      </c>
      <c r="B940" s="117" t="inlineStr">
        <is>
          <t>2026/06/19 00:00</t>
        </is>
      </c>
      <c r="C940" s="117" t="inlineStr">
        <is>
          <t>CAO KIỀU DUYÊN</t>
        </is>
      </c>
      <c r="D940" s="117" t="inlineStr">
        <is>
          <t>12/06/1991</t>
        </is>
      </c>
      <c r="E940" s="117" t="inlineStr">
        <is>
          <t>Giường Ngoại khoa loại 1 - Khoa Chấn thương chỉnh hình</t>
        </is>
      </c>
      <c r="F940" s="272" t="n">
        <v>1</v>
      </c>
      <c r="G940" s="272" t="n">
        <v>341800</v>
      </c>
    </row>
    <row r="941" ht="17.25" customHeight="1" s="248">
      <c r="A941" s="117" t="n">
        <v>933</v>
      </c>
      <c r="B941" s="117" t="inlineStr">
        <is>
          <t>2026/06/19 00:00</t>
        </is>
      </c>
      <c r="C941" s="117" t="inlineStr">
        <is>
          <t>CHIÊM THỊ NHÀN</t>
        </is>
      </c>
      <c r="D941" s="117" t="inlineStr">
        <is>
          <t>01/01/1953</t>
        </is>
      </c>
      <c r="E941" s="117" t="inlineStr">
        <is>
          <t>Giường Ngoại khoa loại 1 - Khoa Chấn thương chỉnh hình</t>
        </is>
      </c>
      <c r="F941" s="272" t="n">
        <v>1</v>
      </c>
      <c r="G941" s="272" t="n">
        <v>341800</v>
      </c>
    </row>
    <row r="942" ht="17.25" customHeight="1" s="248">
      <c r="A942" s="117" t="n">
        <v>934</v>
      </c>
      <c r="B942" s="117" t="inlineStr">
        <is>
          <t>2026/06/19 00:00</t>
        </is>
      </c>
      <c r="C942" s="117" t="inlineStr">
        <is>
          <t>HUỲNH KIM NHO</t>
        </is>
      </c>
      <c r="D942" s="117" t="inlineStr">
        <is>
          <t>03/03/1953</t>
        </is>
      </c>
      <c r="E942" s="117" t="inlineStr">
        <is>
          <t>Giường Nội khoa loại 2 - Khoa Chấn thương chỉnh hình</t>
        </is>
      </c>
      <c r="F942" s="272" t="n">
        <v>1</v>
      </c>
      <c r="G942" s="272" t="n">
        <v>222300</v>
      </c>
    </row>
    <row r="943" ht="17.25" customHeight="1" s="248">
      <c r="A943" s="117" t="n">
        <v>935</v>
      </c>
      <c r="B943" s="117" t="inlineStr">
        <is>
          <t>2026/06/19 00:00</t>
        </is>
      </c>
      <c r="C943" s="117" t="inlineStr">
        <is>
          <t>HUỲNH VĂN CỨ</t>
        </is>
      </c>
      <c r="D943" s="117" t="inlineStr">
        <is>
          <t>01/01/1967</t>
        </is>
      </c>
      <c r="E943" s="117" t="inlineStr">
        <is>
          <t>Giường Ngoại khoa loại 3 - Khoa Chấn thương chỉnh hình</t>
        </is>
      </c>
      <c r="F943" s="272" t="n">
        <v>1</v>
      </c>
      <c r="G943" s="272" t="n">
        <v>269200</v>
      </c>
    </row>
    <row r="944" ht="17.25" customHeight="1" s="248">
      <c r="A944" s="117" t="n">
        <v>936</v>
      </c>
      <c r="B944" s="117" t="inlineStr">
        <is>
          <t>2026/06/19 00:00</t>
        </is>
      </c>
      <c r="C944" s="117" t="inlineStr">
        <is>
          <t>HỒ THỊ HOÀNG</t>
        </is>
      </c>
      <c r="D944" s="117" t="inlineStr">
        <is>
          <t>08/08/1963</t>
        </is>
      </c>
      <c r="E944" s="117" t="inlineStr">
        <is>
          <t>Giường Nội khoa loại 2 - Khoa Chấn thương chỉnh hình</t>
        </is>
      </c>
      <c r="F944" s="272" t="n">
        <v>1</v>
      </c>
      <c r="G944" s="272" t="n">
        <v>222300</v>
      </c>
    </row>
    <row r="945" ht="17.25" customHeight="1" s="248">
      <c r="A945" s="117" t="n">
        <v>937</v>
      </c>
      <c r="B945" s="117" t="inlineStr">
        <is>
          <t>2026/06/19 00:00</t>
        </is>
      </c>
      <c r="C945" s="117" t="inlineStr">
        <is>
          <t>LÊ THỊ CẨM VÂN</t>
        </is>
      </c>
      <c r="D945" s="117" t="inlineStr">
        <is>
          <t>20/05/1985</t>
        </is>
      </c>
      <c r="E945" s="117" t="inlineStr">
        <is>
          <t>Giường Nội khoa loại 2 - Khoa Chấn thương chỉnh hình</t>
        </is>
      </c>
      <c r="F945" s="272" t="n">
        <v>1</v>
      </c>
      <c r="G945" s="272" t="n">
        <v>222300</v>
      </c>
    </row>
    <row r="946" ht="17.25" customHeight="1" s="248">
      <c r="A946" s="117" t="n">
        <v>938</v>
      </c>
      <c r="B946" s="117" t="inlineStr">
        <is>
          <t>2026/06/19 00:00</t>
        </is>
      </c>
      <c r="C946" s="117" t="inlineStr">
        <is>
          <t>LÊ THỊ KIM ĐIỂU</t>
        </is>
      </c>
      <c r="D946" s="117" t="inlineStr">
        <is>
          <t>12/12/1958</t>
        </is>
      </c>
      <c r="E946" s="117" t="inlineStr">
        <is>
          <t>Giường Ngoại khoa loại 3 - Khoa Chấn thương chỉnh hình</t>
        </is>
      </c>
      <c r="F946" s="272" t="n">
        <v>1</v>
      </c>
      <c r="G946" s="272" t="n">
        <v>269200</v>
      </c>
    </row>
    <row r="947" ht="17.25" customHeight="1" s="248">
      <c r="A947" s="117" t="n">
        <v>939</v>
      </c>
      <c r="B947" s="117" t="inlineStr">
        <is>
          <t>2026/06/19 00:00</t>
        </is>
      </c>
      <c r="C947" s="117" t="inlineStr">
        <is>
          <t>LÊ THỊ LỆ</t>
        </is>
      </c>
      <c r="D947" s="117" t="inlineStr">
        <is>
          <t>01/01/1957</t>
        </is>
      </c>
      <c r="E947" s="117" t="inlineStr">
        <is>
          <t>Giường Nội khoa loại 2 - Khoa Chấn thương chỉnh hình</t>
        </is>
      </c>
      <c r="F947" s="272" t="n">
        <v>1</v>
      </c>
      <c r="G947" s="272" t="n">
        <v>222300</v>
      </c>
    </row>
    <row r="948" ht="17.25" customHeight="1" s="248">
      <c r="A948" s="117" t="n">
        <v>940</v>
      </c>
      <c r="B948" s="117" t="inlineStr">
        <is>
          <t>2026/06/19 00:00</t>
        </is>
      </c>
      <c r="C948" s="117" t="inlineStr">
        <is>
          <t>MAI THÀNH DƯƠNG</t>
        </is>
      </c>
      <c r="D948" s="117" t="inlineStr">
        <is>
          <t>10/04/1964</t>
        </is>
      </c>
      <c r="E948" s="117" t="inlineStr">
        <is>
          <t>Giường Nội khoa loại 2 - Khoa Chấn thương chỉnh hình</t>
        </is>
      </c>
      <c r="F948" s="272" t="n">
        <v>1</v>
      </c>
      <c r="G948" s="272" t="n">
        <v>222300</v>
      </c>
    </row>
    <row r="949" ht="17.25" customHeight="1" s="248">
      <c r="A949" s="117" t="n">
        <v>941</v>
      </c>
      <c r="B949" s="117" t="inlineStr">
        <is>
          <t>2026/06/19 00:00</t>
        </is>
      </c>
      <c r="C949" s="117" t="inlineStr">
        <is>
          <t>NGUYỄN MINH NHỰT</t>
        </is>
      </c>
      <c r="D949" s="117" t="inlineStr">
        <is>
          <t>10/06/1988</t>
        </is>
      </c>
      <c r="E949" s="117" t="inlineStr">
        <is>
          <t>Giường Ngoại khoa loại 1 - Khoa Chấn thương chỉnh hình</t>
        </is>
      </c>
      <c r="F949" s="272" t="n">
        <v>1</v>
      </c>
      <c r="G949" s="272" t="n">
        <v>341800</v>
      </c>
    </row>
    <row r="950" ht="17.25" customHeight="1" s="248">
      <c r="A950" s="117" t="n">
        <v>942</v>
      </c>
      <c r="B950" s="117" t="inlineStr">
        <is>
          <t>2026/06/19 00:00</t>
        </is>
      </c>
      <c r="C950" s="117" t="inlineStr">
        <is>
          <t>NGUYỄN THỊ KIỀU LOAN</t>
        </is>
      </c>
      <c r="D950" s="117" t="inlineStr">
        <is>
          <t>01/01/1970</t>
        </is>
      </c>
      <c r="E950" s="117" t="inlineStr">
        <is>
          <t>Giường Ngoại khoa loại 4 - Khoa Chấn thương chỉnh hình</t>
        </is>
      </c>
      <c r="F950" s="272" t="n">
        <v>1</v>
      </c>
      <c r="G950" s="272" t="n">
        <v>229200</v>
      </c>
    </row>
    <row r="951" ht="17.25" customHeight="1" s="248">
      <c r="A951" s="117" t="n">
        <v>943</v>
      </c>
      <c r="B951" s="117" t="inlineStr">
        <is>
          <t>2026/06/19 00:00</t>
        </is>
      </c>
      <c r="C951" s="117" t="inlineStr">
        <is>
          <t>NGUYỄN THỊ MƯỜI</t>
        </is>
      </c>
      <c r="D951" s="117" t="inlineStr">
        <is>
          <t>01/01/1951</t>
        </is>
      </c>
      <c r="E951" s="117" t="inlineStr">
        <is>
          <t>Giường Ngoại khoa loại 1 - Khoa Chấn thương chỉnh hình</t>
        </is>
      </c>
      <c r="F951" s="272" t="n">
        <v>1</v>
      </c>
      <c r="G951" s="272" t="n">
        <v>341800</v>
      </c>
    </row>
    <row r="952" ht="17.25" customHeight="1" s="248">
      <c r="A952" s="117" t="n">
        <v>944</v>
      </c>
      <c r="B952" s="117" t="inlineStr">
        <is>
          <t>2026/06/19 00:00</t>
        </is>
      </c>
      <c r="C952" s="117" t="inlineStr">
        <is>
          <t>NGUYỄN THỊ NGỌC DUYÊN</t>
        </is>
      </c>
      <c r="D952" s="117" t="inlineStr">
        <is>
          <t>01/02/1971</t>
        </is>
      </c>
      <c r="E952" s="117" t="inlineStr">
        <is>
          <t>Giường Ngoại khoa loại 1 - Khoa Chấn thương chỉnh hình</t>
        </is>
      </c>
      <c r="F952" s="272" t="n">
        <v>1</v>
      </c>
      <c r="G952" s="272" t="n">
        <v>341800</v>
      </c>
    </row>
    <row r="953" ht="17.25" customHeight="1" s="248">
      <c r="A953" s="117" t="n">
        <v>945</v>
      </c>
      <c r="B953" s="117" t="inlineStr">
        <is>
          <t>2026/06/19 00:00</t>
        </is>
      </c>
      <c r="C953" s="117" t="inlineStr">
        <is>
          <t>PHAN VĂN ĐƯỢC</t>
        </is>
      </c>
      <c r="D953" s="117" t="inlineStr">
        <is>
          <t>01/01/1934</t>
        </is>
      </c>
      <c r="E953" s="117" t="inlineStr">
        <is>
          <t>Giường Nội khoa loại 2 - Khoa Chấn thương chỉnh hình</t>
        </is>
      </c>
      <c r="F953" s="272" t="n">
        <v>1</v>
      </c>
      <c r="G953" s="272" t="n">
        <v>222300</v>
      </c>
    </row>
    <row r="954" ht="17.25" customHeight="1" s="248">
      <c r="A954" s="117" t="n">
        <v>946</v>
      </c>
      <c r="B954" s="117" t="inlineStr">
        <is>
          <t>2026/06/19 00:00</t>
        </is>
      </c>
      <c r="C954" s="117" t="inlineStr">
        <is>
          <t>PHẠM THỊ DUNG</t>
        </is>
      </c>
      <c r="D954" s="117" t="inlineStr">
        <is>
          <t>01/01/1968</t>
        </is>
      </c>
      <c r="E954" s="117" t="inlineStr">
        <is>
          <t>Giường Nội khoa loại 2 - Khoa Chấn thương chỉnh hình</t>
        </is>
      </c>
      <c r="F954" s="272" t="n">
        <v>1</v>
      </c>
      <c r="G954" s="272" t="n">
        <v>222300</v>
      </c>
    </row>
    <row r="955" ht="17.25" customHeight="1" s="248">
      <c r="A955" s="117" t="n">
        <v>947</v>
      </c>
      <c r="B955" s="117" t="inlineStr">
        <is>
          <t>2026/06/19 00:00</t>
        </is>
      </c>
      <c r="C955" s="117" t="inlineStr">
        <is>
          <t>PHẠM THỊ PHƯƠNG THẢO</t>
        </is>
      </c>
      <c r="D955" s="117" t="inlineStr">
        <is>
          <t>03/06/1998</t>
        </is>
      </c>
      <c r="E955" s="117" t="inlineStr">
        <is>
          <t>Giường Ngoại khoa loại 1 - Khoa Chấn thương chỉnh hình</t>
        </is>
      </c>
      <c r="F955" s="272" t="n">
        <v>1</v>
      </c>
      <c r="G955" s="272" t="n">
        <v>341800</v>
      </c>
    </row>
    <row r="956" ht="17.25" customHeight="1" s="248">
      <c r="A956" s="117" t="n">
        <v>948</v>
      </c>
      <c r="B956" s="117" t="inlineStr">
        <is>
          <t>2026/06/19 00:00</t>
        </is>
      </c>
      <c r="C956" s="117" t="inlineStr">
        <is>
          <t>TRẦN THỊ THÚY NGÂN</t>
        </is>
      </c>
      <c r="D956" s="117" t="inlineStr">
        <is>
          <t>01/01/1978</t>
        </is>
      </c>
      <c r="E956" s="117" t="inlineStr">
        <is>
          <t>Giường Ngoại khoa loại 2 - Khoa Chấn thương chỉnh hình</t>
        </is>
      </c>
      <c r="F956" s="272" t="n">
        <v>1</v>
      </c>
      <c r="G956" s="272" t="n">
        <v>301600</v>
      </c>
    </row>
    <row r="957" ht="17.25" customHeight="1" s="248">
      <c r="A957" s="117" t="n">
        <v>949</v>
      </c>
      <c r="B957" s="117" t="inlineStr">
        <is>
          <t>2026/06/19 00:00</t>
        </is>
      </c>
      <c r="C957" s="117" t="inlineStr">
        <is>
          <t>TÔ VĂN THIỆN</t>
        </is>
      </c>
      <c r="D957" s="117" t="inlineStr">
        <is>
          <t>01/01/1963</t>
        </is>
      </c>
      <c r="E957" s="117" t="inlineStr">
        <is>
          <t>Giường Nội khoa loại 2 - Khoa Chấn thương chỉnh hình</t>
        </is>
      </c>
      <c r="F957" s="272" t="n">
        <v>1</v>
      </c>
      <c r="G957" s="272" t="n">
        <v>222300</v>
      </c>
    </row>
    <row r="958" ht="17.25" customHeight="1" s="248">
      <c r="A958" s="117" t="n">
        <v>950</v>
      </c>
      <c r="B958" s="117" t="inlineStr">
        <is>
          <t>2026/06/19 00:00</t>
        </is>
      </c>
      <c r="C958" s="117" t="inlineStr">
        <is>
          <t>ĐẶNG THỊ XOE</t>
        </is>
      </c>
      <c r="D958" s="117" t="inlineStr">
        <is>
          <t>01/01/1936</t>
        </is>
      </c>
      <c r="E958" s="117" t="inlineStr">
        <is>
          <t>Giường Ngoại khoa loại 2 - Khoa Chấn thương chỉnh hình</t>
        </is>
      </c>
      <c r="F958" s="272" t="n">
        <v>1</v>
      </c>
      <c r="G958" s="272" t="n">
        <v>301600</v>
      </c>
    </row>
    <row r="959" ht="17.25" customHeight="1" s="248">
      <c r="A959" s="117" t="n">
        <v>951</v>
      </c>
      <c r="B959" s="117" t="inlineStr">
        <is>
          <t>2026/06/19 00:00</t>
        </is>
      </c>
      <c r="C959" s="117" t="inlineStr">
        <is>
          <t>CHÂU THỊ A</t>
        </is>
      </c>
      <c r="D959" s="117" t="inlineStr">
        <is>
          <t>01/01/1958</t>
        </is>
      </c>
      <c r="E959" s="117" t="inlineStr">
        <is>
          <t>Giường Ngoại khoa loại 3 - Khoa Chấn thương chỉnh hình</t>
        </is>
      </c>
      <c r="F959" s="272" t="n">
        <v>1</v>
      </c>
      <c r="G959" s="272" t="n">
        <v>269200</v>
      </c>
    </row>
    <row r="960" ht="17.25" customHeight="1" s="248">
      <c r="A960" s="117" t="n">
        <v>952</v>
      </c>
      <c r="B960" s="117" t="inlineStr">
        <is>
          <t>2026/06/19 00:00</t>
        </is>
      </c>
      <c r="C960" s="117" t="inlineStr">
        <is>
          <t>LÊ THỊ QUEN</t>
        </is>
      </c>
      <c r="D960" s="117" t="inlineStr">
        <is>
          <t>01/01/1956</t>
        </is>
      </c>
      <c r="E960" s="117" t="inlineStr">
        <is>
          <t>Giường Nội khoa loại 2 - Khoa Chấn thương chỉnh hình</t>
        </is>
      </c>
      <c r="F960" s="272" t="n">
        <v>1</v>
      </c>
      <c r="G960" s="272" t="n">
        <v>222300</v>
      </c>
    </row>
    <row r="961" ht="17.25" customHeight="1" s="248">
      <c r="A961" s="117" t="n">
        <v>953</v>
      </c>
      <c r="B961" s="117" t="inlineStr">
        <is>
          <t>2026/06/19 13:01</t>
        </is>
      </c>
      <c r="C961" s="117" t="inlineStr">
        <is>
          <t>TRẦN THỊ BÉ BA</t>
        </is>
      </c>
      <c r="D961" s="117" t="inlineStr">
        <is>
          <t>01/01/1966</t>
        </is>
      </c>
      <c r="E961" s="117" t="inlineStr">
        <is>
          <t>Giường Ngoại khoa loại 4 - Khoa Chấn thương chỉnh hình</t>
        </is>
      </c>
      <c r="F961" s="272" t="n">
        <v>1</v>
      </c>
      <c r="G961" s="272" t="n">
        <v>229200</v>
      </c>
    </row>
    <row r="962" ht="17.25" customHeight="1" s="248">
      <c r="A962" s="117" t="n">
        <v>954</v>
      </c>
      <c r="B962" s="117" t="inlineStr">
        <is>
          <t>2026/06/19 13:46</t>
        </is>
      </c>
      <c r="C962" s="117" t="inlineStr">
        <is>
          <t>HUỲNH THỊ THANH HƯỜNG</t>
        </is>
      </c>
      <c r="D962" s="117" t="inlineStr">
        <is>
          <t>01/01/1984</t>
        </is>
      </c>
      <c r="E962" s="117" t="inlineStr">
        <is>
          <t>Giường Ngoại khoa loại 1 - Khoa Chấn thương chỉnh hình</t>
        </is>
      </c>
      <c r="F962" s="272" t="n">
        <v>1</v>
      </c>
      <c r="G962" s="272" t="n">
        <v>341800</v>
      </c>
    </row>
    <row r="963" ht="17.25" customHeight="1" s="248">
      <c r="A963" s="117" t="n">
        <v>955</v>
      </c>
      <c r="B963" s="117" t="inlineStr">
        <is>
          <t>2026/06/19 14:00</t>
        </is>
      </c>
      <c r="C963" s="117" t="inlineStr">
        <is>
          <t>TRỊNH THÚY NGA</t>
        </is>
      </c>
      <c r="D963" s="117" t="inlineStr">
        <is>
          <t>01/01/1965</t>
        </is>
      </c>
      <c r="E963" s="117" t="inlineStr">
        <is>
          <t>Giường Ngoại khoa loại 4 - Khoa Chấn thương chỉnh hình</t>
        </is>
      </c>
      <c r="F963" s="272" t="n">
        <v>1</v>
      </c>
      <c r="G963" s="272" t="n">
        <v>229200</v>
      </c>
    </row>
    <row r="964" ht="17.25" customHeight="1" s="248">
      <c r="A964" s="117" t="n">
        <v>956</v>
      </c>
      <c r="B964" s="117" t="inlineStr">
        <is>
          <t>2026/06/19 16:46</t>
        </is>
      </c>
      <c r="C964" s="117" t="inlineStr">
        <is>
          <t>NGUYỄN VĂN MƯỜI</t>
        </is>
      </c>
      <c r="D964" s="117" t="inlineStr">
        <is>
          <t>26/10/1964</t>
        </is>
      </c>
      <c r="E964" s="117" t="inlineStr">
        <is>
          <t>Giường Ngoại khoa loại 2 - Khoa Chấn thương chỉnh hình</t>
        </is>
      </c>
      <c r="F964" s="272" t="n">
        <v>1</v>
      </c>
      <c r="G964" s="272" t="n">
        <v>301600</v>
      </c>
    </row>
    <row r="965" ht="17.25" customHeight="1" s="248">
      <c r="A965" s="117" t="n">
        <v>957</v>
      </c>
      <c r="B965" s="117" t="inlineStr">
        <is>
          <t>2026/06/19 17:10</t>
        </is>
      </c>
      <c r="C965" s="117" t="inlineStr">
        <is>
          <t>VÕ VĂN HƠN</t>
        </is>
      </c>
      <c r="D965" s="117" t="inlineStr">
        <is>
          <t>26/04/1989</t>
        </is>
      </c>
      <c r="E965" s="117" t="inlineStr">
        <is>
          <t>Giường Ngoại khoa loại 1 - Khoa Chấn thương chỉnh hình</t>
        </is>
      </c>
      <c r="F965" s="272" t="n">
        <v>1</v>
      </c>
      <c r="G965" s="272" t="n">
        <v>341800</v>
      </c>
    </row>
    <row r="966" ht="17.25" customHeight="1" s="248">
      <c r="A966" s="117" t="n">
        <v>958</v>
      </c>
      <c r="B966" s="117" t="inlineStr">
        <is>
          <t>2026/06/19 19:00</t>
        </is>
      </c>
      <c r="C966" s="117" t="inlineStr">
        <is>
          <t>VÕ THỊ THE</t>
        </is>
      </c>
      <c r="D966" s="117" t="inlineStr">
        <is>
          <t>01/01/1963</t>
        </is>
      </c>
      <c r="E966" s="117" t="inlineStr">
        <is>
          <t>Giường Ngoại khoa loại 1 - Khoa Chấn thương chỉnh hình</t>
        </is>
      </c>
      <c r="F966" s="272" t="n">
        <v>1</v>
      </c>
      <c r="G966" s="272" t="n">
        <v>341800</v>
      </c>
    </row>
    <row r="967" ht="17.25" customHeight="1" s="248">
      <c r="A967" s="117" t="n">
        <v>959</v>
      </c>
      <c r="B967" s="117" t="inlineStr">
        <is>
          <t>2026/06/19 23:59</t>
        </is>
      </c>
      <c r="C967" s="117" t="inlineStr">
        <is>
          <t>CHUNG VIỆT HÙNG</t>
        </is>
      </c>
      <c r="D967" s="117" t="inlineStr">
        <is>
          <t>01/01/1958</t>
        </is>
      </c>
      <c r="E967" s="117" t="inlineStr">
        <is>
          <t>Giường Nội khoa loại 2 - Khoa Chấn thương chỉnh hình</t>
        </is>
      </c>
      <c r="F967" s="272" t="n">
        <v>1</v>
      </c>
      <c r="G967" s="272" t="n">
        <v>222300</v>
      </c>
    </row>
    <row r="968" ht="17.25" customHeight="1" s="248">
      <c r="A968" s="117" t="n">
        <v>960</v>
      </c>
      <c r="B968" s="117" t="inlineStr">
        <is>
          <t>2026/06/20 00:00</t>
        </is>
      </c>
      <c r="C968" s="117" t="inlineStr">
        <is>
          <t>BÙI THỊ THU BA</t>
        </is>
      </c>
      <c r="D968" s="117" t="inlineStr">
        <is>
          <t>01/01/1960</t>
        </is>
      </c>
      <c r="E968" s="117" t="inlineStr">
        <is>
          <t>Giường Ngoại khoa loại 3 - Khoa Chấn thương chỉnh hình</t>
        </is>
      </c>
      <c r="F968" s="272" t="n">
        <v>1</v>
      </c>
      <c r="G968" s="272" t="n">
        <v>269200</v>
      </c>
    </row>
    <row r="969" ht="17.25" customHeight="1" s="248">
      <c r="A969" s="117" t="n">
        <v>961</v>
      </c>
      <c r="B969" s="117" t="inlineStr">
        <is>
          <t>2026/06/20 00:00</t>
        </is>
      </c>
      <c r="C969" s="117" t="inlineStr">
        <is>
          <t>CHIÊM THỊ NHÀN</t>
        </is>
      </c>
      <c r="D969" s="117" t="inlineStr">
        <is>
          <t>01/01/1953</t>
        </is>
      </c>
      <c r="E969" s="117" t="inlineStr">
        <is>
          <t>Giường Ngoại khoa loại 1 - Khoa Chấn thương chỉnh hình</t>
        </is>
      </c>
      <c r="F969" s="272" t="n">
        <v>1</v>
      </c>
      <c r="G969" s="272" t="n">
        <v>341800</v>
      </c>
    </row>
    <row r="970" ht="17.25" customHeight="1" s="248">
      <c r="A970" s="117" t="n">
        <v>962</v>
      </c>
      <c r="B970" s="117" t="inlineStr">
        <is>
          <t>2026/06/20 00:00</t>
        </is>
      </c>
      <c r="C970" s="117" t="inlineStr">
        <is>
          <t>HUỲNH VĂN CỨ</t>
        </is>
      </c>
      <c r="D970" s="117" t="inlineStr">
        <is>
          <t>01/01/1967</t>
        </is>
      </c>
      <c r="E970" s="117" t="inlineStr">
        <is>
          <t>Giường Ngoại khoa loại 3 - Khoa Chấn thương chỉnh hình</t>
        </is>
      </c>
      <c r="F970" s="272" t="n">
        <v>1</v>
      </c>
      <c r="G970" s="272" t="n">
        <v>269200</v>
      </c>
    </row>
    <row r="971" ht="17.25" customHeight="1" s="248">
      <c r="A971" s="117" t="n">
        <v>963</v>
      </c>
      <c r="B971" s="117" t="inlineStr">
        <is>
          <t>2026/06/20 00:00</t>
        </is>
      </c>
      <c r="C971" s="117" t="inlineStr">
        <is>
          <t>HỒ THỊ HOÀNG</t>
        </is>
      </c>
      <c r="D971" s="117" t="inlineStr">
        <is>
          <t>08/08/1963</t>
        </is>
      </c>
      <c r="E971" s="117" t="inlineStr">
        <is>
          <t>Giường Nội khoa loại 2 - Khoa Chấn thương chỉnh hình</t>
        </is>
      </c>
      <c r="F971" s="272" t="n">
        <v>1</v>
      </c>
      <c r="G971" s="272" t="n">
        <v>222300</v>
      </c>
    </row>
    <row r="972" ht="17.25" customHeight="1" s="248">
      <c r="A972" s="117" t="n">
        <v>964</v>
      </c>
      <c r="B972" s="117" t="inlineStr">
        <is>
          <t>2026/06/20 00:00</t>
        </is>
      </c>
      <c r="C972" s="117" t="inlineStr">
        <is>
          <t>LÊ THỊ KIM ĐIỂU</t>
        </is>
      </c>
      <c r="D972" s="117" t="inlineStr">
        <is>
          <t>12/12/1958</t>
        </is>
      </c>
      <c r="E972" s="117" t="inlineStr">
        <is>
          <t>Giường Ngoại khoa loại 3 - Khoa Chấn thương chỉnh hình</t>
        </is>
      </c>
      <c r="F972" s="272" t="n">
        <v>1</v>
      </c>
      <c r="G972" s="272" t="n">
        <v>269200</v>
      </c>
    </row>
    <row r="973" ht="17.25" customHeight="1" s="248">
      <c r="A973" s="117" t="n">
        <v>965</v>
      </c>
      <c r="B973" s="117" t="inlineStr">
        <is>
          <t>2026/06/20 00:00</t>
        </is>
      </c>
      <c r="C973" s="117" t="inlineStr">
        <is>
          <t>LÊ THỊ LỆ</t>
        </is>
      </c>
      <c r="D973" s="117" t="inlineStr">
        <is>
          <t>01/01/1957</t>
        </is>
      </c>
      <c r="E973" s="117" t="inlineStr">
        <is>
          <t>Giường Nội khoa loại 2 - Khoa Chấn thương chỉnh hình</t>
        </is>
      </c>
      <c r="F973" s="272" t="n">
        <v>1</v>
      </c>
      <c r="G973" s="272" t="n">
        <v>222300</v>
      </c>
    </row>
    <row r="974" ht="17.25" customHeight="1" s="248">
      <c r="A974" s="117" t="n">
        <v>966</v>
      </c>
      <c r="B974" s="117" t="inlineStr">
        <is>
          <t>2026/06/20 00:00</t>
        </is>
      </c>
      <c r="C974" s="117" t="inlineStr">
        <is>
          <t>MAI THÀNH DƯƠNG</t>
        </is>
      </c>
      <c r="D974" s="117" t="inlineStr">
        <is>
          <t>10/04/1964</t>
        </is>
      </c>
      <c r="E974" s="117" t="inlineStr">
        <is>
          <t>Giường Nội khoa loại 2 - Khoa Chấn thương chỉnh hình</t>
        </is>
      </c>
      <c r="F974" s="272" t="n">
        <v>1</v>
      </c>
      <c r="G974" s="272" t="n">
        <v>222300</v>
      </c>
    </row>
    <row r="975" ht="17.25" customHeight="1" s="248">
      <c r="A975" s="117" t="n">
        <v>967</v>
      </c>
      <c r="B975" s="117" t="inlineStr">
        <is>
          <t>2026/06/20 00:00</t>
        </is>
      </c>
      <c r="C975" s="117" t="inlineStr">
        <is>
          <t>NGUYỄN THỊ KIỀU LOAN</t>
        </is>
      </c>
      <c r="D975" s="117" t="inlineStr">
        <is>
          <t>01/01/1970</t>
        </is>
      </c>
      <c r="E975" s="117" t="inlineStr">
        <is>
          <t>Giường Ngoại khoa loại 4 - Khoa Chấn thương chỉnh hình</t>
        </is>
      </c>
      <c r="F975" s="272" t="n">
        <v>1</v>
      </c>
      <c r="G975" s="272" t="n">
        <v>229200</v>
      </c>
    </row>
    <row r="976" ht="17.25" customHeight="1" s="248">
      <c r="A976" s="117" t="n">
        <v>968</v>
      </c>
      <c r="B976" s="117" t="inlineStr">
        <is>
          <t>2026/06/20 00:00</t>
        </is>
      </c>
      <c r="C976" s="117" t="inlineStr">
        <is>
          <t>NGUYỄN THỊ MƯỜI</t>
        </is>
      </c>
      <c r="D976" s="117" t="inlineStr">
        <is>
          <t>01/01/1951</t>
        </is>
      </c>
      <c r="E976" s="117" t="inlineStr">
        <is>
          <t>Giường Ngoại khoa loại 1 - Khoa Chấn thương chỉnh hình</t>
        </is>
      </c>
      <c r="F976" s="272" t="n">
        <v>1</v>
      </c>
      <c r="G976" s="272" t="n">
        <v>341800</v>
      </c>
    </row>
    <row r="977" ht="17.25" customHeight="1" s="248">
      <c r="A977" s="117" t="n">
        <v>969</v>
      </c>
      <c r="B977" s="117" t="inlineStr">
        <is>
          <t>2026/06/20 00:00</t>
        </is>
      </c>
      <c r="C977" s="117" t="inlineStr">
        <is>
          <t>NGUYỄN THỊ NGỌC DUYÊN</t>
        </is>
      </c>
      <c r="D977" s="117" t="inlineStr">
        <is>
          <t>01/02/1971</t>
        </is>
      </c>
      <c r="E977" s="117" t="inlineStr">
        <is>
          <t>Giường Ngoại khoa loại 1 - Khoa Chấn thương chỉnh hình</t>
        </is>
      </c>
      <c r="F977" s="272" t="n">
        <v>1</v>
      </c>
      <c r="G977" s="272" t="n">
        <v>341800</v>
      </c>
    </row>
    <row r="978" ht="17.25" customHeight="1" s="248">
      <c r="A978" s="117" t="n">
        <v>970</v>
      </c>
      <c r="B978" s="117" t="inlineStr">
        <is>
          <t>2026/06/20 00:00</t>
        </is>
      </c>
      <c r="C978" s="117" t="inlineStr">
        <is>
          <t>PHAN VĂN ĐƯỢC</t>
        </is>
      </c>
      <c r="D978" s="117" t="inlineStr">
        <is>
          <t>01/01/1934</t>
        </is>
      </c>
      <c r="E978" s="117" t="inlineStr">
        <is>
          <t>Giường Nội khoa loại 2 - Khoa Chấn thương chỉnh hình</t>
        </is>
      </c>
      <c r="F978" s="272" t="n">
        <v>1</v>
      </c>
      <c r="G978" s="272" t="n">
        <v>222300</v>
      </c>
    </row>
    <row r="979" ht="17.25" customHeight="1" s="248">
      <c r="A979" s="117" t="n">
        <v>971</v>
      </c>
      <c r="B979" s="117" t="inlineStr">
        <is>
          <t>2026/06/20 00:00</t>
        </is>
      </c>
      <c r="C979" s="117" t="inlineStr">
        <is>
          <t>PHẠM THỊ PHƯƠNG THẢO</t>
        </is>
      </c>
      <c r="D979" s="117" t="inlineStr">
        <is>
          <t>03/06/1998</t>
        </is>
      </c>
      <c r="E979" s="117" t="inlineStr">
        <is>
          <t>Giường Ngoại khoa loại 1 - Khoa Chấn thương chỉnh hình</t>
        </is>
      </c>
      <c r="F979" s="272" t="n">
        <v>1</v>
      </c>
      <c r="G979" s="272" t="n">
        <v>341800</v>
      </c>
    </row>
    <row r="980" ht="17.25" customHeight="1" s="248">
      <c r="A980" s="117" t="n">
        <v>972</v>
      </c>
      <c r="B980" s="117" t="inlineStr">
        <is>
          <t>2026/06/20 00:00</t>
        </is>
      </c>
      <c r="C980" s="117" t="inlineStr">
        <is>
          <t>TRƯƠNG HOÀNG DIỄM THÚY</t>
        </is>
      </c>
      <c r="D980" s="117" t="inlineStr">
        <is>
          <t>01/01/1985</t>
        </is>
      </c>
      <c r="E980" s="117" t="inlineStr">
        <is>
          <t>Giường Ngoại khoa loại 3 - Khoa Chấn thương chỉnh hình</t>
        </is>
      </c>
      <c r="F980" s="272" t="n">
        <v>1</v>
      </c>
      <c r="G980" s="272" t="n">
        <v>269200</v>
      </c>
    </row>
    <row r="981" ht="17.25" customHeight="1" s="248">
      <c r="A981" s="117" t="n">
        <v>973</v>
      </c>
      <c r="B981" s="117" t="inlineStr">
        <is>
          <t>2026/06/20 00:00</t>
        </is>
      </c>
      <c r="C981" s="117" t="inlineStr">
        <is>
          <t>TRẦN THỊ THÚY NGÂN</t>
        </is>
      </c>
      <c r="D981" s="117" t="inlineStr">
        <is>
          <t>01/01/1978</t>
        </is>
      </c>
      <c r="E981" s="117" t="inlineStr">
        <is>
          <t>Giường Ngoại khoa loại 2 - Khoa Chấn thương chỉnh hình</t>
        </is>
      </c>
      <c r="F981" s="272" t="n">
        <v>1</v>
      </c>
      <c r="G981" s="272" t="n">
        <v>301600</v>
      </c>
    </row>
    <row r="982" ht="17.25" customHeight="1" s="248">
      <c r="A982" s="117" t="n">
        <v>974</v>
      </c>
      <c r="B982" s="117" t="inlineStr">
        <is>
          <t>2026/06/20 00:00</t>
        </is>
      </c>
      <c r="C982" s="117" t="inlineStr">
        <is>
          <t>TRỊNH THÚY NGA</t>
        </is>
      </c>
      <c r="D982" s="117" t="inlineStr">
        <is>
          <t>01/01/1965</t>
        </is>
      </c>
      <c r="E982" s="117" t="inlineStr">
        <is>
          <t>Giường Ngoại khoa loại 4 - Khoa Chấn thương chỉnh hình</t>
        </is>
      </c>
      <c r="F982" s="272" t="n">
        <v>1</v>
      </c>
      <c r="G982" s="272" t="n">
        <v>229200</v>
      </c>
    </row>
    <row r="983" ht="17.25" customHeight="1" s="248">
      <c r="A983" s="117" t="n">
        <v>975</v>
      </c>
      <c r="B983" s="117" t="inlineStr">
        <is>
          <t>2026/06/20 00:00</t>
        </is>
      </c>
      <c r="C983" s="117" t="inlineStr">
        <is>
          <t>TÔ VĂN THIỆN</t>
        </is>
      </c>
      <c r="D983" s="117" t="inlineStr">
        <is>
          <t>01/01/1963</t>
        </is>
      </c>
      <c r="E983" s="117" t="inlineStr">
        <is>
          <t>Giường Nội khoa loại 2 - Khoa Chấn thương chỉnh hình</t>
        </is>
      </c>
      <c r="F983" s="272" t="n">
        <v>1</v>
      </c>
      <c r="G983" s="272" t="n">
        <v>222300</v>
      </c>
    </row>
    <row r="984" ht="17.25" customHeight="1" s="248">
      <c r="A984" s="117" t="n">
        <v>976</v>
      </c>
      <c r="B984" s="117" t="inlineStr">
        <is>
          <t>2026/06/20 00:00</t>
        </is>
      </c>
      <c r="C984" s="117" t="inlineStr">
        <is>
          <t>VÕ VĂN HƠN</t>
        </is>
      </c>
      <c r="D984" s="117" t="inlineStr">
        <is>
          <t>26/04/1989</t>
        </is>
      </c>
      <c r="E984" s="117" t="inlineStr">
        <is>
          <t>Giường Ngoại khoa loại 1 - Khoa Chấn thương chỉnh hình</t>
        </is>
      </c>
      <c r="F984" s="272" t="n">
        <v>1</v>
      </c>
      <c r="G984" s="272" t="n">
        <v>341800</v>
      </c>
    </row>
    <row r="985" ht="17.25" customHeight="1" s="248">
      <c r="A985" s="117" t="n">
        <v>977</v>
      </c>
      <c r="B985" s="117" t="inlineStr">
        <is>
          <t>2026/06/20 00:00</t>
        </is>
      </c>
      <c r="C985" s="117" t="inlineStr">
        <is>
          <t>ĐẶNG THỊ XOE</t>
        </is>
      </c>
      <c r="D985" s="117" t="inlineStr">
        <is>
          <t>01/01/1936</t>
        </is>
      </c>
      <c r="E985" s="117" t="inlineStr">
        <is>
          <t>Giường Ngoại khoa loại 2 - Khoa Chấn thương chỉnh hình</t>
        </is>
      </c>
      <c r="F985" s="272" t="n">
        <v>1</v>
      </c>
      <c r="G985" s="272" t="n">
        <v>301600</v>
      </c>
    </row>
    <row r="986" ht="17.25" customHeight="1" s="248">
      <c r="A986" s="117" t="n">
        <v>978</v>
      </c>
      <c r="B986" s="117" t="inlineStr">
        <is>
          <t>2026/06/20 00:00</t>
        </is>
      </c>
      <c r="C986" s="117" t="inlineStr">
        <is>
          <t>CHÂU THỊ A</t>
        </is>
      </c>
      <c r="D986" s="117" t="inlineStr">
        <is>
          <t>01/01/1958</t>
        </is>
      </c>
      <c r="E986" s="117" t="inlineStr">
        <is>
          <t>Giường Ngoại khoa loại 3 - Khoa Chấn thương chỉnh hình</t>
        </is>
      </c>
      <c r="F986" s="272" t="n">
        <v>1</v>
      </c>
      <c r="G986" s="272" t="n">
        <v>269200</v>
      </c>
    </row>
    <row r="987" ht="17.25" customHeight="1" s="248">
      <c r="A987" s="117" t="n">
        <v>979</v>
      </c>
      <c r="B987" s="117" t="inlineStr">
        <is>
          <t>2026/06/20 00:00</t>
        </is>
      </c>
      <c r="C987" s="117" t="inlineStr">
        <is>
          <t>HUỲNH THỊ THANH HƯỜNG</t>
        </is>
      </c>
      <c r="D987" s="117" t="inlineStr">
        <is>
          <t>01/01/1984</t>
        </is>
      </c>
      <c r="E987" s="117" t="inlineStr">
        <is>
          <t>Giường Ngoại khoa loại 1 - Khoa Chấn thương chỉnh hình</t>
        </is>
      </c>
      <c r="F987" s="272" t="n">
        <v>1</v>
      </c>
      <c r="G987" s="272" t="n">
        <v>341800</v>
      </c>
    </row>
    <row r="988" ht="17.25" customHeight="1" s="248">
      <c r="A988" s="117" t="n">
        <v>980</v>
      </c>
      <c r="B988" s="117" t="inlineStr">
        <is>
          <t>2026/06/20 00:00</t>
        </is>
      </c>
      <c r="C988" s="117" t="inlineStr">
        <is>
          <t>LÊ THỊ QUEN</t>
        </is>
      </c>
      <c r="D988" s="117" t="inlineStr">
        <is>
          <t>01/01/1956</t>
        </is>
      </c>
      <c r="E988" s="117" t="inlineStr">
        <is>
          <t>Giường Nội khoa loại 2 - Khoa Chấn thương chỉnh hình</t>
        </is>
      </c>
      <c r="F988" s="272" t="n">
        <v>1</v>
      </c>
      <c r="G988" s="272" t="n">
        <v>222300</v>
      </c>
    </row>
    <row r="989" ht="17.25" customHeight="1" s="248">
      <c r="A989" s="117" t="n">
        <v>981</v>
      </c>
      <c r="B989" s="117" t="inlineStr">
        <is>
          <t>2026/06/20 00:00</t>
        </is>
      </c>
      <c r="C989" s="117" t="inlineStr">
        <is>
          <t>VÕ THỊ THE</t>
        </is>
      </c>
      <c r="D989" s="117" t="inlineStr">
        <is>
          <t>01/01/1963</t>
        </is>
      </c>
      <c r="E989" s="117" t="inlineStr">
        <is>
          <t>Giường Ngoại khoa loại 1 - Khoa Chấn thương chỉnh hình</t>
        </is>
      </c>
      <c r="F989" s="272" t="n">
        <v>1</v>
      </c>
      <c r="G989" s="272" t="n">
        <v>341800</v>
      </c>
    </row>
    <row r="990" ht="17.25" customHeight="1" s="248">
      <c r="A990" s="117" t="n">
        <v>982</v>
      </c>
      <c r="B990" s="117" t="inlineStr">
        <is>
          <t>2026/06/20 07:45</t>
        </is>
      </c>
      <c r="C990" s="117" t="inlineStr">
        <is>
          <t>TRƯƠNG THỊ CẨM CHÂU</t>
        </is>
      </c>
      <c r="D990" s="117" t="inlineStr">
        <is>
          <t>09/10/1968</t>
        </is>
      </c>
      <c r="E990" s="117" t="inlineStr">
        <is>
          <t>Giường Ngoại khoa loại 3 - Khoa Chấn thương chỉnh hình</t>
        </is>
      </c>
      <c r="F990" s="272" t="n">
        <v>1</v>
      </c>
      <c r="G990" s="272" t="n">
        <v>269200</v>
      </c>
    </row>
    <row r="991" ht="17.25" customHeight="1" s="248">
      <c r="A991" s="117" t="n">
        <v>983</v>
      </c>
      <c r="B991" s="117" t="inlineStr">
        <is>
          <t>2026/06/20 13:01</t>
        </is>
      </c>
      <c r="C991" s="117" t="inlineStr">
        <is>
          <t>TRẦN THỊ BÉ BA</t>
        </is>
      </c>
      <c r="D991" s="117" t="inlineStr">
        <is>
          <t>01/01/1966</t>
        </is>
      </c>
      <c r="E991" s="117" t="inlineStr">
        <is>
          <t>Giường Ngoại khoa loại 4 - Khoa Chấn thương chỉnh hình</t>
        </is>
      </c>
      <c r="F991" s="272" t="n">
        <v>1</v>
      </c>
      <c r="G991" s="272" t="n">
        <v>229200</v>
      </c>
    </row>
    <row r="992" ht="17.25" customHeight="1" s="248">
      <c r="A992" s="117" t="n">
        <v>984</v>
      </c>
      <c r="B992" s="117" t="inlineStr">
        <is>
          <t>2026/06/20 16:47</t>
        </is>
      </c>
      <c r="C992" s="117" t="inlineStr">
        <is>
          <t>NGUYỄN VĂN MƯỜI</t>
        </is>
      </c>
      <c r="D992" s="117" t="inlineStr">
        <is>
          <t>26/10/1964</t>
        </is>
      </c>
      <c r="E992" s="117" t="inlineStr">
        <is>
          <t>Giường Ngoại khoa loại 2 - Khoa Chấn thương chỉnh hình</t>
        </is>
      </c>
      <c r="F992" s="272" t="n">
        <v>1</v>
      </c>
      <c r="G992" s="272" t="n">
        <v>301600</v>
      </c>
    </row>
    <row r="993" ht="17.25" customHeight="1" s="248">
      <c r="A993" s="117" t="n">
        <v>985</v>
      </c>
      <c r="B993" s="117" t="inlineStr">
        <is>
          <t>2026/06/20 18:43</t>
        </is>
      </c>
      <c r="C993" s="117" t="inlineStr">
        <is>
          <t>NGUYỄN VĂN QUANG</t>
        </is>
      </c>
      <c r="D993" s="117" t="inlineStr">
        <is>
          <t>22/12/1981</t>
        </is>
      </c>
      <c r="E993" s="117" t="inlineStr">
        <is>
          <t>Giường Ngoại khoa loại 3 - Khoa Chấn thương chỉnh hình</t>
        </is>
      </c>
      <c r="F993" s="272" t="n">
        <v>1</v>
      </c>
      <c r="G993" s="272" t="n">
        <v>269200</v>
      </c>
    </row>
    <row r="994" ht="17.25" customHeight="1" s="248">
      <c r="A994" s="117" t="n">
        <v>986</v>
      </c>
      <c r="B994" s="117" t="inlineStr">
        <is>
          <t>2026/06/20 19:00</t>
        </is>
      </c>
      <c r="C994" s="117" t="inlineStr">
        <is>
          <t>PHẠM THỊ DUNG</t>
        </is>
      </c>
      <c r="D994" s="117" t="inlineStr">
        <is>
          <t>01/01/1968</t>
        </is>
      </c>
      <c r="E994" s="117" t="inlineStr">
        <is>
          <t>Giường Nội khoa loại 2 - Khoa Chấn thương chỉnh hình</t>
        </is>
      </c>
      <c r="F994" s="272" t="n">
        <v>1</v>
      </c>
      <c r="G994" s="272" t="n">
        <v>222300</v>
      </c>
    </row>
    <row r="995" ht="17.25" customHeight="1" s="248">
      <c r="A995" s="117" t="n">
        <v>987</v>
      </c>
      <c r="B995" s="117" t="inlineStr">
        <is>
          <t>2026/06/20 23:59</t>
        </is>
      </c>
      <c r="C995" s="117" t="inlineStr">
        <is>
          <t>CHUNG VIỆT HÙNG</t>
        </is>
      </c>
      <c r="D995" s="117" t="inlineStr">
        <is>
          <t>01/01/1958</t>
        </is>
      </c>
      <c r="E995" s="117" t="inlineStr">
        <is>
          <t>Giường Nội khoa loại 2 - Khoa Chấn thương chỉnh hình</t>
        </is>
      </c>
      <c r="F995" s="272" t="n">
        <v>1</v>
      </c>
      <c r="G995" s="272" t="n">
        <v>222300</v>
      </c>
    </row>
    <row r="996" ht="17.25" customHeight="1" s="248">
      <c r="A996" s="117" t="n">
        <v>988</v>
      </c>
      <c r="B996" s="117" t="inlineStr">
        <is>
          <t>2026/06/21 00:00</t>
        </is>
      </c>
      <c r="C996" s="117" t="inlineStr">
        <is>
          <t>BÙI THỊ THU BA</t>
        </is>
      </c>
      <c r="D996" s="117" t="inlineStr">
        <is>
          <t>01/01/1960</t>
        </is>
      </c>
      <c r="E996" s="117" t="inlineStr">
        <is>
          <t>Giường Ngoại khoa loại 3 - Khoa Chấn thương chỉnh hình</t>
        </is>
      </c>
      <c r="F996" s="272" t="n">
        <v>1</v>
      </c>
      <c r="G996" s="272" t="n">
        <v>269200</v>
      </c>
    </row>
    <row r="997" ht="17.25" customHeight="1" s="248">
      <c r="A997" s="117" t="n">
        <v>989</v>
      </c>
      <c r="B997" s="117" t="inlineStr">
        <is>
          <t>2026/06/21 00:00</t>
        </is>
      </c>
      <c r="C997" s="117" t="inlineStr">
        <is>
          <t>CHIÊM THỊ NHÀN</t>
        </is>
      </c>
      <c r="D997" s="117" t="inlineStr">
        <is>
          <t>01/01/1953</t>
        </is>
      </c>
      <c r="E997" s="117" t="inlineStr">
        <is>
          <t>Giường Ngoại khoa loại 1 - Khoa Chấn thương chỉnh hình</t>
        </is>
      </c>
      <c r="F997" s="272" t="n">
        <v>1</v>
      </c>
      <c r="G997" s="272" t="n">
        <v>341800</v>
      </c>
    </row>
    <row r="998" ht="17.25" customHeight="1" s="248">
      <c r="A998" s="117" t="n">
        <v>990</v>
      </c>
      <c r="B998" s="117" t="inlineStr">
        <is>
          <t>2026/06/21 00:00</t>
        </is>
      </c>
      <c r="C998" s="117" t="inlineStr">
        <is>
          <t>HUỲNH VĂN CỨ</t>
        </is>
      </c>
      <c r="D998" s="117" t="inlineStr">
        <is>
          <t>01/01/1967</t>
        </is>
      </c>
      <c r="E998" s="117" t="inlineStr">
        <is>
          <t>Giường Ngoại khoa loại 3 - Khoa Chấn thương chỉnh hình</t>
        </is>
      </c>
      <c r="F998" s="272" t="n">
        <v>1</v>
      </c>
      <c r="G998" s="272" t="n">
        <v>269200</v>
      </c>
    </row>
    <row r="999" ht="17.25" customHeight="1" s="248">
      <c r="A999" s="117" t="n">
        <v>991</v>
      </c>
      <c r="B999" s="117" t="inlineStr">
        <is>
          <t>2026/06/21 00:00</t>
        </is>
      </c>
      <c r="C999" s="117" t="inlineStr">
        <is>
          <t>HỒ THỊ HOÀNG</t>
        </is>
      </c>
      <c r="D999" s="117" t="inlineStr">
        <is>
          <t>08/08/1963</t>
        </is>
      </c>
      <c r="E999" s="117" t="inlineStr">
        <is>
          <t>Giường Nội khoa loại 2 - Khoa Chấn thương chỉnh hình</t>
        </is>
      </c>
      <c r="F999" s="272" t="n">
        <v>1</v>
      </c>
      <c r="G999" s="272" t="n">
        <v>222300</v>
      </c>
    </row>
    <row r="1000" ht="17.25" customHeight="1" s="248">
      <c r="A1000" s="117" t="n">
        <v>992</v>
      </c>
      <c r="B1000" s="117" t="inlineStr">
        <is>
          <t>2026/06/21 00:00</t>
        </is>
      </c>
      <c r="C1000" s="117" t="inlineStr">
        <is>
          <t>LÊ THỊ LỆ</t>
        </is>
      </c>
      <c r="D1000" s="117" t="inlineStr">
        <is>
          <t>01/01/1957</t>
        </is>
      </c>
      <c r="E1000" s="117" t="inlineStr">
        <is>
          <t>Giường Nội khoa loại 2 - Khoa Chấn thương chỉnh hình</t>
        </is>
      </c>
      <c r="F1000" s="272" t="n">
        <v>1</v>
      </c>
      <c r="G1000" s="272" t="n">
        <v>222300</v>
      </c>
    </row>
    <row r="1001" ht="17.25" customHeight="1" s="248">
      <c r="A1001" s="117" t="n">
        <v>993</v>
      </c>
      <c r="B1001" s="117" t="inlineStr">
        <is>
          <t>2026/06/21 00:00</t>
        </is>
      </c>
      <c r="C1001" s="117" t="inlineStr">
        <is>
          <t>MAI THÀNH DƯƠNG</t>
        </is>
      </c>
      <c r="D1001" s="117" t="inlineStr">
        <is>
          <t>10/04/1964</t>
        </is>
      </c>
      <c r="E1001" s="117" t="inlineStr">
        <is>
          <t>Giường Nội khoa loại 2 - Khoa Chấn thương chỉnh hình</t>
        </is>
      </c>
      <c r="F1001" s="272" t="n">
        <v>1</v>
      </c>
      <c r="G1001" s="272" t="n">
        <v>222300</v>
      </c>
    </row>
    <row r="1002" ht="17.25" customHeight="1" s="248">
      <c r="A1002" s="117" t="n">
        <v>994</v>
      </c>
      <c r="B1002" s="117" t="inlineStr">
        <is>
          <t>2026/06/21 00:00</t>
        </is>
      </c>
      <c r="C1002" s="117" t="inlineStr">
        <is>
          <t>NGUYỄN THỊ KIỀU LOAN</t>
        </is>
      </c>
      <c r="D1002" s="117" t="inlineStr">
        <is>
          <t>01/01/1970</t>
        </is>
      </c>
      <c r="E1002" s="117" t="inlineStr">
        <is>
          <t>Giường Ngoại khoa loại 4 - Khoa Chấn thương chỉnh hình</t>
        </is>
      </c>
      <c r="F1002" s="272" t="n">
        <v>1</v>
      </c>
      <c r="G1002" s="272" t="n">
        <v>229200</v>
      </c>
    </row>
    <row r="1003" ht="17.25" customHeight="1" s="248">
      <c r="A1003" s="117" t="n">
        <v>995</v>
      </c>
      <c r="B1003" s="117" t="inlineStr">
        <is>
          <t>2026/06/21 00:00</t>
        </is>
      </c>
      <c r="C1003" s="117" t="inlineStr">
        <is>
          <t>NGUYỄN THỊ MƯỜI</t>
        </is>
      </c>
      <c r="D1003" s="117" t="inlineStr">
        <is>
          <t>01/01/1951</t>
        </is>
      </c>
      <c r="E1003" s="117" t="inlineStr">
        <is>
          <t>Giường Ngoại khoa loại 1 - Khoa Chấn thương chỉnh hình</t>
        </is>
      </c>
      <c r="F1003" s="272" t="n">
        <v>1</v>
      </c>
      <c r="G1003" s="272" t="n">
        <v>341800</v>
      </c>
    </row>
    <row r="1004" ht="17.25" customHeight="1" s="248">
      <c r="A1004" s="117" t="n">
        <v>996</v>
      </c>
      <c r="B1004" s="117" t="inlineStr">
        <is>
          <t>2026/06/21 00:00</t>
        </is>
      </c>
      <c r="C1004" s="117" t="inlineStr">
        <is>
          <t>NGUYỄN THỊ NGỌC DUYÊN</t>
        </is>
      </c>
      <c r="D1004" s="117" t="inlineStr">
        <is>
          <t>01/02/1971</t>
        </is>
      </c>
      <c r="E1004" s="117" t="inlineStr">
        <is>
          <t>Giường Ngoại khoa loại 1 - Khoa Chấn thương chỉnh hình</t>
        </is>
      </c>
      <c r="F1004" s="272" t="n">
        <v>1</v>
      </c>
      <c r="G1004" s="272" t="n">
        <v>341800</v>
      </c>
    </row>
    <row r="1005" ht="17.25" customHeight="1" s="248">
      <c r="A1005" s="117" t="n">
        <v>997</v>
      </c>
      <c r="B1005" s="117" t="inlineStr">
        <is>
          <t>2026/06/21 00:00</t>
        </is>
      </c>
      <c r="C1005" s="117" t="inlineStr">
        <is>
          <t>NGUYỄN VĂN QUANG</t>
        </is>
      </c>
      <c r="D1005" s="117" t="inlineStr">
        <is>
          <t>22/12/1981</t>
        </is>
      </c>
      <c r="E1005" s="117" t="inlineStr">
        <is>
          <t>Giường Ngoại khoa loại 3 - Khoa Chấn thương chỉnh hình</t>
        </is>
      </c>
      <c r="F1005" s="272" t="n">
        <v>1</v>
      </c>
      <c r="G1005" s="272" t="n">
        <v>269200</v>
      </c>
    </row>
    <row r="1006" ht="17.25" customHeight="1" s="248">
      <c r="A1006" s="117" t="n">
        <v>998</v>
      </c>
      <c r="B1006" s="117" t="inlineStr">
        <is>
          <t>2026/06/21 00:00</t>
        </is>
      </c>
      <c r="C1006" s="117" t="inlineStr">
        <is>
          <t>PHAN VĂN ĐƯỢC</t>
        </is>
      </c>
      <c r="D1006" s="117" t="inlineStr">
        <is>
          <t>01/01/1934</t>
        </is>
      </c>
      <c r="E1006" s="117" t="inlineStr">
        <is>
          <t>Giường Nội khoa loại 2 - Khoa Chấn thương chỉnh hình</t>
        </is>
      </c>
      <c r="F1006" s="272" t="n">
        <v>1</v>
      </c>
      <c r="G1006" s="272" t="n">
        <v>222300</v>
      </c>
    </row>
    <row r="1007" ht="17.25" customHeight="1" s="248">
      <c r="A1007" s="117" t="n">
        <v>999</v>
      </c>
      <c r="B1007" s="117" t="inlineStr">
        <is>
          <t>2026/06/21 00:00</t>
        </is>
      </c>
      <c r="C1007" s="117" t="inlineStr">
        <is>
          <t>PHẠM THỊ DUNG</t>
        </is>
      </c>
      <c r="D1007" s="117" t="inlineStr">
        <is>
          <t>01/01/1968</t>
        </is>
      </c>
      <c r="E1007" s="117" t="inlineStr">
        <is>
          <t>Giường Nội khoa loại 2 - Khoa Chấn thương chỉnh hình</t>
        </is>
      </c>
      <c r="F1007" s="272" t="n">
        <v>1</v>
      </c>
      <c r="G1007" s="272" t="n">
        <v>222300</v>
      </c>
    </row>
    <row r="1008" ht="17.25" customHeight="1" s="248">
      <c r="A1008" s="117" t="n">
        <v>1000</v>
      </c>
      <c r="B1008" s="117" t="inlineStr">
        <is>
          <t>2026/06/21 00:00</t>
        </is>
      </c>
      <c r="C1008" s="117" t="inlineStr">
        <is>
          <t>PHẠM THỊ PHƯƠNG THẢO</t>
        </is>
      </c>
      <c r="D1008" s="117" t="inlineStr">
        <is>
          <t>03/06/1998</t>
        </is>
      </c>
      <c r="E1008" s="117" t="inlineStr">
        <is>
          <t>Giường Ngoại khoa loại 1 - Khoa Chấn thương chỉnh hình</t>
        </is>
      </c>
      <c r="F1008" s="272" t="n">
        <v>1</v>
      </c>
      <c r="G1008" s="272" t="n">
        <v>341800</v>
      </c>
    </row>
    <row r="1009" ht="17.25" customHeight="1" s="248">
      <c r="A1009" s="117" t="n">
        <v>1001</v>
      </c>
      <c r="B1009" s="117" t="inlineStr">
        <is>
          <t>2026/06/21 00:00</t>
        </is>
      </c>
      <c r="C1009" s="117" t="inlineStr">
        <is>
          <t>TRƯƠNG HOÀNG DIỄM THÚY</t>
        </is>
      </c>
      <c r="D1009" s="117" t="inlineStr">
        <is>
          <t>01/01/1985</t>
        </is>
      </c>
      <c r="E1009" s="117" t="inlineStr">
        <is>
          <t>Giường Ngoại khoa loại 3 - Khoa Chấn thương chỉnh hình</t>
        </is>
      </c>
      <c r="F1009" s="272" t="n">
        <v>1</v>
      </c>
      <c r="G1009" s="272" t="n">
        <v>269200</v>
      </c>
    </row>
    <row r="1010" ht="17.25" customHeight="1" s="248">
      <c r="A1010" s="117" t="n">
        <v>1002</v>
      </c>
      <c r="B1010" s="117" t="inlineStr">
        <is>
          <t>2026/06/21 00:00</t>
        </is>
      </c>
      <c r="C1010" s="117" t="inlineStr">
        <is>
          <t>TRƯƠNG THỊ CẨM CHÂU</t>
        </is>
      </c>
      <c r="D1010" s="117" t="inlineStr">
        <is>
          <t>09/10/1968</t>
        </is>
      </c>
      <c r="E1010" s="117" t="inlineStr">
        <is>
          <t>Giường Ngoại khoa loại 3 - Khoa Chấn thương chỉnh hình</t>
        </is>
      </c>
      <c r="F1010" s="272" t="n">
        <v>1</v>
      </c>
      <c r="G1010" s="272" t="n">
        <v>269200</v>
      </c>
    </row>
    <row r="1011" ht="17.25" customHeight="1" s="248">
      <c r="A1011" s="117" t="n">
        <v>1003</v>
      </c>
      <c r="B1011" s="117" t="inlineStr">
        <is>
          <t>2026/06/21 00:00</t>
        </is>
      </c>
      <c r="C1011" s="117" t="inlineStr">
        <is>
          <t>TRẦN THỊ THÚY NGÂN</t>
        </is>
      </c>
      <c r="D1011" s="117" t="inlineStr">
        <is>
          <t>01/01/1978</t>
        </is>
      </c>
      <c r="E1011" s="117" t="inlineStr">
        <is>
          <t>Giường Ngoại khoa loại 2 - Khoa Chấn thương chỉnh hình</t>
        </is>
      </c>
      <c r="F1011" s="272" t="n">
        <v>1</v>
      </c>
      <c r="G1011" s="272" t="n">
        <v>301600</v>
      </c>
    </row>
    <row r="1012" ht="17.25" customHeight="1" s="248">
      <c r="A1012" s="117" t="n">
        <v>1004</v>
      </c>
      <c r="B1012" s="117" t="inlineStr">
        <is>
          <t>2026/06/21 00:00</t>
        </is>
      </c>
      <c r="C1012" s="117" t="inlineStr">
        <is>
          <t>TRỊNH THÚY NGA</t>
        </is>
      </c>
      <c r="D1012" s="117" t="inlineStr">
        <is>
          <t>01/01/1965</t>
        </is>
      </c>
      <c r="E1012" s="117" t="inlineStr">
        <is>
          <t>Giường Ngoại khoa loại 4 - Khoa Chấn thương chỉnh hình</t>
        </is>
      </c>
      <c r="F1012" s="272" t="n">
        <v>1</v>
      </c>
      <c r="G1012" s="272" t="n">
        <v>229200</v>
      </c>
    </row>
    <row r="1013" ht="17.25" customHeight="1" s="248">
      <c r="A1013" s="117" t="n">
        <v>1005</v>
      </c>
      <c r="B1013" s="117" t="inlineStr">
        <is>
          <t>2026/06/21 00:00</t>
        </is>
      </c>
      <c r="C1013" s="117" t="inlineStr">
        <is>
          <t>TÔ VĂN THIỆN</t>
        </is>
      </c>
      <c r="D1013" s="117" t="inlineStr">
        <is>
          <t>01/01/1963</t>
        </is>
      </c>
      <c r="E1013" s="117" t="inlineStr">
        <is>
          <t>Giường Nội khoa loại 2 - Khoa Chấn thương chỉnh hình</t>
        </is>
      </c>
      <c r="F1013" s="272" t="n">
        <v>1</v>
      </c>
      <c r="G1013" s="272" t="n">
        <v>222300</v>
      </c>
    </row>
    <row r="1014" ht="17.25" customHeight="1" s="248">
      <c r="A1014" s="117" t="n">
        <v>1006</v>
      </c>
      <c r="B1014" s="117" t="inlineStr">
        <is>
          <t>2026/06/21 00:00</t>
        </is>
      </c>
      <c r="C1014" s="117" t="inlineStr">
        <is>
          <t>VÕ VĂN HƠN</t>
        </is>
      </c>
      <c r="D1014" s="117" t="inlineStr">
        <is>
          <t>26/04/1989</t>
        </is>
      </c>
      <c r="E1014" s="117" t="inlineStr">
        <is>
          <t>Giường Ngoại khoa loại 1 - Khoa Chấn thương chỉnh hình</t>
        </is>
      </c>
      <c r="F1014" s="272" t="n">
        <v>1</v>
      </c>
      <c r="G1014" s="272" t="n">
        <v>341800</v>
      </c>
    </row>
    <row r="1015" ht="17.25" customHeight="1" s="248">
      <c r="A1015" s="117" t="n">
        <v>1007</v>
      </c>
      <c r="B1015" s="117" t="inlineStr">
        <is>
          <t>2026/06/21 00:00</t>
        </is>
      </c>
      <c r="C1015" s="117" t="inlineStr">
        <is>
          <t>ĐẶNG THỊ XOE</t>
        </is>
      </c>
      <c r="D1015" s="117" t="inlineStr">
        <is>
          <t>01/01/1936</t>
        </is>
      </c>
      <c r="E1015" s="117" t="inlineStr">
        <is>
          <t>Giường Ngoại khoa loại 2 - Khoa Chấn thương chỉnh hình</t>
        </is>
      </c>
      <c r="F1015" s="272" t="n">
        <v>1</v>
      </c>
      <c r="G1015" s="272" t="n">
        <v>301600</v>
      </c>
    </row>
    <row r="1016" ht="17.25" customHeight="1" s="248">
      <c r="A1016" s="117" t="n">
        <v>1008</v>
      </c>
      <c r="B1016" s="117" t="inlineStr">
        <is>
          <t>2026/06/21 00:00</t>
        </is>
      </c>
      <c r="C1016" s="117" t="inlineStr">
        <is>
          <t>CHÂU THỊ A</t>
        </is>
      </c>
      <c r="D1016" s="117" t="inlineStr">
        <is>
          <t>01/01/1958</t>
        </is>
      </c>
      <c r="E1016" s="117" t="inlineStr">
        <is>
          <t>Giường Ngoại khoa loại 3 - Khoa Chấn thương chỉnh hình</t>
        </is>
      </c>
      <c r="F1016" s="272" t="n">
        <v>1</v>
      </c>
      <c r="G1016" s="272" t="n">
        <v>269200</v>
      </c>
    </row>
    <row r="1017" ht="17.25" customHeight="1" s="248">
      <c r="A1017" s="117" t="n">
        <v>1009</v>
      </c>
      <c r="B1017" s="117" t="inlineStr">
        <is>
          <t>2026/06/21 00:00</t>
        </is>
      </c>
      <c r="C1017" s="117" t="inlineStr">
        <is>
          <t>HUỲNH THỊ THANH HƯỜNG</t>
        </is>
      </c>
      <c r="D1017" s="117" t="inlineStr">
        <is>
          <t>01/01/1984</t>
        </is>
      </c>
      <c r="E1017" s="117" t="inlineStr">
        <is>
          <t>Giường Ngoại khoa loại 1 - Khoa Chấn thương chỉnh hình</t>
        </is>
      </c>
      <c r="F1017" s="272" t="n">
        <v>1</v>
      </c>
      <c r="G1017" s="272" t="n">
        <v>341800</v>
      </c>
    </row>
    <row r="1018" ht="17.25" customHeight="1" s="248">
      <c r="A1018" s="117" t="n">
        <v>1010</v>
      </c>
      <c r="B1018" s="117" t="inlineStr">
        <is>
          <t>2026/06/21 00:00</t>
        </is>
      </c>
      <c r="C1018" s="117" t="inlineStr">
        <is>
          <t>VÕ THỊ THE</t>
        </is>
      </c>
      <c r="D1018" s="117" t="inlineStr">
        <is>
          <t>01/01/1963</t>
        </is>
      </c>
      <c r="E1018" s="117" t="inlineStr">
        <is>
          <t>Giường Ngoại khoa loại 1 - Khoa Chấn thương chỉnh hình</t>
        </is>
      </c>
      <c r="F1018" s="272" t="n">
        <v>1</v>
      </c>
      <c r="G1018" s="272" t="n">
        <v>341800</v>
      </c>
    </row>
    <row r="1019" ht="17.25" customHeight="1" s="248">
      <c r="A1019" s="117" t="n">
        <v>1011</v>
      </c>
      <c r="B1019" s="117" t="inlineStr">
        <is>
          <t>2026/06/21 13:00</t>
        </is>
      </c>
      <c r="C1019" s="117" t="inlineStr">
        <is>
          <t>LÊ THỊ QUEN</t>
        </is>
      </c>
      <c r="D1019" s="117" t="inlineStr">
        <is>
          <t>01/01/1956</t>
        </is>
      </c>
      <c r="E1019" s="117" t="inlineStr">
        <is>
          <t>Giường Nội khoa loại 2 - Khoa Chấn thương chỉnh hình</t>
        </is>
      </c>
      <c r="F1019" s="272" t="n">
        <v>1</v>
      </c>
      <c r="G1019" s="272" t="n">
        <v>222300</v>
      </c>
    </row>
    <row r="1020" ht="17.25" customHeight="1" s="248">
      <c r="A1020" s="117" t="n">
        <v>1012</v>
      </c>
      <c r="B1020" s="117" t="inlineStr">
        <is>
          <t>2026/06/21 13:01</t>
        </is>
      </c>
      <c r="C1020" s="117" t="inlineStr">
        <is>
          <t>TRẦN THỊ BÉ BA</t>
        </is>
      </c>
      <c r="D1020" s="117" t="inlineStr">
        <is>
          <t>01/01/1966</t>
        </is>
      </c>
      <c r="E1020" s="117" t="inlineStr">
        <is>
          <t>Giường Ngoại khoa loại 4 - Khoa Chấn thương chỉnh hình</t>
        </is>
      </c>
      <c r="F1020" s="272" t="n">
        <v>1</v>
      </c>
      <c r="G1020" s="272" t="n">
        <v>229200</v>
      </c>
    </row>
    <row r="1021" ht="17.25" customHeight="1" s="248">
      <c r="A1021" s="117" t="n">
        <v>1013</v>
      </c>
      <c r="B1021" s="117" t="inlineStr">
        <is>
          <t>2026/06/21 16:47</t>
        </is>
      </c>
      <c r="C1021" s="117" t="inlineStr">
        <is>
          <t>NGUYỄN VĂN MƯỜI</t>
        </is>
      </c>
      <c r="D1021" s="117" t="inlineStr">
        <is>
          <t>26/10/1964</t>
        </is>
      </c>
      <c r="E1021" s="117" t="inlineStr">
        <is>
          <t>Giường Ngoại khoa loại 2 - Khoa Chấn thương chỉnh hình</t>
        </is>
      </c>
      <c r="F1021" s="272" t="n">
        <v>1</v>
      </c>
      <c r="G1021" s="272" t="n">
        <v>301600</v>
      </c>
    </row>
    <row r="1022" ht="17.25" customHeight="1" s="248">
      <c r="A1022" s="117" t="n">
        <v>1014</v>
      </c>
      <c r="B1022" s="117" t="inlineStr">
        <is>
          <t>2026/06/21 17:35</t>
        </is>
      </c>
      <c r="C1022" s="117" t="inlineStr">
        <is>
          <t>TRẦN ĐỨC HIẾU</t>
        </is>
      </c>
      <c r="D1022" s="117" t="inlineStr">
        <is>
          <t>13/10/2007</t>
        </is>
      </c>
      <c r="E1022" s="117" t="inlineStr">
        <is>
          <t>Giường Nội khoa loại 2 - Khoa Chấn thương chỉnh hình</t>
        </is>
      </c>
      <c r="F1022" s="272" t="n">
        <v>1</v>
      </c>
      <c r="G1022" s="272" t="n">
        <v>222300</v>
      </c>
    </row>
    <row r="1023" ht="17.25" customHeight="1" s="248">
      <c r="A1023" s="117" t="n">
        <v>1015</v>
      </c>
      <c r="B1023" s="117" t="inlineStr">
        <is>
          <t>2026/06/21 18:25</t>
        </is>
      </c>
      <c r="C1023" s="117" t="inlineStr">
        <is>
          <t>BÙI VĂN DŨNG</t>
        </is>
      </c>
      <c r="D1023" s="117" t="inlineStr">
        <is>
          <t>10/11/1976</t>
        </is>
      </c>
      <c r="E1023" s="117" t="inlineStr">
        <is>
          <t>Giường Ngoại khoa loại 1 - Khoa Chấn thương chỉnh hình</t>
        </is>
      </c>
      <c r="F1023" s="272" t="n">
        <v>1</v>
      </c>
      <c r="G1023" s="272" t="n">
        <v>341800</v>
      </c>
    </row>
    <row r="1024" ht="17.25" customHeight="1" s="248">
      <c r="A1024" s="117" t="n">
        <v>1016</v>
      </c>
      <c r="B1024" s="117" t="inlineStr">
        <is>
          <t>2026/06/21 23:51</t>
        </is>
      </c>
      <c r="C1024" s="117" t="inlineStr">
        <is>
          <t>CHIÊM THỊ NHÀN</t>
        </is>
      </c>
      <c r="D1024" s="117" t="inlineStr">
        <is>
          <t>01/01/1953</t>
        </is>
      </c>
      <c r="E1024" s="117" t="inlineStr">
        <is>
          <t>Giường Ngoại khoa loại 1 - Khoa Chấn thương chỉnh hình</t>
        </is>
      </c>
      <c r="F1024" s="272" t="n">
        <v>1</v>
      </c>
      <c r="G1024" s="272" t="n">
        <v>341800</v>
      </c>
    </row>
    <row r="1025" ht="17.25" customHeight="1" s="248">
      <c r="A1025" s="117" t="n">
        <v>1017</v>
      </c>
      <c r="B1025" s="117" t="inlineStr">
        <is>
          <t>2026/06/22 00:00</t>
        </is>
      </c>
      <c r="C1025" s="117" t="inlineStr">
        <is>
          <t>BÙI THỊ THU BA</t>
        </is>
      </c>
      <c r="D1025" s="117" t="inlineStr">
        <is>
          <t>01/01/1960</t>
        </is>
      </c>
      <c r="E1025" s="117" t="inlineStr">
        <is>
          <t>Giường Ngoại khoa loại 3 - Khoa Chấn thương chỉnh hình</t>
        </is>
      </c>
      <c r="F1025" s="272" t="n">
        <v>1</v>
      </c>
      <c r="G1025" s="272" t="n">
        <v>269200</v>
      </c>
    </row>
    <row r="1026" ht="17.25" customHeight="1" s="248">
      <c r="A1026" s="117" t="n">
        <v>1018</v>
      </c>
      <c r="B1026" s="117" t="inlineStr">
        <is>
          <t>2026/06/22 00:00</t>
        </is>
      </c>
      <c r="C1026" s="117" t="inlineStr">
        <is>
          <t>CHUNG VIỆT HÙNG</t>
        </is>
      </c>
      <c r="D1026" s="117" t="inlineStr">
        <is>
          <t>01/01/1958</t>
        </is>
      </c>
      <c r="E1026" s="117" t="inlineStr">
        <is>
          <t>Giường Nội khoa loại 2 - Khoa Chấn thương chỉnh hình</t>
        </is>
      </c>
      <c r="F1026" s="272" t="n">
        <v>1</v>
      </c>
      <c r="G1026" s="272" t="n">
        <v>222300</v>
      </c>
    </row>
    <row r="1027" ht="17.25" customHeight="1" s="248">
      <c r="A1027" s="117" t="n">
        <v>1019</v>
      </c>
      <c r="B1027" s="117" t="inlineStr">
        <is>
          <t>2026/06/22 00:00</t>
        </is>
      </c>
      <c r="C1027" s="117" t="inlineStr">
        <is>
          <t>HUỲNH VĂN CỨ</t>
        </is>
      </c>
      <c r="D1027" s="117" t="inlineStr">
        <is>
          <t>01/01/1967</t>
        </is>
      </c>
      <c r="E1027" s="117" t="inlineStr">
        <is>
          <t>Giường Ngoại khoa loại 3 - Khoa Chấn thương chỉnh hình</t>
        </is>
      </c>
      <c r="F1027" s="272" t="n">
        <v>1</v>
      </c>
      <c r="G1027" s="272" t="n">
        <v>269200</v>
      </c>
    </row>
    <row r="1028" ht="17.25" customHeight="1" s="248">
      <c r="A1028" s="117" t="n">
        <v>1020</v>
      </c>
      <c r="B1028" s="117" t="inlineStr">
        <is>
          <t>2026/06/22 00:00</t>
        </is>
      </c>
      <c r="C1028" s="117" t="inlineStr">
        <is>
          <t>LÂM MINH</t>
        </is>
      </c>
      <c r="D1028" s="117" t="inlineStr">
        <is>
          <t>05/03/2004</t>
        </is>
      </c>
      <c r="E1028" s="117" t="inlineStr">
        <is>
          <t>Giường Ngoại khoa loại 2 - Khoa Chấn thương chỉnh hình</t>
        </is>
      </c>
      <c r="F1028" s="272" t="n">
        <v>1</v>
      </c>
      <c r="G1028" s="272" t="n">
        <v>301600</v>
      </c>
    </row>
    <row r="1029" ht="17.25" customHeight="1" s="248">
      <c r="A1029" s="117" t="n">
        <v>1021</v>
      </c>
      <c r="B1029" s="117" t="inlineStr">
        <is>
          <t>2026/06/22 00:00</t>
        </is>
      </c>
      <c r="C1029" s="117" t="inlineStr">
        <is>
          <t>LÊ THỊ KIM ĐIỂU</t>
        </is>
      </c>
      <c r="D1029" s="117" t="inlineStr">
        <is>
          <t>12/12/1958</t>
        </is>
      </c>
      <c r="E1029" s="117" t="inlineStr">
        <is>
          <t>Giường Ngoại khoa loại 3 - Khoa Chấn thương chỉnh hình</t>
        </is>
      </c>
      <c r="F1029" s="272" t="n">
        <v>1</v>
      </c>
      <c r="G1029" s="272" t="n">
        <v>269200</v>
      </c>
    </row>
    <row r="1030" ht="17.25" customHeight="1" s="248">
      <c r="A1030" s="117" t="n">
        <v>1022</v>
      </c>
      <c r="B1030" s="117" t="inlineStr">
        <is>
          <t>2026/06/22 00:00</t>
        </is>
      </c>
      <c r="C1030" s="117" t="inlineStr">
        <is>
          <t>LÊ THỊ LỆ</t>
        </is>
      </c>
      <c r="D1030" s="117" t="inlineStr">
        <is>
          <t>01/01/1957</t>
        </is>
      </c>
      <c r="E1030" s="117" t="inlineStr">
        <is>
          <t>Giường Ngoại khoa loại 1 - Khoa Chấn thương chỉnh hình</t>
        </is>
      </c>
      <c r="F1030" s="272" t="n">
        <v>1</v>
      </c>
      <c r="G1030" s="272" t="n">
        <v>341800</v>
      </c>
    </row>
    <row r="1031" ht="17.25" customHeight="1" s="248">
      <c r="A1031" s="117" t="n">
        <v>1023</v>
      </c>
      <c r="B1031" s="117" t="inlineStr">
        <is>
          <t>2026/06/22 00:00</t>
        </is>
      </c>
      <c r="C1031" s="117" t="inlineStr">
        <is>
          <t>MAI THÀNH DƯƠNG</t>
        </is>
      </c>
      <c r="D1031" s="117" t="inlineStr">
        <is>
          <t>10/04/1964</t>
        </is>
      </c>
      <c r="E1031" s="117" t="inlineStr">
        <is>
          <t>Giường Nội khoa loại 2 - Khoa Chấn thương chỉnh hình</t>
        </is>
      </c>
      <c r="F1031" s="272" t="n">
        <v>1</v>
      </c>
      <c r="G1031" s="272" t="n">
        <v>222300</v>
      </c>
    </row>
    <row r="1032" ht="17.25" customHeight="1" s="248">
      <c r="A1032" s="117" t="n">
        <v>1024</v>
      </c>
      <c r="B1032" s="117" t="inlineStr">
        <is>
          <t>2026/06/22 00:00</t>
        </is>
      </c>
      <c r="C1032" s="117" t="inlineStr">
        <is>
          <t>NGUYỄN THỊ KIỀU LOAN</t>
        </is>
      </c>
      <c r="D1032" s="117" t="inlineStr">
        <is>
          <t>01/01/1970</t>
        </is>
      </c>
      <c r="E1032" s="117" t="inlineStr">
        <is>
          <t>Giường Ngoại khoa loại 4 - Khoa Chấn thương chỉnh hình</t>
        </is>
      </c>
      <c r="F1032" s="272" t="n">
        <v>1</v>
      </c>
      <c r="G1032" s="272" t="n">
        <v>229200</v>
      </c>
    </row>
    <row r="1033" ht="17.25" customHeight="1" s="248">
      <c r="A1033" s="117" t="n">
        <v>1025</v>
      </c>
      <c r="B1033" s="117" t="inlineStr">
        <is>
          <t>2026/06/22 00:00</t>
        </is>
      </c>
      <c r="C1033" s="117" t="inlineStr">
        <is>
          <t>NGUYỄN THỊ NGỌC DUYÊN</t>
        </is>
      </c>
      <c r="D1033" s="117" t="inlineStr">
        <is>
          <t>01/02/1971</t>
        </is>
      </c>
      <c r="E1033" s="117" t="inlineStr">
        <is>
          <t>Giường Ngoại khoa loại 1 - Khoa Chấn thương chỉnh hình</t>
        </is>
      </c>
      <c r="F1033" s="272" t="n">
        <v>1</v>
      </c>
      <c r="G1033" s="272" t="n">
        <v>341800</v>
      </c>
    </row>
    <row r="1034" ht="17.25" customHeight="1" s="248">
      <c r="A1034" s="117" t="n">
        <v>1026</v>
      </c>
      <c r="B1034" s="117" t="inlineStr">
        <is>
          <t>2026/06/22 00:00</t>
        </is>
      </c>
      <c r="C1034" s="117" t="inlineStr">
        <is>
          <t>NGUYỄN VĂN QUANG</t>
        </is>
      </c>
      <c r="D1034" s="117" t="inlineStr">
        <is>
          <t>22/12/1981</t>
        </is>
      </c>
      <c r="E1034" s="117" t="inlineStr">
        <is>
          <t>Giường Ngoại khoa loại 3 - Khoa Chấn thương chỉnh hình</t>
        </is>
      </c>
      <c r="F1034" s="272" t="n">
        <v>1</v>
      </c>
      <c r="G1034" s="272" t="n">
        <v>269200</v>
      </c>
    </row>
    <row r="1035" ht="17.25" customHeight="1" s="248">
      <c r="A1035" s="117" t="n">
        <v>1027</v>
      </c>
      <c r="B1035" s="117" t="inlineStr">
        <is>
          <t>2026/06/22 00:00</t>
        </is>
      </c>
      <c r="C1035" s="117" t="inlineStr">
        <is>
          <t>PHẠM THỊ BÍCH THỦY</t>
        </is>
      </c>
      <c r="D1035" s="117" t="inlineStr">
        <is>
          <t>10/09/1972</t>
        </is>
      </c>
      <c r="E1035" s="117" t="inlineStr">
        <is>
          <t>Giường Nội khoa loại 2 - Khoa Chấn thương chỉnh hình</t>
        </is>
      </c>
      <c r="F1035" s="272" t="n">
        <v>1</v>
      </c>
      <c r="G1035" s="272" t="n">
        <v>222300</v>
      </c>
    </row>
    <row r="1036" ht="17.25" customHeight="1" s="248">
      <c r="A1036" s="117" t="n">
        <v>1028</v>
      </c>
      <c r="B1036" s="117" t="inlineStr">
        <is>
          <t>2026/06/22 00:00</t>
        </is>
      </c>
      <c r="C1036" s="117" t="inlineStr">
        <is>
          <t>PHẠM THỊ DUNG</t>
        </is>
      </c>
      <c r="D1036" s="117" t="inlineStr">
        <is>
          <t>01/01/1968</t>
        </is>
      </c>
      <c r="E1036" s="117" t="inlineStr">
        <is>
          <t>Giường Nội khoa loại 2 - Khoa Chấn thương chỉnh hình</t>
        </is>
      </c>
      <c r="F1036" s="272" t="n">
        <v>1</v>
      </c>
      <c r="G1036" s="272" t="n">
        <v>222300</v>
      </c>
    </row>
    <row r="1037" ht="17.25" customHeight="1" s="248">
      <c r="A1037" s="117" t="n">
        <v>1029</v>
      </c>
      <c r="B1037" s="117" t="inlineStr">
        <is>
          <t>2026/06/22 00:00</t>
        </is>
      </c>
      <c r="C1037" s="117" t="inlineStr">
        <is>
          <t>PHẠM THỊ PHƯƠNG THẢO</t>
        </is>
      </c>
      <c r="D1037" s="117" t="inlineStr">
        <is>
          <t>03/06/1998</t>
        </is>
      </c>
      <c r="E1037" s="117" t="inlineStr">
        <is>
          <t>Giường Ngoại khoa loại 1 - Khoa Chấn thương chỉnh hình</t>
        </is>
      </c>
      <c r="F1037" s="272" t="n">
        <v>1</v>
      </c>
      <c r="G1037" s="272" t="n">
        <v>341800</v>
      </c>
    </row>
    <row r="1038" ht="17.25" customHeight="1" s="248">
      <c r="A1038" s="117" t="n">
        <v>1030</v>
      </c>
      <c r="B1038" s="117" t="inlineStr">
        <is>
          <t>2026/06/22 00:00</t>
        </is>
      </c>
      <c r="C1038" s="117" t="inlineStr">
        <is>
          <t>TRƯƠNG HOÀNG DIỄM THÚY</t>
        </is>
      </c>
      <c r="D1038" s="117" t="inlineStr">
        <is>
          <t>01/01/1985</t>
        </is>
      </c>
      <c r="E1038" s="117" t="inlineStr">
        <is>
          <t>Giường Ngoại khoa loại 3 - Khoa Chấn thương chỉnh hình</t>
        </is>
      </c>
      <c r="F1038" s="272" t="n">
        <v>1</v>
      </c>
      <c r="G1038" s="272" t="n">
        <v>269200</v>
      </c>
    </row>
    <row r="1039" ht="17.25" customHeight="1" s="248">
      <c r="A1039" s="117" t="n">
        <v>1031</v>
      </c>
      <c r="B1039" s="117" t="inlineStr">
        <is>
          <t>2026/06/22 00:00</t>
        </is>
      </c>
      <c r="C1039" s="117" t="inlineStr">
        <is>
          <t>TRƯƠNG THỊ CẨM CHÂU</t>
        </is>
      </c>
      <c r="D1039" s="117" t="inlineStr">
        <is>
          <t>09/10/1968</t>
        </is>
      </c>
      <c r="E1039" s="117" t="inlineStr">
        <is>
          <t>Giường Ngoại khoa loại 3 - Khoa Chấn thương chỉnh hình</t>
        </is>
      </c>
      <c r="F1039" s="272" t="n">
        <v>1</v>
      </c>
      <c r="G1039" s="272" t="n">
        <v>269200</v>
      </c>
    </row>
    <row r="1040" ht="17.25" customHeight="1" s="248">
      <c r="A1040" s="117" t="n">
        <v>1032</v>
      </c>
      <c r="B1040" s="117" t="inlineStr">
        <is>
          <t>2026/06/22 00:00</t>
        </is>
      </c>
      <c r="C1040" s="117" t="inlineStr">
        <is>
          <t>TRỊNH THÚY NGA</t>
        </is>
      </c>
      <c r="D1040" s="117" t="inlineStr">
        <is>
          <t>01/01/1965</t>
        </is>
      </c>
      <c r="E1040" s="117" t="inlineStr">
        <is>
          <t>Giường Ngoại khoa loại 4 - Khoa Chấn thương chỉnh hình</t>
        </is>
      </c>
      <c r="F1040" s="272" t="n">
        <v>1</v>
      </c>
      <c r="G1040" s="272" t="n">
        <v>229200</v>
      </c>
    </row>
    <row r="1041" ht="17.25" customHeight="1" s="248">
      <c r="A1041" s="117" t="n">
        <v>1033</v>
      </c>
      <c r="B1041" s="117" t="inlineStr">
        <is>
          <t>2026/06/22 00:00</t>
        </is>
      </c>
      <c r="C1041" s="117" t="inlineStr">
        <is>
          <t>TÔ VĂN THIỆN</t>
        </is>
      </c>
      <c r="D1041" s="117" t="inlineStr">
        <is>
          <t>01/01/1963</t>
        </is>
      </c>
      <c r="E1041" s="117" t="inlineStr">
        <is>
          <t>Giường Ngoại khoa loại 3 - Khoa Chấn thương chỉnh hình</t>
        </is>
      </c>
      <c r="F1041" s="272" t="n">
        <v>1</v>
      </c>
      <c r="G1041" s="272" t="n">
        <v>269200</v>
      </c>
    </row>
    <row r="1042" ht="17.25" customHeight="1" s="248">
      <c r="A1042" s="117" t="n">
        <v>1034</v>
      </c>
      <c r="B1042" s="117" t="inlineStr">
        <is>
          <t>2026/06/22 00:00</t>
        </is>
      </c>
      <c r="C1042" s="117" t="inlineStr">
        <is>
          <t>VÕ VĂN HƠN</t>
        </is>
      </c>
      <c r="D1042" s="117" t="inlineStr">
        <is>
          <t>26/04/1989</t>
        </is>
      </c>
      <c r="E1042" s="117" t="inlineStr">
        <is>
          <t>Giường Ngoại khoa loại 1 - Khoa Chấn thương chỉnh hình</t>
        </is>
      </c>
      <c r="F1042" s="272" t="n">
        <v>1</v>
      </c>
      <c r="G1042" s="272" t="n">
        <v>341800</v>
      </c>
    </row>
    <row r="1043" ht="17.25" customHeight="1" s="248">
      <c r="A1043" s="117" t="n">
        <v>1035</v>
      </c>
      <c r="B1043" s="117" t="inlineStr">
        <is>
          <t>2026/06/22 00:00</t>
        </is>
      </c>
      <c r="C1043" s="117" t="inlineStr">
        <is>
          <t>ĐẶNG THỊ XOE</t>
        </is>
      </c>
      <c r="D1043" s="117" t="inlineStr">
        <is>
          <t>01/01/1936</t>
        </is>
      </c>
      <c r="E1043" s="117" t="inlineStr">
        <is>
          <t>Giường Ngoại khoa loại 2 - Khoa Chấn thương chỉnh hình</t>
        </is>
      </c>
      <c r="F1043" s="272" t="n">
        <v>1</v>
      </c>
      <c r="G1043" s="272" t="n">
        <v>301600</v>
      </c>
    </row>
    <row r="1044" ht="17.25" customHeight="1" s="248">
      <c r="A1044" s="117" t="n">
        <v>1036</v>
      </c>
      <c r="B1044" s="117" t="inlineStr">
        <is>
          <t>2026/06/22 00:00</t>
        </is>
      </c>
      <c r="C1044" s="117" t="inlineStr">
        <is>
          <t>CHÂU THỊ A</t>
        </is>
      </c>
      <c r="D1044" s="117" t="inlineStr">
        <is>
          <t>01/01/1958</t>
        </is>
      </c>
      <c r="E1044" s="117" t="inlineStr">
        <is>
          <t>Giường Ngoại khoa loại 3 - Khoa Chấn thương chỉnh hình</t>
        </is>
      </c>
      <c r="F1044" s="272" t="n">
        <v>1</v>
      </c>
      <c r="G1044" s="272" t="n">
        <v>269200</v>
      </c>
    </row>
    <row r="1045" ht="17.25" customHeight="1" s="248">
      <c r="A1045" s="117" t="n">
        <v>1037</v>
      </c>
      <c r="B1045" s="117" t="inlineStr">
        <is>
          <t>2026/06/22 00:00</t>
        </is>
      </c>
      <c r="C1045" s="117" t="inlineStr">
        <is>
          <t>HUỲNH THỊ THANH HƯỜNG</t>
        </is>
      </c>
      <c r="D1045" s="117" t="inlineStr">
        <is>
          <t>01/01/1984</t>
        </is>
      </c>
      <c r="E1045" s="117" t="inlineStr">
        <is>
          <t>Giường Ngoại khoa loại 1 - Khoa Chấn thương chỉnh hình</t>
        </is>
      </c>
      <c r="F1045" s="272" t="n">
        <v>1</v>
      </c>
      <c r="G1045" s="272" t="n">
        <v>341800</v>
      </c>
    </row>
    <row r="1046" ht="17.25" customHeight="1" s="248">
      <c r="A1046" s="117" t="n">
        <v>1038</v>
      </c>
      <c r="B1046" s="117" t="inlineStr">
        <is>
          <t>2026/06/22 00:00</t>
        </is>
      </c>
      <c r="C1046" s="117" t="inlineStr">
        <is>
          <t>PHAN VĂN ĐƯỢC</t>
        </is>
      </c>
      <c r="D1046" s="117" t="inlineStr">
        <is>
          <t>01/01/1934</t>
        </is>
      </c>
      <c r="E1046" s="117" t="inlineStr">
        <is>
          <t>Giường Ngoại khoa loại 1 - Khoa Chấn thương chỉnh hình</t>
        </is>
      </c>
      <c r="F1046" s="272" t="n">
        <v>1</v>
      </c>
      <c r="G1046" s="272" t="n">
        <v>341800</v>
      </c>
    </row>
    <row r="1047" ht="17.25" customHeight="1" s="248">
      <c r="A1047" s="117" t="n">
        <v>1039</v>
      </c>
      <c r="B1047" s="117" t="inlineStr">
        <is>
          <t>2026/06/22 00:00</t>
        </is>
      </c>
      <c r="C1047" s="117" t="inlineStr">
        <is>
          <t>VÕ THỊ THE</t>
        </is>
      </c>
      <c r="D1047" s="117" t="inlineStr">
        <is>
          <t>01/01/1963</t>
        </is>
      </c>
      <c r="E1047" s="117" t="inlineStr">
        <is>
          <t>Giường Ngoại khoa loại 1 - Khoa Chấn thương chỉnh hình</t>
        </is>
      </c>
      <c r="F1047" s="272" t="n">
        <v>1</v>
      </c>
      <c r="G1047" s="272" t="n">
        <v>341800</v>
      </c>
    </row>
    <row r="1048" ht="17.25" customHeight="1" s="248">
      <c r="A1048" s="117" t="n">
        <v>1040</v>
      </c>
      <c r="B1048" s="117" t="inlineStr">
        <is>
          <t>2026/06/22 06:33</t>
        </is>
      </c>
      <c r="C1048" s="117" t="inlineStr">
        <is>
          <t>LÊ NGỌC HỦI</t>
        </is>
      </c>
      <c r="D1048" s="117" t="inlineStr">
        <is>
          <t>11/11/1989</t>
        </is>
      </c>
      <c r="E1048" s="117" t="inlineStr">
        <is>
          <t>Giường Nội khoa loại 2 - Khoa Chấn thương chỉnh hình</t>
        </is>
      </c>
      <c r="F1048" s="272" t="n">
        <v>1</v>
      </c>
      <c r="G1048" s="272" t="n">
        <v>222300</v>
      </c>
    </row>
    <row r="1049" ht="17.25" customHeight="1" s="248">
      <c r="A1049" s="117" t="n">
        <v>1041</v>
      </c>
      <c r="B1049" s="117" t="inlineStr">
        <is>
          <t>2026/06/22 08:38</t>
        </is>
      </c>
      <c r="C1049" s="117" t="inlineStr">
        <is>
          <t>DƯƠNG THỊ DIỄM HẰNG</t>
        </is>
      </c>
      <c r="D1049" s="117" t="inlineStr">
        <is>
          <t>01/01/1980</t>
        </is>
      </c>
      <c r="E1049" s="117" t="inlineStr">
        <is>
          <t>Giường Nội khoa loại 2 - Khoa Chấn thương chỉnh hình</t>
        </is>
      </c>
      <c r="F1049" s="272" t="n">
        <v>1</v>
      </c>
      <c r="G1049" s="272" t="n">
        <v>222300</v>
      </c>
    </row>
    <row r="1050" ht="17.25" customHeight="1" s="248">
      <c r="A1050" s="117" t="n">
        <v>1042</v>
      </c>
      <c r="B1050" s="117" t="inlineStr">
        <is>
          <t>2026/06/22 09:00</t>
        </is>
      </c>
      <c r="C1050" s="117" t="inlineStr">
        <is>
          <t>NGUYỄN VĂN LÂM</t>
        </is>
      </c>
      <c r="D1050" s="117" t="inlineStr">
        <is>
          <t>21/02/1951</t>
        </is>
      </c>
      <c r="E1050" s="117" t="inlineStr">
        <is>
          <t>Giường Nội khoa loại 2 - Khoa Chấn thương chỉnh hình</t>
        </is>
      </c>
      <c r="F1050" s="272" t="n">
        <v>1</v>
      </c>
      <c r="G1050" s="272" t="n">
        <v>222300</v>
      </c>
    </row>
    <row r="1051" ht="17.25" customHeight="1" s="248">
      <c r="A1051" s="117" t="n">
        <v>1043</v>
      </c>
      <c r="B1051" s="117" t="inlineStr">
        <is>
          <t>2026/06/22 09:11</t>
        </is>
      </c>
      <c r="C1051" s="117" t="inlineStr">
        <is>
          <t>NGUYỄN THỊ ÚT</t>
        </is>
      </c>
      <c r="D1051" s="117" t="inlineStr">
        <is>
          <t>01/01/1954</t>
        </is>
      </c>
      <c r="E1051" s="117" t="inlineStr">
        <is>
          <t>Giường Nội khoa loại 2 - Khoa Chấn thương chỉnh hình</t>
        </is>
      </c>
      <c r="F1051" s="272" t="n">
        <v>1</v>
      </c>
      <c r="G1051" s="272" t="n">
        <v>222300</v>
      </c>
    </row>
    <row r="1052" ht="17.25" customHeight="1" s="248">
      <c r="A1052" s="117" t="n">
        <v>1044</v>
      </c>
      <c r="B1052" s="117" t="inlineStr">
        <is>
          <t>2026/06/22 09:40</t>
        </is>
      </c>
      <c r="C1052" s="117" t="inlineStr">
        <is>
          <t>LÊ TUẤN ĐẠT</t>
        </is>
      </c>
      <c r="D1052" s="117" t="inlineStr">
        <is>
          <t>01/06/1991</t>
        </is>
      </c>
      <c r="E1052" s="117" t="inlineStr">
        <is>
          <t>Giường Nội khoa loại 2 - Khoa Chấn thương chỉnh hình</t>
        </is>
      </c>
      <c r="F1052" s="272" t="n">
        <v>1</v>
      </c>
      <c r="G1052" s="272" t="n">
        <v>222300</v>
      </c>
    </row>
    <row r="1053" ht="17.25" customHeight="1" s="248">
      <c r="A1053" s="117" t="n">
        <v>1045</v>
      </c>
      <c r="B1053" s="117" t="inlineStr">
        <is>
          <t>2026/06/22 10:02</t>
        </is>
      </c>
      <c r="C1053" s="117" t="inlineStr">
        <is>
          <t>LÊ NGỌC HUYỀN</t>
        </is>
      </c>
      <c r="D1053" s="117" t="inlineStr">
        <is>
          <t>16/05/1991</t>
        </is>
      </c>
      <c r="E1053" s="117" t="inlineStr">
        <is>
          <t>Giường Nội khoa loại 2 - Khoa Chấn thương chỉnh hình</t>
        </is>
      </c>
      <c r="F1053" s="272" t="n">
        <v>1</v>
      </c>
      <c r="G1053" s="272" t="n">
        <v>222300</v>
      </c>
    </row>
    <row r="1054" ht="17.25" customHeight="1" s="248">
      <c r="A1054" s="117" t="n">
        <v>1046</v>
      </c>
      <c r="B1054" s="117" t="inlineStr">
        <is>
          <t>2026/06/22 10:42</t>
        </is>
      </c>
      <c r="C1054" s="117" t="inlineStr">
        <is>
          <t>THẠCH HOÀNG DŨNG</t>
        </is>
      </c>
      <c r="D1054" s="117" t="inlineStr">
        <is>
          <t>01/01/1976</t>
        </is>
      </c>
      <c r="E1054" s="117" t="inlineStr">
        <is>
          <t>Giường Nội khoa loại 2 - Khoa Chấn thương chỉnh hình</t>
        </is>
      </c>
      <c r="F1054" s="272" t="n">
        <v>1</v>
      </c>
      <c r="G1054" s="272" t="n">
        <v>222300</v>
      </c>
    </row>
    <row r="1055" ht="17.25" customHeight="1" s="248">
      <c r="A1055" s="117" t="n">
        <v>1047</v>
      </c>
      <c r="B1055" s="117" t="inlineStr">
        <is>
          <t>2026/06/22 11:18</t>
        </is>
      </c>
      <c r="C1055" s="117" t="inlineStr">
        <is>
          <t>LÊ VĂN NHÂN</t>
        </is>
      </c>
      <c r="D1055" s="117" t="inlineStr">
        <is>
          <t>01/01/1928</t>
        </is>
      </c>
      <c r="E1055" s="117" t="inlineStr">
        <is>
          <t>Giường Nội khoa loại 2 - Khoa Chấn thương chỉnh hình</t>
        </is>
      </c>
      <c r="F1055" s="272" t="n">
        <v>1</v>
      </c>
      <c r="G1055" s="272" t="n">
        <v>222300</v>
      </c>
    </row>
    <row r="1056" ht="17.25" customHeight="1" s="248">
      <c r="A1056" s="117" t="n">
        <v>1048</v>
      </c>
      <c r="B1056" s="117" t="inlineStr">
        <is>
          <t>2026/06/22 12:00</t>
        </is>
      </c>
      <c r="C1056" s="117" t="inlineStr">
        <is>
          <t>TRẦN MINH PHÚ</t>
        </is>
      </c>
      <c r="D1056" s="117" t="inlineStr">
        <is>
          <t>13/01/2008</t>
        </is>
      </c>
      <c r="E1056" s="117" t="inlineStr">
        <is>
          <t>Giường Nội khoa loại 2 - Khoa Chấn thương chỉnh hình</t>
        </is>
      </c>
      <c r="F1056" s="272" t="n">
        <v>1</v>
      </c>
      <c r="G1056" s="272" t="n">
        <v>222300</v>
      </c>
    </row>
    <row r="1057" ht="17.25" customHeight="1" s="248">
      <c r="A1057" s="117" t="n">
        <v>1049</v>
      </c>
      <c r="B1057" s="117" t="inlineStr">
        <is>
          <t>2026/06/22 12:16</t>
        </is>
      </c>
      <c r="C1057" s="117" t="inlineStr">
        <is>
          <t>NGUYỄN THỊ PHƯỢNG</t>
        </is>
      </c>
      <c r="D1057" s="117" t="inlineStr">
        <is>
          <t>01/01/1968</t>
        </is>
      </c>
      <c r="E1057" s="117" t="inlineStr">
        <is>
          <t>Giường Nội khoa loại 2 - Khoa Chấn thương chỉnh hình</t>
        </is>
      </c>
      <c r="F1057" s="272" t="n">
        <v>1</v>
      </c>
      <c r="G1057" s="272" t="n">
        <v>222300</v>
      </c>
    </row>
    <row r="1058" ht="17.25" customHeight="1" s="248">
      <c r="A1058" s="117" t="n">
        <v>1050</v>
      </c>
      <c r="B1058" s="117" t="inlineStr">
        <is>
          <t>2026/06/22 12:37</t>
        </is>
      </c>
      <c r="C1058" s="117" t="inlineStr">
        <is>
          <t>PHÙNG THỊ XUYÊN</t>
        </is>
      </c>
      <c r="D1058" s="117" t="inlineStr">
        <is>
          <t>01/01/1965</t>
        </is>
      </c>
      <c r="E1058" s="117" t="inlineStr">
        <is>
          <t>Giường Nội khoa loại 2 - Khoa Chấn thương chỉnh hình</t>
        </is>
      </c>
      <c r="F1058" s="272" t="n">
        <v>1</v>
      </c>
      <c r="G1058" s="272" t="n">
        <v>222300</v>
      </c>
    </row>
    <row r="1059" ht="17.25" customHeight="1" s="248">
      <c r="A1059" s="117" t="n">
        <v>1051</v>
      </c>
      <c r="B1059" s="117" t="inlineStr">
        <is>
          <t>2026/06/22 12:37</t>
        </is>
      </c>
      <c r="C1059" s="117" t="inlineStr">
        <is>
          <t>THÁI THỊ THỦY</t>
        </is>
      </c>
      <c r="D1059" s="117" t="inlineStr">
        <is>
          <t>01/01/1957</t>
        </is>
      </c>
      <c r="E1059" s="117" t="inlineStr">
        <is>
          <t>Giường Nội khoa loại 2 - Khoa Chấn thương chỉnh hình</t>
        </is>
      </c>
      <c r="F1059" s="272" t="n">
        <v>1</v>
      </c>
      <c r="G1059" s="272" t="n">
        <v>222300</v>
      </c>
    </row>
    <row r="1060" ht="17.25" customHeight="1" s="248">
      <c r="A1060" s="117" t="n">
        <v>1052</v>
      </c>
      <c r="B1060" s="117" t="inlineStr">
        <is>
          <t>2026/06/22 14:27</t>
        </is>
      </c>
      <c r="C1060" s="117" t="inlineStr">
        <is>
          <t>NGUYỄN HOÀNG THANH</t>
        </is>
      </c>
      <c r="D1060" s="117" t="inlineStr">
        <is>
          <t>26/11/2003</t>
        </is>
      </c>
      <c r="E1060" s="117" t="inlineStr">
        <is>
          <t>Giường Nội khoa loại 2 - Khoa Chấn thương chỉnh hình</t>
        </is>
      </c>
      <c r="F1060" s="272" t="n">
        <v>1</v>
      </c>
      <c r="G1060" s="272" t="n">
        <v>222300</v>
      </c>
    </row>
    <row r="1061" ht="17.25" customHeight="1" s="248">
      <c r="A1061" s="117" t="n">
        <v>1053</v>
      </c>
      <c r="B1061" s="117" t="inlineStr">
        <is>
          <t>2026/06/22 19:20</t>
        </is>
      </c>
      <c r="C1061" s="117" t="inlineStr">
        <is>
          <t>TRẦN ĐỨC HIẾU</t>
        </is>
      </c>
      <c r="D1061" s="117" t="inlineStr">
        <is>
          <t>13/10/2007</t>
        </is>
      </c>
      <c r="E1061" s="117" t="inlineStr">
        <is>
          <t>Giường Ngoại khoa loại 1 - Khoa Chấn thương chỉnh hình</t>
        </is>
      </c>
      <c r="F1061" s="272" t="n">
        <v>1</v>
      </c>
      <c r="G1061" s="272" t="n">
        <v>341800</v>
      </c>
    </row>
    <row r="1062" ht="17.25" customHeight="1" s="248">
      <c r="A1062" s="117" t="n">
        <v>1054</v>
      </c>
      <c r="B1062" s="117" t="inlineStr">
        <is>
          <t>2026/06/22 23:59</t>
        </is>
      </c>
      <c r="C1062" s="117" t="inlineStr">
        <is>
          <t>CHUNG VIỆT HÙNG</t>
        </is>
      </c>
      <c r="D1062" s="117" t="inlineStr">
        <is>
          <t>01/01/1958</t>
        </is>
      </c>
      <c r="E1062" s="117" t="inlineStr">
        <is>
          <t>Giường Nội khoa loại 2 - Khoa Chấn thương chỉnh hình</t>
        </is>
      </c>
      <c r="F1062" s="272" t="n">
        <v>1</v>
      </c>
      <c r="G1062" s="272" t="n">
        <v>222300</v>
      </c>
    </row>
    <row r="1063" ht="17.25" customHeight="1" s="248">
      <c r="A1063" s="117" t="n">
        <v>1055</v>
      </c>
      <c r="B1063" s="117" t="inlineStr">
        <is>
          <t>2026/06/22 23:59</t>
        </is>
      </c>
      <c r="C1063" s="117" t="inlineStr">
        <is>
          <t>TÔ VĂN THIỆN</t>
        </is>
      </c>
      <c r="D1063" s="117" t="inlineStr">
        <is>
          <t>01/01/1963</t>
        </is>
      </c>
      <c r="E1063" s="117" t="inlineStr">
        <is>
          <t>Giường Ngoại khoa loại 3 - Khoa Chấn thương chỉnh hình</t>
        </is>
      </c>
      <c r="F1063" s="272" t="n">
        <v>1</v>
      </c>
      <c r="G1063" s="272" t="n">
        <v>269200</v>
      </c>
    </row>
    <row r="1064" ht="17.25" customHeight="1" s="248">
      <c r="A1064" s="117" t="n">
        <v>1056</v>
      </c>
      <c r="B1064" s="117" t="inlineStr">
        <is>
          <t>2026/06/23 00:00</t>
        </is>
      </c>
      <c r="C1064" s="117" t="inlineStr">
        <is>
          <t>BÙI THỊ THU BA</t>
        </is>
      </c>
      <c r="D1064" s="117" t="inlineStr">
        <is>
          <t>01/01/1960</t>
        </is>
      </c>
      <c r="E1064" s="117" t="inlineStr">
        <is>
          <t>Giường Ngoại khoa loại 3 - Khoa Chấn thương chỉnh hình</t>
        </is>
      </c>
      <c r="F1064" s="272" t="n">
        <v>1</v>
      </c>
      <c r="G1064" s="272" t="n">
        <v>269200</v>
      </c>
    </row>
    <row r="1065" ht="17.25" customHeight="1" s="248">
      <c r="A1065" s="117" t="n">
        <v>1057</v>
      </c>
      <c r="B1065" s="117" t="inlineStr">
        <is>
          <t>2026/06/23 00:00</t>
        </is>
      </c>
      <c r="C1065" s="117" t="inlineStr">
        <is>
          <t>DƯƠNG THỊ DIỄM HẰNG</t>
        </is>
      </c>
      <c r="D1065" s="117" t="inlineStr">
        <is>
          <t>01/01/1980</t>
        </is>
      </c>
      <c r="E1065" s="117" t="inlineStr">
        <is>
          <t>Giường Ngoại khoa loại 2 - Khoa Chấn thương chỉnh hình</t>
        </is>
      </c>
      <c r="F1065" s="272" t="n">
        <v>1</v>
      </c>
      <c r="G1065" s="272" t="n">
        <v>301600</v>
      </c>
    </row>
    <row r="1066" ht="17.25" customHeight="1" s="248">
      <c r="A1066" s="117" t="n">
        <v>1058</v>
      </c>
      <c r="B1066" s="117" t="inlineStr">
        <is>
          <t>2026/06/23 00:00</t>
        </is>
      </c>
      <c r="C1066" s="117" t="inlineStr">
        <is>
          <t>HUỲNH VĂN CỨ</t>
        </is>
      </c>
      <c r="D1066" s="117" t="inlineStr">
        <is>
          <t>01/01/1967</t>
        </is>
      </c>
      <c r="E1066" s="117" t="inlineStr">
        <is>
          <t>Giường Ngoại khoa loại 3 - Khoa Chấn thương chỉnh hình</t>
        </is>
      </c>
      <c r="F1066" s="272" t="n">
        <v>1</v>
      </c>
      <c r="G1066" s="272" t="n">
        <v>269200</v>
      </c>
    </row>
    <row r="1067" ht="17.25" customHeight="1" s="248">
      <c r="A1067" s="117" t="n">
        <v>1059</v>
      </c>
      <c r="B1067" s="117" t="inlineStr">
        <is>
          <t>2026/06/23 00:00</t>
        </is>
      </c>
      <c r="C1067" s="117" t="inlineStr">
        <is>
          <t>LÂM MINH</t>
        </is>
      </c>
      <c r="D1067" s="117" t="inlineStr">
        <is>
          <t>05/03/2004</t>
        </is>
      </c>
      <c r="E1067" s="117" t="inlineStr">
        <is>
          <t>Giường Ngoại khoa loại 2 - Khoa Chấn thương chỉnh hình</t>
        </is>
      </c>
      <c r="F1067" s="272" t="n">
        <v>1</v>
      </c>
      <c r="G1067" s="272" t="n">
        <v>301600</v>
      </c>
    </row>
    <row r="1068" ht="17.25" customHeight="1" s="248">
      <c r="A1068" s="117" t="n">
        <v>1060</v>
      </c>
      <c r="B1068" s="117" t="inlineStr">
        <is>
          <t>2026/06/23 00:00</t>
        </is>
      </c>
      <c r="C1068" s="117" t="inlineStr">
        <is>
          <t>LÊ NGỌC HUYỀN</t>
        </is>
      </c>
      <c r="D1068" s="117" t="inlineStr">
        <is>
          <t>16/05/1991</t>
        </is>
      </c>
      <c r="E1068" s="117" t="inlineStr">
        <is>
          <t>Giường Nội khoa loại 2 - Khoa Chấn thương chỉnh hình</t>
        </is>
      </c>
      <c r="F1068" s="272" t="n">
        <v>1</v>
      </c>
      <c r="G1068" s="272" t="n">
        <v>222300</v>
      </c>
    </row>
    <row r="1069" ht="17.25" customHeight="1" s="248">
      <c r="A1069" s="117" t="n">
        <v>1061</v>
      </c>
      <c r="B1069" s="117" t="inlineStr">
        <is>
          <t>2026/06/23 00:00</t>
        </is>
      </c>
      <c r="C1069" s="117" t="inlineStr">
        <is>
          <t>LÊ NGỌC HỦI</t>
        </is>
      </c>
      <c r="D1069" s="117" t="inlineStr">
        <is>
          <t>11/11/1989</t>
        </is>
      </c>
      <c r="E1069" s="117" t="inlineStr">
        <is>
          <t>Giường Ngoại khoa loại 3 - Khoa Chấn thương chỉnh hình</t>
        </is>
      </c>
      <c r="F1069" s="272" t="n">
        <v>1</v>
      </c>
      <c r="G1069" s="272" t="n">
        <v>269200</v>
      </c>
    </row>
    <row r="1070" ht="17.25" customHeight="1" s="248">
      <c r="A1070" s="117" t="n">
        <v>1062</v>
      </c>
      <c r="B1070" s="117" t="inlineStr">
        <is>
          <t>2026/06/23 00:00</t>
        </is>
      </c>
      <c r="C1070" s="117" t="inlineStr">
        <is>
          <t>LÊ THỊ KIM ĐIỂU</t>
        </is>
      </c>
      <c r="D1070" s="117" t="inlineStr">
        <is>
          <t>12/12/1958</t>
        </is>
      </c>
      <c r="E1070" s="117" t="inlineStr">
        <is>
          <t>Giường Ngoại khoa loại 3 - Khoa Chấn thương chỉnh hình</t>
        </is>
      </c>
      <c r="F1070" s="272" t="n">
        <v>1</v>
      </c>
      <c r="G1070" s="272" t="n">
        <v>269200</v>
      </c>
    </row>
    <row r="1071" ht="17.25" customHeight="1" s="248">
      <c r="A1071" s="117" t="n">
        <v>1063</v>
      </c>
      <c r="B1071" s="117" t="inlineStr">
        <is>
          <t>2026/06/23 00:00</t>
        </is>
      </c>
      <c r="C1071" s="117" t="inlineStr">
        <is>
          <t>LÊ THỊ LỆ</t>
        </is>
      </c>
      <c r="D1071" s="117" t="inlineStr">
        <is>
          <t>01/01/1957</t>
        </is>
      </c>
      <c r="E1071" s="117" t="inlineStr">
        <is>
          <t>Giường Ngoại khoa loại 1 - Khoa Chấn thương chỉnh hình</t>
        </is>
      </c>
      <c r="F1071" s="272" t="n">
        <v>1</v>
      </c>
      <c r="G1071" s="272" t="n">
        <v>341800</v>
      </c>
    </row>
    <row r="1072" ht="17.25" customHeight="1" s="248">
      <c r="A1072" s="117" t="n">
        <v>1064</v>
      </c>
      <c r="B1072" s="117" t="inlineStr">
        <is>
          <t>2026/06/23 00:00</t>
        </is>
      </c>
      <c r="C1072" s="117" t="inlineStr">
        <is>
          <t>LÊ TUẤN ĐẠT</t>
        </is>
      </c>
      <c r="D1072" s="117" t="inlineStr">
        <is>
          <t>01/06/1991</t>
        </is>
      </c>
      <c r="E1072" s="117" t="inlineStr">
        <is>
          <t>Giường Ngoại khoa loại 2 - Khoa Chấn thương chỉnh hình</t>
        </is>
      </c>
      <c r="F1072" s="272" t="n">
        <v>1</v>
      </c>
      <c r="G1072" s="272" t="n">
        <v>301600</v>
      </c>
    </row>
    <row r="1073" ht="17.25" customHeight="1" s="248">
      <c r="A1073" s="117" t="n">
        <v>1065</v>
      </c>
      <c r="B1073" s="117" t="inlineStr">
        <is>
          <t>2026/06/23 00:00</t>
        </is>
      </c>
      <c r="C1073" s="117" t="inlineStr">
        <is>
          <t>LÊ VĂN NHÂN</t>
        </is>
      </c>
      <c r="D1073" s="117" t="inlineStr">
        <is>
          <t>01/01/1928</t>
        </is>
      </c>
      <c r="E1073" s="117" t="inlineStr">
        <is>
          <t>Giường Nội khoa loại 2 - Khoa Chấn thương chỉnh hình</t>
        </is>
      </c>
      <c r="F1073" s="272" t="n">
        <v>1</v>
      </c>
      <c r="G1073" s="272" t="n">
        <v>222300</v>
      </c>
    </row>
    <row r="1074" ht="17.25" customHeight="1" s="248">
      <c r="A1074" s="117" t="n">
        <v>1066</v>
      </c>
      <c r="B1074" s="117" t="inlineStr">
        <is>
          <t>2026/06/23 00:00</t>
        </is>
      </c>
      <c r="C1074" s="117" t="inlineStr">
        <is>
          <t>NGUYỄN HOÀNG THANH</t>
        </is>
      </c>
      <c r="D1074" s="117" t="inlineStr">
        <is>
          <t>26/11/2003</t>
        </is>
      </c>
      <c r="E1074" s="117" t="inlineStr">
        <is>
          <t>Giường Ngoại khoa loại 3 - Khoa Chấn thương chỉnh hình</t>
        </is>
      </c>
      <c r="F1074" s="272" t="n">
        <v>1</v>
      </c>
      <c r="G1074" s="272" t="n">
        <v>269200</v>
      </c>
    </row>
    <row r="1075" ht="17.25" customHeight="1" s="248">
      <c r="A1075" s="117" t="n">
        <v>1067</v>
      </c>
      <c r="B1075" s="117" t="inlineStr">
        <is>
          <t>2026/06/23 00:00</t>
        </is>
      </c>
      <c r="C1075" s="117" t="inlineStr">
        <is>
          <t>NGUYỄN THỊ NGỌC DUYÊN</t>
        </is>
      </c>
      <c r="D1075" s="117" t="inlineStr">
        <is>
          <t>01/02/1971</t>
        </is>
      </c>
      <c r="E1075" s="117" t="inlineStr">
        <is>
          <t>Giường Ngoại khoa loại 1 - Khoa Chấn thương chỉnh hình</t>
        </is>
      </c>
      <c r="F1075" s="272" t="n">
        <v>1</v>
      </c>
      <c r="G1075" s="272" t="n">
        <v>341800</v>
      </c>
    </row>
    <row r="1076" ht="17.25" customHeight="1" s="248">
      <c r="A1076" s="117" t="n">
        <v>1068</v>
      </c>
      <c r="B1076" s="117" t="inlineStr">
        <is>
          <t>2026/06/23 00:00</t>
        </is>
      </c>
      <c r="C1076" s="117" t="inlineStr">
        <is>
          <t>NGUYỄN THỊ PHƯỢNG</t>
        </is>
      </c>
      <c r="D1076" s="117" t="inlineStr">
        <is>
          <t>01/01/1968</t>
        </is>
      </c>
      <c r="E1076" s="117" t="inlineStr">
        <is>
          <t>Giường Nội khoa loại 2 - Khoa Chấn thương chỉnh hình</t>
        </is>
      </c>
      <c r="F1076" s="272" t="n">
        <v>1</v>
      </c>
      <c r="G1076" s="272" t="n">
        <v>222300</v>
      </c>
    </row>
    <row r="1077" ht="17.25" customHeight="1" s="248">
      <c r="A1077" s="117" t="n">
        <v>1069</v>
      </c>
      <c r="B1077" s="117" t="inlineStr">
        <is>
          <t>2026/06/23 00:00</t>
        </is>
      </c>
      <c r="C1077" s="117" t="inlineStr">
        <is>
          <t>NGUYỄN THỊ ÚT</t>
        </is>
      </c>
      <c r="D1077" s="117" t="inlineStr">
        <is>
          <t>01/01/1954</t>
        </is>
      </c>
      <c r="E1077" s="117" t="inlineStr">
        <is>
          <t>Giường Nội khoa loại 2 - Khoa Chấn thương chỉnh hình</t>
        </is>
      </c>
      <c r="F1077" s="272" t="n">
        <v>1</v>
      </c>
      <c r="G1077" s="272" t="n">
        <v>222300</v>
      </c>
    </row>
    <row r="1078" ht="17.25" customHeight="1" s="248">
      <c r="A1078" s="117" t="n">
        <v>1070</v>
      </c>
      <c r="B1078" s="117" t="inlineStr">
        <is>
          <t>2026/06/23 00:00</t>
        </is>
      </c>
      <c r="C1078" s="117" t="inlineStr">
        <is>
          <t>NGUYỄN VĂN LÂM</t>
        </is>
      </c>
      <c r="D1078" s="117" t="inlineStr">
        <is>
          <t>21/02/1951</t>
        </is>
      </c>
      <c r="E1078" s="117" t="inlineStr">
        <is>
          <t>Giường Ngoại khoa loại 3 - Khoa Chấn thương chỉnh hình</t>
        </is>
      </c>
      <c r="F1078" s="272" t="n">
        <v>1</v>
      </c>
      <c r="G1078" s="272" t="n">
        <v>269200</v>
      </c>
    </row>
    <row r="1079" ht="17.25" customHeight="1" s="248">
      <c r="A1079" s="117" t="n">
        <v>1071</v>
      </c>
      <c r="B1079" s="117" t="inlineStr">
        <is>
          <t>2026/06/23 00:00</t>
        </is>
      </c>
      <c r="C1079" s="117" t="inlineStr">
        <is>
          <t>NGUYỄN VĂN QUANG</t>
        </is>
      </c>
      <c r="D1079" s="117" t="inlineStr">
        <is>
          <t>22/12/1981</t>
        </is>
      </c>
      <c r="E1079" s="117" t="inlineStr">
        <is>
          <t>Giường Ngoại khoa loại 1 - Khoa Chấn thương chỉnh hình</t>
        </is>
      </c>
      <c r="F1079" s="272" t="n">
        <v>1</v>
      </c>
      <c r="G1079" s="272" t="n">
        <v>341800</v>
      </c>
    </row>
    <row r="1080" ht="17.25" customHeight="1" s="248">
      <c r="A1080" s="117" t="n">
        <v>1072</v>
      </c>
      <c r="B1080" s="117" t="inlineStr">
        <is>
          <t>2026/06/23 00:00</t>
        </is>
      </c>
      <c r="C1080" s="117" t="inlineStr">
        <is>
          <t>PHÙNG THỊ XUYÊN</t>
        </is>
      </c>
      <c r="D1080" s="117" t="inlineStr">
        <is>
          <t>01/01/1965</t>
        </is>
      </c>
      <c r="E1080" s="117" t="inlineStr">
        <is>
          <t>Giường Nội khoa loại 2 - Khoa Chấn thương chỉnh hình</t>
        </is>
      </c>
      <c r="F1080" s="272" t="n">
        <v>1</v>
      </c>
      <c r="G1080" s="272" t="n">
        <v>222300</v>
      </c>
    </row>
    <row r="1081" ht="17.25" customHeight="1" s="248">
      <c r="A1081" s="117" t="n">
        <v>1073</v>
      </c>
      <c r="B1081" s="117" t="inlineStr">
        <is>
          <t>2026/06/23 00:00</t>
        </is>
      </c>
      <c r="C1081" s="117" t="inlineStr">
        <is>
          <t>PHẠM THỊ BÍCH THỦY</t>
        </is>
      </c>
      <c r="D1081" s="117" t="inlineStr">
        <is>
          <t>10/09/1972</t>
        </is>
      </c>
      <c r="E1081" s="117" t="inlineStr">
        <is>
          <t>Giường Nội khoa loại 2 - Khoa Chấn thương chỉnh hình</t>
        </is>
      </c>
      <c r="F1081" s="272" t="n">
        <v>1</v>
      </c>
      <c r="G1081" s="272" t="n">
        <v>222300</v>
      </c>
    </row>
    <row r="1082" ht="17.25" customHeight="1" s="248">
      <c r="A1082" s="117" t="n">
        <v>1074</v>
      </c>
      <c r="B1082" s="117" t="inlineStr">
        <is>
          <t>2026/06/23 00:00</t>
        </is>
      </c>
      <c r="C1082" s="117" t="inlineStr">
        <is>
          <t>PHẠM THỊ DUNG</t>
        </is>
      </c>
      <c r="D1082" s="117" t="inlineStr">
        <is>
          <t>01/01/1968</t>
        </is>
      </c>
      <c r="E1082" s="117" t="inlineStr">
        <is>
          <t>Giường Nội khoa loại 2 - Khoa Chấn thương chỉnh hình</t>
        </is>
      </c>
      <c r="F1082" s="272" t="n">
        <v>1</v>
      </c>
      <c r="G1082" s="272" t="n">
        <v>222300</v>
      </c>
    </row>
    <row r="1083" ht="17.25" customHeight="1" s="248">
      <c r="A1083" s="117" t="n">
        <v>1075</v>
      </c>
      <c r="B1083" s="117" t="inlineStr">
        <is>
          <t>2026/06/23 00:00</t>
        </is>
      </c>
      <c r="C1083" s="117" t="inlineStr">
        <is>
          <t>THÁI THỊ THỦY</t>
        </is>
      </c>
      <c r="D1083" s="117" t="inlineStr">
        <is>
          <t>01/01/1957</t>
        </is>
      </c>
      <c r="E1083" s="117" t="inlineStr">
        <is>
          <t>Giường Nội khoa loại 2 - Khoa Chấn thương chỉnh hình</t>
        </is>
      </c>
      <c r="F1083" s="272" t="n">
        <v>1</v>
      </c>
      <c r="G1083" s="272" t="n">
        <v>222300</v>
      </c>
    </row>
    <row r="1084" ht="17.25" customHeight="1" s="248">
      <c r="A1084" s="117" t="n">
        <v>1076</v>
      </c>
      <c r="B1084" s="117" t="inlineStr">
        <is>
          <t>2026/06/23 00:00</t>
        </is>
      </c>
      <c r="C1084" s="117" t="inlineStr">
        <is>
          <t>TRƯƠNG THỊ CẨM CHÂU</t>
        </is>
      </c>
      <c r="D1084" s="117" t="inlineStr">
        <is>
          <t>09/10/1968</t>
        </is>
      </c>
      <c r="E1084" s="117" t="inlineStr">
        <is>
          <t>Giường Ngoại khoa loại 3 - Khoa Chấn thương chỉnh hình</t>
        </is>
      </c>
      <c r="F1084" s="272" t="n">
        <v>1</v>
      </c>
      <c r="G1084" s="272" t="n">
        <v>269200</v>
      </c>
    </row>
    <row r="1085" ht="17.25" customHeight="1" s="248">
      <c r="A1085" s="117" t="n">
        <v>1077</v>
      </c>
      <c r="B1085" s="117" t="inlineStr">
        <is>
          <t>2026/06/23 00:00</t>
        </is>
      </c>
      <c r="C1085" s="117" t="inlineStr">
        <is>
          <t>TRẦN ĐỨC HIẾU</t>
        </is>
      </c>
      <c r="D1085" s="117" t="inlineStr">
        <is>
          <t>13/10/2007</t>
        </is>
      </c>
      <c r="E1085" s="117" t="inlineStr">
        <is>
          <t>Giường Ngoại khoa loại 1 - Khoa Chấn thương chỉnh hình</t>
        </is>
      </c>
      <c r="F1085" s="272" t="n">
        <v>1</v>
      </c>
      <c r="G1085" s="272" t="n">
        <v>341800</v>
      </c>
    </row>
    <row r="1086" ht="17.25" customHeight="1" s="248">
      <c r="A1086" s="117" t="n">
        <v>1078</v>
      </c>
      <c r="B1086" s="117" t="inlineStr">
        <is>
          <t>2026/06/23 00:00</t>
        </is>
      </c>
      <c r="C1086" s="117" t="inlineStr">
        <is>
          <t>TRỊNH THÚY NGA</t>
        </is>
      </c>
      <c r="D1086" s="117" t="inlineStr">
        <is>
          <t>01/01/1965</t>
        </is>
      </c>
      <c r="E1086" s="117" t="inlineStr">
        <is>
          <t>Giường Ngoại khoa loại 4 - Khoa Chấn thương chỉnh hình</t>
        </is>
      </c>
      <c r="F1086" s="272" t="n">
        <v>1</v>
      </c>
      <c r="G1086" s="272" t="n">
        <v>229200</v>
      </c>
    </row>
    <row r="1087" ht="17.25" customHeight="1" s="248">
      <c r="A1087" s="117" t="n">
        <v>1079</v>
      </c>
      <c r="B1087" s="117" t="inlineStr">
        <is>
          <t>2026/06/23 00:00</t>
        </is>
      </c>
      <c r="C1087" s="117" t="inlineStr">
        <is>
          <t>VÕ THỊ ĐIỆP</t>
        </is>
      </c>
      <c r="D1087" s="117" t="inlineStr">
        <is>
          <t>01/01/1942</t>
        </is>
      </c>
      <c r="E1087" s="117" t="inlineStr">
        <is>
          <t>Giường Nội khoa loại 2 - Khoa Chấn thương chỉnh hình</t>
        </is>
      </c>
      <c r="F1087" s="272" t="n">
        <v>1</v>
      </c>
      <c r="G1087" s="272" t="n">
        <v>222300</v>
      </c>
    </row>
    <row r="1088" ht="17.25" customHeight="1" s="248">
      <c r="A1088" s="117" t="n">
        <v>1080</v>
      </c>
      <c r="B1088" s="117" t="inlineStr">
        <is>
          <t>2026/06/23 00:00</t>
        </is>
      </c>
      <c r="C1088" s="117" t="inlineStr">
        <is>
          <t>VÕ VĂN HƠN</t>
        </is>
      </c>
      <c r="D1088" s="117" t="inlineStr">
        <is>
          <t>26/04/1989</t>
        </is>
      </c>
      <c r="E1088" s="117" t="inlineStr">
        <is>
          <t>Giường Ngoại khoa loại 1 - Khoa Chấn thương chỉnh hình</t>
        </is>
      </c>
      <c r="F1088" s="272" t="n">
        <v>1</v>
      </c>
      <c r="G1088" s="272" t="n">
        <v>341800</v>
      </c>
    </row>
    <row r="1089" ht="17.25" customHeight="1" s="248">
      <c r="A1089" s="117" t="n">
        <v>1081</v>
      </c>
      <c r="B1089" s="117" t="inlineStr">
        <is>
          <t>2026/06/23 00:00</t>
        </is>
      </c>
      <c r="C1089" s="117" t="inlineStr">
        <is>
          <t>PHAN VĂN ĐƯỢC</t>
        </is>
      </c>
      <c r="D1089" s="117" t="inlineStr">
        <is>
          <t>01/01/1934</t>
        </is>
      </c>
      <c r="E1089" s="117" t="inlineStr">
        <is>
          <t>Giường Ngoại khoa loại 1 - Khoa Chấn thương chỉnh hình</t>
        </is>
      </c>
      <c r="F1089" s="272" t="n">
        <v>1</v>
      </c>
      <c r="G1089" s="272" t="n">
        <v>341800</v>
      </c>
    </row>
    <row r="1090" ht="17.25" customHeight="1" s="248">
      <c r="A1090" s="117" t="n">
        <v>1082</v>
      </c>
      <c r="B1090" s="117" t="inlineStr">
        <is>
          <t>2026/06/23 00:00</t>
        </is>
      </c>
      <c r="C1090" s="117" t="inlineStr">
        <is>
          <t>VÕ THỊ THE</t>
        </is>
      </c>
      <c r="D1090" s="117" t="inlineStr">
        <is>
          <t>01/01/1963</t>
        </is>
      </c>
      <c r="E1090" s="117" t="inlineStr">
        <is>
          <t>Giường Ngoại khoa loại 1 - Khoa Chấn thương chỉnh hình</t>
        </is>
      </c>
      <c r="F1090" s="272" t="n">
        <v>1</v>
      </c>
      <c r="G1090" s="272" t="n">
        <v>341800</v>
      </c>
    </row>
    <row r="1091" ht="17.25" customHeight="1" s="248">
      <c r="A1091" s="117" t="n">
        <v>1083</v>
      </c>
      <c r="B1091" s="117" t="inlineStr">
        <is>
          <t>2026/06/23 02:51</t>
        </is>
      </c>
      <c r="C1091" s="117" t="inlineStr">
        <is>
          <t>TRƯƠNG NGỌC LOAN</t>
        </is>
      </c>
      <c r="D1091" s="117" t="inlineStr">
        <is>
          <t>01/01/1961</t>
        </is>
      </c>
      <c r="E1091" s="117" t="inlineStr">
        <is>
          <t>Giường Nội khoa loại 2 - Khoa Chấn thương chỉnh hình</t>
        </is>
      </c>
      <c r="F1091" s="272" t="n">
        <v>1</v>
      </c>
      <c r="G1091" s="272" t="n">
        <v>222300</v>
      </c>
    </row>
    <row r="1092" ht="17.25" customHeight="1" s="248">
      <c r="A1092" s="117" t="n">
        <v>1084</v>
      </c>
      <c r="B1092" s="117" t="inlineStr">
        <is>
          <t>2026/06/23 10:50</t>
        </is>
      </c>
      <c r="C1092" s="117" t="inlineStr">
        <is>
          <t>NGUYỄN ĐỨC THỊNH</t>
        </is>
      </c>
      <c r="D1092" s="117" t="inlineStr">
        <is>
          <t>16/12/1996</t>
        </is>
      </c>
      <c r="E1092" s="117" t="inlineStr">
        <is>
          <t>Giường Nội khoa loại 2 - Khoa Chấn thương chỉnh hình</t>
        </is>
      </c>
      <c r="F1092" s="272" t="n">
        <v>1</v>
      </c>
      <c r="G1092" s="272" t="n">
        <v>222300</v>
      </c>
    </row>
    <row r="1093" ht="17.25" customHeight="1" s="248">
      <c r="A1093" s="117" t="n">
        <v>1085</v>
      </c>
      <c r="B1093" s="117" t="inlineStr">
        <is>
          <t>2026/06/23 11:17</t>
        </is>
      </c>
      <c r="C1093" s="117" t="inlineStr">
        <is>
          <t>LÂM VĂN TÀI</t>
        </is>
      </c>
      <c r="D1093" s="117" t="inlineStr">
        <is>
          <t>15/12/1996</t>
        </is>
      </c>
      <c r="E1093" s="117" t="inlineStr">
        <is>
          <t>Giường Nội khoa loại 2 - Khoa Chấn thương chỉnh hình</t>
        </is>
      </c>
      <c r="F1093" s="272" t="n">
        <v>1</v>
      </c>
      <c r="G1093" s="272" t="n">
        <v>222300</v>
      </c>
    </row>
    <row r="1094" ht="17.25" customHeight="1" s="248">
      <c r="A1094" s="117" t="n">
        <v>1086</v>
      </c>
      <c r="B1094" s="117" t="inlineStr">
        <is>
          <t>2026/06/23 12:21</t>
        </is>
      </c>
      <c r="C1094" s="117" t="inlineStr">
        <is>
          <t>NGUYỄN THỊ BỢ</t>
        </is>
      </c>
      <c r="D1094" s="117" t="inlineStr">
        <is>
          <t>01/01/1963</t>
        </is>
      </c>
      <c r="E1094" s="117" t="inlineStr">
        <is>
          <t>Giường Nội khoa loại 2 - Khoa Chấn thương chỉnh hình</t>
        </is>
      </c>
      <c r="F1094" s="272" t="n">
        <v>1</v>
      </c>
      <c r="G1094" s="272" t="n">
        <v>222300</v>
      </c>
    </row>
    <row r="1095" ht="17.25" customHeight="1" s="248">
      <c r="A1095" s="117" t="n">
        <v>1087</v>
      </c>
      <c r="B1095" s="117" t="inlineStr">
        <is>
          <t>2026/06/23 13:37</t>
        </is>
      </c>
      <c r="C1095" s="117" t="inlineStr">
        <is>
          <t>HUỲNH THỊ SÁU</t>
        </is>
      </c>
      <c r="D1095" s="117" t="inlineStr">
        <is>
          <t>05/02/1960</t>
        </is>
      </c>
      <c r="E1095" s="117" t="inlineStr">
        <is>
          <t>Giường Ngoại khoa loại 4 - Khoa Chấn thương chỉnh hình</t>
        </is>
      </c>
      <c r="F1095" s="272" t="n">
        <v>1</v>
      </c>
      <c r="G1095" s="272" t="n">
        <v>229200</v>
      </c>
    </row>
    <row r="1096" ht="17.25" customHeight="1" s="248">
      <c r="A1096" s="117" t="n">
        <v>1088</v>
      </c>
      <c r="B1096" s="117" t="inlineStr">
        <is>
          <t>2026/06/23 14:10</t>
        </is>
      </c>
      <c r="C1096" s="117" t="inlineStr">
        <is>
          <t>THẠCH HOÀNG DŨNG</t>
        </is>
      </c>
      <c r="D1096" s="117" t="inlineStr">
        <is>
          <t>01/01/1976</t>
        </is>
      </c>
      <c r="E1096" s="117" t="inlineStr">
        <is>
          <t>Giường Ngoại khoa loại 1 - Khoa Chấn thương chỉnh hình</t>
        </is>
      </c>
      <c r="F1096" s="272" t="n">
        <v>1</v>
      </c>
      <c r="G1096" s="272" t="n">
        <v>341800</v>
      </c>
    </row>
    <row r="1097" ht="17.25" customHeight="1" s="248">
      <c r="A1097" s="117" t="n">
        <v>1089</v>
      </c>
      <c r="B1097" s="117" t="inlineStr">
        <is>
          <t>2026/06/23 16:21</t>
        </is>
      </c>
      <c r="C1097" s="117" t="inlineStr">
        <is>
          <t>BÙI TRÚC LINH</t>
        </is>
      </c>
      <c r="D1097" s="117" t="inlineStr">
        <is>
          <t>18/12/1974</t>
        </is>
      </c>
      <c r="E1097" s="117" t="inlineStr">
        <is>
          <t>Giường Nội khoa loại 2 - Khoa Chấn thương chỉnh hình</t>
        </is>
      </c>
      <c r="F1097" s="272" t="n">
        <v>1</v>
      </c>
      <c r="G1097" s="272" t="n">
        <v>222300</v>
      </c>
    </row>
    <row r="1098" ht="17.25" customHeight="1" s="248">
      <c r="A1098" s="117" t="n">
        <v>1090</v>
      </c>
      <c r="B1098" s="117" t="inlineStr">
        <is>
          <t>2026/06/23 23:59</t>
        </is>
      </c>
      <c r="C1098" s="117" t="inlineStr">
        <is>
          <t>LÊ NGỌC HỦI</t>
        </is>
      </c>
      <c r="D1098" s="117" t="inlineStr">
        <is>
          <t>11/11/1989</t>
        </is>
      </c>
      <c r="E1098" s="117" t="inlineStr">
        <is>
          <t>Giường Ngoại khoa loại 3 - Khoa Chấn thương chỉnh hình</t>
        </is>
      </c>
      <c r="F1098" s="272" t="n">
        <v>1</v>
      </c>
      <c r="G1098" s="272" t="n">
        <v>269200</v>
      </c>
    </row>
    <row r="1099" ht="17.25" customHeight="1" s="248">
      <c r="A1099" s="117" t="n">
        <v>1091</v>
      </c>
      <c r="B1099" s="117" t="inlineStr">
        <is>
          <t>2026/06/23 23:59</t>
        </is>
      </c>
      <c r="C1099" s="117" t="inlineStr">
        <is>
          <t>PHÙNG THỊ XUYÊN</t>
        </is>
      </c>
      <c r="D1099" s="117" t="inlineStr">
        <is>
          <t>01/01/1965</t>
        </is>
      </c>
      <c r="E1099" s="117" t="inlineStr">
        <is>
          <t>Giường Nội khoa loại 2 - Khoa Chấn thương chỉnh hình</t>
        </is>
      </c>
      <c r="F1099" s="272" t="n">
        <v>1</v>
      </c>
      <c r="G1099" s="272" t="n">
        <v>222300</v>
      </c>
    </row>
    <row r="1100" ht="17.25" customHeight="1" s="248">
      <c r="A1100" s="117" t="n">
        <v>1092</v>
      </c>
      <c r="B1100" s="117" t="inlineStr">
        <is>
          <t>2026/06/24 00:00</t>
        </is>
      </c>
      <c r="C1100" s="117" t="inlineStr">
        <is>
          <t>BÙI THỊ THU BA</t>
        </is>
      </c>
      <c r="D1100" s="117" t="inlineStr">
        <is>
          <t>01/01/1960</t>
        </is>
      </c>
      <c r="E1100" s="117" t="inlineStr">
        <is>
          <t>Giường Ngoại khoa loại 3 - Khoa Chấn thương chỉnh hình</t>
        </is>
      </c>
      <c r="F1100" s="272" t="n">
        <v>1</v>
      </c>
      <c r="G1100" s="272" t="n">
        <v>269200</v>
      </c>
    </row>
    <row r="1101" ht="17.25" customHeight="1" s="248">
      <c r="A1101" s="117" t="n">
        <v>1093</v>
      </c>
      <c r="B1101" s="117" t="inlineStr">
        <is>
          <t>2026/06/24 00:00</t>
        </is>
      </c>
      <c r="C1101" s="117" t="inlineStr">
        <is>
          <t>BÙI TRÚC LINH</t>
        </is>
      </c>
      <c r="D1101" s="117" t="inlineStr">
        <is>
          <t>18/12/1974</t>
        </is>
      </c>
      <c r="E1101" s="117" t="inlineStr">
        <is>
          <t>Giường Nội khoa loại 2 - Khoa Chấn thương chỉnh hình</t>
        </is>
      </c>
      <c r="F1101" s="272" t="n">
        <v>1</v>
      </c>
      <c r="G1101" s="272" t="n">
        <v>222300</v>
      </c>
    </row>
    <row r="1102" ht="17.25" customHeight="1" s="248">
      <c r="A1102" s="117" t="n">
        <v>1094</v>
      </c>
      <c r="B1102" s="117" t="inlineStr">
        <is>
          <t>2026/06/24 00:00</t>
        </is>
      </c>
      <c r="C1102" s="117" t="inlineStr">
        <is>
          <t>CHUNG VIỆT HÙNG</t>
        </is>
      </c>
      <c r="D1102" s="117" t="inlineStr">
        <is>
          <t>01/01/1958</t>
        </is>
      </c>
      <c r="E1102" s="117" t="inlineStr">
        <is>
          <t>Giường Nội khoa loại 2 - Khoa Chấn thương chỉnh hình</t>
        </is>
      </c>
      <c r="F1102" s="272" t="n">
        <v>1</v>
      </c>
      <c r="G1102" s="272" t="n">
        <v>222300</v>
      </c>
    </row>
    <row r="1103" ht="17.25" customHeight="1" s="248">
      <c r="A1103" s="117" t="n">
        <v>1095</v>
      </c>
      <c r="B1103" s="117" t="inlineStr">
        <is>
          <t>2026/06/24 00:00</t>
        </is>
      </c>
      <c r="C1103" s="117" t="inlineStr">
        <is>
          <t>DƯƠNG THỊ DIỄM HẰNG</t>
        </is>
      </c>
      <c r="D1103" s="117" t="inlineStr">
        <is>
          <t>01/01/1980</t>
        </is>
      </c>
      <c r="E1103" s="117" t="inlineStr">
        <is>
          <t>Giường Ngoại khoa loại 2 - Khoa Chấn thương chỉnh hình</t>
        </is>
      </c>
      <c r="F1103" s="272" t="n">
        <v>1</v>
      </c>
      <c r="G1103" s="272" t="n">
        <v>301600</v>
      </c>
    </row>
    <row r="1104" ht="17.25" customHeight="1" s="248">
      <c r="A1104" s="117" t="n">
        <v>1096</v>
      </c>
      <c r="B1104" s="117" t="inlineStr">
        <is>
          <t>2026/06/24 00:00</t>
        </is>
      </c>
      <c r="C1104" s="117" t="inlineStr">
        <is>
          <t>HUỲNH THỊ SÁU</t>
        </is>
      </c>
      <c r="D1104" s="117" t="inlineStr">
        <is>
          <t>05/02/1960</t>
        </is>
      </c>
      <c r="E1104" s="117" t="inlineStr">
        <is>
          <t>Giường Ngoại khoa loại 4 - Khoa Chấn thương chỉnh hình</t>
        </is>
      </c>
      <c r="F1104" s="272" t="n">
        <v>1</v>
      </c>
      <c r="G1104" s="272" t="n">
        <v>229200</v>
      </c>
    </row>
    <row r="1105" ht="17.25" customHeight="1" s="248">
      <c r="A1105" s="117" t="n">
        <v>1097</v>
      </c>
      <c r="B1105" s="117" t="inlineStr">
        <is>
          <t>2026/06/24 00:00</t>
        </is>
      </c>
      <c r="C1105" s="117" t="inlineStr">
        <is>
          <t>HUỲNH VĂN CỨ</t>
        </is>
      </c>
      <c r="D1105" s="117" t="inlineStr">
        <is>
          <t>01/01/1967</t>
        </is>
      </c>
      <c r="E1105" s="117" t="inlineStr">
        <is>
          <t>Giường Ngoại khoa loại 3 - Khoa Chấn thương chỉnh hình</t>
        </is>
      </c>
      <c r="F1105" s="272" t="n">
        <v>1</v>
      </c>
      <c r="G1105" s="272" t="n">
        <v>269200</v>
      </c>
    </row>
    <row r="1106" ht="17.25" customHeight="1" s="248">
      <c r="A1106" s="117" t="n">
        <v>1098</v>
      </c>
      <c r="B1106" s="117" t="inlineStr">
        <is>
          <t>2026/06/24 00:00</t>
        </is>
      </c>
      <c r="C1106" s="117" t="inlineStr">
        <is>
          <t>LÂM VĂN TÀI</t>
        </is>
      </c>
      <c r="D1106" s="117" t="inlineStr">
        <is>
          <t>15/12/1996</t>
        </is>
      </c>
      <c r="E1106" s="117" t="inlineStr">
        <is>
          <t>Giường Nội khoa loại 2 - Khoa Chấn thương chỉnh hình</t>
        </is>
      </c>
      <c r="F1106" s="272" t="n">
        <v>1</v>
      </c>
      <c r="G1106" s="272" t="n">
        <v>222300</v>
      </c>
    </row>
    <row r="1107" ht="17.25" customHeight="1" s="248">
      <c r="A1107" s="117" t="n">
        <v>1099</v>
      </c>
      <c r="B1107" s="117" t="inlineStr">
        <is>
          <t>2026/06/24 00:00</t>
        </is>
      </c>
      <c r="C1107" s="117" t="inlineStr">
        <is>
          <t>LÊ THỊ KIM ĐIỂU</t>
        </is>
      </c>
      <c r="D1107" s="117" t="inlineStr">
        <is>
          <t>12/12/1958</t>
        </is>
      </c>
      <c r="E1107" s="117" t="inlineStr">
        <is>
          <t>Giường Ngoại khoa loại 3 - Khoa Chấn thương chỉnh hình</t>
        </is>
      </c>
      <c r="F1107" s="272" t="n">
        <v>1</v>
      </c>
      <c r="G1107" s="272" t="n">
        <v>269200</v>
      </c>
    </row>
    <row r="1108" ht="17.25" customHeight="1" s="248">
      <c r="A1108" s="117" t="n">
        <v>1100</v>
      </c>
      <c r="B1108" s="117" t="inlineStr">
        <is>
          <t>2026/06/24 00:00</t>
        </is>
      </c>
      <c r="C1108" s="117" t="inlineStr">
        <is>
          <t>LÊ THỊ LỆ</t>
        </is>
      </c>
      <c r="D1108" s="117" t="inlineStr">
        <is>
          <t>01/01/1957</t>
        </is>
      </c>
      <c r="E1108" s="117" t="inlineStr">
        <is>
          <t>Giường Ngoại khoa loại 1 - Khoa Chấn thương chỉnh hình</t>
        </is>
      </c>
      <c r="F1108" s="272" t="n">
        <v>1</v>
      </c>
      <c r="G1108" s="272" t="n">
        <v>341800</v>
      </c>
    </row>
    <row r="1109" ht="17.25" customHeight="1" s="248">
      <c r="A1109" s="117" t="n">
        <v>1101</v>
      </c>
      <c r="B1109" s="117" t="inlineStr">
        <is>
          <t>2026/06/24 00:00</t>
        </is>
      </c>
      <c r="C1109" s="117" t="inlineStr">
        <is>
          <t>LÊ TUẤN ĐẠT</t>
        </is>
      </c>
      <c r="D1109" s="117" t="inlineStr">
        <is>
          <t>01/06/1991</t>
        </is>
      </c>
      <c r="E1109" s="117" t="inlineStr">
        <is>
          <t>Giường Ngoại khoa loại 2 - Khoa Chấn thương chỉnh hình</t>
        </is>
      </c>
      <c r="F1109" s="272" t="n">
        <v>1</v>
      </c>
      <c r="G1109" s="272" t="n">
        <v>301600</v>
      </c>
    </row>
    <row r="1110" ht="17.25" customHeight="1" s="248">
      <c r="A1110" s="117" t="n">
        <v>1102</v>
      </c>
      <c r="B1110" s="117" t="inlineStr">
        <is>
          <t>2026/06/24 00:00</t>
        </is>
      </c>
      <c r="C1110" s="117" t="inlineStr">
        <is>
          <t>LÊ VĂN NHÂN</t>
        </is>
      </c>
      <c r="D1110" s="117" t="inlineStr">
        <is>
          <t>01/01/1928</t>
        </is>
      </c>
      <c r="E1110" s="117" t="inlineStr">
        <is>
          <t>Giường Nội khoa loại 2 - Khoa Chấn thương chỉnh hình</t>
        </is>
      </c>
      <c r="F1110" s="272" t="n">
        <v>1</v>
      </c>
      <c r="G1110" s="272" t="n">
        <v>222300</v>
      </c>
    </row>
    <row r="1111" ht="17.25" customHeight="1" s="248">
      <c r="A1111" s="117" t="n">
        <v>1103</v>
      </c>
      <c r="B1111" s="117" t="inlineStr">
        <is>
          <t>2026/06/24 00:00</t>
        </is>
      </c>
      <c r="C1111" s="117" t="inlineStr">
        <is>
          <t>NGUYỄN HOÀNG THANH</t>
        </is>
      </c>
      <c r="D1111" s="117" t="inlineStr">
        <is>
          <t>26/11/2003</t>
        </is>
      </c>
      <c r="E1111" s="117" t="inlineStr">
        <is>
          <t>Giường Ngoại khoa loại 3 - Khoa Chấn thương chỉnh hình</t>
        </is>
      </c>
      <c r="F1111" s="272" t="n">
        <v>1</v>
      </c>
      <c r="G1111" s="272" t="n">
        <v>269200</v>
      </c>
    </row>
    <row r="1112" ht="17.25" customHeight="1" s="248">
      <c r="A1112" s="117" t="n">
        <v>1104</v>
      </c>
      <c r="B1112" s="117" t="inlineStr">
        <is>
          <t>2026/06/24 00:00</t>
        </is>
      </c>
      <c r="C1112" s="117" t="inlineStr">
        <is>
          <t>NGUYỄN THỊ NGỌC DUYÊN</t>
        </is>
      </c>
      <c r="D1112" s="117" t="inlineStr">
        <is>
          <t>01/02/1971</t>
        </is>
      </c>
      <c r="E1112" s="117" t="inlineStr">
        <is>
          <t>Giường Ngoại khoa loại 1 - Khoa Chấn thương chỉnh hình</t>
        </is>
      </c>
      <c r="F1112" s="272" t="n">
        <v>1</v>
      </c>
      <c r="G1112" s="272" t="n">
        <v>341800</v>
      </c>
    </row>
    <row r="1113" ht="17.25" customHeight="1" s="248">
      <c r="A1113" s="117" t="n">
        <v>1105</v>
      </c>
      <c r="B1113" s="117" t="inlineStr">
        <is>
          <t>2026/06/24 00:00</t>
        </is>
      </c>
      <c r="C1113" s="117" t="inlineStr">
        <is>
          <t>NGUYỄN THỊ ÚT</t>
        </is>
      </c>
      <c r="D1113" s="117" t="inlineStr">
        <is>
          <t>01/01/1954</t>
        </is>
      </c>
      <c r="E1113" s="117" t="inlineStr">
        <is>
          <t>Giường Nội khoa loại 2 - Khoa Chấn thương chỉnh hình</t>
        </is>
      </c>
      <c r="F1113" s="272" t="n">
        <v>1</v>
      </c>
      <c r="G1113" s="272" t="n">
        <v>222300</v>
      </c>
    </row>
    <row r="1114" ht="17.25" customHeight="1" s="248">
      <c r="A1114" s="117" t="n">
        <v>1106</v>
      </c>
      <c r="B1114" s="117" t="inlineStr">
        <is>
          <t>2026/06/24 00:00</t>
        </is>
      </c>
      <c r="C1114" s="117" t="inlineStr">
        <is>
          <t>NGUYỄN VĂN LÂM</t>
        </is>
      </c>
      <c r="D1114" s="117" t="inlineStr">
        <is>
          <t>21/02/1951</t>
        </is>
      </c>
      <c r="E1114" s="117" t="inlineStr">
        <is>
          <t>Giường Ngoại khoa loại 3 - Khoa Chấn thương chỉnh hình</t>
        </is>
      </c>
      <c r="F1114" s="272" t="n">
        <v>1</v>
      </c>
      <c r="G1114" s="272" t="n">
        <v>269200</v>
      </c>
    </row>
    <row r="1115" ht="17.25" customHeight="1" s="248">
      <c r="A1115" s="117" t="n">
        <v>1107</v>
      </c>
      <c r="B1115" s="117" t="inlineStr">
        <is>
          <t>2026/06/24 00:00</t>
        </is>
      </c>
      <c r="C1115" s="117" t="inlineStr">
        <is>
          <t>NGUYỄN VĂN QUANG</t>
        </is>
      </c>
      <c r="D1115" s="117" t="inlineStr">
        <is>
          <t>22/12/1981</t>
        </is>
      </c>
      <c r="E1115" s="117" t="inlineStr">
        <is>
          <t>Giường Ngoại khoa loại 1 - Khoa Chấn thương chỉnh hình</t>
        </is>
      </c>
      <c r="F1115" s="272" t="n">
        <v>1</v>
      </c>
      <c r="G1115" s="272" t="n">
        <v>341800</v>
      </c>
    </row>
    <row r="1116" ht="17.25" customHeight="1" s="248">
      <c r="A1116" s="117" t="n">
        <v>1108</v>
      </c>
      <c r="B1116" s="117" t="inlineStr">
        <is>
          <t>2026/06/24 00:00</t>
        </is>
      </c>
      <c r="C1116" s="117" t="inlineStr">
        <is>
          <t>PHẠM THỊ BÍCH THỦY</t>
        </is>
      </c>
      <c r="D1116" s="117" t="inlineStr">
        <is>
          <t>10/09/1972</t>
        </is>
      </c>
      <c r="E1116" s="117" t="inlineStr">
        <is>
          <t>Giường Nội khoa loại 2 - Khoa Chấn thương chỉnh hình</t>
        </is>
      </c>
      <c r="F1116" s="272" t="n">
        <v>1</v>
      </c>
      <c r="G1116" s="272" t="n">
        <v>222300</v>
      </c>
    </row>
    <row r="1117" ht="17.25" customHeight="1" s="248">
      <c r="A1117" s="117" t="n">
        <v>1109</v>
      </c>
      <c r="B1117" s="117" t="inlineStr">
        <is>
          <t>2026/06/24 00:00</t>
        </is>
      </c>
      <c r="C1117" s="117" t="inlineStr">
        <is>
          <t>PHẠM THỊ DUNG</t>
        </is>
      </c>
      <c r="D1117" s="117" t="inlineStr">
        <is>
          <t>01/01/1968</t>
        </is>
      </c>
      <c r="E1117" s="117" t="inlineStr">
        <is>
          <t>Giường Nội khoa loại 2 - Khoa Chấn thương chỉnh hình</t>
        </is>
      </c>
      <c r="F1117" s="272" t="n">
        <v>1</v>
      </c>
      <c r="G1117" s="272" t="n">
        <v>222300</v>
      </c>
    </row>
    <row r="1118" ht="17.25" customHeight="1" s="248">
      <c r="A1118" s="117" t="n">
        <v>1110</v>
      </c>
      <c r="B1118" s="117" t="inlineStr">
        <is>
          <t>2026/06/24 00:00</t>
        </is>
      </c>
      <c r="C1118" s="117" t="inlineStr">
        <is>
          <t>THÁI THỊ THỦY</t>
        </is>
      </c>
      <c r="D1118" s="117" t="inlineStr">
        <is>
          <t>01/01/1957</t>
        </is>
      </c>
      <c r="E1118" s="117" t="inlineStr">
        <is>
          <t>Giường Nội khoa loại 2 - Khoa Chấn thương chỉnh hình</t>
        </is>
      </c>
      <c r="F1118" s="272" t="n">
        <v>1</v>
      </c>
      <c r="G1118" s="272" t="n">
        <v>222300</v>
      </c>
    </row>
    <row r="1119" ht="17.25" customHeight="1" s="248">
      <c r="A1119" s="117" t="n">
        <v>1111</v>
      </c>
      <c r="B1119" s="117" t="inlineStr">
        <is>
          <t>2026/06/24 00:00</t>
        </is>
      </c>
      <c r="C1119" s="117" t="inlineStr">
        <is>
          <t>THẠCH HOÀNG DŨNG</t>
        </is>
      </c>
      <c r="D1119" s="117" t="inlineStr">
        <is>
          <t>01/01/1976</t>
        </is>
      </c>
      <c r="E1119" s="117" t="inlineStr">
        <is>
          <t>Giường Ngoại khoa loại 1 - Khoa Chấn thương chỉnh hình</t>
        </is>
      </c>
      <c r="F1119" s="272" t="n">
        <v>1</v>
      </c>
      <c r="G1119" s="272" t="n">
        <v>341800</v>
      </c>
    </row>
    <row r="1120" ht="17.25" customHeight="1" s="248">
      <c r="A1120" s="117" t="n">
        <v>1112</v>
      </c>
      <c r="B1120" s="117" t="inlineStr">
        <is>
          <t>2026/06/24 00:00</t>
        </is>
      </c>
      <c r="C1120" s="117" t="inlineStr">
        <is>
          <t>TRƯƠNG NGỌC LOAN</t>
        </is>
      </c>
      <c r="D1120" s="117" t="inlineStr">
        <is>
          <t>01/01/1961</t>
        </is>
      </c>
      <c r="E1120" s="117" t="inlineStr">
        <is>
          <t>Giường Nội khoa loại 2 - Khoa Chấn thương chỉnh hình</t>
        </is>
      </c>
      <c r="F1120" s="272" t="n">
        <v>1</v>
      </c>
      <c r="G1120" s="272" t="n">
        <v>222300</v>
      </c>
    </row>
    <row r="1121" ht="17.25" customHeight="1" s="248">
      <c r="A1121" s="117" t="n">
        <v>1113</v>
      </c>
      <c r="B1121" s="117" t="inlineStr">
        <is>
          <t>2026/06/24 00:00</t>
        </is>
      </c>
      <c r="C1121" s="117" t="inlineStr">
        <is>
          <t>TRƯƠNG THỊ CẨM CHÂU</t>
        </is>
      </c>
      <c r="D1121" s="117" t="inlineStr">
        <is>
          <t>09/10/1968</t>
        </is>
      </c>
      <c r="E1121" s="117" t="inlineStr">
        <is>
          <t>Giường Ngoại khoa loại 3 - Khoa Chấn thương chỉnh hình</t>
        </is>
      </c>
      <c r="F1121" s="272" t="n">
        <v>1</v>
      </c>
      <c r="G1121" s="272" t="n">
        <v>269200</v>
      </c>
    </row>
    <row r="1122" ht="17.25" customHeight="1" s="248">
      <c r="A1122" s="117" t="n">
        <v>1114</v>
      </c>
      <c r="B1122" s="117" t="inlineStr">
        <is>
          <t>2026/06/24 00:00</t>
        </is>
      </c>
      <c r="C1122" s="117" t="inlineStr">
        <is>
          <t>TRẦN ĐỨC HIẾU</t>
        </is>
      </c>
      <c r="D1122" s="117" t="inlineStr">
        <is>
          <t>13/10/2007</t>
        </is>
      </c>
      <c r="E1122" s="117" t="inlineStr">
        <is>
          <t>Giường Ngoại khoa loại 1 - Khoa Chấn thương chỉnh hình</t>
        </is>
      </c>
      <c r="F1122" s="272" t="n">
        <v>1</v>
      </c>
      <c r="G1122" s="272" t="n">
        <v>341800</v>
      </c>
    </row>
    <row r="1123" ht="17.25" customHeight="1" s="248">
      <c r="A1123" s="117" t="n">
        <v>1115</v>
      </c>
      <c r="B1123" s="117" t="inlineStr">
        <is>
          <t>2026/06/24 00:00</t>
        </is>
      </c>
      <c r="C1123" s="117" t="inlineStr">
        <is>
          <t>TRỊNH THÚY NGA</t>
        </is>
      </c>
      <c r="D1123" s="117" t="inlineStr">
        <is>
          <t>01/01/1965</t>
        </is>
      </c>
      <c r="E1123" s="117" t="inlineStr">
        <is>
          <t>Giường Ngoại khoa loại 4 - Khoa Chấn thương chỉnh hình</t>
        </is>
      </c>
      <c r="F1123" s="272" t="n">
        <v>1</v>
      </c>
      <c r="G1123" s="272" t="n">
        <v>229200</v>
      </c>
    </row>
    <row r="1124" ht="17.25" customHeight="1" s="248">
      <c r="A1124" s="117" t="n">
        <v>1116</v>
      </c>
      <c r="B1124" s="117" t="inlineStr">
        <is>
          <t>2026/06/24 00:00</t>
        </is>
      </c>
      <c r="C1124" s="117" t="inlineStr">
        <is>
          <t>TÔ VĂN THIỆN</t>
        </is>
      </c>
      <c r="D1124" s="117" t="inlineStr">
        <is>
          <t>01/01/1963</t>
        </is>
      </c>
      <c r="E1124" s="117" t="inlineStr">
        <is>
          <t>Giường Ngoại khoa loại 3 - Khoa Chấn thương chỉnh hình</t>
        </is>
      </c>
      <c r="F1124" s="272" t="n">
        <v>1</v>
      </c>
      <c r="G1124" s="272" t="n">
        <v>269200</v>
      </c>
    </row>
    <row r="1125" ht="17.25" customHeight="1" s="248">
      <c r="A1125" s="117" t="n">
        <v>1117</v>
      </c>
      <c r="B1125" s="117" t="inlineStr">
        <is>
          <t>2026/06/24 00:00</t>
        </is>
      </c>
      <c r="C1125" s="117" t="inlineStr">
        <is>
          <t>VÕ THỊ ĐIỆP</t>
        </is>
      </c>
      <c r="D1125" s="117" t="inlineStr">
        <is>
          <t>01/01/1942</t>
        </is>
      </c>
      <c r="E1125" s="117" t="inlineStr">
        <is>
          <t>Giường Nội khoa loại 2 - Khoa Chấn thương chỉnh hình</t>
        </is>
      </c>
      <c r="F1125" s="272" t="n">
        <v>1</v>
      </c>
      <c r="G1125" s="272" t="n">
        <v>222300</v>
      </c>
    </row>
    <row r="1126" ht="17.25" customHeight="1" s="248">
      <c r="A1126" s="117" t="n">
        <v>1118</v>
      </c>
      <c r="B1126" s="117" t="inlineStr">
        <is>
          <t>2026/06/24 00:00</t>
        </is>
      </c>
      <c r="C1126" s="117" t="inlineStr">
        <is>
          <t>NGUYỄN THỊ PHƯỢNG</t>
        </is>
      </c>
      <c r="D1126" s="117" t="inlineStr">
        <is>
          <t>01/01/1968</t>
        </is>
      </c>
      <c r="E1126" s="117" t="inlineStr">
        <is>
          <t>Giường Ngoại khoa loại 1 - Khoa Chấn thương chỉnh hình</t>
        </is>
      </c>
      <c r="F1126" s="272" t="n">
        <v>1</v>
      </c>
      <c r="G1126" s="272" t="n">
        <v>341800</v>
      </c>
    </row>
    <row r="1127" ht="17.25" customHeight="1" s="248">
      <c r="A1127" s="117" t="n">
        <v>1119</v>
      </c>
      <c r="B1127" s="117" t="inlineStr">
        <is>
          <t>2026/06/24 00:00</t>
        </is>
      </c>
      <c r="C1127" s="117" t="inlineStr">
        <is>
          <t>PHAN VĂN ĐƯỢC</t>
        </is>
      </c>
      <c r="D1127" s="117" t="inlineStr">
        <is>
          <t>01/01/1934</t>
        </is>
      </c>
      <c r="E1127" s="117" t="inlineStr">
        <is>
          <t>Giường Ngoại khoa loại 1 - Khoa Chấn thương chỉnh hình</t>
        </is>
      </c>
      <c r="F1127" s="272" t="n">
        <v>1</v>
      </c>
      <c r="G1127" s="272" t="n">
        <v>341800</v>
      </c>
    </row>
    <row r="1128" ht="17.25" customHeight="1" s="248">
      <c r="A1128" s="117" t="n">
        <v>1120</v>
      </c>
      <c r="B1128" s="117" t="inlineStr">
        <is>
          <t>2026/06/24 00:00</t>
        </is>
      </c>
      <c r="C1128" s="117" t="inlineStr">
        <is>
          <t>TRẦN MINH PHÚ</t>
        </is>
      </c>
      <c r="D1128" s="117" t="inlineStr">
        <is>
          <t>13/01/2008</t>
        </is>
      </c>
      <c r="E1128" s="117" t="inlineStr">
        <is>
          <t>Giường Ngoại khoa loại 3 - Khoa Chấn thương chỉnh hình</t>
        </is>
      </c>
      <c r="F1128" s="272" t="n">
        <v>1</v>
      </c>
      <c r="G1128" s="272" t="n">
        <v>269200</v>
      </c>
    </row>
    <row r="1129" ht="17.25" customHeight="1" s="248">
      <c r="A1129" s="117" t="n">
        <v>1121</v>
      </c>
      <c r="B1129" s="117" t="inlineStr">
        <is>
          <t>2026/06/24 10:16</t>
        </is>
      </c>
      <c r="C1129" s="117" t="inlineStr">
        <is>
          <t>NGUYỄN KHÁNH HỘI</t>
        </is>
      </c>
      <c r="D1129" s="117" t="inlineStr">
        <is>
          <t>21/12/2008</t>
        </is>
      </c>
      <c r="E1129" s="117" t="inlineStr">
        <is>
          <t>Giường Ngoại khoa loại 2 - Khoa Chấn thương chỉnh hình</t>
        </is>
      </c>
      <c r="F1129" s="272" t="n">
        <v>1</v>
      </c>
      <c r="G1129" s="272" t="n">
        <v>301600</v>
      </c>
    </row>
    <row r="1130" ht="17.25" customHeight="1" s="248">
      <c r="A1130" s="117" t="n">
        <v>1122</v>
      </c>
      <c r="B1130" s="117" t="inlineStr">
        <is>
          <t>2026/06/24 13:35</t>
        </is>
      </c>
      <c r="C1130" s="117" t="inlineStr">
        <is>
          <t>NGUYỄN THỊ BỢ</t>
        </is>
      </c>
      <c r="D1130" s="117" t="inlineStr">
        <is>
          <t>01/01/1963</t>
        </is>
      </c>
      <c r="E1130" s="117" t="inlineStr">
        <is>
          <t>Giường Ngoại khoa loại 4 - Khoa Chấn thương chỉnh hình</t>
        </is>
      </c>
      <c r="F1130" s="272" t="n">
        <v>1</v>
      </c>
      <c r="G1130" s="272" t="n">
        <v>229200</v>
      </c>
    </row>
    <row r="1131" ht="17.25" customHeight="1" s="248">
      <c r="A1131" s="117" t="n">
        <v>1123</v>
      </c>
      <c r="B1131" s="117" t="inlineStr">
        <is>
          <t>2026/06/24 13:58</t>
        </is>
      </c>
      <c r="C1131" s="117" t="inlineStr">
        <is>
          <t>LÊ NGỌC HUYỀN</t>
        </is>
      </c>
      <c r="D1131" s="117" t="inlineStr">
        <is>
          <t>16/05/1991</t>
        </is>
      </c>
      <c r="E1131" s="117" t="inlineStr">
        <is>
          <t>Giường Ngoại khoa loại 2 - Khoa Chấn thương chỉnh hình</t>
        </is>
      </c>
      <c r="F1131" s="272" t="n">
        <v>1</v>
      </c>
      <c r="G1131" s="272" t="n">
        <v>301600</v>
      </c>
    </row>
    <row r="1132" ht="17.25" customHeight="1" s="248">
      <c r="A1132" s="117" t="n">
        <v>1124</v>
      </c>
      <c r="B1132" s="117" t="inlineStr">
        <is>
          <t>2026/06/24 15:05</t>
        </is>
      </c>
      <c r="C1132" s="117" t="inlineStr">
        <is>
          <t>VÕ XUÂN GA</t>
        </is>
      </c>
      <c r="D1132" s="117" t="inlineStr">
        <is>
          <t>16/01/1989</t>
        </is>
      </c>
      <c r="E1132" s="117" t="inlineStr">
        <is>
          <t>Giường Nội khoa loại 2 - Khoa Chấn thương chỉnh hình</t>
        </is>
      </c>
      <c r="F1132" s="272" t="n">
        <v>1</v>
      </c>
      <c r="G1132" s="272" t="n">
        <v>222300</v>
      </c>
    </row>
    <row r="1133" ht="17.25" customHeight="1" s="248">
      <c r="A1133" s="117" t="n">
        <v>1125</v>
      </c>
      <c r="B1133" s="117" t="inlineStr">
        <is>
          <t>2026/06/24 15:43</t>
        </is>
      </c>
      <c r="C1133" s="117" t="inlineStr">
        <is>
          <t>NGUYỄN ĐỨC THỊNH</t>
        </is>
      </c>
      <c r="D1133" s="117" t="inlineStr">
        <is>
          <t>16/12/1996</t>
        </is>
      </c>
      <c r="E1133" s="117" t="inlineStr">
        <is>
          <t>Giường Ngoại khoa loại 1 - Khoa Chấn thương chỉnh hình</t>
        </is>
      </c>
      <c r="F1133" s="272" t="n">
        <v>1</v>
      </c>
      <c r="G1133" s="272" t="n">
        <v>341800</v>
      </c>
    </row>
    <row r="1134" ht="17.25" customHeight="1" s="248">
      <c r="A1134" s="117" t="n">
        <v>1126</v>
      </c>
      <c r="B1134" s="117" t="inlineStr">
        <is>
          <t>2026/06/24 23:59</t>
        </is>
      </c>
      <c r="C1134" s="117" t="inlineStr">
        <is>
          <t>PHÙNG THỊ XUYÊN</t>
        </is>
      </c>
      <c r="D1134" s="117" t="inlineStr">
        <is>
          <t>01/01/1965</t>
        </is>
      </c>
      <c r="E1134" s="117" t="inlineStr">
        <is>
          <t>Giường Nội khoa loại 2 - Khoa Chấn thương chỉnh hình</t>
        </is>
      </c>
      <c r="F1134" s="272" t="n">
        <v>1</v>
      </c>
      <c r="G1134" s="272" t="n">
        <v>222300</v>
      </c>
    </row>
    <row r="1135" ht="17.25" customHeight="1" s="248">
      <c r="A1135" s="117" t="n">
        <v>1127</v>
      </c>
      <c r="B1135" s="117" t="inlineStr">
        <is>
          <t>2026/06/25 00:00</t>
        </is>
      </c>
      <c r="C1135" s="117" t="inlineStr">
        <is>
          <t>BÙI TRÚC LINH</t>
        </is>
      </c>
      <c r="D1135" s="117" t="inlineStr">
        <is>
          <t>18/12/1974</t>
        </is>
      </c>
      <c r="E1135" s="117" t="inlineStr">
        <is>
          <t>Giường Nội khoa loại 2 - Khoa Chấn thương chỉnh hình</t>
        </is>
      </c>
      <c r="F1135" s="272" t="n">
        <v>1</v>
      </c>
      <c r="G1135" s="272" t="n">
        <v>222300</v>
      </c>
    </row>
    <row r="1136" ht="17.25" customHeight="1" s="248">
      <c r="A1136" s="117" t="n">
        <v>1128</v>
      </c>
      <c r="B1136" s="117" t="inlineStr">
        <is>
          <t>2026/06/25 00:00</t>
        </is>
      </c>
      <c r="C1136" s="117" t="inlineStr">
        <is>
          <t>HUỲNH THỊ SÁU</t>
        </is>
      </c>
      <c r="D1136" s="117" t="inlineStr">
        <is>
          <t>05/02/1960</t>
        </is>
      </c>
      <c r="E1136" s="117" t="inlineStr">
        <is>
          <t>Giường Ngoại khoa loại 4 - Khoa Chấn thương chỉnh hình</t>
        </is>
      </c>
      <c r="F1136" s="272" t="n">
        <v>1</v>
      </c>
      <c r="G1136" s="272" t="n">
        <v>229200</v>
      </c>
    </row>
    <row r="1137" ht="17.25" customHeight="1" s="248">
      <c r="A1137" s="117" t="n">
        <v>1129</v>
      </c>
      <c r="B1137" s="117" t="inlineStr">
        <is>
          <t>2026/06/25 00:00</t>
        </is>
      </c>
      <c r="C1137" s="117" t="inlineStr">
        <is>
          <t>HUỲNH VĂN CỨ</t>
        </is>
      </c>
      <c r="D1137" s="117" t="inlineStr">
        <is>
          <t>01/01/1967</t>
        </is>
      </c>
      <c r="E1137" s="117" t="inlineStr">
        <is>
          <t>Giường Ngoại khoa loại 3 - Khoa Chấn thương chỉnh hình</t>
        </is>
      </c>
      <c r="F1137" s="272" t="n">
        <v>1</v>
      </c>
      <c r="G1137" s="272" t="n">
        <v>269200</v>
      </c>
    </row>
    <row r="1138" ht="17.25" customHeight="1" s="248">
      <c r="A1138" s="117" t="n">
        <v>1130</v>
      </c>
      <c r="B1138" s="117" t="inlineStr">
        <is>
          <t>2026/06/25 00:00</t>
        </is>
      </c>
      <c r="C1138" s="117" t="inlineStr">
        <is>
          <t>LÊ NGỌC HUYỀN</t>
        </is>
      </c>
      <c r="D1138" s="117" t="inlineStr">
        <is>
          <t>16/05/1991</t>
        </is>
      </c>
      <c r="E1138" s="117" t="inlineStr">
        <is>
          <t>Giường Ngoại khoa loại 2 - Khoa Chấn thương chỉnh hình</t>
        </is>
      </c>
      <c r="F1138" s="272" t="n">
        <v>1</v>
      </c>
      <c r="G1138" s="272" t="n">
        <v>301600</v>
      </c>
    </row>
    <row r="1139" ht="17.25" customHeight="1" s="248">
      <c r="A1139" s="117" t="n">
        <v>1131</v>
      </c>
      <c r="B1139" s="117" t="inlineStr">
        <is>
          <t>2026/06/25 00:00</t>
        </is>
      </c>
      <c r="C1139" s="117" t="inlineStr">
        <is>
          <t>LÊ THỊ LỆ</t>
        </is>
      </c>
      <c r="D1139" s="117" t="inlineStr">
        <is>
          <t>01/01/1957</t>
        </is>
      </c>
      <c r="E1139" s="117" t="inlineStr">
        <is>
          <t>Giường Ngoại khoa loại 1 - Khoa Chấn thương chỉnh hình</t>
        </is>
      </c>
      <c r="F1139" s="272" t="n">
        <v>1</v>
      </c>
      <c r="G1139" s="272" t="n">
        <v>341800</v>
      </c>
    </row>
    <row r="1140" ht="17.25" customHeight="1" s="248">
      <c r="A1140" s="117" t="n">
        <v>1132</v>
      </c>
      <c r="B1140" s="117" t="inlineStr">
        <is>
          <t>2026/06/25 00:00</t>
        </is>
      </c>
      <c r="C1140" s="117" t="inlineStr">
        <is>
          <t>LÊ VĂN NHÂN</t>
        </is>
      </c>
      <c r="D1140" s="117" t="inlineStr">
        <is>
          <t>01/01/1928</t>
        </is>
      </c>
      <c r="E1140" s="117" t="inlineStr">
        <is>
          <t>Giường Nội khoa loại 2 - Khoa Chấn thương chỉnh hình</t>
        </is>
      </c>
      <c r="F1140" s="272" t="n">
        <v>1</v>
      </c>
      <c r="G1140" s="272" t="n">
        <v>222300</v>
      </c>
    </row>
    <row r="1141" ht="17.25" customHeight="1" s="248">
      <c r="A1141" s="117" t="n">
        <v>1133</v>
      </c>
      <c r="B1141" s="117" t="inlineStr">
        <is>
          <t>2026/06/25 00:00</t>
        </is>
      </c>
      <c r="C1141" s="117" t="inlineStr">
        <is>
          <t>NGUYỄN KHÁNH HỘI</t>
        </is>
      </c>
      <c r="D1141" s="117" t="inlineStr">
        <is>
          <t>21/12/2008</t>
        </is>
      </c>
      <c r="E1141" s="117" t="inlineStr">
        <is>
          <t>Giường Ngoại khoa loại 2 - Khoa Chấn thương chỉnh hình</t>
        </is>
      </c>
      <c r="F1141" s="272" t="n">
        <v>1</v>
      </c>
      <c r="G1141" s="272" t="n">
        <v>301600</v>
      </c>
    </row>
    <row r="1142" ht="17.25" customHeight="1" s="248">
      <c r="A1142" s="117" t="n">
        <v>1134</v>
      </c>
      <c r="B1142" s="117" t="inlineStr">
        <is>
          <t>2026/06/25 00:00</t>
        </is>
      </c>
      <c r="C1142" s="117" t="inlineStr">
        <is>
          <t>NGUYỄN THÀNH ĐƯỢC</t>
        </is>
      </c>
      <c r="D1142" s="117" t="inlineStr">
        <is>
          <t>01/01/1961</t>
        </is>
      </c>
      <c r="E1142" s="117" t="inlineStr">
        <is>
          <t>Giường Nội khoa loại 2 - Khoa Chấn thương chỉnh hình</t>
        </is>
      </c>
      <c r="F1142" s="272" t="n">
        <v>1</v>
      </c>
      <c r="G1142" s="272" t="n">
        <v>222300</v>
      </c>
    </row>
    <row r="1143" ht="17.25" customHeight="1" s="248">
      <c r="A1143" s="117" t="n">
        <v>1135</v>
      </c>
      <c r="B1143" s="117" t="inlineStr">
        <is>
          <t>2026/06/25 00:00</t>
        </is>
      </c>
      <c r="C1143" s="117" t="inlineStr">
        <is>
          <t>NGUYỄN THỊ BỢ</t>
        </is>
      </c>
      <c r="D1143" s="117" t="inlineStr">
        <is>
          <t>01/01/1963</t>
        </is>
      </c>
      <c r="E1143" s="117" t="inlineStr">
        <is>
          <t>Giường Ngoại khoa loại 4 - Khoa Chấn thương chỉnh hình</t>
        </is>
      </c>
      <c r="F1143" s="272" t="n">
        <v>1</v>
      </c>
      <c r="G1143" s="272" t="n">
        <v>229200</v>
      </c>
    </row>
    <row r="1144" ht="17.25" customHeight="1" s="248">
      <c r="A1144" s="117" t="n">
        <v>1136</v>
      </c>
      <c r="B1144" s="117" t="inlineStr">
        <is>
          <t>2026/06/25 00:00</t>
        </is>
      </c>
      <c r="C1144" s="117" t="inlineStr">
        <is>
          <t>NGUYỄN THỊ NGỌC DUYÊN</t>
        </is>
      </c>
      <c r="D1144" s="117" t="inlineStr">
        <is>
          <t>01/02/1971</t>
        </is>
      </c>
      <c r="E1144" s="117" t="inlineStr">
        <is>
          <t>Giường Ngoại khoa loại 1 - Khoa Chấn thương chỉnh hình</t>
        </is>
      </c>
      <c r="F1144" s="272" t="n">
        <v>1</v>
      </c>
      <c r="G1144" s="272" t="n">
        <v>341800</v>
      </c>
    </row>
    <row r="1145" ht="17.25" customHeight="1" s="248">
      <c r="A1145" s="117" t="n">
        <v>1137</v>
      </c>
      <c r="B1145" s="117" t="inlineStr">
        <is>
          <t>2026/06/25 00:00</t>
        </is>
      </c>
      <c r="C1145" s="117" t="inlineStr">
        <is>
          <t>NGUYỄN VĂN QUANG</t>
        </is>
      </c>
      <c r="D1145" s="117" t="inlineStr">
        <is>
          <t>22/12/1981</t>
        </is>
      </c>
      <c r="E1145" s="117" t="inlineStr">
        <is>
          <t>Giường Ngoại khoa loại 1 - Khoa Chấn thương chỉnh hình</t>
        </is>
      </c>
      <c r="F1145" s="272" t="n">
        <v>1</v>
      </c>
      <c r="G1145" s="272" t="n">
        <v>341800</v>
      </c>
    </row>
    <row r="1146" ht="17.25" customHeight="1" s="248">
      <c r="A1146" s="117" t="n">
        <v>1138</v>
      </c>
      <c r="B1146" s="117" t="inlineStr">
        <is>
          <t>2026/06/25 00:00</t>
        </is>
      </c>
      <c r="C1146" s="117" t="inlineStr">
        <is>
          <t>NGUYỄN ĐỨC THỊNH</t>
        </is>
      </c>
      <c r="D1146" s="117" t="inlineStr">
        <is>
          <t>16/12/1996</t>
        </is>
      </c>
      <c r="E1146" s="117" t="inlineStr">
        <is>
          <t>Giường Ngoại khoa loại 1 - Khoa Chấn thương chỉnh hình</t>
        </is>
      </c>
      <c r="F1146" s="272" t="n">
        <v>1</v>
      </c>
      <c r="G1146" s="272" t="n">
        <v>341800</v>
      </c>
    </row>
    <row r="1147" ht="17.25" customHeight="1" s="248">
      <c r="A1147" s="117" t="n">
        <v>1139</v>
      </c>
      <c r="B1147" s="117" t="inlineStr">
        <is>
          <t>2026/06/25 00:00</t>
        </is>
      </c>
      <c r="C1147" s="117" t="inlineStr">
        <is>
          <t>THÁI THỊ THỦY</t>
        </is>
      </c>
      <c r="D1147" s="117" t="inlineStr">
        <is>
          <t>01/01/1957</t>
        </is>
      </c>
      <c r="E1147" s="117" t="inlineStr">
        <is>
          <t>Giường Nội khoa loại 2 - Khoa Chấn thương chỉnh hình</t>
        </is>
      </c>
      <c r="F1147" s="272" t="n">
        <v>1</v>
      </c>
      <c r="G1147" s="272" t="n">
        <v>222300</v>
      </c>
    </row>
    <row r="1148" ht="17.25" customHeight="1" s="248">
      <c r="A1148" s="117" t="n">
        <v>1140</v>
      </c>
      <c r="B1148" s="117" t="inlineStr">
        <is>
          <t>2026/06/25 00:00</t>
        </is>
      </c>
      <c r="C1148" s="117" t="inlineStr">
        <is>
          <t>THẠCH HOÀNG DŨNG</t>
        </is>
      </c>
      <c r="D1148" s="117" t="inlineStr">
        <is>
          <t>01/01/1976</t>
        </is>
      </c>
      <c r="E1148" s="117" t="inlineStr">
        <is>
          <t>Giường Ngoại khoa loại 1 - Khoa Chấn thương chỉnh hình</t>
        </is>
      </c>
      <c r="F1148" s="272" t="n">
        <v>1</v>
      </c>
      <c r="G1148" s="272" t="n">
        <v>341800</v>
      </c>
    </row>
    <row r="1149" ht="17.25" customHeight="1" s="248">
      <c r="A1149" s="117" t="n">
        <v>1141</v>
      </c>
      <c r="B1149" s="117" t="inlineStr">
        <is>
          <t>2026/06/25 00:00</t>
        </is>
      </c>
      <c r="C1149" s="117" t="inlineStr">
        <is>
          <t>TRƯƠNG NGỌC LOAN</t>
        </is>
      </c>
      <c r="D1149" s="117" t="inlineStr">
        <is>
          <t>01/01/1961</t>
        </is>
      </c>
      <c r="E1149" s="117" t="inlineStr">
        <is>
          <t>Giường Nội khoa loại 2 - Khoa Chấn thương chỉnh hình</t>
        </is>
      </c>
      <c r="F1149" s="272" t="n">
        <v>1</v>
      </c>
      <c r="G1149" s="272" t="n">
        <v>222300</v>
      </c>
    </row>
    <row r="1150" ht="17.25" customHeight="1" s="248">
      <c r="A1150" s="117" t="n">
        <v>1142</v>
      </c>
      <c r="B1150" s="117" t="inlineStr">
        <is>
          <t>2026/06/25 00:00</t>
        </is>
      </c>
      <c r="C1150" s="117" t="inlineStr">
        <is>
          <t>TRƯƠNG THỊ CẨM CHÂU</t>
        </is>
      </c>
      <c r="D1150" s="117" t="inlineStr">
        <is>
          <t>09/10/1968</t>
        </is>
      </c>
      <c r="E1150" s="117" t="inlineStr">
        <is>
          <t>Giường Ngoại khoa loại 3 - Khoa Chấn thương chỉnh hình</t>
        </is>
      </c>
      <c r="F1150" s="272" t="n">
        <v>1</v>
      </c>
      <c r="G1150" s="272" t="n">
        <v>269200</v>
      </c>
    </row>
    <row r="1151" ht="17.25" customHeight="1" s="248">
      <c r="A1151" s="117" t="n">
        <v>1143</v>
      </c>
      <c r="B1151" s="117" t="inlineStr">
        <is>
          <t>2026/06/25 00:00</t>
        </is>
      </c>
      <c r="C1151" s="117" t="inlineStr">
        <is>
          <t>TRẦN ĐỨC HIẾU</t>
        </is>
      </c>
      <c r="D1151" s="117" t="inlineStr">
        <is>
          <t>13/10/2007</t>
        </is>
      </c>
      <c r="E1151" s="117" t="inlineStr">
        <is>
          <t>Giường Ngoại khoa loại 1 - Khoa Chấn thương chỉnh hình</t>
        </is>
      </c>
      <c r="F1151" s="272" t="n">
        <v>1</v>
      </c>
      <c r="G1151" s="272" t="n">
        <v>341800</v>
      </c>
    </row>
    <row r="1152" ht="17.25" customHeight="1" s="248">
      <c r="A1152" s="117" t="n">
        <v>1144</v>
      </c>
      <c r="B1152" s="117" t="inlineStr">
        <is>
          <t>2026/06/25 00:00</t>
        </is>
      </c>
      <c r="C1152" s="117" t="inlineStr">
        <is>
          <t>TRỊNH THÚY NGA</t>
        </is>
      </c>
      <c r="D1152" s="117" t="inlineStr">
        <is>
          <t>01/01/1965</t>
        </is>
      </c>
      <c r="E1152" s="117" t="inlineStr">
        <is>
          <t>Giường Ngoại khoa loại 4 - Khoa Chấn thương chỉnh hình</t>
        </is>
      </c>
      <c r="F1152" s="272" t="n">
        <v>1</v>
      </c>
      <c r="G1152" s="272" t="n">
        <v>229200</v>
      </c>
    </row>
    <row r="1153" ht="17.25" customHeight="1" s="248">
      <c r="A1153" s="117" t="n">
        <v>1145</v>
      </c>
      <c r="B1153" s="117" t="inlineStr">
        <is>
          <t>2026/06/25 00:00</t>
        </is>
      </c>
      <c r="C1153" s="117" t="inlineStr">
        <is>
          <t>NGUYỄN THỊ PHƯỢNG</t>
        </is>
      </c>
      <c r="D1153" s="117" t="inlineStr">
        <is>
          <t>01/01/1968</t>
        </is>
      </c>
      <c r="E1153" s="117" t="inlineStr">
        <is>
          <t>Giường Ngoại khoa loại 1 - Khoa Chấn thương chỉnh hình</t>
        </is>
      </c>
      <c r="F1153" s="272" t="n">
        <v>1</v>
      </c>
      <c r="G1153" s="272" t="n">
        <v>341800</v>
      </c>
    </row>
    <row r="1154" ht="17.25" customHeight="1" s="248">
      <c r="A1154" s="117" t="n">
        <v>1146</v>
      </c>
      <c r="B1154" s="117" t="inlineStr">
        <is>
          <t>2026/06/25 13:33</t>
        </is>
      </c>
      <c r="C1154" s="117" t="inlineStr">
        <is>
          <t>HỒNG KIM BẰNG</t>
        </is>
      </c>
      <c r="D1154" s="117" t="inlineStr">
        <is>
          <t>01/01/1974</t>
        </is>
      </c>
      <c r="E1154" s="117" t="inlineStr">
        <is>
          <t>Giường Nội khoa loại 2 - Khoa Chấn thương chỉnh hình</t>
        </is>
      </c>
      <c r="F1154" s="272" t="n">
        <v>1</v>
      </c>
      <c r="G1154" s="272" t="n">
        <v>222300</v>
      </c>
    </row>
    <row r="1155" ht="17.25" customHeight="1" s="248">
      <c r="A1155" s="117" t="n">
        <v>1147</v>
      </c>
      <c r="B1155" s="117" t="inlineStr">
        <is>
          <t>2026/06/25 14:09</t>
        </is>
      </c>
      <c r="C1155" s="117" t="inlineStr">
        <is>
          <t>LÂM VĂN TÀI</t>
        </is>
      </c>
      <c r="D1155" s="117" t="inlineStr">
        <is>
          <t>15/12/1996</t>
        </is>
      </c>
      <c r="E1155" s="117" t="inlineStr">
        <is>
          <t>Giường Ngoại khoa loại 1 - Khoa Chấn thương chỉnh hình</t>
        </is>
      </c>
      <c r="F1155" s="272" t="n">
        <v>1</v>
      </c>
      <c r="G1155" s="272" t="n">
        <v>341800</v>
      </c>
    </row>
    <row r="1156" ht="17.25" customHeight="1" s="248">
      <c r="A1156" s="117" t="n">
        <v>1148</v>
      </c>
      <c r="B1156" s="117" t="inlineStr">
        <is>
          <t>2026/06/25 16:00</t>
        </is>
      </c>
      <c r="C1156" s="117" t="inlineStr">
        <is>
          <t>VÕ XUÂN GA</t>
        </is>
      </c>
      <c r="D1156" s="117" t="inlineStr">
        <is>
          <t>16/01/1989</t>
        </is>
      </c>
      <c r="E1156" s="117" t="inlineStr">
        <is>
          <t>Giường Ngoại khoa loại 3 - Khoa Chấn thương chỉnh hình</t>
        </is>
      </c>
      <c r="F1156" s="272" t="n">
        <v>1</v>
      </c>
      <c r="G1156" s="272" t="n">
        <v>269200</v>
      </c>
    </row>
    <row r="1157" ht="17.25" customHeight="1" s="248">
      <c r="A1157" s="117" t="n">
        <v>1149</v>
      </c>
      <c r="B1157" s="117" t="inlineStr">
        <is>
          <t>2026/06/25 23:59</t>
        </is>
      </c>
      <c r="C1157" s="117" t="inlineStr">
        <is>
          <t>PHÙNG THỊ XUYÊN</t>
        </is>
      </c>
      <c r="D1157" s="117" t="inlineStr">
        <is>
          <t>01/01/1965</t>
        </is>
      </c>
      <c r="E1157" s="117" t="inlineStr">
        <is>
          <t>Giường Nội khoa loại 2 - Khoa Chấn thương chỉnh hình</t>
        </is>
      </c>
      <c r="F1157" s="272" t="n">
        <v>1</v>
      </c>
      <c r="G1157" s="272" t="n">
        <v>222300</v>
      </c>
    </row>
    <row r="1158" ht="17.25" customHeight="1" s="248">
      <c r="A1158" s="117" t="n">
        <v>1150</v>
      </c>
      <c r="B1158" s="117" t="inlineStr">
        <is>
          <t>2026/06/26 00:00</t>
        </is>
      </c>
      <c r="C1158" s="117" t="inlineStr">
        <is>
          <t>HUỲNH THỊ SÁU</t>
        </is>
      </c>
      <c r="D1158" s="117" t="inlineStr">
        <is>
          <t>05/02/1960</t>
        </is>
      </c>
      <c r="E1158" s="117" t="inlineStr">
        <is>
          <t>Giường Ngoại khoa loại 4 - Khoa Chấn thương chỉnh hình</t>
        </is>
      </c>
      <c r="F1158" s="272" t="n">
        <v>1</v>
      </c>
      <c r="G1158" s="272" t="n">
        <v>229200</v>
      </c>
    </row>
    <row r="1159" ht="17.25" customHeight="1" s="248">
      <c r="A1159" s="117" t="n">
        <v>1151</v>
      </c>
      <c r="B1159" s="117" t="inlineStr">
        <is>
          <t>2026/06/26 00:00</t>
        </is>
      </c>
      <c r="C1159" s="117" t="inlineStr">
        <is>
          <t>LÊ THỊ LỆ</t>
        </is>
      </c>
      <c r="D1159" s="117" t="inlineStr">
        <is>
          <t>01/01/1957</t>
        </is>
      </c>
      <c r="E1159" s="117" t="inlineStr">
        <is>
          <t>Giường Ngoại khoa loại 1 - Khoa Chấn thương chỉnh hình</t>
        </is>
      </c>
      <c r="F1159" s="272" t="n">
        <v>1</v>
      </c>
      <c r="G1159" s="272" t="n">
        <v>341800</v>
      </c>
    </row>
    <row r="1160" ht="17.25" customHeight="1" s="248">
      <c r="A1160" s="117" t="n">
        <v>1152</v>
      </c>
      <c r="B1160" s="117" t="inlineStr">
        <is>
          <t>2026/06/26 00:00</t>
        </is>
      </c>
      <c r="C1160" s="117" t="inlineStr">
        <is>
          <t>LÊ VĂN NHÂN</t>
        </is>
      </c>
      <c r="D1160" s="117" t="inlineStr">
        <is>
          <t>01/01/1928</t>
        </is>
      </c>
      <c r="E1160" s="117" t="inlineStr">
        <is>
          <t>Giường Nội khoa loại 2 - Khoa Chấn thương chỉnh hình</t>
        </is>
      </c>
      <c r="F1160" s="272" t="n">
        <v>1</v>
      </c>
      <c r="G1160" s="272" t="n">
        <v>222300</v>
      </c>
    </row>
    <row r="1161" ht="17.25" customHeight="1" s="248">
      <c r="A1161" s="117" t="n">
        <v>1153</v>
      </c>
      <c r="B1161" s="117" t="inlineStr">
        <is>
          <t>2026/06/26 00:00</t>
        </is>
      </c>
      <c r="C1161" s="117" t="inlineStr">
        <is>
          <t>NGUYỄN KHÁNH HỘI</t>
        </is>
      </c>
      <c r="D1161" s="117" t="inlineStr">
        <is>
          <t>21/12/2008</t>
        </is>
      </c>
      <c r="E1161" s="117" t="inlineStr">
        <is>
          <t>Giường Ngoại khoa loại 2 - Khoa Chấn thương chỉnh hình</t>
        </is>
      </c>
      <c r="F1161" s="272" t="n">
        <v>1</v>
      </c>
      <c r="G1161" s="272" t="n">
        <v>301600</v>
      </c>
    </row>
    <row r="1162" ht="17.25" customHeight="1" s="248">
      <c r="A1162" s="117" t="n">
        <v>1154</v>
      </c>
      <c r="B1162" s="117" t="inlineStr">
        <is>
          <t>2026/06/26 00:00</t>
        </is>
      </c>
      <c r="C1162" s="117" t="inlineStr">
        <is>
          <t>NGUYỄN THÀNH ĐƯỢC</t>
        </is>
      </c>
      <c r="D1162" s="117" t="inlineStr">
        <is>
          <t>01/01/1961</t>
        </is>
      </c>
      <c r="E1162" s="117" t="inlineStr">
        <is>
          <t>Giường Nội khoa loại 2 - Khoa Chấn thương chỉnh hình</t>
        </is>
      </c>
      <c r="F1162" s="272" t="n">
        <v>1</v>
      </c>
      <c r="G1162" s="272" t="n">
        <v>222300</v>
      </c>
    </row>
    <row r="1163" ht="17.25" customHeight="1" s="248">
      <c r="A1163" s="117" t="n">
        <v>1155</v>
      </c>
      <c r="B1163" s="117" t="inlineStr">
        <is>
          <t>2026/06/26 00:00</t>
        </is>
      </c>
      <c r="C1163" s="117" t="inlineStr">
        <is>
          <t>NGUYỄN THỊ BỢ</t>
        </is>
      </c>
      <c r="D1163" s="117" t="inlineStr">
        <is>
          <t>01/01/1963</t>
        </is>
      </c>
      <c r="E1163" s="117" t="inlineStr">
        <is>
          <t>Giường Ngoại khoa loại 4 - Khoa Chấn thương chỉnh hình</t>
        </is>
      </c>
      <c r="F1163" s="272" t="n">
        <v>1</v>
      </c>
      <c r="G1163" s="272" t="n">
        <v>229200</v>
      </c>
    </row>
    <row r="1164" ht="17.25" customHeight="1" s="248">
      <c r="A1164" s="117" t="n">
        <v>1156</v>
      </c>
      <c r="B1164" s="117" t="inlineStr">
        <is>
          <t>2026/06/26 00:00</t>
        </is>
      </c>
      <c r="C1164" s="117" t="inlineStr">
        <is>
          <t>NGUYỄN THỊ NGỌC DUYÊN</t>
        </is>
      </c>
      <c r="D1164" s="117" t="inlineStr">
        <is>
          <t>01/02/1971</t>
        </is>
      </c>
      <c r="E1164" s="117" t="inlineStr">
        <is>
          <t>Giường Nội khoa loại 2 - Khoa Chấn thương chỉnh hình</t>
        </is>
      </c>
      <c r="F1164" s="272" t="n">
        <v>1</v>
      </c>
      <c r="G1164" s="272" t="n">
        <v>222300</v>
      </c>
    </row>
    <row r="1165" ht="17.25" customHeight="1" s="248">
      <c r="A1165" s="117" t="n">
        <v>1157</v>
      </c>
      <c r="B1165" s="117" t="inlineStr">
        <is>
          <t>2026/06/26 00:00</t>
        </is>
      </c>
      <c r="C1165" s="117" t="inlineStr">
        <is>
          <t>THÁI THỊ THỦY</t>
        </is>
      </c>
      <c r="D1165" s="117" t="inlineStr">
        <is>
          <t>01/01/1957</t>
        </is>
      </c>
      <c r="E1165" s="117" t="inlineStr">
        <is>
          <t>Giường Nội khoa loại 2 - Khoa Chấn thương chỉnh hình</t>
        </is>
      </c>
      <c r="F1165" s="272" t="n">
        <v>1</v>
      </c>
      <c r="G1165" s="272" t="n">
        <v>222300</v>
      </c>
    </row>
    <row r="1166" ht="17.25" customHeight="1" s="248">
      <c r="A1166" s="117" t="n">
        <v>1158</v>
      </c>
      <c r="B1166" s="117" t="inlineStr">
        <is>
          <t>2026/06/26 00:00</t>
        </is>
      </c>
      <c r="C1166" s="117" t="inlineStr">
        <is>
          <t>TRƯƠNG NGỌC LOAN</t>
        </is>
      </c>
      <c r="D1166" s="117" t="inlineStr">
        <is>
          <t>01/01/1961</t>
        </is>
      </c>
      <c r="E1166" s="117" t="inlineStr">
        <is>
          <t>Giường Nội khoa loại 2 - Khoa Chấn thương chỉnh hình</t>
        </is>
      </c>
      <c r="F1166" s="272" t="n">
        <v>1</v>
      </c>
      <c r="G1166" s="272" t="n">
        <v>222300</v>
      </c>
    </row>
    <row r="1167" ht="17.25" customHeight="1" s="248">
      <c r="A1167" s="117" t="n">
        <v>1159</v>
      </c>
      <c r="B1167" s="117" t="inlineStr">
        <is>
          <t>2026/06/26 00:00</t>
        </is>
      </c>
      <c r="C1167" s="117" t="inlineStr">
        <is>
          <t>TRƯƠNG THỊ CẨM CHÂU</t>
        </is>
      </c>
      <c r="D1167" s="117" t="inlineStr">
        <is>
          <t>09/10/1968</t>
        </is>
      </c>
      <c r="E1167" s="117" t="inlineStr">
        <is>
          <t>Giường Ngoại khoa loại 3 - Khoa Chấn thương chỉnh hình</t>
        </is>
      </c>
      <c r="F1167" s="272" t="n">
        <v>1</v>
      </c>
      <c r="G1167" s="272" t="n">
        <v>269200</v>
      </c>
    </row>
    <row r="1168" ht="17.25" customHeight="1" s="248">
      <c r="A1168" s="117" t="n">
        <v>1160</v>
      </c>
      <c r="B1168" s="117" t="inlineStr">
        <is>
          <t>2026/06/26 00:00</t>
        </is>
      </c>
      <c r="C1168" s="117" t="inlineStr">
        <is>
          <t>LÂM VĂN TÀI</t>
        </is>
      </c>
      <c r="D1168" s="117" t="inlineStr">
        <is>
          <t>15/12/1996</t>
        </is>
      </c>
      <c r="E1168" s="117" t="inlineStr">
        <is>
          <t>Giường Ngoại khoa loại 1 - Khoa Chấn thương chỉnh hình</t>
        </is>
      </c>
      <c r="F1168" s="272" t="n">
        <v>1</v>
      </c>
      <c r="G1168" s="272" t="n">
        <v>341800</v>
      </c>
    </row>
    <row r="1169" ht="17.25" customHeight="1" s="248">
      <c r="A1169" s="117" t="n">
        <v>1161</v>
      </c>
      <c r="B1169" s="117" t="inlineStr">
        <is>
          <t>2026/06/26 00:00</t>
        </is>
      </c>
      <c r="C1169" s="117" t="inlineStr">
        <is>
          <t>NGUYỄN THỊ PHƯỢNG</t>
        </is>
      </c>
      <c r="D1169" s="117" t="inlineStr">
        <is>
          <t>01/01/1968</t>
        </is>
      </c>
      <c r="E1169" s="117" t="inlineStr">
        <is>
          <t>Giường Ngoại khoa loại 1 - Khoa Chấn thương chỉnh hình</t>
        </is>
      </c>
      <c r="F1169" s="272" t="n">
        <v>1</v>
      </c>
      <c r="G1169" s="272" t="n">
        <v>341800</v>
      </c>
    </row>
    <row r="1170" ht="17.25" customHeight="1" s="248">
      <c r="A1170" s="117" t="n">
        <v>1162</v>
      </c>
      <c r="B1170" s="117" t="inlineStr">
        <is>
          <t>2026/06/26 14:47</t>
        </is>
      </c>
      <c r="C1170" s="117" t="inlineStr">
        <is>
          <t>BÙI TRÚC LINH</t>
        </is>
      </c>
      <c r="D1170" s="117" t="inlineStr">
        <is>
          <t>18/12/1974</t>
        </is>
      </c>
      <c r="E1170" s="117" t="inlineStr">
        <is>
          <t>Giường Ngoại khoa loại 3 - Khoa Chấn thương chỉnh hình</t>
        </is>
      </c>
      <c r="F1170" s="272" t="n">
        <v>1</v>
      </c>
      <c r="G1170" s="272" t="n">
        <v>269200</v>
      </c>
    </row>
    <row r="1171" ht="17.25" customHeight="1" s="248">
      <c r="A1171" s="117" t="n">
        <v>1163</v>
      </c>
      <c r="B1171" s="117" t="inlineStr">
        <is>
          <t>2026/06/27 00:00</t>
        </is>
      </c>
      <c r="C1171" s="117" t="inlineStr">
        <is>
          <t>BÙI TRÚC LINH</t>
        </is>
      </c>
      <c r="D1171" s="117" t="inlineStr">
        <is>
          <t>18/12/1974</t>
        </is>
      </c>
      <c r="E1171" s="117" t="inlineStr">
        <is>
          <t>Giường Ngoại khoa loại 3 - Khoa Chấn thương chỉnh hình</t>
        </is>
      </c>
      <c r="F1171" s="272" t="n">
        <v>1</v>
      </c>
      <c r="G1171" s="272" t="n">
        <v>269200</v>
      </c>
    </row>
    <row r="1172" ht="17.25" customHeight="1" s="248">
      <c r="A1172" s="117" t="n">
        <v>1164</v>
      </c>
      <c r="B1172" s="117" t="inlineStr">
        <is>
          <t>2026/06/27 00:00</t>
        </is>
      </c>
      <c r="C1172" s="117" t="inlineStr">
        <is>
          <t>HỒNG KIM BẰNG</t>
        </is>
      </c>
      <c r="D1172" s="117" t="inlineStr">
        <is>
          <t>01/01/1974</t>
        </is>
      </c>
      <c r="E1172" s="117" t="inlineStr">
        <is>
          <t>Giường Ngoại khoa loại 2 - Khoa Chấn thương chỉnh hình</t>
        </is>
      </c>
      <c r="F1172" s="272" t="n">
        <v>1</v>
      </c>
      <c r="G1172" s="272" t="n">
        <v>301600</v>
      </c>
    </row>
    <row r="1173" ht="17.25" customHeight="1" s="248">
      <c r="A1173" s="117" t="n">
        <v>1165</v>
      </c>
      <c r="B1173" s="117" t="inlineStr">
        <is>
          <t>2026/06/27 00:00</t>
        </is>
      </c>
      <c r="C1173" s="117" t="inlineStr">
        <is>
          <t>LÊ THỊ LỆ</t>
        </is>
      </c>
      <c r="D1173" s="117" t="inlineStr">
        <is>
          <t>01/01/1957</t>
        </is>
      </c>
      <c r="E1173" s="117" t="inlineStr">
        <is>
          <t>Giường Ngoại khoa loại 1 - Khoa Chấn thương chỉnh hình</t>
        </is>
      </c>
      <c r="F1173" s="272" t="n">
        <v>1</v>
      </c>
      <c r="G1173" s="272" t="n">
        <v>341800</v>
      </c>
    </row>
    <row r="1174" ht="17.25" customHeight="1" s="248">
      <c r="A1174" s="117" t="n">
        <v>1166</v>
      </c>
      <c r="B1174" s="117" t="inlineStr">
        <is>
          <t>2026/06/27 00:00</t>
        </is>
      </c>
      <c r="C1174" s="117" t="inlineStr">
        <is>
          <t>LÊ VĂN NHÂN</t>
        </is>
      </c>
      <c r="D1174" s="117" t="inlineStr">
        <is>
          <t>01/01/1928</t>
        </is>
      </c>
      <c r="E1174" s="117" t="inlineStr">
        <is>
          <t>Giường Nội khoa loại 2 - Khoa Chấn thương chỉnh hình</t>
        </is>
      </c>
      <c r="F1174" s="272" t="n">
        <v>1</v>
      </c>
      <c r="G1174" s="272" t="n">
        <v>222300</v>
      </c>
    </row>
    <row r="1175" ht="17.25" customHeight="1" s="248">
      <c r="A1175" s="117" t="n">
        <v>1167</v>
      </c>
      <c r="B1175" s="117" t="inlineStr">
        <is>
          <t>2026/06/27 00:00</t>
        </is>
      </c>
      <c r="C1175" s="117" t="inlineStr">
        <is>
          <t>NGUYỄN KHÁNH HỘI</t>
        </is>
      </c>
      <c r="D1175" s="117" t="inlineStr">
        <is>
          <t>21/12/2008</t>
        </is>
      </c>
      <c r="E1175" s="117" t="inlineStr">
        <is>
          <t>Giường Ngoại khoa loại 2 - Khoa Chấn thương chỉnh hình</t>
        </is>
      </c>
      <c r="F1175" s="272" t="n">
        <v>1</v>
      </c>
      <c r="G1175" s="272" t="n">
        <v>301600</v>
      </c>
    </row>
    <row r="1176" ht="17.25" customHeight="1" s="248">
      <c r="A1176" s="117" t="n">
        <v>1168</v>
      </c>
      <c r="B1176" s="117" t="inlineStr">
        <is>
          <t>2026/06/27 00:00</t>
        </is>
      </c>
      <c r="C1176" s="117" t="inlineStr">
        <is>
          <t>NGUYỄN THỊ BỢ</t>
        </is>
      </c>
      <c r="D1176" s="117" t="inlineStr">
        <is>
          <t>01/01/1963</t>
        </is>
      </c>
      <c r="E1176" s="117" t="inlineStr">
        <is>
          <t>Giường Ngoại khoa loại 4 - Khoa Chấn thương chỉnh hình</t>
        </is>
      </c>
      <c r="F1176" s="272" t="n">
        <v>1</v>
      </c>
      <c r="G1176" s="272" t="n">
        <v>229200</v>
      </c>
    </row>
    <row r="1177" ht="17.25" customHeight="1" s="248">
      <c r="A1177" s="117" t="n">
        <v>1169</v>
      </c>
      <c r="B1177" s="117" t="inlineStr">
        <is>
          <t>2026/06/27 00:00</t>
        </is>
      </c>
      <c r="C1177" s="117" t="inlineStr">
        <is>
          <t>NGUYỄN THỊ NGỌC DUYÊN</t>
        </is>
      </c>
      <c r="D1177" s="117" t="inlineStr">
        <is>
          <t>01/02/1971</t>
        </is>
      </c>
      <c r="E1177" s="117" t="inlineStr">
        <is>
          <t>Giường Nội khoa loại 2 - Khoa Chấn thương chỉnh hình</t>
        </is>
      </c>
      <c r="F1177" s="272" t="n">
        <v>1</v>
      </c>
      <c r="G1177" s="272" t="n">
        <v>222300</v>
      </c>
    </row>
    <row r="1178" ht="17.25" customHeight="1" s="248">
      <c r="A1178" s="117" t="n">
        <v>1170</v>
      </c>
      <c r="B1178" s="117" t="inlineStr">
        <is>
          <t>2026/06/27 00:00</t>
        </is>
      </c>
      <c r="C1178" s="117" t="inlineStr">
        <is>
          <t>THÁI THỊ THỦY</t>
        </is>
      </c>
      <c r="D1178" s="117" t="inlineStr">
        <is>
          <t>01/01/1957</t>
        </is>
      </c>
      <c r="E1178" s="117" t="inlineStr">
        <is>
          <t>Giường Nội khoa loại 2 - Khoa Chấn thương chỉnh hình</t>
        </is>
      </c>
      <c r="F1178" s="272" t="n">
        <v>1</v>
      </c>
      <c r="G1178" s="272" t="n">
        <v>222300</v>
      </c>
    </row>
    <row r="1179" ht="17.25" customHeight="1" s="248">
      <c r="A1179" s="117" t="n">
        <v>1171</v>
      </c>
      <c r="B1179" s="117" t="inlineStr">
        <is>
          <t>2026/06/27 00:00</t>
        </is>
      </c>
      <c r="C1179" s="117" t="inlineStr">
        <is>
          <t>TRƯƠNG NGỌC LOAN</t>
        </is>
      </c>
      <c r="D1179" s="117" t="inlineStr">
        <is>
          <t>01/01/1961</t>
        </is>
      </c>
      <c r="E1179" s="117" t="inlineStr">
        <is>
          <t>Giường Nội khoa loại 2 - Khoa Chấn thương chỉnh hình</t>
        </is>
      </c>
      <c r="F1179" s="272" t="n">
        <v>1</v>
      </c>
      <c r="G1179" s="272" t="n">
        <v>222300</v>
      </c>
    </row>
    <row r="1180" ht="17.25" customHeight="1" s="248">
      <c r="A1180" s="117" t="n">
        <v>1172</v>
      </c>
      <c r="B1180" s="117" t="inlineStr">
        <is>
          <t>2026/06/27 00:00</t>
        </is>
      </c>
      <c r="C1180" s="117" t="inlineStr">
        <is>
          <t>TRƯƠNG THỊ CẨM CHÂU</t>
        </is>
      </c>
      <c r="D1180" s="117" t="inlineStr">
        <is>
          <t>09/10/1968</t>
        </is>
      </c>
      <c r="E1180" s="117" t="inlineStr">
        <is>
          <t>Giường Ngoại khoa loại 3 - Khoa Chấn thương chỉnh hình</t>
        </is>
      </c>
      <c r="F1180" s="272" t="n">
        <v>1</v>
      </c>
      <c r="G1180" s="272" t="n">
        <v>269200</v>
      </c>
    </row>
    <row r="1181" ht="17.25" customHeight="1" s="248">
      <c r="A1181" s="117" t="n">
        <v>1173</v>
      </c>
      <c r="B1181" s="117" t="inlineStr">
        <is>
          <t>2026/06/27 00:00</t>
        </is>
      </c>
      <c r="C1181" s="117" t="inlineStr">
        <is>
          <t>LÂM VĂN TÀI</t>
        </is>
      </c>
      <c r="D1181" s="117" t="inlineStr">
        <is>
          <t>15/12/1996</t>
        </is>
      </c>
      <c r="E1181" s="117" t="inlineStr">
        <is>
          <t>Giường Ngoại khoa loại 1 - Khoa Chấn thương chỉnh hình</t>
        </is>
      </c>
      <c r="F1181" s="272" t="n">
        <v>1</v>
      </c>
      <c r="G1181" s="272" t="n">
        <v>341800</v>
      </c>
    </row>
    <row r="1182" ht="17.25" customHeight="1" s="248">
      <c r="A1182" s="117" t="n">
        <v>1174</v>
      </c>
      <c r="B1182" s="117" t="inlineStr">
        <is>
          <t>2026/06/27 00:00</t>
        </is>
      </c>
      <c r="C1182" s="117" t="inlineStr">
        <is>
          <t>NGUYỄN THỊ PHƯỢNG</t>
        </is>
      </c>
      <c r="D1182" s="117" t="inlineStr">
        <is>
          <t>01/01/1968</t>
        </is>
      </c>
      <c r="E1182" s="117" t="inlineStr">
        <is>
          <t>Giường Ngoại khoa loại 1 - Khoa Chấn thương chỉnh hình</t>
        </is>
      </c>
      <c r="F1182" s="272" t="n">
        <v>1</v>
      </c>
      <c r="G1182" s="272" t="n">
        <v>341800</v>
      </c>
    </row>
    <row r="1183" ht="17.25" customHeight="1" s="248">
      <c r="A1183" s="117" t="n">
        <v>1175</v>
      </c>
      <c r="B1183" s="117" t="inlineStr">
        <is>
          <t>2026/06/27 07:32</t>
        </is>
      </c>
      <c r="C1183" s="117" t="inlineStr">
        <is>
          <t>LÊ NGUYỄN GIA PHÚC</t>
        </is>
      </c>
      <c r="D1183" s="117" t="inlineStr">
        <is>
          <t>16/08/2006</t>
        </is>
      </c>
      <c r="E1183" s="117" t="inlineStr">
        <is>
          <t>Giường Ngoại khoa loại 2 - Khoa Chấn thương chỉnh hình</t>
        </is>
      </c>
      <c r="F1183" s="272" t="n">
        <v>1</v>
      </c>
      <c r="G1183" s="272" t="n">
        <v>301600</v>
      </c>
    </row>
    <row r="1184" ht="17.25" customHeight="1" s="248">
      <c r="A1184" s="117" t="n">
        <v>1176</v>
      </c>
      <c r="B1184" s="117" t="inlineStr">
        <is>
          <t>2026/06/28 00:00</t>
        </is>
      </c>
      <c r="C1184" s="117" t="inlineStr">
        <is>
          <t>BÙI TRÚC LINH</t>
        </is>
      </c>
      <c r="D1184" s="117" t="inlineStr">
        <is>
          <t>18/12/1974</t>
        </is>
      </c>
      <c r="E1184" s="117" t="inlineStr">
        <is>
          <t>Giường Ngoại khoa loại 3 - Khoa Chấn thương chỉnh hình</t>
        </is>
      </c>
      <c r="F1184" s="272" t="n">
        <v>1</v>
      </c>
      <c r="G1184" s="272" t="n">
        <v>269200</v>
      </c>
    </row>
    <row r="1185" ht="17.25" customHeight="1" s="248">
      <c r="A1185" s="117" t="n">
        <v>1177</v>
      </c>
      <c r="B1185" s="117" t="inlineStr">
        <is>
          <t>2026/06/28 00:00</t>
        </is>
      </c>
      <c r="C1185" s="117" t="inlineStr">
        <is>
          <t>LÊ NGUYỄN GIA PHÚC</t>
        </is>
      </c>
      <c r="D1185" s="117" t="inlineStr">
        <is>
          <t>16/08/2006</t>
        </is>
      </c>
      <c r="E1185" s="117" t="inlineStr">
        <is>
          <t>Giường Ngoại khoa loại 2 - Khoa Chấn thương chỉnh hình</t>
        </is>
      </c>
      <c r="F1185" s="272" t="n">
        <v>1</v>
      </c>
      <c r="G1185" s="272" t="n">
        <v>301600</v>
      </c>
    </row>
    <row r="1186" ht="17.25" customHeight="1" s="248">
      <c r="A1186" s="117" t="n">
        <v>1178</v>
      </c>
      <c r="B1186" s="117" t="inlineStr">
        <is>
          <t>2026/06/28 00:00</t>
        </is>
      </c>
      <c r="C1186" s="117" t="inlineStr">
        <is>
          <t>LÊ THỊ LỆ</t>
        </is>
      </c>
      <c r="D1186" s="117" t="inlineStr">
        <is>
          <t>01/01/1957</t>
        </is>
      </c>
      <c r="E1186" s="117" t="inlineStr">
        <is>
          <t>Giường Ngoại khoa loại 1 - Khoa Chấn thương chỉnh hình</t>
        </is>
      </c>
      <c r="F1186" s="272" t="n">
        <v>1</v>
      </c>
      <c r="G1186" s="272" t="n">
        <v>341800</v>
      </c>
    </row>
    <row r="1187" ht="17.25" customHeight="1" s="248">
      <c r="A1187" s="117" t="n">
        <v>1179</v>
      </c>
      <c r="B1187" s="117" t="inlineStr">
        <is>
          <t>2026/06/28 00:00</t>
        </is>
      </c>
      <c r="C1187" s="117" t="inlineStr">
        <is>
          <t>LÊ VĂN NHÂN</t>
        </is>
      </c>
      <c r="D1187" s="117" t="inlineStr">
        <is>
          <t>01/01/1928</t>
        </is>
      </c>
      <c r="E1187" s="117" t="inlineStr">
        <is>
          <t>Giường Nội khoa loại 2 - Khoa Chấn thương chỉnh hình</t>
        </is>
      </c>
      <c r="F1187" s="272" t="n">
        <v>1</v>
      </c>
      <c r="G1187" s="272" t="n">
        <v>222300</v>
      </c>
    </row>
    <row r="1188" ht="17.25" customHeight="1" s="248">
      <c r="A1188" s="117" t="n">
        <v>1180</v>
      </c>
      <c r="B1188" s="117" t="inlineStr">
        <is>
          <t>2026/06/28 00:00</t>
        </is>
      </c>
      <c r="C1188" s="117" t="inlineStr">
        <is>
          <t>NGUYỄN KHÁNH HỘI</t>
        </is>
      </c>
      <c r="D1188" s="117" t="inlineStr">
        <is>
          <t>21/12/2008</t>
        </is>
      </c>
      <c r="E1188" s="117" t="inlineStr">
        <is>
          <t>Giường Ngoại khoa loại 2 - Khoa Chấn thương chỉnh hình</t>
        </is>
      </c>
      <c r="F1188" s="272" t="n">
        <v>1</v>
      </c>
      <c r="G1188" s="272" t="n">
        <v>301600</v>
      </c>
    </row>
    <row r="1189" ht="17.25" customHeight="1" s="248">
      <c r="A1189" s="117" t="n">
        <v>1181</v>
      </c>
      <c r="B1189" s="117" t="inlineStr">
        <is>
          <t>2026/06/28 00:00</t>
        </is>
      </c>
      <c r="C1189" s="117" t="inlineStr">
        <is>
          <t>NGUYỄN THỊ BỢ</t>
        </is>
      </c>
      <c r="D1189" s="117" t="inlineStr">
        <is>
          <t>01/01/1963</t>
        </is>
      </c>
      <c r="E1189" s="117" t="inlineStr">
        <is>
          <t>Giường Ngoại khoa loại 4 - Khoa Chấn thương chỉnh hình</t>
        </is>
      </c>
      <c r="F1189" s="272" t="n">
        <v>1</v>
      </c>
      <c r="G1189" s="272" t="n">
        <v>229200</v>
      </c>
    </row>
    <row r="1190" ht="17.25" customHeight="1" s="248">
      <c r="A1190" s="117" t="n">
        <v>1182</v>
      </c>
      <c r="B1190" s="117" t="inlineStr">
        <is>
          <t>2026/06/28 00:00</t>
        </is>
      </c>
      <c r="C1190" s="117" t="inlineStr">
        <is>
          <t>NGUYỄN THỊ NGỌC DUYÊN</t>
        </is>
      </c>
      <c r="D1190" s="117" t="inlineStr">
        <is>
          <t>01/02/1971</t>
        </is>
      </c>
      <c r="E1190" s="117" t="inlineStr">
        <is>
          <t>Giường Nội khoa loại 2 - Khoa Chấn thương chỉnh hình</t>
        </is>
      </c>
      <c r="F1190" s="272" t="n">
        <v>1</v>
      </c>
      <c r="G1190" s="272" t="n">
        <v>222300</v>
      </c>
    </row>
    <row r="1191" ht="17.25" customHeight="1" s="248">
      <c r="A1191" s="117" t="n">
        <v>1183</v>
      </c>
      <c r="B1191" s="117" t="inlineStr">
        <is>
          <t>2026/06/28 00:00</t>
        </is>
      </c>
      <c r="C1191" s="117" t="inlineStr">
        <is>
          <t>THÁI THỊ THỦY</t>
        </is>
      </c>
      <c r="D1191" s="117" t="inlineStr">
        <is>
          <t>01/01/1957</t>
        </is>
      </c>
      <c r="E1191" s="117" t="inlineStr">
        <is>
          <t>Giường Nội khoa loại 2 - Khoa Chấn thương chỉnh hình</t>
        </is>
      </c>
      <c r="F1191" s="272" t="n">
        <v>1</v>
      </c>
      <c r="G1191" s="272" t="n">
        <v>222300</v>
      </c>
    </row>
    <row r="1192" ht="17.25" customHeight="1" s="248">
      <c r="A1192" s="117" t="n">
        <v>1184</v>
      </c>
      <c r="B1192" s="117" t="inlineStr">
        <is>
          <t>2026/06/28 00:00</t>
        </is>
      </c>
      <c r="C1192" s="117" t="inlineStr">
        <is>
          <t>TRƯƠNG NGỌC LOAN</t>
        </is>
      </c>
      <c r="D1192" s="117" t="inlineStr">
        <is>
          <t>01/01/1961</t>
        </is>
      </c>
      <c r="E1192" s="117" t="inlineStr">
        <is>
          <t>Giường Nội khoa loại 2 - Khoa Chấn thương chỉnh hình</t>
        </is>
      </c>
      <c r="F1192" s="272" t="n">
        <v>1</v>
      </c>
      <c r="G1192" s="272" t="n">
        <v>222300</v>
      </c>
    </row>
    <row r="1193" ht="17.25" customHeight="1" s="248">
      <c r="A1193" s="117" t="n">
        <v>1185</v>
      </c>
      <c r="B1193" s="117" t="inlineStr">
        <is>
          <t>2026/06/28 00:00</t>
        </is>
      </c>
      <c r="C1193" s="117" t="inlineStr">
        <is>
          <t>TRƯƠNG THỊ CẨM CHÂU</t>
        </is>
      </c>
      <c r="D1193" s="117" t="inlineStr">
        <is>
          <t>09/10/1968</t>
        </is>
      </c>
      <c r="E1193" s="117" t="inlineStr">
        <is>
          <t>Giường Ngoại khoa loại 3 - Khoa Chấn thương chỉnh hình</t>
        </is>
      </c>
      <c r="F1193" s="272" t="n">
        <v>1</v>
      </c>
      <c r="G1193" s="272" t="n">
        <v>269200</v>
      </c>
    </row>
    <row r="1194" ht="17.25" customHeight="1" s="248">
      <c r="A1194" s="117" t="n">
        <v>1186</v>
      </c>
      <c r="B1194" s="117" t="inlineStr">
        <is>
          <t>2026/06/28 00:00</t>
        </is>
      </c>
      <c r="C1194" s="117" t="inlineStr">
        <is>
          <t>LÂM VĂN TÀI</t>
        </is>
      </c>
      <c r="D1194" s="117" t="inlineStr">
        <is>
          <t>15/12/1996</t>
        </is>
      </c>
      <c r="E1194" s="117" t="inlineStr">
        <is>
          <t>Giường Ngoại khoa loại 1 - Khoa Chấn thương chỉnh hình</t>
        </is>
      </c>
      <c r="F1194" s="272" t="n">
        <v>1</v>
      </c>
      <c r="G1194" s="272" t="n">
        <v>341800</v>
      </c>
    </row>
    <row r="1195" ht="17.25" customHeight="1" s="248">
      <c r="A1195" s="117" t="n">
        <v>1187</v>
      </c>
      <c r="B1195" s="117" t="inlineStr">
        <is>
          <t>2026/06/28 00:00</t>
        </is>
      </c>
      <c r="C1195" s="117" t="inlineStr">
        <is>
          <t>NGUYỄN THỊ PHƯỢNG</t>
        </is>
      </c>
      <c r="D1195" s="117" t="inlineStr">
        <is>
          <t>01/01/1968</t>
        </is>
      </c>
      <c r="E1195" s="117" t="inlineStr">
        <is>
          <t>Giường Ngoại khoa loại 1 - Khoa Chấn thương chỉnh hình</t>
        </is>
      </c>
      <c r="F1195" s="272" t="n">
        <v>1</v>
      </c>
      <c r="G1195" s="272" t="n">
        <v>341800</v>
      </c>
    </row>
    <row r="1196" ht="17.25" customHeight="1" s="248">
      <c r="A1196" s="117" t="n">
        <v>1188</v>
      </c>
      <c r="B1196" s="117" t="inlineStr">
        <is>
          <t>2026/06/29 00:00</t>
        </is>
      </c>
      <c r="C1196" s="117" t="inlineStr">
        <is>
          <t>LÊ THỊ LỆ</t>
        </is>
      </c>
      <c r="D1196" s="117" t="inlineStr">
        <is>
          <t>01/01/1957</t>
        </is>
      </c>
      <c r="E1196" s="117" t="inlineStr">
        <is>
          <t>Giường Ngoại khoa loại 1 - Khoa Chấn thương chỉnh hình</t>
        </is>
      </c>
      <c r="F1196" s="272" t="n">
        <v>1</v>
      </c>
      <c r="G1196" s="272" t="n">
        <v>341800</v>
      </c>
    </row>
    <row r="1197" ht="17.25" customHeight="1" s="248">
      <c r="A1197" s="117" t="n">
        <v>1189</v>
      </c>
      <c r="B1197" s="117" t="inlineStr">
        <is>
          <t>2026/06/29 00:00</t>
        </is>
      </c>
      <c r="C1197" s="117" t="inlineStr">
        <is>
          <t>NGUYỄN THỊ NGỌC DUYÊN</t>
        </is>
      </c>
      <c r="D1197" s="117" t="inlineStr">
        <is>
          <t>01/02/1971</t>
        </is>
      </c>
      <c r="E1197" s="117" t="inlineStr">
        <is>
          <t>Giường Nội khoa loại 2 - Khoa Chấn thương chỉnh hình</t>
        </is>
      </c>
      <c r="F1197" s="272" t="n">
        <v>1</v>
      </c>
      <c r="G1197" s="272" t="n">
        <v>222300</v>
      </c>
    </row>
    <row r="1198" ht="17.25" customHeight="1" s="248">
      <c r="A1198" s="117" t="n">
        <v>1190</v>
      </c>
      <c r="B1198" s="117" t="inlineStr">
        <is>
          <t>2026/06/29 00:00</t>
        </is>
      </c>
      <c r="C1198" s="117" t="inlineStr">
        <is>
          <t>TRƯƠNG NGỌC LOAN</t>
        </is>
      </c>
      <c r="D1198" s="117" t="inlineStr">
        <is>
          <t>01/01/1961</t>
        </is>
      </c>
      <c r="E1198" s="117" t="inlineStr">
        <is>
          <t>Giường Nội khoa loại 2 - Khoa Chấn thương chỉnh hình</t>
        </is>
      </c>
      <c r="F1198" s="272" t="n">
        <v>1</v>
      </c>
      <c r="G1198" s="272" t="n">
        <v>222300</v>
      </c>
    </row>
    <row r="1199" ht="17.25" customHeight="1" s="248">
      <c r="A1199" s="117" t="n">
        <v>1191</v>
      </c>
      <c r="B1199" s="117" t="inlineStr">
        <is>
          <t>2026/06/29 00:00</t>
        </is>
      </c>
      <c r="C1199" s="117" t="inlineStr">
        <is>
          <t>TRƯƠNG THỊ CẨM CHÂU</t>
        </is>
      </c>
      <c r="D1199" s="117" t="inlineStr">
        <is>
          <t>09/10/1968</t>
        </is>
      </c>
      <c r="E1199" s="117" t="inlineStr">
        <is>
          <t>Giường Ngoại khoa loại 3 - Khoa Chấn thương chỉnh hình</t>
        </is>
      </c>
      <c r="F1199" s="272" t="n">
        <v>1</v>
      </c>
      <c r="G1199" s="272" t="n">
        <v>269200</v>
      </c>
    </row>
    <row r="1200" hidden="1" ht="17.25" customHeight="1" s="248">
      <c r="A1200" s="117" t="n"/>
      <c r="B1200" s="117" t="n"/>
      <c r="C1200" s="117" t="n"/>
      <c r="D1200" s="117" t="n"/>
      <c r="E1200" s="117" t="n"/>
      <c r="F1200" s="272" t="n"/>
      <c r="G1200" s="272" t="n"/>
    </row>
    <row r="1201" hidden="1" ht="17.25" customHeight="1" s="248">
      <c r="A1201" s="117" t="n"/>
      <c r="B1201" s="117" t="n"/>
      <c r="C1201" s="117" t="n"/>
      <c r="D1201" s="117" t="n"/>
      <c r="E1201" s="117" t="n"/>
      <c r="F1201" s="272" t="n"/>
      <c r="G1201" s="272" t="n"/>
    </row>
    <row r="1202" hidden="1" ht="17.25" customHeight="1" s="248">
      <c r="A1202" s="117" t="n"/>
      <c r="B1202" s="117" t="n"/>
      <c r="C1202" s="117" t="n"/>
      <c r="D1202" s="117" t="n"/>
      <c r="E1202" s="117" t="n"/>
      <c r="F1202" s="272" t="n"/>
      <c r="G1202" s="272" t="n"/>
    </row>
    <row r="1203" ht="16.5" customFormat="1" customHeight="1" s="121">
      <c r="A1203" s="119" t="n"/>
      <c r="B1203" s="119" t="n"/>
      <c r="C1203" s="119" t="inlineStr">
        <is>
          <t>TỔNG CỘNG</t>
        </is>
      </c>
      <c r="D1203" s="119" t="n"/>
      <c r="E1203" s="119" t="n"/>
      <c r="F1203" s="273">
        <f>SUM(F9:F1202)</f>
        <v/>
      </c>
      <c r="G1203" s="273">
        <f>SUM(G9:G1202)</f>
        <v/>
      </c>
    </row>
    <row r="1205">
      <c r="A1205" s="122" t="n"/>
      <c r="B1205" s="111" t="inlineStr">
        <is>
          <t>Người lập</t>
        </is>
      </c>
      <c r="D1205" s="122" t="n"/>
      <c r="E1205" s="14" t="n"/>
      <c r="F1205" s="110" t="inlineStr">
        <is>
          <t>Trưởng Khoa</t>
        </is>
      </c>
      <c r="G1205" s="14" t="n"/>
      <c r="I1205" s="14" t="n"/>
      <c r="J1205" s="14" t="n"/>
      <c r="K1205" s="14" t="n"/>
      <c r="L1205" s="14" t="n"/>
      <c r="M1205" s="14" t="n"/>
      <c r="N1205" s="14" t="n"/>
      <c r="O1205" s="14" t="n"/>
      <c r="P1205" s="14" t="n"/>
      <c r="Q1205" s="14" t="n"/>
      <c r="R1205" s="14" t="n"/>
      <c r="S1205" s="14" t="n"/>
      <c r="T1205" s="14" t="n"/>
      <c r="U1205" s="14" t="n"/>
      <c r="V1205" s="14" t="n"/>
      <c r="W1205" s="14" t="n"/>
      <c r="X1205" s="14" t="n"/>
      <c r="Y1205" s="14" t="n"/>
      <c r="Z1205" s="14" t="n"/>
      <c r="AA1205" s="14" t="n"/>
      <c r="AB1205" s="14" t="n"/>
      <c r="AC1205" s="14" t="n"/>
      <c r="AD1205" s="14" t="n"/>
      <c r="AE1205" s="14" t="n"/>
      <c r="AF1205" s="14" t="n"/>
      <c r="AG1205" s="14" t="n"/>
      <c r="AH1205" s="14" t="n"/>
      <c r="AI1205" s="14" t="n"/>
      <c r="AJ1205" s="14" t="n"/>
      <c r="AK1205" s="14" t="n"/>
      <c r="AL1205" s="14" t="n"/>
      <c r="AM1205" s="14" t="n"/>
      <c r="AN1205" s="14" t="n"/>
      <c r="AO1205" s="14" t="n"/>
      <c r="AP1205" s="14" t="n"/>
      <c r="AQ1205" s="14" t="n"/>
      <c r="AR1205" s="14" t="n"/>
      <c r="AS1205" s="14" t="n"/>
      <c r="AT1205" s="14" t="n"/>
      <c r="AU1205" s="14" t="n"/>
      <c r="AV1205" s="14" t="n"/>
      <c r="AW1205" s="14" t="n"/>
      <c r="AX1205" s="14" t="n"/>
      <c r="AY1205" s="14" t="n"/>
      <c r="AZ1205" s="14" t="n"/>
      <c r="BA1205" s="14" t="n"/>
      <c r="BB1205" s="14" t="n"/>
      <c r="BC1205" s="14" t="n"/>
      <c r="BD1205" s="14" t="n"/>
      <c r="BE1205" s="14" t="n"/>
      <c r="BF1205" s="14" t="n"/>
      <c r="BG1205" s="14" t="n"/>
      <c r="BH1205" s="14" t="n"/>
      <c r="BI1205" s="14" t="n"/>
      <c r="BJ1205" s="14" t="n"/>
      <c r="BK1205" s="14" t="n"/>
      <c r="BL1205" s="14" t="n"/>
      <c r="BM1205" s="14" t="n"/>
      <c r="BN1205" s="14" t="n"/>
      <c r="BO1205" s="14" t="n"/>
      <c r="BP1205" s="14" t="n"/>
      <c r="BQ1205" s="14" t="n"/>
      <c r="BR1205" s="14" t="n"/>
      <c r="BS1205" s="14" t="n"/>
      <c r="BT1205" s="14" t="n"/>
      <c r="BU1205" s="14" t="n"/>
      <c r="BV1205" s="14" t="n"/>
      <c r="BW1205" s="14" t="n"/>
      <c r="BX1205" s="14" t="n"/>
      <c r="BY1205" s="14" t="n"/>
      <c r="BZ1205" s="14" t="n"/>
      <c r="CA1205" s="14" t="n"/>
      <c r="CB1205" s="14" t="n"/>
      <c r="CC1205" s="14" t="n"/>
      <c r="CD1205" s="14" t="n"/>
      <c r="CE1205" s="14" t="n"/>
      <c r="CF1205" s="14" t="n"/>
      <c r="CG1205" s="14" t="n"/>
      <c r="CH1205" s="14" t="n"/>
      <c r="CI1205" s="14" t="n"/>
      <c r="CJ1205" s="14" t="n"/>
      <c r="CK1205" s="14" t="n"/>
      <c r="CL1205" s="14" t="n"/>
      <c r="CM1205" s="14" t="n"/>
      <c r="CN1205" s="14" t="n"/>
      <c r="CO1205" s="14" t="n"/>
      <c r="CP1205" s="14" t="n"/>
      <c r="CQ1205" s="14" t="n"/>
      <c r="CR1205" s="14" t="n"/>
      <c r="CS1205" s="14" t="n"/>
      <c r="CT1205" s="14" t="n"/>
      <c r="CU1205" s="14" t="n"/>
      <c r="CV1205" s="14" t="n"/>
      <c r="CW1205" s="14" t="n"/>
      <c r="CX1205" s="14" t="n"/>
      <c r="CY1205" s="14" t="n"/>
      <c r="CZ1205" s="14" t="n"/>
      <c r="DA1205" s="14" t="n"/>
      <c r="DB1205" s="14" t="n"/>
      <c r="DC1205" s="14" t="n"/>
      <c r="DD1205" s="14" t="n"/>
      <c r="DE1205" s="14" t="n"/>
      <c r="DF1205" s="14" t="n"/>
      <c r="DG1205" s="14" t="n"/>
      <c r="DH1205" s="14" t="n"/>
      <c r="DI1205" s="14" t="n"/>
      <c r="DJ1205" s="14" t="n"/>
      <c r="DK1205" s="14" t="n"/>
      <c r="DL1205" s="14" t="n"/>
      <c r="DM1205" s="14" t="n"/>
      <c r="DN1205" s="14" t="n"/>
      <c r="DO1205" s="14" t="n"/>
      <c r="DP1205" s="14" t="n"/>
      <c r="DQ1205" s="14" t="n"/>
      <c r="DR1205" s="14" t="n"/>
      <c r="DS1205" s="14" t="n"/>
      <c r="DT1205" s="14" t="n"/>
      <c r="DU1205" s="14" t="n"/>
      <c r="DV1205" s="14" t="n"/>
      <c r="DW1205" s="14" t="n"/>
      <c r="DX1205" s="14" t="n"/>
      <c r="DY1205" s="14" t="n"/>
      <c r="DZ1205" s="14" t="n"/>
      <c r="EA1205" s="14" t="n"/>
      <c r="EB1205" s="14" t="n"/>
      <c r="EC1205" s="14" t="n"/>
      <c r="ED1205" s="14" t="n"/>
      <c r="EE1205" s="14" t="n"/>
      <c r="EF1205" s="14" t="n"/>
      <c r="EG1205" s="14" t="n"/>
      <c r="EH1205" s="14" t="n"/>
      <c r="EI1205" s="14" t="n"/>
      <c r="EJ1205" s="14" t="n"/>
      <c r="EK1205" s="14" t="n"/>
      <c r="EL1205" s="14" t="n"/>
      <c r="EM1205" s="14" t="n"/>
      <c r="EN1205" s="14" t="n"/>
      <c r="EO1205" s="14" t="n"/>
      <c r="EP1205" s="14" t="n"/>
      <c r="EQ1205" s="14" t="n"/>
      <c r="ER1205" s="14" t="n"/>
      <c r="ES1205" s="14" t="n"/>
      <c r="ET1205" s="14" t="n"/>
      <c r="EU1205" s="14" t="n"/>
      <c r="EV1205" s="14" t="n"/>
      <c r="EW1205" s="14" t="n"/>
      <c r="EX1205" s="14" t="n"/>
      <c r="EY1205" s="14" t="n"/>
      <c r="EZ1205" s="14" t="n"/>
      <c r="FA1205" s="14" t="n"/>
      <c r="FB1205" s="14" t="n"/>
      <c r="FC1205" s="14" t="n"/>
      <c r="FD1205" s="14" t="n"/>
      <c r="FE1205" s="14" t="n"/>
      <c r="FF1205" s="14" t="n"/>
      <c r="FG1205" s="14" t="n"/>
      <c r="FH1205" s="14" t="n"/>
      <c r="FI1205" s="14" t="n"/>
      <c r="FJ1205" s="14" t="n"/>
      <c r="FK1205" s="14" t="n"/>
      <c r="FL1205" s="14" t="n"/>
      <c r="FM1205" s="14" t="n"/>
      <c r="FN1205" s="14" t="n"/>
      <c r="FO1205" s="14" t="n"/>
      <c r="FP1205" s="14" t="n"/>
      <c r="FQ1205" s="14" t="n"/>
      <c r="FR1205" s="14" t="n"/>
      <c r="FS1205" s="14" t="n"/>
      <c r="FT1205" s="14" t="n"/>
      <c r="FU1205" s="14" t="n"/>
      <c r="FV1205" s="14" t="n"/>
      <c r="FW1205" s="14" t="n"/>
      <c r="FX1205" s="14" t="n"/>
      <c r="FY1205" s="14" t="n"/>
      <c r="FZ1205" s="14" t="n"/>
      <c r="GA1205" s="14" t="n"/>
      <c r="GB1205" s="14" t="n"/>
      <c r="GC1205" s="14" t="n"/>
      <c r="GD1205" s="14" t="n"/>
      <c r="GE1205" s="14" t="n"/>
      <c r="GF1205" s="14" t="n"/>
      <c r="GG1205" s="14" t="n"/>
      <c r="GH1205" s="14" t="n"/>
      <c r="GI1205" s="14" t="n"/>
      <c r="GJ1205" s="14" t="n"/>
      <c r="GK1205" s="14" t="n"/>
      <c r="GL1205" s="14" t="n"/>
      <c r="GM1205" s="14" t="n"/>
      <c r="GN1205" s="14" t="n"/>
      <c r="GO1205" s="14" t="n"/>
      <c r="GP1205" s="14" t="n"/>
      <c r="GQ1205" s="14" t="n"/>
      <c r="GR1205" s="14" t="n"/>
      <c r="GS1205" s="14" t="n"/>
      <c r="GT1205" s="14" t="n"/>
      <c r="GU1205" s="14" t="n"/>
      <c r="GV1205" s="14" t="n"/>
      <c r="GW1205" s="14" t="n"/>
      <c r="GX1205" s="14" t="n"/>
      <c r="GY1205" s="14" t="n"/>
      <c r="GZ1205" s="14" t="n"/>
      <c r="HA1205" s="14" t="n"/>
      <c r="HB1205" s="14" t="n"/>
      <c r="HC1205" s="14" t="n"/>
      <c r="HD1205" s="14" t="n"/>
      <c r="HE1205" s="14" t="n"/>
      <c r="HF1205" s="14" t="n"/>
      <c r="HG1205" s="14" t="n"/>
      <c r="HH1205" s="14" t="n"/>
      <c r="HI1205" s="14" t="n"/>
      <c r="HJ1205" s="14" t="n"/>
      <c r="HK1205" s="14" t="n"/>
      <c r="HL1205" s="14" t="n"/>
      <c r="HM1205" s="14" t="n"/>
      <c r="HN1205" s="14" t="n"/>
      <c r="HO1205" s="14" t="n"/>
      <c r="HP1205" s="14" t="n"/>
      <c r="HQ1205" s="14" t="n"/>
      <c r="HR1205" s="14" t="n"/>
      <c r="HS1205" s="14" t="n"/>
      <c r="HT1205" s="14" t="n"/>
      <c r="HU1205" s="14" t="n"/>
      <c r="HV1205" s="14" t="n"/>
      <c r="HW1205" s="14" t="n"/>
      <c r="HX1205" s="14" t="n"/>
      <c r="HY1205" s="14" t="n"/>
      <c r="HZ1205" s="14" t="n"/>
      <c r="IA1205" s="14" t="n"/>
      <c r="IB1205" s="14" t="n"/>
      <c r="IC1205" s="14" t="n"/>
      <c r="ID1205" s="14" t="n"/>
      <c r="IE1205" s="14" t="n"/>
    </row>
    <row r="1216">
      <c r="E1216" s="183" t="n"/>
    </row>
    <row r="1217" ht="15.75" customHeight="1" s="248">
      <c r="E1217" s="184" t="n"/>
    </row>
    <row r="1218" ht="15.75" customHeight="1" s="248">
      <c r="E1218" s="184" t="n"/>
    </row>
    <row r="1219" ht="15.75" customHeight="1" s="248">
      <c r="E1219" s="184" t="n"/>
    </row>
    <row r="1220" ht="15.75" customHeight="1" s="248">
      <c r="E1220" s="184" t="n"/>
    </row>
    <row r="1221" ht="15.75" customHeight="1" s="248">
      <c r="E1221" s="184" t="n"/>
    </row>
    <row r="1222" ht="15.75" customHeight="1" s="248">
      <c r="E1222" s="184" t="n"/>
    </row>
    <row r="1223" ht="15.75" customHeight="1" s="248">
      <c r="E1223" s="184" t="n"/>
    </row>
    <row r="1224" ht="15.75" customHeight="1" s="248">
      <c r="E1224" s="184" t="n"/>
    </row>
    <row r="1225" ht="15.75" customHeight="1" s="248">
      <c r="E1225" s="184" t="n"/>
    </row>
    <row r="1226" ht="15.75" customHeight="1" s="248">
      <c r="E1226" s="184" t="n"/>
    </row>
    <row r="1227" ht="15.75" customHeight="1" s="248">
      <c r="E1227" s="184" t="n"/>
    </row>
    <row r="1228" ht="15.75" customHeight="1" s="248">
      <c r="E1228" s="184" t="n"/>
    </row>
    <row r="1229" ht="15.75" customHeight="1" s="248">
      <c r="E1229" s="184" t="n"/>
    </row>
    <row r="1230" ht="15.75" customHeight="1" s="248">
      <c r="E1230" s="184" t="n"/>
    </row>
    <row r="1231" ht="15.75" customHeight="1" s="248">
      <c r="E1231" s="184" t="n"/>
    </row>
    <row r="1232" ht="15.75" customHeight="1" s="248">
      <c r="E1232" s="184" t="n"/>
    </row>
    <row r="1233" ht="15.75" customHeight="1" s="248">
      <c r="E1233" s="184" t="n"/>
    </row>
    <row r="1234" ht="15.75" customHeight="1" s="248">
      <c r="E1234" s="184" t="n"/>
    </row>
    <row r="1235" ht="15.75" customHeight="1" s="248">
      <c r="E1235" s="184" t="n"/>
    </row>
    <row r="1236" ht="15.75" customHeight="1" s="248">
      <c r="E1236" s="184" t="n"/>
    </row>
    <row r="1237" ht="15.75" customHeight="1" s="248">
      <c r="E1237" s="184" t="n"/>
    </row>
    <row r="1238" ht="15.75" customHeight="1" s="248">
      <c r="E1238" s="184" t="n"/>
    </row>
    <row r="1239" ht="15.75" customHeight="1" s="248">
      <c r="E1239" s="184" t="n"/>
    </row>
    <row r="1240" ht="15.75" customHeight="1" s="248">
      <c r="E1240" s="184" t="n"/>
    </row>
    <row r="1241" ht="15.75" customHeight="1" s="248">
      <c r="E1241" s="184" t="n"/>
    </row>
    <row r="1242" ht="15.75" customHeight="1" s="248">
      <c r="E1242" s="184" t="n"/>
    </row>
    <row r="1243" ht="15.75" customHeight="1" s="248">
      <c r="E1243" s="184" t="n"/>
    </row>
    <row r="1244" ht="15.75" customHeight="1" s="248">
      <c r="E1244" s="184" t="n"/>
    </row>
    <row r="1245" ht="15.75" customHeight="1" s="248">
      <c r="E1245" s="184" t="n"/>
    </row>
    <row r="1246" ht="15.75" customHeight="1" s="248">
      <c r="E1246" s="184" t="n"/>
    </row>
    <row r="1247" ht="15.75" customHeight="1" s="248">
      <c r="E1247" s="184" t="n"/>
    </row>
    <row r="1248" ht="15.75" customHeight="1" s="248">
      <c r="E1248" s="184" t="n"/>
    </row>
    <row r="1249" ht="15.75" customHeight="1" s="248">
      <c r="E1249" s="184" t="n"/>
    </row>
  </sheetData>
  <autoFilter ref="A8:IE8"/>
  <mergeCells count="2">
    <mergeCell ref="A3:G3"/>
    <mergeCell ref="A4:G4"/>
  </mergeCells>
  <pageMargins left="0.2362204724409449" right="0.2362204724409449" top="0.3149606299212598" bottom="0.35" header="0.3149606299212598" footer="0.3149606299212598"/>
  <pageSetup orientation="portrait" paperSize="9" verticalDpi="0"/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/>
  </sheetPr>
  <dimension ref="A1:GF35"/>
  <sheetViews>
    <sheetView workbookViewId="0">
      <selection activeCell="E9" sqref="E9"/>
    </sheetView>
  </sheetViews>
  <sheetFormatPr baseColWidth="8" defaultRowHeight="13.2"/>
  <cols>
    <col width="4" customWidth="1" style="248" min="1" max="1"/>
    <col width="10.6640625" customWidth="1" style="248" min="2" max="2"/>
    <col width="25.88671875" customWidth="1" style="248" min="3" max="3"/>
    <col width="7.6640625" customWidth="1" style="248" min="4" max="4"/>
    <col width="33" customWidth="1" style="248" min="5" max="5"/>
    <col width="17.33203125" customWidth="1" style="248" min="7" max="7"/>
  </cols>
  <sheetData>
    <row r="1" ht="20.25" customFormat="1" customHeight="1" s="220">
      <c r="A1" s="5" t="inlineStr">
        <is>
          <t>BV TRƯỜNG ĐHYD CẦN THƠ</t>
        </is>
      </c>
      <c r="B1" s="5" t="n"/>
      <c r="C1" s="5" t="n"/>
      <c r="D1" s="26" t="n"/>
      <c r="E1" s="25" t="n"/>
      <c r="F1" s="40" t="n"/>
      <c r="G1" s="7" t="n"/>
      <c r="H1" s="4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</row>
    <row r="2" ht="20.25" customFormat="1" customHeight="1" s="220">
      <c r="A2" s="13" t="inlineStr">
        <is>
          <t>KHOA NGOẠI CTCH-TK</t>
        </is>
      </c>
      <c r="B2" s="13" t="n"/>
      <c r="C2" s="13" t="n"/>
      <c r="D2" s="27" t="n"/>
      <c r="E2" s="225" t="n"/>
      <c r="F2" s="40" t="n"/>
      <c r="G2" s="7" t="n"/>
      <c r="H2" s="4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</row>
    <row r="3" ht="20.25" customFormat="1" customHeight="1" s="220">
      <c r="A3" s="223" t="inlineStr">
        <is>
          <t>BẢNG KÊ YÊU CẦU BÁC SĨ PHẨU THUẬT</t>
        </is>
      </c>
      <c r="H3" s="223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</row>
    <row r="4" ht="20.25" customFormat="1" customHeight="1" s="220">
      <c r="A4" s="221">
        <f>GB!A4</f>
        <v/>
      </c>
      <c r="B4" s="222" t="n"/>
      <c r="C4" s="222" t="n"/>
      <c r="D4" s="222" t="n"/>
      <c r="E4" s="222" t="n"/>
      <c r="F4" s="222" t="n"/>
      <c r="G4" s="222" t="n"/>
      <c r="H4" s="124" t="n"/>
      <c r="I4" s="124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n"/>
      <c r="EU4" s="1" t="n"/>
      <c r="EV4" s="1" t="n"/>
      <c r="EW4" s="1" t="n"/>
      <c r="EX4" s="1" t="n"/>
      <c r="EY4" s="1" t="n"/>
      <c r="EZ4" s="1" t="n"/>
      <c r="FA4" s="1" t="n"/>
      <c r="FB4" s="1" t="n"/>
      <c r="FC4" s="1" t="n"/>
      <c r="FD4" s="1" t="n"/>
      <c r="FE4" s="1" t="n"/>
      <c r="FF4" s="1" t="n"/>
      <c r="FG4" s="1" t="n"/>
      <c r="FH4" s="1" t="n"/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n"/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</row>
    <row r="5" ht="15.75" customFormat="1" customHeight="1" s="123">
      <c r="A5" s="115" t="inlineStr">
        <is>
          <t>STT</t>
        </is>
      </c>
      <c r="B5" s="115" t="inlineStr">
        <is>
          <t>Ngày</t>
        </is>
      </c>
      <c r="C5" s="115" t="inlineStr">
        <is>
          <t>Họ và tên</t>
        </is>
      </c>
      <c r="D5" s="115" t="inlineStr">
        <is>
          <t>Tuổi</t>
        </is>
      </c>
      <c r="E5" s="115" t="inlineStr">
        <is>
          <t>Tên CLS</t>
        </is>
      </c>
      <c r="F5" s="271" t="inlineStr">
        <is>
          <t>Số Lượng</t>
        </is>
      </c>
      <c r="G5" s="271" t="inlineStr">
        <is>
          <t>Thành tiền</t>
        </is>
      </c>
      <c r="H5" s="124" t="n"/>
      <c r="I5" s="124" t="n"/>
    </row>
    <row r="6" ht="15.75" customFormat="1" customHeight="1" s="124">
      <c r="A6" s="117" t="n">
        <v>1</v>
      </c>
      <c r="B6" s="117" t="inlineStr">
        <is>
          <t>2026/05/28 11:53</t>
        </is>
      </c>
      <c r="C6" s="117" t="inlineStr">
        <is>
          <t>VŨ THỊ THÚY</t>
        </is>
      </c>
      <c r="D6" s="117" t="inlineStr">
        <is>
          <t>02/08/1965</t>
        </is>
      </c>
      <c r="E6" s="117" t="inlineStr">
        <is>
          <t>Chọn bác sĩ phẫu thuật theo yêu cầu</t>
        </is>
      </c>
      <c r="F6" s="272" t="n">
        <v>1</v>
      </c>
      <c r="G6" s="272" t="n">
        <v>1000000</v>
      </c>
    </row>
    <row r="7" ht="15.75" customFormat="1" customHeight="1" s="124">
      <c r="A7" s="117" t="n">
        <v>2</v>
      </c>
      <c r="B7" s="117" t="inlineStr">
        <is>
          <t>2026/05/29 15:00</t>
        </is>
      </c>
      <c r="C7" s="117" t="inlineStr">
        <is>
          <t>VŨ THỊ THÚY</t>
        </is>
      </c>
      <c r="D7" s="117" t="inlineStr">
        <is>
          <t>02/08/1965</t>
        </is>
      </c>
      <c r="E7" s="117" t="inlineStr">
        <is>
          <t>Chọn bác sĩ phẫu thuật theo yêu cầu</t>
        </is>
      </c>
      <c r="F7" s="272" t="n">
        <v>1</v>
      </c>
      <c r="G7" s="272" t="n">
        <v>1000000</v>
      </c>
    </row>
    <row r="8" ht="15.75" customFormat="1" customHeight="1" s="124">
      <c r="A8" s="117" t="n">
        <v>3</v>
      </c>
      <c r="B8" s="117" t="inlineStr">
        <is>
          <t>2026/06/11 20:56</t>
        </is>
      </c>
      <c r="C8" s="117" t="inlineStr">
        <is>
          <t>ĐẶNG KIM BÍCH</t>
        </is>
      </c>
      <c r="D8" s="117" t="inlineStr">
        <is>
          <t>01/01/1972</t>
        </is>
      </c>
      <c r="E8" s="117" t="inlineStr">
        <is>
          <t>Chọn bác sĩ phẫu thuật theo yêu cầu</t>
        </is>
      </c>
      <c r="F8" s="272" t="n">
        <v>1</v>
      </c>
      <c r="G8" s="272" t="n">
        <v>1000000</v>
      </c>
    </row>
    <row r="9" ht="15.75" customFormat="1" customHeight="1" s="124">
      <c r="A9" s="117" t="n">
        <v>4</v>
      </c>
      <c r="B9" s="117" t="inlineStr">
        <is>
          <t>2026/06/18 08:44</t>
        </is>
      </c>
      <c r="C9" s="117" t="inlineStr">
        <is>
          <t>TRỊNH THÚY NGA</t>
        </is>
      </c>
      <c r="D9" s="117" t="inlineStr">
        <is>
          <t>01/01/1965</t>
        </is>
      </c>
      <c r="E9" s="117" t="inlineStr">
        <is>
          <t>Chọn bác sĩ phẫu thuật theo yêu cầu</t>
        </is>
      </c>
      <c r="F9" s="272" t="n">
        <v>1</v>
      </c>
      <c r="G9" s="272" t="n">
        <v>1000000</v>
      </c>
    </row>
    <row r="10" ht="15.75" customFormat="1" customHeight="1" s="124">
      <c r="A10" s="117" t="n">
        <v>5</v>
      </c>
      <c r="B10" s="117" t="inlineStr">
        <is>
          <t>2026/06/18 14:00</t>
        </is>
      </c>
      <c r="C10" s="117" t="inlineStr">
        <is>
          <t>TRƯƠNG HOÀNG DIỄM THÚY</t>
        </is>
      </c>
      <c r="D10" s="117" t="inlineStr">
        <is>
          <t>01/01/1985</t>
        </is>
      </c>
      <c r="E10" s="117" t="inlineStr">
        <is>
          <t>Chọn bác sĩ phẫu thuật theo yêu cầu</t>
        </is>
      </c>
      <c r="F10" s="272" t="n">
        <v>1</v>
      </c>
      <c r="G10" s="272" t="n">
        <v>1000000</v>
      </c>
    </row>
    <row r="11" ht="15.75" customFormat="1" customHeight="1" s="124">
      <c r="A11" s="117" t="n">
        <v>6</v>
      </c>
      <c r="B11" s="117" t="inlineStr">
        <is>
          <t>2026/06/23 16:00</t>
        </is>
      </c>
      <c r="C11" s="117" t="inlineStr">
        <is>
          <t>NGUYỄN ĐỨC THỊNH</t>
        </is>
      </c>
      <c r="D11" s="117" t="inlineStr">
        <is>
          <t>16/12/1996</t>
        </is>
      </c>
      <c r="E11" s="117" t="inlineStr">
        <is>
          <t>Chọn bác sĩ phẫu thuật theo yêu cầu</t>
        </is>
      </c>
      <c r="F11" s="272" t="n">
        <v>1</v>
      </c>
      <c r="G11" s="272" t="n">
        <v>1000000</v>
      </c>
    </row>
    <row r="12" hidden="1" ht="15.75" customFormat="1" customHeight="1" s="124">
      <c r="A12" s="117" t="n"/>
      <c r="B12" s="117" t="n"/>
      <c r="C12" s="117" t="n"/>
      <c r="D12" s="117" t="n"/>
      <c r="E12" s="117" t="n"/>
      <c r="F12" s="272" t="n"/>
      <c r="G12" s="272" t="n"/>
    </row>
    <row r="13" hidden="1" ht="15.75" customFormat="1" customHeight="1" s="124">
      <c r="A13" s="117" t="n"/>
      <c r="B13" s="117" t="n"/>
      <c r="C13" s="117" t="n"/>
      <c r="D13" s="117" t="n"/>
      <c r="E13" s="117" t="n"/>
      <c r="F13" s="272" t="n"/>
      <c r="G13" s="272" t="n"/>
    </row>
    <row r="14" hidden="1" ht="15.75" customFormat="1" customHeight="1" s="124">
      <c r="A14" s="117" t="n"/>
      <c r="B14" s="117" t="n"/>
      <c r="C14" s="117" t="n"/>
      <c r="D14" s="117" t="n"/>
      <c r="E14" s="117" t="n"/>
      <c r="F14" s="272" t="n"/>
      <c r="G14" s="272" t="n"/>
    </row>
    <row r="15" hidden="1" ht="15.75" customFormat="1" customHeight="1" s="124">
      <c r="A15" s="117" t="n"/>
      <c r="B15" s="117" t="n"/>
      <c r="C15" s="117" t="n"/>
      <c r="D15" s="117" t="n"/>
      <c r="E15" s="117" t="n"/>
      <c r="F15" s="272" t="n"/>
      <c r="G15" s="272" t="n"/>
    </row>
    <row r="16" hidden="1" ht="15.75" customFormat="1" customHeight="1" s="124">
      <c r="A16" s="117" t="n"/>
      <c r="B16" s="117" t="n"/>
      <c r="C16" s="117" t="n"/>
      <c r="D16" s="117" t="n"/>
      <c r="E16" s="117" t="n"/>
      <c r="F16" s="272" t="n"/>
      <c r="G16" s="272" t="n"/>
    </row>
    <row r="17" hidden="1" ht="15.75" customFormat="1" customHeight="1" s="124">
      <c r="A17" s="117" t="n"/>
      <c r="B17" s="117" t="n"/>
      <c r="C17" s="117" t="n"/>
      <c r="D17" s="117" t="n"/>
      <c r="E17" s="117" t="n"/>
      <c r="F17" s="272" t="n"/>
      <c r="G17" s="272" t="n"/>
    </row>
    <row r="18" hidden="1" ht="15.75" customFormat="1" customHeight="1" s="124">
      <c r="A18" s="117" t="n"/>
      <c r="B18" s="117" t="n"/>
      <c r="C18" s="117" t="n"/>
      <c r="D18" s="117" t="n"/>
      <c r="E18" s="117" t="n"/>
      <c r="F18" s="272" t="n"/>
      <c r="G18" s="272" t="n"/>
    </row>
    <row r="19" hidden="1" ht="15.75" customFormat="1" customHeight="1" s="124">
      <c r="A19" s="117" t="n"/>
      <c r="B19" s="117" t="n"/>
      <c r="C19" s="117" t="n"/>
      <c r="D19" s="117" t="n"/>
      <c r="E19" s="117" t="n"/>
      <c r="F19" s="272" t="n"/>
      <c r="G19" s="272" t="n"/>
    </row>
    <row r="20" hidden="1" ht="15.75" customFormat="1" customHeight="1" s="124">
      <c r="A20" s="117" t="n"/>
      <c r="B20" s="117" t="n"/>
      <c r="C20" s="117" t="n"/>
      <c r="D20" s="117" t="n"/>
      <c r="E20" s="117" t="n"/>
      <c r="F20" s="272" t="n"/>
      <c r="G20" s="272" t="n"/>
    </row>
    <row r="21" hidden="1" ht="15.75" customFormat="1" customHeight="1" s="124">
      <c r="A21" s="117" t="n"/>
      <c r="B21" s="117" t="n"/>
      <c r="C21" s="117" t="n"/>
      <c r="D21" s="117" t="n"/>
      <c r="E21" s="117" t="n"/>
      <c r="F21" s="272" t="n"/>
      <c r="G21" s="272" t="n"/>
    </row>
    <row r="22" hidden="1" ht="15.75" customFormat="1" customHeight="1" s="124">
      <c r="A22" s="117" t="n"/>
      <c r="B22" s="117" t="n"/>
      <c r="C22" s="117" t="n"/>
      <c r="D22" s="117" t="n"/>
      <c r="E22" s="117" t="n"/>
      <c r="F22" s="272" t="n"/>
      <c r="G22" s="272" t="n"/>
    </row>
    <row r="23" hidden="1" ht="15.75" customFormat="1" customHeight="1" s="124">
      <c r="A23" s="117" t="n"/>
      <c r="B23" s="117" t="n"/>
      <c r="C23" s="117" t="n"/>
      <c r="D23" s="117" t="n"/>
      <c r="E23" s="117" t="n"/>
      <c r="F23" s="272" t="n"/>
      <c r="G23" s="272" t="n"/>
    </row>
    <row r="24" hidden="1" ht="15.75" customFormat="1" customHeight="1" s="124">
      <c r="A24" s="117" t="n"/>
      <c r="B24" s="117" t="n"/>
      <c r="C24" s="117" t="n"/>
      <c r="D24" s="117" t="n"/>
      <c r="E24" s="117" t="n"/>
      <c r="F24" s="272" t="n"/>
      <c r="G24" s="272" t="n"/>
    </row>
    <row r="25" hidden="1" ht="15.75" customFormat="1" customHeight="1" s="124">
      <c r="A25" s="117" t="n"/>
      <c r="B25" s="117" t="n"/>
      <c r="C25" s="117" t="n"/>
      <c r="D25" s="117" t="n"/>
      <c r="E25" s="117" t="n"/>
      <c r="F25" s="272" t="n"/>
      <c r="G25" s="272" t="n"/>
    </row>
    <row r="26" ht="15.75" customFormat="1" customHeight="1" s="124">
      <c r="A26" s="117" t="n"/>
      <c r="B26" s="117" t="n"/>
      <c r="C26" s="117" t="n"/>
      <c r="D26" s="117" t="n"/>
      <c r="E26" s="117" t="n"/>
      <c r="F26" s="272" t="n"/>
      <c r="G26" s="272" t="n"/>
    </row>
    <row r="27" ht="14.25" customFormat="1" customHeight="1" s="202">
      <c r="A27" s="94" t="n"/>
      <c r="B27" s="94" t="n"/>
      <c r="C27" s="95" t="inlineStr">
        <is>
          <t>Tổng Cộng</t>
        </is>
      </c>
      <c r="D27" s="96" t="n"/>
      <c r="E27" s="95" t="n"/>
      <c r="F27" s="97">
        <f>SUM(F6:F26)</f>
        <v/>
      </c>
      <c r="G27" s="97">
        <f>SUM(G6:G26)</f>
        <v/>
      </c>
      <c r="H27" s="124" t="n"/>
      <c r="I27" s="124" t="n"/>
      <c r="J27" s="37" t="n"/>
    </row>
    <row r="28" ht="18.75" customFormat="1" customHeight="1" s="220">
      <c r="B28" s="56" t="n"/>
      <c r="C28" s="56" t="n"/>
      <c r="D28" s="57" t="n"/>
      <c r="E28" s="58" t="n"/>
      <c r="F28" s="228" t="inlineStr">
        <is>
          <t>Cần Thơ, ngày 30 tháng 6 năm 2026</t>
        </is>
      </c>
      <c r="G28" s="125" t="n"/>
      <c r="H28" s="124" t="n"/>
      <c r="I28" s="124" t="n"/>
      <c r="J28" s="23" t="n"/>
      <c r="K28" s="29" t="n"/>
    </row>
    <row r="29" ht="15.75" customFormat="1" customHeight="1" s="220">
      <c r="B29" s="232" t="inlineStr">
        <is>
          <t>Lập bảng</t>
        </is>
      </c>
      <c r="E29" s="60" t="n"/>
      <c r="F29" s="126" t="inlineStr">
        <is>
          <t>Trưởng Khoa</t>
        </is>
      </c>
      <c r="G29" s="126" t="n"/>
      <c r="H29" s="124" t="n"/>
      <c r="I29" s="124" t="n"/>
      <c r="J29" s="15" t="n"/>
    </row>
    <row r="30" ht="18.75" customFormat="1" customHeight="1" s="220">
      <c r="B30" s="232" t="n"/>
      <c r="C30" s="232" t="n"/>
      <c r="D30" s="232" t="n"/>
      <c r="E30" s="60" t="n"/>
      <c r="F30" s="61" t="n"/>
      <c r="G30" s="55" t="n"/>
      <c r="H30" s="124" t="n"/>
      <c r="I30" s="124" t="n"/>
      <c r="J30" s="262" t="n"/>
      <c r="K30" s="29" t="n"/>
    </row>
    <row r="31" ht="18.75" customFormat="1" customHeight="1" s="220">
      <c r="B31" s="232" t="n"/>
      <c r="C31" s="232" t="n"/>
      <c r="D31" s="232" t="n"/>
      <c r="E31" s="60" t="n"/>
      <c r="F31" s="61" t="n"/>
      <c r="G31" s="55" t="n"/>
      <c r="H31" s="62" t="n"/>
      <c r="I31" s="63" t="n"/>
      <c r="J31" s="262" t="n"/>
      <c r="K31" s="29" t="n"/>
    </row>
    <row r="32" ht="18.75" customFormat="1" customHeight="1" s="220">
      <c r="B32" s="56" t="n"/>
      <c r="C32" s="56" t="n"/>
      <c r="D32" s="64" t="n"/>
      <c r="E32" s="65" t="n"/>
      <c r="F32" s="66" t="n"/>
      <c r="G32" s="55" t="n"/>
      <c r="H32" s="62" t="n"/>
      <c r="I32" s="62" t="n"/>
      <c r="J32" s="262" t="n"/>
      <c r="K32" s="29" t="n"/>
    </row>
    <row r="33" ht="15.75" customFormat="1" customHeight="1" s="220">
      <c r="B33" s="218" t="inlineStr">
        <is>
          <t>ĐD. Phan Văn Hiếu</t>
        </is>
      </c>
      <c r="E33" s="65" t="n"/>
      <c r="F33" s="231" t="inlineStr">
        <is>
          <t>ThS. Bs. CKII. Nguyễn Lê Hoan</t>
        </is>
      </c>
      <c r="G33" s="127" t="n"/>
      <c r="H33" s="127" t="n"/>
      <c r="I33" s="127" t="n"/>
      <c r="J33" s="23" t="n"/>
      <c r="L33" s="202" t="n"/>
    </row>
    <row r="34" ht="15" customFormat="1" customHeight="1" s="220">
      <c r="B34" s="56" t="n"/>
      <c r="C34" s="56" t="n"/>
      <c r="D34" s="64" t="n"/>
      <c r="E34" s="65" t="n"/>
      <c r="F34" s="67" t="n"/>
      <c r="G34" s="232" t="n"/>
      <c r="H34" s="68" t="n"/>
      <c r="I34" s="64" t="n"/>
    </row>
    <row r="35" customFormat="1" s="220">
      <c r="B35" s="219" t="n"/>
      <c r="C35" s="219" t="n"/>
      <c r="E35" s="225" t="n"/>
      <c r="F35" s="226" t="n"/>
      <c r="G35" s="244" t="n"/>
      <c r="I35" s="29" t="n"/>
    </row>
  </sheetData>
  <mergeCells count="4">
    <mergeCell ref="B33:D33"/>
    <mergeCell ref="A3:G3"/>
    <mergeCell ref="B29:D29"/>
    <mergeCell ref="A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Gostep.info</dc:creator>
  <dcterms:created xsi:type="dcterms:W3CDTF">2012-03-02T08:10:25Z</dcterms:created>
  <dcterms:modified xsi:type="dcterms:W3CDTF">2026-07-23T08:40:16Z</dcterms:modified>
  <cp:lastModifiedBy>Anh Duy</cp:lastModifiedBy>
  <cp:lastPrinted>2026-07-17T07:18:23Z</cp:lastPrinted>
</cp:coreProperties>
</file>