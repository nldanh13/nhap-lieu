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U LIEU - O E\NĂM 2026\THU LAO\KHOA\4. Khoa CTCH\"/>
    </mc:Choice>
  </mc:AlternateContent>
  <xr:revisionPtr revIDLastSave="0" documentId="13_ncr:1_{1C799070-7A4D-4331-8150-0CA5C81AE211}" xr6:coauthVersionLast="47" xr6:coauthVersionMax="47" xr10:uidLastSave="{00000000-0000-0000-0000-000000000000}"/>
  <bookViews>
    <workbookView xWindow="-120" yWindow="-120" windowWidth="29040" windowHeight="15720" tabRatio="907" activeTab="1" xr2:uid="{00000000-000D-0000-FFFF-FFFF00000000}"/>
  </bookViews>
  <sheets>
    <sheet name="phauthuat" sheetId="1" r:id="rId1"/>
    <sheet name="thu thuat" sheetId="41" r:id="rId2"/>
    <sheet name="tieuphau" sheetId="26" r:id="rId3"/>
    <sheet name="GB" sheetId="63" r:id="rId4"/>
    <sheet name="YCBS" sheetId="64" r:id="rId5"/>
  </sheets>
  <definedNames>
    <definedName name="_Fill" localSheetId="1" hidden="1">#REF!</definedName>
    <definedName name="_Fill" hidden="1">#REF!</definedName>
    <definedName name="_xlnm._FilterDatabase" localSheetId="3" hidden="1">GB!$A$8:$IE$8</definedName>
    <definedName name="_xlnm._FilterDatabase" localSheetId="0" hidden="1">phauthuat!$A$6:$WWO$196</definedName>
    <definedName name="_xlnm._FilterDatabase" localSheetId="2" hidden="1">tieuphau!$A$6:$XEX$56</definedName>
    <definedName name="_xlnm._FilterDatabase" localSheetId="1" hidden="1">'thu thuat'!$A$5:$H$1172</definedName>
    <definedName name="_xlnm.Print_Area" localSheetId="3">GB!$A$1:$G$1205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48" i="41" l="1"/>
  <c r="H249" i="41"/>
  <c r="H250" i="41"/>
  <c r="H251" i="41"/>
  <c r="H252" i="41"/>
  <c r="H253" i="41"/>
  <c r="H254" i="41"/>
  <c r="H255" i="41"/>
  <c r="H256" i="41"/>
  <c r="H257" i="41"/>
  <c r="H258" i="41"/>
  <c r="H259" i="41"/>
  <c r="H260" i="41"/>
  <c r="H261" i="41"/>
  <c r="H262" i="41"/>
  <c r="H263" i="41"/>
  <c r="H264" i="41"/>
  <c r="H265" i="41"/>
  <c r="H266" i="41"/>
  <c r="H267" i="41"/>
  <c r="H268" i="41"/>
  <c r="H269" i="41"/>
  <c r="H270" i="41"/>
  <c r="H271" i="41"/>
  <c r="H272" i="41"/>
  <c r="H273" i="41"/>
  <c r="H274" i="41"/>
  <c r="H275" i="41"/>
  <c r="H276" i="41"/>
  <c r="H277" i="41"/>
  <c r="H278" i="41"/>
  <c r="H279" i="41"/>
  <c r="H280" i="41"/>
  <c r="H281" i="41"/>
  <c r="H282" i="41"/>
  <c r="H283" i="41"/>
  <c r="H284" i="41"/>
  <c r="H285" i="41"/>
  <c r="H286" i="41"/>
  <c r="H287" i="41"/>
  <c r="H288" i="41"/>
  <c r="H289" i="41"/>
  <c r="H290" i="41"/>
  <c r="H291" i="41"/>
  <c r="H292" i="41"/>
  <c r="H293" i="41"/>
  <c r="H294" i="41"/>
  <c r="H295" i="41"/>
  <c r="H296" i="41"/>
  <c r="H297" i="41"/>
  <c r="H298" i="41"/>
  <c r="H299" i="41"/>
  <c r="H300" i="41"/>
  <c r="H301" i="41"/>
  <c r="H302" i="41"/>
  <c r="H303" i="41"/>
  <c r="H304" i="41"/>
  <c r="H305" i="41"/>
  <c r="H306" i="41"/>
  <c r="H307" i="41"/>
  <c r="H308" i="41"/>
  <c r="H309" i="41"/>
  <c r="H310" i="41"/>
  <c r="H311" i="41"/>
  <c r="H312" i="41"/>
  <c r="H313" i="41"/>
  <c r="H314" i="41"/>
  <c r="H315" i="41"/>
  <c r="H316" i="41"/>
  <c r="H317" i="41"/>
  <c r="H318" i="41"/>
  <c r="H319" i="41"/>
  <c r="H320" i="41"/>
  <c r="H321" i="41"/>
  <c r="H322" i="41"/>
  <c r="H323" i="41"/>
  <c r="H324" i="41"/>
  <c r="H325" i="41"/>
  <c r="H326" i="41"/>
  <c r="H327" i="41"/>
  <c r="H328" i="41"/>
  <c r="H329" i="41"/>
  <c r="H330" i="41"/>
  <c r="H331" i="41"/>
  <c r="H332" i="41"/>
  <c r="H333" i="41"/>
  <c r="H334" i="41"/>
  <c r="H335" i="41"/>
  <c r="H336" i="41"/>
  <c r="H337" i="41"/>
  <c r="H338" i="41"/>
  <c r="H339" i="41"/>
  <c r="H340" i="41"/>
  <c r="H341" i="41"/>
  <c r="H342" i="41"/>
  <c r="H343" i="41"/>
  <c r="H344" i="41"/>
  <c r="H345" i="41"/>
  <c r="H346" i="41"/>
  <c r="H347" i="41"/>
  <c r="H348" i="41"/>
  <c r="H349" i="41"/>
  <c r="H350" i="41"/>
  <c r="H351" i="41"/>
  <c r="H352" i="41"/>
  <c r="H353" i="41"/>
  <c r="H354" i="41"/>
  <c r="H355" i="41"/>
  <c r="H356" i="41"/>
  <c r="H357" i="41"/>
  <c r="H358" i="41"/>
  <c r="H359" i="41"/>
  <c r="H360" i="41"/>
  <c r="H361" i="41"/>
  <c r="H362" i="41"/>
  <c r="H363" i="41"/>
  <c r="H364" i="41"/>
  <c r="H365" i="41"/>
  <c r="H366" i="41"/>
  <c r="H367" i="41"/>
  <c r="H368" i="41"/>
  <c r="H369" i="41"/>
  <c r="H370" i="41"/>
  <c r="H371" i="41"/>
  <c r="H372" i="41"/>
  <c r="H373" i="41"/>
  <c r="H374" i="41"/>
  <c r="H375" i="41"/>
  <c r="H376" i="41"/>
  <c r="H377" i="41"/>
  <c r="H378" i="41"/>
  <c r="H379" i="41"/>
  <c r="H380" i="41"/>
  <c r="H381" i="41"/>
  <c r="H382" i="41"/>
  <c r="H383" i="41"/>
  <c r="H384" i="41"/>
  <c r="H385" i="41"/>
  <c r="H386" i="41"/>
  <c r="H387" i="41"/>
  <c r="H388" i="41"/>
  <c r="H389" i="41"/>
  <c r="H390" i="41"/>
  <c r="H391" i="41"/>
  <c r="H392" i="41"/>
  <c r="H393" i="41"/>
  <c r="H394" i="41"/>
  <c r="H395" i="41"/>
  <c r="H396" i="41"/>
  <c r="H397" i="41"/>
  <c r="H398" i="41"/>
  <c r="H399" i="41"/>
  <c r="H400" i="41"/>
  <c r="H401" i="41"/>
  <c r="H402" i="41"/>
  <c r="H403" i="41"/>
  <c r="H404" i="41"/>
  <c r="H405" i="41"/>
  <c r="H406" i="41"/>
  <c r="H407" i="41"/>
  <c r="H408" i="41"/>
  <c r="H409" i="41"/>
  <c r="H410" i="41"/>
  <c r="H411" i="41"/>
  <c r="H412" i="41"/>
  <c r="H413" i="41"/>
  <c r="H414" i="41"/>
  <c r="H415" i="41"/>
  <c r="H416" i="41"/>
  <c r="H417" i="41"/>
  <c r="H418" i="41"/>
  <c r="H419" i="41"/>
  <c r="H420" i="41"/>
  <c r="H421" i="41"/>
  <c r="H422" i="41"/>
  <c r="H423" i="41"/>
  <c r="H424" i="41"/>
  <c r="H425" i="41"/>
  <c r="H426" i="41"/>
  <c r="H427" i="41"/>
  <c r="H428" i="41"/>
  <c r="H429" i="41"/>
  <c r="H430" i="41"/>
  <c r="H431" i="41"/>
  <c r="H432" i="41"/>
  <c r="H433" i="41"/>
  <c r="H434" i="41"/>
  <c r="H435" i="41"/>
  <c r="H436" i="41"/>
  <c r="H437" i="41"/>
  <c r="H438" i="41"/>
  <c r="H439" i="41"/>
  <c r="H440" i="41"/>
  <c r="H441" i="41"/>
  <c r="H442" i="41"/>
  <c r="H443" i="41"/>
  <c r="H444" i="41"/>
  <c r="H445" i="41"/>
  <c r="H446" i="41"/>
  <c r="H447" i="41"/>
  <c r="H448" i="41"/>
  <c r="H449" i="41"/>
  <c r="H450" i="41"/>
  <c r="H451" i="41"/>
  <c r="H452" i="41"/>
  <c r="H453" i="41"/>
  <c r="H454" i="41"/>
  <c r="H455" i="41"/>
  <c r="H456" i="41"/>
  <c r="H457" i="41"/>
  <c r="H458" i="41"/>
  <c r="H459" i="41"/>
  <c r="H460" i="41"/>
  <c r="H461" i="41"/>
  <c r="H462" i="41"/>
  <c r="H463" i="41"/>
  <c r="H464" i="41"/>
  <c r="H465" i="41"/>
  <c r="H466" i="41"/>
  <c r="H467" i="41"/>
  <c r="H468" i="41"/>
  <c r="H469" i="41"/>
  <c r="H470" i="41"/>
  <c r="H471" i="41"/>
  <c r="H472" i="41"/>
  <c r="H473" i="41"/>
  <c r="H474" i="41"/>
  <c r="H475" i="41"/>
  <c r="H476" i="41"/>
  <c r="H477" i="41"/>
  <c r="H478" i="41"/>
  <c r="H479" i="41"/>
  <c r="H480" i="41"/>
  <c r="H481" i="41"/>
  <c r="H482" i="41"/>
  <c r="H483" i="41"/>
  <c r="H484" i="41"/>
  <c r="H485" i="41"/>
  <c r="H486" i="41"/>
  <c r="H487" i="41"/>
  <c r="H488" i="41"/>
  <c r="H489" i="41"/>
  <c r="H490" i="41"/>
  <c r="H491" i="41"/>
  <c r="H492" i="41"/>
  <c r="H493" i="41"/>
  <c r="H494" i="41"/>
  <c r="H495" i="41"/>
  <c r="H496" i="41"/>
  <c r="H497" i="41"/>
  <c r="H498" i="41"/>
  <c r="H499" i="41"/>
  <c r="H500" i="41"/>
  <c r="H501" i="41"/>
  <c r="H502" i="41"/>
  <c r="H503" i="41"/>
  <c r="H504" i="41"/>
  <c r="H505" i="41"/>
  <c r="H506" i="41"/>
  <c r="H507" i="41"/>
  <c r="H508" i="41"/>
  <c r="H509" i="41"/>
  <c r="H510" i="41"/>
  <c r="H511" i="41"/>
  <c r="H512" i="41"/>
  <c r="H513" i="41"/>
  <c r="H514" i="41"/>
  <c r="H515" i="41"/>
  <c r="H516" i="41"/>
  <c r="H517" i="41"/>
  <c r="H518" i="41"/>
  <c r="H519" i="41"/>
  <c r="H520" i="41"/>
  <c r="H521" i="41"/>
  <c r="H522" i="41"/>
  <c r="H523" i="41"/>
  <c r="H524" i="41"/>
  <c r="H525" i="41"/>
  <c r="H526" i="41"/>
  <c r="H527" i="41"/>
  <c r="H528" i="41"/>
  <c r="H529" i="41"/>
  <c r="H530" i="41"/>
  <c r="H531" i="41"/>
  <c r="H532" i="41"/>
  <c r="H533" i="41"/>
  <c r="H534" i="41"/>
  <c r="H535" i="41"/>
  <c r="H536" i="41"/>
  <c r="H537" i="41"/>
  <c r="H538" i="41"/>
  <c r="H539" i="41"/>
  <c r="H540" i="41"/>
  <c r="H541" i="41"/>
  <c r="H542" i="41"/>
  <c r="H543" i="41"/>
  <c r="H544" i="41"/>
  <c r="H545" i="41"/>
  <c r="H546" i="41"/>
  <c r="H547" i="41"/>
  <c r="H548" i="41"/>
  <c r="H549" i="41"/>
  <c r="H550" i="41"/>
  <c r="H551" i="41"/>
  <c r="H552" i="41"/>
  <c r="H553" i="41"/>
  <c r="H554" i="41"/>
  <c r="H555" i="41"/>
  <c r="H556" i="41"/>
  <c r="H557" i="41"/>
  <c r="H558" i="41"/>
  <c r="H559" i="41"/>
  <c r="H560" i="41"/>
  <c r="H561" i="41"/>
  <c r="H562" i="41"/>
  <c r="H563" i="41"/>
  <c r="H564" i="41"/>
  <c r="H565" i="41"/>
  <c r="H566" i="41"/>
  <c r="H567" i="41"/>
  <c r="H568" i="41"/>
  <c r="H569" i="41"/>
  <c r="H570" i="41"/>
  <c r="H571" i="41"/>
  <c r="H572" i="41"/>
  <c r="H573" i="41"/>
  <c r="H574" i="41"/>
  <c r="H575" i="41"/>
  <c r="H576" i="41"/>
  <c r="H577" i="41"/>
  <c r="H578" i="41"/>
  <c r="H579" i="41"/>
  <c r="H580" i="41"/>
  <c r="H581" i="41"/>
  <c r="H582" i="41"/>
  <c r="H583" i="41"/>
  <c r="H584" i="41"/>
  <c r="H585" i="41"/>
  <c r="H586" i="41"/>
  <c r="H587" i="41"/>
  <c r="H588" i="41"/>
  <c r="H589" i="41"/>
  <c r="H590" i="41"/>
  <c r="H591" i="41"/>
  <c r="H592" i="41"/>
  <c r="H593" i="41"/>
  <c r="H594" i="41"/>
  <c r="H595" i="41"/>
  <c r="H596" i="41"/>
  <c r="H597" i="41"/>
  <c r="H598" i="41"/>
  <c r="H599" i="41"/>
  <c r="H600" i="41"/>
  <c r="H601" i="41"/>
  <c r="H602" i="41"/>
  <c r="H603" i="41"/>
  <c r="H604" i="41"/>
  <c r="H605" i="41"/>
  <c r="H606" i="41"/>
  <c r="H607" i="41"/>
  <c r="H608" i="41"/>
  <c r="H609" i="41"/>
  <c r="H610" i="41"/>
  <c r="H611" i="41"/>
  <c r="H612" i="41"/>
  <c r="H613" i="41"/>
  <c r="H614" i="41"/>
  <c r="H615" i="41"/>
  <c r="H616" i="41"/>
  <c r="H617" i="41"/>
  <c r="H618" i="41"/>
  <c r="H619" i="41"/>
  <c r="H620" i="41"/>
  <c r="H621" i="41"/>
  <c r="H622" i="41"/>
  <c r="H623" i="41"/>
  <c r="H624" i="41"/>
  <c r="H625" i="41"/>
  <c r="H626" i="41"/>
  <c r="H627" i="41"/>
  <c r="H628" i="41"/>
  <c r="H629" i="41"/>
  <c r="H630" i="41"/>
  <c r="H631" i="41"/>
  <c r="H632" i="41"/>
  <c r="H633" i="41"/>
  <c r="H634" i="41"/>
  <c r="H635" i="41"/>
  <c r="H636" i="41"/>
  <c r="H637" i="41"/>
  <c r="H638" i="41"/>
  <c r="H639" i="41"/>
  <c r="H640" i="41"/>
  <c r="H641" i="41"/>
  <c r="H642" i="41"/>
  <c r="H643" i="41"/>
  <c r="H644" i="41"/>
  <c r="H645" i="41"/>
  <c r="H646" i="41"/>
  <c r="H647" i="41"/>
  <c r="H648" i="41"/>
  <c r="H649" i="41"/>
  <c r="H650" i="41"/>
  <c r="H651" i="41"/>
  <c r="H652" i="41"/>
  <c r="H653" i="41"/>
  <c r="H654" i="41"/>
  <c r="H655" i="41"/>
  <c r="H656" i="41"/>
  <c r="H657" i="41"/>
  <c r="H658" i="41"/>
  <c r="H659" i="41"/>
  <c r="H660" i="41"/>
  <c r="H661" i="41"/>
  <c r="H662" i="41"/>
  <c r="H663" i="41"/>
  <c r="H664" i="41"/>
  <c r="H665" i="41"/>
  <c r="H666" i="41"/>
  <c r="H667" i="41"/>
  <c r="H668" i="41"/>
  <c r="H669" i="41"/>
  <c r="H670" i="41"/>
  <c r="H671" i="41"/>
  <c r="H672" i="41"/>
  <c r="H673" i="41"/>
  <c r="H674" i="41"/>
  <c r="H675" i="41"/>
  <c r="H676" i="41"/>
  <c r="H677" i="41"/>
  <c r="H678" i="41"/>
  <c r="H679" i="41"/>
  <c r="H680" i="41"/>
  <c r="H681" i="41"/>
  <c r="H682" i="41"/>
  <c r="H683" i="41"/>
  <c r="H684" i="41"/>
  <c r="H685" i="41"/>
  <c r="H686" i="41"/>
  <c r="H687" i="41"/>
  <c r="H688" i="41"/>
  <c r="H689" i="41"/>
  <c r="H690" i="41"/>
  <c r="H691" i="41"/>
  <c r="H692" i="41"/>
  <c r="H693" i="41"/>
  <c r="H694" i="41"/>
  <c r="H695" i="41"/>
  <c r="H696" i="41"/>
  <c r="H697" i="41"/>
  <c r="H698" i="41"/>
  <c r="H699" i="41"/>
  <c r="H700" i="41"/>
  <c r="H701" i="41"/>
  <c r="H702" i="41"/>
  <c r="H703" i="41"/>
  <c r="H704" i="41"/>
  <c r="H705" i="41"/>
  <c r="H706" i="41"/>
  <c r="H707" i="41"/>
  <c r="H708" i="41"/>
  <c r="H709" i="41"/>
  <c r="H710" i="41"/>
  <c r="H711" i="41"/>
  <c r="H712" i="41"/>
  <c r="H713" i="41"/>
  <c r="H714" i="41"/>
  <c r="H715" i="41"/>
  <c r="H716" i="41"/>
  <c r="H717" i="41"/>
  <c r="H718" i="41"/>
  <c r="H719" i="41"/>
  <c r="H720" i="41"/>
  <c r="H721" i="41"/>
  <c r="H722" i="41"/>
  <c r="H723" i="41"/>
  <c r="H724" i="41"/>
  <c r="H725" i="41"/>
  <c r="H726" i="41"/>
  <c r="H727" i="41"/>
  <c r="H728" i="41"/>
  <c r="H729" i="41"/>
  <c r="H730" i="41"/>
  <c r="H731" i="41"/>
  <c r="H732" i="41"/>
  <c r="H733" i="41"/>
  <c r="H734" i="41"/>
  <c r="H735" i="41"/>
  <c r="H736" i="41"/>
  <c r="H737" i="41"/>
  <c r="H738" i="41"/>
  <c r="H739" i="41"/>
  <c r="H740" i="41"/>
  <c r="H741" i="41"/>
  <c r="H742" i="41"/>
  <c r="H743" i="41"/>
  <c r="H744" i="41"/>
  <c r="H745" i="41"/>
  <c r="H746" i="41"/>
  <c r="H747" i="41"/>
  <c r="H748" i="41"/>
  <c r="H749" i="41"/>
  <c r="H750" i="41"/>
  <c r="H751" i="41"/>
  <c r="H752" i="41"/>
  <c r="H753" i="41"/>
  <c r="H754" i="41"/>
  <c r="H755" i="41"/>
  <c r="H756" i="41"/>
  <c r="H757" i="41"/>
  <c r="H758" i="41"/>
  <c r="H759" i="41"/>
  <c r="H760" i="41"/>
  <c r="H761" i="41"/>
  <c r="H762" i="41"/>
  <c r="H763" i="41"/>
  <c r="H764" i="41"/>
  <c r="H765" i="41"/>
  <c r="H766" i="41"/>
  <c r="H767" i="41"/>
  <c r="H768" i="41"/>
  <c r="H769" i="41"/>
  <c r="H770" i="41"/>
  <c r="H771" i="41"/>
  <c r="H772" i="41"/>
  <c r="H773" i="41"/>
  <c r="H774" i="41"/>
  <c r="H775" i="41"/>
  <c r="H776" i="41"/>
  <c r="H777" i="41"/>
  <c r="H778" i="41"/>
  <c r="H779" i="41"/>
  <c r="H780" i="41"/>
  <c r="H781" i="41"/>
  <c r="H782" i="41"/>
  <c r="H783" i="41"/>
  <c r="H784" i="41"/>
  <c r="H785" i="41"/>
  <c r="H786" i="41"/>
  <c r="H787" i="41"/>
  <c r="H788" i="41"/>
  <c r="H789" i="41"/>
  <c r="H790" i="41"/>
  <c r="H791" i="41"/>
  <c r="H792" i="41"/>
  <c r="H793" i="41"/>
  <c r="H794" i="41"/>
  <c r="H795" i="41"/>
  <c r="H796" i="41"/>
  <c r="H797" i="41"/>
  <c r="H798" i="41"/>
  <c r="H799" i="41"/>
  <c r="H800" i="41"/>
  <c r="H801" i="41"/>
  <c r="H802" i="41"/>
  <c r="H803" i="41"/>
  <c r="H804" i="41"/>
  <c r="H805" i="41"/>
  <c r="H806" i="41"/>
  <c r="H807" i="41"/>
  <c r="H808" i="41"/>
  <c r="H809" i="41"/>
  <c r="H810" i="41"/>
  <c r="H811" i="41"/>
  <c r="H812" i="41"/>
  <c r="H813" i="41"/>
  <c r="H814" i="41"/>
  <c r="H815" i="41"/>
  <c r="H816" i="41"/>
  <c r="H817" i="41"/>
  <c r="H818" i="41"/>
  <c r="H819" i="41"/>
  <c r="H820" i="41"/>
  <c r="H821" i="41"/>
  <c r="H822" i="41"/>
  <c r="H823" i="41"/>
  <c r="H824" i="41"/>
  <c r="H825" i="41"/>
  <c r="H826" i="41"/>
  <c r="H827" i="41"/>
  <c r="H828" i="41"/>
  <c r="H829" i="41"/>
  <c r="H830" i="41"/>
  <c r="H831" i="41"/>
  <c r="H832" i="41"/>
  <c r="H833" i="41"/>
  <c r="H834" i="41"/>
  <c r="H835" i="41"/>
  <c r="H836" i="41"/>
  <c r="H837" i="41"/>
  <c r="H838" i="41"/>
  <c r="H839" i="41"/>
  <c r="H840" i="41"/>
  <c r="H841" i="41"/>
  <c r="H842" i="41"/>
  <c r="H843" i="41"/>
  <c r="H844" i="41"/>
  <c r="H845" i="41"/>
  <c r="H846" i="41"/>
  <c r="H847" i="41"/>
  <c r="H848" i="41"/>
  <c r="H849" i="41"/>
  <c r="H850" i="41"/>
  <c r="H851" i="41"/>
  <c r="H852" i="41"/>
  <c r="H853" i="41"/>
  <c r="H854" i="41"/>
  <c r="H855" i="41"/>
  <c r="H856" i="41"/>
  <c r="H857" i="41"/>
  <c r="H858" i="41"/>
  <c r="H859" i="41"/>
  <c r="H860" i="41"/>
  <c r="H861" i="41"/>
  <c r="H862" i="41"/>
  <c r="H863" i="41"/>
  <c r="H864" i="41"/>
  <c r="H865" i="41"/>
  <c r="H866" i="41"/>
  <c r="H867" i="41"/>
  <c r="H868" i="41"/>
  <c r="H869" i="41"/>
  <c r="H870" i="41"/>
  <c r="H871" i="41"/>
  <c r="H872" i="41"/>
  <c r="H873" i="41"/>
  <c r="H874" i="41"/>
  <c r="H875" i="41"/>
  <c r="H876" i="41"/>
  <c r="H877" i="41"/>
  <c r="H878" i="41"/>
  <c r="H879" i="41"/>
  <c r="H880" i="41"/>
  <c r="H881" i="41"/>
  <c r="H882" i="41"/>
  <c r="H883" i="41"/>
  <c r="H884" i="41"/>
  <c r="H885" i="41"/>
  <c r="H886" i="41"/>
  <c r="H887" i="41"/>
  <c r="H888" i="41"/>
  <c r="H889" i="41"/>
  <c r="H890" i="41"/>
  <c r="H891" i="41"/>
  <c r="H892" i="41"/>
  <c r="H893" i="41"/>
  <c r="H894" i="41"/>
  <c r="H895" i="41"/>
  <c r="H896" i="41"/>
  <c r="H897" i="41"/>
  <c r="H898" i="41"/>
  <c r="H899" i="41"/>
  <c r="H900" i="41"/>
  <c r="H901" i="41"/>
  <c r="H902" i="41"/>
  <c r="H903" i="41"/>
  <c r="H904" i="41"/>
  <c r="H905" i="41"/>
  <c r="H906" i="41"/>
  <c r="H907" i="41"/>
  <c r="H908" i="41"/>
  <c r="H909" i="41"/>
  <c r="H910" i="41"/>
  <c r="H911" i="41"/>
  <c r="H912" i="41"/>
  <c r="H913" i="41"/>
  <c r="H914" i="41"/>
  <c r="H915" i="41"/>
  <c r="H916" i="41"/>
  <c r="H917" i="41"/>
  <c r="H918" i="41"/>
  <c r="H919" i="41"/>
  <c r="H920" i="41"/>
  <c r="H921" i="41"/>
  <c r="H922" i="41"/>
  <c r="H923" i="41"/>
  <c r="H924" i="41"/>
  <c r="H925" i="41"/>
  <c r="H926" i="41"/>
  <c r="H927" i="41"/>
  <c r="H928" i="41"/>
  <c r="H929" i="41"/>
  <c r="H930" i="41"/>
  <c r="H931" i="41"/>
  <c r="H932" i="41"/>
  <c r="H933" i="41"/>
  <c r="H934" i="41"/>
  <c r="H935" i="41"/>
  <c r="H936" i="41"/>
  <c r="H937" i="41"/>
  <c r="H938" i="41"/>
  <c r="H939" i="41"/>
  <c r="H940" i="41"/>
  <c r="H941" i="41"/>
  <c r="H942" i="41"/>
  <c r="H943" i="41"/>
  <c r="H944" i="41"/>
  <c r="H945" i="41"/>
  <c r="H946" i="41"/>
  <c r="H947" i="41"/>
  <c r="H948" i="41"/>
  <c r="H949" i="41"/>
  <c r="H950" i="41"/>
  <c r="H951" i="41"/>
  <c r="H952" i="41"/>
  <c r="H953" i="41"/>
  <c r="H954" i="41"/>
  <c r="H955" i="41"/>
  <c r="H956" i="41"/>
  <c r="H957" i="41"/>
  <c r="H958" i="41"/>
  <c r="H959" i="41"/>
  <c r="H960" i="41"/>
  <c r="H961" i="41"/>
  <c r="H962" i="41"/>
  <c r="H963" i="41"/>
  <c r="H964" i="41"/>
  <c r="H965" i="41"/>
  <c r="H966" i="41"/>
  <c r="H967" i="41"/>
  <c r="H968" i="41"/>
  <c r="H969" i="41"/>
  <c r="H970" i="41"/>
  <c r="H971" i="41"/>
  <c r="H972" i="41"/>
  <c r="H973" i="41"/>
  <c r="H974" i="41"/>
  <c r="H975" i="41"/>
  <c r="H976" i="41"/>
  <c r="H977" i="41"/>
  <c r="H978" i="41"/>
  <c r="H979" i="41"/>
  <c r="H980" i="41"/>
  <c r="H981" i="41"/>
  <c r="H982" i="41"/>
  <c r="H983" i="41"/>
  <c r="H984" i="41"/>
  <c r="H985" i="41"/>
  <c r="H986" i="41"/>
  <c r="H987" i="41"/>
  <c r="H988" i="41"/>
  <c r="H989" i="41"/>
  <c r="H990" i="41"/>
  <c r="H991" i="41"/>
  <c r="H992" i="41"/>
  <c r="H993" i="41"/>
  <c r="H994" i="41"/>
  <c r="H995" i="41"/>
  <c r="H996" i="41"/>
  <c r="H997" i="41"/>
  <c r="H998" i="41"/>
  <c r="H999" i="41"/>
  <c r="H1000" i="41"/>
  <c r="H1001" i="41"/>
  <c r="H1002" i="41"/>
  <c r="H1003" i="41"/>
  <c r="H1004" i="41"/>
  <c r="H1005" i="41"/>
  <c r="H1006" i="41"/>
  <c r="H1007" i="41"/>
  <c r="H1008" i="41"/>
  <c r="H1009" i="41"/>
  <c r="H1010" i="41"/>
  <c r="H1011" i="41"/>
  <c r="H1012" i="41"/>
  <c r="H1013" i="41"/>
  <c r="H1014" i="41"/>
  <c r="H1015" i="41"/>
  <c r="H1016" i="41"/>
  <c r="H1017" i="41"/>
  <c r="H1018" i="41"/>
  <c r="H1019" i="41"/>
  <c r="H1020" i="41"/>
  <c r="H1021" i="41"/>
  <c r="H1022" i="41"/>
  <c r="H1023" i="41"/>
  <c r="H1024" i="41"/>
  <c r="H1025" i="41"/>
  <c r="H1026" i="41"/>
  <c r="H1027" i="41"/>
  <c r="H1028" i="41"/>
  <c r="H1029" i="41"/>
  <c r="H1030" i="41"/>
  <c r="H1031" i="41"/>
  <c r="H1032" i="41"/>
  <c r="H1033" i="41"/>
  <c r="H1034" i="41"/>
  <c r="H1035" i="41"/>
  <c r="H1036" i="41"/>
  <c r="H1037" i="41"/>
  <c r="H1038" i="41"/>
  <c r="H1039" i="41"/>
  <c r="H1040" i="41"/>
  <c r="H1041" i="41"/>
  <c r="H1042" i="41"/>
  <c r="H1043" i="41"/>
  <c r="H1044" i="41"/>
  <c r="H1045" i="41"/>
  <c r="H1046" i="41"/>
  <c r="H1047" i="41"/>
  <c r="H1048" i="41"/>
  <c r="H1049" i="41"/>
  <c r="H1050" i="41"/>
  <c r="H1051" i="41"/>
  <c r="H1052" i="41"/>
  <c r="H1053" i="41"/>
  <c r="H1054" i="41"/>
  <c r="H1055" i="41"/>
  <c r="H1056" i="41"/>
  <c r="H1057" i="41"/>
  <c r="H1058" i="41"/>
  <c r="H1059" i="41"/>
  <c r="H1060" i="41"/>
  <c r="H1061" i="41"/>
  <c r="H1062" i="41"/>
  <c r="H1063" i="41"/>
  <c r="H1064" i="41"/>
  <c r="H1065" i="41"/>
  <c r="H1066" i="41"/>
  <c r="H1067" i="41"/>
  <c r="H1068" i="41"/>
  <c r="H1069" i="41"/>
  <c r="H1070" i="41"/>
  <c r="H1071" i="41"/>
  <c r="H1072" i="41"/>
  <c r="H1073" i="41"/>
  <c r="H1074" i="41"/>
  <c r="H1075" i="41"/>
  <c r="H1076" i="41"/>
  <c r="H1077" i="41"/>
  <c r="H1078" i="41"/>
  <c r="H1079" i="41"/>
  <c r="H1080" i="41"/>
  <c r="H1081" i="41"/>
  <c r="H1082" i="41"/>
  <c r="H1083" i="41"/>
  <c r="H1084" i="41"/>
  <c r="H1085" i="41"/>
  <c r="H1086" i="41"/>
  <c r="H1087" i="41"/>
  <c r="H1088" i="41"/>
  <c r="H1089" i="41"/>
  <c r="H1090" i="41"/>
  <c r="H1091" i="41"/>
  <c r="H1092" i="41"/>
  <c r="H1093" i="41"/>
  <c r="H1094" i="41"/>
  <c r="H1095" i="41"/>
  <c r="H1096" i="41"/>
  <c r="H1097" i="41"/>
  <c r="H1098" i="41"/>
  <c r="H1099" i="41"/>
  <c r="H1100" i="41"/>
  <c r="H1101" i="41"/>
  <c r="H1102" i="41"/>
  <c r="H1103" i="41"/>
  <c r="H1104" i="41"/>
  <c r="H1105" i="41"/>
  <c r="H1106" i="41"/>
  <c r="H1107" i="41"/>
  <c r="H1108" i="41"/>
  <c r="H1109" i="41"/>
  <c r="H1110" i="41"/>
  <c r="H1111" i="41"/>
  <c r="H1112" i="41"/>
  <c r="H1113" i="41"/>
  <c r="H1114" i="41"/>
  <c r="H1115" i="41"/>
  <c r="H1116" i="41"/>
  <c r="H1117" i="41"/>
  <c r="H1118" i="41"/>
  <c r="H1119" i="41"/>
  <c r="H1120" i="41"/>
  <c r="H1121" i="41"/>
  <c r="H1122" i="41"/>
  <c r="H1123" i="41"/>
  <c r="H1124" i="41"/>
  <c r="H1125" i="41"/>
  <c r="H1126" i="41"/>
  <c r="H1127" i="41"/>
  <c r="H1128" i="41"/>
  <c r="H1129" i="41"/>
  <c r="H1130" i="41"/>
  <c r="H1131" i="41"/>
  <c r="H1132" i="41"/>
  <c r="H1133" i="41"/>
  <c r="H1134" i="41"/>
  <c r="H1135" i="41"/>
  <c r="H1136" i="41"/>
  <c r="H1137" i="41"/>
  <c r="H1138" i="41"/>
  <c r="H1139" i="41"/>
  <c r="H1140" i="41"/>
  <c r="H1141" i="41"/>
  <c r="H1142" i="41"/>
  <c r="H1143" i="41"/>
  <c r="H1144" i="41"/>
  <c r="H1145" i="41"/>
  <c r="H1146" i="41"/>
  <c r="H1147" i="41"/>
  <c r="H1148" i="41"/>
  <c r="H1149" i="41"/>
  <c r="H1150" i="41"/>
  <c r="H1151" i="41"/>
  <c r="H1152" i="41"/>
  <c r="H1153" i="41"/>
  <c r="H1154" i="41"/>
  <c r="H1155" i="41"/>
  <c r="H1156" i="41"/>
  <c r="H1157" i="41"/>
  <c r="H1158" i="41"/>
  <c r="H1159" i="41"/>
  <c r="H1160" i="41"/>
  <c r="H1161" i="41"/>
  <c r="H1162" i="41"/>
  <c r="H1163" i="41"/>
  <c r="H1164" i="41"/>
  <c r="H1165" i="41"/>
  <c r="H1166" i="41"/>
  <c r="H1167" i="41"/>
  <c r="H1168" i="41"/>
  <c r="H1169" i="41"/>
  <c r="H1170" i="41"/>
  <c r="H247" i="41"/>
  <c r="H7" i="41" l="1"/>
  <c r="H8" i="41"/>
  <c r="H9" i="41"/>
  <c r="H10" i="41"/>
  <c r="H11" i="41"/>
  <c r="H12" i="41"/>
  <c r="H13" i="41"/>
  <c r="H14" i="41"/>
  <c r="H15" i="41"/>
  <c r="H16" i="41"/>
  <c r="H17" i="41"/>
  <c r="H18" i="41"/>
  <c r="H19" i="41"/>
  <c r="H20" i="41"/>
  <c r="H21" i="41"/>
  <c r="H22" i="41"/>
  <c r="H23" i="41"/>
  <c r="H24" i="41"/>
  <c r="H25" i="41"/>
  <c r="H26" i="41"/>
  <c r="H27" i="41"/>
  <c r="H28" i="41"/>
  <c r="H29" i="41"/>
  <c r="H30" i="41"/>
  <c r="H31" i="41"/>
  <c r="H32" i="41"/>
  <c r="H33" i="41"/>
  <c r="H34" i="41"/>
  <c r="H35" i="41"/>
  <c r="H36" i="41"/>
  <c r="H37" i="41"/>
  <c r="H38" i="41"/>
  <c r="H39" i="41"/>
  <c r="H40" i="41"/>
  <c r="H41" i="41"/>
  <c r="H42" i="41"/>
  <c r="H43" i="41"/>
  <c r="H44" i="41"/>
  <c r="H45" i="41"/>
  <c r="H46" i="41"/>
  <c r="H47" i="41"/>
  <c r="H48" i="41"/>
  <c r="H49" i="41"/>
  <c r="H50" i="41"/>
  <c r="H51" i="41"/>
  <c r="H52" i="41"/>
  <c r="H53" i="41"/>
  <c r="H54" i="41"/>
  <c r="H55" i="41"/>
  <c r="H56" i="41"/>
  <c r="H57" i="41"/>
  <c r="H58" i="41"/>
  <c r="H59" i="41"/>
  <c r="H60" i="41"/>
  <c r="H61" i="41"/>
  <c r="H62" i="41"/>
  <c r="H63" i="41"/>
  <c r="H64" i="41"/>
  <c r="H65" i="41"/>
  <c r="H66" i="41"/>
  <c r="H67" i="41"/>
  <c r="H68" i="41"/>
  <c r="H69" i="41"/>
  <c r="H70" i="41"/>
  <c r="H71" i="41"/>
  <c r="H72" i="41"/>
  <c r="H73" i="41"/>
  <c r="H74" i="41"/>
  <c r="H75" i="41"/>
  <c r="H76" i="41"/>
  <c r="H77" i="41"/>
  <c r="H78" i="41"/>
  <c r="H79" i="41"/>
  <c r="H80" i="41"/>
  <c r="H81" i="41"/>
  <c r="H82" i="41"/>
  <c r="H83" i="41"/>
  <c r="H84" i="41"/>
  <c r="H85" i="41"/>
  <c r="H86" i="41"/>
  <c r="H87" i="41"/>
  <c r="H88" i="41"/>
  <c r="H89" i="41"/>
  <c r="H90" i="41"/>
  <c r="H91" i="41"/>
  <c r="H92" i="41"/>
  <c r="H93" i="41"/>
  <c r="H94" i="41"/>
  <c r="H95" i="41"/>
  <c r="H96" i="41"/>
  <c r="H97" i="41"/>
  <c r="H98" i="41"/>
  <c r="H99" i="41"/>
  <c r="H100" i="41"/>
  <c r="H101" i="41"/>
  <c r="H102" i="41"/>
  <c r="H103" i="41"/>
  <c r="H104" i="41"/>
  <c r="H105" i="41"/>
  <c r="H106" i="41"/>
  <c r="H107" i="41"/>
  <c r="H108" i="41"/>
  <c r="H109" i="41"/>
  <c r="H110" i="41"/>
  <c r="H111" i="41"/>
  <c r="H112" i="41"/>
  <c r="H113" i="41"/>
  <c r="H114" i="41"/>
  <c r="H115" i="41"/>
  <c r="H116" i="41"/>
  <c r="H117" i="41"/>
  <c r="H118" i="41"/>
  <c r="H119" i="41"/>
  <c r="H120" i="41"/>
  <c r="H121" i="41"/>
  <c r="H122" i="41"/>
  <c r="H123" i="41"/>
  <c r="H124" i="41"/>
  <c r="H125" i="41"/>
  <c r="H126" i="41"/>
  <c r="H127" i="41"/>
  <c r="H128" i="41"/>
  <c r="H129" i="41"/>
  <c r="H130" i="41"/>
  <c r="H131" i="41"/>
  <c r="H132" i="41"/>
  <c r="H133" i="41"/>
  <c r="H134" i="41"/>
  <c r="H135" i="41"/>
  <c r="H136" i="41"/>
  <c r="H137" i="41"/>
  <c r="H138" i="41"/>
  <c r="H139" i="41"/>
  <c r="H140" i="41"/>
  <c r="H141" i="41"/>
  <c r="H142" i="41"/>
  <c r="H143" i="41"/>
  <c r="H144" i="41"/>
  <c r="H145" i="41"/>
  <c r="H146" i="41"/>
  <c r="H147" i="41"/>
  <c r="H148" i="41"/>
  <c r="H149" i="41"/>
  <c r="H150" i="41"/>
  <c r="H151" i="41"/>
  <c r="H152" i="41"/>
  <c r="H153" i="41"/>
  <c r="H154" i="41"/>
  <c r="H155" i="41"/>
  <c r="H156" i="41"/>
  <c r="H157" i="41"/>
  <c r="H158" i="41"/>
  <c r="H159" i="41"/>
  <c r="H160" i="41"/>
  <c r="H161" i="41"/>
  <c r="H162" i="41"/>
  <c r="H163" i="41"/>
  <c r="H164" i="41"/>
  <c r="H165" i="41"/>
  <c r="H166" i="41"/>
  <c r="H167" i="41"/>
  <c r="H168" i="41"/>
  <c r="H169" i="41"/>
  <c r="H170" i="41"/>
  <c r="H171" i="41"/>
  <c r="H172" i="41"/>
  <c r="H173" i="41"/>
  <c r="H174" i="41"/>
  <c r="H175" i="41"/>
  <c r="H176" i="41"/>
  <c r="H177" i="41"/>
  <c r="H178" i="41"/>
  <c r="H179" i="41"/>
  <c r="H180" i="41"/>
  <c r="H181" i="41"/>
  <c r="H182" i="41"/>
  <c r="H183" i="41"/>
  <c r="H184" i="41"/>
  <c r="H185" i="41"/>
  <c r="H186" i="41"/>
  <c r="H187" i="41"/>
  <c r="H188" i="41"/>
  <c r="H189" i="41"/>
  <c r="H190" i="41"/>
  <c r="H191" i="41"/>
  <c r="H192" i="41"/>
  <c r="H193" i="41"/>
  <c r="H194" i="41"/>
  <c r="H195" i="41"/>
  <c r="H196" i="41"/>
  <c r="H197" i="41"/>
  <c r="H198" i="41"/>
  <c r="H199" i="41"/>
  <c r="H200" i="41"/>
  <c r="H201" i="41"/>
  <c r="H202" i="41"/>
  <c r="H203" i="41"/>
  <c r="H204" i="41"/>
  <c r="H205" i="41"/>
  <c r="H206" i="41"/>
  <c r="H207" i="41"/>
  <c r="H208" i="41"/>
  <c r="H209" i="41"/>
  <c r="H210" i="41"/>
  <c r="H211" i="41"/>
  <c r="H212" i="41"/>
  <c r="H213" i="41"/>
  <c r="H214" i="41"/>
  <c r="H215" i="41"/>
  <c r="H216" i="41"/>
  <c r="H217" i="41"/>
  <c r="H218" i="41"/>
  <c r="H219" i="41"/>
  <c r="H220" i="41"/>
  <c r="H221" i="41"/>
  <c r="H222" i="41"/>
  <c r="H223" i="41"/>
  <c r="H224" i="41"/>
  <c r="H225" i="41"/>
  <c r="H226" i="41"/>
  <c r="H227" i="41"/>
  <c r="H228" i="41"/>
  <c r="H229" i="41"/>
  <c r="H230" i="41"/>
  <c r="H231" i="41"/>
  <c r="H232" i="41"/>
  <c r="H233" i="41"/>
  <c r="H234" i="41"/>
  <c r="H235" i="41"/>
  <c r="H236" i="41"/>
  <c r="H237" i="41"/>
  <c r="H238" i="41"/>
  <c r="H239" i="41"/>
  <c r="H240" i="41"/>
  <c r="H241" i="41"/>
  <c r="H242" i="41"/>
  <c r="H243" i="41"/>
  <c r="H244" i="41"/>
  <c r="H245" i="41"/>
  <c r="H246" i="41"/>
  <c r="H6" i="41"/>
  <c r="D6" i="63" l="1"/>
  <c r="F1203" i="63"/>
  <c r="G1203" i="63"/>
  <c r="H188" i="1" l="1"/>
  <c r="G54" i="26" l="1"/>
  <c r="F54" i="26"/>
  <c r="R60" i="1" l="1"/>
  <c r="Q60" i="1"/>
  <c r="P60" i="1"/>
  <c r="N60" i="1"/>
  <c r="L60" i="1"/>
  <c r="R59" i="1"/>
  <c r="Q59" i="1"/>
  <c r="P59" i="1"/>
  <c r="N59" i="1"/>
  <c r="L59" i="1"/>
  <c r="R58" i="1"/>
  <c r="Q58" i="1"/>
  <c r="P58" i="1"/>
  <c r="N58" i="1"/>
  <c r="L58" i="1"/>
  <c r="R57" i="1"/>
  <c r="Q57" i="1"/>
  <c r="P57" i="1"/>
  <c r="N57" i="1"/>
  <c r="L57" i="1"/>
  <c r="R56" i="1"/>
  <c r="Q56" i="1"/>
  <c r="P56" i="1"/>
  <c r="N56" i="1"/>
  <c r="L56" i="1"/>
  <c r="R55" i="1"/>
  <c r="Q55" i="1"/>
  <c r="P55" i="1"/>
  <c r="N55" i="1"/>
  <c r="L55" i="1"/>
  <c r="R54" i="1"/>
  <c r="Q54" i="1"/>
  <c r="P54" i="1"/>
  <c r="N54" i="1"/>
  <c r="L54" i="1"/>
  <c r="R53" i="1"/>
  <c r="Q53" i="1"/>
  <c r="P53" i="1"/>
  <c r="N53" i="1"/>
  <c r="L53" i="1"/>
  <c r="R52" i="1"/>
  <c r="Q52" i="1"/>
  <c r="P52" i="1"/>
  <c r="N52" i="1"/>
  <c r="L52" i="1"/>
  <c r="R51" i="1"/>
  <c r="Q51" i="1"/>
  <c r="P51" i="1"/>
  <c r="N51" i="1"/>
  <c r="L51" i="1"/>
  <c r="R50" i="1"/>
  <c r="Q50" i="1"/>
  <c r="P50" i="1"/>
  <c r="N50" i="1"/>
  <c r="L50" i="1"/>
  <c r="R49" i="1"/>
  <c r="Q49" i="1"/>
  <c r="P49" i="1"/>
  <c r="N49" i="1"/>
  <c r="L49" i="1"/>
  <c r="R48" i="1"/>
  <c r="Q48" i="1"/>
  <c r="P48" i="1"/>
  <c r="N48" i="1"/>
  <c r="L48" i="1"/>
  <c r="R47" i="1"/>
  <c r="Q47" i="1"/>
  <c r="P47" i="1"/>
  <c r="N47" i="1"/>
  <c r="L47" i="1"/>
  <c r="R46" i="1"/>
  <c r="Q46" i="1"/>
  <c r="P46" i="1"/>
  <c r="N46" i="1"/>
  <c r="L46" i="1"/>
  <c r="R45" i="1"/>
  <c r="Q45" i="1"/>
  <c r="P45" i="1"/>
  <c r="N45" i="1"/>
  <c r="L45" i="1"/>
  <c r="R44" i="1"/>
  <c r="Q44" i="1"/>
  <c r="P44" i="1"/>
  <c r="N44" i="1"/>
  <c r="L44" i="1"/>
  <c r="R43" i="1"/>
  <c r="Q43" i="1"/>
  <c r="P43" i="1"/>
  <c r="N43" i="1"/>
  <c r="L43" i="1"/>
  <c r="R42" i="1"/>
  <c r="Q42" i="1"/>
  <c r="P42" i="1"/>
  <c r="N42" i="1"/>
  <c r="L42" i="1"/>
  <c r="R41" i="1"/>
  <c r="Q41" i="1"/>
  <c r="P41" i="1"/>
  <c r="N41" i="1"/>
  <c r="L41" i="1"/>
  <c r="R40" i="1"/>
  <c r="Q40" i="1"/>
  <c r="P40" i="1"/>
  <c r="N40" i="1"/>
  <c r="L40" i="1"/>
  <c r="R39" i="1"/>
  <c r="Q39" i="1"/>
  <c r="P39" i="1"/>
  <c r="N39" i="1"/>
  <c r="L39" i="1"/>
  <c r="R38" i="1"/>
  <c r="Q38" i="1"/>
  <c r="P38" i="1"/>
  <c r="N38" i="1"/>
  <c r="L38" i="1"/>
  <c r="R37" i="1"/>
  <c r="Q37" i="1"/>
  <c r="P37" i="1"/>
  <c r="N37" i="1"/>
  <c r="L37" i="1"/>
  <c r="R36" i="1"/>
  <c r="Q36" i="1"/>
  <c r="P36" i="1"/>
  <c r="N36" i="1"/>
  <c r="L36" i="1"/>
  <c r="R35" i="1"/>
  <c r="Q35" i="1"/>
  <c r="P35" i="1"/>
  <c r="N35" i="1"/>
  <c r="L35" i="1"/>
  <c r="R34" i="1"/>
  <c r="Q34" i="1"/>
  <c r="P34" i="1"/>
  <c r="N34" i="1"/>
  <c r="L34" i="1"/>
  <c r="R33" i="1"/>
  <c r="Q33" i="1"/>
  <c r="P33" i="1"/>
  <c r="N33" i="1"/>
  <c r="L33" i="1"/>
  <c r="R32" i="1"/>
  <c r="Q32" i="1"/>
  <c r="P32" i="1"/>
  <c r="N32" i="1"/>
  <c r="L32" i="1"/>
  <c r="R31" i="1"/>
  <c r="Q31" i="1"/>
  <c r="P31" i="1"/>
  <c r="N31" i="1"/>
  <c r="L31" i="1"/>
  <c r="R30" i="1"/>
  <c r="Q30" i="1"/>
  <c r="P30" i="1"/>
  <c r="N30" i="1"/>
  <c r="L30" i="1"/>
  <c r="R29" i="1"/>
  <c r="Q29" i="1"/>
  <c r="P29" i="1"/>
  <c r="N29" i="1"/>
  <c r="L29" i="1"/>
  <c r="R28" i="1"/>
  <c r="Q28" i="1"/>
  <c r="P28" i="1"/>
  <c r="N28" i="1"/>
  <c r="L28" i="1"/>
  <c r="R27" i="1"/>
  <c r="Q27" i="1"/>
  <c r="P27" i="1"/>
  <c r="N27" i="1"/>
  <c r="L27" i="1"/>
  <c r="R26" i="1"/>
  <c r="Q26" i="1"/>
  <c r="P26" i="1"/>
  <c r="N26" i="1"/>
  <c r="L26" i="1"/>
  <c r="R25" i="1"/>
  <c r="Q25" i="1"/>
  <c r="P25" i="1"/>
  <c r="N25" i="1"/>
  <c r="L25" i="1"/>
  <c r="R24" i="1"/>
  <c r="Q24" i="1"/>
  <c r="P24" i="1"/>
  <c r="N24" i="1"/>
  <c r="L24" i="1"/>
  <c r="R23" i="1"/>
  <c r="Q23" i="1"/>
  <c r="P23" i="1"/>
  <c r="N23" i="1"/>
  <c r="L23" i="1"/>
  <c r="R22" i="1"/>
  <c r="Q22" i="1"/>
  <c r="P22" i="1"/>
  <c r="N22" i="1"/>
  <c r="L22" i="1"/>
  <c r="R21" i="1"/>
  <c r="Q21" i="1"/>
  <c r="P21" i="1"/>
  <c r="N21" i="1"/>
  <c r="L21" i="1"/>
  <c r="R20" i="1"/>
  <c r="Q20" i="1"/>
  <c r="P20" i="1"/>
  <c r="N20" i="1"/>
  <c r="L20" i="1"/>
  <c r="R19" i="1"/>
  <c r="Q19" i="1"/>
  <c r="P19" i="1"/>
  <c r="N19" i="1"/>
  <c r="L19" i="1"/>
  <c r="R18" i="1"/>
  <c r="Q18" i="1"/>
  <c r="P18" i="1"/>
  <c r="N18" i="1"/>
  <c r="L18" i="1"/>
  <c r="R17" i="1"/>
  <c r="Q17" i="1"/>
  <c r="P17" i="1"/>
  <c r="N17" i="1"/>
  <c r="L17" i="1"/>
  <c r="R16" i="1"/>
  <c r="Q16" i="1"/>
  <c r="P16" i="1"/>
  <c r="N16" i="1"/>
  <c r="L16" i="1"/>
  <c r="R15" i="1"/>
  <c r="Q15" i="1"/>
  <c r="P15" i="1"/>
  <c r="N15" i="1"/>
  <c r="L15" i="1"/>
  <c r="R14" i="1"/>
  <c r="Q14" i="1"/>
  <c r="P14" i="1"/>
  <c r="N14" i="1"/>
  <c r="L14" i="1"/>
  <c r="R13" i="1"/>
  <c r="Q13" i="1"/>
  <c r="P13" i="1"/>
  <c r="N13" i="1"/>
  <c r="L13" i="1"/>
  <c r="R12" i="1"/>
  <c r="Q12" i="1"/>
  <c r="P12" i="1"/>
  <c r="N12" i="1"/>
  <c r="L12" i="1"/>
  <c r="R11" i="1"/>
  <c r="Q11" i="1"/>
  <c r="P11" i="1"/>
  <c r="N11" i="1"/>
  <c r="L11" i="1"/>
  <c r="R10" i="1"/>
  <c r="Q10" i="1"/>
  <c r="P10" i="1"/>
  <c r="N10" i="1"/>
  <c r="L10" i="1"/>
  <c r="R9" i="1"/>
  <c r="Q9" i="1"/>
  <c r="P9" i="1"/>
  <c r="N9" i="1"/>
  <c r="L9" i="1"/>
  <c r="R8" i="1"/>
  <c r="Q8" i="1"/>
  <c r="P8" i="1"/>
  <c r="N8" i="1"/>
  <c r="L8" i="1"/>
  <c r="R7" i="1"/>
  <c r="Q7" i="1"/>
  <c r="P7" i="1"/>
  <c r="N7" i="1"/>
  <c r="L7" i="1"/>
  <c r="J50" i="1" l="1"/>
  <c r="J57" i="1"/>
  <c r="J41" i="1"/>
  <c r="J37" i="1"/>
  <c r="J49" i="1"/>
  <c r="J16" i="1"/>
  <c r="J20" i="1"/>
  <c r="J26" i="1"/>
  <c r="J34" i="1"/>
  <c r="J46" i="1"/>
  <c r="J9" i="1"/>
  <c r="L188" i="1"/>
  <c r="J33" i="1"/>
  <c r="J55" i="1"/>
  <c r="J30" i="1"/>
  <c r="J53" i="1"/>
  <c r="J42" i="1"/>
  <c r="J39" i="1"/>
  <c r="J45" i="1"/>
  <c r="J8" i="1"/>
  <c r="J38" i="1"/>
  <c r="J43" i="1"/>
  <c r="J12" i="1"/>
  <c r="J52" i="1"/>
  <c r="J27" i="1"/>
  <c r="J17" i="1"/>
  <c r="J28" i="1"/>
  <c r="J51" i="1"/>
  <c r="J60" i="1"/>
  <c r="N188" i="1"/>
  <c r="J35" i="1"/>
  <c r="J14" i="1"/>
  <c r="J29" i="1"/>
  <c r="J47" i="1"/>
  <c r="J24" i="1"/>
  <c r="J36" i="1"/>
  <c r="J48" i="1"/>
  <c r="J56" i="1"/>
  <c r="P188" i="1"/>
  <c r="Q188" i="1"/>
  <c r="J19" i="1"/>
  <c r="J22" i="1"/>
  <c r="J7" i="1"/>
  <c r="J10" i="1"/>
  <c r="J13" i="1"/>
  <c r="J25" i="1"/>
  <c r="J58" i="1"/>
  <c r="J23" i="1"/>
  <c r="J11" i="1"/>
  <c r="J31" i="1"/>
  <c r="J44" i="1"/>
  <c r="J59" i="1"/>
  <c r="J15" i="1"/>
  <c r="J18" i="1"/>
  <c r="J21" i="1"/>
  <c r="J32" i="1"/>
  <c r="J40" i="1"/>
  <c r="J54" i="1"/>
  <c r="R188" i="1"/>
  <c r="J188" i="1" l="1"/>
  <c r="A4" i="63" l="1"/>
  <c r="A4" i="41" s="1"/>
  <c r="A4" i="64" l="1"/>
  <c r="A4" i="26" l="1"/>
  <c r="G27" i="64" l="1"/>
  <c r="F27" i="64"/>
  <c r="D7" i="63"/>
  <c r="G5" i="63" l="1"/>
  <c r="G6" i="63" s="1"/>
  <c r="G7" i="63"/>
  <c r="L7" i="26" l="1"/>
  <c r="L8" i="26"/>
  <c r="L11" i="26"/>
  <c r="L12" i="26"/>
  <c r="L53" i="26"/>
  <c r="L9" i="26"/>
  <c r="L10" i="26"/>
  <c r="L13" i="26"/>
  <c r="L14" i="26"/>
  <c r="L15" i="26"/>
  <c r="L16" i="26"/>
  <c r="L17" i="26"/>
  <c r="L18" i="26"/>
  <c r="G1170" i="41" l="1"/>
  <c r="F1170" i="41"/>
  <c r="K10" i="26" l="1"/>
  <c r="I10" i="26" s="1"/>
  <c r="K16" i="26"/>
  <c r="I16" i="26" s="1"/>
  <c r="K13" i="26" l="1"/>
  <c r="K14" i="26"/>
  <c r="K8" i="26"/>
  <c r="K18" i="26"/>
  <c r="K7" i="26"/>
  <c r="K53" i="26"/>
  <c r="I53" i="26" s="1"/>
  <c r="I18" i="26" l="1"/>
  <c r="I14" i="26"/>
  <c r="I7" i="26"/>
  <c r="I8" i="26"/>
  <c r="I13" i="26"/>
  <c r="K11" i="26" l="1"/>
  <c r="K9" i="26"/>
  <c r="I9" i="26" l="1"/>
  <c r="I11" i="26" l="1"/>
  <c r="K17" i="26"/>
  <c r="K12" i="26"/>
  <c r="K15" i="26"/>
  <c r="I15" i="26" s="1"/>
  <c r="I17" i="26" l="1"/>
  <c r="I12" i="26"/>
  <c r="L54" i="26"/>
  <c r="K54" i="26"/>
  <c r="I54" i="26" l="1"/>
</calcChain>
</file>

<file path=xl/sharedStrings.xml><?xml version="1.0" encoding="utf-8"?>
<sst xmlns="http://schemas.openxmlformats.org/spreadsheetml/2006/main" count="9346" uniqueCount="1785">
  <si>
    <t>BV TRƯỜNG ĐHYD CẦN THƠ</t>
  </si>
  <si>
    <t>BẢNG KÊ TIỀN PHẪU THUẬT</t>
  </si>
  <si>
    <t>STT</t>
  </si>
  <si>
    <t>Tuổi</t>
  </si>
  <si>
    <t>PTV chính</t>
  </si>
  <si>
    <t>Số tiền</t>
  </si>
  <si>
    <t>Phụ mổ 1</t>
  </si>
  <si>
    <t>Phụ mổ 2</t>
  </si>
  <si>
    <t>ĐD + HL</t>
  </si>
  <si>
    <t>Ngày</t>
  </si>
  <si>
    <t>Trưởng khoa</t>
  </si>
  <si>
    <t>TỔNG CỘNG</t>
  </si>
  <si>
    <t>Họ và tên</t>
  </si>
  <si>
    <t>Lập bảng</t>
  </si>
  <si>
    <t>BẢNG KÊ TIỀN TIỂU PHẪU</t>
  </si>
  <si>
    <t>BẢNG KÊ TIỀN TIỂU THỦ THUẬT</t>
  </si>
  <si>
    <t>THỰC LÃNH</t>
  </si>
  <si>
    <t>-</t>
  </si>
  <si>
    <t>Tổng Cộng</t>
  </si>
  <si>
    <r>
      <t xml:space="preserve">KHOA </t>
    </r>
    <r>
      <rPr>
        <b/>
        <u/>
        <sz val="12"/>
        <rFont val="Times New Roman"/>
        <family val="1"/>
      </rPr>
      <t>NGOẠI CTCH</t>
    </r>
    <r>
      <rPr>
        <b/>
        <sz val="12"/>
        <rFont val="Times New Roman"/>
        <family val="1"/>
      </rPr>
      <t>-TK</t>
    </r>
  </si>
  <si>
    <t>Thực Lãnh</t>
  </si>
  <si>
    <t>ĐD</t>
  </si>
  <si>
    <t>Phụ mổ 3</t>
  </si>
  <si>
    <t>ĐD. Phan Văn Hiếu</t>
  </si>
  <si>
    <r>
      <t xml:space="preserve">KHOA </t>
    </r>
    <r>
      <rPr>
        <b/>
        <u/>
        <sz val="13"/>
        <rFont val="Times New Roman"/>
        <family val="1"/>
      </rPr>
      <t xml:space="preserve">NGOẠI CTCH </t>
    </r>
    <r>
      <rPr>
        <b/>
        <sz val="13"/>
        <rFont val="Times New Roman"/>
        <family val="1"/>
      </rPr>
      <t>- TK</t>
    </r>
  </si>
  <si>
    <t>Bác Sĩ</t>
  </si>
  <si>
    <t>Số Tiền</t>
  </si>
  <si>
    <t>Điều Dưỡng</t>
  </si>
  <si>
    <r>
      <t xml:space="preserve">KHOA </t>
    </r>
    <r>
      <rPr>
        <b/>
        <u/>
        <sz val="12"/>
        <rFont val="Times New Roman"/>
        <family val="1"/>
      </rPr>
      <t xml:space="preserve">NGOẠI CTCH </t>
    </r>
    <r>
      <rPr>
        <b/>
        <sz val="12"/>
        <rFont val="Times New Roman"/>
        <family val="1"/>
        <charset val="163"/>
      </rPr>
      <t>- TK</t>
    </r>
  </si>
  <si>
    <t>Thực lãnh</t>
  </si>
  <si>
    <t>ThS. Bs. CKII. Nguyễn Lê Hoan</t>
  </si>
  <si>
    <t xml:space="preserve">         ThS. Bs. CKII. Nguyễn Lê Hoan</t>
  </si>
  <si>
    <t xml:space="preserve">           Trưởng khoa</t>
  </si>
  <si>
    <t>Trưởng Khoa</t>
  </si>
  <si>
    <t>Tiêm khớp gối</t>
  </si>
  <si>
    <t>NGUYỆN</t>
  </si>
  <si>
    <t>TOẢN</t>
  </si>
  <si>
    <t>ĐIỀN</t>
  </si>
  <si>
    <t>Cắt chỉ sau phẫu thuật</t>
  </si>
  <si>
    <t>Thay băng, cắt chỉ vết mổ</t>
  </si>
  <si>
    <t>Đặt sonde bàng quang</t>
  </si>
  <si>
    <t>ĐẠT</t>
  </si>
  <si>
    <t>BỆNH VIỆN TRƯỜNG ĐH Y DƯỢC CẦN THƠ</t>
  </si>
  <si>
    <t>Số GB vượt &gt;100%</t>
  </si>
  <si>
    <t>Số GB vượt 80%-100%</t>
  </si>
  <si>
    <t>Ngày giường thực hiện</t>
  </si>
  <si>
    <t>Công suất GB:</t>
  </si>
  <si>
    <t>Tên CLS</t>
  </si>
  <si>
    <t>Số Lượng</t>
  </si>
  <si>
    <t>Thành tiền</t>
  </si>
  <si>
    <t>Người lập</t>
  </si>
  <si>
    <t>BẢNG KÊ YÊU CẦU BÁC SĨ PHẨU THUẬT</t>
  </si>
  <si>
    <r>
      <t xml:space="preserve">Giường phân bổ: </t>
    </r>
    <r>
      <rPr>
        <b/>
        <sz val="10"/>
        <color indexed="10"/>
        <rFont val="Times New Roman"/>
        <family val="1"/>
      </rPr>
      <t>40</t>
    </r>
    <r>
      <rPr>
        <b/>
        <sz val="10"/>
        <color indexed="8"/>
        <rFont val="Times New Roman"/>
        <family val="1"/>
      </rPr>
      <t xml:space="preserve"> GB Tổng Ngày giường Kế hoạch </t>
    </r>
  </si>
  <si>
    <t>DANH SÁCH CHỈ ĐỊNH GIƯỜNG BỆNH</t>
  </si>
  <si>
    <t>Phẫu thuật điều trị hội chứng ống cổ tay</t>
  </si>
  <si>
    <t>Hút ổ viêm/áp xe phần mềm</t>
  </si>
  <si>
    <t>Nắn, bó bột gãy xương bàn, ngón tay [bột liền]</t>
  </si>
  <si>
    <t>V.TÂN</t>
  </si>
  <si>
    <t>ĐỨC</t>
  </si>
  <si>
    <t>LINH</t>
  </si>
  <si>
    <t>TUẤN</t>
  </si>
  <si>
    <t>LUẬN</t>
  </si>
  <si>
    <t>THẠNH</t>
  </si>
  <si>
    <t>TOÀN</t>
  </si>
  <si>
    <t>DƯƠNG</t>
  </si>
  <si>
    <t>ẨN</t>
  </si>
  <si>
    <t>HƯỞNG</t>
  </si>
  <si>
    <t>KHANG</t>
  </si>
  <si>
    <t>HƯNG</t>
  </si>
  <si>
    <t>THÁI</t>
  </si>
  <si>
    <t>KHÉN</t>
  </si>
  <si>
    <t>TÙNG</t>
  </si>
  <si>
    <t>LUẬT</t>
  </si>
  <si>
    <t>KHÁNH</t>
  </si>
  <si>
    <t xml:space="preserve">LUẬN </t>
  </si>
  <si>
    <t>TÂN</t>
  </si>
  <si>
    <t xml:space="preserve"> -</t>
  </si>
  <si>
    <t>Đặc biệt</t>
  </si>
  <si>
    <t>Loại 2</t>
  </si>
  <si>
    <t>Loại 1</t>
  </si>
  <si>
    <t>PT cắt cụt chi</t>
  </si>
  <si>
    <t>NGÀY</t>
  </si>
  <si>
    <t>Họ và tên bệnh nhân</t>
  </si>
  <si>
    <t>Chẩn đoán và phương pháp phẫu thuật</t>
  </si>
  <si>
    <t>Loại phẫu thuật</t>
  </si>
  <si>
    <t>Số tiền thực tính thù lao cho khoa</t>
  </si>
  <si>
    <t>Giường Ngoại khoa loại 4 - Khoa Chấn thương chỉnh hình</t>
  </si>
  <si>
    <t>Giường Nội khoa loại 2 - Khoa Chấn thương chỉnh hình</t>
  </si>
  <si>
    <t>Giường Ngoại khoa loại 2 - Khoa Chấn thương chỉnh hình</t>
  </si>
  <si>
    <t>Giường Ngoại khoa loại 1 - Khoa Chấn thương chỉnh hình</t>
  </si>
  <si>
    <t>Giường Ngoại khoa loại 3 - Khoa Chấn thương chỉnh hình</t>
  </si>
  <si>
    <t>Tiêm gân gấp ngón tay</t>
  </si>
  <si>
    <t>Nắn, bó bột trật khớp cổ chân [bột liền]</t>
  </si>
  <si>
    <t>PT thay toàn bộ khớp háng</t>
  </si>
  <si>
    <t>01/01/1965</t>
  </si>
  <si>
    <t>01/01/1955</t>
  </si>
  <si>
    <t>01/01/1969</t>
  </si>
  <si>
    <t>01/01/1975</t>
  </si>
  <si>
    <t>01/01/1957</t>
  </si>
  <si>
    <t>01/01/1974</t>
  </si>
  <si>
    <t>01/01/1951</t>
  </si>
  <si>
    <t>01/01/1968</t>
  </si>
  <si>
    <t>01/01/1958</t>
  </si>
  <si>
    <t>01/01/1964</t>
  </si>
  <si>
    <t>01/01/1952</t>
  </si>
  <si>
    <t>01/01/1967</t>
  </si>
  <si>
    <t>01/01/1972</t>
  </si>
  <si>
    <t>01/01/1963</t>
  </si>
  <si>
    <t>01/01/1971</t>
  </si>
  <si>
    <t>01/01/1978</t>
  </si>
  <si>
    <t>Thay băng, cắt chỉ vết mổ [chiều dài ≤ 15cm]</t>
  </si>
  <si>
    <t>Nẹp bột các loại, không nắn (loại 1)</t>
  </si>
  <si>
    <t>Tiêm gân Dequervein</t>
  </si>
  <si>
    <t>Tháo bột (nhỏ)</t>
  </si>
  <si>
    <t>Tháo bột (trung bình)</t>
  </si>
  <si>
    <t>Nắn, bó bột gãy 1/3 dưới hai xương cẳng tay [bột liền]</t>
  </si>
  <si>
    <t>Nắn, bó bột gãy một xương cẳng tay [bột liền]</t>
  </si>
  <si>
    <t>01/01/1962</t>
  </si>
  <si>
    <t>01/01/1981</t>
  </si>
  <si>
    <t>Mắt cá 1-2 thương tổn</t>
  </si>
  <si>
    <t>01/01/1961</t>
  </si>
  <si>
    <t>Nắn, bó bột gãy 1/3 dưới hai xương cẳng chân [bột liền]</t>
  </si>
  <si>
    <t>Phẫu thuật điều trị ngón tay cò súng (1 ngón)</t>
  </si>
  <si>
    <t>01/01/1977</t>
  </si>
  <si>
    <t>Phẫu thuật điều trị ngón tay cò súng (2 ngón)</t>
  </si>
  <si>
    <t>01/01/1950</t>
  </si>
  <si>
    <t>Thông bàng quang</t>
  </si>
  <si>
    <t>01/01/1966</t>
  </si>
  <si>
    <t>01/01/1976</t>
  </si>
  <si>
    <t>01/01/1970</t>
  </si>
  <si>
    <t>01/01/1956</t>
  </si>
  <si>
    <t>01/01/1949</t>
  </si>
  <si>
    <t>01/01/1979</t>
  </si>
  <si>
    <t>PT thay toàn bộ khớp gối</t>
  </si>
  <si>
    <t>Phẫu thuật điều trị bệnh DE QUER VAIN và ngón tay cò súng [gây tê]</t>
  </si>
  <si>
    <t>01/01/1993</t>
  </si>
  <si>
    <t>01/01/1954</t>
  </si>
  <si>
    <t>Cắt lọc hoại tử ổ loét vết thương mạn tính</t>
  </si>
  <si>
    <t>Khâu phục hồi tổn thương gân duỗi</t>
  </si>
  <si>
    <t>PT thay khớp háng bán phần</t>
  </si>
  <si>
    <t>Khâu vết thương phần mềm dài dưới 10 cm [tổn thương nông]</t>
  </si>
  <si>
    <t>01/01/1984</t>
  </si>
  <si>
    <t>Hút dịch khớp gối</t>
  </si>
  <si>
    <t>Xét nghiệm đường máu mao mạch tại giường (một lần)[Nội trú]</t>
  </si>
  <si>
    <t>PTNS khâu sụn chêm</t>
  </si>
  <si>
    <t>PT KHX trên màn hình tăng sáng</t>
  </si>
  <si>
    <t>Rút đinh/tháo phương tiện KHX</t>
  </si>
  <si>
    <t>01/01/1980</t>
  </si>
  <si>
    <t>Truyền hóa chất tĩnh mạch [nội trú]</t>
  </si>
  <si>
    <t>Cắt chỉ kim loại</t>
  </si>
  <si>
    <t>Nắn, bó bột gãy xương bàn chân [bột liền]</t>
  </si>
  <si>
    <t>Tiêm gân duỗi ngón tay</t>
  </si>
  <si>
    <t>01/01/1960</t>
  </si>
  <si>
    <t>01/01/1944</t>
  </si>
  <si>
    <t>01/01/1948</t>
  </si>
  <si>
    <t>LÊ THỊ KIM ĐIỂU</t>
  </si>
  <si>
    <t>12/12/1958</t>
  </si>
  <si>
    <t>NGUYỄN THỊ PHƯỢNG</t>
  </si>
  <si>
    <t>01/01/1973</t>
  </si>
  <si>
    <t>01/01/1985</t>
  </si>
  <si>
    <t>01/01/1936</t>
  </si>
  <si>
    <t>01/01/1986</t>
  </si>
  <si>
    <t>PT vết thương phần mềm đơn giản</t>
  </si>
  <si>
    <t>Nguyễn Thị Phượng</t>
  </si>
  <si>
    <t>PT điều trị hội chứng ống cổ tay</t>
  </si>
  <si>
    <t>Chọn bác sĩ phẫu thuật theo yêu cầu</t>
  </si>
  <si>
    <t>NGUYỄN THỊ HOA</t>
  </si>
  <si>
    <t>01/01/1988</t>
  </si>
  <si>
    <t>Tiêm khớp vai</t>
  </si>
  <si>
    <t>PHẠM THỊ BÉ TÁM</t>
  </si>
  <si>
    <t>TRƯƠNG HUỲNH THÁI DUY</t>
  </si>
  <si>
    <t>09/12/2007</t>
  </si>
  <si>
    <t>PT làm mỏm cụt ngón và đốt bàn ngón</t>
  </si>
  <si>
    <t>PT điều trị hội chứng ống cổ tay (50%)</t>
  </si>
  <si>
    <t>Lê Thị Tuyết</t>
  </si>
  <si>
    <t>PT thay toàn bộ khớp háng (50%)</t>
  </si>
  <si>
    <t>Cố định cột sống và hàn khớp qua liên thân đốt CS thắt lưng - cùng đường sau</t>
  </si>
  <si>
    <t>PTNS tái tạo dây chằng chéo trước</t>
  </si>
  <si>
    <t>Tăng Thị Miền</t>
  </si>
  <si>
    <t>PT lấy đĩa đệm CSTL qua da</t>
  </si>
  <si>
    <t>PTNS cắt hoạt mạc viêm khớp gối</t>
  </si>
  <si>
    <t>PT trật khớp háng</t>
  </si>
  <si>
    <t>Nguyễn Thị Hằng</t>
  </si>
  <si>
    <t>17/7/2026</t>
  </si>
  <si>
    <t>Cố định cột sống bằng vít qua cuống</t>
  </si>
  <si>
    <t>21/7/2026</t>
  </si>
  <si>
    <t>Nguyễn Hữu Hiệp</t>
  </si>
  <si>
    <t>VÕ THÀNH QUANG</t>
  </si>
  <si>
    <t>23/7/2026</t>
  </si>
  <si>
    <t>27/7/2026</t>
  </si>
  <si>
    <t>28/07/2026</t>
  </si>
  <si>
    <t>29/7/2026</t>
  </si>
  <si>
    <t>30/7/2026</t>
  </si>
  <si>
    <t>Cắt u lành phần mềm đường kính dưới 10 cm</t>
  </si>
  <si>
    <t>TRẦN THỊ PHƯƠNG ANH</t>
  </si>
  <si>
    <t>20/02/1965</t>
  </si>
  <si>
    <t>NGUYỄN THỊ ĐÀO</t>
  </si>
  <si>
    <t>NGUYỄN THỊ DUNG</t>
  </si>
  <si>
    <t>NGUYỄN TUYẾT HẠNH</t>
  </si>
  <si>
    <t>01/01/1994</t>
  </si>
  <si>
    <t>2026/07/18 00:00</t>
  </si>
  <si>
    <t>2026/07/20 00:00</t>
  </si>
  <si>
    <t>2026/07/19 00:00</t>
  </si>
  <si>
    <t>2026/07/16 00:00</t>
  </si>
  <si>
    <t>2026/07/17 00:00</t>
  </si>
  <si>
    <t>2026/07/25 00:00</t>
  </si>
  <si>
    <t>2026/07/22 00:00</t>
  </si>
  <si>
    <t>2026/07/27 00:00</t>
  </si>
  <si>
    <t>2026/07/23 00:00</t>
  </si>
  <si>
    <t>2026/07/26 00:00</t>
  </si>
  <si>
    <t>2026/07/26 23:59</t>
  </si>
  <si>
    <t>2026/07/24 00:00</t>
  </si>
  <si>
    <t>05/10/1976</t>
  </si>
  <si>
    <t>2026/07/21 00:00</t>
  </si>
  <si>
    <t>TRƯƠNG THỊ BÉ SÁU</t>
  </si>
  <si>
    <t>2026/07/28 00:00</t>
  </si>
  <si>
    <t>2026/07/30 00:00</t>
  </si>
  <si>
    <t>2026/07/29 00:00</t>
  </si>
  <si>
    <t>TRẦN THỊ ƠN</t>
  </si>
  <si>
    <t>2026/07/23 16:00</t>
  </si>
  <si>
    <t>TIÊU KHÁNH HÒA</t>
  </si>
  <si>
    <t>12/12/2011</t>
  </si>
  <si>
    <t>TĂNG THỊ MIỀN</t>
  </si>
  <si>
    <t>PHAN VĂN MỪNG</t>
  </si>
  <si>
    <t>PHAN THANH PHONG</t>
  </si>
  <si>
    <t>PHẠM THỊ PHỤNG</t>
  </si>
  <si>
    <t>PHẠM THỊ NHAN</t>
  </si>
  <si>
    <t>05/02/1962</t>
  </si>
  <si>
    <t>2026/07/31 00:00</t>
  </si>
  <si>
    <t>PHẠM QUỐC THÁI</t>
  </si>
  <si>
    <t>13/01/2004</t>
  </si>
  <si>
    <t>NGUYỄN VĂN CUM</t>
  </si>
  <si>
    <t>NGUYỄN THỊ TRÚC LY</t>
  </si>
  <si>
    <t>16/09/1995</t>
  </si>
  <si>
    <t>NGUYỄN THỊ NHƯ Ý</t>
  </si>
  <si>
    <t>12/06/2008</t>
  </si>
  <si>
    <t>NGUYỄN THỊ LAN</t>
  </si>
  <si>
    <t>NGUYỄN THỊ HỒNG ĐIỆP</t>
  </si>
  <si>
    <t>NGUYỄN THỊ HẰNG</t>
  </si>
  <si>
    <t>NGUYỄN THANH LÂM</t>
  </si>
  <si>
    <t>2026/07/20 16:00</t>
  </si>
  <si>
    <t>NGUYỄN KIỀU DIÊM</t>
  </si>
  <si>
    <t>21/03/1982</t>
  </si>
  <si>
    <t>NGUYỄN HỮU THUẬN</t>
  </si>
  <si>
    <t>06/10/1983</t>
  </si>
  <si>
    <t>NGUYỄN HỮU HIỆP</t>
  </si>
  <si>
    <t>NGUYỄN HUY HOÀNG</t>
  </si>
  <si>
    <t>09/09/1966</t>
  </si>
  <si>
    <t>LÝ GIA HUY</t>
  </si>
  <si>
    <t>29/07/2009</t>
  </si>
  <si>
    <t>LÊ VĂN TIẾN</t>
  </si>
  <si>
    <t>LÊ THỊ TUYẾT</t>
  </si>
  <si>
    <t>01/01/1939</t>
  </si>
  <si>
    <t>LÊ THỊ LOAN</t>
  </si>
  <si>
    <t>LÊ ANH ĐIỆP</t>
  </si>
  <si>
    <t>10/02/1990</t>
  </si>
  <si>
    <t>ĐOÀN THỊ VÂN</t>
  </si>
  <si>
    <t>BÙI VĂN SANG</t>
  </si>
  <si>
    <t>15/10/1990</t>
  </si>
  <si>
    <t>2026/07/23 05:00</t>
  </si>
  <si>
    <t>2026/07/24 16:00</t>
  </si>
  <si>
    <t>2026/07/24 05:00</t>
  </si>
  <si>
    <t>2026/07/22 16:00</t>
  </si>
  <si>
    <t>2026/07/30 05:00</t>
  </si>
  <si>
    <t>2026/07/29 16:00</t>
  </si>
  <si>
    <t>2026/07/29 05:00</t>
  </si>
  <si>
    <t>2026/07/27 16:00</t>
  </si>
  <si>
    <t>2026/07/27 05:00</t>
  </si>
  <si>
    <t>2026/07/28 05:00</t>
  </si>
  <si>
    <t>2026/07/26 05:00</t>
  </si>
  <si>
    <t>2026/07/26 16:00</t>
  </si>
  <si>
    <t>2026/07/25 05:00</t>
  </si>
  <si>
    <t>2026/07/30 16:00</t>
  </si>
  <si>
    <t>VÕ VĂN ÚT</t>
  </si>
  <si>
    <t>2026/07/23 07:00</t>
  </si>
  <si>
    <t>2026/07/22 07:00</t>
  </si>
  <si>
    <t>2026/07/28 07:00</t>
  </si>
  <si>
    <t>TRƯƠNG TUYẾT NHI</t>
  </si>
  <si>
    <t>20/10/2012</t>
  </si>
  <si>
    <t>2026/07/23 07:30</t>
  </si>
  <si>
    <t>2026/07/22 07:30</t>
  </si>
  <si>
    <t>2026/07/24 07:30</t>
  </si>
  <si>
    <t>2026/07/29 07:00</t>
  </si>
  <si>
    <t>2026/07/31 08:00</t>
  </si>
  <si>
    <t>2026/07/24 07:00</t>
  </si>
  <si>
    <t>2026/07/31 05:00</t>
  </si>
  <si>
    <t>2026/07/31 07:00</t>
  </si>
  <si>
    <t>2026/07/30 07:00</t>
  </si>
  <si>
    <t>Tiêm gân gót</t>
  </si>
  <si>
    <t>NGUYỄN VĂN PHÁT</t>
  </si>
  <si>
    <t>15/06/1967</t>
  </si>
  <si>
    <t>Tiêm gân lồi cầu cánh tay trong/ngoài</t>
  </si>
  <si>
    <t>10/10/1981</t>
  </si>
  <si>
    <t>NGUYỄN CÔNG SƠN</t>
  </si>
  <si>
    <t>02/05/1972</t>
  </si>
  <si>
    <t>LƯU VĂN THÔNG</t>
  </si>
  <si>
    <t>30/09/1984</t>
  </si>
  <si>
    <t>Hút ổ viêm/áp xe phần mềm dưới hướng dẫn của siêu âm</t>
  </si>
  <si>
    <t>BÙI VĂN BẢY</t>
  </si>
  <si>
    <t>THÁNG 8/2026</t>
  </si>
  <si>
    <t>Cần Thơ, ngày 31 tháng 8 năm 2026</t>
  </si>
  <si>
    <t>Cần Thơ, Ngày 31 tháng 8 năm 2026</t>
  </si>
  <si>
    <t>Nguyễn Thị Năm</t>
  </si>
  <si>
    <t>Lâm Thị Thúy</t>
  </si>
  <si>
    <t>Lê Trường Giang</t>
  </si>
  <si>
    <t>Phạm Thị Ngọc Ánh</t>
  </si>
  <si>
    <t>Nguyễn Văn Cư</t>
  </si>
  <si>
    <t>29/07/2026</t>
  </si>
  <si>
    <t>Nguyễn Nhật Vân</t>
  </si>
  <si>
    <t>Nguyễn Thị Thanh Hòa</t>
  </si>
  <si>
    <t>PTNS cắt lọc khâu rách chóp xoay qua nội soi khóp vai</t>
  </si>
  <si>
    <t>LÂM CHÍ VỈNH</t>
  </si>
  <si>
    <t>PTNS tái tạo dây chằng chéo trước bằng gân chân ngỗng</t>
  </si>
  <si>
    <t>Lê Thị Thanh Nhanh</t>
  </si>
  <si>
    <t>Nguyễn Thị Hồng Tho</t>
  </si>
  <si>
    <t>Nguyễn Văn Hoài</t>
  </si>
  <si>
    <t>Hồ Minh Tuấn</t>
  </si>
  <si>
    <t>Huỳnh Văn Chót</t>
  </si>
  <si>
    <t>Nguyễn Thị Phụng</t>
  </si>
  <si>
    <t>Trương Triều Dũng</t>
  </si>
  <si>
    <t>Lê Thị Ghi</t>
  </si>
  <si>
    <t>31/7/2026</t>
  </si>
  <si>
    <t>TRƯƠNG PHƯỚC HIẾU</t>
  </si>
  <si>
    <t>Trần Thị Ngọc Xứng</t>
  </si>
  <si>
    <t>Lâm Phi Dũng</t>
  </si>
  <si>
    <t>Đoàn Thị Vân</t>
  </si>
  <si>
    <t>Rút đinh/ tháo phương tiện KHX</t>
  </si>
  <si>
    <t>01/08/2026</t>
  </si>
  <si>
    <t>Phan Hoàng Ân</t>
  </si>
  <si>
    <t>PT vết thương phần mềm phức tạp</t>
  </si>
  <si>
    <t>02/8/2026</t>
  </si>
  <si>
    <t>Dương Bá Nhẫn</t>
  </si>
  <si>
    <t>Bùi Văn Trường</t>
  </si>
  <si>
    <t>03/8/2026</t>
  </si>
  <si>
    <t>Nguyễn Thị Hương</t>
  </si>
  <si>
    <t>Võ Thị Huệ</t>
  </si>
  <si>
    <t>PT lấy đĩa đệm cột sống thắt lưng qua da</t>
  </si>
  <si>
    <t>Võ Thị Xiêng</t>
  </si>
  <si>
    <t>Phạm Thị Kim Giàu</t>
  </si>
  <si>
    <t>Trần Minh Tưởng</t>
  </si>
  <si>
    <t xml:space="preserve">PT vá da diện tích &gt;10cm </t>
  </si>
  <si>
    <t>NGUYỄN THỊ HỒNG THO</t>
  </si>
  <si>
    <t>Lê Thị Ửng</t>
  </si>
  <si>
    <t xml:space="preserve">PT chuyển vạt che phủ phần mềm cuống mạch liền </t>
  </si>
  <si>
    <t>Trần Thị Thúy Hằng</t>
  </si>
  <si>
    <t>Nguyễn Thị Tiên</t>
  </si>
  <si>
    <t xml:space="preserve">PT điều trị hội chứng ống cổ tay </t>
  </si>
  <si>
    <t>04/8/2026</t>
  </si>
  <si>
    <t>Thái Thiện Thảo</t>
  </si>
  <si>
    <t>PT giải phóng chèn ép thần kinh ngoại biên</t>
  </si>
  <si>
    <t>Trần Minh Kha</t>
  </si>
  <si>
    <t>Trần Phương Đông</t>
  </si>
  <si>
    <t>Phạm Thị Thanh Trúc</t>
  </si>
  <si>
    <t>Trương Cẩm Tú</t>
  </si>
  <si>
    <t>La Bích Lệ</t>
  </si>
  <si>
    <t>Nguyễn Thị Ánh Loan</t>
  </si>
  <si>
    <t>05/08/2026</t>
  </si>
  <si>
    <t>Dương Nhật Thái</t>
  </si>
  <si>
    <t>Võ Minh Trí</t>
  </si>
  <si>
    <t>Nguyễn Văn Hưởng</t>
  </si>
  <si>
    <t>PT chuyển gân điều trị bàn chân rủ do liệt vận động</t>
  </si>
  <si>
    <t>06/8/2026</t>
  </si>
  <si>
    <t>Đặng Thanh Phong</t>
  </si>
  <si>
    <t>PTNS tái tạo dây chằng chéo sau</t>
  </si>
  <si>
    <t>Phan Thượng Hải</t>
  </si>
  <si>
    <t>Nguyễn Văn Khải</t>
  </si>
  <si>
    <t>KHX trên màn hình tăng sáng</t>
  </si>
  <si>
    <t>07/8/2026</t>
  </si>
  <si>
    <t>Lê Thị Hạnh</t>
  </si>
  <si>
    <t>Phạm Thị Bẩn</t>
  </si>
  <si>
    <t>PT điều trị hội chứng ống cổ tay (80%)</t>
  </si>
  <si>
    <t>Trần Thị Kính</t>
  </si>
  <si>
    <t>09/8/2026</t>
  </si>
  <si>
    <t>Võ Thành Dương</t>
  </si>
  <si>
    <t>PT vết thương phần mềm đơn giản / rách da đầu</t>
  </si>
  <si>
    <t>10/8/2026</t>
  </si>
  <si>
    <t>Trương Văn Út</t>
  </si>
  <si>
    <t>Huỳnh Thu Hồng</t>
  </si>
  <si>
    <t>Trần Thị Mỹ Trọng</t>
  </si>
  <si>
    <t>Huỳnh Gia Tiến</t>
  </si>
  <si>
    <t>Nguyễn Thanh Bình</t>
  </si>
  <si>
    <t>PT sinh thiết chẩn đoán</t>
  </si>
  <si>
    <t>Đặng Đình Bằng</t>
  </si>
  <si>
    <t>Trương Trung Trực</t>
  </si>
  <si>
    <t>Huỳnh Việt Dũng</t>
  </si>
  <si>
    <t>Võ Văn Út</t>
  </si>
  <si>
    <t>Nguyễn Thị Tám</t>
  </si>
  <si>
    <t>Nguyễn Đức Tín</t>
  </si>
  <si>
    <t>Nguyễn Thị Mai Chi</t>
  </si>
  <si>
    <t>Hồ Thị Ngự</t>
  </si>
  <si>
    <t>Lê Hoàng Việt</t>
  </si>
  <si>
    <t>Văn Đắc Sơn Tây</t>
  </si>
  <si>
    <t>Ngô Hồng Quảng</t>
  </si>
  <si>
    <t>Nguyễn Thị Loan</t>
  </si>
  <si>
    <t>Lê Thanh Tuấn</t>
  </si>
  <si>
    <t xml:space="preserve">PT thay toàn bộ khớp háng </t>
  </si>
  <si>
    <t>TRẦN LỆ XUÂN</t>
  </si>
  <si>
    <t>Nguyễn Thị Út Em</t>
  </si>
  <si>
    <t>Cố định cột sống và hàn khớp qua liên thân đốt cột sống thắt lưng</t>
  </si>
  <si>
    <t>Văng Văn Đồ</t>
  </si>
  <si>
    <t>Võ Thành Long</t>
  </si>
  <si>
    <t>Lê Thị Út Nhỏ</t>
  </si>
  <si>
    <t>Nguyễn Quốc Học</t>
  </si>
  <si>
    <t>Phạm Văn Long</t>
  </si>
  <si>
    <t>Trần Thị Hiếu</t>
  </si>
  <si>
    <t>Nguyễn Thị Xuân Lan</t>
  </si>
  <si>
    <t>Võ Văn Đoàn</t>
  </si>
  <si>
    <t>Lê Ngọc Điệp</t>
  </si>
  <si>
    <t>Hà Minh Huy</t>
  </si>
  <si>
    <t>PTNS tạo hình mỏm cùng vai</t>
  </si>
  <si>
    <t>14/8/2026</t>
  </si>
  <si>
    <t>Nguyễn Thị Dung</t>
  </si>
  <si>
    <t>Nguyễn Thị Hưởng</t>
  </si>
  <si>
    <t>Lê Thị Buốn</t>
  </si>
  <si>
    <t>Huỳnh Ngọc Sơn</t>
  </si>
  <si>
    <t>Lê Thanh Hiền</t>
  </si>
  <si>
    <t>Hồ Nguyễn Tố Như</t>
  </si>
  <si>
    <t>15/8/2025</t>
  </si>
  <si>
    <t>Trần Hiền</t>
  </si>
  <si>
    <t>Trần Văn Lẹ</t>
  </si>
  <si>
    <t>16/8/2025</t>
  </si>
  <si>
    <t>Bùi Văn Bảy</t>
  </si>
  <si>
    <t>Đặng Thị Gấm</t>
  </si>
  <si>
    <t>17/8/2026</t>
  </si>
  <si>
    <t>Võ Hồng Cơ</t>
  </si>
  <si>
    <t>Nguyễn Thị Lan</t>
  </si>
  <si>
    <t>Ong Thị Thêu</t>
  </si>
  <si>
    <t>Trần Thị Ngọc Mỹ</t>
  </si>
  <si>
    <t>Trần Thanh Qui</t>
  </si>
  <si>
    <t>18/8/2026</t>
  </si>
  <si>
    <t>Nguyễn Thành Long</t>
  </si>
  <si>
    <t>Bùi Thị Ngời</t>
  </si>
  <si>
    <t>Trần Thị Diễm Trang</t>
  </si>
  <si>
    <t>PT KHX trật khớp cùng đòn</t>
  </si>
  <si>
    <t>Phạm Ngọc Sơn</t>
  </si>
  <si>
    <t>Nguyễn Thị Hè</t>
  </si>
  <si>
    <t>Bùi Hữu Thọ</t>
  </si>
  <si>
    <t>19/8/2026</t>
  </si>
  <si>
    <t>Nguyễn Văn Y</t>
  </si>
  <si>
    <t xml:space="preserve"> </t>
  </si>
  <si>
    <t>PTNS khâu sụn chêm (50%)</t>
  </si>
  <si>
    <t>Nguyễn Thị Thắm</t>
  </si>
  <si>
    <t>Trần Ngọc Ánh</t>
  </si>
  <si>
    <t>20/8/2026</t>
  </si>
  <si>
    <t>Ngô Tuấn An</t>
  </si>
  <si>
    <t>PT KHX gãy cổ giải phẫu và phẫu thuật KHX cánh tay</t>
  </si>
  <si>
    <t>Phạm Thị Diễm</t>
  </si>
  <si>
    <t>Phạm Ngọc Anh Thơ</t>
  </si>
  <si>
    <t>Lê Thị Kim Điểu</t>
  </si>
  <si>
    <t>21/8/2026</t>
  </si>
  <si>
    <t>Nguyễn Trọng Nam</t>
  </si>
  <si>
    <t>Hồ Văn Tài</t>
  </si>
  <si>
    <t>Trần Thị Ngọc Diễm</t>
  </si>
  <si>
    <t>22/8/2026</t>
  </si>
  <si>
    <t>CHIÊM HUỲNH ANH THƯ</t>
  </si>
  <si>
    <t>Lâm Đại Nhơn</t>
  </si>
  <si>
    <t>Võ Tấn Đức</t>
  </si>
  <si>
    <t>PT lấy nhân đệm CSTL qua da</t>
  </si>
  <si>
    <t>23/8/2026</t>
  </si>
  <si>
    <t>Lê Văn Nô</t>
  </si>
  <si>
    <t>Hồ Thị Thanh Hà</t>
  </si>
  <si>
    <t>24/8/2026</t>
  </si>
  <si>
    <t>Nguyễn Văn Đoàn</t>
  </si>
  <si>
    <t>25/8/2026</t>
  </si>
  <si>
    <t>Hồ Bé Tư</t>
  </si>
  <si>
    <t>Hồng Thị Bé</t>
  </si>
  <si>
    <t>Thay toàn bộ khớp gối</t>
  </si>
  <si>
    <t>Lâm Văn Tấn</t>
  </si>
  <si>
    <t>La Thu Nga</t>
  </si>
  <si>
    <t>Huỳnh Văn Công</t>
  </si>
  <si>
    <t>Nguyễn Đình Ngọc Giàu</t>
  </si>
  <si>
    <t>PTNS tái tạo dây chằng bằng gân chân ngỗng</t>
  </si>
  <si>
    <t>Nguyễn Văn Quảng</t>
  </si>
  <si>
    <t>26/8/2026</t>
  </si>
  <si>
    <t>Kiều Thị Lộc</t>
  </si>
  <si>
    <t>Tạo hình và đổ xi măng cột sống</t>
  </si>
  <si>
    <t>TT đặc biệt</t>
  </si>
  <si>
    <t>Phạm Văn Hiếu</t>
  </si>
  <si>
    <t>Phan Mỹ Lệ</t>
  </si>
  <si>
    <t>Võ Thị Nguyên</t>
  </si>
  <si>
    <t xml:space="preserve">Cắt u xương sụn gây tê </t>
  </si>
  <si>
    <t>Tên bệnh nhân</t>
  </si>
  <si>
    <t>Năm sinh</t>
  </si>
  <si>
    <t>Tên dịch vụ/thuốc</t>
  </si>
  <si>
    <t>Số lượng</t>
  </si>
  <si>
    <t>Ngày chỉ định</t>
  </si>
  <si>
    <t>BÙI HỮU THỌ</t>
  </si>
  <si>
    <t>01/02/1981</t>
  </si>
  <si>
    <t>2026/08/23 00:00</t>
  </si>
  <si>
    <t>2026/08/25 13:00</t>
  </si>
  <si>
    <t>2026/08/16 00:00</t>
  </si>
  <si>
    <t>2026/08/19 00:00</t>
  </si>
  <si>
    <t>2026/08/17 00:00</t>
  </si>
  <si>
    <t>2026/08/18 19:23</t>
  </si>
  <si>
    <t>2026/08/18 23:59</t>
  </si>
  <si>
    <t>2026/08/20 00:00</t>
  </si>
  <si>
    <t>2026/08/24 00:00</t>
  </si>
  <si>
    <t>2026/08/22 00:00</t>
  </si>
  <si>
    <t>2026/08/21 00:00</t>
  </si>
  <si>
    <t>BÙI THỊ NGỜI</t>
  </si>
  <si>
    <t>2026/08/15 00:00</t>
  </si>
  <si>
    <t>2026/08/14 00:00</t>
  </si>
  <si>
    <t>2026/08/14 23:59</t>
  </si>
  <si>
    <t>2026/08/13 15:15</t>
  </si>
  <si>
    <t>BÙI THỊ TRÀ</t>
  </si>
  <si>
    <t>22/09/1958</t>
  </si>
  <si>
    <t>2026/08/12 00:00</t>
  </si>
  <si>
    <t>2026/08/13 00:00</t>
  </si>
  <si>
    <t>2026/08/11 16:16</t>
  </si>
  <si>
    <t>2026/08/10 12:00</t>
  </si>
  <si>
    <t>2026/08/10 08:44</t>
  </si>
  <si>
    <t>2026/08/11 00:00</t>
  </si>
  <si>
    <t>2026/08/16 11:00</t>
  </si>
  <si>
    <t>BÙI VĂN TRƯỜNG</t>
  </si>
  <si>
    <t>2026/08/03 08:27</t>
  </si>
  <si>
    <t>2026/08/05 00:00</t>
  </si>
  <si>
    <t>2026/08/05 23:59</t>
  </si>
  <si>
    <t>2026/08/04 00:00</t>
  </si>
  <si>
    <t>2026/08/04 23:59</t>
  </si>
  <si>
    <t>2026/08/10 00:00</t>
  </si>
  <si>
    <t>2026/08/10 09:49</t>
  </si>
  <si>
    <t>2026/08/08 00:00</t>
  </si>
  <si>
    <t>2026/08/07 07:00</t>
  </si>
  <si>
    <t>2026/08/06 00:00</t>
  </si>
  <si>
    <t>2026/08/09 00:00</t>
  </si>
  <si>
    <t>BẰNG ĐĂNG KHOA</t>
  </si>
  <si>
    <t>20/05/2001</t>
  </si>
  <si>
    <t>2026/08/01 00:00</t>
  </si>
  <si>
    <t>01/04/2000</t>
  </si>
  <si>
    <t>2026/08/21 08:49</t>
  </si>
  <si>
    <t>2026/08/22 13:34</t>
  </si>
  <si>
    <t>DƯƠNG BÁ NHẪN</t>
  </si>
  <si>
    <t>13/12/1999</t>
  </si>
  <si>
    <t>2026/08/03 00:00</t>
  </si>
  <si>
    <t>2026/08/02 17:23</t>
  </si>
  <si>
    <t>DƯƠNG HOÀNG TRUNG</t>
  </si>
  <si>
    <t>20/09/1983</t>
  </si>
  <si>
    <t>2026/08/07 00:00</t>
  </si>
  <si>
    <t>DƯƠNG NHẬT THÁI</t>
  </si>
  <si>
    <t>01/06/2008</t>
  </si>
  <si>
    <t>2026/08/04 09:54</t>
  </si>
  <si>
    <t>2026/08/05 13:00</t>
  </si>
  <si>
    <t>HUỲNH GIA TIẾN</t>
  </si>
  <si>
    <t>09/07/1988</t>
  </si>
  <si>
    <t>2026/08/08 16:05</t>
  </si>
  <si>
    <t>HUỲNH NGỌC SƠN</t>
  </si>
  <si>
    <t>21/10/2002</t>
  </si>
  <si>
    <t>2026/08/13 10:00</t>
  </si>
  <si>
    <t>HUỲNH THU HỒNG</t>
  </si>
  <si>
    <t>10/12/1957</t>
  </si>
  <si>
    <t>2026/08/19 10:11</t>
  </si>
  <si>
    <t>2026/08/07 12:14</t>
  </si>
  <si>
    <t>2026/08/20 15:10</t>
  </si>
  <si>
    <t>2026/08/10 14:00</t>
  </si>
  <si>
    <t>HUỲNH VIỆT DŨNG</t>
  </si>
  <si>
    <t>11/04/2004</t>
  </si>
  <si>
    <t>2026/08/10 10:16</t>
  </si>
  <si>
    <t>HUỲNH VĂN CHÓT</t>
  </si>
  <si>
    <t>2026/07/29 15:38</t>
  </si>
  <si>
    <t>2026/08/02 00:00</t>
  </si>
  <si>
    <t>HÀ MINH HUY</t>
  </si>
  <si>
    <t>28/01/1964</t>
  </si>
  <si>
    <t>2026/08/12 13:49</t>
  </si>
  <si>
    <t>HỒ BÉ TƯ</t>
  </si>
  <si>
    <t>2026/08/21 14:47</t>
  </si>
  <si>
    <t>2026/08/25 13:27</t>
  </si>
  <si>
    <t>2026/08/27 00:00</t>
  </si>
  <si>
    <t>2026/08/26 00:00</t>
  </si>
  <si>
    <t>2026/08/28 00:00</t>
  </si>
  <si>
    <t>2026/08/29 00:00</t>
  </si>
  <si>
    <t>2026/08/30 00:00</t>
  </si>
  <si>
    <t>HỒ MINH TUẤN</t>
  </si>
  <si>
    <t>25/08/1987</t>
  </si>
  <si>
    <t>2026/07/29 10:03</t>
  </si>
  <si>
    <t>HỒ NGUYỄN TỐ NHƯ</t>
  </si>
  <si>
    <t>19/03/2003</t>
  </si>
  <si>
    <t>2026/08/13 07:29</t>
  </si>
  <si>
    <t>2026/08/13 07:20</t>
  </si>
  <si>
    <t>2026/08/14 15:27</t>
  </si>
  <si>
    <t>HỒ THỊ NGỰ</t>
  </si>
  <si>
    <t>2026/08/10 15:07</t>
  </si>
  <si>
    <t>HỒ THỊ THANH HÀ</t>
  </si>
  <si>
    <t>18/11/1967</t>
  </si>
  <si>
    <t>2026/08/23 16:30</t>
  </si>
  <si>
    <t>2026/08/21 19:00</t>
  </si>
  <si>
    <t>2026/08/25 00:00</t>
  </si>
  <si>
    <t>HỒ VĂN TÀI</t>
  </si>
  <si>
    <t>2026/08/21 17:55</t>
  </si>
  <si>
    <t>HỒNG THỊ BÉ</t>
  </si>
  <si>
    <t>06/02/1950</t>
  </si>
  <si>
    <t>2026/08/24 08:00</t>
  </si>
  <si>
    <t>KIỀU THỊ LỘC</t>
  </si>
  <si>
    <t>25/03/1954</t>
  </si>
  <si>
    <t>2026/08/22 18:27</t>
  </si>
  <si>
    <t>LA BÍCH LỆ</t>
  </si>
  <si>
    <t>2026/08/03 14:50</t>
  </si>
  <si>
    <t>LA THU NGA</t>
  </si>
  <si>
    <t>09/11/1977</t>
  </si>
  <si>
    <t>2026/08/31 00:00</t>
  </si>
  <si>
    <t>2026/08/26 08:57</t>
  </si>
  <si>
    <t>13/07/2006</t>
  </si>
  <si>
    <t>2026/07/28 23:59</t>
  </si>
  <si>
    <t>2026/07/27 10:31</t>
  </si>
  <si>
    <t>LÂM PHI DŨNG</t>
  </si>
  <si>
    <t>12/12/1965</t>
  </si>
  <si>
    <t>2026/07/30 09:13</t>
  </si>
  <si>
    <t>2026/07/31 18:40</t>
  </si>
  <si>
    <t>LÂM THỊ THÚY</t>
  </si>
  <si>
    <t>2026/07/15 08:35</t>
  </si>
  <si>
    <t>2026/08/06 17:04</t>
  </si>
  <si>
    <t>2026/07/21 15:53</t>
  </si>
  <si>
    <t>LÂM VĂN TẤN</t>
  </si>
  <si>
    <t>2026/08/23 18:00</t>
  </si>
  <si>
    <t>LÂM ĐẠI NHƠN</t>
  </si>
  <si>
    <t>02/03/1938</t>
  </si>
  <si>
    <t>2026/08/21 01:23</t>
  </si>
  <si>
    <t>2026/08/22 09:00</t>
  </si>
  <si>
    <t>LÊ CÔNG THẠNH</t>
  </si>
  <si>
    <t>2026/07/30 18:44</t>
  </si>
  <si>
    <t>LÊ HOÀI NAM</t>
  </si>
  <si>
    <t>02/05/1982</t>
  </si>
  <si>
    <t>LÊ HOÀNG VIỆT</t>
  </si>
  <si>
    <t>22/08/1999</t>
  </si>
  <si>
    <t>2026/08/10 10:09</t>
  </si>
  <si>
    <t>2026/08/11 14:02</t>
  </si>
  <si>
    <t>LÊ NGỌC ĐIỆP</t>
  </si>
  <si>
    <t>29/08/1962</t>
  </si>
  <si>
    <t>2026/08/12 09:27</t>
  </si>
  <si>
    <t>2026/08/18 00:00</t>
  </si>
  <si>
    <t>2026/08/13 19:01</t>
  </si>
  <si>
    <t>LÊ NHƯ Ý</t>
  </si>
  <si>
    <t>09/08/2003</t>
  </si>
  <si>
    <t>2026/08/01 12:21</t>
  </si>
  <si>
    <t>LÊ THANH HIỀN</t>
  </si>
  <si>
    <t>04/10/1989</t>
  </si>
  <si>
    <t>LÊ THANH TUẤN</t>
  </si>
  <si>
    <t>24/12/1980</t>
  </si>
  <si>
    <t>2026/08/10 10:41</t>
  </si>
  <si>
    <t>2026/08/12 13:30</t>
  </si>
  <si>
    <t>LÊ THỊ BUỐN</t>
  </si>
  <si>
    <t>24/10/1948</t>
  </si>
  <si>
    <t>2026/08/13 15:04</t>
  </si>
  <si>
    <t>LÊ THỊ CHÍN</t>
  </si>
  <si>
    <t>16/06/1941</t>
  </si>
  <si>
    <t>2026/08/05 11:00</t>
  </si>
  <si>
    <t>LÊ THỊ CÚC</t>
  </si>
  <si>
    <t>2026/08/10 11:07</t>
  </si>
  <si>
    <t>2026/08/10 08:59</t>
  </si>
  <si>
    <t>LÊ THỊ DIỆU HIỀN</t>
  </si>
  <si>
    <t>13/05/1961</t>
  </si>
  <si>
    <t>2026/08/10 16:15</t>
  </si>
  <si>
    <t>2026/08/08 16:15</t>
  </si>
  <si>
    <t>2026/08/09 16:15</t>
  </si>
  <si>
    <t>2026/08/07 16:15</t>
  </si>
  <si>
    <t>LÊ THỊ GHI</t>
  </si>
  <si>
    <t>2026/07/30 08:08</t>
  </si>
  <si>
    <t>LÊ THỊ HẠNH</t>
  </si>
  <si>
    <t>2026/08/07 09:12</t>
  </si>
  <si>
    <t>2026/08/17 15:01</t>
  </si>
  <si>
    <t>2026/08/20 14:00</t>
  </si>
  <si>
    <t>LÊ THỊ MỸ HẠNH</t>
  </si>
  <si>
    <t>24/01/1994</t>
  </si>
  <si>
    <t>2026/08/18 01:42</t>
  </si>
  <si>
    <t>LÊ THỊ NGỌC PHƯỢNG</t>
  </si>
  <si>
    <t>2026/07/29 09:26</t>
  </si>
  <si>
    <t>LÊ THỊ NẮM CHỊ</t>
  </si>
  <si>
    <t>2026/08/18 08:01</t>
  </si>
  <si>
    <t>LÊ THỊ THANH NHANH</t>
  </si>
  <si>
    <t>01/01/1959</t>
  </si>
  <si>
    <t>2026/08/20 09:00</t>
  </si>
  <si>
    <t>LÊ THỊ VẸN</t>
  </si>
  <si>
    <t>LÊ THỊ ÚT NHỎ</t>
  </si>
  <si>
    <t>15/10/1978</t>
  </si>
  <si>
    <t>2026/08/10 09:41</t>
  </si>
  <si>
    <t>LÊ THỊ ỬNG</t>
  </si>
  <si>
    <t>02/09/1953</t>
  </si>
  <si>
    <t>2026/07/28 08:50</t>
  </si>
  <si>
    <t>LÊ TRƯỜNG GIANG</t>
  </si>
  <si>
    <t>2026/07/17 11:09</t>
  </si>
  <si>
    <t>2026/07/21 22:20</t>
  </si>
  <si>
    <t>LÊ VĂN NÔ</t>
  </si>
  <si>
    <t>2026/08/23 08:00</t>
  </si>
  <si>
    <t>LÝ MỸ LIÊN</t>
  </si>
  <si>
    <t>01/01/1940</t>
  </si>
  <si>
    <t>LƯU THANH THẢO</t>
  </si>
  <si>
    <t>19/10/1992</t>
  </si>
  <si>
    <t>2026/08/20 12:28</t>
  </si>
  <si>
    <t>MAI THỊ HAI</t>
  </si>
  <si>
    <t>19/07/1951</t>
  </si>
  <si>
    <t>2026/08/14 10:00</t>
  </si>
  <si>
    <t>MAI THỊ LIỄU</t>
  </si>
  <si>
    <t>02/07/1969</t>
  </si>
  <si>
    <t>2026/08/03 15:12</t>
  </si>
  <si>
    <t>MAI VĂN ANH</t>
  </si>
  <si>
    <t>2026/08/13 23:34</t>
  </si>
  <si>
    <t>NGUYỄN CHÁNH HUY</t>
  </si>
  <si>
    <t>18/01/2003</t>
  </si>
  <si>
    <t>2026/08/12 16:58</t>
  </si>
  <si>
    <t>2026/08/04 09:33</t>
  </si>
  <si>
    <t>NGUYỄN NHẬT VÂN</t>
  </si>
  <si>
    <t>2026/07/24 18:45</t>
  </si>
  <si>
    <t>2026/07/29 14:00</t>
  </si>
  <si>
    <t>NGUYỄN QUỐC HỌC</t>
  </si>
  <si>
    <t>01/09/2009</t>
  </si>
  <si>
    <t>2026/08/12 11:20</t>
  </si>
  <si>
    <t>2026/08/13 10:42</t>
  </si>
  <si>
    <t>NGUYỄN THANH BÌNH</t>
  </si>
  <si>
    <t>2026/08/10 10:30</t>
  </si>
  <si>
    <t>2026/08/07 01:58</t>
  </si>
  <si>
    <t>NGUYỄN THÀNH LONG</t>
  </si>
  <si>
    <t>03/01/1971</t>
  </si>
  <si>
    <t>2026/08/12 16:47</t>
  </si>
  <si>
    <t>NGUYỄN THỊ HÈ</t>
  </si>
  <si>
    <t>2026/08/17 15:02</t>
  </si>
  <si>
    <t>2026/08/17 13:58</t>
  </si>
  <si>
    <t>NGUYỄN THỊ HƯƠNG</t>
  </si>
  <si>
    <t>02/07/1965</t>
  </si>
  <si>
    <t>2026/07/31 09:19</t>
  </si>
  <si>
    <t>2026/08/03 14:11</t>
  </si>
  <si>
    <t>NGUYỄN THỊ HƯỞNG</t>
  </si>
  <si>
    <t>12/04/1971</t>
  </si>
  <si>
    <t>2026/08/10 10:00</t>
  </si>
  <si>
    <t>2026/08/14 17:00</t>
  </si>
  <si>
    <t>NGUYỄN THỊ HẢI</t>
  </si>
  <si>
    <t>2026/08/13 09:35</t>
  </si>
  <si>
    <t>15/02/1963</t>
  </si>
  <si>
    <t>2026/08/11 09:00</t>
  </si>
  <si>
    <t>2026/08/15 16:12</t>
  </si>
  <si>
    <t>19/05/1997</t>
  </si>
  <si>
    <t>2026/07/28 14:07</t>
  </si>
  <si>
    <t>10/10/1958</t>
  </si>
  <si>
    <t>2026/08/13 13:57</t>
  </si>
  <si>
    <t>2026/08/17 16:01</t>
  </si>
  <si>
    <t>NGUYỄN THỊ LOAN</t>
  </si>
  <si>
    <t>2026/08/10 16:42</t>
  </si>
  <si>
    <t>2026/08/10 13:27</t>
  </si>
  <si>
    <t>NGUYỄN THỊ MAI CHI</t>
  </si>
  <si>
    <t>28/08/1990</t>
  </si>
  <si>
    <t>2026/08/10 10:50</t>
  </si>
  <si>
    <t>NGUYỄN THỊ NĂM</t>
  </si>
  <si>
    <t>30/04/1955</t>
  </si>
  <si>
    <t>2026/08/03 10:26</t>
  </si>
  <si>
    <t>2026/08/04 08:47</t>
  </si>
  <si>
    <t>2026/08/11 10:00</t>
  </si>
  <si>
    <t>NGUYỄN THỊ PHỤNG</t>
  </si>
  <si>
    <t>2026/07/27 11:10</t>
  </si>
  <si>
    <t>NGUYỄN THỊ THANH HÒA</t>
  </si>
  <si>
    <t>19/03/1973</t>
  </si>
  <si>
    <t>2026/07/27 08:35</t>
  </si>
  <si>
    <t>NGUYỄN THỊ THÚY HẰNG</t>
  </si>
  <si>
    <t>02/07/1980</t>
  </si>
  <si>
    <t>2026/08/05 09:51</t>
  </si>
  <si>
    <t>NGUYỄN THỊ THẮM</t>
  </si>
  <si>
    <t>2026/08/18 10:28</t>
  </si>
  <si>
    <t>2026/08/24 05:00</t>
  </si>
  <si>
    <t>2026/08/23 05:00</t>
  </si>
  <si>
    <t>2026/08/22 05:00</t>
  </si>
  <si>
    <t>2026/08/19 16:27</t>
  </si>
  <si>
    <t>2026/08/21 05:00</t>
  </si>
  <si>
    <t>2026/08/25 05:00</t>
  </si>
  <si>
    <t>NGUYỄN THỊ TIÊN</t>
  </si>
  <si>
    <t>16/10/1961</t>
  </si>
  <si>
    <t>2026/08/03 07:15</t>
  </si>
  <si>
    <t>NGUYỄN THỊ TUYỀN</t>
  </si>
  <si>
    <t>20/09/1969</t>
  </si>
  <si>
    <t>2026/08/11 21:05</t>
  </si>
  <si>
    <t>NGUYỄN THỊ TÁM</t>
  </si>
  <si>
    <t>2026/08/10 15:53</t>
  </si>
  <si>
    <t>2026/08/11 16:15</t>
  </si>
  <si>
    <t>NGUYỄN THỊ XUÂN LAN</t>
  </si>
  <si>
    <t>30/12/1956</t>
  </si>
  <si>
    <t>2026/08/04 16:30</t>
  </si>
  <si>
    <t>2026/08/13 14:43</t>
  </si>
  <si>
    <t>NGUYỄN THỊ ÁNH</t>
  </si>
  <si>
    <t>2026/08/10 10:57</t>
  </si>
  <si>
    <t>NGUYỄN THỊ ÁNH LOAN</t>
  </si>
  <si>
    <t>30/10/1967</t>
  </si>
  <si>
    <t>2026/08/02 11:00</t>
  </si>
  <si>
    <t>NGUYỄN THỊ ÚT EM</t>
  </si>
  <si>
    <t>2026/08/11 08:36</t>
  </si>
  <si>
    <t>2026/08/12 18:57</t>
  </si>
  <si>
    <t>NGUYỄN TRỌNG NAM</t>
  </si>
  <si>
    <t>16/02/1992</t>
  </si>
  <si>
    <t>2026/08/19 08:05</t>
  </si>
  <si>
    <t>2026/08/19 07:34</t>
  </si>
  <si>
    <t>2026/08/21 14:23</t>
  </si>
  <si>
    <t>NGUYỄN TUYẾT HOA</t>
  </si>
  <si>
    <t>25/05/1950</t>
  </si>
  <si>
    <t>2026/08/05 09:40</t>
  </si>
  <si>
    <t>NGUYỄN VĂN CƯ</t>
  </si>
  <si>
    <t>20/09/1951</t>
  </si>
  <si>
    <t>2026/07/24 09:36</t>
  </si>
  <si>
    <t>NGUYỄN VĂN KHẢI</t>
  </si>
  <si>
    <t>04/11/1951</t>
  </si>
  <si>
    <t>2026/08/05 22:48</t>
  </si>
  <si>
    <t>2026/08/08 22:48</t>
  </si>
  <si>
    <t>2026/08/10 22:48</t>
  </si>
  <si>
    <t>2026/08/09 22:48</t>
  </si>
  <si>
    <t>2026/08/07 22:48</t>
  </si>
  <si>
    <t>2026/08/06 22:48</t>
  </si>
  <si>
    <t>NGUYỄN VĂN QUẢNG</t>
  </si>
  <si>
    <t>27/06/1976</t>
  </si>
  <si>
    <t>2026/08/24 10:00</t>
  </si>
  <si>
    <t>NGUYỄN VĂN Y</t>
  </si>
  <si>
    <t>10/07/1993</t>
  </si>
  <si>
    <t>2026/08/17 09:01</t>
  </si>
  <si>
    <t>2026/08/19 11:00</t>
  </si>
  <si>
    <t>NGUYỄN VĂN ĐOÀN</t>
  </si>
  <si>
    <t>2026/08/21 15:53</t>
  </si>
  <si>
    <t>NGUYỄN ĐÌNH NGỌC GIÀU</t>
  </si>
  <si>
    <t>11/08/1993</t>
  </si>
  <si>
    <t>2026/08/24 12:00</t>
  </si>
  <si>
    <t>NGUYỄN ĐỨC TÍN</t>
  </si>
  <si>
    <t>04/01/1986</t>
  </si>
  <si>
    <t>2026/08/10 13:50</t>
  </si>
  <si>
    <t>2026/08/10 10:31</t>
  </si>
  <si>
    <t>2026/08/11 18:00</t>
  </si>
  <si>
    <t>NGÔ HỒNG QUẢNG</t>
  </si>
  <si>
    <t>13/03/1962</t>
  </si>
  <si>
    <t>2026/08/10 15:15</t>
  </si>
  <si>
    <t>2026/08/11 18:11</t>
  </si>
  <si>
    <t>NGÔ TUẤN AN</t>
  </si>
  <si>
    <t>2026/08/17 10:58</t>
  </si>
  <si>
    <t>PHAN HOÀNG ÂN</t>
  </si>
  <si>
    <t>05/03/2001</t>
  </si>
  <si>
    <t>2026/08/01 11:00</t>
  </si>
  <si>
    <t>PHAN HỮU HƯNG</t>
  </si>
  <si>
    <t>19/02/1983</t>
  </si>
  <si>
    <t>2026/08/10 11:26</t>
  </si>
  <si>
    <t>2026/08/07 11:27</t>
  </si>
  <si>
    <t>2026/08/08 11:26</t>
  </si>
  <si>
    <t>2026/08/06 11:26</t>
  </si>
  <si>
    <t>2026/08/09 11:26</t>
  </si>
  <si>
    <t>2026/08/05 11:27</t>
  </si>
  <si>
    <t>2026/08/09 11:27</t>
  </si>
  <si>
    <t>2026/08/10 11:27</t>
  </si>
  <si>
    <t>2026/08/08 11:27</t>
  </si>
  <si>
    <t>PHAN MỸ LỆ</t>
  </si>
  <si>
    <t>PHAN THƯỢNG HẢI</t>
  </si>
  <si>
    <t>15/07/1972</t>
  </si>
  <si>
    <t>2026/08/06 18:10</t>
  </si>
  <si>
    <t>PHAN VĂN HÙNG</t>
  </si>
  <si>
    <t>2026/08/04 11:07</t>
  </si>
  <si>
    <t>PHẠM NGỌC ANH THƠ</t>
  </si>
  <si>
    <t>13/08/2007</t>
  </si>
  <si>
    <t>2026/08/19 16:28</t>
  </si>
  <si>
    <t>2026/08/20 20:28</t>
  </si>
  <si>
    <t>PHẠM NGỌC SƠN</t>
  </si>
  <si>
    <t>06/07/1989</t>
  </si>
  <si>
    <t>2026/08/17 08:11</t>
  </si>
  <si>
    <t>PHẠM THỊ BẨN</t>
  </si>
  <si>
    <t>17/12/1965</t>
  </si>
  <si>
    <t>2026/08/07 09:18</t>
  </si>
  <si>
    <t>2026/08/07 08:31</t>
  </si>
  <si>
    <t>PHẠM THỊ DIỄM</t>
  </si>
  <si>
    <t>15/04/1982</t>
  </si>
  <si>
    <t>2026/08/19 09:10</t>
  </si>
  <si>
    <t>2026/08/19 08:55</t>
  </si>
  <si>
    <t>PHẠM THỊ KIM GIÀU</t>
  </si>
  <si>
    <t>26/08/2007</t>
  </si>
  <si>
    <t>2026/07/31 14:26</t>
  </si>
  <si>
    <t>PHẠM THỊ THANH TRÚC</t>
  </si>
  <si>
    <t>20/06/1978</t>
  </si>
  <si>
    <t>PHẠM VĂN HIẾU</t>
  </si>
  <si>
    <t>06/01/1980</t>
  </si>
  <si>
    <t>2026/08/25 08:27</t>
  </si>
  <si>
    <t>2026/08/26 19:35</t>
  </si>
  <si>
    <t>PHẠM VĂN LONG</t>
  </si>
  <si>
    <t>2026/08/11 07:48</t>
  </si>
  <si>
    <t>THÁI THIỆN THẢO</t>
  </si>
  <si>
    <t>15/12/1969</t>
  </si>
  <si>
    <t>2026/08/03 08:48</t>
  </si>
  <si>
    <t>2026/08/04 10:50</t>
  </si>
  <si>
    <t>THẠCH THỊ MƯỢNG</t>
  </si>
  <si>
    <t>01/01/1943</t>
  </si>
  <si>
    <t>2026/08/26 08:00</t>
  </si>
  <si>
    <t>THỊ MỸ</t>
  </si>
  <si>
    <t>2026/07/20 09:32</t>
  </si>
  <si>
    <t>TRƯƠNG CẨM TÚ</t>
  </si>
  <si>
    <t>09/02/1994</t>
  </si>
  <si>
    <t>2026/08/03 08:00</t>
  </si>
  <si>
    <t>2026/08/04 14:56</t>
  </si>
  <si>
    <t>02/09/1991</t>
  </si>
  <si>
    <t>2026/07/29 08:26</t>
  </si>
  <si>
    <t>TRƯƠNG THỊ NHƯ QUỲNH</t>
  </si>
  <si>
    <t>10/06/2005</t>
  </si>
  <si>
    <t>TRƯƠNG THỊ SÁU</t>
  </si>
  <si>
    <t>TRƯƠNG THỊ ĐỨC</t>
  </si>
  <si>
    <t>17/03/1958</t>
  </si>
  <si>
    <t>TRƯƠNG TRIỀU DŨNG</t>
  </si>
  <si>
    <t>27/11/2008</t>
  </si>
  <si>
    <t>2026/07/29 14:07</t>
  </si>
  <si>
    <t>TRƯƠNG TRUNG TRỰC</t>
  </si>
  <si>
    <t>01/09/1942</t>
  </si>
  <si>
    <t>2026/08/07 18:40</t>
  </si>
  <si>
    <t>2026/08/11 18:16</t>
  </si>
  <si>
    <t>TRƯƠNG VĂN ÚT</t>
  </si>
  <si>
    <t>2026/08/07 09:29</t>
  </si>
  <si>
    <t>TRẦN HIỀN</t>
  </si>
  <si>
    <t>2026/08/11 16:00</t>
  </si>
  <si>
    <t>2026/08/15 16:00</t>
  </si>
  <si>
    <t>2026/08/12 15:30</t>
  </si>
  <si>
    <t>TRẦN MINH KHA</t>
  </si>
  <si>
    <t>15/02/1994</t>
  </si>
  <si>
    <t>2026/08/03 14:55</t>
  </si>
  <si>
    <t>2026/08/04 18:19</t>
  </si>
  <si>
    <t>TRẦN MINH TƯỞNG</t>
  </si>
  <si>
    <t>29/11/2002</t>
  </si>
  <si>
    <t>2026/07/31 10:06</t>
  </si>
  <si>
    <t>2026/08/03 13:45</t>
  </si>
  <si>
    <t>TRẦN NGỌC ÁNH</t>
  </si>
  <si>
    <t>07/01/1974</t>
  </si>
  <si>
    <t>TRẦN PHƯƠNG ĐÔNG</t>
  </si>
  <si>
    <t>2026/08/03 09:30</t>
  </si>
  <si>
    <t>TRẦN THANH QUI</t>
  </si>
  <si>
    <t>31/05/2005</t>
  </si>
  <si>
    <t>2026/08/18 07:45</t>
  </si>
  <si>
    <t>TRẦN THỊ DIỄM TRANG</t>
  </si>
  <si>
    <t>15/04/1984</t>
  </si>
  <si>
    <t>2026/08/18 13:33</t>
  </si>
  <si>
    <t>TRẦN THỊ HIẾU</t>
  </si>
  <si>
    <t>28/06/2010</t>
  </si>
  <si>
    <t>2026/08/11 09:31</t>
  </si>
  <si>
    <t>2026/08/11 10:25</t>
  </si>
  <si>
    <t>2026/08/13 16:05</t>
  </si>
  <si>
    <t>TRẦN THỊ KÍNH</t>
  </si>
  <si>
    <t>2026/08/07 10:02</t>
  </si>
  <si>
    <t>TRẦN THỊ MỸ HẰNG</t>
  </si>
  <si>
    <t>2026/08/18 10:19</t>
  </si>
  <si>
    <t>TRẦN THỊ MỸ TRỌNG</t>
  </si>
  <si>
    <t>26/04/1992</t>
  </si>
  <si>
    <t>2026/08/07 15:37</t>
  </si>
  <si>
    <t>2026/08/10 15:45</t>
  </si>
  <si>
    <t>TRẦN THỊ NGỌC DIỄM</t>
  </si>
  <si>
    <t>22/03/1996</t>
  </si>
  <si>
    <t>2026/08/19 11:26</t>
  </si>
  <si>
    <t>TRẦN THỊ NGỌC MỸ</t>
  </si>
  <si>
    <t>TRẦN THỊ NGỌC XỨNG</t>
  </si>
  <si>
    <t>15/06/1962</t>
  </si>
  <si>
    <t>2026/07/29 16:54</t>
  </si>
  <si>
    <t>TRẦN VĂN LẸ</t>
  </si>
  <si>
    <t>2026/08/14 16:56</t>
  </si>
  <si>
    <t>2026/07/27 16:32</t>
  </si>
  <si>
    <t>TẠ HOÀNG VÂN</t>
  </si>
  <si>
    <t>2026/08/11 08:44</t>
  </si>
  <si>
    <t>TẠ THỊ DẦN</t>
  </si>
  <si>
    <t>12/12/1952</t>
  </si>
  <si>
    <t>2026/08/25 09:25</t>
  </si>
  <si>
    <t>VÕ HỒNG CƠ</t>
  </si>
  <si>
    <t>25/12/1937</t>
  </si>
  <si>
    <t>2026/08/17 13:46</t>
  </si>
  <si>
    <t>VÕ MINH TRÍ</t>
  </si>
  <si>
    <t>03/01/1994</t>
  </si>
  <si>
    <t>2026/08/04 08:32</t>
  </si>
  <si>
    <t>2026/08/05 13:51</t>
  </si>
  <si>
    <t>VÕ THÀNH DƯƠNG</t>
  </si>
  <si>
    <t>27/01/1999</t>
  </si>
  <si>
    <t>2026/08/09 19:35</t>
  </si>
  <si>
    <t>VÕ THÀNH LONG</t>
  </si>
  <si>
    <t>06/06/1966</t>
  </si>
  <si>
    <t>2026/08/10 08:50</t>
  </si>
  <si>
    <t>VÕ THỊ HUỆ</t>
  </si>
  <si>
    <t>2026/07/19 11:00</t>
  </si>
  <si>
    <t>2026/08/03 19:26</t>
  </si>
  <si>
    <t>VÕ THỊ NGUYÊN</t>
  </si>
  <si>
    <t>17/03/1985</t>
  </si>
  <si>
    <t>2026/08/25 08:29</t>
  </si>
  <si>
    <t>2026/08/25 07:53</t>
  </si>
  <si>
    <t>2026/08/26 09:54</t>
  </si>
  <si>
    <t>VÕ THỊ XIÊNG</t>
  </si>
  <si>
    <t>2026/08/02 09:33</t>
  </si>
  <si>
    <t>VÕ TẤN ĐỨC</t>
  </si>
  <si>
    <t>2026/08/18 10:06</t>
  </si>
  <si>
    <t>2026/08/22 21:00</t>
  </si>
  <si>
    <t>VÕ VĂN LUÔN</t>
  </si>
  <si>
    <t>2026/08/13 15:11</t>
  </si>
  <si>
    <t>VÕ VĂN ĐOÀN</t>
  </si>
  <si>
    <t>15/08/1978</t>
  </si>
  <si>
    <t>2026/08/11 15:42</t>
  </si>
  <si>
    <t>2026/08/13 16:38</t>
  </si>
  <si>
    <t>VĂN ĐẮC SƠN TÂY</t>
  </si>
  <si>
    <t>15/11/1991</t>
  </si>
  <si>
    <t>2026/08/10 14:16</t>
  </si>
  <si>
    <t>VĂNG VĂN ĐỒ</t>
  </si>
  <si>
    <t>25/05/1972</t>
  </si>
  <si>
    <t>ĐOÀN THỊ NGUYÊN</t>
  </si>
  <si>
    <t>2026/07/30 08:38</t>
  </si>
  <si>
    <t>ĐẶNG THANH PHONG</t>
  </si>
  <si>
    <t>2026/08/04 08:13</t>
  </si>
  <si>
    <t>ĐẶNG THỊ GẤM</t>
  </si>
  <si>
    <t>2026/08/12 14:00</t>
  </si>
  <si>
    <t>ĐẶNG THỊ XUYẾN</t>
  </si>
  <si>
    <t>25/09/1970</t>
  </si>
  <si>
    <t>2026/08/25 07:47</t>
  </si>
  <si>
    <t>ĐẶNG ĐÌNH BẰNG</t>
  </si>
  <si>
    <t>25/08/1985</t>
  </si>
  <si>
    <t>2026/08/09 15:19</t>
  </si>
  <si>
    <t>2026/08/11 14:14</t>
  </si>
  <si>
    <t>ĐỖ THỊ THANH PHƯƠNG</t>
  </si>
  <si>
    <t>2026/08/18 13:42</t>
  </si>
  <si>
    <t>2026/08/11 12:15</t>
  </si>
  <si>
    <t>2026/08/14 18:50</t>
  </si>
  <si>
    <t>2026/08/04 07:30</t>
  </si>
  <si>
    <t>2026/08/14 13:35</t>
  </si>
  <si>
    <t>NGUYỄN THỊ HÀ</t>
  </si>
  <si>
    <t>2026/08/10 08:45</t>
  </si>
  <si>
    <t>NGUYỄN VĂN HƯỞNG</t>
  </si>
  <si>
    <t>11/12/1992</t>
  </si>
  <si>
    <t>2026/08/04 07:39</t>
  </si>
  <si>
    <t>2026/08/04 07:15</t>
  </si>
  <si>
    <t>2026/08/05 18:05</t>
  </si>
  <si>
    <t>NGUYỄN XUÂN ĐÀO</t>
  </si>
  <si>
    <t>20/11/1975</t>
  </si>
  <si>
    <t>2026/08/06 11:11</t>
  </si>
  <si>
    <t>ONG THỊ THÊU</t>
  </si>
  <si>
    <t>02/09/1972</t>
  </si>
  <si>
    <t>2026/08/20 16:00</t>
  </si>
  <si>
    <t>PHẠM THỊ NGỌC ÁNH</t>
  </si>
  <si>
    <t>2026/07/22 12:35</t>
  </si>
  <si>
    <t>2026/08/04 16:53</t>
  </si>
  <si>
    <t>2026/07/27 16:15</t>
  </si>
  <si>
    <t>2026/08/10 13:45</t>
  </si>
  <si>
    <t>2026/08/14 20:49</t>
  </si>
  <si>
    <t>2026/08/07 13:45</t>
  </si>
  <si>
    <t>2026/08/10 16:32</t>
  </si>
  <si>
    <t>2026/08/06 15:32</t>
  </si>
  <si>
    <t>2026/08/11 18:48</t>
  </si>
  <si>
    <t>2026/08/20 08:12</t>
  </si>
  <si>
    <t>2026/08/11 14:13</t>
  </si>
  <si>
    <t>2026/08/05 07:00</t>
  </si>
  <si>
    <t>2026/08/18 05:00</t>
  </si>
  <si>
    <t>2026/08/19 05:00</t>
  </si>
  <si>
    <t>2026/08/22 16:00</t>
  </si>
  <si>
    <t>2026/08/23 11:00</t>
  </si>
  <si>
    <t>2026/08/20 11:00</t>
  </si>
  <si>
    <t>2026/08/16 05:00</t>
  </si>
  <si>
    <t>2026/08/16 16:00</t>
  </si>
  <si>
    <t>2026/08/17 16:00</t>
  </si>
  <si>
    <t>2026/08/18 11:00</t>
  </si>
  <si>
    <t>2026/08/19 16:00</t>
  </si>
  <si>
    <t>2026/08/24 16:00</t>
  </si>
  <si>
    <t>2026/08/17 20:00</t>
  </si>
  <si>
    <t>2026/08/22 04:30</t>
  </si>
  <si>
    <t>2026/08/17 11:00</t>
  </si>
  <si>
    <t>2026/08/17 05:00</t>
  </si>
  <si>
    <t>2026/08/21 14:20</t>
  </si>
  <si>
    <t>2026/08/24 11:00</t>
  </si>
  <si>
    <t>2026/08/20 05:00</t>
  </si>
  <si>
    <t>2026/08/23 16:00</t>
  </si>
  <si>
    <t>2026/08/19 16:01</t>
  </si>
  <si>
    <t>2026/08/15 05:00</t>
  </si>
  <si>
    <t>2026/08/18 16:00</t>
  </si>
  <si>
    <t>2026/08/14 05:00</t>
  </si>
  <si>
    <t>2026/08/21 16:00</t>
  </si>
  <si>
    <t>2026/08/11 05:00</t>
  </si>
  <si>
    <t>2026/08/12 05:00</t>
  </si>
  <si>
    <t>2026/08/13 16:00</t>
  </si>
  <si>
    <t>2026/08/12 16:00</t>
  </si>
  <si>
    <t>2026/08/13 05:00</t>
  </si>
  <si>
    <t>2026/08/14 16:00</t>
  </si>
  <si>
    <t>2026/08/14 11:00</t>
  </si>
  <si>
    <t>2026/08/05 05:00</t>
  </si>
  <si>
    <t>2026/08/05 16:00</t>
  </si>
  <si>
    <t>2026/08/06 16:00</t>
  </si>
  <si>
    <t>2026/08/07 05:00</t>
  </si>
  <si>
    <t>2026/08/06 05:00</t>
  </si>
  <si>
    <t>2026/08/25 16:00</t>
  </si>
  <si>
    <t>2026/08/26 16:00</t>
  </si>
  <si>
    <t>2026/08/27 05:00</t>
  </si>
  <si>
    <t>2026/08/27 16:00</t>
  </si>
  <si>
    <t>2026/08/28 05:00</t>
  </si>
  <si>
    <t>2026/08/26 05:00</t>
  </si>
  <si>
    <t>2026/08/08 05:00</t>
  </si>
  <si>
    <t>2026/08/18 07:00</t>
  </si>
  <si>
    <t>2026/08/14 10:30</t>
  </si>
  <si>
    <t>2026/08/14 16:45</t>
  </si>
  <si>
    <t>2026/08/17 16:02</t>
  </si>
  <si>
    <t>2026/08/04 16:00</t>
  </si>
  <si>
    <t>2026/08/04 05:00</t>
  </si>
  <si>
    <t>2026/07/28 16:00</t>
  </si>
  <si>
    <t>2026/08/11 08:00</t>
  </si>
  <si>
    <t>2026/08/10 23:30</t>
  </si>
  <si>
    <t>2026/08/07 16:00</t>
  </si>
  <si>
    <t>2026/08/04 15:30</t>
  </si>
  <si>
    <t>2026/08/09 16:00</t>
  </si>
  <si>
    <t>2026/08/10 05:00</t>
  </si>
  <si>
    <t>2026/08/11 11:00</t>
  </si>
  <si>
    <t>2026/08/10 16:00</t>
  </si>
  <si>
    <t>2026/08/02 16:00</t>
  </si>
  <si>
    <t>2026/08/03 05:00</t>
  </si>
  <si>
    <t>2026/08/22 07:00</t>
  </si>
  <si>
    <t>2026/08/22 07:30</t>
  </si>
  <si>
    <t>2026/08/19 07:00</t>
  </si>
  <si>
    <t>2026/08/24 07:00</t>
  </si>
  <si>
    <t>2026/08/21 07:00</t>
  </si>
  <si>
    <t>2026/08/20 07:00</t>
  </si>
  <si>
    <t>2026/08/19 08:00</t>
  </si>
  <si>
    <t>2026/08/17 07:00</t>
  </si>
  <si>
    <t>2026/08/09 05:00</t>
  </si>
  <si>
    <t>2026/08/04 06:29</t>
  </si>
  <si>
    <t>2026/08/05 06:43</t>
  </si>
  <si>
    <t>2026/08/06 06:36</t>
  </si>
  <si>
    <t>2026/08/22 14:45</t>
  </si>
  <si>
    <t>2026/08/03 07:00</t>
  </si>
  <si>
    <t>2026/08/04 07:00</t>
  </si>
  <si>
    <t>2026/08/06 07:00</t>
  </si>
  <si>
    <t>Thay băng cho các vết thương hoại tử rộng (một lần) [chiều dài từ trên 15 cm đến 30 cm]</t>
  </si>
  <si>
    <t>2026/08/06 18:59</t>
  </si>
  <si>
    <t>2026/08/06 06:00</t>
  </si>
  <si>
    <t>2026/08/12 07:00</t>
  </si>
  <si>
    <t>2026/08/11 07:39</t>
  </si>
  <si>
    <t>2026/08/15 08:00</t>
  </si>
  <si>
    <t>2026/08/11 06:45</t>
  </si>
  <si>
    <t>2026/08/21 07:56</t>
  </si>
  <si>
    <t>2026/08/12 06:48</t>
  </si>
  <si>
    <t>2026/08/14 07:15</t>
  </si>
  <si>
    <t>2026/08/14 08:00</t>
  </si>
  <si>
    <t>2026/08/12 10:00</t>
  </si>
  <si>
    <t>2026/08/01 05:00</t>
  </si>
  <si>
    <t>2026/08/01 08:00</t>
  </si>
  <si>
    <t>2026/08/02 05:00</t>
  </si>
  <si>
    <t>2026/07/31 07:30</t>
  </si>
  <si>
    <t>2026/08/26 07:00</t>
  </si>
  <si>
    <t>2026/08/27 07:00</t>
  </si>
  <si>
    <t>2026/08/28 07:00</t>
  </si>
  <si>
    <t>2026/08/30 10:02</t>
  </si>
  <si>
    <t>Thay băng, cắt chỉ vết mổ [chiều dài từ trên 15 cm đến 30 cm nhiễm trùng]</t>
  </si>
  <si>
    <t>2026/08/31 08:30</t>
  </si>
  <si>
    <t>2026/08/12 08:00</t>
  </si>
  <si>
    <t>2026/08/25 07:00</t>
  </si>
  <si>
    <t>2026/08/22 07:15</t>
  </si>
  <si>
    <t>2026/08/27 07:02</t>
  </si>
  <si>
    <t>2026/08/27 07:45</t>
  </si>
  <si>
    <t>2026/08/22 18:28</t>
  </si>
  <si>
    <t>2026/08/31 05:00</t>
  </si>
  <si>
    <t>2026/08/29 05:00</t>
  </si>
  <si>
    <t>2026/08/30 05:00</t>
  </si>
  <si>
    <t>2026/07/28 07:15</t>
  </si>
  <si>
    <t>2026/08/07 07:15</t>
  </si>
  <si>
    <t>2026/08/10 07:15</t>
  </si>
  <si>
    <t>2026/08/08 09:00</t>
  </si>
  <si>
    <t>2026/07/24 11:30</t>
  </si>
  <si>
    <t>2026/08/24 07:23</t>
  </si>
  <si>
    <t>2026/08/19 07:15</t>
  </si>
  <si>
    <t>2026/08/16 08:00</t>
  </si>
  <si>
    <t>2026/08/20 07:15</t>
  </si>
  <si>
    <t>2026/08/17 07:20</t>
  </si>
  <si>
    <t>2026/08/17 07:15</t>
  </si>
  <si>
    <t>2026/08/17 08:30</t>
  </si>
  <si>
    <t>2026/08/13 07:00</t>
  </si>
  <si>
    <t>2026/08/13 08:00</t>
  </si>
  <si>
    <t>2026/08/18 08:05</t>
  </si>
  <si>
    <t>2026/08/05 10:45</t>
  </si>
  <si>
    <t>2026/08/22 06:57</t>
  </si>
  <si>
    <t>2026/08/21 08:20</t>
  </si>
  <si>
    <t>2026/08/19 06:30</t>
  </si>
  <si>
    <t>2026/08/24 06:22</t>
  </si>
  <si>
    <t>2026/08/18 08:20</t>
  </si>
  <si>
    <t>2026/07/30 07:15</t>
  </si>
  <si>
    <t>2026/08/28 06:50</t>
  </si>
  <si>
    <t>2026/08/27 06:57</t>
  </si>
  <si>
    <t>2026/08/24 06:51</t>
  </si>
  <si>
    <t>2026/08/25 06:50</t>
  </si>
  <si>
    <t>2026/08/05 11:06</t>
  </si>
  <si>
    <t>2026/08/11 07:00</t>
  </si>
  <si>
    <t>2026/08/07 08:30</t>
  </si>
  <si>
    <t>2026/08/06 07:05</t>
  </si>
  <si>
    <t>2026/08/24 07:31</t>
  </si>
  <si>
    <t>2026/08/13 06:46</t>
  </si>
  <si>
    <t>Thay băng điều trị vết bỏng dưới 10% diện tích cơ thể ở người lớn [dưới 10% diện tích cơ thể]</t>
  </si>
  <si>
    <t>2026/08/05 07:15</t>
  </si>
  <si>
    <t>2026/08/16 10:31</t>
  </si>
  <si>
    <t>2026/08/12 08:56</t>
  </si>
  <si>
    <t>2026/08/05 07:55</t>
  </si>
  <si>
    <t>2026/08/10 07:18</t>
  </si>
  <si>
    <t>2026/07/30 06:56</t>
  </si>
  <si>
    <t>2026/08/14 17:15</t>
  </si>
  <si>
    <t>2026/08/17 08:05</t>
  </si>
  <si>
    <t>2026/08/17 08:00</t>
  </si>
  <si>
    <t>2026/08/13 16:18</t>
  </si>
  <si>
    <t>2026/08/13 10:50</t>
  </si>
  <si>
    <t>2026/08/14 06:26</t>
  </si>
  <si>
    <t>2026/08/21 07:15</t>
  </si>
  <si>
    <t>2026/08/19 07:35</t>
  </si>
  <si>
    <t>2026/08/18 08:40</t>
  </si>
  <si>
    <t>2026/08/18 06:44</t>
  </si>
  <si>
    <t>2026/08/19 06:39</t>
  </si>
  <si>
    <t>2026/08/12 07:15</t>
  </si>
  <si>
    <t>2026/08/07 06:35</t>
  </si>
  <si>
    <t>2026/08/05 06:59</t>
  </si>
  <si>
    <t>2026/08/05 08:10</t>
  </si>
  <si>
    <t>2026/08/06 06:52</t>
  </si>
  <si>
    <t>2026/08/12 06:26</t>
  </si>
  <si>
    <t>2026/07/30 07:56</t>
  </si>
  <si>
    <t>2026/08/14 07:00</t>
  </si>
  <si>
    <t>2026/08/12 08:05</t>
  </si>
  <si>
    <t>2026/08/14 18:43</t>
  </si>
  <si>
    <t>2026/08/20 06:59</t>
  </si>
  <si>
    <t>2026/08/14 07:20</t>
  </si>
  <si>
    <t>2026/08/18 07:20</t>
  </si>
  <si>
    <t>2026/08/19 06:59</t>
  </si>
  <si>
    <t>2026/08/17 01:00</t>
  </si>
  <si>
    <t>2026/08/05 07:05</t>
  </si>
  <si>
    <t>2026/08/13 06:55</t>
  </si>
  <si>
    <t>2026/08/05 09:52</t>
  </si>
  <si>
    <t>2026/08/10 07:00</t>
  </si>
  <si>
    <t>2026/08/07 06:50</t>
  </si>
  <si>
    <t>2026/08/27 07:05</t>
  </si>
  <si>
    <t>2026/08/22 21:01</t>
  </si>
  <si>
    <t>2026/08/12 06:24</t>
  </si>
  <si>
    <t>2026/08/13 06:51</t>
  </si>
  <si>
    <t>2026/08/22 08:14</t>
  </si>
  <si>
    <t>2026/08/21 08:14</t>
  </si>
  <si>
    <t>2026/08/18 07:59</t>
  </si>
  <si>
    <t>Thay băng điều trị vết bỏng từ 10% - 19% diện tích cơ thể ở người lớn</t>
  </si>
  <si>
    <t>2026/08/11 07:15</t>
  </si>
  <si>
    <t>2026/08/06 07:26</t>
  </si>
  <si>
    <t>2026/08/07 07:02</t>
  </si>
  <si>
    <t>2026/08/25 07:15</t>
  </si>
  <si>
    <t>2026/08/21 06:50</t>
  </si>
  <si>
    <t>2026/08/06 07:39</t>
  </si>
  <si>
    <t>2026/08/05 07:36</t>
  </si>
  <si>
    <t>2026/08/05 07:47</t>
  </si>
  <si>
    <t>2026/08/06 07:47</t>
  </si>
  <si>
    <t>2026/08/16 10:30</t>
  </si>
  <si>
    <t>2026/08/07 06:49</t>
  </si>
  <si>
    <t>2026/08/05 06:51</t>
  </si>
  <si>
    <t>2026/08/06 06:42</t>
  </si>
  <si>
    <t>2026/07/30 19:16</t>
  </si>
  <si>
    <t>2026/08/14 20:53</t>
  </si>
  <si>
    <t>2026/08/13 06:38</t>
  </si>
  <si>
    <t>2026/08/18 06:52</t>
  </si>
  <si>
    <t>2026/08/14 06:41</t>
  </si>
  <si>
    <t>2026/08/05 07:19</t>
  </si>
  <si>
    <t>2026/08/19 07:55</t>
  </si>
  <si>
    <t>2026/08/22 07:24</t>
  </si>
  <si>
    <t>2026/08/28 06:35</t>
  </si>
  <si>
    <t>2026/08/24 07:01</t>
  </si>
  <si>
    <t>2026/08/25 06:59</t>
  </si>
  <si>
    <t>2026/08/01 17:30</t>
  </si>
  <si>
    <t>2026/07/28 15:00</t>
  </si>
  <si>
    <t>2026/08/03 08:55</t>
  </si>
  <si>
    <t>2026/08/02 22:00</t>
  </si>
  <si>
    <t>2026/08/19 07:20</t>
  </si>
  <si>
    <t>2026/07/30 15:00</t>
  </si>
  <si>
    <t>2026/07/30 06:14</t>
  </si>
  <si>
    <t>2026/08/24 07:15</t>
  </si>
  <si>
    <t>2026/08/26 07:15</t>
  </si>
  <si>
    <t>2026/08/12 22:00</t>
  </si>
  <si>
    <t>2026/08/18 07:48</t>
  </si>
  <si>
    <t>2026/07/31 21:45</t>
  </si>
  <si>
    <t>2026/08/03 09:40</t>
  </si>
  <si>
    <t>2026/08/12 08:11</t>
  </si>
  <si>
    <t>2026/08/26 03:32</t>
  </si>
  <si>
    <t>2026/08/03 10:00</t>
  </si>
  <si>
    <t>2026/08/17 09:50</t>
  </si>
  <si>
    <t>CHÂU THỊ THÚY VY</t>
  </si>
  <si>
    <t>10/12/1997</t>
  </si>
  <si>
    <t>2026/08/20 08:43</t>
  </si>
  <si>
    <t>DƯƠNG DUY KHANG</t>
  </si>
  <si>
    <t>07/09/2007</t>
  </si>
  <si>
    <t>2026/08/06 16:16</t>
  </si>
  <si>
    <t>DƯƠNG THỊ LỘC</t>
  </si>
  <si>
    <t>29/06/1974</t>
  </si>
  <si>
    <t>2026/08/10 14:09</t>
  </si>
  <si>
    <t>2026/08/28 14:49</t>
  </si>
  <si>
    <t>2026/08/24 08:22</t>
  </si>
  <si>
    <t>2026/08/10 10:36</t>
  </si>
  <si>
    <t>2026/08/10 10:40</t>
  </si>
  <si>
    <t>2026/08/24 14:12</t>
  </si>
  <si>
    <t>2026/08/24 14:22</t>
  </si>
  <si>
    <t>LÂM QUAN NHỰT</t>
  </si>
  <si>
    <t>10/03/1997</t>
  </si>
  <si>
    <t>2026/08/18 08:27</t>
  </si>
  <si>
    <t>2026/08/24 07:58</t>
  </si>
  <si>
    <t>LÊ TRÍ DŨNG</t>
  </si>
  <si>
    <t>12/07/2004</t>
  </si>
  <si>
    <t>2026/08/26 15:22</t>
  </si>
  <si>
    <t>2026/08/26 07:48</t>
  </si>
  <si>
    <t>2026/08/28 09:43</t>
  </si>
  <si>
    <t>2026/08/25 07:40</t>
  </si>
  <si>
    <t>2026/08/24 08:33</t>
  </si>
  <si>
    <t>2026/08/26 14:50</t>
  </si>
  <si>
    <t>2026/08/10 07:36</t>
  </si>
  <si>
    <t>2026/08/19 10:13</t>
  </si>
  <si>
    <t>2026/08/20 09:14</t>
  </si>
  <si>
    <t>2026/08/28 07:19</t>
  </si>
  <si>
    <t>PHẠM NGỌC BÍCH LIÊN</t>
  </si>
  <si>
    <t>27/03/1969</t>
  </si>
  <si>
    <t>2026/08/18 14:52</t>
  </si>
  <si>
    <t>2026/08/05 08:02</t>
  </si>
  <si>
    <t>2026/08/28 09:53</t>
  </si>
  <si>
    <t>QUẢNG THỊ HIỆN</t>
  </si>
  <si>
    <t>04/12/1971</t>
  </si>
  <si>
    <t>2026/08/10 07:55</t>
  </si>
  <si>
    <t>2026/08/04 13:25</t>
  </si>
  <si>
    <t>2026/08/19 07:58</t>
  </si>
  <si>
    <t>2026/08/10 07:29</t>
  </si>
  <si>
    <t>2026/08/28 07:12</t>
  </si>
  <si>
    <t>2026/08/03 07:50</t>
  </si>
  <si>
    <t>2026/08/27 08:09</t>
  </si>
  <si>
    <t>2026/08/19 14:53</t>
  </si>
  <si>
    <t>2026/08/18 13:13</t>
  </si>
  <si>
    <t>VÕ THỊ NGỌC XUÂN</t>
  </si>
  <si>
    <t>19/02/1998</t>
  </si>
  <si>
    <t>2026/08/27 15:16</t>
  </si>
  <si>
    <t>2026/08/27 07:37</t>
  </si>
  <si>
    <t>2026/08/24 08:58</t>
  </si>
  <si>
    <t>ĐẶNG NGỌC CHÀNG</t>
  </si>
  <si>
    <t>2026/08/28 15:04</t>
  </si>
  <si>
    <t>2026/08/25 07:35</t>
  </si>
  <si>
    <t>ĐẶNG THỊ XƯA</t>
  </si>
  <si>
    <t>20/02/1981</t>
  </si>
  <si>
    <t>2026/08/25 15:12</t>
  </si>
  <si>
    <t>CAO VĂN BA</t>
  </si>
  <si>
    <t>2026/08/19 15:18</t>
  </si>
  <si>
    <t>HUỲNH TÍN TÂM</t>
  </si>
  <si>
    <t>2026/08/10 08:53</t>
  </si>
  <si>
    <t>2026/08/03 07:22</t>
  </si>
  <si>
    <t>2026/08/24 07:41</t>
  </si>
  <si>
    <t>2026/08/03 14:15</t>
  </si>
  <si>
    <t>MAI VIẾT THUẬN</t>
  </si>
  <si>
    <t>21/10/2003</t>
  </si>
  <si>
    <t>2026/08/11 11:13</t>
  </si>
  <si>
    <t>2026/08/10 13:29</t>
  </si>
  <si>
    <t>2026/08/10 10:49</t>
  </si>
  <si>
    <t>2026/08/04 10:26</t>
  </si>
  <si>
    <t>2026/08/28 09:48</t>
  </si>
  <si>
    <t>16/11/1969</t>
  </si>
  <si>
    <t>2026/08/20 07:38</t>
  </si>
  <si>
    <t>2026/08/20 08:02</t>
  </si>
  <si>
    <t>2026/08/04 09:30</t>
  </si>
  <si>
    <t>2026/08/13 14:46</t>
  </si>
  <si>
    <t>2026/08/18 10:22</t>
  </si>
  <si>
    <t>2026/08/10 13:56</t>
  </si>
  <si>
    <t>2026/08/11 13:54</t>
  </si>
  <si>
    <t>2026/08/18 08:59</t>
  </si>
  <si>
    <t>2026/08/24 13:46</t>
  </si>
  <si>
    <t>TRẦN THỊ THÚY HẰNG</t>
  </si>
  <si>
    <t>10/12/1979</t>
  </si>
  <si>
    <t>2026/08/18 08:36</t>
  </si>
  <si>
    <t>2026/08/11 13:22</t>
  </si>
  <si>
    <t>2026/08/12 09:54</t>
  </si>
  <si>
    <t>2026/08/17 07:58</t>
  </si>
  <si>
    <t>BÙI THỊ KIM BÊ</t>
  </si>
  <si>
    <t>05/05/1957</t>
  </si>
  <si>
    <t>2026/08/26 07:59</t>
  </si>
  <si>
    <t>2026/08/21 14:41</t>
  </si>
  <si>
    <t>CAO THỊ BÍCH NGỌC</t>
  </si>
  <si>
    <t>CAO VĂN TRỌNG</t>
  </si>
  <si>
    <t>06/09/2006</t>
  </si>
  <si>
    <t>2026/08/20 10:47</t>
  </si>
  <si>
    <t>CHÂU THỊ NGỌC DUYÊN</t>
  </si>
  <si>
    <t>02/11/1975</t>
  </si>
  <si>
    <t>Tiêm cân gân chân</t>
  </si>
  <si>
    <t>2026/08/17 15:38</t>
  </si>
  <si>
    <t>DƯƠNG THỊ ÚT</t>
  </si>
  <si>
    <t>2026/08/04 09:50</t>
  </si>
  <si>
    <t>HUỲNH THU CÚC</t>
  </si>
  <si>
    <t>01/09/1962</t>
  </si>
  <si>
    <t>2026/08/27 08:12</t>
  </si>
  <si>
    <t>Bột cẳng bàn chân không kéo nắn</t>
  </si>
  <si>
    <t>2026/08/13 11:28</t>
  </si>
  <si>
    <t>HUỲNH THỊ THÙY</t>
  </si>
  <si>
    <t>20/11/2002</t>
  </si>
  <si>
    <t>2026/08/05 15:11</t>
  </si>
  <si>
    <t>HUỲNH THỊ TỐ QUYÊN</t>
  </si>
  <si>
    <t>19/02/1987</t>
  </si>
  <si>
    <t>2026/08/20 09:49</t>
  </si>
  <si>
    <t>HUỲNH THỌ TÀI</t>
  </si>
  <si>
    <t>02/11/2004</t>
  </si>
  <si>
    <t>2026/08/28 10:25</t>
  </si>
  <si>
    <t>2026/08/11 09:04</t>
  </si>
  <si>
    <t>HÀ BẢO NGỌC</t>
  </si>
  <si>
    <t>22/01/2009</t>
  </si>
  <si>
    <t>2026/08/17 15:45</t>
  </si>
  <si>
    <t>HÀ PHƯỚC HẬU</t>
  </si>
  <si>
    <t>27/07/2008</t>
  </si>
  <si>
    <t>Nẹp bột các loại, không nắn (loại 3)</t>
  </si>
  <si>
    <t>2026/08/20 16:40</t>
  </si>
  <si>
    <t>HỒ HOÀN KIẾM</t>
  </si>
  <si>
    <t>18/11/1959</t>
  </si>
  <si>
    <t>2026/08/24 11:03</t>
  </si>
  <si>
    <t>HỒ NGỌC BÍCH</t>
  </si>
  <si>
    <t>25/05/1974</t>
  </si>
  <si>
    <t>2026/08/03 09:13</t>
  </si>
  <si>
    <t>HỒ THỊ THIỆT</t>
  </si>
  <si>
    <t>2026/08/20 08:59</t>
  </si>
  <si>
    <t>2026/08/12 13:56</t>
  </si>
  <si>
    <t>LÂM THỊ CẨM LÌNH</t>
  </si>
  <si>
    <t>2026/08/17 07:32</t>
  </si>
  <si>
    <t>2026/07/23 08:44</t>
  </si>
  <si>
    <t>LÊ HOÀNG TUẤN NAM</t>
  </si>
  <si>
    <t>01/01/2004</t>
  </si>
  <si>
    <t>2026/08/19 07:38</t>
  </si>
  <si>
    <t>LÊ KIM OANH</t>
  </si>
  <si>
    <t>LÊ MINH TÔN</t>
  </si>
  <si>
    <t>10/10/1964</t>
  </si>
  <si>
    <t>2026/08/19 16:50</t>
  </si>
  <si>
    <t>LÊ NGUYỄN TẤN LỘC</t>
  </si>
  <si>
    <t>15/12/1984</t>
  </si>
  <si>
    <t>2026/08/10 08:55</t>
  </si>
  <si>
    <t>2026/08/27 07:54</t>
  </si>
  <si>
    <t>LÊ NHỰT KHÁNH</t>
  </si>
  <si>
    <t>07/05/2006</t>
  </si>
  <si>
    <t>2026/08/19 13:25</t>
  </si>
  <si>
    <t>2026/08/19 09:17</t>
  </si>
  <si>
    <t>LÊ THU LAN</t>
  </si>
  <si>
    <t>2026/08/26 14:00</t>
  </si>
  <si>
    <t>LÊ THỊ NHỊ</t>
  </si>
  <si>
    <t>22/02/1966</t>
  </si>
  <si>
    <t>2026/08/21 13:49</t>
  </si>
  <si>
    <t>2026/08/07 08:28</t>
  </si>
  <si>
    <t>2026/08/20 08:21</t>
  </si>
  <si>
    <t>2026/08/06 14:38</t>
  </si>
  <si>
    <t>2026/08/25 07:23</t>
  </si>
  <si>
    <t>LÝ VĂN KHƯƠNG</t>
  </si>
  <si>
    <t>05/06/1970</t>
  </si>
  <si>
    <t>2026/08/26 09:40</t>
  </si>
  <si>
    <t>LÝ XUÂN HUY</t>
  </si>
  <si>
    <t>06/08/1985</t>
  </si>
  <si>
    <t>2026/08/28 07:48</t>
  </si>
  <si>
    <t>2026/08/10 13:46</t>
  </si>
  <si>
    <t>MÃ THÚY ĐIỆP</t>
  </si>
  <si>
    <t>Sinh thiết phần mềm bằng phương pháp sinh thiết mở</t>
  </si>
  <si>
    <t>2026/08/10 10:21</t>
  </si>
  <si>
    <t>NGUYỄN BẢO CHÂU</t>
  </si>
  <si>
    <t>06/03/1992</t>
  </si>
  <si>
    <t>2026/08/24 14:57</t>
  </si>
  <si>
    <t>2026/08/03 14:04</t>
  </si>
  <si>
    <t>NGUYỄN HOÀNG SANG</t>
  </si>
  <si>
    <t>01/08/1999</t>
  </si>
  <si>
    <t>2026/08/11 10:42</t>
  </si>
  <si>
    <t>NGUYỄN HỒNG PHƯỢNG</t>
  </si>
  <si>
    <t>26/12/1982</t>
  </si>
  <si>
    <t>2026/08/19 13:42</t>
  </si>
  <si>
    <t>2026/08/04 10:20</t>
  </si>
  <si>
    <t>2026/08/07 09:33</t>
  </si>
  <si>
    <t>NGUYỄN NGỌC YẾN</t>
  </si>
  <si>
    <t>18/11/1988</t>
  </si>
  <si>
    <t>2026/08/10 16:30</t>
  </si>
  <si>
    <t>NGUYỄN PHƯỚC TOÀN</t>
  </si>
  <si>
    <t>01/06/2004</t>
  </si>
  <si>
    <t>2026/08/26 08:02</t>
  </si>
  <si>
    <t>NGUYỄN THANH PHƯƠNG</t>
  </si>
  <si>
    <t>01/07/1983</t>
  </si>
  <si>
    <t>2026/08/10 10:11</t>
  </si>
  <si>
    <t>2026/08/10 11:00</t>
  </si>
  <si>
    <t>2026/08/10 14:34</t>
  </si>
  <si>
    <t>NGUYỄN THANH TIẾN</t>
  </si>
  <si>
    <t>01/04/2003</t>
  </si>
  <si>
    <t>2026/08/28 15:01</t>
  </si>
  <si>
    <t>NGUYỄN THU THỦY</t>
  </si>
  <si>
    <t>2026/08/07 13:43</t>
  </si>
  <si>
    <t>NGUYỄN THỊ CẨM VÂN</t>
  </si>
  <si>
    <t>2026/08/12 09:33</t>
  </si>
  <si>
    <t>2026/08/27 07:28</t>
  </si>
  <si>
    <t>NGUYỄN THỊ HOÀNG LINH</t>
  </si>
  <si>
    <t>2026/08/27 09:32</t>
  </si>
  <si>
    <t>NGUYỄN THỊ KIM CHI</t>
  </si>
  <si>
    <t>18/01/1974</t>
  </si>
  <si>
    <t>NGUYỄN THỊ KIM NGÂN</t>
  </si>
  <si>
    <t>01/01/2006</t>
  </si>
  <si>
    <t>2026/08/19 14:46</t>
  </si>
  <si>
    <t>2026/08/27 07:41</t>
  </si>
  <si>
    <t>2026/08/07 08:50</t>
  </si>
  <si>
    <t>2026/08/27 13:31</t>
  </si>
  <si>
    <t>2026/08/21 09:24</t>
  </si>
  <si>
    <t>2026/08/07 10:19</t>
  </si>
  <si>
    <t>NGUYỄN THỊ THANH TUYỀN</t>
  </si>
  <si>
    <t>17/06/1999</t>
  </si>
  <si>
    <t>2026/08/18 08:33</t>
  </si>
  <si>
    <t>2026/08/12 10:22</t>
  </si>
  <si>
    <t>2026/08/11 15:15</t>
  </si>
  <si>
    <t>NGUYỄN THỊ TRÚC LINH</t>
  </si>
  <si>
    <t>29/12/1984</t>
  </si>
  <si>
    <t>Tiêm khớp bàn ngón tay</t>
  </si>
  <si>
    <t>2026/08/26 13:30</t>
  </si>
  <si>
    <t>2026/08/26 13:29</t>
  </si>
  <si>
    <t>NGUYỄN THỊ TUYẾT NHI</t>
  </si>
  <si>
    <t>06/03/2003</t>
  </si>
  <si>
    <t>NGUYỄN THỊ ĐIỀN</t>
  </si>
  <si>
    <t>25/10/1945</t>
  </si>
  <si>
    <t>2026/08/17 07:21</t>
  </si>
  <si>
    <t>2026/08/27 13:13</t>
  </si>
  <si>
    <t>2026/08/21 11:17</t>
  </si>
  <si>
    <t>2026/08/21 08:51</t>
  </si>
  <si>
    <t>NGUYỄN TIẾN THÀNH</t>
  </si>
  <si>
    <t>24/04/2002</t>
  </si>
  <si>
    <t>2026/08/19 14:49</t>
  </si>
  <si>
    <t>2026/08/05 14:03</t>
  </si>
  <si>
    <t>2026/07/17 07:47</t>
  </si>
  <si>
    <t>2026/08/18 07:42</t>
  </si>
  <si>
    <t>NGUYỄN VĂN HẢI</t>
  </si>
  <si>
    <t>09/02/1991</t>
  </si>
  <si>
    <t>2026/08/11 14:25</t>
  </si>
  <si>
    <t>2026/08/11 13:53</t>
  </si>
  <si>
    <t>NGUYỄN VĂN TOÀN</t>
  </si>
  <si>
    <t>30/01/2008</t>
  </si>
  <si>
    <t>NGUYỄN VĂN TÒNG</t>
  </si>
  <si>
    <t>19/03/1962</t>
  </si>
  <si>
    <t>2026/08/26 10:24</t>
  </si>
  <si>
    <t>2026/08/26 10:23</t>
  </si>
  <si>
    <t>NGUYỄN VĂN TĂNG</t>
  </si>
  <si>
    <t>2026/08/10 10:29</t>
  </si>
  <si>
    <t>NGUYỄN ĐÌNH BẢO THU</t>
  </si>
  <si>
    <t>NGUYỄN ĐẶNG TUẤN</t>
  </si>
  <si>
    <t>15/05/1981</t>
  </si>
  <si>
    <t>Hút dịch khớp khuỷu</t>
  </si>
  <si>
    <t>2026/08/19 14:45</t>
  </si>
  <si>
    <t>PHAN GIA KHÁNH</t>
  </si>
  <si>
    <t>01/01/2014</t>
  </si>
  <si>
    <t>2026/08/04 14:38</t>
  </si>
  <si>
    <t>PHAN KHẮC THƯỜNG</t>
  </si>
  <si>
    <t>10/06/1989</t>
  </si>
  <si>
    <t>PHAN NGỌC KIỀU</t>
  </si>
  <si>
    <t>30/09/1987</t>
  </si>
  <si>
    <t>PHAN THIÊN NHẬT</t>
  </si>
  <si>
    <t>30/11/2000</t>
  </si>
  <si>
    <t>2026/08/21 10:12</t>
  </si>
  <si>
    <t>PHAN THỊ CAM</t>
  </si>
  <si>
    <t>Bó bột ống trong gãy xương bánh chè</t>
  </si>
  <si>
    <t>2026/08/14 14:15</t>
  </si>
  <si>
    <t>PHẠM CÔNG TẦN TÔN NỮ TRÀ MY</t>
  </si>
  <si>
    <t>19/01/2000</t>
  </si>
  <si>
    <t>2026/08/21 13:19</t>
  </si>
  <si>
    <t>PHẠM DƯ KIM NGÂN</t>
  </si>
  <si>
    <t>23/01/2021</t>
  </si>
  <si>
    <t>2026/08/26 15:20</t>
  </si>
  <si>
    <t>PHẠM MINH HIỀN</t>
  </si>
  <si>
    <t>2026/08/18 08:09</t>
  </si>
  <si>
    <t>2026/08/28 09:11</t>
  </si>
  <si>
    <t>PHẠM THÚY AN</t>
  </si>
  <si>
    <t>10/02/1991</t>
  </si>
  <si>
    <t>2026/08/11 13:42</t>
  </si>
  <si>
    <t>2026/08/21 08:54</t>
  </si>
  <si>
    <t>PHẠM THỊ HỒNG CHÂU</t>
  </si>
  <si>
    <t>PHẠM THỊ LOAN TRINH</t>
  </si>
  <si>
    <t>13/09/1999</t>
  </si>
  <si>
    <t>2026/08/26 14:25</t>
  </si>
  <si>
    <t>2026/08/05 08:29</t>
  </si>
  <si>
    <t>PHẠM VĂN TUẤN</t>
  </si>
  <si>
    <t>01/01/1982</t>
  </si>
  <si>
    <t>THÁI HOÀNG BẢO LONG</t>
  </si>
  <si>
    <t>19/09/2005</t>
  </si>
  <si>
    <t>2026/08/22 14:06</t>
  </si>
  <si>
    <t>THẠCH NGUYỄN XUÂN NGỌC</t>
  </si>
  <si>
    <t>08/12/2001</t>
  </si>
  <si>
    <t>2026/08/05 10:41</t>
  </si>
  <si>
    <t>Thay băng, cắt chỉ vết mổ [chiều dài từ trên 30 cm đến 50 cm]</t>
  </si>
  <si>
    <t>2026/08/05 13:46</t>
  </si>
  <si>
    <t>2026/08/07 08:14</t>
  </si>
  <si>
    <t>TRẦN DUY TRÚC</t>
  </si>
  <si>
    <t>22/11/1981</t>
  </si>
  <si>
    <t>2026/08/22 08:29</t>
  </si>
  <si>
    <t>TRẦN KIM PHƯỢNG</t>
  </si>
  <si>
    <t>2026/08/17 16:34</t>
  </si>
  <si>
    <t>TRẦN THIỆN NHÂN</t>
  </si>
  <si>
    <t>01/01/2009</t>
  </si>
  <si>
    <t>2026/08/25 10:07</t>
  </si>
  <si>
    <t>2026/08/06 10:20</t>
  </si>
  <si>
    <t>2026/08/27 08:43</t>
  </si>
  <si>
    <t>TRẦN THỊ HỒNG THI</t>
  </si>
  <si>
    <t>2026/08/18 13:27</t>
  </si>
  <si>
    <t>TRẦN THỊ THU HOA</t>
  </si>
  <si>
    <t>2026/08/10 10:24</t>
  </si>
  <si>
    <t>TRẦN THỊ ĐÈO</t>
  </si>
  <si>
    <t>TRẦN VĂN SANG</t>
  </si>
  <si>
    <t>2026/08/17 08:04</t>
  </si>
  <si>
    <t>TRỊNH NGỌC THƯ</t>
  </si>
  <si>
    <t>05/12/2004</t>
  </si>
  <si>
    <t>2026/08/17 16:18</t>
  </si>
  <si>
    <t>TẠ THỊ NGA</t>
  </si>
  <si>
    <t>2026/08/11 10:02</t>
  </si>
  <si>
    <t>2026/08/06 08:04</t>
  </si>
  <si>
    <t>VÕ MINH PHỤNG</t>
  </si>
  <si>
    <t>2026/08/03 11:10</t>
  </si>
  <si>
    <t>VÕ THÚY KIỀU</t>
  </si>
  <si>
    <t>03/11/1983</t>
  </si>
  <si>
    <t>2026/08/19 07:43</t>
  </si>
  <si>
    <t>2026/08/20 16:02</t>
  </si>
  <si>
    <t>VÕ THỊ NGỌC YẾN</t>
  </si>
  <si>
    <t>11/02/1978</t>
  </si>
  <si>
    <t>2026/08/20 09:19</t>
  </si>
  <si>
    <t>VÕ THỊ OANH</t>
  </si>
  <si>
    <t>VÕ THỊ TUYẾT SƯƠNG</t>
  </si>
  <si>
    <t>2026/08/24 10:13</t>
  </si>
  <si>
    <t>2026/08/03 11:24</t>
  </si>
  <si>
    <t>ĐOÀN THỊ TRÚC LINH</t>
  </si>
  <si>
    <t>07/06/2006</t>
  </si>
  <si>
    <t>2026/08/17 13:31</t>
  </si>
  <si>
    <t>ĐOÀN VĂN SO</t>
  </si>
  <si>
    <t>20/07/1959</t>
  </si>
  <si>
    <t>2026/08/13 10:14</t>
  </si>
  <si>
    <t>ĐẶNG THỊ NHỊN</t>
  </si>
  <si>
    <t>02/02/1969</t>
  </si>
  <si>
    <t>ĐỔ CÔNG HIẾU</t>
  </si>
  <si>
    <t>ĐỖ VĂN NGỌC</t>
  </si>
  <si>
    <t>12/03/1964</t>
  </si>
  <si>
    <t>2026/08/19 08:02</t>
  </si>
  <si>
    <t>HUỲNH PHÚC DUY</t>
  </si>
  <si>
    <t>09/04/2004</t>
  </si>
  <si>
    <t>2026/08/26 14:57</t>
  </si>
  <si>
    <t>HỒ LÊ BỬU NGỌC</t>
  </si>
  <si>
    <t>2026/08/11 07:59</t>
  </si>
  <si>
    <t>HỒ THỊ TUYẾT</t>
  </si>
  <si>
    <t>12/07/1956</t>
  </si>
  <si>
    <t>2026/08/27 08:32</t>
  </si>
  <si>
    <t>LÊ VĂN TƯ</t>
  </si>
  <si>
    <t>2026/08/28 14:03</t>
  </si>
  <si>
    <t>LÝ THỊ THANH TÂM</t>
  </si>
  <si>
    <t>02/09/1964</t>
  </si>
  <si>
    <t>2026/08/28 10:34</t>
  </si>
  <si>
    <t>MAI VĂN KHA LY</t>
  </si>
  <si>
    <t>20/07/1981</t>
  </si>
  <si>
    <t>2026/08/05 08:37</t>
  </si>
  <si>
    <t>NGUYỄN KHÁNH LINH</t>
  </si>
  <si>
    <t>02/02/1994</t>
  </si>
  <si>
    <t>2026/08/27 15:58</t>
  </si>
  <si>
    <t>NGUYỄN THANH MAI</t>
  </si>
  <si>
    <t>12/03/1953</t>
  </si>
  <si>
    <t>2026/08/12 08:02</t>
  </si>
  <si>
    <t>2026/08/06 09:13</t>
  </si>
  <si>
    <t>NGUYỄN THỊ THÙY TRANG</t>
  </si>
  <si>
    <t>16/04/1967</t>
  </si>
  <si>
    <t>2026/08/06 07:32</t>
  </si>
  <si>
    <t>NGUYỄN THỊ TUYẾT HỒNG</t>
  </si>
  <si>
    <t>15/07/1969</t>
  </si>
  <si>
    <t>2026/08/20 07:58</t>
  </si>
  <si>
    <t>NGUYỄN VĂN NHỰT</t>
  </si>
  <si>
    <t>Tiêm gân trên gai (dưới gai, gân bao xoay khớp vai) dưới hướng dẫn của siêu âm</t>
  </si>
  <si>
    <t>2026/08/10 07:33</t>
  </si>
  <si>
    <t>2026/08/24 14:14</t>
  </si>
  <si>
    <t>2026/08/11 09:24</t>
  </si>
  <si>
    <t>PHẠM THỊ DIỆU HIỀN</t>
  </si>
  <si>
    <t>13/07/1964</t>
  </si>
  <si>
    <t>2026/08/03 09:57</t>
  </si>
  <si>
    <t>PHẠM THỊ NHỎ</t>
  </si>
  <si>
    <t>18/08/1970</t>
  </si>
  <si>
    <t>2026/08/07 07:43</t>
  </si>
  <si>
    <t>TRƯƠNG HOÀNG DIỄM THÚY</t>
  </si>
  <si>
    <t>Thay băng, cắt chỉ vết mổ [chiều dài trên 15cm đến 30 cm]</t>
  </si>
  <si>
    <t>2026/07/06 14:06</t>
  </si>
  <si>
    <t>2026/08/27 07:59</t>
  </si>
  <si>
    <t>TRẦN NGỌC ANH THƯ</t>
  </si>
  <si>
    <t>31/07/2000</t>
  </si>
  <si>
    <t>2026/08/05 10:02</t>
  </si>
  <si>
    <t>TRẦN THỊ BÍCH HỒNG</t>
  </si>
  <si>
    <t>06/10/1976</t>
  </si>
  <si>
    <t>2026/08/18 07:33</t>
  </si>
  <si>
    <t>2026/08/21 15:42</t>
  </si>
  <si>
    <t>TRẦN THỊ ĐIỂM</t>
  </si>
  <si>
    <t>2026/08/28 09:32</t>
  </si>
  <si>
    <t>2026/08/27 09:35</t>
  </si>
  <si>
    <t>HUỲNH VŨ TRƯỜNG</t>
  </si>
  <si>
    <t>2026/08/25 18:43</t>
  </si>
  <si>
    <t>HÀ THỊ NGỌC THỦY</t>
  </si>
  <si>
    <t>30/03/1960</t>
  </si>
  <si>
    <t>2026/08/01 09:37</t>
  </si>
  <si>
    <t>HỒ PHÚC HÀNH</t>
  </si>
  <si>
    <t>01/01/1987</t>
  </si>
  <si>
    <t>Nắn bột cẳng bàn chân trong gãy xương bàn chân, ngón chân</t>
  </si>
  <si>
    <t>2026/08/01 20:15</t>
  </si>
  <si>
    <t>HỒ THANH TÙNG</t>
  </si>
  <si>
    <t>06/02/1973</t>
  </si>
  <si>
    <t>2026/08/07 23:21</t>
  </si>
  <si>
    <t>2026/08/21 17:38</t>
  </si>
  <si>
    <t>LÊ PHÚ HOÀNG</t>
  </si>
  <si>
    <t>18/05/2011</t>
  </si>
  <si>
    <t>2026/08/14 12:12</t>
  </si>
  <si>
    <t>LÊ QUANG TIẾN</t>
  </si>
  <si>
    <t>25/10/2009</t>
  </si>
  <si>
    <t>2026/08/08 17:45</t>
  </si>
  <si>
    <t>LÊ THỊ LỆ TÂM</t>
  </si>
  <si>
    <t>15/03/1961</t>
  </si>
  <si>
    <t>2026/08/06 11:44</t>
  </si>
  <si>
    <t>LÊ VĂN THUẬN</t>
  </si>
  <si>
    <t>29/04/2000</t>
  </si>
  <si>
    <t>2026/08/03 09:33</t>
  </si>
  <si>
    <t>NGUYỄN THỊ HẠNH</t>
  </si>
  <si>
    <t>28/11/1968</t>
  </si>
  <si>
    <t>2026/08/23 13:57</t>
  </si>
  <si>
    <t>NGUYỄN VĂN SÁU</t>
  </si>
  <si>
    <t>2026/08/23 13:06</t>
  </si>
  <si>
    <t>2026/08/11 21:14</t>
  </si>
  <si>
    <t>PHÙNG THỊ MAI TRANG</t>
  </si>
  <si>
    <t>20/10/1978</t>
  </si>
  <si>
    <t>Nắn, bó bột gãy xương ngón chân [bột liền]</t>
  </si>
  <si>
    <t>2026/08/18 16:37</t>
  </si>
  <si>
    <t>PHẠM THÀNH VŨ</t>
  </si>
  <si>
    <t>09/11/1991</t>
  </si>
  <si>
    <t>2026/08/09 12:02</t>
  </si>
  <si>
    <t>THẠCH THANH THÚY</t>
  </si>
  <si>
    <t>01/01/1996</t>
  </si>
  <si>
    <t>2026/08/20 05:17</t>
  </si>
  <si>
    <t>2026/08/29 18:18</t>
  </si>
  <si>
    <t>VÕ THỊ THANH THẢO</t>
  </si>
  <si>
    <t>09/02/1975</t>
  </si>
  <si>
    <t>2026/08/13 18:44</t>
  </si>
  <si>
    <t>2026/08/13 17:11</t>
  </si>
  <si>
    <t>Nắn, bó bột trật khớp khuỷu [bột liền]</t>
  </si>
  <si>
    <t>2026/08/03 09:02</t>
  </si>
  <si>
    <t>ĐÀO XUÂN TIẾN</t>
  </si>
  <si>
    <t>05/05/1975</t>
  </si>
  <si>
    <t>2026/08/06 16:14</t>
  </si>
  <si>
    <t>2026/08/01 17:03</t>
  </si>
  <si>
    <t>BÙI PHÚC TRỌNG</t>
  </si>
  <si>
    <t>26/04/2015</t>
  </si>
  <si>
    <t>2026/08/27 16:14</t>
  </si>
  <si>
    <t>2026/08/03 16:46</t>
  </si>
  <si>
    <t>01/05/1939</t>
  </si>
  <si>
    <t>2026/08/09 12:55</t>
  </si>
  <si>
    <t>2026/08/09 10:18</t>
  </si>
  <si>
    <t>2026/08/11 20:42</t>
  </si>
  <si>
    <t>2026/08/01 20:17</t>
  </si>
  <si>
    <t>2026/07/30 17:10</t>
  </si>
  <si>
    <t>Phẫu thuật rạch dẫn lưu viêm tấy lan toả vùng hàm mặt</t>
  </si>
  <si>
    <t>2026/08/07 10:00</t>
  </si>
  <si>
    <t>CHƯƠNG THỊ THẮM</t>
  </si>
  <si>
    <t>28/05/1975</t>
  </si>
  <si>
    <t>2026/08/13 07:46</t>
  </si>
  <si>
    <t>2026/08/04 09:01</t>
  </si>
  <si>
    <t>HỒ NGỌC THÀ</t>
  </si>
  <si>
    <t>14/10/1988</t>
  </si>
  <si>
    <t>2026/08/14 08:21</t>
  </si>
  <si>
    <t>HỒ THỊ HỒNG MAI</t>
  </si>
  <si>
    <t>2026/08/07 14:22</t>
  </si>
  <si>
    <t>LÊ HÙNG TÂN</t>
  </si>
  <si>
    <t>17/07/1973</t>
  </si>
  <si>
    <t>2026/08/03 10:33</t>
  </si>
  <si>
    <t>LÊ HỒNG PHƯỢNG</t>
  </si>
  <si>
    <t>02/10/1975</t>
  </si>
  <si>
    <t>2026/08/11 11:07</t>
  </si>
  <si>
    <t>LÊ THỊ DIỄM TRANG</t>
  </si>
  <si>
    <t>2026/08/19 08:09</t>
  </si>
  <si>
    <t>LÊ THỊ NGỌC DIỄM</t>
  </si>
  <si>
    <t>2026/08/19 10:24</t>
  </si>
  <si>
    <t>LÊ THỊ THỨC</t>
  </si>
  <si>
    <t>16/08/1965</t>
  </si>
  <si>
    <t>2026/08/21 08:13</t>
  </si>
  <si>
    <t>LÊ XUÂN VIỂN</t>
  </si>
  <si>
    <t>03/01/1966</t>
  </si>
  <si>
    <t>2026/08/24 07:49</t>
  </si>
  <si>
    <t>MAI DIỄM TRANG</t>
  </si>
  <si>
    <t>09/09/1975</t>
  </si>
  <si>
    <t>2026/08/11 10:56</t>
  </si>
  <si>
    <t>NGUYỄN THỊ BÍCH TUYỀN</t>
  </si>
  <si>
    <t>31/12/1976</t>
  </si>
  <si>
    <t>2026/08/11 14:24</t>
  </si>
  <si>
    <t>NGUYỄN THỊ HỒNG</t>
  </si>
  <si>
    <t>2026/08/20 10:36</t>
  </si>
  <si>
    <t>NGUYỄN THỊ KIM NGUYÊN</t>
  </si>
  <si>
    <t>04/09/1980</t>
  </si>
  <si>
    <t>2026/08/12 09:28</t>
  </si>
  <si>
    <t>NGUYỄN THỊ KIM NHUNG</t>
  </si>
  <si>
    <t>15/06/1976</t>
  </si>
  <si>
    <t>NGUYỄN THỊ TUYẾT HẠNH</t>
  </si>
  <si>
    <t>05/04/1982</t>
  </si>
  <si>
    <t>2026/08/07 09:44</t>
  </si>
  <si>
    <t>NGUYỄN THỊ XINH</t>
  </si>
  <si>
    <t>15/01/1954</t>
  </si>
  <si>
    <t>2026/08/26 09:22</t>
  </si>
  <si>
    <t>NGUYỄN VĂN YÊN</t>
  </si>
  <si>
    <t>NGUYỄN VĂN ĐỰC</t>
  </si>
  <si>
    <t>PHẠM THỊ NHỦ</t>
  </si>
  <si>
    <t>24/11/1974</t>
  </si>
  <si>
    <t>2026/08/17 15:39</t>
  </si>
  <si>
    <t>2026/08/03 08:41</t>
  </si>
  <si>
    <t>THẠCH BÉ BA</t>
  </si>
  <si>
    <t>2026/08/11 10:21</t>
  </si>
  <si>
    <t>TRẦN NGỌC ĐIỆP</t>
  </si>
  <si>
    <t>23/01/1974</t>
  </si>
  <si>
    <t>TRẦN THANH BÌNH</t>
  </si>
  <si>
    <t>2026/08/07 09:03</t>
  </si>
  <si>
    <t>2026/08/12 08:43</t>
  </si>
  <si>
    <t>VÕ THỊ THO</t>
  </si>
  <si>
    <t>2026/08/04 07:36</t>
  </si>
  <si>
    <t>ĐINH THANH THÚY</t>
  </si>
  <si>
    <t>2026/08/20 08:11</t>
  </si>
  <si>
    <t>ĐÀO THANH NHANH</t>
  </si>
  <si>
    <t>23/03/1980</t>
  </si>
  <si>
    <t>ĐÀO TRƯƠNG BẢO CHÂU</t>
  </si>
  <si>
    <t>12/04/1992</t>
  </si>
  <si>
    <t>2026/08/28 08:38</t>
  </si>
  <si>
    <t>ĐỖ THỊ KIM NGUYÊN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</si>
</sst>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-* #,##0.00_-;\-* #,##0.00_-;_-* &quot;-&quot;??_-;_-@_-"/>
    <numFmt numFmtId="164" formatCode="_(* #,##0.00_);_(* \(#,##0.00\);_(* &quot;-&quot;??_);_(@_)"/>
    <numFmt numFmtId="165" formatCode="&quot;\&quot;#,##0;[Red]&quot;\&quot;\-#,##0"/>
    <numFmt numFmtId="166" formatCode="&quot;\&quot;#,##0.00;[Red]&quot;\&quot;\-#,##0.00"/>
    <numFmt numFmtId="167" formatCode="\$#,##0\ ;\(\$#,##0\)"/>
    <numFmt numFmtId="168" formatCode="&quot;\&quot;#,##0;[Red]&quot;\&quot;&quot;\&quot;\-#,##0"/>
    <numFmt numFmtId="169" formatCode="&quot;\&quot;#,##0.00;[Red]&quot;\&quot;&quot;\&quot;&quot;\&quot;&quot;\&quot;&quot;\&quot;&quot;\&quot;\-#,##0.00"/>
    <numFmt numFmtId="170" formatCode="_-* #,##0\ _€_-;\-* #,##0\ _€_-;_-* &quot;-&quot;??\ _€_-;_-@_-"/>
    <numFmt numFmtId="171" formatCode="_-* #,##0_-;\-* #,##0_-;_-* &quot;-&quot;??_-;_-@_-"/>
    <numFmt numFmtId="173" formatCode="_(* #,##0_);_(* \(#,##0\);_(* &quot;-&quot;??_);_(@_)"/>
  </numFmts>
  <fonts count="75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3"/>
      <name val="Times New Roman"/>
      <family val="1"/>
    </font>
    <font>
      <b/>
      <sz val="13"/>
      <name val="Times New Roman"/>
      <family val="1"/>
    </font>
    <font>
      <b/>
      <sz val="16"/>
      <name val="Times New Roman"/>
      <family val="1"/>
    </font>
    <font>
      <b/>
      <sz val="8"/>
      <name val="Times New Roman"/>
      <family val="1"/>
    </font>
    <font>
      <sz val="8"/>
      <name val="Times New Roman"/>
      <family val="1"/>
    </font>
    <font>
      <sz val="12"/>
      <name val="Times New Roman"/>
      <family val="1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2"/>
      <name val="VNtimes new roman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바탕체"/>
      <family val="1"/>
      <charset val="129"/>
    </font>
    <font>
      <sz val="10"/>
      <name val="굴림체"/>
      <family val="3"/>
      <charset val="129"/>
    </font>
    <font>
      <sz val="10"/>
      <name val="Times New Roman"/>
      <family val="1"/>
    </font>
    <font>
      <sz val="10"/>
      <color indexed="10"/>
      <name val="Times New Roman"/>
      <family val="1"/>
    </font>
    <font>
      <sz val="14"/>
      <name val="Times New Roman"/>
      <family val="1"/>
    </font>
    <font>
      <b/>
      <sz val="10"/>
      <name val="Times New Roman"/>
      <family val="1"/>
    </font>
    <font>
      <sz val="10"/>
      <color rgb="FFFF0000"/>
      <name val="Times New Roman"/>
      <family val="1"/>
    </font>
    <font>
      <sz val="10"/>
      <name val="Arial"/>
      <family val="2"/>
    </font>
    <font>
      <sz val="13"/>
      <color rgb="FFFF0000"/>
      <name val="Times New Roman"/>
      <family val="1"/>
    </font>
    <font>
      <b/>
      <sz val="10"/>
      <color indexed="10"/>
      <name val="Times New Roman"/>
      <family val="1"/>
    </font>
    <font>
      <sz val="10"/>
      <color theme="1"/>
      <name val="Times New Roman"/>
      <family val="1"/>
    </font>
    <font>
      <b/>
      <sz val="12"/>
      <name val="Times New Roman"/>
      <family val="1"/>
    </font>
    <font>
      <sz val="9"/>
      <color indexed="10"/>
      <name val="Times New Roman"/>
      <family val="1"/>
    </font>
    <font>
      <sz val="16"/>
      <name val="Times New Roman"/>
      <family val="1"/>
    </font>
    <font>
      <sz val="6"/>
      <name val="Times New Roman"/>
      <family val="1"/>
    </font>
    <font>
      <b/>
      <sz val="10"/>
      <color rgb="FFFF0000"/>
      <name val="Times New Roman"/>
      <family val="1"/>
    </font>
    <font>
      <sz val="16"/>
      <color rgb="FFFF0000"/>
      <name val="Times New Roman"/>
      <family val="1"/>
    </font>
    <font>
      <b/>
      <u/>
      <sz val="13"/>
      <name val="Times New Roman"/>
      <family val="1"/>
    </font>
    <font>
      <b/>
      <sz val="14"/>
      <name val="Times New Roman"/>
      <family val="1"/>
    </font>
    <font>
      <sz val="10"/>
      <name val="Times New Roman"/>
      <family val="1"/>
      <charset val="163"/>
    </font>
    <font>
      <b/>
      <sz val="12"/>
      <name val="Times New Roman"/>
      <family val="1"/>
      <charset val="163"/>
    </font>
    <font>
      <sz val="11"/>
      <name val="Times New Roman"/>
      <family val="1"/>
    </font>
    <font>
      <b/>
      <u/>
      <sz val="12"/>
      <name val="Times New Roman"/>
      <family val="1"/>
    </font>
    <font>
      <sz val="12"/>
      <name val="Times New Roman"/>
      <family val="1"/>
      <charset val="163"/>
    </font>
    <font>
      <b/>
      <sz val="11"/>
      <name val="Times New Roman"/>
      <family val="1"/>
    </font>
    <font>
      <sz val="14"/>
      <color indexed="10"/>
      <name val="Times New Roman"/>
      <family val="1"/>
    </font>
    <font>
      <sz val="11"/>
      <color rgb="FFFF0000"/>
      <name val="Times New Roman"/>
      <family val="1"/>
    </font>
    <font>
      <b/>
      <sz val="11"/>
      <color rgb="FF000000"/>
      <name val="Times New Roman"/>
      <family val="1"/>
    </font>
    <font>
      <b/>
      <sz val="11"/>
      <color rgb="FFFF0000"/>
      <name val="Times New Roman"/>
      <family val="1"/>
    </font>
    <font>
      <sz val="11"/>
      <color rgb="FF000000"/>
      <name val="Times New Roman"/>
      <family val="1"/>
    </font>
    <font>
      <sz val="13"/>
      <color rgb="FF000000"/>
      <name val="Times New Roman"/>
      <family val="1"/>
    </font>
    <font>
      <sz val="10"/>
      <name val="Arial"/>
      <family val="2"/>
    </font>
    <font>
      <b/>
      <sz val="13"/>
      <color indexed="8"/>
      <name val="Times New Roman"/>
      <family val="1"/>
    </font>
    <font>
      <sz val="10"/>
      <color indexed="8"/>
      <name val="SansSerif"/>
    </font>
    <font>
      <b/>
      <sz val="14"/>
      <color indexed="8"/>
      <name val="Times New Roman"/>
      <family val="1"/>
    </font>
    <font>
      <b/>
      <sz val="10"/>
      <color indexed="8"/>
      <name val="Times New Roman"/>
      <family val="1"/>
    </font>
    <font>
      <b/>
      <sz val="12"/>
      <color rgb="FFFF0000"/>
      <name val="Times New Roman"/>
      <family val="1"/>
    </font>
    <font>
      <sz val="12"/>
      <color rgb="FFFF0000"/>
      <name val="Times New Roman"/>
      <family val="1"/>
    </font>
    <font>
      <b/>
      <sz val="10"/>
      <name val="Arial"/>
      <family val="2"/>
    </font>
    <font>
      <sz val="11"/>
      <name val="Arial"/>
      <family val="2"/>
      <scheme val="minor"/>
    </font>
    <font>
      <sz val="11"/>
      <color rgb="FFFF0000"/>
      <name val="Arial"/>
      <family val="2"/>
      <scheme val="minor"/>
    </font>
    <font>
      <b/>
      <sz val="18"/>
      <name val="Times New Roman"/>
      <family val="1"/>
    </font>
    <font>
      <sz val="9"/>
      <color rgb="FFEE0000"/>
      <name val="Times New Roman"/>
      <family val="1"/>
    </font>
    <font>
      <sz val="12"/>
      <color rgb="FFFF0000"/>
      <name val="Times New Roman"/>
      <family val="1"/>
    </font>
    <font>
      <sz val="8"/>
      <color indexed="10"/>
      <name val="Times New Roman"/>
      <family val="1"/>
    </font>
    <font>
      <sz val="12"/>
      <color theme="1"/>
      <name val="Times New Roman"/>
      <family val="1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2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73">
    <xf numFmtId="0" fontId="0" fillId="0" borderId="0"/>
    <xf numFmtId="0" fontId="10" fillId="2" borderId="0" applyNumberFormat="0" applyBorder="0" applyAlignment="0" applyProtection="0"/>
    <xf numFmtId="0" fontId="10" fillId="3" borderId="0" applyNumberFormat="0" applyBorder="0" applyAlignment="0" applyProtection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5" borderId="0" applyNumberFormat="0" applyBorder="0" applyAlignment="0" applyProtection="0"/>
    <xf numFmtId="0" fontId="10" fillId="8" borderId="0" applyNumberFormat="0" applyBorder="0" applyAlignment="0" applyProtection="0"/>
    <xf numFmtId="0" fontId="10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9" borderId="0" applyNumberFormat="0" applyBorder="0" applyAlignment="0" applyProtection="0"/>
    <xf numFmtId="0" fontId="12" fillId="3" borderId="0" applyNumberFormat="0" applyBorder="0" applyAlignment="0" applyProtection="0"/>
    <xf numFmtId="0" fontId="13" fillId="20" borderId="1" applyNumberFormat="0" applyAlignment="0" applyProtection="0"/>
    <xf numFmtId="0" fontId="14" fillId="21" borderId="2" applyNumberFormat="0" applyAlignment="0" applyProtection="0"/>
    <xf numFmtId="164" fontId="1" fillId="0" borderId="0" applyFont="0" applyFill="0" applyBorder="0" applyAlignment="0" applyProtection="0"/>
    <xf numFmtId="164" fontId="9" fillId="0" borderId="0" applyFont="0" applyFill="0" applyBorder="0" applyAlignment="0" applyProtection="0"/>
    <xf numFmtId="3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5" fillId="0" borderId="0" applyNumberFormat="0" applyFill="0" applyBorder="0" applyAlignment="0" applyProtection="0"/>
    <xf numFmtId="2" fontId="9" fillId="0" borderId="0" applyFont="0" applyFill="0" applyBorder="0" applyAlignment="0" applyProtection="0"/>
    <xf numFmtId="0" fontId="16" fillId="4" borderId="0" applyNumberFormat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3" applyNumberFormat="0" applyFill="0" applyAlignment="0" applyProtection="0"/>
    <xf numFmtId="0" fontId="19" fillId="0" borderId="0" applyNumberFormat="0" applyFill="0" applyBorder="0" applyAlignment="0" applyProtection="0"/>
    <xf numFmtId="0" fontId="20" fillId="7" borderId="1" applyNumberFormat="0" applyAlignment="0" applyProtection="0"/>
    <xf numFmtId="0" fontId="21" fillId="0" borderId="4" applyNumberFormat="0" applyFill="0" applyAlignment="0" applyProtection="0"/>
    <xf numFmtId="0" fontId="22" fillId="22" borderId="0" applyNumberFormat="0" applyBorder="0" applyAlignment="0" applyProtection="0"/>
    <xf numFmtId="0" fontId="9" fillId="0" borderId="0"/>
    <xf numFmtId="0" fontId="23" fillId="23" borderId="5" applyNumberFormat="0" applyFont="0" applyAlignment="0" applyProtection="0"/>
    <xf numFmtId="0" fontId="24" fillId="20" borderId="6" applyNumberFormat="0" applyAlignment="0" applyProtection="0"/>
    <xf numFmtId="0" fontId="25" fillId="0" borderId="0" applyNumberFormat="0" applyFill="0" applyBorder="0" applyAlignment="0" applyProtection="0"/>
    <xf numFmtId="0" fontId="9" fillId="0" borderId="7" applyNumberFormat="0" applyFont="0" applyFill="0" applyAlignment="0" applyProtection="0"/>
    <xf numFmtId="0" fontId="26" fillId="0" borderId="0" applyNumberFormat="0" applyFill="0" applyBorder="0" applyAlignment="0" applyProtection="0"/>
    <xf numFmtId="40" fontId="27" fillId="0" borderId="0" applyFont="0" applyFill="0" applyBorder="0" applyAlignment="0" applyProtection="0"/>
    <xf numFmtId="38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10" fontId="9" fillId="0" borderId="0" applyFont="0" applyFill="0" applyBorder="0" applyAlignment="0" applyProtection="0"/>
    <xf numFmtId="0" fontId="28" fillId="0" borderId="0"/>
    <xf numFmtId="168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166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0" fontId="30" fillId="0" borderId="0"/>
    <xf numFmtId="0" fontId="36" fillId="0" borderId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2" fontId="1" fillId="0" borderId="0" applyFont="0" applyFill="0" applyBorder="0" applyAlignment="0" applyProtection="0"/>
    <xf numFmtId="0" fontId="1" fillId="0" borderId="0"/>
    <xf numFmtId="0" fontId="1" fillId="0" borderId="7" applyNumberFormat="0" applyFont="0" applyFill="0" applyAlignment="0" applyProtection="0"/>
    <xf numFmtId="0" fontId="1" fillId="0" borderId="0"/>
    <xf numFmtId="43" fontId="1" fillId="0" borderId="0" applyFont="0" applyFill="0" applyBorder="0" applyAlignment="0" applyProtection="0"/>
    <xf numFmtId="9" fontId="60" fillId="0" borderId="0" applyFont="0" applyFill="0" applyBorder="0" applyAlignment="0" applyProtection="0"/>
  </cellStyleXfs>
  <cellXfs count="224">
    <xf numFmtId="0" fontId="0" fillId="0" borderId="0" xfId="0"/>
    <xf numFmtId="0" fontId="6" fillId="0" borderId="0" xfId="0" applyFont="1" applyAlignment="1">
      <alignment horizontal="center"/>
    </xf>
    <xf numFmtId="3" fontId="31" fillId="0" borderId="0" xfId="61" applyNumberFormat="1" applyFont="1" applyFill="1" applyAlignment="1"/>
    <xf numFmtId="3" fontId="7" fillId="0" borderId="0" xfId="61" applyNumberFormat="1" applyFont="1" applyFill="1" applyAlignment="1"/>
    <xf numFmtId="3" fontId="42" fillId="0" borderId="0" xfId="60" applyNumberFormat="1" applyFont="1"/>
    <xf numFmtId="0" fontId="8" fillId="0" borderId="0" xfId="60" applyFont="1"/>
    <xf numFmtId="164" fontId="7" fillId="0" borderId="0" xfId="61" applyFont="1" applyFill="1" applyAlignment="1"/>
    <xf numFmtId="3" fontId="45" fillId="0" borderId="0" xfId="60" applyNumberFormat="1" applyFont="1" applyAlignment="1">
      <alignment horizontal="right"/>
    </xf>
    <xf numFmtId="0" fontId="31" fillId="0" borderId="0" xfId="0" applyFont="1" applyAlignment="1">
      <alignment vertical="top"/>
    </xf>
    <xf numFmtId="0" fontId="35" fillId="0" borderId="0" xfId="0" applyFont="1" applyAlignment="1">
      <alignment vertical="top"/>
    </xf>
    <xf numFmtId="0" fontId="31" fillId="0" borderId="0" xfId="0" applyFont="1" applyAlignment="1">
      <alignment vertical="top" wrapText="1"/>
    </xf>
    <xf numFmtId="0" fontId="35" fillId="0" borderId="0" xfId="0" applyFont="1" applyAlignment="1">
      <alignment horizontal="right" vertical="top"/>
    </xf>
    <xf numFmtId="0" fontId="48" fillId="0" borderId="0" xfId="0" applyFont="1"/>
    <xf numFmtId="0" fontId="40" fillId="0" borderId="0" xfId="60" applyFont="1"/>
    <xf numFmtId="0" fontId="34" fillId="0" borderId="0" xfId="0" applyFont="1"/>
    <xf numFmtId="0" fontId="40" fillId="0" borderId="0" xfId="0" applyFont="1"/>
    <xf numFmtId="3" fontId="40" fillId="0" borderId="0" xfId="61" applyNumberFormat="1" applyFont="1" applyFill="1" applyAlignment="1"/>
    <xf numFmtId="164" fontId="33" fillId="0" borderId="0" xfId="28" applyFont="1" applyFill="1" applyAlignment="1"/>
    <xf numFmtId="3" fontId="33" fillId="0" borderId="0" xfId="61" applyNumberFormat="1" applyFont="1" applyFill="1" applyAlignment="1"/>
    <xf numFmtId="3" fontId="47" fillId="0" borderId="0" xfId="61" applyNumberFormat="1" applyFont="1" applyFill="1" applyAlignment="1"/>
    <xf numFmtId="164" fontId="33" fillId="0" borderId="0" xfId="61" applyFont="1" applyFill="1" applyAlignment="1"/>
    <xf numFmtId="0" fontId="31" fillId="0" borderId="0" xfId="0" applyFont="1" applyAlignment="1">
      <alignment vertical="center"/>
    </xf>
    <xf numFmtId="0" fontId="48" fillId="0" borderId="0" xfId="0" applyFont="1" applyAlignment="1">
      <alignment vertical="center"/>
    </xf>
    <xf numFmtId="3" fontId="40" fillId="0" borderId="0" xfId="28" applyNumberFormat="1" applyFont="1" applyFill="1" applyBorder="1" applyAlignment="1"/>
    <xf numFmtId="3" fontId="40" fillId="0" borderId="0" xfId="28" applyNumberFormat="1" applyFont="1" applyFill="1" applyAlignment="1"/>
    <xf numFmtId="0" fontId="31" fillId="0" borderId="0" xfId="0" applyFont="1" applyAlignment="1">
      <alignment horizontal="center" vertical="center" wrapText="1"/>
    </xf>
    <xf numFmtId="3" fontId="42" fillId="0" borderId="0" xfId="60" applyNumberFormat="1" applyFont="1" applyAlignment="1">
      <alignment wrapText="1"/>
    </xf>
    <xf numFmtId="0" fontId="31" fillId="0" borderId="0" xfId="60" applyFont="1" applyAlignment="1">
      <alignment horizontal="center"/>
    </xf>
    <xf numFmtId="0" fontId="34" fillId="0" borderId="0" xfId="60" applyFont="1" applyAlignment="1">
      <alignment horizontal="center"/>
    </xf>
    <xf numFmtId="0" fontId="31" fillId="0" borderId="0" xfId="0" applyFont="1" applyAlignment="1">
      <alignment horizontal="center" vertical="top"/>
    </xf>
    <xf numFmtId="3" fontId="31" fillId="0" borderId="0" xfId="0" applyNumberFormat="1" applyFont="1" applyAlignment="1">
      <alignment vertical="top"/>
    </xf>
    <xf numFmtId="0" fontId="53" fillId="0" borderId="8" xfId="0" applyFont="1" applyBorder="1" applyAlignment="1">
      <alignment horizontal="center" vertical="center"/>
    </xf>
    <xf numFmtId="49" fontId="53" fillId="0" borderId="8" xfId="0" applyNumberFormat="1" applyFont="1" applyBorder="1" applyAlignment="1">
      <alignment horizontal="center" vertical="center"/>
    </xf>
    <xf numFmtId="49" fontId="53" fillId="0" borderId="11" xfId="0" applyNumberFormat="1" applyFont="1" applyBorder="1" applyAlignment="1">
      <alignment horizontal="center" vertical="center"/>
    </xf>
    <xf numFmtId="49" fontId="53" fillId="0" borderId="8" xfId="0" applyNumberFormat="1" applyFont="1" applyBorder="1" applyAlignment="1">
      <alignment horizontal="center" vertical="center" wrapText="1"/>
    </xf>
    <xf numFmtId="49" fontId="53" fillId="0" borderId="8" xfId="61" applyNumberFormat="1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16" fontId="31" fillId="0" borderId="0" xfId="0" applyNumberFormat="1" applyFont="1" applyAlignment="1">
      <alignment vertical="center"/>
    </xf>
    <xf numFmtId="3" fontId="31" fillId="0" borderId="0" xfId="0" applyNumberFormat="1" applyFont="1" applyAlignment="1">
      <alignment vertical="center"/>
    </xf>
    <xf numFmtId="0" fontId="31" fillId="0" borderId="0" xfId="0" applyFont="1" applyAlignment="1">
      <alignment horizontal="center" vertical="center"/>
    </xf>
    <xf numFmtId="0" fontId="48" fillId="0" borderId="0" xfId="0" applyFont="1" applyAlignment="1">
      <alignment vertical="center" wrapText="1"/>
    </xf>
    <xf numFmtId="3" fontId="31" fillId="0" borderId="0" xfId="60" applyNumberFormat="1" applyFont="1" applyAlignment="1">
      <alignment horizontal="center" vertical="center"/>
    </xf>
    <xf numFmtId="2" fontId="48" fillId="0" borderId="0" xfId="0" applyNumberFormat="1" applyFont="1" applyAlignment="1">
      <alignment vertical="center"/>
    </xf>
    <xf numFmtId="164" fontId="48" fillId="0" borderId="0" xfId="61" applyFont="1" applyFill="1" applyAlignment="1">
      <alignment vertical="center"/>
    </xf>
    <xf numFmtId="0" fontId="50" fillId="0" borderId="11" xfId="0" applyFont="1" applyBorder="1" applyAlignment="1">
      <alignment horizontal="center" vertical="center" shrinkToFit="1"/>
    </xf>
    <xf numFmtId="37" fontId="50" fillId="0" borderId="8" xfId="61" applyNumberFormat="1" applyFont="1" applyFill="1" applyBorder="1" applyAlignment="1">
      <alignment horizontal="center" vertical="center" shrinkToFit="1"/>
    </xf>
    <xf numFmtId="0" fontId="50" fillId="0" borderId="8" xfId="0" applyFont="1" applyBorder="1" applyAlignment="1">
      <alignment horizontal="center" vertical="center"/>
    </xf>
    <xf numFmtId="49" fontId="56" fillId="0" borderId="8" xfId="0" applyNumberFormat="1" applyFont="1" applyBorder="1" applyAlignment="1">
      <alignment horizontal="left" vertical="center" wrapText="1"/>
    </xf>
    <xf numFmtId="3" fontId="57" fillId="0" borderId="8" xfId="61" applyNumberFormat="1" applyFont="1" applyFill="1" applyBorder="1" applyAlignment="1">
      <alignment horizontal="center" vertical="center" shrinkToFit="1"/>
    </xf>
    <xf numFmtId="0" fontId="31" fillId="0" borderId="8" xfId="0" applyFont="1" applyBorder="1" applyAlignment="1">
      <alignment horizontal="left" vertical="center" wrapText="1"/>
    </xf>
    <xf numFmtId="3" fontId="33" fillId="0" borderId="0" xfId="61" applyNumberFormat="1" applyFont="1" applyFill="1" applyAlignment="1">
      <alignment vertical="center"/>
    </xf>
    <xf numFmtId="3" fontId="7" fillId="0" borderId="0" xfId="61" applyNumberFormat="1" applyFont="1" applyFill="1" applyAlignment="1">
      <alignment vertical="center"/>
    </xf>
    <xf numFmtId="3" fontId="47" fillId="0" borderId="0" xfId="61" applyNumberFormat="1" applyFont="1" applyFill="1" applyAlignment="1">
      <alignment vertical="center"/>
    </xf>
    <xf numFmtId="0" fontId="50" fillId="0" borderId="0" xfId="0" applyFont="1" applyAlignment="1">
      <alignment vertical="center"/>
    </xf>
    <xf numFmtId="170" fontId="50" fillId="0" borderId="0" xfId="0" applyNumberFormat="1" applyFont="1" applyAlignment="1">
      <alignment vertical="center"/>
    </xf>
    <xf numFmtId="170" fontId="50" fillId="0" borderId="8" xfId="28" applyNumberFormat="1" applyFont="1" applyFill="1" applyBorder="1" applyAlignment="1">
      <alignment horizontal="left" vertical="top"/>
    </xf>
    <xf numFmtId="0" fontId="55" fillId="0" borderId="0" xfId="0" applyFont="1" applyAlignment="1">
      <alignment horizontal="center" vertical="center"/>
    </xf>
    <xf numFmtId="0" fontId="50" fillId="0" borderId="0" xfId="0" applyFont="1" applyAlignment="1">
      <alignment horizontal="center" vertical="center"/>
    </xf>
    <xf numFmtId="0" fontId="55" fillId="0" borderId="0" xfId="0" applyFont="1" applyAlignment="1">
      <alignment vertical="top"/>
    </xf>
    <xf numFmtId="49" fontId="56" fillId="0" borderId="0" xfId="0" applyNumberFormat="1" applyFont="1" applyAlignment="1">
      <alignment horizontal="left" vertical="center" wrapText="1"/>
    </xf>
    <xf numFmtId="0" fontId="50" fillId="0" borderId="0" xfId="0" applyFont="1" applyAlignment="1">
      <alignment horizontal="center" vertical="top"/>
    </xf>
    <xf numFmtId="0" fontId="53" fillId="0" borderId="0" xfId="0" applyFont="1" applyAlignment="1">
      <alignment horizontal="center" vertical="center"/>
    </xf>
    <xf numFmtId="0" fontId="53" fillId="0" borderId="0" xfId="0" applyFont="1" applyAlignment="1">
      <alignment vertical="top" wrapText="1"/>
    </xf>
    <xf numFmtId="3" fontId="50" fillId="0" borderId="0" xfId="28" applyNumberFormat="1" applyFont="1" applyFill="1" applyAlignment="1">
      <alignment wrapText="1"/>
    </xf>
    <xf numFmtId="3" fontId="50" fillId="0" borderId="0" xfId="28" applyNumberFormat="1" applyFont="1" applyFill="1" applyAlignment="1"/>
    <xf numFmtId="3" fontId="50" fillId="0" borderId="0" xfId="0" applyNumberFormat="1" applyFont="1" applyAlignment="1">
      <alignment vertical="top"/>
    </xf>
    <xf numFmtId="0" fontId="50" fillId="0" borderId="0" xfId="0" applyFont="1" applyAlignment="1">
      <alignment vertical="top"/>
    </xf>
    <xf numFmtId="0" fontId="50" fillId="0" borderId="0" xfId="0" applyFont="1" applyAlignment="1">
      <alignment vertical="top" wrapText="1"/>
    </xf>
    <xf numFmtId="3" fontId="50" fillId="0" borderId="0" xfId="28" applyNumberFormat="1" applyFont="1" applyFill="1" applyAlignment="1">
      <alignment horizontal="right" vertical="center" wrapText="1"/>
    </xf>
    <xf numFmtId="0" fontId="53" fillId="0" borderId="0" xfId="0" applyFont="1" applyAlignment="1">
      <alignment vertical="center" wrapText="1"/>
    </xf>
    <xf numFmtId="0" fontId="53" fillId="0" borderId="0" xfId="0" applyFont="1" applyAlignment="1">
      <alignment vertical="center"/>
    </xf>
    <xf numFmtId="3" fontId="44" fillId="0" borderId="8" xfId="61" applyNumberFormat="1" applyFont="1" applyFill="1" applyBorder="1" applyAlignment="1">
      <alignment horizontal="center" vertical="center" shrinkToFit="1"/>
    </xf>
    <xf numFmtId="49" fontId="34" fillId="0" borderId="8" xfId="0" applyNumberFormat="1" applyFont="1" applyBorder="1" applyAlignment="1">
      <alignment horizontal="center" vertical="center"/>
    </xf>
    <xf numFmtId="0" fontId="31" fillId="0" borderId="12" xfId="0" applyFont="1" applyBorder="1" applyAlignment="1">
      <alignment horizontal="center" vertical="center" wrapText="1"/>
    </xf>
    <xf numFmtId="170" fontId="31" fillId="0" borderId="12" xfId="28" applyNumberFormat="1" applyFont="1" applyFill="1" applyBorder="1" applyAlignment="1">
      <alignment horizontal="center" vertical="top"/>
    </xf>
    <xf numFmtId="0" fontId="31" fillId="0" borderId="8" xfId="0" applyFont="1" applyBorder="1" applyAlignment="1">
      <alignment horizontal="center" vertical="center" wrapText="1"/>
    </xf>
    <xf numFmtId="170" fontId="31" fillId="0" borderId="8" xfId="28" applyNumberFormat="1" applyFont="1" applyFill="1" applyBorder="1" applyAlignment="1">
      <alignment horizontal="center" vertical="top"/>
    </xf>
    <xf numFmtId="0" fontId="50" fillId="0" borderId="8" xfId="0" applyFont="1" applyBorder="1" applyAlignment="1">
      <alignment horizontal="center" vertical="center" shrinkToFit="1"/>
    </xf>
    <xf numFmtId="2" fontId="53" fillId="0" borderId="11" xfId="0" applyNumberFormat="1" applyFont="1" applyBorder="1" applyAlignment="1">
      <alignment horizontal="center" vertical="center" wrapText="1"/>
    </xf>
    <xf numFmtId="49" fontId="58" fillId="0" borderId="8" xfId="0" applyNumberFormat="1" applyFont="1" applyBorder="1" applyAlignment="1">
      <alignment horizontal="left" vertical="center" wrapText="1"/>
    </xf>
    <xf numFmtId="0" fontId="3" fillId="0" borderId="0" xfId="0" applyFont="1" applyAlignment="1">
      <alignment vertical="center"/>
    </xf>
    <xf numFmtId="49" fontId="59" fillId="0" borderId="0" xfId="0" applyNumberFormat="1" applyFont="1" applyAlignment="1">
      <alignment horizontal="left" vertical="center" wrapText="1"/>
    </xf>
    <xf numFmtId="2" fontId="59" fillId="0" borderId="0" xfId="0" applyNumberFormat="1" applyFont="1" applyAlignment="1">
      <alignment horizontal="left" vertical="center" wrapText="1"/>
    </xf>
    <xf numFmtId="3" fontId="59" fillId="0" borderId="0" xfId="0" applyNumberFormat="1" applyFont="1" applyAlignment="1">
      <alignment horizontal="center" vertical="center" wrapText="1"/>
    </xf>
    <xf numFmtId="2" fontId="3" fillId="0" borderId="0" xfId="0" applyNumberFormat="1" applyFont="1" applyAlignment="1">
      <alignment vertical="center" wrapText="1"/>
    </xf>
    <xf numFmtId="3" fontId="3" fillId="0" borderId="0" xfId="0" applyNumberFormat="1" applyFont="1" applyAlignment="1">
      <alignment vertical="center" wrapText="1"/>
    </xf>
    <xf numFmtId="3" fontId="37" fillId="0" borderId="0" xfId="0" applyNumberFormat="1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1" fontId="3" fillId="0" borderId="0" xfId="0" applyNumberFormat="1" applyFont="1" applyAlignment="1">
      <alignment vertical="center"/>
    </xf>
    <xf numFmtId="0" fontId="3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3" fontId="3" fillId="0" borderId="0" xfId="0" applyNumberFormat="1" applyFont="1" applyAlignment="1">
      <alignment vertical="center"/>
    </xf>
    <xf numFmtId="2" fontId="3" fillId="0" borderId="0" xfId="0" applyNumberFormat="1" applyFont="1" applyAlignment="1">
      <alignment vertical="center"/>
    </xf>
    <xf numFmtId="37" fontId="3" fillId="0" borderId="0" xfId="0" applyNumberFormat="1" applyFont="1" applyAlignment="1">
      <alignment vertical="center"/>
    </xf>
    <xf numFmtId="0" fontId="31" fillId="0" borderId="8" xfId="0" applyFont="1" applyBorder="1" applyAlignment="1">
      <alignment horizontal="center" vertical="center" wrapText="1" shrinkToFit="1"/>
    </xf>
    <xf numFmtId="3" fontId="31" fillId="0" borderId="8" xfId="61" applyNumberFormat="1" applyFont="1" applyFill="1" applyBorder="1" applyAlignment="1" applyProtection="1">
      <alignment horizontal="center" vertical="center" wrapText="1" shrinkToFit="1"/>
      <protection locked="0"/>
    </xf>
    <xf numFmtId="0" fontId="31" fillId="0" borderId="13" xfId="0" applyFont="1" applyBorder="1" applyAlignment="1">
      <alignment vertical="center" wrapText="1"/>
    </xf>
    <xf numFmtId="49" fontId="34" fillId="0" borderId="13" xfId="0" applyNumberFormat="1" applyFont="1" applyBorder="1" applyAlignment="1">
      <alignment horizontal="left" vertical="center" wrapText="1"/>
    </xf>
    <xf numFmtId="0" fontId="31" fillId="0" borderId="8" xfId="0" applyFont="1" applyBorder="1" applyAlignment="1">
      <alignment vertical="center" wrapText="1"/>
    </xf>
    <xf numFmtId="3" fontId="34" fillId="0" borderId="8" xfId="0" applyNumberFormat="1" applyFont="1" applyBorder="1" applyAlignment="1">
      <alignment horizontal="center" vertical="center" wrapText="1"/>
    </xf>
    <xf numFmtId="3" fontId="53" fillId="0" borderId="9" xfId="28" applyNumberFormat="1" applyFont="1" applyFill="1" applyBorder="1" applyAlignment="1">
      <alignment horizontal="center"/>
    </xf>
    <xf numFmtId="3" fontId="53" fillId="0" borderId="0" xfId="28" applyNumberFormat="1" applyFont="1" applyFill="1" applyAlignment="1">
      <alignment horizontal="center"/>
    </xf>
    <xf numFmtId="3" fontId="5" fillId="0" borderId="0" xfId="60" applyNumberFormat="1" applyFont="1" applyAlignment="1">
      <alignment horizontal="center" vertical="center"/>
    </xf>
    <xf numFmtId="0" fontId="31" fillId="0" borderId="8" xfId="0" applyFont="1" applyBorder="1" applyAlignment="1">
      <alignment horizontal="left" vertical="center"/>
    </xf>
    <xf numFmtId="0" fontId="31" fillId="0" borderId="8" xfId="0" applyFont="1" applyBorder="1" applyAlignment="1">
      <alignment horizontal="left" vertical="top"/>
    </xf>
    <xf numFmtId="0" fontId="31" fillId="0" borderId="8" xfId="0" applyFont="1" applyBorder="1" applyAlignment="1">
      <alignment horizontal="left" vertical="top" wrapText="1"/>
    </xf>
    <xf numFmtId="0" fontId="31" fillId="0" borderId="13" xfId="0" applyFont="1" applyBorder="1" applyAlignment="1">
      <alignment horizontal="left" vertical="top" wrapText="1"/>
    </xf>
    <xf numFmtId="170" fontId="31" fillId="0" borderId="8" xfId="28" applyNumberFormat="1" applyFont="1" applyFill="1" applyBorder="1" applyAlignment="1">
      <alignment horizontal="left" vertical="top" wrapText="1"/>
    </xf>
    <xf numFmtId="0" fontId="31" fillId="0" borderId="8" xfId="0" applyFont="1" applyBorder="1" applyAlignment="1">
      <alignment horizontal="center" vertical="top" wrapText="1"/>
    </xf>
    <xf numFmtId="0" fontId="61" fillId="25" borderId="0" xfId="0" applyFont="1" applyFill="1" applyAlignment="1">
      <alignment vertical="center"/>
    </xf>
    <xf numFmtId="0" fontId="62" fillId="25" borderId="0" xfId="0" applyFont="1" applyFill="1" applyAlignment="1">
      <alignment horizontal="left" vertical="top" wrapText="1"/>
    </xf>
    <xf numFmtId="0" fontId="63" fillId="25" borderId="0" xfId="0" applyFont="1" applyFill="1" applyAlignment="1">
      <alignment vertical="center"/>
    </xf>
    <xf numFmtId="0" fontId="64" fillId="25" borderId="0" xfId="0" applyFont="1" applyFill="1" applyAlignment="1">
      <alignment horizontal="right" vertical="top"/>
    </xf>
    <xf numFmtId="0" fontId="64" fillId="25" borderId="0" xfId="0" applyFont="1" applyFill="1" applyAlignment="1">
      <alignment horizontal="left" vertical="top"/>
    </xf>
    <xf numFmtId="0" fontId="44" fillId="24" borderId="0" xfId="0" applyFont="1" applyFill="1" applyAlignment="1">
      <alignment vertical="top"/>
    </xf>
    <xf numFmtId="1" fontId="44" fillId="24" borderId="0" xfId="0" applyNumberFormat="1" applyFont="1" applyFill="1" applyAlignment="1">
      <alignment horizontal="left" vertical="top"/>
    </xf>
    <xf numFmtId="171" fontId="44" fillId="24" borderId="0" xfId="0" applyNumberFormat="1" applyFont="1" applyFill="1" applyAlignment="1">
      <alignment vertical="top"/>
    </xf>
    <xf numFmtId="0" fontId="65" fillId="0" borderId="8" xfId="0" applyFont="1" applyBorder="1" applyAlignment="1">
      <alignment horizontal="center" vertical="center"/>
    </xf>
    <xf numFmtId="171" fontId="65" fillId="0" borderId="8" xfId="28" applyNumberFormat="1" applyFont="1" applyBorder="1" applyAlignment="1">
      <alignment horizontal="center" vertical="center"/>
    </xf>
    <xf numFmtId="0" fontId="66" fillId="0" borderId="8" xfId="0" applyFont="1" applyBorder="1" applyAlignment="1">
      <alignment horizontal="left" vertical="top"/>
    </xf>
    <xf numFmtId="171" fontId="66" fillId="0" borderId="8" xfId="28" applyNumberFormat="1" applyFont="1" applyBorder="1" applyAlignment="1">
      <alignment horizontal="left" vertical="top"/>
    </xf>
    <xf numFmtId="0" fontId="67" fillId="0" borderId="8" xfId="0" applyFont="1" applyBorder="1"/>
    <xf numFmtId="171" fontId="67" fillId="0" borderId="8" xfId="0" applyNumberFormat="1" applyFont="1" applyBorder="1"/>
    <xf numFmtId="0" fontId="67" fillId="0" borderId="0" xfId="0" applyFont="1"/>
    <xf numFmtId="0" fontId="64" fillId="25" borderId="0" xfId="0" applyFont="1" applyFill="1" applyAlignment="1">
      <alignment horizontal="left" vertical="top" wrapText="1"/>
    </xf>
    <xf numFmtId="0" fontId="68" fillId="0" borderId="0" xfId="0" applyFont="1"/>
    <xf numFmtId="0" fontId="69" fillId="0" borderId="0" xfId="0" applyFont="1"/>
    <xf numFmtId="3" fontId="53" fillId="0" borderId="9" xfId="28" applyNumberFormat="1" applyFont="1" applyFill="1" applyBorder="1" applyAlignment="1"/>
    <xf numFmtId="0" fontId="53" fillId="0" borderId="0" xfId="0" applyFont="1"/>
    <xf numFmtId="3" fontId="53" fillId="0" borderId="0" xfId="28" applyNumberFormat="1" applyFont="1" applyFill="1" applyAlignment="1"/>
    <xf numFmtId="0" fontId="57" fillId="0" borderId="8" xfId="0" applyFont="1" applyBorder="1" applyAlignment="1">
      <alignment horizontal="center" vertical="center" wrapText="1"/>
    </xf>
    <xf numFmtId="0" fontId="53" fillId="0" borderId="14" xfId="0" applyFont="1" applyBorder="1" applyAlignment="1">
      <alignment horizontal="center" vertical="center" wrapText="1" shrinkToFit="1"/>
    </xf>
    <xf numFmtId="0" fontId="53" fillId="0" borderId="8" xfId="0" applyFont="1" applyBorder="1" applyAlignment="1">
      <alignment horizontal="center" vertical="center" wrapText="1" shrinkToFit="1"/>
    </xf>
    <xf numFmtId="0" fontId="53" fillId="0" borderId="8" xfId="0" applyFont="1" applyBorder="1" applyAlignment="1">
      <alignment horizontal="center" vertical="center" wrapText="1"/>
    </xf>
    <xf numFmtId="3" fontId="41" fillId="0" borderId="0" xfId="61" applyNumberFormat="1" applyFont="1" applyFill="1" applyAlignment="1">
      <alignment horizontal="center" vertical="center"/>
    </xf>
    <xf numFmtId="164" fontId="54" fillId="0" borderId="0" xfId="61" applyFont="1" applyFill="1" applyAlignment="1">
      <alignment horizontal="center" vertical="center"/>
    </xf>
    <xf numFmtId="164" fontId="32" fillId="0" borderId="0" xfId="61" applyFont="1" applyFill="1" applyAlignment="1">
      <alignment horizontal="center" vertical="center"/>
    </xf>
    <xf numFmtId="164" fontId="38" fillId="0" borderId="8" xfId="61" applyFont="1" applyFill="1" applyBorder="1" applyAlignment="1">
      <alignment horizontal="center" vertical="center"/>
    </xf>
    <xf numFmtId="3" fontId="34" fillId="0" borderId="8" xfId="61" applyNumberFormat="1" applyFont="1" applyFill="1" applyBorder="1" applyAlignment="1">
      <alignment horizontal="center" vertical="center"/>
    </xf>
    <xf numFmtId="164" fontId="34" fillId="0" borderId="8" xfId="61" applyFont="1" applyFill="1" applyBorder="1" applyAlignment="1">
      <alignment horizontal="center" vertical="center"/>
    </xf>
    <xf numFmtId="3" fontId="50" fillId="0" borderId="0" xfId="0" applyNumberFormat="1" applyFont="1" applyAlignment="1">
      <alignment horizontal="center" vertical="center"/>
    </xf>
    <xf numFmtId="0" fontId="72" fillId="0" borderId="8" xfId="0" applyFont="1" applyBorder="1" applyAlignment="1">
      <alignment horizontal="left" vertical="top"/>
    </xf>
    <xf numFmtId="171" fontId="72" fillId="0" borderId="8" xfId="28" applyNumberFormat="1" applyFont="1" applyBorder="1" applyAlignment="1">
      <alignment horizontal="left" vertical="top"/>
    </xf>
    <xf numFmtId="3" fontId="31" fillId="0" borderId="0" xfId="0" applyNumberFormat="1" applyFont="1" applyAlignment="1">
      <alignment horizontal="center" vertical="center"/>
    </xf>
    <xf numFmtId="0" fontId="39" fillId="0" borderId="8" xfId="70" applyFont="1" applyBorder="1" applyAlignment="1">
      <alignment horizontal="center" vertical="center"/>
    </xf>
    <xf numFmtId="0" fontId="50" fillId="0" borderId="8" xfId="70" applyFont="1" applyBorder="1" applyAlignment="1">
      <alignment horizontal="center" vertical="center"/>
    </xf>
    <xf numFmtId="3" fontId="39" fillId="0" borderId="8" xfId="70" applyNumberFormat="1" applyFont="1" applyBorder="1" applyAlignment="1">
      <alignment horizontal="center" vertical="center" shrinkToFit="1"/>
    </xf>
    <xf numFmtId="0" fontId="31" fillId="0" borderId="0" xfId="70" applyFont="1" applyAlignment="1">
      <alignment vertical="center"/>
    </xf>
    <xf numFmtId="0" fontId="32" fillId="0" borderId="0" xfId="70" applyFont="1" applyAlignment="1">
      <alignment vertical="center"/>
    </xf>
    <xf numFmtId="0" fontId="32" fillId="0" borderId="0" xfId="70" applyFont="1" applyAlignment="1">
      <alignment horizontal="center" vertical="center"/>
    </xf>
    <xf numFmtId="0" fontId="31" fillId="0" borderId="0" xfId="70" applyFont="1"/>
    <xf numFmtId="0" fontId="31" fillId="0" borderId="0" xfId="70" applyFont="1" applyAlignment="1">
      <alignment horizontal="left" vertical="center"/>
    </xf>
    <xf numFmtId="0" fontId="31" fillId="0" borderId="0" xfId="0" applyFont="1"/>
    <xf numFmtId="0" fontId="31" fillId="0" borderId="0" xfId="70" applyFont="1" applyAlignment="1">
      <alignment horizontal="center" vertical="center"/>
    </xf>
    <xf numFmtId="3" fontId="31" fillId="0" borderId="0" xfId="70" applyNumberFormat="1" applyFont="1"/>
    <xf numFmtId="0" fontId="71" fillId="0" borderId="16" xfId="0" applyFont="1" applyBorder="1" applyAlignment="1">
      <alignment vertical="center"/>
    </xf>
    <xf numFmtId="3" fontId="71" fillId="0" borderId="15" xfId="0" applyNumberFormat="1" applyFont="1" applyBorder="1" applyAlignment="1">
      <alignment vertical="center"/>
    </xf>
    <xf numFmtId="0" fontId="5" fillId="0" borderId="0" xfId="70" applyFont="1" applyAlignment="1">
      <alignment horizontal="center"/>
    </xf>
    <xf numFmtId="0" fontId="5" fillId="0" borderId="0" xfId="70" applyFont="1" applyAlignment="1">
      <alignment horizontal="center" vertical="center"/>
    </xf>
    <xf numFmtId="0" fontId="5" fillId="0" borderId="0" xfId="70" applyFont="1"/>
    <xf numFmtId="0" fontId="5" fillId="0" borderId="0" xfId="70" applyFont="1" applyAlignment="1">
      <alignment horizontal="left"/>
    </xf>
    <xf numFmtId="3" fontId="5" fillId="0" borderId="0" xfId="70" applyNumberFormat="1" applyFont="1" applyAlignment="1">
      <alignment horizontal="center"/>
    </xf>
    <xf numFmtId="0" fontId="34" fillId="0" borderId="8" xfId="70" applyFont="1" applyBorder="1" applyAlignment="1">
      <alignment horizontal="center" vertical="center"/>
    </xf>
    <xf numFmtId="0" fontId="31" fillId="0" borderId="0" xfId="70" applyFont="1" applyAlignment="1">
      <alignment horizontal="center"/>
    </xf>
    <xf numFmtId="0" fontId="31" fillId="0" borderId="0" xfId="0" applyFont="1" applyAlignment="1">
      <alignment horizontal="center"/>
    </xf>
    <xf numFmtId="49" fontId="71" fillId="0" borderId="15" xfId="0" applyNumberFormat="1" applyFont="1" applyBorder="1" applyAlignment="1">
      <alignment horizontal="center" vertical="center"/>
    </xf>
    <xf numFmtId="0" fontId="71" fillId="0" borderId="15" xfId="0" applyFont="1" applyBorder="1" applyAlignment="1">
      <alignment horizontal="center" vertical="center"/>
    </xf>
    <xf numFmtId="0" fontId="71" fillId="0" borderId="17" xfId="0" applyFont="1" applyBorder="1" applyAlignment="1">
      <alignment horizontal="center" vertical="center"/>
    </xf>
    <xf numFmtId="0" fontId="71" fillId="0" borderId="15" xfId="0" applyFont="1" applyBorder="1" applyAlignment="1">
      <alignment vertical="center"/>
    </xf>
    <xf numFmtId="0" fontId="39" fillId="0" borderId="0" xfId="70" applyFont="1" applyAlignment="1">
      <alignment vertical="center"/>
    </xf>
    <xf numFmtId="0" fontId="39" fillId="0" borderId="0" xfId="0" applyFont="1" applyAlignment="1">
      <alignment vertical="center"/>
    </xf>
    <xf numFmtId="3" fontId="39" fillId="0" borderId="0" xfId="70" applyNumberFormat="1" applyFont="1" applyAlignment="1">
      <alignment vertical="center"/>
    </xf>
    <xf numFmtId="49" fontId="44" fillId="0" borderId="8" xfId="0" applyNumberFormat="1" applyFont="1" applyBorder="1" applyAlignment="1">
      <alignment horizontal="center" vertical="center"/>
    </xf>
    <xf numFmtId="0" fontId="44" fillId="0" borderId="8" xfId="0" applyFont="1" applyBorder="1" applyAlignment="1">
      <alignment horizontal="center" vertical="center"/>
    </xf>
    <xf numFmtId="3" fontId="44" fillId="0" borderId="8" xfId="0" applyNumberFormat="1" applyFont="1" applyBorder="1" applyAlignment="1">
      <alignment horizontal="center" vertical="center"/>
    </xf>
    <xf numFmtId="3" fontId="44" fillId="0" borderId="8" xfId="0" applyNumberFormat="1" applyFont="1" applyBorder="1" applyAlignment="1">
      <alignment horizontal="left" vertical="center"/>
    </xf>
    <xf numFmtId="0" fontId="34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33" fillId="0" borderId="0" xfId="0" applyFont="1" applyAlignment="1">
      <alignment vertical="center"/>
    </xf>
    <xf numFmtId="0" fontId="33" fillId="0" borderId="0" xfId="0" applyFont="1"/>
    <xf numFmtId="0" fontId="33" fillId="0" borderId="0" xfId="0" applyFont="1" applyAlignment="1">
      <alignment horizontal="left" vertical="center"/>
    </xf>
    <xf numFmtId="0" fontId="43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/>
    <xf numFmtId="164" fontId="73" fillId="0" borderId="0" xfId="61" applyFont="1" applyFill="1" applyAlignment="1">
      <alignment horizontal="center" vertical="center"/>
    </xf>
    <xf numFmtId="0" fontId="34" fillId="0" borderId="8" xfId="70" applyFont="1" applyBorder="1" applyAlignment="1">
      <alignment horizontal="center" vertical="center" wrapText="1"/>
    </xf>
    <xf numFmtId="0" fontId="74" fillId="0" borderId="8" xfId="0" applyFont="1" applyBorder="1" applyAlignment="1">
      <alignment vertical="center" wrapText="1"/>
    </xf>
    <xf numFmtId="171" fontId="0" fillId="0" borderId="0" xfId="0" applyNumberFormat="1"/>
    <xf numFmtId="49" fontId="71" fillId="0" borderId="18" xfId="0" applyNumberFormat="1" applyFont="1" applyBorder="1" applyAlignment="1">
      <alignment horizontal="center" vertical="center"/>
    </xf>
    <xf numFmtId="0" fontId="71" fillId="0" borderId="0" xfId="0" applyFont="1" applyAlignment="1">
      <alignment vertical="center"/>
    </xf>
    <xf numFmtId="0" fontId="71" fillId="0" borderId="18" xfId="0" applyFont="1" applyBorder="1" applyAlignment="1">
      <alignment horizontal="center" vertical="center"/>
    </xf>
    <xf numFmtId="0" fontId="71" fillId="0" borderId="19" xfId="0" applyFont="1" applyBorder="1" applyAlignment="1">
      <alignment horizontal="center" vertical="center"/>
    </xf>
    <xf numFmtId="0" fontId="71" fillId="0" borderId="18" xfId="0" applyFont="1" applyBorder="1" applyAlignment="1">
      <alignment vertical="center"/>
    </xf>
    <xf numFmtId="3" fontId="71" fillId="0" borderId="18" xfId="0" applyNumberFormat="1" applyFont="1" applyBorder="1" applyAlignment="1">
      <alignment vertical="center"/>
    </xf>
    <xf numFmtId="14" fontId="58" fillId="0" borderId="8" xfId="0" applyNumberFormat="1" applyFont="1" applyBorder="1" applyAlignment="1">
      <alignment horizontal="left" vertical="center"/>
    </xf>
    <xf numFmtId="14" fontId="59" fillId="0" borderId="0" xfId="0" applyNumberFormat="1" applyFont="1" applyAlignment="1">
      <alignment horizontal="left" vertical="center"/>
    </xf>
    <xf numFmtId="173" fontId="55" fillId="0" borderId="8" xfId="0" applyNumberFormat="1" applyFont="1" applyBorder="1" applyAlignment="1">
      <alignment horizontal="right" vertical="center"/>
    </xf>
    <xf numFmtId="0" fontId="53" fillId="0" borderId="0" xfId="0" applyFont="1" applyAlignment="1">
      <alignment horizontal="center" vertical="top"/>
    </xf>
    <xf numFmtId="3" fontId="5" fillId="0" borderId="0" xfId="60" applyNumberFormat="1" applyFont="1" applyAlignment="1">
      <alignment horizontal="center" vertical="center"/>
    </xf>
    <xf numFmtId="3" fontId="40" fillId="0" borderId="10" xfId="60" applyNumberFormat="1" applyFont="1" applyBorder="1" applyAlignment="1">
      <alignment horizontal="center" vertical="center"/>
    </xf>
    <xf numFmtId="0" fontId="53" fillId="0" borderId="0" xfId="0" applyFont="1" applyAlignment="1">
      <alignment horizontal="center" vertical="center"/>
    </xf>
    <xf numFmtId="0" fontId="3" fillId="0" borderId="0" xfId="70" applyFont="1" applyAlignment="1">
      <alignment horizontal="center"/>
    </xf>
    <xf numFmtId="0" fontId="4" fillId="0" borderId="0" xfId="70" applyFont="1" applyAlignment="1">
      <alignment horizontal="center"/>
    </xf>
    <xf numFmtId="3" fontId="70" fillId="0" borderId="0" xfId="70" applyNumberFormat="1" applyFont="1" applyAlignment="1">
      <alignment horizontal="center"/>
    </xf>
    <xf numFmtId="0" fontId="5" fillId="0" borderId="0" xfId="70" applyFont="1" applyAlignment="1">
      <alignment horizontal="center"/>
    </xf>
    <xf numFmtId="0" fontId="44" fillId="0" borderId="8" xfId="0" applyFont="1" applyBorder="1" applyAlignment="1">
      <alignment horizontal="center" vertical="center"/>
    </xf>
    <xf numFmtId="3" fontId="40" fillId="0" borderId="0" xfId="61" applyNumberFormat="1" applyFont="1" applyFill="1" applyBorder="1" applyAlignment="1">
      <alignment horizontal="center"/>
    </xf>
    <xf numFmtId="0" fontId="47" fillId="0" borderId="0" xfId="0" applyFont="1" applyAlignment="1">
      <alignment horizontal="center"/>
    </xf>
    <xf numFmtId="3" fontId="47" fillId="0" borderId="0" xfId="61" applyNumberFormat="1" applyFont="1" applyFill="1" applyAlignment="1">
      <alignment horizontal="center"/>
    </xf>
    <xf numFmtId="3" fontId="53" fillId="0" borderId="9" xfId="28" applyNumberFormat="1" applyFont="1" applyFill="1" applyBorder="1" applyAlignment="1">
      <alignment horizontal="center"/>
    </xf>
    <xf numFmtId="3" fontId="53" fillId="0" borderId="0" xfId="28" applyNumberFormat="1" applyFont="1" applyFill="1" applyAlignment="1">
      <alignment horizontal="center"/>
    </xf>
    <xf numFmtId="0" fontId="53" fillId="0" borderId="0" xfId="0" applyFont="1" applyAlignment="1">
      <alignment horizontal="center"/>
    </xf>
    <xf numFmtId="0" fontId="52" fillId="0" borderId="0" xfId="0" applyFont="1" applyAlignment="1">
      <alignment horizontal="center"/>
    </xf>
    <xf numFmtId="0" fontId="49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3" fontId="40" fillId="0" borderId="0" xfId="0" applyNumberFormat="1" applyFont="1" applyAlignment="1">
      <alignment horizontal="center"/>
    </xf>
    <xf numFmtId="0" fontId="40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3" fontId="4" fillId="0" borderId="0" xfId="0" applyNumberFormat="1" applyFont="1" applyAlignment="1">
      <alignment horizontal="center" vertical="center"/>
    </xf>
    <xf numFmtId="3" fontId="4" fillId="0" borderId="0" xfId="0" applyNumberFormat="1" applyFont="1" applyAlignment="1">
      <alignment horizontal="center" wrapText="1"/>
    </xf>
    <xf numFmtId="0" fontId="4" fillId="0" borderId="0" xfId="0" applyFont="1" applyAlignment="1">
      <alignment horizontal="center" vertical="center"/>
    </xf>
    <xf numFmtId="0" fontId="63" fillId="25" borderId="0" xfId="0" applyFont="1" applyFill="1" applyAlignment="1">
      <alignment horizontal="center" vertical="center"/>
    </xf>
    <xf numFmtId="0" fontId="61" fillId="25" borderId="0" xfId="0" applyFont="1" applyFill="1" applyAlignment="1">
      <alignment horizontal="center" vertical="center"/>
    </xf>
    <xf numFmtId="9" fontId="44" fillId="24" borderId="0" xfId="72" applyNumberFormat="1" applyFont="1" applyFill="1" applyAlignment="1" applyProtection="1">
      <alignment horizontal="left" vertical="top"/>
    </xf>
  </cellXfs>
  <cellStyles count="7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omma" xfId="28" builtinId="3"/>
    <cellStyle name="Comma 2" xfId="29" xr:uid="{00000000-0005-0000-0000-00001B000000}"/>
    <cellStyle name="Comma 2 2" xfId="63" xr:uid="{EEEE3EC9-2F79-463A-AACE-305B744CA0D7}"/>
    <cellStyle name="Comma 3" xfId="61" xr:uid="{00000000-0005-0000-0000-00001C000000}"/>
    <cellStyle name="Comma 3 2" xfId="71" xr:uid="{62B19156-1EE2-4F8D-A4FB-B7E13CDA85A3}"/>
    <cellStyle name="Comma 4" xfId="62" xr:uid="{2E40234C-35C5-4DA1-BD6C-4DC357CE6B21}"/>
    <cellStyle name="Comma0" xfId="30" xr:uid="{00000000-0005-0000-0000-00001D000000}"/>
    <cellStyle name="Comma0 2" xfId="64" xr:uid="{AD3A8F31-C0F6-49EC-AF4F-DC40655A1899}"/>
    <cellStyle name="Currency0" xfId="31" xr:uid="{00000000-0005-0000-0000-00001E000000}"/>
    <cellStyle name="Currency0 2" xfId="65" xr:uid="{E6834E57-4504-4423-9510-1624EC7ED038}"/>
    <cellStyle name="Check Cell" xfId="27" builtinId="23" customBuiltin="1"/>
    <cellStyle name="Date" xfId="32" xr:uid="{00000000-0005-0000-0000-000020000000}"/>
    <cellStyle name="Date 2" xfId="66" xr:uid="{586E5136-6382-487E-96CE-ACBD86BEFC3C}"/>
    <cellStyle name="Explanatory Text" xfId="33" builtinId="53" customBuiltin="1"/>
    <cellStyle name="Fixed" xfId="34" xr:uid="{00000000-0005-0000-0000-000022000000}"/>
    <cellStyle name="Fixed 2" xfId="67" xr:uid="{F965C987-6641-49D9-8884-2F1B5E7B7769}"/>
    <cellStyle name="Good" xfId="35" builtinId="26" customBuiltin="1"/>
    <cellStyle name="Heading 1" xfId="36" builtinId="16" customBuiltin="1"/>
    <cellStyle name="Heading 2" xfId="37" builtinId="17" customBuiltin="1"/>
    <cellStyle name="Heading 3" xfId="38" builtinId="18" customBuiltin="1"/>
    <cellStyle name="Heading 4" xfId="39" builtinId="19" customBuiltin="1"/>
    <cellStyle name="Input" xfId="40" builtinId="20" customBuiltin="1"/>
    <cellStyle name="Linked Cell" xfId="41" builtinId="24" customBuiltin="1"/>
    <cellStyle name="Neutral" xfId="42" builtinId="28" customBuiltin="1"/>
    <cellStyle name="Normal" xfId="0" builtinId="0"/>
    <cellStyle name="Normal 2" xfId="43" xr:uid="{00000000-0005-0000-0000-00002C000000}"/>
    <cellStyle name="Normal 2 2" xfId="68" xr:uid="{74551A7F-3681-4C57-892F-9FE823749A4C}"/>
    <cellStyle name="Normal 3" xfId="60" xr:uid="{00000000-0005-0000-0000-00002D000000}"/>
    <cellStyle name="Normal 3 2" xfId="70" xr:uid="{740C27F8-73F5-4531-B504-F6A6B2DC6C2C}"/>
    <cellStyle name="Note" xfId="44" builtinId="10" customBuiltin="1"/>
    <cellStyle name="Output" xfId="45" builtinId="21" customBuiltin="1"/>
    <cellStyle name="Percent" xfId="72" builtinId="5"/>
    <cellStyle name="Title" xfId="46" builtinId="15" customBuiltin="1"/>
    <cellStyle name="Total" xfId="47" builtinId="25" customBuiltin="1"/>
    <cellStyle name="Total 2" xfId="69" xr:uid="{E2048853-1894-464F-893A-A24ABA5D3252}"/>
    <cellStyle name="Warning Text" xfId="48" builtinId="11" customBuiltin="1"/>
    <cellStyle name="똿뗦먛귟 [0.00]_PRODUCT DETAIL Q1" xfId="49" xr:uid="{00000000-0005-0000-0000-000034000000}"/>
    <cellStyle name="똿뗦먛귟_PRODUCT DETAIL Q1" xfId="50" xr:uid="{00000000-0005-0000-0000-000035000000}"/>
    <cellStyle name="믅됞 [0.00]_PRODUCT DETAIL Q1" xfId="51" xr:uid="{00000000-0005-0000-0000-000036000000}"/>
    <cellStyle name="믅됞_PRODUCT DETAIL Q1" xfId="52" xr:uid="{00000000-0005-0000-0000-000037000000}"/>
    <cellStyle name="백분율_HOBONG" xfId="53" xr:uid="{00000000-0005-0000-0000-000038000000}"/>
    <cellStyle name="뷭?_BOOKSHIP" xfId="54" xr:uid="{00000000-0005-0000-0000-000039000000}"/>
    <cellStyle name="콤마 [0]_1202" xfId="55" xr:uid="{00000000-0005-0000-0000-00003A000000}"/>
    <cellStyle name="콤마_1202" xfId="56" xr:uid="{00000000-0005-0000-0000-00003B000000}"/>
    <cellStyle name="통화 [0]_1202" xfId="57" xr:uid="{00000000-0005-0000-0000-00003C000000}"/>
    <cellStyle name="통화_1202" xfId="58" xr:uid="{00000000-0005-0000-0000-00003D000000}"/>
    <cellStyle name="표준_(정보부문)월별인원계획" xfId="59" xr:uid="{00000000-0005-0000-0000-00003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0"/>
  </sheetPr>
  <dimension ref="A1:V196"/>
  <sheetViews>
    <sheetView topLeftCell="A3" zoomScale="115" zoomScaleNormal="115" zoomScaleSheetLayoutView="100" workbookViewId="0">
      <pane xSplit="8" ySplit="4" topLeftCell="I136" activePane="bottomRight" state="frozen"/>
      <selection activeCell="A3" sqref="A3"/>
      <selection pane="topRight" activeCell="I3" sqref="I3"/>
      <selection pane="bottomLeft" activeCell="A7" sqref="A7"/>
      <selection pane="bottomRight" activeCell="G159" sqref="G159"/>
    </sheetView>
  </sheetViews>
  <sheetFormatPr defaultColWidth="3.42578125" defaultRowHeight="12.75"/>
  <cols>
    <col min="1" max="1" width="4.5703125" style="152" customWidth="1"/>
    <col min="2" max="2" width="9.85546875" style="181" customWidth="1"/>
    <col min="3" max="3" width="19.85546875" style="182" customWidth="1"/>
    <col min="4" max="4" width="4.5703125" style="21" customWidth="1"/>
    <col min="5" max="5" width="4.28515625" style="21" customWidth="1"/>
    <col min="6" max="6" width="26.85546875" style="182" customWidth="1"/>
    <col min="7" max="7" width="6.7109375" style="182" customWidth="1"/>
    <col min="8" max="8" width="11.85546875" style="136" customWidth="1"/>
    <col min="9" max="9" width="9.42578125" style="183" customWidth="1"/>
    <col min="10" max="10" width="10.5703125" style="3" customWidth="1"/>
    <col min="11" max="11" width="9.7109375" style="177" customWidth="1"/>
    <col min="12" max="12" width="10.42578125" style="3" customWidth="1"/>
    <col min="13" max="13" width="9.7109375" style="182" customWidth="1"/>
    <col min="14" max="14" width="10.140625" style="3" customWidth="1"/>
    <col min="15" max="15" width="9.7109375" style="51" customWidth="1"/>
    <col min="16" max="16" width="10.28515625" style="3" customWidth="1"/>
    <col min="17" max="17" width="10.42578125" style="3" customWidth="1"/>
    <col min="18" max="18" width="12" style="6" bestFit="1" customWidth="1"/>
    <col min="19" max="22" width="9.140625" style="152" customWidth="1"/>
    <col min="23" max="32" width="3.42578125" style="152"/>
    <col min="33" max="33" width="3.42578125" style="152" customWidth="1"/>
    <col min="34" max="254" width="9.140625" style="152" customWidth="1"/>
    <col min="255" max="255" width="3.42578125" style="152" customWidth="1"/>
    <col min="256" max="256" width="9.140625" style="152" customWidth="1"/>
    <col min="257" max="258" width="26.85546875" style="152" customWidth="1"/>
    <col min="259" max="259" width="16.85546875" style="152" customWidth="1"/>
    <col min="260" max="261" width="4.5703125" style="152" customWidth="1"/>
    <col min="262" max="262" width="20.5703125" style="152" customWidth="1"/>
    <col min="263" max="263" width="6.140625" style="152" customWidth="1"/>
    <col min="264" max="265" width="14.7109375" style="152" customWidth="1"/>
    <col min="266" max="266" width="13.85546875" style="152" customWidth="1"/>
    <col min="267" max="267" width="7.140625" style="152" customWidth="1"/>
    <col min="268" max="268" width="11.85546875" style="152" customWidth="1"/>
    <col min="269" max="269" width="6.28515625" style="152" customWidth="1"/>
    <col min="270" max="270" width="11.140625" style="152" customWidth="1"/>
    <col min="271" max="271" width="7.5703125" style="152" customWidth="1"/>
    <col min="272" max="272" width="8.5703125" style="152" customWidth="1"/>
    <col min="273" max="273" width="13.7109375" style="152" customWidth="1"/>
    <col min="274" max="274" width="13.42578125" style="152" customWidth="1"/>
    <col min="275" max="278" width="9.140625" style="152" customWidth="1"/>
    <col min="279" max="288" width="3.42578125" style="152"/>
    <col min="289" max="289" width="3.42578125" style="152" customWidth="1"/>
    <col min="290" max="510" width="9.140625" style="152" customWidth="1"/>
    <col min="511" max="511" width="3.42578125" style="152" customWidth="1"/>
    <col min="512" max="512" width="9.140625" style="152" customWidth="1"/>
    <col min="513" max="514" width="26.85546875" style="152" customWidth="1"/>
    <col min="515" max="515" width="16.85546875" style="152" customWidth="1"/>
    <col min="516" max="517" width="4.5703125" style="152" customWidth="1"/>
    <col min="518" max="518" width="20.5703125" style="152" customWidth="1"/>
    <col min="519" max="519" width="6.140625" style="152" customWidth="1"/>
    <col min="520" max="521" width="14.7109375" style="152" customWidth="1"/>
    <col min="522" max="522" width="13.85546875" style="152" customWidth="1"/>
    <col min="523" max="523" width="7.140625" style="152" customWidth="1"/>
    <col min="524" max="524" width="11.85546875" style="152" customWidth="1"/>
    <col min="525" max="525" width="6.28515625" style="152" customWidth="1"/>
    <col min="526" max="526" width="11.140625" style="152" customWidth="1"/>
    <col min="527" max="527" width="7.5703125" style="152" customWidth="1"/>
    <col min="528" max="528" width="8.5703125" style="152" customWidth="1"/>
    <col min="529" max="529" width="13.7109375" style="152" customWidth="1"/>
    <col min="530" max="530" width="13.42578125" style="152" customWidth="1"/>
    <col min="531" max="534" width="9.140625" style="152" customWidth="1"/>
    <col min="535" max="544" width="3.42578125" style="152"/>
    <col min="545" max="545" width="3.42578125" style="152" customWidth="1"/>
    <col min="546" max="766" width="9.140625" style="152" customWidth="1"/>
    <col min="767" max="767" width="3.42578125" style="152" customWidth="1"/>
    <col min="768" max="768" width="9.140625" style="152" customWidth="1"/>
    <col min="769" max="770" width="26.85546875" style="152" customWidth="1"/>
    <col min="771" max="771" width="16.85546875" style="152" customWidth="1"/>
    <col min="772" max="773" width="4.5703125" style="152" customWidth="1"/>
    <col min="774" max="774" width="20.5703125" style="152" customWidth="1"/>
    <col min="775" max="775" width="6.140625" style="152" customWidth="1"/>
    <col min="776" max="777" width="14.7109375" style="152" customWidth="1"/>
    <col min="778" max="778" width="13.85546875" style="152" customWidth="1"/>
    <col min="779" max="779" width="7.140625" style="152" customWidth="1"/>
    <col min="780" max="780" width="11.85546875" style="152" customWidth="1"/>
    <col min="781" max="781" width="6.28515625" style="152" customWidth="1"/>
    <col min="782" max="782" width="11.140625" style="152" customWidth="1"/>
    <col min="783" max="783" width="7.5703125" style="152" customWidth="1"/>
    <col min="784" max="784" width="8.5703125" style="152" customWidth="1"/>
    <col min="785" max="785" width="13.7109375" style="152" customWidth="1"/>
    <col min="786" max="786" width="13.42578125" style="152" customWidth="1"/>
    <col min="787" max="790" width="9.140625" style="152" customWidth="1"/>
    <col min="791" max="800" width="3.42578125" style="152"/>
    <col min="801" max="801" width="3.42578125" style="152" customWidth="1"/>
    <col min="802" max="1022" width="9.140625" style="152" customWidth="1"/>
    <col min="1023" max="1023" width="3.42578125" style="152" customWidth="1"/>
    <col min="1024" max="1024" width="9.140625" style="152" customWidth="1"/>
    <col min="1025" max="1026" width="26.85546875" style="152" customWidth="1"/>
    <col min="1027" max="1027" width="16.85546875" style="152" customWidth="1"/>
    <col min="1028" max="1029" width="4.5703125" style="152" customWidth="1"/>
    <col min="1030" max="1030" width="20.5703125" style="152" customWidth="1"/>
    <col min="1031" max="1031" width="6.140625" style="152" customWidth="1"/>
    <col min="1032" max="1033" width="14.7109375" style="152" customWidth="1"/>
    <col min="1034" max="1034" width="13.85546875" style="152" customWidth="1"/>
    <col min="1035" max="1035" width="7.140625" style="152" customWidth="1"/>
    <col min="1036" max="1036" width="11.85546875" style="152" customWidth="1"/>
    <col min="1037" max="1037" width="6.28515625" style="152" customWidth="1"/>
    <col min="1038" max="1038" width="11.140625" style="152" customWidth="1"/>
    <col min="1039" max="1039" width="7.5703125" style="152" customWidth="1"/>
    <col min="1040" max="1040" width="8.5703125" style="152" customWidth="1"/>
    <col min="1041" max="1041" width="13.7109375" style="152" customWidth="1"/>
    <col min="1042" max="1042" width="13.42578125" style="152" customWidth="1"/>
    <col min="1043" max="1046" width="9.140625" style="152" customWidth="1"/>
    <col min="1047" max="1056" width="3.42578125" style="152"/>
    <col min="1057" max="1057" width="3.42578125" style="152" customWidth="1"/>
    <col min="1058" max="1278" width="9.140625" style="152" customWidth="1"/>
    <col min="1279" max="1279" width="3.42578125" style="152" customWidth="1"/>
    <col min="1280" max="1280" width="9.140625" style="152" customWidth="1"/>
    <col min="1281" max="1282" width="26.85546875" style="152" customWidth="1"/>
    <col min="1283" max="1283" width="16.85546875" style="152" customWidth="1"/>
    <col min="1284" max="1285" width="4.5703125" style="152" customWidth="1"/>
    <col min="1286" max="1286" width="20.5703125" style="152" customWidth="1"/>
    <col min="1287" max="1287" width="6.140625" style="152" customWidth="1"/>
    <col min="1288" max="1289" width="14.7109375" style="152" customWidth="1"/>
    <col min="1290" max="1290" width="13.85546875" style="152" customWidth="1"/>
    <col min="1291" max="1291" width="7.140625" style="152" customWidth="1"/>
    <col min="1292" max="1292" width="11.85546875" style="152" customWidth="1"/>
    <col min="1293" max="1293" width="6.28515625" style="152" customWidth="1"/>
    <col min="1294" max="1294" width="11.140625" style="152" customWidth="1"/>
    <col min="1295" max="1295" width="7.5703125" style="152" customWidth="1"/>
    <col min="1296" max="1296" width="8.5703125" style="152" customWidth="1"/>
    <col min="1297" max="1297" width="13.7109375" style="152" customWidth="1"/>
    <col min="1298" max="1298" width="13.42578125" style="152" customWidth="1"/>
    <col min="1299" max="1302" width="9.140625" style="152" customWidth="1"/>
    <col min="1303" max="1312" width="3.42578125" style="152"/>
    <col min="1313" max="1313" width="3.42578125" style="152" customWidth="1"/>
    <col min="1314" max="1534" width="9.140625" style="152" customWidth="1"/>
    <col min="1535" max="1535" width="3.42578125" style="152" customWidth="1"/>
    <col min="1536" max="1536" width="9.140625" style="152" customWidth="1"/>
    <col min="1537" max="1538" width="26.85546875" style="152" customWidth="1"/>
    <col min="1539" max="1539" width="16.85546875" style="152" customWidth="1"/>
    <col min="1540" max="1541" width="4.5703125" style="152" customWidth="1"/>
    <col min="1542" max="1542" width="20.5703125" style="152" customWidth="1"/>
    <col min="1543" max="1543" width="6.140625" style="152" customWidth="1"/>
    <col min="1544" max="1545" width="14.7109375" style="152" customWidth="1"/>
    <col min="1546" max="1546" width="13.85546875" style="152" customWidth="1"/>
    <col min="1547" max="1547" width="7.140625" style="152" customWidth="1"/>
    <col min="1548" max="1548" width="11.85546875" style="152" customWidth="1"/>
    <col min="1549" max="1549" width="6.28515625" style="152" customWidth="1"/>
    <col min="1550" max="1550" width="11.140625" style="152" customWidth="1"/>
    <col min="1551" max="1551" width="7.5703125" style="152" customWidth="1"/>
    <col min="1552" max="1552" width="8.5703125" style="152" customWidth="1"/>
    <col min="1553" max="1553" width="13.7109375" style="152" customWidth="1"/>
    <col min="1554" max="1554" width="13.42578125" style="152" customWidth="1"/>
    <col min="1555" max="1558" width="9.140625" style="152" customWidth="1"/>
    <col min="1559" max="1568" width="3.42578125" style="152"/>
    <col min="1569" max="1569" width="3.42578125" style="152" customWidth="1"/>
    <col min="1570" max="1790" width="9.140625" style="152" customWidth="1"/>
    <col min="1791" max="1791" width="3.42578125" style="152" customWidth="1"/>
    <col min="1792" max="1792" width="9.140625" style="152" customWidth="1"/>
    <col min="1793" max="1794" width="26.85546875" style="152" customWidth="1"/>
    <col min="1795" max="1795" width="16.85546875" style="152" customWidth="1"/>
    <col min="1796" max="1797" width="4.5703125" style="152" customWidth="1"/>
    <col min="1798" max="1798" width="20.5703125" style="152" customWidth="1"/>
    <col min="1799" max="1799" width="6.140625" style="152" customWidth="1"/>
    <col min="1800" max="1801" width="14.7109375" style="152" customWidth="1"/>
    <col min="1802" max="1802" width="13.85546875" style="152" customWidth="1"/>
    <col min="1803" max="1803" width="7.140625" style="152" customWidth="1"/>
    <col min="1804" max="1804" width="11.85546875" style="152" customWidth="1"/>
    <col min="1805" max="1805" width="6.28515625" style="152" customWidth="1"/>
    <col min="1806" max="1806" width="11.140625" style="152" customWidth="1"/>
    <col min="1807" max="1807" width="7.5703125" style="152" customWidth="1"/>
    <col min="1808" max="1808" width="8.5703125" style="152" customWidth="1"/>
    <col min="1809" max="1809" width="13.7109375" style="152" customWidth="1"/>
    <col min="1810" max="1810" width="13.42578125" style="152" customWidth="1"/>
    <col min="1811" max="1814" width="9.140625" style="152" customWidth="1"/>
    <col min="1815" max="1824" width="3.42578125" style="152"/>
    <col min="1825" max="1825" width="3.42578125" style="152" customWidth="1"/>
    <col min="1826" max="2046" width="9.140625" style="152" customWidth="1"/>
    <col min="2047" max="2047" width="3.42578125" style="152" customWidth="1"/>
    <col min="2048" max="2048" width="9.140625" style="152" customWidth="1"/>
    <col min="2049" max="2050" width="26.85546875" style="152" customWidth="1"/>
    <col min="2051" max="2051" width="16.85546875" style="152" customWidth="1"/>
    <col min="2052" max="2053" width="4.5703125" style="152" customWidth="1"/>
    <col min="2054" max="2054" width="20.5703125" style="152" customWidth="1"/>
    <col min="2055" max="2055" width="6.140625" style="152" customWidth="1"/>
    <col min="2056" max="2057" width="14.7109375" style="152" customWidth="1"/>
    <col min="2058" max="2058" width="13.85546875" style="152" customWidth="1"/>
    <col min="2059" max="2059" width="7.140625" style="152" customWidth="1"/>
    <col min="2060" max="2060" width="11.85546875" style="152" customWidth="1"/>
    <col min="2061" max="2061" width="6.28515625" style="152" customWidth="1"/>
    <col min="2062" max="2062" width="11.140625" style="152" customWidth="1"/>
    <col min="2063" max="2063" width="7.5703125" style="152" customWidth="1"/>
    <col min="2064" max="2064" width="8.5703125" style="152" customWidth="1"/>
    <col min="2065" max="2065" width="13.7109375" style="152" customWidth="1"/>
    <col min="2066" max="2066" width="13.42578125" style="152" customWidth="1"/>
    <col min="2067" max="2070" width="9.140625" style="152" customWidth="1"/>
    <col min="2071" max="2080" width="3.42578125" style="152"/>
    <col min="2081" max="2081" width="3.42578125" style="152" customWidth="1"/>
    <col min="2082" max="2302" width="9.140625" style="152" customWidth="1"/>
    <col min="2303" max="2303" width="3.42578125" style="152" customWidth="1"/>
    <col min="2304" max="2304" width="9.140625" style="152" customWidth="1"/>
    <col min="2305" max="2306" width="26.85546875" style="152" customWidth="1"/>
    <col min="2307" max="2307" width="16.85546875" style="152" customWidth="1"/>
    <col min="2308" max="2309" width="4.5703125" style="152" customWidth="1"/>
    <col min="2310" max="2310" width="20.5703125" style="152" customWidth="1"/>
    <col min="2311" max="2311" width="6.140625" style="152" customWidth="1"/>
    <col min="2312" max="2313" width="14.7109375" style="152" customWidth="1"/>
    <col min="2314" max="2314" width="13.85546875" style="152" customWidth="1"/>
    <col min="2315" max="2315" width="7.140625" style="152" customWidth="1"/>
    <col min="2316" max="2316" width="11.85546875" style="152" customWidth="1"/>
    <col min="2317" max="2317" width="6.28515625" style="152" customWidth="1"/>
    <col min="2318" max="2318" width="11.140625" style="152" customWidth="1"/>
    <col min="2319" max="2319" width="7.5703125" style="152" customWidth="1"/>
    <col min="2320" max="2320" width="8.5703125" style="152" customWidth="1"/>
    <col min="2321" max="2321" width="13.7109375" style="152" customWidth="1"/>
    <col min="2322" max="2322" width="13.42578125" style="152" customWidth="1"/>
    <col min="2323" max="2326" width="9.140625" style="152" customWidth="1"/>
    <col min="2327" max="2336" width="3.42578125" style="152"/>
    <col min="2337" max="2337" width="3.42578125" style="152" customWidth="1"/>
    <col min="2338" max="2558" width="9.140625" style="152" customWidth="1"/>
    <col min="2559" max="2559" width="3.42578125" style="152" customWidth="1"/>
    <col min="2560" max="2560" width="9.140625" style="152" customWidth="1"/>
    <col min="2561" max="2562" width="26.85546875" style="152" customWidth="1"/>
    <col min="2563" max="2563" width="16.85546875" style="152" customWidth="1"/>
    <col min="2564" max="2565" width="4.5703125" style="152" customWidth="1"/>
    <col min="2566" max="2566" width="20.5703125" style="152" customWidth="1"/>
    <col min="2567" max="2567" width="6.140625" style="152" customWidth="1"/>
    <col min="2568" max="2569" width="14.7109375" style="152" customWidth="1"/>
    <col min="2570" max="2570" width="13.85546875" style="152" customWidth="1"/>
    <col min="2571" max="2571" width="7.140625" style="152" customWidth="1"/>
    <col min="2572" max="2572" width="11.85546875" style="152" customWidth="1"/>
    <col min="2573" max="2573" width="6.28515625" style="152" customWidth="1"/>
    <col min="2574" max="2574" width="11.140625" style="152" customWidth="1"/>
    <col min="2575" max="2575" width="7.5703125" style="152" customWidth="1"/>
    <col min="2576" max="2576" width="8.5703125" style="152" customWidth="1"/>
    <col min="2577" max="2577" width="13.7109375" style="152" customWidth="1"/>
    <col min="2578" max="2578" width="13.42578125" style="152" customWidth="1"/>
    <col min="2579" max="2582" width="9.140625" style="152" customWidth="1"/>
    <col min="2583" max="2592" width="3.42578125" style="152"/>
    <col min="2593" max="2593" width="3.42578125" style="152" customWidth="1"/>
    <col min="2594" max="2814" width="9.140625" style="152" customWidth="1"/>
    <col min="2815" max="2815" width="3.42578125" style="152" customWidth="1"/>
    <col min="2816" max="2816" width="9.140625" style="152" customWidth="1"/>
    <col min="2817" max="2818" width="26.85546875" style="152" customWidth="1"/>
    <col min="2819" max="2819" width="16.85546875" style="152" customWidth="1"/>
    <col min="2820" max="2821" width="4.5703125" style="152" customWidth="1"/>
    <col min="2822" max="2822" width="20.5703125" style="152" customWidth="1"/>
    <col min="2823" max="2823" width="6.140625" style="152" customWidth="1"/>
    <col min="2824" max="2825" width="14.7109375" style="152" customWidth="1"/>
    <col min="2826" max="2826" width="13.85546875" style="152" customWidth="1"/>
    <col min="2827" max="2827" width="7.140625" style="152" customWidth="1"/>
    <col min="2828" max="2828" width="11.85546875" style="152" customWidth="1"/>
    <col min="2829" max="2829" width="6.28515625" style="152" customWidth="1"/>
    <col min="2830" max="2830" width="11.140625" style="152" customWidth="1"/>
    <col min="2831" max="2831" width="7.5703125" style="152" customWidth="1"/>
    <col min="2832" max="2832" width="8.5703125" style="152" customWidth="1"/>
    <col min="2833" max="2833" width="13.7109375" style="152" customWidth="1"/>
    <col min="2834" max="2834" width="13.42578125" style="152" customWidth="1"/>
    <col min="2835" max="2838" width="9.140625" style="152" customWidth="1"/>
    <col min="2839" max="2848" width="3.42578125" style="152"/>
    <col min="2849" max="2849" width="3.42578125" style="152" customWidth="1"/>
    <col min="2850" max="3070" width="9.140625" style="152" customWidth="1"/>
    <col min="3071" max="3071" width="3.42578125" style="152" customWidth="1"/>
    <col min="3072" max="3072" width="9.140625" style="152" customWidth="1"/>
    <col min="3073" max="3074" width="26.85546875" style="152" customWidth="1"/>
    <col min="3075" max="3075" width="16.85546875" style="152" customWidth="1"/>
    <col min="3076" max="3077" width="4.5703125" style="152" customWidth="1"/>
    <col min="3078" max="3078" width="20.5703125" style="152" customWidth="1"/>
    <col min="3079" max="3079" width="6.140625" style="152" customWidth="1"/>
    <col min="3080" max="3081" width="14.7109375" style="152" customWidth="1"/>
    <col min="3082" max="3082" width="13.85546875" style="152" customWidth="1"/>
    <col min="3083" max="3083" width="7.140625" style="152" customWidth="1"/>
    <col min="3084" max="3084" width="11.85546875" style="152" customWidth="1"/>
    <col min="3085" max="3085" width="6.28515625" style="152" customWidth="1"/>
    <col min="3086" max="3086" width="11.140625" style="152" customWidth="1"/>
    <col min="3087" max="3087" width="7.5703125" style="152" customWidth="1"/>
    <col min="3088" max="3088" width="8.5703125" style="152" customWidth="1"/>
    <col min="3089" max="3089" width="13.7109375" style="152" customWidth="1"/>
    <col min="3090" max="3090" width="13.42578125" style="152" customWidth="1"/>
    <col min="3091" max="3094" width="9.140625" style="152" customWidth="1"/>
    <col min="3095" max="3104" width="3.42578125" style="152"/>
    <col min="3105" max="3105" width="3.42578125" style="152" customWidth="1"/>
    <col min="3106" max="3326" width="9.140625" style="152" customWidth="1"/>
    <col min="3327" max="3327" width="3.42578125" style="152" customWidth="1"/>
    <col min="3328" max="3328" width="9.140625" style="152" customWidth="1"/>
    <col min="3329" max="3330" width="26.85546875" style="152" customWidth="1"/>
    <col min="3331" max="3331" width="16.85546875" style="152" customWidth="1"/>
    <col min="3332" max="3333" width="4.5703125" style="152" customWidth="1"/>
    <col min="3334" max="3334" width="20.5703125" style="152" customWidth="1"/>
    <col min="3335" max="3335" width="6.140625" style="152" customWidth="1"/>
    <col min="3336" max="3337" width="14.7109375" style="152" customWidth="1"/>
    <col min="3338" max="3338" width="13.85546875" style="152" customWidth="1"/>
    <col min="3339" max="3339" width="7.140625" style="152" customWidth="1"/>
    <col min="3340" max="3340" width="11.85546875" style="152" customWidth="1"/>
    <col min="3341" max="3341" width="6.28515625" style="152" customWidth="1"/>
    <col min="3342" max="3342" width="11.140625" style="152" customWidth="1"/>
    <col min="3343" max="3343" width="7.5703125" style="152" customWidth="1"/>
    <col min="3344" max="3344" width="8.5703125" style="152" customWidth="1"/>
    <col min="3345" max="3345" width="13.7109375" style="152" customWidth="1"/>
    <col min="3346" max="3346" width="13.42578125" style="152" customWidth="1"/>
    <col min="3347" max="3350" width="9.140625" style="152" customWidth="1"/>
    <col min="3351" max="3360" width="3.42578125" style="152"/>
    <col min="3361" max="3361" width="3.42578125" style="152" customWidth="1"/>
    <col min="3362" max="3582" width="9.140625" style="152" customWidth="1"/>
    <col min="3583" max="3583" width="3.42578125" style="152" customWidth="1"/>
    <col min="3584" max="3584" width="9.140625" style="152" customWidth="1"/>
    <col min="3585" max="3586" width="26.85546875" style="152" customWidth="1"/>
    <col min="3587" max="3587" width="16.85546875" style="152" customWidth="1"/>
    <col min="3588" max="3589" width="4.5703125" style="152" customWidth="1"/>
    <col min="3590" max="3590" width="20.5703125" style="152" customWidth="1"/>
    <col min="3591" max="3591" width="6.140625" style="152" customWidth="1"/>
    <col min="3592" max="3593" width="14.7109375" style="152" customWidth="1"/>
    <col min="3594" max="3594" width="13.85546875" style="152" customWidth="1"/>
    <col min="3595" max="3595" width="7.140625" style="152" customWidth="1"/>
    <col min="3596" max="3596" width="11.85546875" style="152" customWidth="1"/>
    <col min="3597" max="3597" width="6.28515625" style="152" customWidth="1"/>
    <col min="3598" max="3598" width="11.140625" style="152" customWidth="1"/>
    <col min="3599" max="3599" width="7.5703125" style="152" customWidth="1"/>
    <col min="3600" max="3600" width="8.5703125" style="152" customWidth="1"/>
    <col min="3601" max="3601" width="13.7109375" style="152" customWidth="1"/>
    <col min="3602" max="3602" width="13.42578125" style="152" customWidth="1"/>
    <col min="3603" max="3606" width="9.140625" style="152" customWidth="1"/>
    <col min="3607" max="3616" width="3.42578125" style="152"/>
    <col min="3617" max="3617" width="3.42578125" style="152" customWidth="1"/>
    <col min="3618" max="3838" width="9.140625" style="152" customWidth="1"/>
    <col min="3839" max="3839" width="3.42578125" style="152" customWidth="1"/>
    <col min="3840" max="3840" width="9.140625" style="152" customWidth="1"/>
    <col min="3841" max="3842" width="26.85546875" style="152" customWidth="1"/>
    <col min="3843" max="3843" width="16.85546875" style="152" customWidth="1"/>
    <col min="3844" max="3845" width="4.5703125" style="152" customWidth="1"/>
    <col min="3846" max="3846" width="20.5703125" style="152" customWidth="1"/>
    <col min="3847" max="3847" width="6.140625" style="152" customWidth="1"/>
    <col min="3848" max="3849" width="14.7109375" style="152" customWidth="1"/>
    <col min="3850" max="3850" width="13.85546875" style="152" customWidth="1"/>
    <col min="3851" max="3851" width="7.140625" style="152" customWidth="1"/>
    <col min="3852" max="3852" width="11.85546875" style="152" customWidth="1"/>
    <col min="3853" max="3853" width="6.28515625" style="152" customWidth="1"/>
    <col min="3854" max="3854" width="11.140625" style="152" customWidth="1"/>
    <col min="3855" max="3855" width="7.5703125" style="152" customWidth="1"/>
    <col min="3856" max="3856" width="8.5703125" style="152" customWidth="1"/>
    <col min="3857" max="3857" width="13.7109375" style="152" customWidth="1"/>
    <col min="3858" max="3858" width="13.42578125" style="152" customWidth="1"/>
    <col min="3859" max="3862" width="9.140625" style="152" customWidth="1"/>
    <col min="3863" max="3872" width="3.42578125" style="152"/>
    <col min="3873" max="3873" width="3.42578125" style="152" customWidth="1"/>
    <col min="3874" max="4094" width="9.140625" style="152" customWidth="1"/>
    <col min="4095" max="4095" width="3.42578125" style="152" customWidth="1"/>
    <col min="4096" max="4096" width="9.140625" style="152" customWidth="1"/>
    <col min="4097" max="4098" width="26.85546875" style="152" customWidth="1"/>
    <col min="4099" max="4099" width="16.85546875" style="152" customWidth="1"/>
    <col min="4100" max="4101" width="4.5703125" style="152" customWidth="1"/>
    <col min="4102" max="4102" width="20.5703125" style="152" customWidth="1"/>
    <col min="4103" max="4103" width="6.140625" style="152" customWidth="1"/>
    <col min="4104" max="4105" width="14.7109375" style="152" customWidth="1"/>
    <col min="4106" max="4106" width="13.85546875" style="152" customWidth="1"/>
    <col min="4107" max="4107" width="7.140625" style="152" customWidth="1"/>
    <col min="4108" max="4108" width="11.85546875" style="152" customWidth="1"/>
    <col min="4109" max="4109" width="6.28515625" style="152" customWidth="1"/>
    <col min="4110" max="4110" width="11.140625" style="152" customWidth="1"/>
    <col min="4111" max="4111" width="7.5703125" style="152" customWidth="1"/>
    <col min="4112" max="4112" width="8.5703125" style="152" customWidth="1"/>
    <col min="4113" max="4113" width="13.7109375" style="152" customWidth="1"/>
    <col min="4114" max="4114" width="13.42578125" style="152" customWidth="1"/>
    <col min="4115" max="4118" width="9.140625" style="152" customWidth="1"/>
    <col min="4119" max="4128" width="3.42578125" style="152"/>
    <col min="4129" max="4129" width="3.42578125" style="152" customWidth="1"/>
    <col min="4130" max="4350" width="9.140625" style="152" customWidth="1"/>
    <col min="4351" max="4351" width="3.42578125" style="152" customWidth="1"/>
    <col min="4352" max="4352" width="9.140625" style="152" customWidth="1"/>
    <col min="4353" max="4354" width="26.85546875" style="152" customWidth="1"/>
    <col min="4355" max="4355" width="16.85546875" style="152" customWidth="1"/>
    <col min="4356" max="4357" width="4.5703125" style="152" customWidth="1"/>
    <col min="4358" max="4358" width="20.5703125" style="152" customWidth="1"/>
    <col min="4359" max="4359" width="6.140625" style="152" customWidth="1"/>
    <col min="4360" max="4361" width="14.7109375" style="152" customWidth="1"/>
    <col min="4362" max="4362" width="13.85546875" style="152" customWidth="1"/>
    <col min="4363" max="4363" width="7.140625" style="152" customWidth="1"/>
    <col min="4364" max="4364" width="11.85546875" style="152" customWidth="1"/>
    <col min="4365" max="4365" width="6.28515625" style="152" customWidth="1"/>
    <col min="4366" max="4366" width="11.140625" style="152" customWidth="1"/>
    <col min="4367" max="4367" width="7.5703125" style="152" customWidth="1"/>
    <col min="4368" max="4368" width="8.5703125" style="152" customWidth="1"/>
    <col min="4369" max="4369" width="13.7109375" style="152" customWidth="1"/>
    <col min="4370" max="4370" width="13.42578125" style="152" customWidth="1"/>
    <col min="4371" max="4374" width="9.140625" style="152" customWidth="1"/>
    <col min="4375" max="4384" width="3.42578125" style="152"/>
    <col min="4385" max="4385" width="3.42578125" style="152" customWidth="1"/>
    <col min="4386" max="4606" width="9.140625" style="152" customWidth="1"/>
    <col min="4607" max="4607" width="3.42578125" style="152" customWidth="1"/>
    <col min="4608" max="4608" width="9.140625" style="152" customWidth="1"/>
    <col min="4609" max="4610" width="26.85546875" style="152" customWidth="1"/>
    <col min="4611" max="4611" width="16.85546875" style="152" customWidth="1"/>
    <col min="4612" max="4613" width="4.5703125" style="152" customWidth="1"/>
    <col min="4614" max="4614" width="20.5703125" style="152" customWidth="1"/>
    <col min="4615" max="4615" width="6.140625" style="152" customWidth="1"/>
    <col min="4616" max="4617" width="14.7109375" style="152" customWidth="1"/>
    <col min="4618" max="4618" width="13.85546875" style="152" customWidth="1"/>
    <col min="4619" max="4619" width="7.140625" style="152" customWidth="1"/>
    <col min="4620" max="4620" width="11.85546875" style="152" customWidth="1"/>
    <col min="4621" max="4621" width="6.28515625" style="152" customWidth="1"/>
    <col min="4622" max="4622" width="11.140625" style="152" customWidth="1"/>
    <col min="4623" max="4623" width="7.5703125" style="152" customWidth="1"/>
    <col min="4624" max="4624" width="8.5703125" style="152" customWidth="1"/>
    <col min="4625" max="4625" width="13.7109375" style="152" customWidth="1"/>
    <col min="4626" max="4626" width="13.42578125" style="152" customWidth="1"/>
    <col min="4627" max="4630" width="9.140625" style="152" customWidth="1"/>
    <col min="4631" max="4640" width="3.42578125" style="152"/>
    <col min="4641" max="4641" width="3.42578125" style="152" customWidth="1"/>
    <col min="4642" max="4862" width="9.140625" style="152" customWidth="1"/>
    <col min="4863" max="4863" width="3.42578125" style="152" customWidth="1"/>
    <col min="4864" max="4864" width="9.140625" style="152" customWidth="1"/>
    <col min="4865" max="4866" width="26.85546875" style="152" customWidth="1"/>
    <col min="4867" max="4867" width="16.85546875" style="152" customWidth="1"/>
    <col min="4868" max="4869" width="4.5703125" style="152" customWidth="1"/>
    <col min="4870" max="4870" width="20.5703125" style="152" customWidth="1"/>
    <col min="4871" max="4871" width="6.140625" style="152" customWidth="1"/>
    <col min="4872" max="4873" width="14.7109375" style="152" customWidth="1"/>
    <col min="4874" max="4874" width="13.85546875" style="152" customWidth="1"/>
    <col min="4875" max="4875" width="7.140625" style="152" customWidth="1"/>
    <col min="4876" max="4876" width="11.85546875" style="152" customWidth="1"/>
    <col min="4877" max="4877" width="6.28515625" style="152" customWidth="1"/>
    <col min="4878" max="4878" width="11.140625" style="152" customWidth="1"/>
    <col min="4879" max="4879" width="7.5703125" style="152" customWidth="1"/>
    <col min="4880" max="4880" width="8.5703125" style="152" customWidth="1"/>
    <col min="4881" max="4881" width="13.7109375" style="152" customWidth="1"/>
    <col min="4882" max="4882" width="13.42578125" style="152" customWidth="1"/>
    <col min="4883" max="4886" width="9.140625" style="152" customWidth="1"/>
    <col min="4887" max="4896" width="3.42578125" style="152"/>
    <col min="4897" max="4897" width="3.42578125" style="152" customWidth="1"/>
    <col min="4898" max="5118" width="9.140625" style="152" customWidth="1"/>
    <col min="5119" max="5119" width="3.42578125" style="152" customWidth="1"/>
    <col min="5120" max="5120" width="9.140625" style="152" customWidth="1"/>
    <col min="5121" max="5122" width="26.85546875" style="152" customWidth="1"/>
    <col min="5123" max="5123" width="16.85546875" style="152" customWidth="1"/>
    <col min="5124" max="5125" width="4.5703125" style="152" customWidth="1"/>
    <col min="5126" max="5126" width="20.5703125" style="152" customWidth="1"/>
    <col min="5127" max="5127" width="6.140625" style="152" customWidth="1"/>
    <col min="5128" max="5129" width="14.7109375" style="152" customWidth="1"/>
    <col min="5130" max="5130" width="13.85546875" style="152" customWidth="1"/>
    <col min="5131" max="5131" width="7.140625" style="152" customWidth="1"/>
    <col min="5132" max="5132" width="11.85546875" style="152" customWidth="1"/>
    <col min="5133" max="5133" width="6.28515625" style="152" customWidth="1"/>
    <col min="5134" max="5134" width="11.140625" style="152" customWidth="1"/>
    <col min="5135" max="5135" width="7.5703125" style="152" customWidth="1"/>
    <col min="5136" max="5136" width="8.5703125" style="152" customWidth="1"/>
    <col min="5137" max="5137" width="13.7109375" style="152" customWidth="1"/>
    <col min="5138" max="5138" width="13.42578125" style="152" customWidth="1"/>
    <col min="5139" max="5142" width="9.140625" style="152" customWidth="1"/>
    <col min="5143" max="5152" width="3.42578125" style="152"/>
    <col min="5153" max="5153" width="3.42578125" style="152" customWidth="1"/>
    <col min="5154" max="5374" width="9.140625" style="152" customWidth="1"/>
    <col min="5375" max="5375" width="3.42578125" style="152" customWidth="1"/>
    <col min="5376" max="5376" width="9.140625" style="152" customWidth="1"/>
    <col min="5377" max="5378" width="26.85546875" style="152" customWidth="1"/>
    <col min="5379" max="5379" width="16.85546875" style="152" customWidth="1"/>
    <col min="5380" max="5381" width="4.5703125" style="152" customWidth="1"/>
    <col min="5382" max="5382" width="20.5703125" style="152" customWidth="1"/>
    <col min="5383" max="5383" width="6.140625" style="152" customWidth="1"/>
    <col min="5384" max="5385" width="14.7109375" style="152" customWidth="1"/>
    <col min="5386" max="5386" width="13.85546875" style="152" customWidth="1"/>
    <col min="5387" max="5387" width="7.140625" style="152" customWidth="1"/>
    <col min="5388" max="5388" width="11.85546875" style="152" customWidth="1"/>
    <col min="5389" max="5389" width="6.28515625" style="152" customWidth="1"/>
    <col min="5390" max="5390" width="11.140625" style="152" customWidth="1"/>
    <col min="5391" max="5391" width="7.5703125" style="152" customWidth="1"/>
    <col min="5392" max="5392" width="8.5703125" style="152" customWidth="1"/>
    <col min="5393" max="5393" width="13.7109375" style="152" customWidth="1"/>
    <col min="5394" max="5394" width="13.42578125" style="152" customWidth="1"/>
    <col min="5395" max="5398" width="9.140625" style="152" customWidth="1"/>
    <col min="5399" max="5408" width="3.42578125" style="152"/>
    <col min="5409" max="5409" width="3.42578125" style="152" customWidth="1"/>
    <col min="5410" max="5630" width="9.140625" style="152" customWidth="1"/>
    <col min="5631" max="5631" width="3.42578125" style="152" customWidth="1"/>
    <col min="5632" max="5632" width="9.140625" style="152" customWidth="1"/>
    <col min="5633" max="5634" width="26.85546875" style="152" customWidth="1"/>
    <col min="5635" max="5635" width="16.85546875" style="152" customWidth="1"/>
    <col min="5636" max="5637" width="4.5703125" style="152" customWidth="1"/>
    <col min="5638" max="5638" width="20.5703125" style="152" customWidth="1"/>
    <col min="5639" max="5639" width="6.140625" style="152" customWidth="1"/>
    <col min="5640" max="5641" width="14.7109375" style="152" customWidth="1"/>
    <col min="5642" max="5642" width="13.85546875" style="152" customWidth="1"/>
    <col min="5643" max="5643" width="7.140625" style="152" customWidth="1"/>
    <col min="5644" max="5644" width="11.85546875" style="152" customWidth="1"/>
    <col min="5645" max="5645" width="6.28515625" style="152" customWidth="1"/>
    <col min="5646" max="5646" width="11.140625" style="152" customWidth="1"/>
    <col min="5647" max="5647" width="7.5703125" style="152" customWidth="1"/>
    <col min="5648" max="5648" width="8.5703125" style="152" customWidth="1"/>
    <col min="5649" max="5649" width="13.7109375" style="152" customWidth="1"/>
    <col min="5650" max="5650" width="13.42578125" style="152" customWidth="1"/>
    <col min="5651" max="5654" width="9.140625" style="152" customWidth="1"/>
    <col min="5655" max="5664" width="3.42578125" style="152"/>
    <col min="5665" max="5665" width="3.42578125" style="152" customWidth="1"/>
    <col min="5666" max="5886" width="9.140625" style="152" customWidth="1"/>
    <col min="5887" max="5887" width="3.42578125" style="152" customWidth="1"/>
    <col min="5888" max="5888" width="9.140625" style="152" customWidth="1"/>
    <col min="5889" max="5890" width="26.85546875" style="152" customWidth="1"/>
    <col min="5891" max="5891" width="16.85546875" style="152" customWidth="1"/>
    <col min="5892" max="5893" width="4.5703125" style="152" customWidth="1"/>
    <col min="5894" max="5894" width="20.5703125" style="152" customWidth="1"/>
    <col min="5895" max="5895" width="6.140625" style="152" customWidth="1"/>
    <col min="5896" max="5897" width="14.7109375" style="152" customWidth="1"/>
    <col min="5898" max="5898" width="13.85546875" style="152" customWidth="1"/>
    <col min="5899" max="5899" width="7.140625" style="152" customWidth="1"/>
    <col min="5900" max="5900" width="11.85546875" style="152" customWidth="1"/>
    <col min="5901" max="5901" width="6.28515625" style="152" customWidth="1"/>
    <col min="5902" max="5902" width="11.140625" style="152" customWidth="1"/>
    <col min="5903" max="5903" width="7.5703125" style="152" customWidth="1"/>
    <col min="5904" max="5904" width="8.5703125" style="152" customWidth="1"/>
    <col min="5905" max="5905" width="13.7109375" style="152" customWidth="1"/>
    <col min="5906" max="5906" width="13.42578125" style="152" customWidth="1"/>
    <col min="5907" max="5910" width="9.140625" style="152" customWidth="1"/>
    <col min="5911" max="5920" width="3.42578125" style="152"/>
    <col min="5921" max="5921" width="3.42578125" style="152" customWidth="1"/>
    <col min="5922" max="6142" width="9.140625" style="152" customWidth="1"/>
    <col min="6143" max="6143" width="3.42578125" style="152" customWidth="1"/>
    <col min="6144" max="6144" width="9.140625" style="152" customWidth="1"/>
    <col min="6145" max="6146" width="26.85546875" style="152" customWidth="1"/>
    <col min="6147" max="6147" width="16.85546875" style="152" customWidth="1"/>
    <col min="6148" max="6149" width="4.5703125" style="152" customWidth="1"/>
    <col min="6150" max="6150" width="20.5703125" style="152" customWidth="1"/>
    <col min="6151" max="6151" width="6.140625" style="152" customWidth="1"/>
    <col min="6152" max="6153" width="14.7109375" style="152" customWidth="1"/>
    <col min="6154" max="6154" width="13.85546875" style="152" customWidth="1"/>
    <col min="6155" max="6155" width="7.140625" style="152" customWidth="1"/>
    <col min="6156" max="6156" width="11.85546875" style="152" customWidth="1"/>
    <col min="6157" max="6157" width="6.28515625" style="152" customWidth="1"/>
    <col min="6158" max="6158" width="11.140625" style="152" customWidth="1"/>
    <col min="6159" max="6159" width="7.5703125" style="152" customWidth="1"/>
    <col min="6160" max="6160" width="8.5703125" style="152" customWidth="1"/>
    <col min="6161" max="6161" width="13.7109375" style="152" customWidth="1"/>
    <col min="6162" max="6162" width="13.42578125" style="152" customWidth="1"/>
    <col min="6163" max="6166" width="9.140625" style="152" customWidth="1"/>
    <col min="6167" max="6176" width="3.42578125" style="152"/>
    <col min="6177" max="6177" width="3.42578125" style="152" customWidth="1"/>
    <col min="6178" max="6398" width="9.140625" style="152" customWidth="1"/>
    <col min="6399" max="6399" width="3.42578125" style="152" customWidth="1"/>
    <col min="6400" max="6400" width="9.140625" style="152" customWidth="1"/>
    <col min="6401" max="6402" width="26.85546875" style="152" customWidth="1"/>
    <col min="6403" max="6403" width="16.85546875" style="152" customWidth="1"/>
    <col min="6404" max="6405" width="4.5703125" style="152" customWidth="1"/>
    <col min="6406" max="6406" width="20.5703125" style="152" customWidth="1"/>
    <col min="6407" max="6407" width="6.140625" style="152" customWidth="1"/>
    <col min="6408" max="6409" width="14.7109375" style="152" customWidth="1"/>
    <col min="6410" max="6410" width="13.85546875" style="152" customWidth="1"/>
    <col min="6411" max="6411" width="7.140625" style="152" customWidth="1"/>
    <col min="6412" max="6412" width="11.85546875" style="152" customWidth="1"/>
    <col min="6413" max="6413" width="6.28515625" style="152" customWidth="1"/>
    <col min="6414" max="6414" width="11.140625" style="152" customWidth="1"/>
    <col min="6415" max="6415" width="7.5703125" style="152" customWidth="1"/>
    <col min="6416" max="6416" width="8.5703125" style="152" customWidth="1"/>
    <col min="6417" max="6417" width="13.7109375" style="152" customWidth="1"/>
    <col min="6418" max="6418" width="13.42578125" style="152" customWidth="1"/>
    <col min="6419" max="6422" width="9.140625" style="152" customWidth="1"/>
    <col min="6423" max="6432" width="3.42578125" style="152"/>
    <col min="6433" max="6433" width="3.42578125" style="152" customWidth="1"/>
    <col min="6434" max="6654" width="9.140625" style="152" customWidth="1"/>
    <col min="6655" max="6655" width="3.42578125" style="152" customWidth="1"/>
    <col min="6656" max="6656" width="9.140625" style="152" customWidth="1"/>
    <col min="6657" max="6658" width="26.85546875" style="152" customWidth="1"/>
    <col min="6659" max="6659" width="16.85546875" style="152" customWidth="1"/>
    <col min="6660" max="6661" width="4.5703125" style="152" customWidth="1"/>
    <col min="6662" max="6662" width="20.5703125" style="152" customWidth="1"/>
    <col min="6663" max="6663" width="6.140625" style="152" customWidth="1"/>
    <col min="6664" max="6665" width="14.7109375" style="152" customWidth="1"/>
    <col min="6666" max="6666" width="13.85546875" style="152" customWidth="1"/>
    <col min="6667" max="6667" width="7.140625" style="152" customWidth="1"/>
    <col min="6668" max="6668" width="11.85546875" style="152" customWidth="1"/>
    <col min="6669" max="6669" width="6.28515625" style="152" customWidth="1"/>
    <col min="6670" max="6670" width="11.140625" style="152" customWidth="1"/>
    <col min="6671" max="6671" width="7.5703125" style="152" customWidth="1"/>
    <col min="6672" max="6672" width="8.5703125" style="152" customWidth="1"/>
    <col min="6673" max="6673" width="13.7109375" style="152" customWidth="1"/>
    <col min="6674" max="6674" width="13.42578125" style="152" customWidth="1"/>
    <col min="6675" max="6678" width="9.140625" style="152" customWidth="1"/>
    <col min="6679" max="6688" width="3.42578125" style="152"/>
    <col min="6689" max="6689" width="3.42578125" style="152" customWidth="1"/>
    <col min="6690" max="6910" width="9.140625" style="152" customWidth="1"/>
    <col min="6911" max="6911" width="3.42578125" style="152" customWidth="1"/>
    <col min="6912" max="6912" width="9.140625" style="152" customWidth="1"/>
    <col min="6913" max="6914" width="26.85546875" style="152" customWidth="1"/>
    <col min="6915" max="6915" width="16.85546875" style="152" customWidth="1"/>
    <col min="6916" max="6917" width="4.5703125" style="152" customWidth="1"/>
    <col min="6918" max="6918" width="20.5703125" style="152" customWidth="1"/>
    <col min="6919" max="6919" width="6.140625" style="152" customWidth="1"/>
    <col min="6920" max="6921" width="14.7109375" style="152" customWidth="1"/>
    <col min="6922" max="6922" width="13.85546875" style="152" customWidth="1"/>
    <col min="6923" max="6923" width="7.140625" style="152" customWidth="1"/>
    <col min="6924" max="6924" width="11.85546875" style="152" customWidth="1"/>
    <col min="6925" max="6925" width="6.28515625" style="152" customWidth="1"/>
    <col min="6926" max="6926" width="11.140625" style="152" customWidth="1"/>
    <col min="6927" max="6927" width="7.5703125" style="152" customWidth="1"/>
    <col min="6928" max="6928" width="8.5703125" style="152" customWidth="1"/>
    <col min="6929" max="6929" width="13.7109375" style="152" customWidth="1"/>
    <col min="6930" max="6930" width="13.42578125" style="152" customWidth="1"/>
    <col min="6931" max="6934" width="9.140625" style="152" customWidth="1"/>
    <col min="6935" max="6944" width="3.42578125" style="152"/>
    <col min="6945" max="6945" width="3.42578125" style="152" customWidth="1"/>
    <col min="6946" max="7166" width="9.140625" style="152" customWidth="1"/>
    <col min="7167" max="7167" width="3.42578125" style="152" customWidth="1"/>
    <col min="7168" max="7168" width="9.140625" style="152" customWidth="1"/>
    <col min="7169" max="7170" width="26.85546875" style="152" customWidth="1"/>
    <col min="7171" max="7171" width="16.85546875" style="152" customWidth="1"/>
    <col min="7172" max="7173" width="4.5703125" style="152" customWidth="1"/>
    <col min="7174" max="7174" width="20.5703125" style="152" customWidth="1"/>
    <col min="7175" max="7175" width="6.140625" style="152" customWidth="1"/>
    <col min="7176" max="7177" width="14.7109375" style="152" customWidth="1"/>
    <col min="7178" max="7178" width="13.85546875" style="152" customWidth="1"/>
    <col min="7179" max="7179" width="7.140625" style="152" customWidth="1"/>
    <col min="7180" max="7180" width="11.85546875" style="152" customWidth="1"/>
    <col min="7181" max="7181" width="6.28515625" style="152" customWidth="1"/>
    <col min="7182" max="7182" width="11.140625" style="152" customWidth="1"/>
    <col min="7183" max="7183" width="7.5703125" style="152" customWidth="1"/>
    <col min="7184" max="7184" width="8.5703125" style="152" customWidth="1"/>
    <col min="7185" max="7185" width="13.7109375" style="152" customWidth="1"/>
    <col min="7186" max="7186" width="13.42578125" style="152" customWidth="1"/>
    <col min="7187" max="7190" width="9.140625" style="152" customWidth="1"/>
    <col min="7191" max="7200" width="3.42578125" style="152"/>
    <col min="7201" max="7201" width="3.42578125" style="152" customWidth="1"/>
    <col min="7202" max="7422" width="9.140625" style="152" customWidth="1"/>
    <col min="7423" max="7423" width="3.42578125" style="152" customWidth="1"/>
    <col min="7424" max="7424" width="9.140625" style="152" customWidth="1"/>
    <col min="7425" max="7426" width="26.85546875" style="152" customWidth="1"/>
    <col min="7427" max="7427" width="16.85546875" style="152" customWidth="1"/>
    <col min="7428" max="7429" width="4.5703125" style="152" customWidth="1"/>
    <col min="7430" max="7430" width="20.5703125" style="152" customWidth="1"/>
    <col min="7431" max="7431" width="6.140625" style="152" customWidth="1"/>
    <col min="7432" max="7433" width="14.7109375" style="152" customWidth="1"/>
    <col min="7434" max="7434" width="13.85546875" style="152" customWidth="1"/>
    <col min="7435" max="7435" width="7.140625" style="152" customWidth="1"/>
    <col min="7436" max="7436" width="11.85546875" style="152" customWidth="1"/>
    <col min="7437" max="7437" width="6.28515625" style="152" customWidth="1"/>
    <col min="7438" max="7438" width="11.140625" style="152" customWidth="1"/>
    <col min="7439" max="7439" width="7.5703125" style="152" customWidth="1"/>
    <col min="7440" max="7440" width="8.5703125" style="152" customWidth="1"/>
    <col min="7441" max="7441" width="13.7109375" style="152" customWidth="1"/>
    <col min="7442" max="7442" width="13.42578125" style="152" customWidth="1"/>
    <col min="7443" max="7446" width="9.140625" style="152" customWidth="1"/>
    <col min="7447" max="7456" width="3.42578125" style="152"/>
    <col min="7457" max="7457" width="3.42578125" style="152" customWidth="1"/>
    <col min="7458" max="7678" width="9.140625" style="152" customWidth="1"/>
    <col min="7679" max="7679" width="3.42578125" style="152" customWidth="1"/>
    <col min="7680" max="7680" width="9.140625" style="152" customWidth="1"/>
    <col min="7681" max="7682" width="26.85546875" style="152" customWidth="1"/>
    <col min="7683" max="7683" width="16.85546875" style="152" customWidth="1"/>
    <col min="7684" max="7685" width="4.5703125" style="152" customWidth="1"/>
    <col min="7686" max="7686" width="20.5703125" style="152" customWidth="1"/>
    <col min="7687" max="7687" width="6.140625" style="152" customWidth="1"/>
    <col min="7688" max="7689" width="14.7109375" style="152" customWidth="1"/>
    <col min="7690" max="7690" width="13.85546875" style="152" customWidth="1"/>
    <col min="7691" max="7691" width="7.140625" style="152" customWidth="1"/>
    <col min="7692" max="7692" width="11.85546875" style="152" customWidth="1"/>
    <col min="7693" max="7693" width="6.28515625" style="152" customWidth="1"/>
    <col min="7694" max="7694" width="11.140625" style="152" customWidth="1"/>
    <col min="7695" max="7695" width="7.5703125" style="152" customWidth="1"/>
    <col min="7696" max="7696" width="8.5703125" style="152" customWidth="1"/>
    <col min="7697" max="7697" width="13.7109375" style="152" customWidth="1"/>
    <col min="7698" max="7698" width="13.42578125" style="152" customWidth="1"/>
    <col min="7699" max="7702" width="9.140625" style="152" customWidth="1"/>
    <col min="7703" max="7712" width="3.42578125" style="152"/>
    <col min="7713" max="7713" width="3.42578125" style="152" customWidth="1"/>
    <col min="7714" max="7934" width="9.140625" style="152" customWidth="1"/>
    <col min="7935" max="7935" width="3.42578125" style="152" customWidth="1"/>
    <col min="7936" max="7936" width="9.140625" style="152" customWidth="1"/>
    <col min="7937" max="7938" width="26.85546875" style="152" customWidth="1"/>
    <col min="7939" max="7939" width="16.85546875" style="152" customWidth="1"/>
    <col min="7940" max="7941" width="4.5703125" style="152" customWidth="1"/>
    <col min="7942" max="7942" width="20.5703125" style="152" customWidth="1"/>
    <col min="7943" max="7943" width="6.140625" style="152" customWidth="1"/>
    <col min="7944" max="7945" width="14.7109375" style="152" customWidth="1"/>
    <col min="7946" max="7946" width="13.85546875" style="152" customWidth="1"/>
    <col min="7947" max="7947" width="7.140625" style="152" customWidth="1"/>
    <col min="7948" max="7948" width="11.85546875" style="152" customWidth="1"/>
    <col min="7949" max="7949" width="6.28515625" style="152" customWidth="1"/>
    <col min="7950" max="7950" width="11.140625" style="152" customWidth="1"/>
    <col min="7951" max="7951" width="7.5703125" style="152" customWidth="1"/>
    <col min="7952" max="7952" width="8.5703125" style="152" customWidth="1"/>
    <col min="7953" max="7953" width="13.7109375" style="152" customWidth="1"/>
    <col min="7954" max="7954" width="13.42578125" style="152" customWidth="1"/>
    <col min="7955" max="7958" width="9.140625" style="152" customWidth="1"/>
    <col min="7959" max="7968" width="3.42578125" style="152"/>
    <col min="7969" max="7969" width="3.42578125" style="152" customWidth="1"/>
    <col min="7970" max="8190" width="9.140625" style="152" customWidth="1"/>
    <col min="8191" max="8191" width="3.42578125" style="152" customWidth="1"/>
    <col min="8192" max="8192" width="9.140625" style="152" customWidth="1"/>
    <col min="8193" max="8194" width="26.85546875" style="152" customWidth="1"/>
    <col min="8195" max="8195" width="16.85546875" style="152" customWidth="1"/>
    <col min="8196" max="8197" width="4.5703125" style="152" customWidth="1"/>
    <col min="8198" max="8198" width="20.5703125" style="152" customWidth="1"/>
    <col min="8199" max="8199" width="6.140625" style="152" customWidth="1"/>
    <col min="8200" max="8201" width="14.7109375" style="152" customWidth="1"/>
    <col min="8202" max="8202" width="13.85546875" style="152" customWidth="1"/>
    <col min="8203" max="8203" width="7.140625" style="152" customWidth="1"/>
    <col min="8204" max="8204" width="11.85546875" style="152" customWidth="1"/>
    <col min="8205" max="8205" width="6.28515625" style="152" customWidth="1"/>
    <col min="8206" max="8206" width="11.140625" style="152" customWidth="1"/>
    <col min="8207" max="8207" width="7.5703125" style="152" customWidth="1"/>
    <col min="8208" max="8208" width="8.5703125" style="152" customWidth="1"/>
    <col min="8209" max="8209" width="13.7109375" style="152" customWidth="1"/>
    <col min="8210" max="8210" width="13.42578125" style="152" customWidth="1"/>
    <col min="8211" max="8214" width="9.140625" style="152" customWidth="1"/>
    <col min="8215" max="8224" width="3.42578125" style="152"/>
    <col min="8225" max="8225" width="3.42578125" style="152" customWidth="1"/>
    <col min="8226" max="8446" width="9.140625" style="152" customWidth="1"/>
    <col min="8447" max="8447" width="3.42578125" style="152" customWidth="1"/>
    <col min="8448" max="8448" width="9.140625" style="152" customWidth="1"/>
    <col min="8449" max="8450" width="26.85546875" style="152" customWidth="1"/>
    <col min="8451" max="8451" width="16.85546875" style="152" customWidth="1"/>
    <col min="8452" max="8453" width="4.5703125" style="152" customWidth="1"/>
    <col min="8454" max="8454" width="20.5703125" style="152" customWidth="1"/>
    <col min="8455" max="8455" width="6.140625" style="152" customWidth="1"/>
    <col min="8456" max="8457" width="14.7109375" style="152" customWidth="1"/>
    <col min="8458" max="8458" width="13.85546875" style="152" customWidth="1"/>
    <col min="8459" max="8459" width="7.140625" style="152" customWidth="1"/>
    <col min="8460" max="8460" width="11.85546875" style="152" customWidth="1"/>
    <col min="8461" max="8461" width="6.28515625" style="152" customWidth="1"/>
    <col min="8462" max="8462" width="11.140625" style="152" customWidth="1"/>
    <col min="8463" max="8463" width="7.5703125" style="152" customWidth="1"/>
    <col min="8464" max="8464" width="8.5703125" style="152" customWidth="1"/>
    <col min="8465" max="8465" width="13.7109375" style="152" customWidth="1"/>
    <col min="8466" max="8466" width="13.42578125" style="152" customWidth="1"/>
    <col min="8467" max="8470" width="9.140625" style="152" customWidth="1"/>
    <col min="8471" max="8480" width="3.42578125" style="152"/>
    <col min="8481" max="8481" width="3.42578125" style="152" customWidth="1"/>
    <col min="8482" max="8702" width="9.140625" style="152" customWidth="1"/>
    <col min="8703" max="8703" width="3.42578125" style="152" customWidth="1"/>
    <col min="8704" max="8704" width="9.140625" style="152" customWidth="1"/>
    <col min="8705" max="8706" width="26.85546875" style="152" customWidth="1"/>
    <col min="8707" max="8707" width="16.85546875" style="152" customWidth="1"/>
    <col min="8708" max="8709" width="4.5703125" style="152" customWidth="1"/>
    <col min="8710" max="8710" width="20.5703125" style="152" customWidth="1"/>
    <col min="8711" max="8711" width="6.140625" style="152" customWidth="1"/>
    <col min="8712" max="8713" width="14.7109375" style="152" customWidth="1"/>
    <col min="8714" max="8714" width="13.85546875" style="152" customWidth="1"/>
    <col min="8715" max="8715" width="7.140625" style="152" customWidth="1"/>
    <col min="8716" max="8716" width="11.85546875" style="152" customWidth="1"/>
    <col min="8717" max="8717" width="6.28515625" style="152" customWidth="1"/>
    <col min="8718" max="8718" width="11.140625" style="152" customWidth="1"/>
    <col min="8719" max="8719" width="7.5703125" style="152" customWidth="1"/>
    <col min="8720" max="8720" width="8.5703125" style="152" customWidth="1"/>
    <col min="8721" max="8721" width="13.7109375" style="152" customWidth="1"/>
    <col min="8722" max="8722" width="13.42578125" style="152" customWidth="1"/>
    <col min="8723" max="8726" width="9.140625" style="152" customWidth="1"/>
    <col min="8727" max="8736" width="3.42578125" style="152"/>
    <col min="8737" max="8737" width="3.42578125" style="152" customWidth="1"/>
    <col min="8738" max="8958" width="9.140625" style="152" customWidth="1"/>
    <col min="8959" max="8959" width="3.42578125" style="152" customWidth="1"/>
    <col min="8960" max="8960" width="9.140625" style="152" customWidth="1"/>
    <col min="8961" max="8962" width="26.85546875" style="152" customWidth="1"/>
    <col min="8963" max="8963" width="16.85546875" style="152" customWidth="1"/>
    <col min="8964" max="8965" width="4.5703125" style="152" customWidth="1"/>
    <col min="8966" max="8966" width="20.5703125" style="152" customWidth="1"/>
    <col min="8967" max="8967" width="6.140625" style="152" customWidth="1"/>
    <col min="8968" max="8969" width="14.7109375" style="152" customWidth="1"/>
    <col min="8970" max="8970" width="13.85546875" style="152" customWidth="1"/>
    <col min="8971" max="8971" width="7.140625" style="152" customWidth="1"/>
    <col min="8972" max="8972" width="11.85546875" style="152" customWidth="1"/>
    <col min="8973" max="8973" width="6.28515625" style="152" customWidth="1"/>
    <col min="8974" max="8974" width="11.140625" style="152" customWidth="1"/>
    <col min="8975" max="8975" width="7.5703125" style="152" customWidth="1"/>
    <col min="8976" max="8976" width="8.5703125" style="152" customWidth="1"/>
    <col min="8977" max="8977" width="13.7109375" style="152" customWidth="1"/>
    <col min="8978" max="8978" width="13.42578125" style="152" customWidth="1"/>
    <col min="8979" max="8982" width="9.140625" style="152" customWidth="1"/>
    <col min="8983" max="8992" width="3.42578125" style="152"/>
    <col min="8993" max="8993" width="3.42578125" style="152" customWidth="1"/>
    <col min="8994" max="9214" width="9.140625" style="152" customWidth="1"/>
    <col min="9215" max="9215" width="3.42578125" style="152" customWidth="1"/>
    <col min="9216" max="9216" width="9.140625" style="152" customWidth="1"/>
    <col min="9217" max="9218" width="26.85546875" style="152" customWidth="1"/>
    <col min="9219" max="9219" width="16.85546875" style="152" customWidth="1"/>
    <col min="9220" max="9221" width="4.5703125" style="152" customWidth="1"/>
    <col min="9222" max="9222" width="20.5703125" style="152" customWidth="1"/>
    <col min="9223" max="9223" width="6.140625" style="152" customWidth="1"/>
    <col min="9224" max="9225" width="14.7109375" style="152" customWidth="1"/>
    <col min="9226" max="9226" width="13.85546875" style="152" customWidth="1"/>
    <col min="9227" max="9227" width="7.140625" style="152" customWidth="1"/>
    <col min="9228" max="9228" width="11.85546875" style="152" customWidth="1"/>
    <col min="9229" max="9229" width="6.28515625" style="152" customWidth="1"/>
    <col min="9230" max="9230" width="11.140625" style="152" customWidth="1"/>
    <col min="9231" max="9231" width="7.5703125" style="152" customWidth="1"/>
    <col min="9232" max="9232" width="8.5703125" style="152" customWidth="1"/>
    <col min="9233" max="9233" width="13.7109375" style="152" customWidth="1"/>
    <col min="9234" max="9234" width="13.42578125" style="152" customWidth="1"/>
    <col min="9235" max="9238" width="9.140625" style="152" customWidth="1"/>
    <col min="9239" max="9248" width="3.42578125" style="152"/>
    <col min="9249" max="9249" width="3.42578125" style="152" customWidth="1"/>
    <col min="9250" max="9470" width="9.140625" style="152" customWidth="1"/>
    <col min="9471" max="9471" width="3.42578125" style="152" customWidth="1"/>
    <col min="9472" max="9472" width="9.140625" style="152" customWidth="1"/>
    <col min="9473" max="9474" width="26.85546875" style="152" customWidth="1"/>
    <col min="9475" max="9475" width="16.85546875" style="152" customWidth="1"/>
    <col min="9476" max="9477" width="4.5703125" style="152" customWidth="1"/>
    <col min="9478" max="9478" width="20.5703125" style="152" customWidth="1"/>
    <col min="9479" max="9479" width="6.140625" style="152" customWidth="1"/>
    <col min="9480" max="9481" width="14.7109375" style="152" customWidth="1"/>
    <col min="9482" max="9482" width="13.85546875" style="152" customWidth="1"/>
    <col min="9483" max="9483" width="7.140625" style="152" customWidth="1"/>
    <col min="9484" max="9484" width="11.85546875" style="152" customWidth="1"/>
    <col min="9485" max="9485" width="6.28515625" style="152" customWidth="1"/>
    <col min="9486" max="9486" width="11.140625" style="152" customWidth="1"/>
    <col min="9487" max="9487" width="7.5703125" style="152" customWidth="1"/>
    <col min="9488" max="9488" width="8.5703125" style="152" customWidth="1"/>
    <col min="9489" max="9489" width="13.7109375" style="152" customWidth="1"/>
    <col min="9490" max="9490" width="13.42578125" style="152" customWidth="1"/>
    <col min="9491" max="9494" width="9.140625" style="152" customWidth="1"/>
    <col min="9495" max="9504" width="3.42578125" style="152"/>
    <col min="9505" max="9505" width="3.42578125" style="152" customWidth="1"/>
    <col min="9506" max="9726" width="9.140625" style="152" customWidth="1"/>
    <col min="9727" max="9727" width="3.42578125" style="152" customWidth="1"/>
    <col min="9728" max="9728" width="9.140625" style="152" customWidth="1"/>
    <col min="9729" max="9730" width="26.85546875" style="152" customWidth="1"/>
    <col min="9731" max="9731" width="16.85546875" style="152" customWidth="1"/>
    <col min="9732" max="9733" width="4.5703125" style="152" customWidth="1"/>
    <col min="9734" max="9734" width="20.5703125" style="152" customWidth="1"/>
    <col min="9735" max="9735" width="6.140625" style="152" customWidth="1"/>
    <col min="9736" max="9737" width="14.7109375" style="152" customWidth="1"/>
    <col min="9738" max="9738" width="13.85546875" style="152" customWidth="1"/>
    <col min="9739" max="9739" width="7.140625" style="152" customWidth="1"/>
    <col min="9740" max="9740" width="11.85546875" style="152" customWidth="1"/>
    <col min="9741" max="9741" width="6.28515625" style="152" customWidth="1"/>
    <col min="9742" max="9742" width="11.140625" style="152" customWidth="1"/>
    <col min="9743" max="9743" width="7.5703125" style="152" customWidth="1"/>
    <col min="9744" max="9744" width="8.5703125" style="152" customWidth="1"/>
    <col min="9745" max="9745" width="13.7109375" style="152" customWidth="1"/>
    <col min="9746" max="9746" width="13.42578125" style="152" customWidth="1"/>
    <col min="9747" max="9750" width="9.140625" style="152" customWidth="1"/>
    <col min="9751" max="9760" width="3.42578125" style="152"/>
    <col min="9761" max="9761" width="3.42578125" style="152" customWidth="1"/>
    <col min="9762" max="9982" width="9.140625" style="152" customWidth="1"/>
    <col min="9983" max="9983" width="3.42578125" style="152" customWidth="1"/>
    <col min="9984" max="9984" width="9.140625" style="152" customWidth="1"/>
    <col min="9985" max="9986" width="26.85546875" style="152" customWidth="1"/>
    <col min="9987" max="9987" width="16.85546875" style="152" customWidth="1"/>
    <col min="9988" max="9989" width="4.5703125" style="152" customWidth="1"/>
    <col min="9990" max="9990" width="20.5703125" style="152" customWidth="1"/>
    <col min="9991" max="9991" width="6.140625" style="152" customWidth="1"/>
    <col min="9992" max="9993" width="14.7109375" style="152" customWidth="1"/>
    <col min="9994" max="9994" width="13.85546875" style="152" customWidth="1"/>
    <col min="9995" max="9995" width="7.140625" style="152" customWidth="1"/>
    <col min="9996" max="9996" width="11.85546875" style="152" customWidth="1"/>
    <col min="9997" max="9997" width="6.28515625" style="152" customWidth="1"/>
    <col min="9998" max="9998" width="11.140625" style="152" customWidth="1"/>
    <col min="9999" max="9999" width="7.5703125" style="152" customWidth="1"/>
    <col min="10000" max="10000" width="8.5703125" style="152" customWidth="1"/>
    <col min="10001" max="10001" width="13.7109375" style="152" customWidth="1"/>
    <col min="10002" max="10002" width="13.42578125" style="152" customWidth="1"/>
    <col min="10003" max="10006" width="9.140625" style="152" customWidth="1"/>
    <col min="10007" max="10016" width="3.42578125" style="152"/>
    <col min="10017" max="10017" width="3.42578125" style="152" customWidth="1"/>
    <col min="10018" max="10238" width="9.140625" style="152" customWidth="1"/>
    <col min="10239" max="10239" width="3.42578125" style="152" customWidth="1"/>
    <col min="10240" max="10240" width="9.140625" style="152" customWidth="1"/>
    <col min="10241" max="10242" width="26.85546875" style="152" customWidth="1"/>
    <col min="10243" max="10243" width="16.85546875" style="152" customWidth="1"/>
    <col min="10244" max="10245" width="4.5703125" style="152" customWidth="1"/>
    <col min="10246" max="10246" width="20.5703125" style="152" customWidth="1"/>
    <col min="10247" max="10247" width="6.140625" style="152" customWidth="1"/>
    <col min="10248" max="10249" width="14.7109375" style="152" customWidth="1"/>
    <col min="10250" max="10250" width="13.85546875" style="152" customWidth="1"/>
    <col min="10251" max="10251" width="7.140625" style="152" customWidth="1"/>
    <col min="10252" max="10252" width="11.85546875" style="152" customWidth="1"/>
    <col min="10253" max="10253" width="6.28515625" style="152" customWidth="1"/>
    <col min="10254" max="10254" width="11.140625" style="152" customWidth="1"/>
    <col min="10255" max="10255" width="7.5703125" style="152" customWidth="1"/>
    <col min="10256" max="10256" width="8.5703125" style="152" customWidth="1"/>
    <col min="10257" max="10257" width="13.7109375" style="152" customWidth="1"/>
    <col min="10258" max="10258" width="13.42578125" style="152" customWidth="1"/>
    <col min="10259" max="10262" width="9.140625" style="152" customWidth="1"/>
    <col min="10263" max="10272" width="3.42578125" style="152"/>
    <col min="10273" max="10273" width="3.42578125" style="152" customWidth="1"/>
    <col min="10274" max="10494" width="9.140625" style="152" customWidth="1"/>
    <col min="10495" max="10495" width="3.42578125" style="152" customWidth="1"/>
    <col min="10496" max="10496" width="9.140625" style="152" customWidth="1"/>
    <col min="10497" max="10498" width="26.85546875" style="152" customWidth="1"/>
    <col min="10499" max="10499" width="16.85546875" style="152" customWidth="1"/>
    <col min="10500" max="10501" width="4.5703125" style="152" customWidth="1"/>
    <col min="10502" max="10502" width="20.5703125" style="152" customWidth="1"/>
    <col min="10503" max="10503" width="6.140625" style="152" customWidth="1"/>
    <col min="10504" max="10505" width="14.7109375" style="152" customWidth="1"/>
    <col min="10506" max="10506" width="13.85546875" style="152" customWidth="1"/>
    <col min="10507" max="10507" width="7.140625" style="152" customWidth="1"/>
    <col min="10508" max="10508" width="11.85546875" style="152" customWidth="1"/>
    <col min="10509" max="10509" width="6.28515625" style="152" customWidth="1"/>
    <col min="10510" max="10510" width="11.140625" style="152" customWidth="1"/>
    <col min="10511" max="10511" width="7.5703125" style="152" customWidth="1"/>
    <col min="10512" max="10512" width="8.5703125" style="152" customWidth="1"/>
    <col min="10513" max="10513" width="13.7109375" style="152" customWidth="1"/>
    <col min="10514" max="10514" width="13.42578125" style="152" customWidth="1"/>
    <col min="10515" max="10518" width="9.140625" style="152" customWidth="1"/>
    <col min="10519" max="10528" width="3.42578125" style="152"/>
    <col min="10529" max="10529" width="3.42578125" style="152" customWidth="1"/>
    <col min="10530" max="10750" width="9.140625" style="152" customWidth="1"/>
    <col min="10751" max="10751" width="3.42578125" style="152" customWidth="1"/>
    <col min="10752" max="10752" width="9.140625" style="152" customWidth="1"/>
    <col min="10753" max="10754" width="26.85546875" style="152" customWidth="1"/>
    <col min="10755" max="10755" width="16.85546875" style="152" customWidth="1"/>
    <col min="10756" max="10757" width="4.5703125" style="152" customWidth="1"/>
    <col min="10758" max="10758" width="20.5703125" style="152" customWidth="1"/>
    <col min="10759" max="10759" width="6.140625" style="152" customWidth="1"/>
    <col min="10760" max="10761" width="14.7109375" style="152" customWidth="1"/>
    <col min="10762" max="10762" width="13.85546875" style="152" customWidth="1"/>
    <col min="10763" max="10763" width="7.140625" style="152" customWidth="1"/>
    <col min="10764" max="10764" width="11.85546875" style="152" customWidth="1"/>
    <col min="10765" max="10765" width="6.28515625" style="152" customWidth="1"/>
    <col min="10766" max="10766" width="11.140625" style="152" customWidth="1"/>
    <col min="10767" max="10767" width="7.5703125" style="152" customWidth="1"/>
    <col min="10768" max="10768" width="8.5703125" style="152" customWidth="1"/>
    <col min="10769" max="10769" width="13.7109375" style="152" customWidth="1"/>
    <col min="10770" max="10770" width="13.42578125" style="152" customWidth="1"/>
    <col min="10771" max="10774" width="9.140625" style="152" customWidth="1"/>
    <col min="10775" max="10784" width="3.42578125" style="152"/>
    <col min="10785" max="10785" width="3.42578125" style="152" customWidth="1"/>
    <col min="10786" max="11006" width="9.140625" style="152" customWidth="1"/>
    <col min="11007" max="11007" width="3.42578125" style="152" customWidth="1"/>
    <col min="11008" max="11008" width="9.140625" style="152" customWidth="1"/>
    <col min="11009" max="11010" width="26.85546875" style="152" customWidth="1"/>
    <col min="11011" max="11011" width="16.85546875" style="152" customWidth="1"/>
    <col min="11012" max="11013" width="4.5703125" style="152" customWidth="1"/>
    <col min="11014" max="11014" width="20.5703125" style="152" customWidth="1"/>
    <col min="11015" max="11015" width="6.140625" style="152" customWidth="1"/>
    <col min="11016" max="11017" width="14.7109375" style="152" customWidth="1"/>
    <col min="11018" max="11018" width="13.85546875" style="152" customWidth="1"/>
    <col min="11019" max="11019" width="7.140625" style="152" customWidth="1"/>
    <col min="11020" max="11020" width="11.85546875" style="152" customWidth="1"/>
    <col min="11021" max="11021" width="6.28515625" style="152" customWidth="1"/>
    <col min="11022" max="11022" width="11.140625" style="152" customWidth="1"/>
    <col min="11023" max="11023" width="7.5703125" style="152" customWidth="1"/>
    <col min="11024" max="11024" width="8.5703125" style="152" customWidth="1"/>
    <col min="11025" max="11025" width="13.7109375" style="152" customWidth="1"/>
    <col min="11026" max="11026" width="13.42578125" style="152" customWidth="1"/>
    <col min="11027" max="11030" width="9.140625" style="152" customWidth="1"/>
    <col min="11031" max="11040" width="3.42578125" style="152"/>
    <col min="11041" max="11041" width="3.42578125" style="152" customWidth="1"/>
    <col min="11042" max="11262" width="9.140625" style="152" customWidth="1"/>
    <col min="11263" max="11263" width="3.42578125" style="152" customWidth="1"/>
    <col min="11264" max="11264" width="9.140625" style="152" customWidth="1"/>
    <col min="11265" max="11266" width="26.85546875" style="152" customWidth="1"/>
    <col min="11267" max="11267" width="16.85546875" style="152" customWidth="1"/>
    <col min="11268" max="11269" width="4.5703125" style="152" customWidth="1"/>
    <col min="11270" max="11270" width="20.5703125" style="152" customWidth="1"/>
    <col min="11271" max="11271" width="6.140625" style="152" customWidth="1"/>
    <col min="11272" max="11273" width="14.7109375" style="152" customWidth="1"/>
    <col min="11274" max="11274" width="13.85546875" style="152" customWidth="1"/>
    <col min="11275" max="11275" width="7.140625" style="152" customWidth="1"/>
    <col min="11276" max="11276" width="11.85546875" style="152" customWidth="1"/>
    <col min="11277" max="11277" width="6.28515625" style="152" customWidth="1"/>
    <col min="11278" max="11278" width="11.140625" style="152" customWidth="1"/>
    <col min="11279" max="11279" width="7.5703125" style="152" customWidth="1"/>
    <col min="11280" max="11280" width="8.5703125" style="152" customWidth="1"/>
    <col min="11281" max="11281" width="13.7109375" style="152" customWidth="1"/>
    <col min="11282" max="11282" width="13.42578125" style="152" customWidth="1"/>
    <col min="11283" max="11286" width="9.140625" style="152" customWidth="1"/>
    <col min="11287" max="11296" width="3.42578125" style="152"/>
    <col min="11297" max="11297" width="3.42578125" style="152" customWidth="1"/>
    <col min="11298" max="11518" width="9.140625" style="152" customWidth="1"/>
    <col min="11519" max="11519" width="3.42578125" style="152" customWidth="1"/>
    <col min="11520" max="11520" width="9.140625" style="152" customWidth="1"/>
    <col min="11521" max="11522" width="26.85546875" style="152" customWidth="1"/>
    <col min="11523" max="11523" width="16.85546875" style="152" customWidth="1"/>
    <col min="11524" max="11525" width="4.5703125" style="152" customWidth="1"/>
    <col min="11526" max="11526" width="20.5703125" style="152" customWidth="1"/>
    <col min="11527" max="11527" width="6.140625" style="152" customWidth="1"/>
    <col min="11528" max="11529" width="14.7109375" style="152" customWidth="1"/>
    <col min="11530" max="11530" width="13.85546875" style="152" customWidth="1"/>
    <col min="11531" max="11531" width="7.140625" style="152" customWidth="1"/>
    <col min="11532" max="11532" width="11.85546875" style="152" customWidth="1"/>
    <col min="11533" max="11533" width="6.28515625" style="152" customWidth="1"/>
    <col min="11534" max="11534" width="11.140625" style="152" customWidth="1"/>
    <col min="11535" max="11535" width="7.5703125" style="152" customWidth="1"/>
    <col min="11536" max="11536" width="8.5703125" style="152" customWidth="1"/>
    <col min="11537" max="11537" width="13.7109375" style="152" customWidth="1"/>
    <col min="11538" max="11538" width="13.42578125" style="152" customWidth="1"/>
    <col min="11539" max="11542" width="9.140625" style="152" customWidth="1"/>
    <col min="11543" max="11552" width="3.42578125" style="152"/>
    <col min="11553" max="11553" width="3.42578125" style="152" customWidth="1"/>
    <col min="11554" max="11774" width="9.140625" style="152" customWidth="1"/>
    <col min="11775" max="11775" width="3.42578125" style="152" customWidth="1"/>
    <col min="11776" max="11776" width="9.140625" style="152" customWidth="1"/>
    <col min="11777" max="11778" width="26.85546875" style="152" customWidth="1"/>
    <col min="11779" max="11779" width="16.85546875" style="152" customWidth="1"/>
    <col min="11780" max="11781" width="4.5703125" style="152" customWidth="1"/>
    <col min="11782" max="11782" width="20.5703125" style="152" customWidth="1"/>
    <col min="11783" max="11783" width="6.140625" style="152" customWidth="1"/>
    <col min="11784" max="11785" width="14.7109375" style="152" customWidth="1"/>
    <col min="11786" max="11786" width="13.85546875" style="152" customWidth="1"/>
    <col min="11787" max="11787" width="7.140625" style="152" customWidth="1"/>
    <col min="11788" max="11788" width="11.85546875" style="152" customWidth="1"/>
    <col min="11789" max="11789" width="6.28515625" style="152" customWidth="1"/>
    <col min="11790" max="11790" width="11.140625" style="152" customWidth="1"/>
    <col min="11791" max="11791" width="7.5703125" style="152" customWidth="1"/>
    <col min="11792" max="11792" width="8.5703125" style="152" customWidth="1"/>
    <col min="11793" max="11793" width="13.7109375" style="152" customWidth="1"/>
    <col min="11794" max="11794" width="13.42578125" style="152" customWidth="1"/>
    <col min="11795" max="11798" width="9.140625" style="152" customWidth="1"/>
    <col min="11799" max="11808" width="3.42578125" style="152"/>
    <col min="11809" max="11809" width="3.42578125" style="152" customWidth="1"/>
    <col min="11810" max="12030" width="9.140625" style="152" customWidth="1"/>
    <col min="12031" max="12031" width="3.42578125" style="152" customWidth="1"/>
    <col min="12032" max="12032" width="9.140625" style="152" customWidth="1"/>
    <col min="12033" max="12034" width="26.85546875" style="152" customWidth="1"/>
    <col min="12035" max="12035" width="16.85546875" style="152" customWidth="1"/>
    <col min="12036" max="12037" width="4.5703125" style="152" customWidth="1"/>
    <col min="12038" max="12038" width="20.5703125" style="152" customWidth="1"/>
    <col min="12039" max="12039" width="6.140625" style="152" customWidth="1"/>
    <col min="12040" max="12041" width="14.7109375" style="152" customWidth="1"/>
    <col min="12042" max="12042" width="13.85546875" style="152" customWidth="1"/>
    <col min="12043" max="12043" width="7.140625" style="152" customWidth="1"/>
    <col min="12044" max="12044" width="11.85546875" style="152" customWidth="1"/>
    <col min="12045" max="12045" width="6.28515625" style="152" customWidth="1"/>
    <col min="12046" max="12046" width="11.140625" style="152" customWidth="1"/>
    <col min="12047" max="12047" width="7.5703125" style="152" customWidth="1"/>
    <col min="12048" max="12048" width="8.5703125" style="152" customWidth="1"/>
    <col min="12049" max="12049" width="13.7109375" style="152" customWidth="1"/>
    <col min="12050" max="12050" width="13.42578125" style="152" customWidth="1"/>
    <col min="12051" max="12054" width="9.140625" style="152" customWidth="1"/>
    <col min="12055" max="12064" width="3.42578125" style="152"/>
    <col min="12065" max="12065" width="3.42578125" style="152" customWidth="1"/>
    <col min="12066" max="12286" width="9.140625" style="152" customWidth="1"/>
    <col min="12287" max="12287" width="3.42578125" style="152" customWidth="1"/>
    <col min="12288" max="12288" width="9.140625" style="152" customWidth="1"/>
    <col min="12289" max="12290" width="26.85546875" style="152" customWidth="1"/>
    <col min="12291" max="12291" width="16.85546875" style="152" customWidth="1"/>
    <col min="12292" max="12293" width="4.5703125" style="152" customWidth="1"/>
    <col min="12294" max="12294" width="20.5703125" style="152" customWidth="1"/>
    <col min="12295" max="12295" width="6.140625" style="152" customWidth="1"/>
    <col min="12296" max="12297" width="14.7109375" style="152" customWidth="1"/>
    <col min="12298" max="12298" width="13.85546875" style="152" customWidth="1"/>
    <col min="12299" max="12299" width="7.140625" style="152" customWidth="1"/>
    <col min="12300" max="12300" width="11.85546875" style="152" customWidth="1"/>
    <col min="12301" max="12301" width="6.28515625" style="152" customWidth="1"/>
    <col min="12302" max="12302" width="11.140625" style="152" customWidth="1"/>
    <col min="12303" max="12303" width="7.5703125" style="152" customWidth="1"/>
    <col min="12304" max="12304" width="8.5703125" style="152" customWidth="1"/>
    <col min="12305" max="12305" width="13.7109375" style="152" customWidth="1"/>
    <col min="12306" max="12306" width="13.42578125" style="152" customWidth="1"/>
    <col min="12307" max="12310" width="9.140625" style="152" customWidth="1"/>
    <col min="12311" max="12320" width="3.42578125" style="152"/>
    <col min="12321" max="12321" width="3.42578125" style="152" customWidth="1"/>
    <col min="12322" max="12542" width="9.140625" style="152" customWidth="1"/>
    <col min="12543" max="12543" width="3.42578125" style="152" customWidth="1"/>
    <col min="12544" max="12544" width="9.140625" style="152" customWidth="1"/>
    <col min="12545" max="12546" width="26.85546875" style="152" customWidth="1"/>
    <col min="12547" max="12547" width="16.85546875" style="152" customWidth="1"/>
    <col min="12548" max="12549" width="4.5703125" style="152" customWidth="1"/>
    <col min="12550" max="12550" width="20.5703125" style="152" customWidth="1"/>
    <col min="12551" max="12551" width="6.140625" style="152" customWidth="1"/>
    <col min="12552" max="12553" width="14.7109375" style="152" customWidth="1"/>
    <col min="12554" max="12554" width="13.85546875" style="152" customWidth="1"/>
    <col min="12555" max="12555" width="7.140625" style="152" customWidth="1"/>
    <col min="12556" max="12556" width="11.85546875" style="152" customWidth="1"/>
    <col min="12557" max="12557" width="6.28515625" style="152" customWidth="1"/>
    <col min="12558" max="12558" width="11.140625" style="152" customWidth="1"/>
    <col min="12559" max="12559" width="7.5703125" style="152" customWidth="1"/>
    <col min="12560" max="12560" width="8.5703125" style="152" customWidth="1"/>
    <col min="12561" max="12561" width="13.7109375" style="152" customWidth="1"/>
    <col min="12562" max="12562" width="13.42578125" style="152" customWidth="1"/>
    <col min="12563" max="12566" width="9.140625" style="152" customWidth="1"/>
    <col min="12567" max="12576" width="3.42578125" style="152"/>
    <col min="12577" max="12577" width="3.42578125" style="152" customWidth="1"/>
    <col min="12578" max="12798" width="9.140625" style="152" customWidth="1"/>
    <col min="12799" max="12799" width="3.42578125" style="152" customWidth="1"/>
    <col min="12800" max="12800" width="9.140625" style="152" customWidth="1"/>
    <col min="12801" max="12802" width="26.85546875" style="152" customWidth="1"/>
    <col min="12803" max="12803" width="16.85546875" style="152" customWidth="1"/>
    <col min="12804" max="12805" width="4.5703125" style="152" customWidth="1"/>
    <col min="12806" max="12806" width="20.5703125" style="152" customWidth="1"/>
    <col min="12807" max="12807" width="6.140625" style="152" customWidth="1"/>
    <col min="12808" max="12809" width="14.7109375" style="152" customWidth="1"/>
    <col min="12810" max="12810" width="13.85546875" style="152" customWidth="1"/>
    <col min="12811" max="12811" width="7.140625" style="152" customWidth="1"/>
    <col min="12812" max="12812" width="11.85546875" style="152" customWidth="1"/>
    <col min="12813" max="12813" width="6.28515625" style="152" customWidth="1"/>
    <col min="12814" max="12814" width="11.140625" style="152" customWidth="1"/>
    <col min="12815" max="12815" width="7.5703125" style="152" customWidth="1"/>
    <col min="12816" max="12816" width="8.5703125" style="152" customWidth="1"/>
    <col min="12817" max="12817" width="13.7109375" style="152" customWidth="1"/>
    <col min="12818" max="12818" width="13.42578125" style="152" customWidth="1"/>
    <col min="12819" max="12822" width="9.140625" style="152" customWidth="1"/>
    <col min="12823" max="12832" width="3.42578125" style="152"/>
    <col min="12833" max="12833" width="3.42578125" style="152" customWidth="1"/>
    <col min="12834" max="13054" width="9.140625" style="152" customWidth="1"/>
    <col min="13055" max="13055" width="3.42578125" style="152" customWidth="1"/>
    <col min="13056" max="13056" width="9.140625" style="152" customWidth="1"/>
    <col min="13057" max="13058" width="26.85546875" style="152" customWidth="1"/>
    <col min="13059" max="13059" width="16.85546875" style="152" customWidth="1"/>
    <col min="13060" max="13061" width="4.5703125" style="152" customWidth="1"/>
    <col min="13062" max="13062" width="20.5703125" style="152" customWidth="1"/>
    <col min="13063" max="13063" width="6.140625" style="152" customWidth="1"/>
    <col min="13064" max="13065" width="14.7109375" style="152" customWidth="1"/>
    <col min="13066" max="13066" width="13.85546875" style="152" customWidth="1"/>
    <col min="13067" max="13067" width="7.140625" style="152" customWidth="1"/>
    <col min="13068" max="13068" width="11.85546875" style="152" customWidth="1"/>
    <col min="13069" max="13069" width="6.28515625" style="152" customWidth="1"/>
    <col min="13070" max="13070" width="11.140625" style="152" customWidth="1"/>
    <col min="13071" max="13071" width="7.5703125" style="152" customWidth="1"/>
    <col min="13072" max="13072" width="8.5703125" style="152" customWidth="1"/>
    <col min="13073" max="13073" width="13.7109375" style="152" customWidth="1"/>
    <col min="13074" max="13074" width="13.42578125" style="152" customWidth="1"/>
    <col min="13075" max="13078" width="9.140625" style="152" customWidth="1"/>
    <col min="13079" max="13088" width="3.42578125" style="152"/>
    <col min="13089" max="13089" width="3.42578125" style="152" customWidth="1"/>
    <col min="13090" max="13310" width="9.140625" style="152" customWidth="1"/>
    <col min="13311" max="13311" width="3.42578125" style="152" customWidth="1"/>
    <col min="13312" max="13312" width="9.140625" style="152" customWidth="1"/>
    <col min="13313" max="13314" width="26.85546875" style="152" customWidth="1"/>
    <col min="13315" max="13315" width="16.85546875" style="152" customWidth="1"/>
    <col min="13316" max="13317" width="4.5703125" style="152" customWidth="1"/>
    <col min="13318" max="13318" width="20.5703125" style="152" customWidth="1"/>
    <col min="13319" max="13319" width="6.140625" style="152" customWidth="1"/>
    <col min="13320" max="13321" width="14.7109375" style="152" customWidth="1"/>
    <col min="13322" max="13322" width="13.85546875" style="152" customWidth="1"/>
    <col min="13323" max="13323" width="7.140625" style="152" customWidth="1"/>
    <col min="13324" max="13324" width="11.85546875" style="152" customWidth="1"/>
    <col min="13325" max="13325" width="6.28515625" style="152" customWidth="1"/>
    <col min="13326" max="13326" width="11.140625" style="152" customWidth="1"/>
    <col min="13327" max="13327" width="7.5703125" style="152" customWidth="1"/>
    <col min="13328" max="13328" width="8.5703125" style="152" customWidth="1"/>
    <col min="13329" max="13329" width="13.7109375" style="152" customWidth="1"/>
    <col min="13330" max="13330" width="13.42578125" style="152" customWidth="1"/>
    <col min="13331" max="13334" width="9.140625" style="152" customWidth="1"/>
    <col min="13335" max="13344" width="3.42578125" style="152"/>
    <col min="13345" max="13345" width="3.42578125" style="152" customWidth="1"/>
    <col min="13346" max="13566" width="9.140625" style="152" customWidth="1"/>
    <col min="13567" max="13567" width="3.42578125" style="152" customWidth="1"/>
    <col min="13568" max="13568" width="9.140625" style="152" customWidth="1"/>
    <col min="13569" max="13570" width="26.85546875" style="152" customWidth="1"/>
    <col min="13571" max="13571" width="16.85546875" style="152" customWidth="1"/>
    <col min="13572" max="13573" width="4.5703125" style="152" customWidth="1"/>
    <col min="13574" max="13574" width="20.5703125" style="152" customWidth="1"/>
    <col min="13575" max="13575" width="6.140625" style="152" customWidth="1"/>
    <col min="13576" max="13577" width="14.7109375" style="152" customWidth="1"/>
    <col min="13578" max="13578" width="13.85546875" style="152" customWidth="1"/>
    <col min="13579" max="13579" width="7.140625" style="152" customWidth="1"/>
    <col min="13580" max="13580" width="11.85546875" style="152" customWidth="1"/>
    <col min="13581" max="13581" width="6.28515625" style="152" customWidth="1"/>
    <col min="13582" max="13582" width="11.140625" style="152" customWidth="1"/>
    <col min="13583" max="13583" width="7.5703125" style="152" customWidth="1"/>
    <col min="13584" max="13584" width="8.5703125" style="152" customWidth="1"/>
    <col min="13585" max="13585" width="13.7109375" style="152" customWidth="1"/>
    <col min="13586" max="13586" width="13.42578125" style="152" customWidth="1"/>
    <col min="13587" max="13590" width="9.140625" style="152" customWidth="1"/>
    <col min="13591" max="13600" width="3.42578125" style="152"/>
    <col min="13601" max="13601" width="3.42578125" style="152" customWidth="1"/>
    <col min="13602" max="13822" width="9.140625" style="152" customWidth="1"/>
    <col min="13823" max="13823" width="3.42578125" style="152" customWidth="1"/>
    <col min="13824" max="13824" width="9.140625" style="152" customWidth="1"/>
    <col min="13825" max="13826" width="26.85546875" style="152" customWidth="1"/>
    <col min="13827" max="13827" width="16.85546875" style="152" customWidth="1"/>
    <col min="13828" max="13829" width="4.5703125" style="152" customWidth="1"/>
    <col min="13830" max="13830" width="20.5703125" style="152" customWidth="1"/>
    <col min="13831" max="13831" width="6.140625" style="152" customWidth="1"/>
    <col min="13832" max="13833" width="14.7109375" style="152" customWidth="1"/>
    <col min="13834" max="13834" width="13.85546875" style="152" customWidth="1"/>
    <col min="13835" max="13835" width="7.140625" style="152" customWidth="1"/>
    <col min="13836" max="13836" width="11.85546875" style="152" customWidth="1"/>
    <col min="13837" max="13837" width="6.28515625" style="152" customWidth="1"/>
    <col min="13838" max="13838" width="11.140625" style="152" customWidth="1"/>
    <col min="13839" max="13839" width="7.5703125" style="152" customWidth="1"/>
    <col min="13840" max="13840" width="8.5703125" style="152" customWidth="1"/>
    <col min="13841" max="13841" width="13.7109375" style="152" customWidth="1"/>
    <col min="13842" max="13842" width="13.42578125" style="152" customWidth="1"/>
    <col min="13843" max="13846" width="9.140625" style="152" customWidth="1"/>
    <col min="13847" max="13856" width="3.42578125" style="152"/>
    <col min="13857" max="13857" width="3.42578125" style="152" customWidth="1"/>
    <col min="13858" max="14078" width="9.140625" style="152" customWidth="1"/>
    <col min="14079" max="14079" width="3.42578125" style="152" customWidth="1"/>
    <col min="14080" max="14080" width="9.140625" style="152" customWidth="1"/>
    <col min="14081" max="14082" width="26.85546875" style="152" customWidth="1"/>
    <col min="14083" max="14083" width="16.85546875" style="152" customWidth="1"/>
    <col min="14084" max="14085" width="4.5703125" style="152" customWidth="1"/>
    <col min="14086" max="14086" width="20.5703125" style="152" customWidth="1"/>
    <col min="14087" max="14087" width="6.140625" style="152" customWidth="1"/>
    <col min="14088" max="14089" width="14.7109375" style="152" customWidth="1"/>
    <col min="14090" max="14090" width="13.85546875" style="152" customWidth="1"/>
    <col min="14091" max="14091" width="7.140625" style="152" customWidth="1"/>
    <col min="14092" max="14092" width="11.85546875" style="152" customWidth="1"/>
    <col min="14093" max="14093" width="6.28515625" style="152" customWidth="1"/>
    <col min="14094" max="14094" width="11.140625" style="152" customWidth="1"/>
    <col min="14095" max="14095" width="7.5703125" style="152" customWidth="1"/>
    <col min="14096" max="14096" width="8.5703125" style="152" customWidth="1"/>
    <col min="14097" max="14097" width="13.7109375" style="152" customWidth="1"/>
    <col min="14098" max="14098" width="13.42578125" style="152" customWidth="1"/>
    <col min="14099" max="14102" width="9.140625" style="152" customWidth="1"/>
    <col min="14103" max="14112" width="3.42578125" style="152"/>
    <col min="14113" max="14113" width="3.42578125" style="152" customWidth="1"/>
    <col min="14114" max="14334" width="9.140625" style="152" customWidth="1"/>
    <col min="14335" max="14335" width="3.42578125" style="152" customWidth="1"/>
    <col min="14336" max="14336" width="9.140625" style="152" customWidth="1"/>
    <col min="14337" max="14338" width="26.85546875" style="152" customWidth="1"/>
    <col min="14339" max="14339" width="16.85546875" style="152" customWidth="1"/>
    <col min="14340" max="14341" width="4.5703125" style="152" customWidth="1"/>
    <col min="14342" max="14342" width="20.5703125" style="152" customWidth="1"/>
    <col min="14343" max="14343" width="6.140625" style="152" customWidth="1"/>
    <col min="14344" max="14345" width="14.7109375" style="152" customWidth="1"/>
    <col min="14346" max="14346" width="13.85546875" style="152" customWidth="1"/>
    <col min="14347" max="14347" width="7.140625" style="152" customWidth="1"/>
    <col min="14348" max="14348" width="11.85546875" style="152" customWidth="1"/>
    <col min="14349" max="14349" width="6.28515625" style="152" customWidth="1"/>
    <col min="14350" max="14350" width="11.140625" style="152" customWidth="1"/>
    <col min="14351" max="14351" width="7.5703125" style="152" customWidth="1"/>
    <col min="14352" max="14352" width="8.5703125" style="152" customWidth="1"/>
    <col min="14353" max="14353" width="13.7109375" style="152" customWidth="1"/>
    <col min="14354" max="14354" width="13.42578125" style="152" customWidth="1"/>
    <col min="14355" max="14358" width="9.140625" style="152" customWidth="1"/>
    <col min="14359" max="14368" width="3.42578125" style="152"/>
    <col min="14369" max="14369" width="3.42578125" style="152" customWidth="1"/>
    <col min="14370" max="14590" width="9.140625" style="152" customWidth="1"/>
    <col min="14591" max="14591" width="3.42578125" style="152" customWidth="1"/>
    <col min="14592" max="14592" width="9.140625" style="152" customWidth="1"/>
    <col min="14593" max="14594" width="26.85546875" style="152" customWidth="1"/>
    <col min="14595" max="14595" width="16.85546875" style="152" customWidth="1"/>
    <col min="14596" max="14597" width="4.5703125" style="152" customWidth="1"/>
    <col min="14598" max="14598" width="20.5703125" style="152" customWidth="1"/>
    <col min="14599" max="14599" width="6.140625" style="152" customWidth="1"/>
    <col min="14600" max="14601" width="14.7109375" style="152" customWidth="1"/>
    <col min="14602" max="14602" width="13.85546875" style="152" customWidth="1"/>
    <col min="14603" max="14603" width="7.140625" style="152" customWidth="1"/>
    <col min="14604" max="14604" width="11.85546875" style="152" customWidth="1"/>
    <col min="14605" max="14605" width="6.28515625" style="152" customWidth="1"/>
    <col min="14606" max="14606" width="11.140625" style="152" customWidth="1"/>
    <col min="14607" max="14607" width="7.5703125" style="152" customWidth="1"/>
    <col min="14608" max="14608" width="8.5703125" style="152" customWidth="1"/>
    <col min="14609" max="14609" width="13.7109375" style="152" customWidth="1"/>
    <col min="14610" max="14610" width="13.42578125" style="152" customWidth="1"/>
    <col min="14611" max="14614" width="9.140625" style="152" customWidth="1"/>
    <col min="14615" max="14624" width="3.42578125" style="152"/>
    <col min="14625" max="14625" width="3.42578125" style="152" customWidth="1"/>
    <col min="14626" max="14846" width="9.140625" style="152" customWidth="1"/>
    <col min="14847" max="14847" width="3.42578125" style="152" customWidth="1"/>
    <col min="14848" max="14848" width="9.140625" style="152" customWidth="1"/>
    <col min="14849" max="14850" width="26.85546875" style="152" customWidth="1"/>
    <col min="14851" max="14851" width="16.85546875" style="152" customWidth="1"/>
    <col min="14852" max="14853" width="4.5703125" style="152" customWidth="1"/>
    <col min="14854" max="14854" width="20.5703125" style="152" customWidth="1"/>
    <col min="14855" max="14855" width="6.140625" style="152" customWidth="1"/>
    <col min="14856" max="14857" width="14.7109375" style="152" customWidth="1"/>
    <col min="14858" max="14858" width="13.85546875" style="152" customWidth="1"/>
    <col min="14859" max="14859" width="7.140625" style="152" customWidth="1"/>
    <col min="14860" max="14860" width="11.85546875" style="152" customWidth="1"/>
    <col min="14861" max="14861" width="6.28515625" style="152" customWidth="1"/>
    <col min="14862" max="14862" width="11.140625" style="152" customWidth="1"/>
    <col min="14863" max="14863" width="7.5703125" style="152" customWidth="1"/>
    <col min="14864" max="14864" width="8.5703125" style="152" customWidth="1"/>
    <col min="14865" max="14865" width="13.7109375" style="152" customWidth="1"/>
    <col min="14866" max="14866" width="13.42578125" style="152" customWidth="1"/>
    <col min="14867" max="14870" width="9.140625" style="152" customWidth="1"/>
    <col min="14871" max="14880" width="3.42578125" style="152"/>
    <col min="14881" max="14881" width="3.42578125" style="152" customWidth="1"/>
    <col min="14882" max="15102" width="9.140625" style="152" customWidth="1"/>
    <col min="15103" max="15103" width="3.42578125" style="152" customWidth="1"/>
    <col min="15104" max="15104" width="9.140625" style="152" customWidth="1"/>
    <col min="15105" max="15106" width="26.85546875" style="152" customWidth="1"/>
    <col min="15107" max="15107" width="16.85546875" style="152" customWidth="1"/>
    <col min="15108" max="15109" width="4.5703125" style="152" customWidth="1"/>
    <col min="15110" max="15110" width="20.5703125" style="152" customWidth="1"/>
    <col min="15111" max="15111" width="6.140625" style="152" customWidth="1"/>
    <col min="15112" max="15113" width="14.7109375" style="152" customWidth="1"/>
    <col min="15114" max="15114" width="13.85546875" style="152" customWidth="1"/>
    <col min="15115" max="15115" width="7.140625" style="152" customWidth="1"/>
    <col min="15116" max="15116" width="11.85546875" style="152" customWidth="1"/>
    <col min="15117" max="15117" width="6.28515625" style="152" customWidth="1"/>
    <col min="15118" max="15118" width="11.140625" style="152" customWidth="1"/>
    <col min="15119" max="15119" width="7.5703125" style="152" customWidth="1"/>
    <col min="15120" max="15120" width="8.5703125" style="152" customWidth="1"/>
    <col min="15121" max="15121" width="13.7109375" style="152" customWidth="1"/>
    <col min="15122" max="15122" width="13.42578125" style="152" customWidth="1"/>
    <col min="15123" max="15126" width="9.140625" style="152" customWidth="1"/>
    <col min="15127" max="15136" width="3.42578125" style="152"/>
    <col min="15137" max="15137" width="3.42578125" style="152" customWidth="1"/>
    <col min="15138" max="15358" width="9.140625" style="152" customWidth="1"/>
    <col min="15359" max="15359" width="3.42578125" style="152" customWidth="1"/>
    <col min="15360" max="15360" width="9.140625" style="152" customWidth="1"/>
    <col min="15361" max="15362" width="26.85546875" style="152" customWidth="1"/>
    <col min="15363" max="15363" width="16.85546875" style="152" customWidth="1"/>
    <col min="15364" max="15365" width="4.5703125" style="152" customWidth="1"/>
    <col min="15366" max="15366" width="20.5703125" style="152" customWidth="1"/>
    <col min="15367" max="15367" width="6.140625" style="152" customWidth="1"/>
    <col min="15368" max="15369" width="14.7109375" style="152" customWidth="1"/>
    <col min="15370" max="15370" width="13.85546875" style="152" customWidth="1"/>
    <col min="15371" max="15371" width="7.140625" style="152" customWidth="1"/>
    <col min="15372" max="15372" width="11.85546875" style="152" customWidth="1"/>
    <col min="15373" max="15373" width="6.28515625" style="152" customWidth="1"/>
    <col min="15374" max="15374" width="11.140625" style="152" customWidth="1"/>
    <col min="15375" max="15375" width="7.5703125" style="152" customWidth="1"/>
    <col min="15376" max="15376" width="8.5703125" style="152" customWidth="1"/>
    <col min="15377" max="15377" width="13.7109375" style="152" customWidth="1"/>
    <col min="15378" max="15378" width="13.42578125" style="152" customWidth="1"/>
    <col min="15379" max="15382" width="9.140625" style="152" customWidth="1"/>
    <col min="15383" max="15392" width="3.42578125" style="152"/>
    <col min="15393" max="15393" width="3.42578125" style="152" customWidth="1"/>
    <col min="15394" max="15614" width="9.140625" style="152" customWidth="1"/>
    <col min="15615" max="15615" width="3.42578125" style="152" customWidth="1"/>
    <col min="15616" max="15616" width="9.140625" style="152" customWidth="1"/>
    <col min="15617" max="15618" width="26.85546875" style="152" customWidth="1"/>
    <col min="15619" max="15619" width="16.85546875" style="152" customWidth="1"/>
    <col min="15620" max="15621" width="4.5703125" style="152" customWidth="1"/>
    <col min="15622" max="15622" width="20.5703125" style="152" customWidth="1"/>
    <col min="15623" max="15623" width="6.140625" style="152" customWidth="1"/>
    <col min="15624" max="15625" width="14.7109375" style="152" customWidth="1"/>
    <col min="15626" max="15626" width="13.85546875" style="152" customWidth="1"/>
    <col min="15627" max="15627" width="7.140625" style="152" customWidth="1"/>
    <col min="15628" max="15628" width="11.85546875" style="152" customWidth="1"/>
    <col min="15629" max="15629" width="6.28515625" style="152" customWidth="1"/>
    <col min="15630" max="15630" width="11.140625" style="152" customWidth="1"/>
    <col min="15631" max="15631" width="7.5703125" style="152" customWidth="1"/>
    <col min="15632" max="15632" width="8.5703125" style="152" customWidth="1"/>
    <col min="15633" max="15633" width="13.7109375" style="152" customWidth="1"/>
    <col min="15634" max="15634" width="13.42578125" style="152" customWidth="1"/>
    <col min="15635" max="15638" width="9.140625" style="152" customWidth="1"/>
    <col min="15639" max="15648" width="3.42578125" style="152"/>
    <col min="15649" max="15649" width="3.42578125" style="152" customWidth="1"/>
    <col min="15650" max="15870" width="9.140625" style="152" customWidth="1"/>
    <col min="15871" max="15871" width="3.42578125" style="152" customWidth="1"/>
    <col min="15872" max="15872" width="9.140625" style="152" customWidth="1"/>
    <col min="15873" max="15874" width="26.85546875" style="152" customWidth="1"/>
    <col min="15875" max="15875" width="16.85546875" style="152" customWidth="1"/>
    <col min="15876" max="15877" width="4.5703125" style="152" customWidth="1"/>
    <col min="15878" max="15878" width="20.5703125" style="152" customWidth="1"/>
    <col min="15879" max="15879" width="6.140625" style="152" customWidth="1"/>
    <col min="15880" max="15881" width="14.7109375" style="152" customWidth="1"/>
    <col min="15882" max="15882" width="13.85546875" style="152" customWidth="1"/>
    <col min="15883" max="15883" width="7.140625" style="152" customWidth="1"/>
    <col min="15884" max="15884" width="11.85546875" style="152" customWidth="1"/>
    <col min="15885" max="15885" width="6.28515625" style="152" customWidth="1"/>
    <col min="15886" max="15886" width="11.140625" style="152" customWidth="1"/>
    <col min="15887" max="15887" width="7.5703125" style="152" customWidth="1"/>
    <col min="15888" max="15888" width="8.5703125" style="152" customWidth="1"/>
    <col min="15889" max="15889" width="13.7109375" style="152" customWidth="1"/>
    <col min="15890" max="15890" width="13.42578125" style="152" customWidth="1"/>
    <col min="15891" max="15894" width="9.140625" style="152" customWidth="1"/>
    <col min="15895" max="15904" width="3.42578125" style="152"/>
    <col min="15905" max="15905" width="3.42578125" style="152" customWidth="1"/>
    <col min="15906" max="16126" width="9.140625" style="152" customWidth="1"/>
    <col min="16127" max="16127" width="3.42578125" style="152" customWidth="1"/>
    <col min="16128" max="16128" width="9.140625" style="152" customWidth="1"/>
    <col min="16129" max="16130" width="26.85546875" style="152" customWidth="1"/>
    <col min="16131" max="16131" width="16.85546875" style="152" customWidth="1"/>
    <col min="16132" max="16133" width="4.5703125" style="152" customWidth="1"/>
    <col min="16134" max="16134" width="20.5703125" style="152" customWidth="1"/>
    <col min="16135" max="16135" width="6.140625" style="152" customWidth="1"/>
    <col min="16136" max="16137" width="14.7109375" style="152" customWidth="1"/>
    <col min="16138" max="16138" width="13.85546875" style="152" customWidth="1"/>
    <col min="16139" max="16139" width="7.140625" style="152" customWidth="1"/>
    <col min="16140" max="16140" width="11.85546875" style="152" customWidth="1"/>
    <col min="16141" max="16141" width="6.28515625" style="152" customWidth="1"/>
    <col min="16142" max="16142" width="11.140625" style="152" customWidth="1"/>
    <col min="16143" max="16143" width="7.5703125" style="152" customWidth="1"/>
    <col min="16144" max="16144" width="8.5703125" style="152" customWidth="1"/>
    <col min="16145" max="16145" width="13.7109375" style="152" customWidth="1"/>
    <col min="16146" max="16146" width="13.42578125" style="152" customWidth="1"/>
    <col min="16147" max="16150" width="9.140625" style="152" customWidth="1"/>
    <col min="16151" max="16160" width="3.42578125" style="152"/>
    <col min="16161" max="16161" width="3.42578125" style="152" customWidth="1"/>
    <col min="16162" max="16384" width="9.140625" style="152" customWidth="1"/>
  </cols>
  <sheetData>
    <row r="1" spans="1:22" ht="16.5">
      <c r="A1" s="201" t="s">
        <v>0</v>
      </c>
      <c r="B1" s="201"/>
      <c r="C1" s="201"/>
      <c r="D1" s="201"/>
      <c r="E1" s="201"/>
      <c r="F1" s="148"/>
      <c r="G1" s="148"/>
      <c r="H1" s="149"/>
      <c r="I1" s="150"/>
      <c r="J1" s="150"/>
      <c r="K1" s="151"/>
      <c r="L1" s="150"/>
      <c r="M1" s="147"/>
      <c r="N1" s="150"/>
      <c r="O1" s="147"/>
      <c r="P1" s="150"/>
      <c r="Q1" s="150"/>
      <c r="R1" s="150"/>
      <c r="S1" s="150"/>
      <c r="T1" s="150"/>
      <c r="U1" s="150"/>
      <c r="V1" s="150"/>
    </row>
    <row r="2" spans="1:22" ht="16.5">
      <c r="A2" s="202" t="s">
        <v>24</v>
      </c>
      <c r="B2" s="202"/>
      <c r="C2" s="202"/>
      <c r="D2" s="202"/>
      <c r="E2" s="202"/>
      <c r="F2" s="147"/>
      <c r="G2" s="147"/>
      <c r="H2" s="153"/>
      <c r="I2" s="150"/>
      <c r="J2" s="150"/>
      <c r="K2" s="151"/>
      <c r="L2" s="154"/>
      <c r="M2" s="147"/>
      <c r="N2" s="150"/>
      <c r="O2" s="147"/>
      <c r="P2" s="150"/>
      <c r="Q2" s="150"/>
      <c r="R2" s="150"/>
      <c r="S2" s="150"/>
      <c r="T2" s="150"/>
      <c r="U2" s="150"/>
      <c r="V2" s="150"/>
    </row>
    <row r="3" spans="1:22" ht="22.5">
      <c r="A3" s="203" t="s">
        <v>1</v>
      </c>
      <c r="B3" s="203"/>
      <c r="C3" s="203"/>
      <c r="D3" s="203"/>
      <c r="E3" s="203"/>
      <c r="F3" s="203"/>
      <c r="G3" s="203"/>
      <c r="H3" s="203"/>
      <c r="I3" s="203"/>
      <c r="J3" s="203"/>
      <c r="K3" s="203"/>
      <c r="L3" s="203"/>
      <c r="M3" s="203"/>
      <c r="N3" s="203"/>
      <c r="O3" s="203"/>
      <c r="P3" s="203"/>
      <c r="Q3" s="203"/>
      <c r="R3" s="203"/>
      <c r="S3" s="150"/>
      <c r="T3" s="105"/>
      <c r="U3" s="156"/>
      <c r="V3" s="150"/>
    </row>
    <row r="4" spans="1:22" ht="20.25">
      <c r="A4" s="204" t="s">
        <v>299</v>
      </c>
      <c r="B4" s="204"/>
      <c r="C4" s="204"/>
      <c r="D4" s="204"/>
      <c r="E4" s="204"/>
      <c r="F4" s="204"/>
      <c r="G4" s="204"/>
      <c r="H4" s="204"/>
      <c r="I4" s="204"/>
      <c r="J4" s="204"/>
      <c r="K4" s="204"/>
      <c r="L4" s="204"/>
      <c r="M4" s="204"/>
      <c r="N4" s="204"/>
      <c r="O4" s="204"/>
      <c r="P4" s="204"/>
      <c r="Q4" s="204"/>
      <c r="R4" s="204"/>
      <c r="S4" s="150"/>
      <c r="T4" s="104"/>
      <c r="U4" s="156"/>
      <c r="V4" s="150"/>
    </row>
    <row r="5" spans="1:22" ht="20.25">
      <c r="A5" s="157"/>
      <c r="B5" s="157"/>
      <c r="C5" s="158"/>
      <c r="D5" s="157"/>
      <c r="E5" s="157"/>
      <c r="F5" s="157"/>
      <c r="G5" s="158"/>
      <c r="H5" s="157"/>
      <c r="I5" s="159"/>
      <c r="J5" s="157"/>
      <c r="K5" s="160"/>
      <c r="L5" s="161"/>
      <c r="M5" s="159"/>
      <c r="N5" s="157"/>
      <c r="O5" s="159"/>
      <c r="P5" s="157"/>
      <c r="Q5" s="157"/>
      <c r="R5" s="161"/>
      <c r="S5" s="150"/>
      <c r="T5" s="105"/>
      <c r="U5" s="150"/>
      <c r="V5" s="150"/>
    </row>
    <row r="6" spans="1:22" s="164" customFormat="1">
      <c r="A6" s="162" t="s">
        <v>2</v>
      </c>
      <c r="B6" s="162" t="s">
        <v>81</v>
      </c>
      <c r="C6" s="162" t="s">
        <v>82</v>
      </c>
      <c r="D6" s="162" t="s">
        <v>3</v>
      </c>
      <c r="E6" s="162"/>
      <c r="F6" s="162" t="s">
        <v>83</v>
      </c>
      <c r="G6" s="162" t="s">
        <v>84</v>
      </c>
      <c r="H6" s="137" t="s">
        <v>85</v>
      </c>
      <c r="I6" s="162" t="s">
        <v>4</v>
      </c>
      <c r="J6" s="138" t="s">
        <v>5</v>
      </c>
      <c r="K6" s="162" t="s">
        <v>6</v>
      </c>
      <c r="L6" s="138" t="s">
        <v>5</v>
      </c>
      <c r="M6" s="162" t="s">
        <v>7</v>
      </c>
      <c r="N6" s="138" t="s">
        <v>5</v>
      </c>
      <c r="O6" s="138" t="s">
        <v>22</v>
      </c>
      <c r="P6" s="138" t="s">
        <v>5</v>
      </c>
      <c r="Q6" s="138" t="s">
        <v>8</v>
      </c>
      <c r="R6" s="139" t="s">
        <v>29</v>
      </c>
      <c r="S6" s="163"/>
      <c r="T6" s="163"/>
      <c r="U6" s="163"/>
      <c r="V6" s="163"/>
    </row>
    <row r="7" spans="1:22" s="170" customFormat="1" ht="15">
      <c r="A7" s="144">
        <v>1</v>
      </c>
      <c r="B7" s="165" t="s">
        <v>183</v>
      </c>
      <c r="C7" s="155" t="s">
        <v>302</v>
      </c>
      <c r="D7" s="166"/>
      <c r="E7" s="167">
        <v>87</v>
      </c>
      <c r="F7" s="168" t="s">
        <v>137</v>
      </c>
      <c r="G7" s="166" t="s">
        <v>78</v>
      </c>
      <c r="H7" s="156">
        <v>2127400</v>
      </c>
      <c r="I7" s="145"/>
      <c r="J7" s="146">
        <f t="shared" ref="J7:J38" si="0">R7-L7-N7-P7-Q7</f>
        <v>244651</v>
      </c>
      <c r="K7" s="146" t="s">
        <v>58</v>
      </c>
      <c r="L7" s="146">
        <f t="shared" ref="L7:L38" si="1">IF(K7="-",0,H7*0.03)</f>
        <v>63822</v>
      </c>
      <c r="M7" s="146" t="s">
        <v>59</v>
      </c>
      <c r="N7" s="146">
        <f t="shared" ref="N7:N38" si="2">IF(M7="-",0,H7*0.02)</f>
        <v>42548</v>
      </c>
      <c r="O7" s="146" t="s">
        <v>17</v>
      </c>
      <c r="P7" s="146">
        <f t="shared" ref="P7:P38" si="3">IF(O7="-",0,H7*0.01)</f>
        <v>0</v>
      </c>
      <c r="Q7" s="146">
        <f t="shared" ref="Q7:Q38" si="4">H7*0.005</f>
        <v>10637</v>
      </c>
      <c r="R7" s="146">
        <f t="shared" ref="R7:R38" si="5">IF(I7="V.Tân",H7*0.1375,IF(I7="nguyện",H7*0.1375,IF(I7="TOẢN",H7*0.1375,H7*0.17)))</f>
        <v>361658</v>
      </c>
      <c r="S7" s="169"/>
      <c r="T7" s="169"/>
      <c r="U7" s="169"/>
      <c r="V7" s="169"/>
    </row>
    <row r="8" spans="1:22" s="170" customFormat="1" ht="15">
      <c r="A8" s="144">
        <v>2</v>
      </c>
      <c r="B8" s="165" t="s">
        <v>185</v>
      </c>
      <c r="C8" s="155" t="s">
        <v>303</v>
      </c>
      <c r="D8" s="166"/>
      <c r="E8" s="167">
        <v>54</v>
      </c>
      <c r="F8" s="168" t="s">
        <v>176</v>
      </c>
      <c r="G8" s="166" t="s">
        <v>77</v>
      </c>
      <c r="H8" s="156">
        <v>4201900</v>
      </c>
      <c r="I8" s="145"/>
      <c r="J8" s="146">
        <f t="shared" si="0"/>
        <v>441199.5</v>
      </c>
      <c r="K8" s="146" t="s">
        <v>60</v>
      </c>
      <c r="L8" s="146">
        <f t="shared" si="1"/>
        <v>126057</v>
      </c>
      <c r="M8" s="146" t="s">
        <v>61</v>
      </c>
      <c r="N8" s="146">
        <f t="shared" si="2"/>
        <v>84038</v>
      </c>
      <c r="O8" s="146" t="s">
        <v>62</v>
      </c>
      <c r="P8" s="146">
        <f t="shared" si="3"/>
        <v>42019</v>
      </c>
      <c r="Q8" s="146">
        <f t="shared" si="4"/>
        <v>21009.5</v>
      </c>
      <c r="R8" s="146">
        <f t="shared" si="5"/>
        <v>714323</v>
      </c>
      <c r="S8" s="169"/>
      <c r="T8" s="169"/>
      <c r="U8" s="169"/>
      <c r="V8" s="169"/>
    </row>
    <row r="9" spans="1:22" s="170" customFormat="1" ht="15">
      <c r="A9" s="144">
        <v>3</v>
      </c>
      <c r="B9" s="165" t="s">
        <v>185</v>
      </c>
      <c r="C9" s="155" t="s">
        <v>304</v>
      </c>
      <c r="D9" s="166">
        <v>46</v>
      </c>
      <c r="E9" s="167"/>
      <c r="F9" s="168" t="s">
        <v>93</v>
      </c>
      <c r="G9" s="166" t="s">
        <v>77</v>
      </c>
      <c r="H9" s="156">
        <v>0</v>
      </c>
      <c r="I9" s="145"/>
      <c r="J9" s="146">
        <f t="shared" si="0"/>
        <v>0</v>
      </c>
      <c r="K9" s="146" t="s">
        <v>63</v>
      </c>
      <c r="L9" s="146">
        <f t="shared" si="1"/>
        <v>0</v>
      </c>
      <c r="M9" s="146" t="s">
        <v>64</v>
      </c>
      <c r="N9" s="146">
        <f t="shared" si="2"/>
        <v>0</v>
      </c>
      <c r="O9" s="146" t="s">
        <v>65</v>
      </c>
      <c r="P9" s="146">
        <f t="shared" si="3"/>
        <v>0</v>
      </c>
      <c r="Q9" s="146">
        <f t="shared" si="4"/>
        <v>0</v>
      </c>
      <c r="R9" s="146">
        <f t="shared" si="5"/>
        <v>0</v>
      </c>
      <c r="S9" s="171"/>
      <c r="T9" s="169"/>
      <c r="U9" s="169"/>
      <c r="V9" s="169"/>
    </row>
    <row r="10" spans="1:22" s="170" customFormat="1" ht="15">
      <c r="A10" s="144">
        <v>4</v>
      </c>
      <c r="B10" s="165" t="s">
        <v>188</v>
      </c>
      <c r="C10" s="155" t="s">
        <v>302</v>
      </c>
      <c r="D10" s="166"/>
      <c r="E10" s="167">
        <v>87</v>
      </c>
      <c r="F10" s="168" t="s">
        <v>137</v>
      </c>
      <c r="G10" s="166" t="s">
        <v>78</v>
      </c>
      <c r="H10" s="156">
        <v>2127400</v>
      </c>
      <c r="I10" s="145"/>
      <c r="J10" s="146">
        <f t="shared" si="0"/>
        <v>244651</v>
      </c>
      <c r="K10" s="146" t="s">
        <v>60</v>
      </c>
      <c r="L10" s="146">
        <f t="shared" si="1"/>
        <v>63822</v>
      </c>
      <c r="M10" s="146" t="s">
        <v>66</v>
      </c>
      <c r="N10" s="146">
        <f t="shared" si="2"/>
        <v>42548</v>
      </c>
      <c r="O10" s="146" t="s">
        <v>17</v>
      </c>
      <c r="P10" s="146">
        <f t="shared" si="3"/>
        <v>0</v>
      </c>
      <c r="Q10" s="146">
        <f t="shared" si="4"/>
        <v>10637</v>
      </c>
      <c r="R10" s="146">
        <f t="shared" si="5"/>
        <v>361658</v>
      </c>
      <c r="S10" s="169"/>
      <c r="T10" s="169"/>
      <c r="U10" s="169"/>
      <c r="V10" s="169"/>
    </row>
    <row r="11" spans="1:22" s="170" customFormat="1" ht="15">
      <c r="A11" s="144">
        <v>5</v>
      </c>
      <c r="B11" s="165" t="s">
        <v>189</v>
      </c>
      <c r="C11" s="155" t="s">
        <v>305</v>
      </c>
      <c r="D11" s="166"/>
      <c r="E11" s="167">
        <v>69</v>
      </c>
      <c r="F11" s="168" t="s">
        <v>93</v>
      </c>
      <c r="G11" s="166" t="s">
        <v>77</v>
      </c>
      <c r="H11" s="156">
        <v>3525500</v>
      </c>
      <c r="I11" s="145"/>
      <c r="J11" s="146">
        <f t="shared" si="0"/>
        <v>370177.5</v>
      </c>
      <c r="K11" s="146" t="s">
        <v>36</v>
      </c>
      <c r="L11" s="146">
        <f t="shared" si="1"/>
        <v>105765</v>
      </c>
      <c r="M11" s="146" t="s">
        <v>61</v>
      </c>
      <c r="N11" s="146">
        <f t="shared" si="2"/>
        <v>70510</v>
      </c>
      <c r="O11" s="146" t="s">
        <v>67</v>
      </c>
      <c r="P11" s="146">
        <f t="shared" si="3"/>
        <v>35255</v>
      </c>
      <c r="Q11" s="146">
        <f t="shared" si="4"/>
        <v>17627.5</v>
      </c>
      <c r="R11" s="146">
        <f t="shared" si="5"/>
        <v>599335</v>
      </c>
      <c r="S11" s="169"/>
      <c r="T11" s="169"/>
      <c r="U11" s="169"/>
      <c r="V11" s="169"/>
    </row>
    <row r="12" spans="1:22" s="170" customFormat="1" ht="15">
      <c r="A12" s="144">
        <v>6</v>
      </c>
      <c r="B12" s="165" t="s">
        <v>190</v>
      </c>
      <c r="C12" s="155" t="s">
        <v>306</v>
      </c>
      <c r="D12" s="166">
        <v>75</v>
      </c>
      <c r="E12" s="167"/>
      <c r="F12" s="168" t="s">
        <v>93</v>
      </c>
      <c r="G12" s="166" t="s">
        <v>77</v>
      </c>
      <c r="H12" s="156">
        <v>0</v>
      </c>
      <c r="I12" s="145"/>
      <c r="J12" s="146">
        <f t="shared" si="0"/>
        <v>0</v>
      </c>
      <c r="K12" s="146" t="s">
        <v>35</v>
      </c>
      <c r="L12" s="146">
        <f t="shared" si="1"/>
        <v>0</v>
      </c>
      <c r="M12" s="146" t="s">
        <v>60</v>
      </c>
      <c r="N12" s="146">
        <f t="shared" si="2"/>
        <v>0</v>
      </c>
      <c r="O12" s="146" t="s">
        <v>63</v>
      </c>
      <c r="P12" s="146">
        <f t="shared" si="3"/>
        <v>0</v>
      </c>
      <c r="Q12" s="146">
        <f t="shared" si="4"/>
        <v>0</v>
      </c>
      <c r="R12" s="146">
        <f t="shared" si="5"/>
        <v>0</v>
      </c>
      <c r="S12" s="169"/>
      <c r="T12" s="169"/>
      <c r="U12" s="169"/>
      <c r="V12" s="169"/>
    </row>
    <row r="13" spans="1:22" s="170" customFormat="1" ht="15">
      <c r="A13" s="144">
        <v>7</v>
      </c>
      <c r="B13" s="165" t="s">
        <v>307</v>
      </c>
      <c r="C13" s="155" t="s">
        <v>308</v>
      </c>
      <c r="D13" s="166">
        <v>59</v>
      </c>
      <c r="E13" s="167"/>
      <c r="F13" s="168" t="s">
        <v>93</v>
      </c>
      <c r="G13" s="166" t="s">
        <v>77</v>
      </c>
      <c r="H13" s="156">
        <v>3525500</v>
      </c>
      <c r="I13" s="145"/>
      <c r="J13" s="146">
        <f t="shared" si="0"/>
        <v>370177.5</v>
      </c>
      <c r="K13" s="146" t="s">
        <v>35</v>
      </c>
      <c r="L13" s="146">
        <f t="shared" si="1"/>
        <v>105765</v>
      </c>
      <c r="M13" s="146" t="s">
        <v>60</v>
      </c>
      <c r="N13" s="146">
        <f t="shared" si="2"/>
        <v>70510</v>
      </c>
      <c r="O13" s="146" t="s">
        <v>63</v>
      </c>
      <c r="P13" s="146">
        <f t="shared" si="3"/>
        <v>35255</v>
      </c>
      <c r="Q13" s="146">
        <f t="shared" si="4"/>
        <v>17627.5</v>
      </c>
      <c r="R13" s="146">
        <f t="shared" si="5"/>
        <v>599335</v>
      </c>
      <c r="S13" s="169"/>
      <c r="T13" s="169"/>
      <c r="U13" s="169"/>
      <c r="V13" s="169"/>
    </row>
    <row r="14" spans="1:22" s="21" customFormat="1" ht="15">
      <c r="A14" s="144">
        <v>8</v>
      </c>
      <c r="B14" s="165" t="s">
        <v>191</v>
      </c>
      <c r="C14" s="155" t="s">
        <v>309</v>
      </c>
      <c r="D14" s="166"/>
      <c r="E14" s="167">
        <v>53</v>
      </c>
      <c r="F14" s="168" t="s">
        <v>310</v>
      </c>
      <c r="G14" s="166" t="s">
        <v>77</v>
      </c>
      <c r="H14" s="156">
        <v>4397500</v>
      </c>
      <c r="I14" s="145"/>
      <c r="J14" s="146">
        <f t="shared" si="0"/>
        <v>461737.5</v>
      </c>
      <c r="K14" s="146" t="s">
        <v>35</v>
      </c>
      <c r="L14" s="146">
        <f t="shared" si="1"/>
        <v>131925</v>
      </c>
      <c r="M14" s="146" t="s">
        <v>60</v>
      </c>
      <c r="N14" s="146">
        <f t="shared" si="2"/>
        <v>87950</v>
      </c>
      <c r="O14" s="146" t="s">
        <v>63</v>
      </c>
      <c r="P14" s="146">
        <f t="shared" si="3"/>
        <v>43975</v>
      </c>
      <c r="Q14" s="146">
        <f t="shared" si="4"/>
        <v>21987.5</v>
      </c>
      <c r="R14" s="146">
        <f t="shared" si="5"/>
        <v>747575</v>
      </c>
      <c r="S14" s="147"/>
      <c r="T14" s="147"/>
      <c r="U14" s="147"/>
      <c r="V14" s="147"/>
    </row>
    <row r="15" spans="1:22" s="21" customFormat="1" ht="15">
      <c r="A15" s="144">
        <v>9</v>
      </c>
      <c r="B15" s="165" t="s">
        <v>191</v>
      </c>
      <c r="C15" s="155" t="s">
        <v>311</v>
      </c>
      <c r="D15" s="166">
        <v>20</v>
      </c>
      <c r="E15" s="167"/>
      <c r="F15" s="168" t="s">
        <v>312</v>
      </c>
      <c r="G15" s="166" t="s">
        <v>77</v>
      </c>
      <c r="H15" s="156">
        <v>3405500</v>
      </c>
      <c r="I15" s="145"/>
      <c r="J15" s="146">
        <f t="shared" si="0"/>
        <v>357577.5</v>
      </c>
      <c r="K15" s="146" t="s">
        <v>37</v>
      </c>
      <c r="L15" s="146">
        <f t="shared" si="1"/>
        <v>102165</v>
      </c>
      <c r="M15" s="146" t="s">
        <v>36</v>
      </c>
      <c r="N15" s="146">
        <f t="shared" si="2"/>
        <v>68110</v>
      </c>
      <c r="O15" s="146" t="s">
        <v>68</v>
      </c>
      <c r="P15" s="146">
        <f t="shared" si="3"/>
        <v>34055</v>
      </c>
      <c r="Q15" s="146">
        <f t="shared" si="4"/>
        <v>17027.5</v>
      </c>
      <c r="R15" s="146">
        <f t="shared" si="5"/>
        <v>578935</v>
      </c>
      <c r="S15" s="147"/>
      <c r="T15" s="147"/>
      <c r="U15" s="147"/>
      <c r="V15" s="147"/>
    </row>
    <row r="16" spans="1:22" s="21" customFormat="1" ht="15">
      <c r="A16" s="144">
        <v>10</v>
      </c>
      <c r="B16" s="165" t="s">
        <v>191</v>
      </c>
      <c r="C16" s="155" t="s">
        <v>313</v>
      </c>
      <c r="D16" s="166"/>
      <c r="E16" s="167">
        <v>50</v>
      </c>
      <c r="F16" s="168" t="s">
        <v>145</v>
      </c>
      <c r="G16" s="166" t="s">
        <v>77</v>
      </c>
      <c r="H16" s="156">
        <v>4497500</v>
      </c>
      <c r="I16" s="145"/>
      <c r="J16" s="146">
        <f t="shared" si="0"/>
        <v>472237.5</v>
      </c>
      <c r="K16" s="146" t="s">
        <v>35</v>
      </c>
      <c r="L16" s="146">
        <f t="shared" si="1"/>
        <v>134925</v>
      </c>
      <c r="M16" s="146" t="s">
        <v>61</v>
      </c>
      <c r="N16" s="146">
        <f t="shared" si="2"/>
        <v>89950</v>
      </c>
      <c r="O16" s="146" t="s">
        <v>66</v>
      </c>
      <c r="P16" s="146">
        <f t="shared" si="3"/>
        <v>44975</v>
      </c>
      <c r="Q16" s="146">
        <f t="shared" si="4"/>
        <v>22487.5</v>
      </c>
      <c r="R16" s="146">
        <f t="shared" si="5"/>
        <v>764575</v>
      </c>
      <c r="S16" s="147"/>
      <c r="T16" s="147"/>
      <c r="U16" s="147"/>
      <c r="V16" s="147"/>
    </row>
    <row r="17" spans="1:22" s="21" customFormat="1" ht="15">
      <c r="A17" s="144">
        <v>11</v>
      </c>
      <c r="B17" s="165" t="s">
        <v>191</v>
      </c>
      <c r="C17" s="155" t="s">
        <v>314</v>
      </c>
      <c r="D17" s="166"/>
      <c r="E17" s="167">
        <v>29</v>
      </c>
      <c r="F17" s="168" t="s">
        <v>137</v>
      </c>
      <c r="G17" s="166"/>
      <c r="H17" s="156">
        <v>5000000</v>
      </c>
      <c r="I17" s="145"/>
      <c r="J17" s="146">
        <f t="shared" si="0"/>
        <v>525000.00000000012</v>
      </c>
      <c r="K17" s="146" t="s">
        <v>37</v>
      </c>
      <c r="L17" s="146">
        <f t="shared" si="1"/>
        <v>150000</v>
      </c>
      <c r="M17" s="146" t="s">
        <v>69</v>
      </c>
      <c r="N17" s="146">
        <f t="shared" si="2"/>
        <v>100000</v>
      </c>
      <c r="O17" s="146" t="s">
        <v>70</v>
      </c>
      <c r="P17" s="146">
        <f t="shared" si="3"/>
        <v>50000</v>
      </c>
      <c r="Q17" s="146">
        <f t="shared" si="4"/>
        <v>25000</v>
      </c>
      <c r="R17" s="146">
        <f t="shared" si="5"/>
        <v>850000.00000000012</v>
      </c>
      <c r="S17" s="147"/>
      <c r="T17" s="147"/>
      <c r="U17" s="147"/>
      <c r="V17" s="147"/>
    </row>
    <row r="18" spans="1:22" s="21" customFormat="1" ht="15">
      <c r="A18" s="144">
        <v>12</v>
      </c>
      <c r="B18" s="165" t="s">
        <v>191</v>
      </c>
      <c r="C18" s="155" t="s">
        <v>315</v>
      </c>
      <c r="D18" s="166">
        <v>60</v>
      </c>
      <c r="E18" s="167"/>
      <c r="F18" s="168" t="s">
        <v>137</v>
      </c>
      <c r="G18" s="166" t="s">
        <v>78</v>
      </c>
      <c r="H18" s="156">
        <v>2127400</v>
      </c>
      <c r="I18" s="145"/>
      <c r="J18" s="146">
        <f t="shared" si="0"/>
        <v>223377</v>
      </c>
      <c r="K18" s="146" t="s">
        <v>68</v>
      </c>
      <c r="L18" s="146">
        <f t="shared" si="1"/>
        <v>63822</v>
      </c>
      <c r="M18" s="146" t="s">
        <v>71</v>
      </c>
      <c r="N18" s="146">
        <f t="shared" si="2"/>
        <v>42548</v>
      </c>
      <c r="O18" s="146" t="s">
        <v>72</v>
      </c>
      <c r="P18" s="146">
        <f t="shared" si="3"/>
        <v>21274</v>
      </c>
      <c r="Q18" s="146">
        <f t="shared" si="4"/>
        <v>10637</v>
      </c>
      <c r="R18" s="146">
        <f t="shared" si="5"/>
        <v>361658</v>
      </c>
      <c r="S18" s="147"/>
      <c r="T18" s="147"/>
      <c r="U18" s="147"/>
      <c r="V18" s="147"/>
    </row>
    <row r="19" spans="1:22" s="21" customFormat="1" ht="15">
      <c r="A19" s="144">
        <v>13</v>
      </c>
      <c r="B19" s="165" t="s">
        <v>191</v>
      </c>
      <c r="C19" s="155" t="s">
        <v>178</v>
      </c>
      <c r="D19" s="166"/>
      <c r="E19" s="167">
        <v>75</v>
      </c>
      <c r="F19" s="168" t="s">
        <v>137</v>
      </c>
      <c r="G19" s="166" t="s">
        <v>78</v>
      </c>
      <c r="H19" s="156">
        <v>2127400</v>
      </c>
      <c r="I19" s="145"/>
      <c r="J19" s="146">
        <f t="shared" si="0"/>
        <v>223377</v>
      </c>
      <c r="K19" s="146" t="s">
        <v>68</v>
      </c>
      <c r="L19" s="146">
        <f t="shared" si="1"/>
        <v>63822</v>
      </c>
      <c r="M19" s="146" t="s">
        <v>70</v>
      </c>
      <c r="N19" s="146">
        <f t="shared" si="2"/>
        <v>42548</v>
      </c>
      <c r="O19" s="146" t="s">
        <v>72</v>
      </c>
      <c r="P19" s="146">
        <f t="shared" si="3"/>
        <v>21274</v>
      </c>
      <c r="Q19" s="146">
        <f t="shared" si="4"/>
        <v>10637</v>
      </c>
      <c r="R19" s="146">
        <f t="shared" si="5"/>
        <v>361658</v>
      </c>
      <c r="S19" s="147"/>
      <c r="T19" s="147"/>
      <c r="U19" s="147"/>
      <c r="V19" s="147"/>
    </row>
    <row r="20" spans="1:22" s="21" customFormat="1" ht="15">
      <c r="A20" s="144">
        <v>14</v>
      </c>
      <c r="B20" s="165" t="s">
        <v>192</v>
      </c>
      <c r="C20" s="155" t="s">
        <v>316</v>
      </c>
      <c r="D20" s="166">
        <v>39</v>
      </c>
      <c r="E20" s="167"/>
      <c r="F20" s="168" t="s">
        <v>146</v>
      </c>
      <c r="G20" s="166" t="s">
        <v>78</v>
      </c>
      <c r="H20" s="156">
        <v>2559100</v>
      </c>
      <c r="I20" s="145"/>
      <c r="J20" s="146">
        <f t="shared" si="0"/>
        <v>268705.50000000006</v>
      </c>
      <c r="K20" s="146" t="s">
        <v>61</v>
      </c>
      <c r="L20" s="146">
        <f t="shared" si="1"/>
        <v>76773</v>
      </c>
      <c r="M20" s="146" t="s">
        <v>67</v>
      </c>
      <c r="N20" s="146">
        <f t="shared" si="2"/>
        <v>51182</v>
      </c>
      <c r="O20" s="146" t="s">
        <v>65</v>
      </c>
      <c r="P20" s="146">
        <f t="shared" si="3"/>
        <v>25591</v>
      </c>
      <c r="Q20" s="146">
        <f t="shared" si="4"/>
        <v>12795.5</v>
      </c>
      <c r="R20" s="146">
        <f t="shared" si="5"/>
        <v>435047.00000000006</v>
      </c>
      <c r="S20" s="147"/>
      <c r="T20" s="147"/>
      <c r="U20" s="147"/>
      <c r="V20" s="147"/>
    </row>
    <row r="21" spans="1:22" s="21" customFormat="1" ht="15">
      <c r="A21" s="144">
        <v>15</v>
      </c>
      <c r="B21" s="165" t="s">
        <v>192</v>
      </c>
      <c r="C21" s="155" t="s">
        <v>317</v>
      </c>
      <c r="D21" s="166">
        <v>62</v>
      </c>
      <c r="E21" s="167"/>
      <c r="F21" s="168" t="s">
        <v>145</v>
      </c>
      <c r="G21" s="166" t="s">
        <v>77</v>
      </c>
      <c r="H21" s="156">
        <v>4497500</v>
      </c>
      <c r="I21" s="145"/>
      <c r="J21" s="146">
        <f t="shared" si="0"/>
        <v>472237.5</v>
      </c>
      <c r="K21" s="146" t="s">
        <v>36</v>
      </c>
      <c r="L21" s="146">
        <f t="shared" si="1"/>
        <v>134925</v>
      </c>
      <c r="M21" s="146" t="s">
        <v>60</v>
      </c>
      <c r="N21" s="146">
        <f t="shared" si="2"/>
        <v>89950</v>
      </c>
      <c r="O21" s="146" t="s">
        <v>63</v>
      </c>
      <c r="P21" s="146">
        <f t="shared" si="3"/>
        <v>44975</v>
      </c>
      <c r="Q21" s="146">
        <f t="shared" si="4"/>
        <v>22487.5</v>
      </c>
      <c r="R21" s="146">
        <f t="shared" si="5"/>
        <v>764575</v>
      </c>
      <c r="S21" s="147"/>
      <c r="T21" s="147"/>
      <c r="U21" s="147"/>
      <c r="V21" s="147"/>
    </row>
    <row r="22" spans="1:22" s="21" customFormat="1" ht="15">
      <c r="A22" s="144">
        <v>16</v>
      </c>
      <c r="B22" s="165" t="s">
        <v>192</v>
      </c>
      <c r="C22" s="155" t="s">
        <v>318</v>
      </c>
      <c r="D22" s="166"/>
      <c r="E22" s="167">
        <v>70</v>
      </c>
      <c r="F22" s="168" t="s">
        <v>164</v>
      </c>
      <c r="G22" s="166" t="s">
        <v>79</v>
      </c>
      <c r="H22" s="156">
        <v>1301200</v>
      </c>
      <c r="I22" s="145"/>
      <c r="J22" s="146">
        <f t="shared" si="0"/>
        <v>136626.00000000003</v>
      </c>
      <c r="K22" s="146" t="s">
        <v>60</v>
      </c>
      <c r="L22" s="146">
        <f t="shared" si="1"/>
        <v>39036</v>
      </c>
      <c r="M22" s="146" t="s">
        <v>63</v>
      </c>
      <c r="N22" s="146">
        <f t="shared" si="2"/>
        <v>26024</v>
      </c>
      <c r="O22" s="146" t="s">
        <v>66</v>
      </c>
      <c r="P22" s="146">
        <f t="shared" si="3"/>
        <v>13012</v>
      </c>
      <c r="Q22" s="146">
        <f t="shared" si="4"/>
        <v>6506</v>
      </c>
      <c r="R22" s="146">
        <f t="shared" si="5"/>
        <v>221204.00000000003</v>
      </c>
      <c r="S22" s="147"/>
      <c r="T22" s="147"/>
      <c r="U22" s="147"/>
      <c r="V22" s="147"/>
    </row>
    <row r="23" spans="1:22" s="21" customFormat="1" ht="15">
      <c r="A23" s="144">
        <v>17</v>
      </c>
      <c r="B23" s="165" t="s">
        <v>192</v>
      </c>
      <c r="C23" s="155" t="s">
        <v>319</v>
      </c>
      <c r="D23" s="166">
        <v>18</v>
      </c>
      <c r="E23" s="167"/>
      <c r="F23" s="168" t="s">
        <v>312</v>
      </c>
      <c r="G23" s="166" t="s">
        <v>77</v>
      </c>
      <c r="H23" s="156">
        <v>3405500</v>
      </c>
      <c r="I23" s="145"/>
      <c r="J23" s="146">
        <f t="shared" si="0"/>
        <v>357577.5</v>
      </c>
      <c r="K23" s="146" t="s">
        <v>60</v>
      </c>
      <c r="L23" s="146">
        <f t="shared" si="1"/>
        <v>102165</v>
      </c>
      <c r="M23" s="146" t="s">
        <v>63</v>
      </c>
      <c r="N23" s="146">
        <f t="shared" si="2"/>
        <v>68110</v>
      </c>
      <c r="O23" s="146" t="s">
        <v>67</v>
      </c>
      <c r="P23" s="146">
        <f t="shared" si="3"/>
        <v>34055</v>
      </c>
      <c r="Q23" s="146">
        <f t="shared" si="4"/>
        <v>17027.5</v>
      </c>
      <c r="R23" s="146">
        <f t="shared" si="5"/>
        <v>578935</v>
      </c>
      <c r="S23" s="147"/>
      <c r="T23" s="147"/>
      <c r="U23" s="147"/>
      <c r="V23" s="147"/>
    </row>
    <row r="24" spans="1:22" s="21" customFormat="1" ht="15">
      <c r="A24" s="144">
        <v>18</v>
      </c>
      <c r="B24" s="165" t="s">
        <v>192</v>
      </c>
      <c r="C24" s="155" t="s">
        <v>320</v>
      </c>
      <c r="D24" s="166"/>
      <c r="E24" s="167">
        <v>63</v>
      </c>
      <c r="F24" s="168" t="s">
        <v>137</v>
      </c>
      <c r="G24" s="166"/>
      <c r="H24" s="156">
        <v>4221000</v>
      </c>
      <c r="I24" s="145"/>
      <c r="J24" s="146">
        <f t="shared" si="0"/>
        <v>485415</v>
      </c>
      <c r="K24" s="146" t="s">
        <v>61</v>
      </c>
      <c r="L24" s="146">
        <f t="shared" si="1"/>
        <v>126630</v>
      </c>
      <c r="M24" s="146" t="s">
        <v>70</v>
      </c>
      <c r="N24" s="146">
        <f t="shared" si="2"/>
        <v>84420</v>
      </c>
      <c r="O24" s="146" t="s">
        <v>17</v>
      </c>
      <c r="P24" s="146">
        <f t="shared" si="3"/>
        <v>0</v>
      </c>
      <c r="Q24" s="146">
        <f t="shared" si="4"/>
        <v>21105</v>
      </c>
      <c r="R24" s="146">
        <f t="shared" si="5"/>
        <v>717570</v>
      </c>
      <c r="S24" s="147"/>
      <c r="T24" s="147"/>
      <c r="U24" s="147"/>
      <c r="V24" s="147"/>
    </row>
    <row r="25" spans="1:22" s="21" customFormat="1" ht="15">
      <c r="A25" s="144">
        <v>19</v>
      </c>
      <c r="B25" s="165" t="s">
        <v>321</v>
      </c>
      <c r="C25" s="155" t="s">
        <v>322</v>
      </c>
      <c r="D25" s="166">
        <v>35</v>
      </c>
      <c r="E25" s="167"/>
      <c r="F25" s="168" t="s">
        <v>93</v>
      </c>
      <c r="G25" s="166" t="s">
        <v>77</v>
      </c>
      <c r="H25" s="156">
        <v>3525500</v>
      </c>
      <c r="I25" s="145"/>
      <c r="J25" s="146">
        <f t="shared" si="0"/>
        <v>405432.5</v>
      </c>
      <c r="K25" s="146" t="s">
        <v>61</v>
      </c>
      <c r="L25" s="146">
        <f t="shared" si="1"/>
        <v>105765</v>
      </c>
      <c r="M25" s="146" t="s">
        <v>70</v>
      </c>
      <c r="N25" s="146">
        <f t="shared" si="2"/>
        <v>70510</v>
      </c>
      <c r="O25" s="146" t="s">
        <v>17</v>
      </c>
      <c r="P25" s="146">
        <f t="shared" si="3"/>
        <v>0</v>
      </c>
      <c r="Q25" s="146">
        <f t="shared" si="4"/>
        <v>17627.5</v>
      </c>
      <c r="R25" s="146">
        <f t="shared" si="5"/>
        <v>599335</v>
      </c>
      <c r="S25" s="147"/>
      <c r="T25" s="147"/>
      <c r="U25" s="147"/>
      <c r="V25" s="147"/>
    </row>
    <row r="26" spans="1:22" s="21" customFormat="1" ht="15">
      <c r="A26" s="144">
        <v>20</v>
      </c>
      <c r="B26" s="165" t="s">
        <v>321</v>
      </c>
      <c r="C26" s="155" t="s">
        <v>323</v>
      </c>
      <c r="D26" s="166"/>
      <c r="E26" s="167">
        <v>64</v>
      </c>
      <c r="F26" s="168" t="s">
        <v>179</v>
      </c>
      <c r="G26" s="166"/>
      <c r="H26" s="156">
        <v>8993000</v>
      </c>
      <c r="I26" s="145"/>
      <c r="J26" s="146">
        <f t="shared" si="0"/>
        <v>944265</v>
      </c>
      <c r="K26" s="146" t="s">
        <v>35</v>
      </c>
      <c r="L26" s="146">
        <f t="shared" si="1"/>
        <v>269790</v>
      </c>
      <c r="M26" s="146" t="s">
        <v>37</v>
      </c>
      <c r="N26" s="146">
        <f t="shared" si="2"/>
        <v>179860</v>
      </c>
      <c r="O26" s="146" t="s">
        <v>60</v>
      </c>
      <c r="P26" s="146">
        <f t="shared" si="3"/>
        <v>89930</v>
      </c>
      <c r="Q26" s="146">
        <f t="shared" si="4"/>
        <v>44965</v>
      </c>
      <c r="R26" s="146">
        <f t="shared" si="5"/>
        <v>1528810</v>
      </c>
      <c r="S26" s="147"/>
      <c r="T26" s="147"/>
      <c r="U26" s="147"/>
      <c r="V26" s="147"/>
    </row>
    <row r="27" spans="1:22" s="21" customFormat="1" ht="15">
      <c r="A27" s="144">
        <v>21</v>
      </c>
      <c r="B27" s="165" t="s">
        <v>321</v>
      </c>
      <c r="C27" s="155" t="s">
        <v>324</v>
      </c>
      <c r="D27" s="166">
        <v>61</v>
      </c>
      <c r="E27" s="167"/>
      <c r="F27" s="168" t="s">
        <v>93</v>
      </c>
      <c r="G27" s="166" t="s">
        <v>77</v>
      </c>
      <c r="H27" s="156">
        <v>3525500</v>
      </c>
      <c r="I27" s="145"/>
      <c r="J27" s="146">
        <f t="shared" si="0"/>
        <v>405432.5</v>
      </c>
      <c r="K27" s="146" t="s">
        <v>60</v>
      </c>
      <c r="L27" s="146">
        <f t="shared" si="1"/>
        <v>105765</v>
      </c>
      <c r="M27" s="146" t="s">
        <v>73</v>
      </c>
      <c r="N27" s="146">
        <f t="shared" si="2"/>
        <v>70510</v>
      </c>
      <c r="O27" s="146" t="s">
        <v>17</v>
      </c>
      <c r="P27" s="146">
        <f t="shared" si="3"/>
        <v>0</v>
      </c>
      <c r="Q27" s="146">
        <f t="shared" si="4"/>
        <v>17627.5</v>
      </c>
      <c r="R27" s="146">
        <f t="shared" si="5"/>
        <v>599335</v>
      </c>
      <c r="S27" s="147"/>
      <c r="T27" s="147"/>
      <c r="U27" s="147"/>
      <c r="V27" s="147"/>
    </row>
    <row r="28" spans="1:22" s="21" customFormat="1" ht="15">
      <c r="A28" s="144">
        <v>22</v>
      </c>
      <c r="B28" s="165" t="s">
        <v>321</v>
      </c>
      <c r="C28" s="155" t="s">
        <v>325</v>
      </c>
      <c r="D28" s="166"/>
      <c r="E28" s="167">
        <v>38</v>
      </c>
      <c r="F28" s="168" t="s">
        <v>326</v>
      </c>
      <c r="G28" s="166" t="s">
        <v>78</v>
      </c>
      <c r="H28" s="156">
        <v>2559100</v>
      </c>
      <c r="I28" s="145"/>
      <c r="J28" s="146">
        <f t="shared" si="0"/>
        <v>294296.50000000006</v>
      </c>
      <c r="K28" s="146" t="s">
        <v>68</v>
      </c>
      <c r="L28" s="146">
        <f t="shared" si="1"/>
        <v>76773</v>
      </c>
      <c r="M28" s="146" t="s">
        <v>67</v>
      </c>
      <c r="N28" s="146">
        <f t="shared" si="2"/>
        <v>51182</v>
      </c>
      <c r="O28" s="146" t="s">
        <v>17</v>
      </c>
      <c r="P28" s="146">
        <f t="shared" si="3"/>
        <v>0</v>
      </c>
      <c r="Q28" s="146">
        <f t="shared" si="4"/>
        <v>12795.5</v>
      </c>
      <c r="R28" s="146">
        <f t="shared" si="5"/>
        <v>435047.00000000006</v>
      </c>
      <c r="S28" s="147"/>
      <c r="T28" s="147"/>
      <c r="U28" s="147"/>
      <c r="V28" s="147"/>
    </row>
    <row r="29" spans="1:22" s="21" customFormat="1" ht="15">
      <c r="A29" s="144">
        <v>23</v>
      </c>
      <c r="B29" s="165" t="s">
        <v>327</v>
      </c>
      <c r="C29" s="155" t="s">
        <v>328</v>
      </c>
      <c r="D29" s="166">
        <v>25</v>
      </c>
      <c r="E29" s="167"/>
      <c r="F29" s="168" t="s">
        <v>329</v>
      </c>
      <c r="G29" s="166" t="s">
        <v>79</v>
      </c>
      <c r="H29" s="156">
        <v>796000</v>
      </c>
      <c r="I29" s="145"/>
      <c r="J29" s="146">
        <f t="shared" si="0"/>
        <v>91540</v>
      </c>
      <c r="K29" s="146" t="s">
        <v>61</v>
      </c>
      <c r="L29" s="146">
        <f t="shared" si="1"/>
        <v>23880</v>
      </c>
      <c r="M29" s="146" t="s">
        <v>70</v>
      </c>
      <c r="N29" s="146">
        <f t="shared" si="2"/>
        <v>15920</v>
      </c>
      <c r="O29" s="146" t="s">
        <v>17</v>
      </c>
      <c r="P29" s="146">
        <f t="shared" si="3"/>
        <v>0</v>
      </c>
      <c r="Q29" s="146">
        <f t="shared" si="4"/>
        <v>3980</v>
      </c>
      <c r="R29" s="146">
        <f t="shared" si="5"/>
        <v>135320</v>
      </c>
      <c r="S29" s="147"/>
      <c r="T29" s="147"/>
      <c r="U29" s="147"/>
      <c r="V29" s="147"/>
    </row>
    <row r="30" spans="1:22" s="21" customFormat="1" ht="15">
      <c r="A30" s="144">
        <v>24</v>
      </c>
      <c r="B30" s="165" t="s">
        <v>330</v>
      </c>
      <c r="C30" s="155" t="s">
        <v>331</v>
      </c>
      <c r="D30" s="166">
        <v>27</v>
      </c>
      <c r="E30" s="167"/>
      <c r="F30" s="168" t="s">
        <v>145</v>
      </c>
      <c r="G30" s="166" t="s">
        <v>77</v>
      </c>
      <c r="H30" s="156">
        <v>4497500</v>
      </c>
      <c r="I30" s="145"/>
      <c r="J30" s="146">
        <f t="shared" si="0"/>
        <v>472237.5</v>
      </c>
      <c r="K30" s="146" t="s">
        <v>60</v>
      </c>
      <c r="L30" s="146">
        <f t="shared" si="1"/>
        <v>134925</v>
      </c>
      <c r="M30" s="146" t="s">
        <v>68</v>
      </c>
      <c r="N30" s="146">
        <f t="shared" si="2"/>
        <v>89950</v>
      </c>
      <c r="O30" s="146" t="s">
        <v>70</v>
      </c>
      <c r="P30" s="146">
        <f t="shared" si="3"/>
        <v>44975</v>
      </c>
      <c r="Q30" s="146">
        <f t="shared" si="4"/>
        <v>22487.5</v>
      </c>
      <c r="R30" s="146">
        <f t="shared" si="5"/>
        <v>764575</v>
      </c>
      <c r="S30" s="147"/>
      <c r="T30" s="147"/>
      <c r="U30" s="147"/>
      <c r="V30" s="147"/>
    </row>
    <row r="31" spans="1:22" s="21" customFormat="1" ht="15">
      <c r="A31" s="144">
        <v>25</v>
      </c>
      <c r="B31" s="165" t="s">
        <v>330</v>
      </c>
      <c r="C31" s="155" t="s">
        <v>332</v>
      </c>
      <c r="D31" s="166">
        <v>54</v>
      </c>
      <c r="E31" s="167"/>
      <c r="F31" s="168" t="s">
        <v>145</v>
      </c>
      <c r="G31" s="166" t="s">
        <v>77</v>
      </c>
      <c r="H31" s="156">
        <v>4497500</v>
      </c>
      <c r="I31" s="145"/>
      <c r="J31" s="146">
        <f t="shared" si="0"/>
        <v>472237.5</v>
      </c>
      <c r="K31" s="146" t="s">
        <v>60</v>
      </c>
      <c r="L31" s="146">
        <f t="shared" si="1"/>
        <v>134925</v>
      </c>
      <c r="M31" s="146" t="s">
        <v>68</v>
      </c>
      <c r="N31" s="146">
        <f t="shared" si="2"/>
        <v>89950</v>
      </c>
      <c r="O31" s="146" t="s">
        <v>70</v>
      </c>
      <c r="P31" s="146">
        <f t="shared" si="3"/>
        <v>44975</v>
      </c>
      <c r="Q31" s="146">
        <f t="shared" si="4"/>
        <v>22487.5</v>
      </c>
      <c r="R31" s="146">
        <f t="shared" si="5"/>
        <v>764575</v>
      </c>
      <c r="S31" s="147"/>
      <c r="T31" s="147"/>
      <c r="U31" s="147"/>
      <c r="V31" s="147"/>
    </row>
    <row r="32" spans="1:22" s="21" customFormat="1" ht="15">
      <c r="A32" s="144">
        <v>26</v>
      </c>
      <c r="B32" s="165" t="s">
        <v>333</v>
      </c>
      <c r="C32" s="155" t="s">
        <v>334</v>
      </c>
      <c r="D32" s="166"/>
      <c r="E32" s="167">
        <v>61</v>
      </c>
      <c r="F32" s="168" t="s">
        <v>133</v>
      </c>
      <c r="G32" s="166" t="s">
        <v>77</v>
      </c>
      <c r="H32" s="156">
        <v>3525500</v>
      </c>
      <c r="I32" s="145"/>
      <c r="J32" s="146">
        <f t="shared" si="0"/>
        <v>370177.5</v>
      </c>
      <c r="K32" s="146" t="s">
        <v>60</v>
      </c>
      <c r="L32" s="146">
        <f t="shared" si="1"/>
        <v>105765</v>
      </c>
      <c r="M32" s="146" t="s">
        <v>63</v>
      </c>
      <c r="N32" s="146">
        <f t="shared" si="2"/>
        <v>70510</v>
      </c>
      <c r="O32" s="146" t="s">
        <v>67</v>
      </c>
      <c r="P32" s="146">
        <f t="shared" si="3"/>
        <v>35255</v>
      </c>
      <c r="Q32" s="146">
        <f t="shared" si="4"/>
        <v>17627.5</v>
      </c>
      <c r="R32" s="146">
        <f t="shared" si="5"/>
        <v>599335</v>
      </c>
      <c r="S32" s="147"/>
      <c r="T32" s="147"/>
      <c r="U32" s="147"/>
      <c r="V32" s="147"/>
    </row>
    <row r="33" spans="1:22" s="21" customFormat="1" ht="15">
      <c r="A33" s="144">
        <v>27</v>
      </c>
      <c r="B33" s="165" t="s">
        <v>333</v>
      </c>
      <c r="C33" s="155" t="s">
        <v>335</v>
      </c>
      <c r="D33" s="166"/>
      <c r="E33" s="167">
        <v>78</v>
      </c>
      <c r="F33" s="168" t="s">
        <v>336</v>
      </c>
      <c r="G33" s="166"/>
      <c r="H33" s="156">
        <v>8993000</v>
      </c>
      <c r="I33" s="145"/>
      <c r="J33" s="146">
        <f t="shared" si="0"/>
        <v>944265</v>
      </c>
      <c r="K33" s="146" t="s">
        <v>57</v>
      </c>
      <c r="L33" s="146">
        <f t="shared" si="1"/>
        <v>269790</v>
      </c>
      <c r="M33" s="146" t="s">
        <v>60</v>
      </c>
      <c r="N33" s="146">
        <f t="shared" si="2"/>
        <v>179860</v>
      </c>
      <c r="O33" s="146" t="s">
        <v>68</v>
      </c>
      <c r="P33" s="146">
        <f t="shared" si="3"/>
        <v>89930</v>
      </c>
      <c r="Q33" s="146">
        <f t="shared" si="4"/>
        <v>44965</v>
      </c>
      <c r="R33" s="146">
        <f t="shared" si="5"/>
        <v>1528810</v>
      </c>
      <c r="S33" s="147"/>
      <c r="T33" s="147"/>
      <c r="U33" s="147"/>
      <c r="V33" s="147"/>
    </row>
    <row r="34" spans="1:22" s="21" customFormat="1" ht="15">
      <c r="A34" s="144">
        <v>28</v>
      </c>
      <c r="B34" s="165" t="s">
        <v>333</v>
      </c>
      <c r="C34" s="155" t="s">
        <v>337</v>
      </c>
      <c r="D34" s="166"/>
      <c r="E34" s="167">
        <v>55</v>
      </c>
      <c r="F34" s="168" t="s">
        <v>145</v>
      </c>
      <c r="G34" s="166" t="s">
        <v>77</v>
      </c>
      <c r="H34" s="156">
        <v>4497500</v>
      </c>
      <c r="I34" s="145"/>
      <c r="J34" s="146">
        <f t="shared" si="0"/>
        <v>472237.5</v>
      </c>
      <c r="K34" s="146" t="s">
        <v>60</v>
      </c>
      <c r="L34" s="146">
        <f t="shared" si="1"/>
        <v>134925</v>
      </c>
      <c r="M34" s="146" t="s">
        <v>68</v>
      </c>
      <c r="N34" s="146">
        <f t="shared" si="2"/>
        <v>89950</v>
      </c>
      <c r="O34" s="146" t="s">
        <v>70</v>
      </c>
      <c r="P34" s="146">
        <f t="shared" si="3"/>
        <v>44975</v>
      </c>
      <c r="Q34" s="146">
        <f t="shared" si="4"/>
        <v>22487.5</v>
      </c>
      <c r="R34" s="146">
        <f t="shared" si="5"/>
        <v>764575</v>
      </c>
      <c r="S34" s="147"/>
      <c r="T34" s="147"/>
      <c r="U34" s="147"/>
      <c r="V34" s="147"/>
    </row>
    <row r="35" spans="1:22" s="21" customFormat="1" ht="15">
      <c r="A35" s="144">
        <v>29</v>
      </c>
      <c r="B35" s="165" t="s">
        <v>333</v>
      </c>
      <c r="C35" s="155" t="s">
        <v>338</v>
      </c>
      <c r="D35" s="166"/>
      <c r="E35" s="167">
        <v>19</v>
      </c>
      <c r="F35" s="168" t="s">
        <v>145</v>
      </c>
      <c r="G35" s="166" t="s">
        <v>77</v>
      </c>
      <c r="H35" s="156">
        <v>4497500</v>
      </c>
      <c r="I35" s="145"/>
      <c r="J35" s="146">
        <f t="shared" si="0"/>
        <v>472237.5</v>
      </c>
      <c r="K35" s="146" t="s">
        <v>36</v>
      </c>
      <c r="L35" s="146">
        <f t="shared" si="1"/>
        <v>134925</v>
      </c>
      <c r="M35" s="146" t="s">
        <v>60</v>
      </c>
      <c r="N35" s="146">
        <f t="shared" si="2"/>
        <v>89950</v>
      </c>
      <c r="O35" s="146" t="s">
        <v>63</v>
      </c>
      <c r="P35" s="146">
        <f t="shared" si="3"/>
        <v>44975</v>
      </c>
      <c r="Q35" s="146">
        <f t="shared" si="4"/>
        <v>22487.5</v>
      </c>
      <c r="R35" s="146">
        <f t="shared" si="5"/>
        <v>764575</v>
      </c>
      <c r="S35" s="147"/>
      <c r="T35" s="147"/>
      <c r="U35" s="147"/>
      <c r="V35" s="147"/>
    </row>
    <row r="36" spans="1:22" s="21" customFormat="1" ht="15">
      <c r="A36" s="144">
        <v>30</v>
      </c>
      <c r="B36" s="165" t="s">
        <v>333</v>
      </c>
      <c r="C36" s="155" t="s">
        <v>339</v>
      </c>
      <c r="D36" s="166">
        <v>24</v>
      </c>
      <c r="E36" s="167"/>
      <c r="F36" s="168" t="s">
        <v>340</v>
      </c>
      <c r="G36" s="166" t="s">
        <v>79</v>
      </c>
      <c r="H36" s="156">
        <v>1300600</v>
      </c>
      <c r="I36" s="145"/>
      <c r="J36" s="146">
        <f t="shared" si="0"/>
        <v>136563.00000000003</v>
      </c>
      <c r="K36" s="146" t="s">
        <v>60</v>
      </c>
      <c r="L36" s="146">
        <f t="shared" si="1"/>
        <v>39018</v>
      </c>
      <c r="M36" s="146" t="s">
        <v>74</v>
      </c>
      <c r="N36" s="146">
        <f t="shared" si="2"/>
        <v>26012</v>
      </c>
      <c r="O36" s="146" t="s">
        <v>66</v>
      </c>
      <c r="P36" s="146">
        <f t="shared" si="3"/>
        <v>13006</v>
      </c>
      <c r="Q36" s="146">
        <f t="shared" si="4"/>
        <v>6503</v>
      </c>
      <c r="R36" s="146">
        <f t="shared" si="5"/>
        <v>221102.00000000003</v>
      </c>
      <c r="S36" s="147"/>
      <c r="T36" s="147"/>
      <c r="U36" s="147"/>
      <c r="V36" s="147"/>
    </row>
    <row r="37" spans="1:22" s="21" customFormat="1" ht="15">
      <c r="A37" s="144">
        <v>31</v>
      </c>
      <c r="B37" s="165" t="s">
        <v>333</v>
      </c>
      <c r="C37" s="155" t="s">
        <v>341</v>
      </c>
      <c r="D37" s="166"/>
      <c r="E37" s="167">
        <v>29</v>
      </c>
      <c r="F37" s="168" t="s">
        <v>137</v>
      </c>
      <c r="G37" s="166"/>
      <c r="H37" s="156">
        <v>5000000</v>
      </c>
      <c r="I37" s="145"/>
      <c r="J37" s="146">
        <f t="shared" si="0"/>
        <v>525000.00000000012</v>
      </c>
      <c r="K37" s="146" t="s">
        <v>36</v>
      </c>
      <c r="L37" s="146">
        <f t="shared" si="1"/>
        <v>150000</v>
      </c>
      <c r="M37" s="146" t="s">
        <v>68</v>
      </c>
      <c r="N37" s="146">
        <f t="shared" si="2"/>
        <v>100000</v>
      </c>
      <c r="O37" s="146" t="s">
        <v>67</v>
      </c>
      <c r="P37" s="146">
        <f t="shared" si="3"/>
        <v>50000</v>
      </c>
      <c r="Q37" s="146">
        <f t="shared" si="4"/>
        <v>25000</v>
      </c>
      <c r="R37" s="146">
        <f t="shared" si="5"/>
        <v>850000.00000000012</v>
      </c>
      <c r="S37" s="147"/>
      <c r="T37" s="147"/>
      <c r="U37" s="147"/>
      <c r="V37" s="147"/>
    </row>
    <row r="38" spans="1:22" s="21" customFormat="1" ht="15">
      <c r="A38" s="144">
        <v>32</v>
      </c>
      <c r="B38" s="165" t="s">
        <v>333</v>
      </c>
      <c r="C38" s="155" t="s">
        <v>342</v>
      </c>
      <c r="D38" s="166"/>
      <c r="E38" s="167">
        <v>73</v>
      </c>
      <c r="F38" s="168" t="s">
        <v>343</v>
      </c>
      <c r="G38" s="166" t="s">
        <v>77</v>
      </c>
      <c r="H38" s="156">
        <v>3279400</v>
      </c>
      <c r="I38" s="145"/>
      <c r="J38" s="146">
        <f t="shared" si="0"/>
        <v>344337</v>
      </c>
      <c r="K38" s="146" t="s">
        <v>36</v>
      </c>
      <c r="L38" s="146">
        <f t="shared" si="1"/>
        <v>98382</v>
      </c>
      <c r="M38" s="146" t="s">
        <v>60</v>
      </c>
      <c r="N38" s="146">
        <f t="shared" si="2"/>
        <v>65588</v>
      </c>
      <c r="O38" s="146" t="s">
        <v>71</v>
      </c>
      <c r="P38" s="146">
        <f t="shared" si="3"/>
        <v>32794</v>
      </c>
      <c r="Q38" s="146">
        <f t="shared" si="4"/>
        <v>16397</v>
      </c>
      <c r="R38" s="146">
        <f t="shared" si="5"/>
        <v>557498</v>
      </c>
      <c r="S38" s="147"/>
      <c r="T38" s="147"/>
      <c r="U38" s="147"/>
      <c r="V38" s="147"/>
    </row>
    <row r="39" spans="1:22" s="21" customFormat="1" ht="15">
      <c r="A39" s="144">
        <v>33</v>
      </c>
      <c r="B39" s="165" t="s">
        <v>333</v>
      </c>
      <c r="C39" s="155" t="s">
        <v>344</v>
      </c>
      <c r="D39" s="166"/>
      <c r="E39" s="167">
        <v>47</v>
      </c>
      <c r="F39" s="168" t="s">
        <v>137</v>
      </c>
      <c r="G39" s="166" t="s">
        <v>78</v>
      </c>
      <c r="H39" s="156">
        <v>2127400</v>
      </c>
      <c r="I39" s="145"/>
      <c r="J39" s="146">
        <f t="shared" ref="J39:J60" si="6">R39-L39-N39-P39-Q39</f>
        <v>223377</v>
      </c>
      <c r="K39" s="146" t="s">
        <v>37</v>
      </c>
      <c r="L39" s="146">
        <f t="shared" ref="L39:L60" si="7">IF(K39="-",0,H39*0.03)</f>
        <v>63822</v>
      </c>
      <c r="M39" s="146" t="s">
        <v>60</v>
      </c>
      <c r="N39" s="146">
        <f t="shared" ref="N39:N60" si="8">IF(M39="-",0,H39*0.02)</f>
        <v>42548</v>
      </c>
      <c r="O39" s="146" t="s">
        <v>71</v>
      </c>
      <c r="P39" s="146">
        <f t="shared" ref="P39:P60" si="9">IF(O39="-",0,H39*0.01)</f>
        <v>21274</v>
      </c>
      <c r="Q39" s="146">
        <f t="shared" ref="Q39:Q60" si="10">H39*0.005</f>
        <v>10637</v>
      </c>
      <c r="R39" s="146">
        <f t="shared" ref="R39:R60" si="11">IF(I39="V.Tân",H39*0.1375,IF(I39="nguyện",H39*0.1375,IF(I39="TOẢN",H39*0.1375,H39*0.17)))</f>
        <v>361658</v>
      </c>
      <c r="S39" s="147"/>
      <c r="T39" s="147"/>
      <c r="U39" s="147"/>
      <c r="V39" s="147"/>
    </row>
    <row r="40" spans="1:22" s="21" customFormat="1" ht="15">
      <c r="A40" s="144">
        <v>34</v>
      </c>
      <c r="B40" s="165" t="s">
        <v>333</v>
      </c>
      <c r="C40" s="155" t="s">
        <v>345</v>
      </c>
      <c r="D40" s="166"/>
      <c r="E40" s="167">
        <v>65</v>
      </c>
      <c r="F40" s="168" t="s">
        <v>346</v>
      </c>
      <c r="G40" s="166" t="s">
        <v>79</v>
      </c>
      <c r="H40" s="156">
        <v>1301200</v>
      </c>
      <c r="I40" s="145"/>
      <c r="J40" s="146">
        <f t="shared" si="6"/>
        <v>136626.00000000003</v>
      </c>
      <c r="K40" s="146" t="s">
        <v>60</v>
      </c>
      <c r="L40" s="146">
        <f t="shared" si="7"/>
        <v>39036</v>
      </c>
      <c r="M40" s="146" t="s">
        <v>41</v>
      </c>
      <c r="N40" s="146">
        <f t="shared" si="8"/>
        <v>26024</v>
      </c>
      <c r="O40" s="146" t="s">
        <v>63</v>
      </c>
      <c r="P40" s="146">
        <f t="shared" si="9"/>
        <v>13012</v>
      </c>
      <c r="Q40" s="146">
        <f t="shared" si="10"/>
        <v>6506</v>
      </c>
      <c r="R40" s="146">
        <f t="shared" si="11"/>
        <v>221204.00000000003</v>
      </c>
      <c r="S40" s="147"/>
      <c r="T40" s="147"/>
      <c r="U40" s="147"/>
      <c r="V40" s="147"/>
    </row>
    <row r="41" spans="1:22" s="21" customFormat="1" ht="15">
      <c r="A41" s="144">
        <v>35</v>
      </c>
      <c r="B41" s="165" t="s">
        <v>333</v>
      </c>
      <c r="C41" s="155" t="s">
        <v>345</v>
      </c>
      <c r="D41" s="166"/>
      <c r="E41" s="167">
        <v>65</v>
      </c>
      <c r="F41" s="168" t="s">
        <v>173</v>
      </c>
      <c r="G41" s="166" t="s">
        <v>79</v>
      </c>
      <c r="H41" s="156">
        <v>0</v>
      </c>
      <c r="I41" s="145"/>
      <c r="J41" s="146">
        <f t="shared" si="6"/>
        <v>0</v>
      </c>
      <c r="K41" s="146" t="s">
        <v>67</v>
      </c>
      <c r="L41" s="146">
        <f t="shared" si="7"/>
        <v>0</v>
      </c>
      <c r="M41" s="146" t="s">
        <v>72</v>
      </c>
      <c r="N41" s="146">
        <f t="shared" si="8"/>
        <v>0</v>
      </c>
      <c r="O41" s="146" t="s">
        <v>64</v>
      </c>
      <c r="P41" s="146">
        <f t="shared" si="9"/>
        <v>0</v>
      </c>
      <c r="Q41" s="146">
        <f t="shared" si="10"/>
        <v>0</v>
      </c>
      <c r="R41" s="146">
        <f t="shared" si="11"/>
        <v>0</v>
      </c>
      <c r="S41" s="147"/>
      <c r="T41" s="147"/>
      <c r="U41" s="147"/>
      <c r="V41" s="147"/>
    </row>
    <row r="42" spans="1:22" s="21" customFormat="1" ht="15">
      <c r="A42" s="144">
        <v>36</v>
      </c>
      <c r="B42" s="165" t="s">
        <v>347</v>
      </c>
      <c r="C42" s="155" t="s">
        <v>348</v>
      </c>
      <c r="D42" s="166">
        <v>57</v>
      </c>
      <c r="E42" s="167"/>
      <c r="F42" s="168" t="s">
        <v>349</v>
      </c>
      <c r="G42" s="166" t="s">
        <v>79</v>
      </c>
      <c r="H42" s="156">
        <v>2301200</v>
      </c>
      <c r="I42" s="145"/>
      <c r="J42" s="146">
        <f t="shared" si="6"/>
        <v>241626</v>
      </c>
      <c r="K42" s="146" t="s">
        <v>35</v>
      </c>
      <c r="L42" s="146">
        <f t="shared" si="7"/>
        <v>69036</v>
      </c>
      <c r="M42" s="146" t="s">
        <v>60</v>
      </c>
      <c r="N42" s="146">
        <f t="shared" si="8"/>
        <v>46024</v>
      </c>
      <c r="O42" s="146" t="s">
        <v>63</v>
      </c>
      <c r="P42" s="146">
        <f t="shared" si="9"/>
        <v>23012</v>
      </c>
      <c r="Q42" s="146">
        <f t="shared" si="10"/>
        <v>11506</v>
      </c>
      <c r="R42" s="146">
        <f t="shared" si="11"/>
        <v>391204</v>
      </c>
      <c r="S42" s="147"/>
      <c r="T42" s="147"/>
      <c r="U42" s="147"/>
      <c r="V42" s="147"/>
    </row>
    <row r="43" spans="1:22" s="21" customFormat="1" ht="15">
      <c r="A43" s="144">
        <v>37</v>
      </c>
      <c r="B43" s="165" t="s">
        <v>347</v>
      </c>
      <c r="C43" s="155" t="s">
        <v>350</v>
      </c>
      <c r="D43" s="166">
        <v>32</v>
      </c>
      <c r="E43" s="167"/>
      <c r="F43" s="168" t="s">
        <v>193</v>
      </c>
      <c r="G43" s="166" t="s">
        <v>78</v>
      </c>
      <c r="H43" s="156">
        <v>859300</v>
      </c>
      <c r="I43" s="145"/>
      <c r="J43" s="146">
        <f t="shared" si="6"/>
        <v>90226.5</v>
      </c>
      <c r="K43" s="146" t="s">
        <v>61</v>
      </c>
      <c r="L43" s="146">
        <f t="shared" si="7"/>
        <v>25779</v>
      </c>
      <c r="M43" s="146" t="s">
        <v>70</v>
      </c>
      <c r="N43" s="146">
        <f t="shared" si="8"/>
        <v>17186</v>
      </c>
      <c r="O43" s="146" t="s">
        <v>65</v>
      </c>
      <c r="P43" s="146">
        <f t="shared" si="9"/>
        <v>8593</v>
      </c>
      <c r="Q43" s="146">
        <f t="shared" si="10"/>
        <v>4296.5</v>
      </c>
      <c r="R43" s="146">
        <f t="shared" si="11"/>
        <v>146081</v>
      </c>
      <c r="S43" s="147"/>
      <c r="T43" s="147"/>
      <c r="U43" s="147"/>
      <c r="V43" s="147"/>
    </row>
    <row r="44" spans="1:22" s="21" customFormat="1" ht="15">
      <c r="A44" s="144">
        <v>38</v>
      </c>
      <c r="B44" s="165" t="s">
        <v>347</v>
      </c>
      <c r="C44" s="155" t="s">
        <v>351</v>
      </c>
      <c r="D44" s="166">
        <v>49</v>
      </c>
      <c r="E44" s="167"/>
      <c r="F44" s="168" t="s">
        <v>137</v>
      </c>
      <c r="G44" s="166" t="s">
        <v>78</v>
      </c>
      <c r="H44" s="156">
        <v>2128200</v>
      </c>
      <c r="I44" s="145"/>
      <c r="J44" s="146">
        <f t="shared" si="6"/>
        <v>223461</v>
      </c>
      <c r="K44" s="146" t="s">
        <v>60</v>
      </c>
      <c r="L44" s="146">
        <f t="shared" si="7"/>
        <v>63846</v>
      </c>
      <c r="M44" s="146" t="s">
        <v>71</v>
      </c>
      <c r="N44" s="146">
        <f t="shared" si="8"/>
        <v>42564</v>
      </c>
      <c r="O44" s="146" t="s">
        <v>73</v>
      </c>
      <c r="P44" s="146">
        <f t="shared" si="9"/>
        <v>21282</v>
      </c>
      <c r="Q44" s="146">
        <f t="shared" si="10"/>
        <v>10641</v>
      </c>
      <c r="R44" s="146">
        <f t="shared" si="11"/>
        <v>361794</v>
      </c>
      <c r="S44" s="147"/>
      <c r="T44" s="147"/>
      <c r="U44" s="147"/>
      <c r="V44" s="147"/>
    </row>
    <row r="45" spans="1:22" s="21" customFormat="1" ht="15">
      <c r="A45" s="144">
        <v>39</v>
      </c>
      <c r="B45" s="165" t="s">
        <v>347</v>
      </c>
      <c r="C45" s="155" t="s">
        <v>352</v>
      </c>
      <c r="D45" s="166"/>
      <c r="E45" s="167">
        <v>48</v>
      </c>
      <c r="F45" s="168" t="s">
        <v>162</v>
      </c>
      <c r="G45" s="166" t="s">
        <v>78</v>
      </c>
      <c r="H45" s="156">
        <v>1233000</v>
      </c>
      <c r="I45" s="145"/>
      <c r="J45" s="146">
        <f t="shared" si="6"/>
        <v>129465.00000000003</v>
      </c>
      <c r="K45" s="146" t="s">
        <v>72</v>
      </c>
      <c r="L45" s="146">
        <f t="shared" si="7"/>
        <v>36990</v>
      </c>
      <c r="M45" s="146" t="s">
        <v>67</v>
      </c>
      <c r="N45" s="146">
        <f t="shared" si="8"/>
        <v>24660</v>
      </c>
      <c r="O45" s="146" t="s">
        <v>65</v>
      </c>
      <c r="P45" s="146">
        <f t="shared" si="9"/>
        <v>12330</v>
      </c>
      <c r="Q45" s="146">
        <f t="shared" si="10"/>
        <v>6165</v>
      </c>
      <c r="R45" s="146">
        <f t="shared" si="11"/>
        <v>209610.00000000003</v>
      </c>
      <c r="S45" s="147"/>
      <c r="T45" s="147"/>
      <c r="U45" s="147"/>
      <c r="V45" s="147"/>
    </row>
    <row r="46" spans="1:22" s="21" customFormat="1" ht="15">
      <c r="A46" s="144">
        <v>40</v>
      </c>
      <c r="B46" s="165" t="s">
        <v>347</v>
      </c>
      <c r="C46" s="155" t="s">
        <v>302</v>
      </c>
      <c r="D46" s="166"/>
      <c r="E46" s="167">
        <v>71</v>
      </c>
      <c r="F46" s="168" t="s">
        <v>145</v>
      </c>
      <c r="G46" s="166" t="s">
        <v>77</v>
      </c>
      <c r="H46" s="156">
        <v>0</v>
      </c>
      <c r="I46" s="145"/>
      <c r="J46" s="146">
        <f t="shared" si="6"/>
        <v>0</v>
      </c>
      <c r="K46" s="146" t="s">
        <v>60</v>
      </c>
      <c r="L46" s="146">
        <f t="shared" si="7"/>
        <v>0</v>
      </c>
      <c r="M46" s="146" t="s">
        <v>68</v>
      </c>
      <c r="N46" s="146">
        <f t="shared" si="8"/>
        <v>0</v>
      </c>
      <c r="O46" s="146" t="s">
        <v>67</v>
      </c>
      <c r="P46" s="146">
        <f t="shared" si="9"/>
        <v>0</v>
      </c>
      <c r="Q46" s="146">
        <f t="shared" si="10"/>
        <v>0</v>
      </c>
      <c r="R46" s="146">
        <f t="shared" si="11"/>
        <v>0</v>
      </c>
      <c r="S46" s="147"/>
      <c r="T46" s="147"/>
      <c r="U46" s="147"/>
      <c r="V46" s="147"/>
    </row>
    <row r="47" spans="1:22" s="21" customFormat="1" ht="15">
      <c r="A47" s="144">
        <v>41</v>
      </c>
      <c r="B47" s="165" t="s">
        <v>347</v>
      </c>
      <c r="C47" s="155" t="s">
        <v>353</v>
      </c>
      <c r="D47" s="166"/>
      <c r="E47" s="167">
        <v>32</v>
      </c>
      <c r="F47" s="168" t="s">
        <v>93</v>
      </c>
      <c r="G47" s="166" t="s">
        <v>77</v>
      </c>
      <c r="H47" s="156">
        <v>3525500</v>
      </c>
      <c r="I47" s="145"/>
      <c r="J47" s="146">
        <f t="shared" si="6"/>
        <v>370177.5</v>
      </c>
      <c r="K47" s="146" t="s">
        <v>60</v>
      </c>
      <c r="L47" s="146">
        <f t="shared" si="7"/>
        <v>105765</v>
      </c>
      <c r="M47" s="146" t="s">
        <v>63</v>
      </c>
      <c r="N47" s="146">
        <f t="shared" si="8"/>
        <v>70510</v>
      </c>
      <c r="O47" s="146" t="s">
        <v>65</v>
      </c>
      <c r="P47" s="146">
        <f t="shared" si="9"/>
        <v>35255</v>
      </c>
      <c r="Q47" s="146">
        <f t="shared" si="10"/>
        <v>17627.5</v>
      </c>
      <c r="R47" s="146">
        <f t="shared" si="11"/>
        <v>599335</v>
      </c>
      <c r="S47" s="147"/>
      <c r="T47" s="147"/>
      <c r="U47" s="147"/>
      <c r="V47" s="147"/>
    </row>
    <row r="48" spans="1:22" s="21" customFormat="1" ht="15">
      <c r="A48" s="144">
        <v>42</v>
      </c>
      <c r="B48" s="165" t="s">
        <v>347</v>
      </c>
      <c r="C48" s="155" t="s">
        <v>354</v>
      </c>
      <c r="D48" s="166"/>
      <c r="E48" s="167">
        <v>77</v>
      </c>
      <c r="F48" s="168" t="s">
        <v>133</v>
      </c>
      <c r="G48" s="166" t="s">
        <v>77</v>
      </c>
      <c r="H48" s="156">
        <v>3525500</v>
      </c>
      <c r="I48" s="145"/>
      <c r="J48" s="146">
        <f t="shared" si="6"/>
        <v>370177.5</v>
      </c>
      <c r="K48" s="146" t="s">
        <v>71</v>
      </c>
      <c r="L48" s="146">
        <f t="shared" si="7"/>
        <v>105765</v>
      </c>
      <c r="M48" s="146" t="s">
        <v>63</v>
      </c>
      <c r="N48" s="146">
        <f t="shared" si="8"/>
        <v>70510</v>
      </c>
      <c r="O48" s="146" t="s">
        <v>65</v>
      </c>
      <c r="P48" s="146">
        <f t="shared" si="9"/>
        <v>35255</v>
      </c>
      <c r="Q48" s="146">
        <f t="shared" si="10"/>
        <v>17627.5</v>
      </c>
      <c r="R48" s="146">
        <f t="shared" si="11"/>
        <v>599335</v>
      </c>
      <c r="S48" s="147"/>
      <c r="T48" s="147"/>
      <c r="U48" s="147"/>
      <c r="V48" s="147"/>
    </row>
    <row r="49" spans="1:22" s="21" customFormat="1" ht="15">
      <c r="A49" s="144">
        <v>43</v>
      </c>
      <c r="B49" s="165" t="s">
        <v>347</v>
      </c>
      <c r="C49" s="155" t="s">
        <v>305</v>
      </c>
      <c r="D49" s="166"/>
      <c r="E49" s="167">
        <v>69</v>
      </c>
      <c r="F49" s="168" t="s">
        <v>181</v>
      </c>
      <c r="G49" s="166" t="s">
        <v>79</v>
      </c>
      <c r="H49" s="156">
        <v>0</v>
      </c>
      <c r="I49" s="145"/>
      <c r="J49" s="146">
        <f t="shared" si="6"/>
        <v>0</v>
      </c>
      <c r="K49" s="146" t="s">
        <v>70</v>
      </c>
      <c r="L49" s="146">
        <f t="shared" si="7"/>
        <v>0</v>
      </c>
      <c r="M49" s="146" t="s">
        <v>71</v>
      </c>
      <c r="N49" s="146">
        <f t="shared" si="8"/>
        <v>0</v>
      </c>
      <c r="O49" s="146" t="s">
        <v>69</v>
      </c>
      <c r="P49" s="146">
        <f t="shared" si="9"/>
        <v>0</v>
      </c>
      <c r="Q49" s="146">
        <f t="shared" si="10"/>
        <v>0</v>
      </c>
      <c r="R49" s="146">
        <f t="shared" si="11"/>
        <v>0</v>
      </c>
      <c r="S49" s="147"/>
      <c r="T49" s="147"/>
      <c r="U49" s="147"/>
      <c r="V49" s="147"/>
    </row>
    <row r="50" spans="1:22" s="21" customFormat="1" ht="15">
      <c r="A50" s="144">
        <v>44</v>
      </c>
      <c r="B50" s="165" t="s">
        <v>347</v>
      </c>
      <c r="C50" s="155" t="s">
        <v>355</v>
      </c>
      <c r="D50" s="166"/>
      <c r="E50" s="167">
        <v>59</v>
      </c>
      <c r="F50" s="168" t="s">
        <v>145</v>
      </c>
      <c r="G50" s="166"/>
      <c r="H50" s="156">
        <v>9972000</v>
      </c>
      <c r="I50" s="145"/>
      <c r="J50" s="146">
        <f t="shared" si="6"/>
        <v>1047060.0000000002</v>
      </c>
      <c r="K50" s="146" t="s">
        <v>35</v>
      </c>
      <c r="L50" s="146">
        <f t="shared" si="7"/>
        <v>299160</v>
      </c>
      <c r="M50" s="146" t="s">
        <v>60</v>
      </c>
      <c r="N50" s="146">
        <f t="shared" si="8"/>
        <v>199440</v>
      </c>
      <c r="O50" s="146" t="s">
        <v>71</v>
      </c>
      <c r="P50" s="146">
        <f t="shared" si="9"/>
        <v>99720</v>
      </c>
      <c r="Q50" s="146">
        <f t="shared" si="10"/>
        <v>49860</v>
      </c>
      <c r="R50" s="146">
        <f t="shared" si="11"/>
        <v>1695240.0000000002</v>
      </c>
      <c r="S50" s="147"/>
      <c r="T50" s="147"/>
      <c r="U50" s="147"/>
      <c r="V50" s="147"/>
    </row>
    <row r="51" spans="1:22" s="21" customFormat="1" ht="15">
      <c r="A51" s="144">
        <v>45</v>
      </c>
      <c r="B51" s="165" t="s">
        <v>356</v>
      </c>
      <c r="C51" s="155" t="s">
        <v>357</v>
      </c>
      <c r="D51" s="166">
        <v>18</v>
      </c>
      <c r="E51" s="167"/>
      <c r="F51" s="168" t="s">
        <v>326</v>
      </c>
      <c r="G51" s="166" t="s">
        <v>78</v>
      </c>
      <c r="H51" s="156">
        <v>2559100</v>
      </c>
      <c r="I51" s="145"/>
      <c r="J51" s="146">
        <f t="shared" si="6"/>
        <v>268705.50000000006</v>
      </c>
      <c r="K51" s="146" t="s">
        <v>36</v>
      </c>
      <c r="L51" s="146">
        <f t="shared" si="7"/>
        <v>76773</v>
      </c>
      <c r="M51" s="146" t="s">
        <v>63</v>
      </c>
      <c r="N51" s="146">
        <f t="shared" si="8"/>
        <v>51182</v>
      </c>
      <c r="O51" s="146" t="s">
        <v>67</v>
      </c>
      <c r="P51" s="146">
        <f t="shared" si="9"/>
        <v>25591</v>
      </c>
      <c r="Q51" s="146">
        <f t="shared" si="10"/>
        <v>12795.5</v>
      </c>
      <c r="R51" s="146">
        <f t="shared" si="11"/>
        <v>435047.00000000006</v>
      </c>
      <c r="S51" s="147"/>
      <c r="T51" s="147"/>
      <c r="U51" s="147"/>
      <c r="V51" s="147"/>
    </row>
    <row r="52" spans="1:22" s="21" customFormat="1" ht="15">
      <c r="A52" s="144">
        <v>46</v>
      </c>
      <c r="B52" s="165" t="s">
        <v>356</v>
      </c>
      <c r="C52" s="155" t="s">
        <v>358</v>
      </c>
      <c r="D52" s="166">
        <v>32</v>
      </c>
      <c r="E52" s="167"/>
      <c r="F52" s="168" t="s">
        <v>326</v>
      </c>
      <c r="G52" s="166" t="s">
        <v>78</v>
      </c>
      <c r="H52" s="156">
        <v>2559100</v>
      </c>
      <c r="I52" s="145"/>
      <c r="J52" s="146">
        <f t="shared" si="6"/>
        <v>268705.50000000006</v>
      </c>
      <c r="K52" s="146" t="s">
        <v>75</v>
      </c>
      <c r="L52" s="146">
        <f t="shared" si="7"/>
        <v>76773</v>
      </c>
      <c r="M52" s="146" t="s">
        <v>60</v>
      </c>
      <c r="N52" s="146">
        <f t="shared" si="8"/>
        <v>51182</v>
      </c>
      <c r="O52" s="146" t="s">
        <v>67</v>
      </c>
      <c r="P52" s="146">
        <f t="shared" si="9"/>
        <v>25591</v>
      </c>
      <c r="Q52" s="146">
        <f t="shared" si="10"/>
        <v>12795.5</v>
      </c>
      <c r="R52" s="146">
        <f t="shared" si="11"/>
        <v>435047.00000000006</v>
      </c>
      <c r="S52" s="147"/>
      <c r="T52" s="147"/>
      <c r="U52" s="147"/>
      <c r="V52" s="147"/>
    </row>
    <row r="53" spans="1:22" s="21" customFormat="1" ht="15">
      <c r="A53" s="144">
        <v>47</v>
      </c>
      <c r="B53" s="165" t="s">
        <v>356</v>
      </c>
      <c r="C53" s="155" t="s">
        <v>359</v>
      </c>
      <c r="D53" s="166">
        <v>34</v>
      </c>
      <c r="E53" s="167"/>
      <c r="F53" s="168" t="s">
        <v>360</v>
      </c>
      <c r="G53" s="166" t="s">
        <v>79</v>
      </c>
      <c r="H53" s="156">
        <v>3679400</v>
      </c>
      <c r="I53" s="145"/>
      <c r="J53" s="146">
        <f t="shared" si="6"/>
        <v>386337</v>
      </c>
      <c r="K53" s="146" t="s">
        <v>60</v>
      </c>
      <c r="L53" s="146">
        <f t="shared" si="7"/>
        <v>110382</v>
      </c>
      <c r="M53" s="146" t="s">
        <v>68</v>
      </c>
      <c r="N53" s="146">
        <f t="shared" si="8"/>
        <v>73588</v>
      </c>
      <c r="O53" s="146" t="s">
        <v>71</v>
      </c>
      <c r="P53" s="146">
        <f t="shared" si="9"/>
        <v>36794</v>
      </c>
      <c r="Q53" s="146">
        <f t="shared" si="10"/>
        <v>18397</v>
      </c>
      <c r="R53" s="146">
        <f t="shared" si="11"/>
        <v>625498</v>
      </c>
      <c r="S53" s="147"/>
      <c r="T53" s="147"/>
      <c r="U53" s="147"/>
      <c r="V53" s="147"/>
    </row>
    <row r="54" spans="1:22" s="21" customFormat="1" ht="15">
      <c r="A54" s="144">
        <v>48</v>
      </c>
      <c r="B54" s="165" t="s">
        <v>356</v>
      </c>
      <c r="C54" s="155" t="s">
        <v>303</v>
      </c>
      <c r="D54" s="166"/>
      <c r="E54" s="167"/>
      <c r="F54" s="168" t="s">
        <v>336</v>
      </c>
      <c r="G54" s="166"/>
      <c r="H54" s="156">
        <v>8993000</v>
      </c>
      <c r="I54" s="145"/>
      <c r="J54" s="146">
        <f t="shared" si="6"/>
        <v>944265</v>
      </c>
      <c r="K54" s="146" t="s">
        <v>71</v>
      </c>
      <c r="L54" s="146">
        <f t="shared" si="7"/>
        <v>269790</v>
      </c>
      <c r="M54" s="146" t="s">
        <v>67</v>
      </c>
      <c r="N54" s="146">
        <f t="shared" si="8"/>
        <v>179860</v>
      </c>
      <c r="O54" s="146" t="s">
        <v>72</v>
      </c>
      <c r="P54" s="146">
        <f t="shared" si="9"/>
        <v>89930</v>
      </c>
      <c r="Q54" s="146">
        <f t="shared" si="10"/>
        <v>44965</v>
      </c>
      <c r="R54" s="146">
        <f t="shared" si="11"/>
        <v>1528810</v>
      </c>
      <c r="S54" s="147"/>
      <c r="T54" s="147"/>
      <c r="U54" s="147"/>
      <c r="V54" s="147"/>
    </row>
    <row r="55" spans="1:22" s="21" customFormat="1" ht="15">
      <c r="A55" s="144">
        <v>49</v>
      </c>
      <c r="B55" s="165" t="s">
        <v>361</v>
      </c>
      <c r="C55" s="155" t="s">
        <v>362</v>
      </c>
      <c r="D55" s="166">
        <v>50</v>
      </c>
      <c r="E55" s="167"/>
      <c r="F55" s="168" t="s">
        <v>363</v>
      </c>
      <c r="G55" s="166" t="s">
        <v>77</v>
      </c>
      <c r="H55" s="156">
        <v>3405500</v>
      </c>
      <c r="I55" s="145"/>
      <c r="J55" s="146">
        <f t="shared" si="6"/>
        <v>357577.5</v>
      </c>
      <c r="K55" s="146" t="s">
        <v>60</v>
      </c>
      <c r="L55" s="146">
        <f t="shared" si="7"/>
        <v>102165</v>
      </c>
      <c r="M55" s="146" t="s">
        <v>71</v>
      </c>
      <c r="N55" s="146">
        <f t="shared" si="8"/>
        <v>68110</v>
      </c>
      <c r="O55" s="146" t="s">
        <v>62</v>
      </c>
      <c r="P55" s="146">
        <f t="shared" si="9"/>
        <v>34055</v>
      </c>
      <c r="Q55" s="146">
        <f t="shared" si="10"/>
        <v>17027.5</v>
      </c>
      <c r="R55" s="146">
        <f t="shared" si="11"/>
        <v>578935</v>
      </c>
      <c r="S55" s="147"/>
      <c r="T55" s="147"/>
      <c r="U55" s="147"/>
      <c r="V55" s="147"/>
    </row>
    <row r="56" spans="1:22" s="21" customFormat="1" ht="15">
      <c r="A56" s="144">
        <v>50</v>
      </c>
      <c r="B56" s="165" t="s">
        <v>361</v>
      </c>
      <c r="C56" s="155" t="s">
        <v>364</v>
      </c>
      <c r="D56" s="166">
        <v>54</v>
      </c>
      <c r="E56" s="167"/>
      <c r="F56" s="168" t="s">
        <v>93</v>
      </c>
      <c r="G56" s="166" t="s">
        <v>77</v>
      </c>
      <c r="H56" s="156">
        <v>3525500</v>
      </c>
      <c r="I56" s="145"/>
      <c r="J56" s="146">
        <f t="shared" si="6"/>
        <v>370177.5</v>
      </c>
      <c r="K56" s="146" t="s">
        <v>71</v>
      </c>
      <c r="L56" s="146">
        <f t="shared" si="7"/>
        <v>105765</v>
      </c>
      <c r="M56" s="146" t="s">
        <v>73</v>
      </c>
      <c r="N56" s="146">
        <f t="shared" si="8"/>
        <v>70510</v>
      </c>
      <c r="O56" s="146" t="s">
        <v>62</v>
      </c>
      <c r="P56" s="146">
        <f t="shared" si="9"/>
        <v>35255</v>
      </c>
      <c r="Q56" s="146">
        <f t="shared" si="10"/>
        <v>17627.5</v>
      </c>
      <c r="R56" s="146">
        <f t="shared" si="11"/>
        <v>599335</v>
      </c>
      <c r="S56" s="147"/>
      <c r="T56" s="147"/>
      <c r="U56" s="147"/>
      <c r="V56" s="147"/>
    </row>
    <row r="57" spans="1:22" s="21" customFormat="1" ht="15">
      <c r="A57" s="144">
        <v>51</v>
      </c>
      <c r="B57" s="165" t="s">
        <v>361</v>
      </c>
      <c r="C57" s="155" t="s">
        <v>365</v>
      </c>
      <c r="D57" s="166">
        <v>75</v>
      </c>
      <c r="E57" s="167"/>
      <c r="F57" s="168" t="s">
        <v>366</v>
      </c>
      <c r="G57" s="166" t="s">
        <v>77</v>
      </c>
      <c r="H57" s="156">
        <v>4497500</v>
      </c>
      <c r="I57" s="145"/>
      <c r="J57" s="146">
        <f t="shared" si="6"/>
        <v>472237.5</v>
      </c>
      <c r="K57" s="146" t="s">
        <v>36</v>
      </c>
      <c r="L57" s="146">
        <f t="shared" si="7"/>
        <v>134925</v>
      </c>
      <c r="M57" s="146" t="s">
        <v>75</v>
      </c>
      <c r="N57" s="146">
        <f t="shared" si="8"/>
        <v>89950</v>
      </c>
      <c r="O57" s="146" t="s">
        <v>68</v>
      </c>
      <c r="P57" s="146">
        <f t="shared" si="9"/>
        <v>44975</v>
      </c>
      <c r="Q57" s="146">
        <f t="shared" si="10"/>
        <v>22487.5</v>
      </c>
      <c r="R57" s="146">
        <f t="shared" si="11"/>
        <v>764575</v>
      </c>
      <c r="S57" s="147"/>
      <c r="T57" s="147"/>
      <c r="U57" s="147"/>
      <c r="V57" s="147"/>
    </row>
    <row r="58" spans="1:22" s="21" customFormat="1" ht="15">
      <c r="A58" s="144">
        <v>52</v>
      </c>
      <c r="B58" s="165" t="s">
        <v>367</v>
      </c>
      <c r="C58" s="155" t="s">
        <v>368</v>
      </c>
      <c r="D58" s="166"/>
      <c r="E58" s="167">
        <v>51</v>
      </c>
      <c r="F58" s="168" t="s">
        <v>346</v>
      </c>
      <c r="G58" s="166" t="s">
        <v>79</v>
      </c>
      <c r="H58" s="156">
        <v>1301200</v>
      </c>
      <c r="I58" s="145"/>
      <c r="J58" s="146">
        <f t="shared" si="6"/>
        <v>136626.00000000003</v>
      </c>
      <c r="K58" s="146" t="s">
        <v>35</v>
      </c>
      <c r="L58" s="146">
        <f t="shared" si="7"/>
        <v>39036</v>
      </c>
      <c r="M58" s="146" t="s">
        <v>60</v>
      </c>
      <c r="N58" s="146">
        <f t="shared" si="8"/>
        <v>26024</v>
      </c>
      <c r="O58" s="146" t="s">
        <v>72</v>
      </c>
      <c r="P58" s="146">
        <f t="shared" si="9"/>
        <v>13012</v>
      </c>
      <c r="Q58" s="146">
        <f t="shared" si="10"/>
        <v>6506</v>
      </c>
      <c r="R58" s="146">
        <f t="shared" si="11"/>
        <v>221204.00000000003</v>
      </c>
      <c r="S58" s="147"/>
      <c r="T58" s="147"/>
      <c r="U58" s="147"/>
      <c r="V58" s="147"/>
    </row>
    <row r="59" spans="1:22" s="21" customFormat="1" ht="15">
      <c r="A59" s="144">
        <v>53</v>
      </c>
      <c r="B59" s="165" t="s">
        <v>367</v>
      </c>
      <c r="C59" s="155" t="s">
        <v>368</v>
      </c>
      <c r="D59" s="166"/>
      <c r="E59" s="167">
        <v>51</v>
      </c>
      <c r="F59" s="168" t="s">
        <v>173</v>
      </c>
      <c r="G59" s="166" t="s">
        <v>79</v>
      </c>
      <c r="H59" s="156">
        <v>0</v>
      </c>
      <c r="I59" s="145"/>
      <c r="J59" s="146">
        <f t="shared" si="6"/>
        <v>0</v>
      </c>
      <c r="K59" s="146" t="s">
        <v>71</v>
      </c>
      <c r="L59" s="146">
        <f t="shared" si="7"/>
        <v>0</v>
      </c>
      <c r="M59" s="146" t="s">
        <v>73</v>
      </c>
      <c r="N59" s="146">
        <f t="shared" si="8"/>
        <v>0</v>
      </c>
      <c r="O59" s="146" t="s">
        <v>65</v>
      </c>
      <c r="P59" s="146">
        <f t="shared" si="9"/>
        <v>0</v>
      </c>
      <c r="Q59" s="146">
        <f t="shared" si="10"/>
        <v>0</v>
      </c>
      <c r="R59" s="146">
        <f t="shared" si="11"/>
        <v>0</v>
      </c>
      <c r="S59" s="147"/>
      <c r="T59" s="147"/>
      <c r="U59" s="147"/>
      <c r="V59" s="147"/>
    </row>
    <row r="60" spans="1:22" s="21" customFormat="1" ht="15">
      <c r="A60" s="144">
        <v>54</v>
      </c>
      <c r="B60" s="165" t="s">
        <v>367</v>
      </c>
      <c r="C60" s="155" t="s">
        <v>178</v>
      </c>
      <c r="D60" s="166"/>
      <c r="E60" s="167">
        <v>75</v>
      </c>
      <c r="F60" s="168" t="s">
        <v>137</v>
      </c>
      <c r="G60" s="166" t="s">
        <v>78</v>
      </c>
      <c r="H60" s="156">
        <v>2127400</v>
      </c>
      <c r="I60" s="145"/>
      <c r="J60" s="146">
        <f t="shared" si="6"/>
        <v>223377</v>
      </c>
      <c r="K60" s="146" t="s">
        <v>69</v>
      </c>
      <c r="L60" s="146">
        <f t="shared" si="7"/>
        <v>63822</v>
      </c>
      <c r="M60" s="146" t="s">
        <v>65</v>
      </c>
      <c r="N60" s="146">
        <f t="shared" si="8"/>
        <v>42548</v>
      </c>
      <c r="O60" s="146" t="s">
        <v>76</v>
      </c>
      <c r="P60" s="146">
        <f t="shared" si="9"/>
        <v>21274</v>
      </c>
      <c r="Q60" s="146">
        <f t="shared" si="10"/>
        <v>10637</v>
      </c>
      <c r="R60" s="146">
        <f t="shared" si="11"/>
        <v>361658</v>
      </c>
      <c r="S60" s="147"/>
      <c r="T60" s="147"/>
      <c r="U60" s="147"/>
      <c r="V60" s="147"/>
    </row>
    <row r="61" spans="1:22" s="21" customFormat="1" ht="15">
      <c r="A61" s="144">
        <v>55</v>
      </c>
      <c r="B61" s="165" t="s">
        <v>367</v>
      </c>
      <c r="C61" s="155" t="s">
        <v>186</v>
      </c>
      <c r="D61" s="166">
        <v>53</v>
      </c>
      <c r="E61" s="167"/>
      <c r="F61" s="168" t="s">
        <v>336</v>
      </c>
      <c r="G61" s="166"/>
      <c r="H61" s="156">
        <v>8993000</v>
      </c>
      <c r="I61" s="145"/>
      <c r="J61" s="146"/>
      <c r="K61" s="146"/>
      <c r="L61" s="146"/>
      <c r="M61" s="146"/>
      <c r="N61" s="146"/>
      <c r="O61" s="146"/>
      <c r="P61" s="146"/>
      <c r="Q61" s="146"/>
      <c r="R61" s="146"/>
      <c r="S61" s="147"/>
      <c r="T61" s="147"/>
      <c r="U61" s="147"/>
      <c r="V61" s="147"/>
    </row>
    <row r="62" spans="1:22" s="21" customFormat="1" ht="15">
      <c r="A62" s="144">
        <v>56</v>
      </c>
      <c r="B62" s="165" t="s">
        <v>367</v>
      </c>
      <c r="C62" s="155" t="s">
        <v>369</v>
      </c>
      <c r="D62" s="166"/>
      <c r="E62" s="167">
        <v>61</v>
      </c>
      <c r="F62" s="168" t="s">
        <v>346</v>
      </c>
      <c r="G62" s="166" t="s">
        <v>79</v>
      </c>
      <c r="H62" s="156">
        <v>1301200</v>
      </c>
      <c r="I62" s="145"/>
      <c r="J62" s="146"/>
      <c r="K62" s="146"/>
      <c r="L62" s="146"/>
      <c r="M62" s="146"/>
      <c r="N62" s="146"/>
      <c r="O62" s="146"/>
      <c r="P62" s="146"/>
      <c r="Q62" s="146"/>
      <c r="R62" s="146"/>
      <c r="S62" s="147"/>
      <c r="T62" s="147"/>
      <c r="U62" s="147"/>
      <c r="V62" s="147"/>
    </row>
    <row r="63" spans="1:22" s="21" customFormat="1" ht="15">
      <c r="A63" s="144">
        <v>57</v>
      </c>
      <c r="B63" s="165" t="s">
        <v>367</v>
      </c>
      <c r="C63" s="155" t="s">
        <v>369</v>
      </c>
      <c r="D63" s="166"/>
      <c r="E63" s="167">
        <v>61</v>
      </c>
      <c r="F63" s="168" t="s">
        <v>370</v>
      </c>
      <c r="G63" s="166" t="s">
        <v>79</v>
      </c>
      <c r="H63" s="156">
        <v>0</v>
      </c>
      <c r="I63" s="145"/>
      <c r="J63" s="146"/>
      <c r="K63" s="146"/>
      <c r="L63" s="146"/>
      <c r="M63" s="146"/>
      <c r="N63" s="146"/>
      <c r="O63" s="146"/>
      <c r="P63" s="146"/>
      <c r="Q63" s="146"/>
      <c r="R63" s="146"/>
      <c r="S63" s="147"/>
      <c r="T63" s="147"/>
      <c r="U63" s="147"/>
      <c r="V63" s="147"/>
    </row>
    <row r="64" spans="1:22" s="21" customFormat="1" ht="15">
      <c r="A64" s="144">
        <v>59</v>
      </c>
      <c r="B64" s="165" t="s">
        <v>367</v>
      </c>
      <c r="C64" s="155" t="s">
        <v>371</v>
      </c>
      <c r="D64" s="166"/>
      <c r="E64" s="167">
        <v>75</v>
      </c>
      <c r="F64" s="168" t="s">
        <v>137</v>
      </c>
      <c r="G64" s="166" t="s">
        <v>78</v>
      </c>
      <c r="H64" s="156">
        <v>2128200</v>
      </c>
      <c r="I64" s="145"/>
      <c r="J64" s="146"/>
      <c r="K64" s="146"/>
      <c r="L64" s="146"/>
      <c r="M64" s="146"/>
      <c r="N64" s="146"/>
      <c r="O64" s="146"/>
      <c r="P64" s="146"/>
      <c r="Q64" s="146"/>
      <c r="R64" s="146"/>
      <c r="S64" s="147"/>
      <c r="T64" s="147"/>
      <c r="U64" s="147"/>
      <c r="V64" s="147"/>
    </row>
    <row r="65" spans="1:22" s="21" customFormat="1" ht="15">
      <c r="A65" s="144">
        <v>60</v>
      </c>
      <c r="B65" s="165" t="s">
        <v>372</v>
      </c>
      <c r="C65" s="155" t="s">
        <v>373</v>
      </c>
      <c r="D65" s="166">
        <v>27</v>
      </c>
      <c r="E65" s="167"/>
      <c r="F65" s="168" t="s">
        <v>374</v>
      </c>
      <c r="G65" s="166" t="s">
        <v>78</v>
      </c>
      <c r="H65" s="156">
        <v>1233000</v>
      </c>
      <c r="I65" s="145"/>
      <c r="J65" s="146"/>
      <c r="K65" s="146"/>
      <c r="L65" s="146"/>
      <c r="M65" s="146"/>
      <c r="N65" s="146"/>
      <c r="O65" s="146"/>
      <c r="P65" s="146"/>
      <c r="Q65" s="146"/>
      <c r="R65" s="146"/>
      <c r="S65" s="147"/>
      <c r="T65" s="147"/>
      <c r="U65" s="147"/>
      <c r="V65" s="147"/>
    </row>
    <row r="66" spans="1:22" s="21" customFormat="1" ht="15">
      <c r="A66" s="144">
        <v>61</v>
      </c>
      <c r="B66" s="165" t="s">
        <v>375</v>
      </c>
      <c r="C66" s="155" t="s">
        <v>376</v>
      </c>
      <c r="D66" s="166">
        <v>78</v>
      </c>
      <c r="E66" s="167"/>
      <c r="F66" s="168" t="s">
        <v>137</v>
      </c>
      <c r="G66" s="166" t="s">
        <v>78</v>
      </c>
      <c r="H66" s="156">
        <v>0</v>
      </c>
      <c r="I66" s="145"/>
      <c r="J66" s="146"/>
      <c r="K66" s="146"/>
      <c r="L66" s="146"/>
      <c r="M66" s="146"/>
      <c r="N66" s="146"/>
      <c r="O66" s="146"/>
      <c r="P66" s="146"/>
      <c r="Q66" s="146"/>
      <c r="R66" s="146"/>
      <c r="S66" s="147"/>
      <c r="T66" s="147"/>
      <c r="U66" s="147"/>
      <c r="V66" s="147"/>
    </row>
    <row r="67" spans="1:22" s="21" customFormat="1" ht="15">
      <c r="A67" s="144">
        <v>62</v>
      </c>
      <c r="B67" s="165" t="s">
        <v>375</v>
      </c>
      <c r="C67" s="155" t="s">
        <v>377</v>
      </c>
      <c r="D67" s="166"/>
      <c r="E67" s="167">
        <v>69</v>
      </c>
      <c r="F67" s="168" t="s">
        <v>366</v>
      </c>
      <c r="G67" s="166" t="s">
        <v>77</v>
      </c>
      <c r="H67" s="156">
        <v>4497500</v>
      </c>
      <c r="I67" s="145"/>
      <c r="J67" s="146"/>
      <c r="K67" s="146"/>
      <c r="L67" s="146"/>
      <c r="M67" s="146"/>
      <c r="N67" s="146"/>
      <c r="O67" s="146"/>
      <c r="P67" s="146"/>
      <c r="Q67" s="146"/>
      <c r="R67" s="146"/>
      <c r="S67" s="147"/>
      <c r="T67" s="147"/>
      <c r="U67" s="147"/>
      <c r="V67" s="147"/>
    </row>
    <row r="68" spans="1:22" s="21" customFormat="1" ht="15">
      <c r="A68" s="144">
        <v>63</v>
      </c>
      <c r="B68" s="165" t="s">
        <v>375</v>
      </c>
      <c r="C68" s="155" t="s">
        <v>378</v>
      </c>
      <c r="D68" s="166"/>
      <c r="E68" s="167">
        <v>34</v>
      </c>
      <c r="F68" s="168" t="s">
        <v>326</v>
      </c>
      <c r="G68" s="166" t="s">
        <v>78</v>
      </c>
      <c r="H68" s="156">
        <v>2559100</v>
      </c>
      <c r="I68" s="145"/>
      <c r="J68" s="146"/>
      <c r="K68" s="146"/>
      <c r="L68" s="146"/>
      <c r="M68" s="146"/>
      <c r="N68" s="146"/>
      <c r="O68" s="146"/>
      <c r="P68" s="146"/>
      <c r="Q68" s="146"/>
      <c r="R68" s="146"/>
      <c r="S68" s="147"/>
      <c r="T68" s="147"/>
      <c r="U68" s="147"/>
      <c r="V68" s="147"/>
    </row>
    <row r="69" spans="1:22" s="21" customFormat="1" ht="15">
      <c r="A69" s="144">
        <v>64</v>
      </c>
      <c r="B69" s="165" t="s">
        <v>375</v>
      </c>
      <c r="C69" s="155" t="s">
        <v>379</v>
      </c>
      <c r="D69" s="166">
        <v>38</v>
      </c>
      <c r="E69" s="167"/>
      <c r="F69" s="168" t="s">
        <v>336</v>
      </c>
      <c r="G69" s="166"/>
      <c r="H69" s="156">
        <v>8993000</v>
      </c>
      <c r="I69" s="145"/>
      <c r="J69" s="146"/>
      <c r="K69" s="146"/>
      <c r="L69" s="146"/>
      <c r="M69" s="146"/>
      <c r="N69" s="146"/>
      <c r="O69" s="146"/>
      <c r="P69" s="146"/>
      <c r="Q69" s="146"/>
      <c r="R69" s="146"/>
      <c r="S69" s="147"/>
      <c r="T69" s="147"/>
      <c r="U69" s="147"/>
      <c r="V69" s="147"/>
    </row>
    <row r="70" spans="1:22" s="21" customFormat="1" ht="15">
      <c r="A70" s="144">
        <v>65</v>
      </c>
      <c r="B70" s="165" t="s">
        <v>375</v>
      </c>
      <c r="C70" s="155" t="s">
        <v>380</v>
      </c>
      <c r="D70" s="166">
        <v>43</v>
      </c>
      <c r="E70" s="167"/>
      <c r="F70" s="168" t="s">
        <v>381</v>
      </c>
      <c r="G70" s="166"/>
      <c r="H70" s="156">
        <v>1500000</v>
      </c>
      <c r="I70" s="145"/>
      <c r="J70" s="146"/>
      <c r="K70" s="146"/>
      <c r="L70" s="146"/>
      <c r="M70" s="146"/>
      <c r="N70" s="146"/>
      <c r="O70" s="146"/>
      <c r="P70" s="146"/>
      <c r="Q70" s="146"/>
      <c r="R70" s="146"/>
      <c r="S70" s="147"/>
      <c r="T70" s="147"/>
      <c r="U70" s="147"/>
      <c r="V70" s="147"/>
    </row>
    <row r="71" spans="1:22" s="21" customFormat="1" ht="15">
      <c r="A71" s="144">
        <v>66</v>
      </c>
      <c r="B71" s="165" t="s">
        <v>375</v>
      </c>
      <c r="C71" s="155" t="s">
        <v>342</v>
      </c>
      <c r="D71" s="166"/>
      <c r="E71" s="167">
        <v>73</v>
      </c>
      <c r="F71" s="168" t="s">
        <v>137</v>
      </c>
      <c r="G71" s="166" t="s">
        <v>78</v>
      </c>
      <c r="H71" s="156">
        <v>2127400</v>
      </c>
      <c r="I71" s="145"/>
      <c r="J71" s="146"/>
      <c r="K71" s="146"/>
      <c r="L71" s="146"/>
      <c r="M71" s="146"/>
      <c r="N71" s="146"/>
      <c r="O71" s="146"/>
      <c r="P71" s="146"/>
      <c r="Q71" s="146"/>
      <c r="R71" s="146"/>
      <c r="S71" s="147"/>
      <c r="T71" s="147"/>
      <c r="U71" s="147"/>
      <c r="V71" s="147"/>
    </row>
    <row r="72" spans="1:22" s="21" customFormat="1" ht="15">
      <c r="A72" s="144">
        <v>67</v>
      </c>
      <c r="B72" s="165">
        <v>46245</v>
      </c>
      <c r="C72" s="155" t="s">
        <v>382</v>
      </c>
      <c r="D72" s="166">
        <v>41</v>
      </c>
      <c r="E72" s="167"/>
      <c r="F72" s="168" t="s">
        <v>93</v>
      </c>
      <c r="G72" s="166" t="s">
        <v>77</v>
      </c>
      <c r="H72" s="156">
        <v>3525500</v>
      </c>
      <c r="I72" s="145"/>
      <c r="J72" s="146"/>
      <c r="K72" s="146"/>
      <c r="L72" s="146"/>
      <c r="M72" s="146"/>
      <c r="N72" s="146"/>
      <c r="O72" s="146"/>
      <c r="P72" s="146"/>
      <c r="Q72" s="146"/>
      <c r="R72" s="146"/>
      <c r="S72" s="147"/>
      <c r="T72" s="147"/>
      <c r="U72" s="147"/>
      <c r="V72" s="147"/>
    </row>
    <row r="73" spans="1:22" s="21" customFormat="1" ht="15">
      <c r="A73" s="144">
        <v>68</v>
      </c>
      <c r="B73" s="165">
        <v>46245</v>
      </c>
      <c r="C73" s="155" t="s">
        <v>383</v>
      </c>
      <c r="D73" s="166">
        <v>84</v>
      </c>
      <c r="E73" s="167"/>
      <c r="F73" s="168" t="s">
        <v>366</v>
      </c>
      <c r="G73" s="166" t="s">
        <v>77</v>
      </c>
      <c r="H73" s="156">
        <v>4497500</v>
      </c>
      <c r="I73" s="145"/>
      <c r="J73" s="146"/>
      <c r="K73" s="146"/>
      <c r="L73" s="146"/>
      <c r="M73" s="146"/>
      <c r="N73" s="146"/>
      <c r="O73" s="146"/>
      <c r="P73" s="146"/>
      <c r="Q73" s="146"/>
      <c r="R73" s="146"/>
      <c r="S73" s="147"/>
      <c r="T73" s="147"/>
      <c r="U73" s="147"/>
      <c r="V73" s="147"/>
    </row>
    <row r="74" spans="1:22" s="21" customFormat="1" ht="15">
      <c r="A74" s="144">
        <v>69</v>
      </c>
      <c r="B74" s="165">
        <v>46245</v>
      </c>
      <c r="C74" s="155" t="s">
        <v>384</v>
      </c>
      <c r="D74" s="166">
        <v>24</v>
      </c>
      <c r="E74" s="167"/>
      <c r="F74" s="168" t="s">
        <v>144</v>
      </c>
      <c r="G74" s="166" t="s">
        <v>77</v>
      </c>
      <c r="H74" s="156">
        <v>4397500</v>
      </c>
      <c r="I74" s="145"/>
      <c r="J74" s="146"/>
      <c r="K74" s="146"/>
      <c r="L74" s="146"/>
      <c r="M74" s="146"/>
      <c r="N74" s="146"/>
      <c r="O74" s="146"/>
      <c r="P74" s="146"/>
      <c r="Q74" s="146"/>
      <c r="R74" s="146"/>
      <c r="S74" s="147"/>
      <c r="T74" s="147"/>
      <c r="U74" s="147"/>
      <c r="V74" s="147"/>
    </row>
    <row r="75" spans="1:22" s="21" customFormat="1" ht="15">
      <c r="A75" s="144">
        <v>70</v>
      </c>
      <c r="B75" s="165">
        <v>46245</v>
      </c>
      <c r="C75" s="155" t="s">
        <v>385</v>
      </c>
      <c r="D75" s="166">
        <v>74</v>
      </c>
      <c r="E75" s="167"/>
      <c r="F75" s="168" t="s">
        <v>137</v>
      </c>
      <c r="G75" s="166" t="s">
        <v>78</v>
      </c>
      <c r="H75" s="156">
        <v>2127400</v>
      </c>
      <c r="I75" s="145"/>
      <c r="J75" s="146"/>
      <c r="K75" s="146"/>
      <c r="L75" s="146"/>
      <c r="M75" s="146"/>
      <c r="N75" s="146"/>
      <c r="O75" s="146"/>
      <c r="P75" s="146"/>
      <c r="Q75" s="146"/>
      <c r="R75" s="146"/>
      <c r="S75" s="147"/>
      <c r="T75" s="147"/>
      <c r="U75" s="147"/>
      <c r="V75" s="147"/>
    </row>
    <row r="76" spans="1:22" s="21" customFormat="1" ht="15">
      <c r="A76" s="144">
        <v>71</v>
      </c>
      <c r="B76" s="165">
        <v>46245</v>
      </c>
      <c r="C76" s="155" t="s">
        <v>386</v>
      </c>
      <c r="D76" s="166"/>
      <c r="E76" s="167">
        <v>69</v>
      </c>
      <c r="F76" s="168" t="s">
        <v>137</v>
      </c>
      <c r="G76" s="166" t="s">
        <v>78</v>
      </c>
      <c r="H76" s="156">
        <v>2127400</v>
      </c>
      <c r="I76" s="145"/>
      <c r="J76" s="146"/>
      <c r="K76" s="146"/>
      <c r="L76" s="146"/>
      <c r="M76" s="146"/>
      <c r="N76" s="146"/>
      <c r="O76" s="146"/>
      <c r="P76" s="146"/>
      <c r="Q76" s="146"/>
      <c r="R76" s="146"/>
      <c r="S76" s="147"/>
      <c r="T76" s="147"/>
      <c r="U76" s="147"/>
      <c r="V76" s="147"/>
    </row>
    <row r="77" spans="1:22" s="21" customFormat="1" ht="15">
      <c r="A77" s="144">
        <v>72</v>
      </c>
      <c r="B77" s="165">
        <v>46245</v>
      </c>
      <c r="C77" s="155" t="s">
        <v>387</v>
      </c>
      <c r="D77" s="166">
        <v>40</v>
      </c>
      <c r="E77" s="167"/>
      <c r="F77" s="168" t="s">
        <v>326</v>
      </c>
      <c r="G77" s="166" t="s">
        <v>78</v>
      </c>
      <c r="H77" s="156">
        <v>2559100</v>
      </c>
      <c r="I77" s="145"/>
      <c r="J77" s="146"/>
      <c r="K77" s="146"/>
      <c r="L77" s="146"/>
      <c r="M77" s="146"/>
      <c r="N77" s="146"/>
      <c r="O77" s="146"/>
      <c r="P77" s="146"/>
      <c r="Q77" s="146"/>
      <c r="R77" s="146"/>
      <c r="S77" s="147"/>
      <c r="T77" s="147"/>
      <c r="U77" s="147"/>
      <c r="V77" s="147"/>
    </row>
    <row r="78" spans="1:22" s="21" customFormat="1" ht="15">
      <c r="A78" s="144">
        <v>73</v>
      </c>
      <c r="B78" s="165">
        <v>46245</v>
      </c>
      <c r="C78" s="155" t="s">
        <v>163</v>
      </c>
      <c r="D78" s="166"/>
      <c r="E78" s="167">
        <v>49</v>
      </c>
      <c r="F78" s="168" t="s">
        <v>346</v>
      </c>
      <c r="G78" s="166" t="s">
        <v>79</v>
      </c>
      <c r="H78" s="156">
        <v>1301200</v>
      </c>
      <c r="I78" s="145"/>
      <c r="J78" s="146"/>
      <c r="K78" s="146"/>
      <c r="L78" s="146"/>
      <c r="M78" s="146"/>
      <c r="N78" s="146"/>
      <c r="O78" s="146"/>
      <c r="P78" s="146"/>
      <c r="Q78" s="146"/>
      <c r="R78" s="146"/>
      <c r="S78" s="147"/>
      <c r="T78" s="147"/>
      <c r="U78" s="147"/>
      <c r="V78" s="147"/>
    </row>
    <row r="79" spans="1:22" s="21" customFormat="1" ht="15">
      <c r="A79" s="144">
        <v>74</v>
      </c>
      <c r="B79" s="165">
        <v>46245</v>
      </c>
      <c r="C79" s="155" t="s">
        <v>388</v>
      </c>
      <c r="D79" s="166"/>
      <c r="E79" s="167">
        <v>36</v>
      </c>
      <c r="F79" s="168" t="s">
        <v>346</v>
      </c>
      <c r="G79" s="166" t="s">
        <v>79</v>
      </c>
      <c r="H79" s="156">
        <v>1301200</v>
      </c>
      <c r="I79" s="145"/>
      <c r="J79" s="146"/>
      <c r="K79" s="146"/>
      <c r="L79" s="146"/>
      <c r="M79" s="146"/>
      <c r="N79" s="146"/>
      <c r="O79" s="146"/>
      <c r="P79" s="146"/>
      <c r="Q79" s="146"/>
      <c r="R79" s="146"/>
      <c r="S79" s="147"/>
      <c r="T79" s="147"/>
      <c r="U79" s="147"/>
      <c r="V79" s="147"/>
    </row>
    <row r="80" spans="1:22" s="21" customFormat="1" ht="15">
      <c r="A80" s="144">
        <v>75</v>
      </c>
      <c r="B80" s="165">
        <v>46245</v>
      </c>
      <c r="C80" s="155" t="s">
        <v>388</v>
      </c>
      <c r="D80" s="166"/>
      <c r="E80" s="167">
        <v>36</v>
      </c>
      <c r="F80" s="168" t="s">
        <v>173</v>
      </c>
      <c r="G80" s="166" t="s">
        <v>79</v>
      </c>
      <c r="H80" s="156">
        <v>0</v>
      </c>
      <c r="I80" s="145"/>
      <c r="J80" s="146"/>
      <c r="K80" s="146"/>
      <c r="L80" s="146"/>
      <c r="M80" s="146"/>
      <c r="N80" s="146"/>
      <c r="O80" s="146"/>
      <c r="P80" s="146"/>
      <c r="Q80" s="146"/>
      <c r="R80" s="146"/>
      <c r="S80" s="147"/>
      <c r="T80" s="147"/>
      <c r="U80" s="147"/>
      <c r="V80" s="147"/>
    </row>
    <row r="81" spans="1:22" s="21" customFormat="1" ht="15">
      <c r="A81" s="144">
        <v>76</v>
      </c>
      <c r="B81" s="165">
        <v>46245</v>
      </c>
      <c r="C81" s="155" t="s">
        <v>389</v>
      </c>
      <c r="D81" s="166"/>
      <c r="E81" s="167">
        <v>57</v>
      </c>
      <c r="F81" s="168" t="s">
        <v>326</v>
      </c>
      <c r="G81" s="166" t="s">
        <v>78</v>
      </c>
      <c r="H81" s="156">
        <v>2559100</v>
      </c>
      <c r="I81" s="145"/>
      <c r="J81" s="146"/>
      <c r="K81" s="146"/>
      <c r="L81" s="146"/>
      <c r="M81" s="146"/>
      <c r="N81" s="146"/>
      <c r="O81" s="146"/>
      <c r="P81" s="146"/>
      <c r="Q81" s="146"/>
      <c r="R81" s="146"/>
      <c r="S81" s="147"/>
      <c r="T81" s="147"/>
      <c r="U81" s="147"/>
      <c r="V81" s="147"/>
    </row>
    <row r="82" spans="1:22" s="21" customFormat="1" ht="15">
      <c r="A82" s="144">
        <v>77</v>
      </c>
      <c r="B82" s="165">
        <v>46245</v>
      </c>
      <c r="C82" s="155" t="s">
        <v>390</v>
      </c>
      <c r="D82" s="166">
        <v>27</v>
      </c>
      <c r="E82" s="167"/>
      <c r="F82" s="168" t="s">
        <v>326</v>
      </c>
      <c r="G82" s="166" t="s">
        <v>78</v>
      </c>
      <c r="H82" s="156">
        <v>2559100</v>
      </c>
      <c r="I82" s="145"/>
      <c r="J82" s="146"/>
      <c r="K82" s="146"/>
      <c r="L82" s="146"/>
      <c r="M82" s="146"/>
      <c r="N82" s="146"/>
      <c r="O82" s="146"/>
      <c r="P82" s="146"/>
      <c r="Q82" s="146"/>
      <c r="R82" s="146"/>
      <c r="S82" s="147"/>
      <c r="T82" s="147"/>
      <c r="U82" s="147"/>
      <c r="V82" s="147"/>
    </row>
    <row r="83" spans="1:22" s="21" customFormat="1" ht="15">
      <c r="A83" s="144">
        <v>78</v>
      </c>
      <c r="B83" s="165">
        <v>46245</v>
      </c>
      <c r="C83" s="155" t="s">
        <v>391</v>
      </c>
      <c r="D83" s="166">
        <v>35</v>
      </c>
      <c r="E83" s="167"/>
      <c r="F83" s="168" t="s">
        <v>326</v>
      </c>
      <c r="G83" s="166" t="s">
        <v>78</v>
      </c>
      <c r="H83" s="156">
        <v>2559100</v>
      </c>
      <c r="I83" s="145"/>
      <c r="J83" s="146"/>
      <c r="K83" s="146"/>
      <c r="L83" s="146"/>
      <c r="M83" s="146"/>
      <c r="N83" s="146"/>
      <c r="O83" s="146"/>
      <c r="P83" s="146"/>
      <c r="Q83" s="146"/>
      <c r="R83" s="146"/>
      <c r="S83" s="147"/>
      <c r="T83" s="147"/>
      <c r="U83" s="147"/>
      <c r="V83" s="147"/>
    </row>
    <row r="84" spans="1:22" s="21" customFormat="1" ht="15">
      <c r="A84" s="144">
        <v>79</v>
      </c>
      <c r="B84" s="165">
        <v>46245</v>
      </c>
      <c r="C84" s="155" t="s">
        <v>392</v>
      </c>
      <c r="D84" s="166">
        <v>64</v>
      </c>
      <c r="E84" s="167"/>
      <c r="F84" s="168" t="s">
        <v>137</v>
      </c>
      <c r="G84" s="166" t="s">
        <v>78</v>
      </c>
      <c r="H84" s="156">
        <v>2128200</v>
      </c>
      <c r="I84" s="145"/>
      <c r="J84" s="146"/>
      <c r="K84" s="146"/>
      <c r="L84" s="146"/>
      <c r="M84" s="146"/>
      <c r="N84" s="146"/>
      <c r="O84" s="146"/>
      <c r="P84" s="146"/>
      <c r="Q84" s="146"/>
      <c r="R84" s="146"/>
      <c r="S84" s="147"/>
      <c r="T84" s="147"/>
      <c r="U84" s="147"/>
      <c r="V84" s="147"/>
    </row>
    <row r="85" spans="1:22" s="21" customFormat="1" ht="15">
      <c r="A85" s="144">
        <v>80</v>
      </c>
      <c r="B85" s="165">
        <v>46245</v>
      </c>
      <c r="C85" s="155" t="s">
        <v>393</v>
      </c>
      <c r="D85" s="166"/>
      <c r="E85" s="167">
        <v>51</v>
      </c>
      <c r="F85" s="168" t="s">
        <v>193</v>
      </c>
      <c r="G85" s="166" t="s">
        <v>78</v>
      </c>
      <c r="H85" s="156">
        <v>859300</v>
      </c>
      <c r="I85" s="145"/>
      <c r="J85" s="146"/>
      <c r="K85" s="146"/>
      <c r="L85" s="146"/>
      <c r="M85" s="146"/>
      <c r="N85" s="146"/>
      <c r="O85" s="146"/>
      <c r="P85" s="146"/>
      <c r="Q85" s="146"/>
      <c r="R85" s="146"/>
      <c r="S85" s="147"/>
      <c r="T85" s="147"/>
      <c r="U85" s="147"/>
      <c r="V85" s="147"/>
    </row>
    <row r="86" spans="1:22" s="21" customFormat="1" ht="15">
      <c r="A86" s="144">
        <v>81</v>
      </c>
      <c r="B86" s="165">
        <v>46246</v>
      </c>
      <c r="C86" s="155" t="s">
        <v>394</v>
      </c>
      <c r="D86" s="166">
        <v>46</v>
      </c>
      <c r="E86" s="167"/>
      <c r="F86" s="168" t="s">
        <v>395</v>
      </c>
      <c r="G86" s="166" t="s">
        <v>77</v>
      </c>
      <c r="H86" s="156">
        <v>3525500</v>
      </c>
      <c r="I86" s="145"/>
      <c r="J86" s="146"/>
      <c r="K86" s="146"/>
      <c r="L86" s="146"/>
      <c r="M86" s="146"/>
      <c r="N86" s="146"/>
      <c r="O86" s="146"/>
      <c r="P86" s="146"/>
      <c r="Q86" s="146"/>
      <c r="R86" s="146"/>
      <c r="S86" s="147"/>
      <c r="T86" s="147"/>
      <c r="U86" s="147"/>
      <c r="V86" s="147"/>
    </row>
    <row r="87" spans="1:22" s="21" customFormat="1" ht="15">
      <c r="A87" s="144">
        <v>82</v>
      </c>
      <c r="B87" s="165">
        <v>46246</v>
      </c>
      <c r="C87" s="155" t="s">
        <v>396</v>
      </c>
      <c r="D87" s="166">
        <v>62</v>
      </c>
      <c r="E87" s="167"/>
      <c r="F87" s="168" t="s">
        <v>133</v>
      </c>
      <c r="G87" s="166" t="s">
        <v>77</v>
      </c>
      <c r="H87" s="156">
        <v>3525500</v>
      </c>
      <c r="I87" s="145"/>
      <c r="J87" s="146"/>
      <c r="K87" s="146"/>
      <c r="L87" s="146"/>
      <c r="M87" s="146"/>
      <c r="N87" s="146"/>
      <c r="O87" s="146"/>
      <c r="P87" s="146"/>
      <c r="Q87" s="146"/>
      <c r="R87" s="146"/>
      <c r="S87" s="147"/>
      <c r="T87" s="147"/>
      <c r="U87" s="147"/>
      <c r="V87" s="147"/>
    </row>
    <row r="88" spans="1:22" s="21" customFormat="1" ht="15">
      <c r="A88" s="144">
        <v>83</v>
      </c>
      <c r="B88" s="165">
        <v>46246</v>
      </c>
      <c r="C88" s="155" t="s">
        <v>397</v>
      </c>
      <c r="D88" s="166"/>
      <c r="E88" s="167">
        <v>64</v>
      </c>
      <c r="F88" s="168" t="s">
        <v>398</v>
      </c>
      <c r="G88" s="166" t="s">
        <v>77</v>
      </c>
      <c r="H88" s="156">
        <v>4201900</v>
      </c>
      <c r="I88" s="145"/>
      <c r="J88" s="146"/>
      <c r="K88" s="146"/>
      <c r="L88" s="146"/>
      <c r="M88" s="146"/>
      <c r="N88" s="146"/>
      <c r="O88" s="146"/>
      <c r="P88" s="146"/>
      <c r="Q88" s="146"/>
      <c r="R88" s="146"/>
      <c r="S88" s="147"/>
      <c r="T88" s="147"/>
      <c r="U88" s="147"/>
      <c r="V88" s="147"/>
    </row>
    <row r="89" spans="1:22" s="21" customFormat="1" ht="15">
      <c r="A89" s="144">
        <v>84</v>
      </c>
      <c r="B89" s="165">
        <v>46246</v>
      </c>
      <c r="C89" s="155" t="s">
        <v>399</v>
      </c>
      <c r="D89" s="166">
        <v>54</v>
      </c>
      <c r="E89" s="167"/>
      <c r="F89" s="168" t="s">
        <v>145</v>
      </c>
      <c r="G89" s="166" t="s">
        <v>77</v>
      </c>
      <c r="H89" s="156">
        <v>4497500</v>
      </c>
      <c r="I89" s="145"/>
      <c r="J89" s="146"/>
      <c r="K89" s="146"/>
      <c r="L89" s="146"/>
      <c r="M89" s="146"/>
      <c r="N89" s="146"/>
      <c r="O89" s="146"/>
      <c r="P89" s="146"/>
      <c r="Q89" s="146"/>
      <c r="R89" s="146"/>
      <c r="S89" s="147"/>
      <c r="T89" s="147"/>
      <c r="U89" s="147"/>
      <c r="V89" s="147"/>
    </row>
    <row r="90" spans="1:22" s="21" customFormat="1" ht="15">
      <c r="A90" s="144">
        <v>85</v>
      </c>
      <c r="B90" s="165">
        <v>46246</v>
      </c>
      <c r="C90" s="155" t="s">
        <v>400</v>
      </c>
      <c r="D90" s="166">
        <v>60</v>
      </c>
      <c r="E90" s="167"/>
      <c r="F90" s="168" t="s">
        <v>172</v>
      </c>
      <c r="G90" s="166" t="s">
        <v>78</v>
      </c>
      <c r="H90" s="156">
        <v>1773100</v>
      </c>
      <c r="I90" s="145"/>
      <c r="J90" s="146"/>
      <c r="K90" s="146"/>
      <c r="L90" s="146"/>
      <c r="M90" s="146"/>
      <c r="N90" s="146"/>
      <c r="O90" s="146"/>
      <c r="P90" s="146"/>
      <c r="Q90" s="146"/>
      <c r="R90" s="146"/>
      <c r="S90" s="147"/>
      <c r="T90" s="147"/>
      <c r="U90" s="147"/>
      <c r="V90" s="147"/>
    </row>
    <row r="91" spans="1:22" s="21" customFormat="1" ht="15">
      <c r="A91" s="144">
        <v>86</v>
      </c>
      <c r="B91" s="165">
        <v>46246</v>
      </c>
      <c r="C91" s="155" t="s">
        <v>401</v>
      </c>
      <c r="D91" s="166"/>
      <c r="E91" s="167">
        <v>48</v>
      </c>
      <c r="F91" s="168" t="s">
        <v>363</v>
      </c>
      <c r="G91" s="166" t="s">
        <v>77</v>
      </c>
      <c r="H91" s="156">
        <v>3405500</v>
      </c>
      <c r="I91" s="145"/>
      <c r="J91" s="146"/>
      <c r="K91" s="146"/>
      <c r="L91" s="146"/>
      <c r="M91" s="146"/>
      <c r="N91" s="146"/>
      <c r="O91" s="146"/>
      <c r="P91" s="146"/>
      <c r="Q91" s="146"/>
      <c r="R91" s="146"/>
      <c r="S91" s="147"/>
      <c r="T91" s="147"/>
      <c r="U91" s="147"/>
      <c r="V91" s="147"/>
    </row>
    <row r="92" spans="1:22" s="21" customFormat="1" ht="15">
      <c r="A92" s="144">
        <v>87</v>
      </c>
      <c r="B92" s="165">
        <v>46247</v>
      </c>
      <c r="C92" s="155" t="s">
        <v>402</v>
      </c>
      <c r="D92" s="166">
        <v>17</v>
      </c>
      <c r="E92" s="167"/>
      <c r="F92" s="168" t="s">
        <v>137</v>
      </c>
      <c r="G92" s="166" t="s">
        <v>78</v>
      </c>
      <c r="H92" s="156">
        <v>2128200</v>
      </c>
      <c r="I92" s="145"/>
      <c r="J92" s="146"/>
      <c r="K92" s="146"/>
      <c r="L92" s="146"/>
      <c r="M92" s="146"/>
      <c r="N92" s="146"/>
      <c r="O92" s="146"/>
      <c r="P92" s="146"/>
      <c r="Q92" s="146"/>
      <c r="R92" s="146"/>
      <c r="S92" s="147"/>
      <c r="T92" s="147"/>
      <c r="U92" s="147"/>
      <c r="V92" s="147"/>
    </row>
    <row r="93" spans="1:22" s="21" customFormat="1" ht="15">
      <c r="A93" s="144">
        <v>88</v>
      </c>
      <c r="B93" s="165">
        <v>46247</v>
      </c>
      <c r="C93" s="155" t="s">
        <v>403</v>
      </c>
      <c r="D93" s="166">
        <v>40</v>
      </c>
      <c r="E93" s="167"/>
      <c r="F93" s="168" t="s">
        <v>177</v>
      </c>
      <c r="G93" s="166" t="s">
        <v>77</v>
      </c>
      <c r="H93" s="156">
        <v>3405500</v>
      </c>
      <c r="I93" s="145"/>
      <c r="J93" s="146"/>
      <c r="K93" s="146"/>
      <c r="L93" s="146"/>
      <c r="M93" s="146"/>
      <c r="N93" s="146"/>
      <c r="O93" s="146"/>
      <c r="P93" s="146"/>
      <c r="Q93" s="146"/>
      <c r="R93" s="146"/>
      <c r="S93" s="147"/>
      <c r="T93" s="147"/>
      <c r="U93" s="147"/>
      <c r="V93" s="147"/>
    </row>
    <row r="94" spans="1:22" s="21" customFormat="1" ht="15">
      <c r="A94" s="144">
        <v>89</v>
      </c>
      <c r="B94" s="165">
        <v>46247</v>
      </c>
      <c r="C94" s="155" t="s">
        <v>404</v>
      </c>
      <c r="D94" s="166"/>
      <c r="E94" s="167">
        <v>16</v>
      </c>
      <c r="F94" s="168" t="s">
        <v>326</v>
      </c>
      <c r="G94" s="166" t="s">
        <v>78</v>
      </c>
      <c r="H94" s="156">
        <v>2559100</v>
      </c>
      <c r="I94" s="145"/>
      <c r="J94" s="146"/>
      <c r="K94" s="146"/>
      <c r="L94" s="146"/>
      <c r="M94" s="146"/>
      <c r="N94" s="146"/>
      <c r="O94" s="146"/>
      <c r="P94" s="146"/>
      <c r="Q94" s="146"/>
      <c r="R94" s="146"/>
      <c r="S94" s="147"/>
      <c r="T94" s="147"/>
      <c r="U94" s="147"/>
      <c r="V94" s="147"/>
    </row>
    <row r="95" spans="1:22" s="21" customFormat="1" ht="15">
      <c r="A95" s="144">
        <v>90</v>
      </c>
      <c r="B95" s="165">
        <v>46247</v>
      </c>
      <c r="C95" s="155" t="s">
        <v>405</v>
      </c>
      <c r="D95" s="166"/>
      <c r="E95" s="167">
        <v>70</v>
      </c>
      <c r="F95" s="168" t="s">
        <v>336</v>
      </c>
      <c r="G95" s="166"/>
      <c r="H95" s="156">
        <v>8993000</v>
      </c>
      <c r="I95" s="145"/>
      <c r="J95" s="146"/>
      <c r="K95" s="146"/>
      <c r="L95" s="146"/>
      <c r="M95" s="146"/>
      <c r="N95" s="146"/>
      <c r="O95" s="146"/>
      <c r="P95" s="146"/>
      <c r="Q95" s="146"/>
      <c r="R95" s="146"/>
      <c r="S95" s="147"/>
      <c r="T95" s="147"/>
      <c r="U95" s="147"/>
      <c r="V95" s="147"/>
    </row>
    <row r="96" spans="1:22" s="21" customFormat="1" ht="15">
      <c r="A96" s="144">
        <v>91</v>
      </c>
      <c r="B96" s="188">
        <v>46247</v>
      </c>
      <c r="C96" s="189" t="s">
        <v>406</v>
      </c>
      <c r="D96" s="190">
        <v>48</v>
      </c>
      <c r="E96" s="191"/>
      <c r="F96" s="192" t="s">
        <v>93</v>
      </c>
      <c r="G96" s="190" t="s">
        <v>77</v>
      </c>
      <c r="H96" s="193">
        <v>3525500</v>
      </c>
      <c r="I96" s="145"/>
      <c r="J96" s="146"/>
      <c r="K96" s="146"/>
      <c r="L96" s="146"/>
      <c r="M96" s="146"/>
      <c r="N96" s="146"/>
      <c r="O96" s="146"/>
      <c r="P96" s="146"/>
      <c r="Q96" s="146"/>
      <c r="R96" s="146"/>
      <c r="S96" s="147"/>
      <c r="T96" s="147"/>
      <c r="U96" s="147"/>
      <c r="V96" s="147"/>
    </row>
    <row r="97" spans="1:22" s="21" customFormat="1" ht="15">
      <c r="A97" s="144">
        <v>92</v>
      </c>
      <c r="B97" s="188">
        <v>46247</v>
      </c>
      <c r="C97" s="189" t="s">
        <v>407</v>
      </c>
      <c r="D97" s="190"/>
      <c r="E97" s="191">
        <v>64</v>
      </c>
      <c r="F97" s="192" t="s">
        <v>133</v>
      </c>
      <c r="G97" s="190" t="s">
        <v>77</v>
      </c>
      <c r="H97" s="193">
        <v>3525500</v>
      </c>
      <c r="I97" s="145"/>
      <c r="J97" s="146"/>
      <c r="K97" s="146"/>
      <c r="L97" s="146"/>
      <c r="M97" s="146"/>
      <c r="N97" s="146"/>
      <c r="O97" s="146"/>
      <c r="P97" s="146"/>
      <c r="Q97" s="146"/>
      <c r="R97" s="146"/>
      <c r="S97" s="147"/>
      <c r="T97" s="147"/>
      <c r="U97" s="147"/>
      <c r="V97" s="147"/>
    </row>
    <row r="98" spans="1:22" s="21" customFormat="1" ht="15">
      <c r="A98" s="144">
        <v>93</v>
      </c>
      <c r="B98" s="188">
        <v>46247</v>
      </c>
      <c r="C98" s="189" t="s">
        <v>408</v>
      </c>
      <c r="D98" s="190">
        <v>62</v>
      </c>
      <c r="E98" s="191"/>
      <c r="F98" s="192" t="s">
        <v>409</v>
      </c>
      <c r="G98" s="190" t="s">
        <v>77</v>
      </c>
      <c r="H98" s="193">
        <v>4897500</v>
      </c>
      <c r="I98" s="145"/>
      <c r="J98" s="146"/>
      <c r="K98" s="146"/>
      <c r="L98" s="146"/>
      <c r="M98" s="146"/>
      <c r="N98" s="146"/>
      <c r="O98" s="146"/>
      <c r="P98" s="146"/>
      <c r="Q98" s="146"/>
      <c r="R98" s="146"/>
      <c r="S98" s="147"/>
      <c r="T98" s="147"/>
      <c r="U98" s="147"/>
      <c r="V98" s="147"/>
    </row>
    <row r="99" spans="1:22" s="21" customFormat="1" ht="15">
      <c r="A99" s="144">
        <v>94</v>
      </c>
      <c r="B99" s="188" t="s">
        <v>410</v>
      </c>
      <c r="C99" s="189" t="s">
        <v>411</v>
      </c>
      <c r="D99" s="190"/>
      <c r="E99" s="191">
        <v>82</v>
      </c>
      <c r="F99" s="192" t="s">
        <v>139</v>
      </c>
      <c r="G99" s="190" t="s">
        <v>79</v>
      </c>
      <c r="H99" s="193">
        <v>3897500</v>
      </c>
      <c r="I99" s="145"/>
      <c r="J99" s="146"/>
      <c r="K99" s="146"/>
      <c r="L99" s="146"/>
      <c r="M99" s="146"/>
      <c r="N99" s="146"/>
      <c r="O99" s="146"/>
      <c r="P99" s="146"/>
      <c r="Q99" s="146"/>
      <c r="R99" s="146"/>
      <c r="S99" s="147"/>
      <c r="T99" s="147"/>
      <c r="U99" s="147"/>
      <c r="V99" s="147"/>
    </row>
    <row r="100" spans="1:22" s="21" customFormat="1" ht="15">
      <c r="A100" s="144">
        <v>95</v>
      </c>
      <c r="B100" s="188" t="s">
        <v>410</v>
      </c>
      <c r="C100" s="189" t="s">
        <v>412</v>
      </c>
      <c r="D100" s="190"/>
      <c r="E100" s="191">
        <v>55</v>
      </c>
      <c r="F100" s="192" t="s">
        <v>336</v>
      </c>
      <c r="G100" s="190"/>
      <c r="H100" s="193">
        <v>8993000</v>
      </c>
      <c r="I100" s="145"/>
      <c r="J100" s="146"/>
      <c r="K100" s="146"/>
      <c r="L100" s="146"/>
      <c r="M100" s="146"/>
      <c r="N100" s="146"/>
      <c r="O100" s="146"/>
      <c r="P100" s="146"/>
      <c r="Q100" s="146"/>
      <c r="R100" s="146"/>
      <c r="S100" s="147"/>
      <c r="T100" s="147"/>
      <c r="U100" s="147"/>
      <c r="V100" s="147"/>
    </row>
    <row r="101" spans="1:22" s="21" customFormat="1" ht="15">
      <c r="A101" s="144">
        <v>96</v>
      </c>
      <c r="B101" s="188" t="s">
        <v>410</v>
      </c>
      <c r="C101" s="189" t="s">
        <v>413</v>
      </c>
      <c r="D101" s="190"/>
      <c r="E101" s="191">
        <v>78</v>
      </c>
      <c r="F101" s="192" t="s">
        <v>139</v>
      </c>
      <c r="G101" s="190" t="s">
        <v>79</v>
      </c>
      <c r="H101" s="193">
        <v>3897500</v>
      </c>
      <c r="I101" s="145"/>
      <c r="J101" s="146"/>
      <c r="K101" s="146"/>
      <c r="L101" s="146"/>
      <c r="M101" s="146"/>
      <c r="N101" s="146"/>
      <c r="O101" s="146"/>
      <c r="P101" s="146"/>
      <c r="Q101" s="146"/>
      <c r="R101" s="146"/>
      <c r="S101" s="147"/>
      <c r="T101" s="147"/>
      <c r="U101" s="147"/>
      <c r="V101" s="147"/>
    </row>
    <row r="102" spans="1:22" s="21" customFormat="1" ht="15">
      <c r="A102" s="144">
        <v>97</v>
      </c>
      <c r="B102" s="188" t="s">
        <v>410</v>
      </c>
      <c r="C102" s="189" t="s">
        <v>414</v>
      </c>
      <c r="D102" s="190">
        <v>24</v>
      </c>
      <c r="E102" s="191"/>
      <c r="F102" s="192" t="s">
        <v>326</v>
      </c>
      <c r="G102" s="190" t="s">
        <v>78</v>
      </c>
      <c r="H102" s="193">
        <v>2559100</v>
      </c>
      <c r="I102" s="145"/>
      <c r="J102" s="146"/>
      <c r="K102" s="146"/>
      <c r="L102" s="146"/>
      <c r="M102" s="146"/>
      <c r="N102" s="146"/>
      <c r="O102" s="146"/>
      <c r="P102" s="146"/>
      <c r="Q102" s="146"/>
      <c r="R102" s="146"/>
      <c r="S102" s="147"/>
      <c r="T102" s="147"/>
      <c r="U102" s="147"/>
      <c r="V102" s="147"/>
    </row>
    <row r="103" spans="1:22" s="21" customFormat="1" ht="15">
      <c r="A103" s="144">
        <v>98</v>
      </c>
      <c r="B103" s="188" t="s">
        <v>410</v>
      </c>
      <c r="C103" s="189" t="s">
        <v>415</v>
      </c>
      <c r="D103" s="190">
        <v>37</v>
      </c>
      <c r="E103" s="191"/>
      <c r="F103" s="192" t="s">
        <v>137</v>
      </c>
      <c r="G103" s="190" t="s">
        <v>78</v>
      </c>
      <c r="H103" s="193">
        <v>2128200</v>
      </c>
      <c r="I103" s="145"/>
      <c r="J103" s="146"/>
      <c r="K103" s="146"/>
      <c r="L103" s="146"/>
      <c r="M103" s="146"/>
      <c r="N103" s="146"/>
      <c r="O103" s="146"/>
      <c r="P103" s="146"/>
      <c r="Q103" s="146"/>
      <c r="R103" s="146"/>
      <c r="S103" s="147"/>
      <c r="T103" s="147"/>
      <c r="U103" s="147"/>
      <c r="V103" s="147"/>
    </row>
    <row r="104" spans="1:22" s="21" customFormat="1" ht="15">
      <c r="A104" s="144">
        <v>99</v>
      </c>
      <c r="B104" s="188" t="s">
        <v>410</v>
      </c>
      <c r="C104" s="189" t="s">
        <v>376</v>
      </c>
      <c r="D104" s="190">
        <v>78</v>
      </c>
      <c r="E104" s="191"/>
      <c r="F104" s="192" t="s">
        <v>137</v>
      </c>
      <c r="G104" s="190" t="s">
        <v>78</v>
      </c>
      <c r="H104" s="193">
        <v>0</v>
      </c>
      <c r="I104" s="145"/>
      <c r="J104" s="146"/>
      <c r="K104" s="146"/>
      <c r="L104" s="146"/>
      <c r="M104" s="146"/>
      <c r="N104" s="146"/>
      <c r="O104" s="146"/>
      <c r="P104" s="146"/>
      <c r="Q104" s="146"/>
      <c r="R104" s="146"/>
      <c r="S104" s="147"/>
      <c r="T104" s="147"/>
      <c r="U104" s="147"/>
      <c r="V104" s="147"/>
    </row>
    <row r="105" spans="1:22" s="21" customFormat="1" ht="15">
      <c r="A105" s="144">
        <v>100</v>
      </c>
      <c r="B105" s="188" t="s">
        <v>410</v>
      </c>
      <c r="C105" s="189" t="s">
        <v>416</v>
      </c>
      <c r="D105" s="190"/>
      <c r="E105" s="191">
        <v>23</v>
      </c>
      <c r="F105" s="192" t="s">
        <v>326</v>
      </c>
      <c r="G105" s="190" t="s">
        <v>78</v>
      </c>
      <c r="H105" s="193">
        <v>0</v>
      </c>
      <c r="I105" s="145"/>
      <c r="J105" s="146"/>
      <c r="K105" s="146"/>
      <c r="L105" s="146"/>
      <c r="M105" s="146"/>
      <c r="N105" s="146"/>
      <c r="O105" s="146"/>
      <c r="P105" s="146"/>
      <c r="Q105" s="146"/>
      <c r="R105" s="146"/>
      <c r="S105" s="147"/>
      <c r="T105" s="147"/>
      <c r="U105" s="147"/>
      <c r="V105" s="147"/>
    </row>
    <row r="106" spans="1:22" s="21" customFormat="1" ht="15">
      <c r="A106" s="144">
        <v>101</v>
      </c>
      <c r="B106" s="188" t="s">
        <v>417</v>
      </c>
      <c r="C106" s="189" t="s">
        <v>418</v>
      </c>
      <c r="D106" s="190">
        <v>55</v>
      </c>
      <c r="E106" s="191"/>
      <c r="F106" s="192" t="s">
        <v>336</v>
      </c>
      <c r="G106" s="190"/>
      <c r="H106" s="193">
        <v>8993000</v>
      </c>
      <c r="I106" s="145"/>
      <c r="J106" s="146"/>
      <c r="K106" s="146"/>
      <c r="L106" s="146"/>
      <c r="M106" s="146"/>
      <c r="N106" s="146"/>
      <c r="O106" s="146"/>
      <c r="P106" s="146"/>
      <c r="Q106" s="146"/>
      <c r="R106" s="146"/>
      <c r="S106" s="147"/>
      <c r="T106" s="147"/>
      <c r="U106" s="147"/>
      <c r="V106" s="147"/>
    </row>
    <row r="107" spans="1:22" s="21" customFormat="1" ht="15">
      <c r="A107" s="144">
        <v>102</v>
      </c>
      <c r="B107" s="188" t="s">
        <v>417</v>
      </c>
      <c r="C107" s="189" t="s">
        <v>182</v>
      </c>
      <c r="D107" s="190"/>
      <c r="E107" s="191">
        <v>63</v>
      </c>
      <c r="F107" s="192" t="s">
        <v>336</v>
      </c>
      <c r="G107" s="190"/>
      <c r="H107" s="193">
        <v>8993000</v>
      </c>
      <c r="I107" s="145"/>
      <c r="J107" s="146"/>
      <c r="K107" s="146"/>
      <c r="L107" s="146"/>
      <c r="M107" s="146"/>
      <c r="N107" s="146"/>
      <c r="O107" s="146"/>
      <c r="P107" s="146"/>
      <c r="Q107" s="146"/>
      <c r="R107" s="146"/>
      <c r="S107" s="147"/>
      <c r="T107" s="147"/>
      <c r="U107" s="147"/>
      <c r="V107" s="147"/>
    </row>
    <row r="108" spans="1:22" s="21" customFormat="1" ht="15">
      <c r="A108" s="144">
        <v>103</v>
      </c>
      <c r="B108" s="188" t="s">
        <v>417</v>
      </c>
      <c r="C108" s="189" t="s">
        <v>419</v>
      </c>
      <c r="D108" s="190">
        <v>51</v>
      </c>
      <c r="E108" s="191"/>
      <c r="F108" s="192" t="s">
        <v>145</v>
      </c>
      <c r="G108" s="190" t="s">
        <v>77</v>
      </c>
      <c r="H108" s="193">
        <v>4497500</v>
      </c>
      <c r="I108" s="145"/>
      <c r="J108" s="146"/>
      <c r="K108" s="146"/>
      <c r="L108" s="146"/>
      <c r="M108" s="146"/>
      <c r="N108" s="146"/>
      <c r="O108" s="146"/>
      <c r="P108" s="146"/>
      <c r="Q108" s="146"/>
      <c r="R108" s="146"/>
      <c r="S108" s="147"/>
      <c r="T108" s="147"/>
      <c r="U108" s="147"/>
      <c r="V108" s="147"/>
    </row>
    <row r="109" spans="1:22" s="21" customFormat="1" ht="15">
      <c r="A109" s="144">
        <v>104</v>
      </c>
      <c r="B109" s="188" t="s">
        <v>420</v>
      </c>
      <c r="C109" s="189" t="s">
        <v>421</v>
      </c>
      <c r="D109" s="190">
        <v>63</v>
      </c>
      <c r="E109" s="191"/>
      <c r="F109" s="192" t="s">
        <v>80</v>
      </c>
      <c r="G109" s="190" t="s">
        <v>78</v>
      </c>
      <c r="H109" s="193">
        <v>1947600</v>
      </c>
      <c r="I109" s="145"/>
      <c r="J109" s="146"/>
      <c r="K109" s="146"/>
      <c r="L109" s="146"/>
      <c r="M109" s="146"/>
      <c r="N109" s="146"/>
      <c r="O109" s="146"/>
      <c r="P109" s="146"/>
      <c r="Q109" s="146"/>
      <c r="R109" s="146"/>
      <c r="S109" s="147"/>
      <c r="T109" s="147"/>
      <c r="U109" s="147"/>
      <c r="V109" s="147"/>
    </row>
    <row r="110" spans="1:22" s="21" customFormat="1" ht="15">
      <c r="A110" s="144">
        <v>105</v>
      </c>
      <c r="B110" s="188" t="s">
        <v>420</v>
      </c>
      <c r="C110" s="189" t="s">
        <v>422</v>
      </c>
      <c r="D110" s="190"/>
      <c r="E110" s="191">
        <v>61</v>
      </c>
      <c r="F110" s="192" t="s">
        <v>336</v>
      </c>
      <c r="G110" s="190"/>
      <c r="H110" s="193">
        <v>8993000</v>
      </c>
      <c r="I110" s="145"/>
      <c r="J110" s="146"/>
      <c r="K110" s="146"/>
      <c r="L110" s="146"/>
      <c r="M110" s="146"/>
      <c r="N110" s="146"/>
      <c r="O110" s="146"/>
      <c r="P110" s="146"/>
      <c r="Q110" s="146"/>
      <c r="R110" s="146"/>
      <c r="S110" s="147"/>
      <c r="T110" s="147"/>
      <c r="U110" s="147"/>
      <c r="V110" s="147"/>
    </row>
    <row r="111" spans="1:22" s="21" customFormat="1" ht="15">
      <c r="A111" s="144">
        <v>106</v>
      </c>
      <c r="B111" s="188" t="s">
        <v>423</v>
      </c>
      <c r="C111" s="189" t="s">
        <v>424</v>
      </c>
      <c r="D111" s="190">
        <v>89</v>
      </c>
      <c r="E111" s="191"/>
      <c r="F111" s="192" t="s">
        <v>139</v>
      </c>
      <c r="G111" s="190" t="s">
        <v>79</v>
      </c>
      <c r="H111" s="193">
        <v>3897500</v>
      </c>
      <c r="I111" s="145"/>
      <c r="J111" s="146"/>
      <c r="K111" s="146"/>
      <c r="L111" s="146"/>
      <c r="M111" s="146"/>
      <c r="N111" s="146"/>
      <c r="O111" s="146"/>
      <c r="P111" s="146"/>
      <c r="Q111" s="146"/>
      <c r="R111" s="146"/>
      <c r="S111" s="147"/>
      <c r="T111" s="147"/>
      <c r="U111" s="147"/>
      <c r="V111" s="147"/>
    </row>
    <row r="112" spans="1:22" s="21" customFormat="1" ht="15">
      <c r="A112" s="144">
        <v>107</v>
      </c>
      <c r="B112" s="188" t="s">
        <v>423</v>
      </c>
      <c r="C112" s="189" t="s">
        <v>425</v>
      </c>
      <c r="D112" s="190"/>
      <c r="E112" s="191">
        <v>68</v>
      </c>
      <c r="F112" s="192" t="s">
        <v>184</v>
      </c>
      <c r="G112" s="190" t="s">
        <v>77</v>
      </c>
      <c r="H112" s="193">
        <v>4201900</v>
      </c>
      <c r="I112" s="145"/>
      <c r="J112" s="146"/>
      <c r="K112" s="146"/>
      <c r="L112" s="146"/>
      <c r="M112" s="146"/>
      <c r="N112" s="146"/>
      <c r="O112" s="146"/>
      <c r="P112" s="146"/>
      <c r="Q112" s="146"/>
      <c r="R112" s="146"/>
      <c r="S112" s="147"/>
      <c r="T112" s="147"/>
      <c r="U112" s="147"/>
      <c r="V112" s="147"/>
    </row>
    <row r="113" spans="1:22" s="21" customFormat="1" ht="15">
      <c r="A113" s="144">
        <v>108</v>
      </c>
      <c r="B113" s="188" t="s">
        <v>423</v>
      </c>
      <c r="C113" s="189" t="s">
        <v>426</v>
      </c>
      <c r="D113" s="190"/>
      <c r="E113" s="191">
        <v>54</v>
      </c>
      <c r="F113" s="192" t="s">
        <v>164</v>
      </c>
      <c r="G113" s="190" t="s">
        <v>79</v>
      </c>
      <c r="H113" s="193">
        <v>1301200</v>
      </c>
      <c r="I113" s="145"/>
      <c r="J113" s="146"/>
      <c r="K113" s="146"/>
      <c r="L113" s="146"/>
      <c r="M113" s="146"/>
      <c r="N113" s="146"/>
      <c r="O113" s="146"/>
      <c r="P113" s="146"/>
      <c r="Q113" s="146"/>
      <c r="R113" s="146"/>
      <c r="S113" s="147"/>
      <c r="T113" s="147"/>
      <c r="U113" s="147"/>
      <c r="V113" s="147"/>
    </row>
    <row r="114" spans="1:22" s="21" customFormat="1" ht="15">
      <c r="A114" s="144">
        <v>109</v>
      </c>
      <c r="B114" s="188" t="s">
        <v>423</v>
      </c>
      <c r="C114" s="189" t="s">
        <v>427</v>
      </c>
      <c r="D114" s="190"/>
      <c r="E114" s="191">
        <v>32</v>
      </c>
      <c r="F114" s="192" t="s">
        <v>164</v>
      </c>
      <c r="G114" s="190" t="s">
        <v>79</v>
      </c>
      <c r="H114" s="193">
        <v>1301200</v>
      </c>
      <c r="I114" s="145"/>
      <c r="J114" s="146"/>
      <c r="K114" s="146"/>
      <c r="L114" s="146"/>
      <c r="M114" s="146"/>
      <c r="N114" s="146"/>
      <c r="O114" s="146"/>
      <c r="P114" s="146"/>
      <c r="Q114" s="146"/>
      <c r="R114" s="146"/>
      <c r="S114" s="147"/>
      <c r="T114" s="147"/>
      <c r="U114" s="147"/>
      <c r="V114" s="147"/>
    </row>
    <row r="115" spans="1:22" s="21" customFormat="1" ht="15">
      <c r="A115" s="144">
        <v>110</v>
      </c>
      <c r="B115" s="188" t="s">
        <v>423</v>
      </c>
      <c r="C115" s="189" t="s">
        <v>428</v>
      </c>
      <c r="D115" s="190">
        <v>21</v>
      </c>
      <c r="E115" s="191"/>
      <c r="F115" s="192" t="s">
        <v>366</v>
      </c>
      <c r="G115" s="190" t="s">
        <v>77</v>
      </c>
      <c r="H115" s="193">
        <v>4497500</v>
      </c>
      <c r="I115" s="145"/>
      <c r="J115" s="146"/>
      <c r="K115" s="146"/>
      <c r="L115" s="146"/>
      <c r="M115" s="146"/>
      <c r="N115" s="146"/>
      <c r="O115" s="146"/>
      <c r="P115" s="146"/>
      <c r="Q115" s="146"/>
      <c r="R115" s="146"/>
      <c r="S115" s="147"/>
      <c r="T115" s="147"/>
      <c r="U115" s="147"/>
      <c r="V115" s="147"/>
    </row>
    <row r="116" spans="1:22" s="21" customFormat="1" ht="15">
      <c r="A116" s="144">
        <v>111</v>
      </c>
      <c r="B116" s="188" t="s">
        <v>429</v>
      </c>
      <c r="C116" s="189" t="s">
        <v>430</v>
      </c>
      <c r="D116" s="190">
        <v>55</v>
      </c>
      <c r="E116" s="191"/>
      <c r="F116" s="192" t="s">
        <v>138</v>
      </c>
      <c r="G116" s="190" t="s">
        <v>79</v>
      </c>
      <c r="H116" s="193">
        <v>2697300</v>
      </c>
      <c r="I116" s="145"/>
      <c r="J116" s="146"/>
      <c r="K116" s="146"/>
      <c r="L116" s="146"/>
      <c r="M116" s="146"/>
      <c r="N116" s="146"/>
      <c r="O116" s="146"/>
      <c r="P116" s="146"/>
      <c r="Q116" s="146"/>
      <c r="R116" s="146"/>
      <c r="S116" s="147"/>
      <c r="T116" s="147"/>
      <c r="U116" s="147"/>
      <c r="V116" s="147"/>
    </row>
    <row r="117" spans="1:22" s="21" customFormat="1" ht="15">
      <c r="A117" s="144">
        <v>112</v>
      </c>
      <c r="B117" s="188" t="s">
        <v>429</v>
      </c>
      <c r="C117" s="189" t="s">
        <v>431</v>
      </c>
      <c r="D117" s="190"/>
      <c r="E117" s="191">
        <v>74</v>
      </c>
      <c r="F117" s="192" t="s">
        <v>139</v>
      </c>
      <c r="G117" s="190" t="s">
        <v>79</v>
      </c>
      <c r="H117" s="193">
        <v>3897500</v>
      </c>
      <c r="I117" s="145"/>
      <c r="J117" s="146"/>
      <c r="K117" s="146"/>
      <c r="L117" s="146"/>
      <c r="M117" s="146"/>
      <c r="N117" s="146"/>
      <c r="O117" s="146"/>
      <c r="P117" s="146"/>
      <c r="Q117" s="146"/>
      <c r="R117" s="146"/>
      <c r="S117" s="147"/>
      <c r="T117" s="147"/>
      <c r="U117" s="147"/>
      <c r="V117" s="147"/>
    </row>
    <row r="118" spans="1:22" s="21" customFormat="1" ht="15">
      <c r="A118" s="144">
        <v>113</v>
      </c>
      <c r="B118" s="188" t="s">
        <v>429</v>
      </c>
      <c r="C118" s="189" t="s">
        <v>432</v>
      </c>
      <c r="D118" s="190"/>
      <c r="E118" s="191">
        <v>42</v>
      </c>
      <c r="F118" s="192" t="s">
        <v>433</v>
      </c>
      <c r="G118" s="190" t="s">
        <v>79</v>
      </c>
      <c r="H118" s="193">
        <v>2897500</v>
      </c>
      <c r="I118" s="145"/>
      <c r="J118" s="146"/>
      <c r="K118" s="146"/>
      <c r="L118" s="146"/>
      <c r="M118" s="146"/>
      <c r="N118" s="146"/>
      <c r="O118" s="146"/>
      <c r="P118" s="146"/>
      <c r="Q118" s="146"/>
      <c r="R118" s="146"/>
      <c r="S118" s="147"/>
      <c r="T118" s="147"/>
      <c r="U118" s="147"/>
      <c r="V118" s="147"/>
    </row>
    <row r="119" spans="1:22" s="21" customFormat="1" ht="15">
      <c r="A119" s="144">
        <v>114</v>
      </c>
      <c r="B119" s="188" t="s">
        <v>429</v>
      </c>
      <c r="C119" s="189" t="s">
        <v>434</v>
      </c>
      <c r="D119" s="190">
        <v>37</v>
      </c>
      <c r="E119" s="191"/>
      <c r="F119" s="192" t="s">
        <v>93</v>
      </c>
      <c r="G119" s="190" t="s">
        <v>77</v>
      </c>
      <c r="H119" s="193">
        <v>3525500</v>
      </c>
      <c r="I119" s="145"/>
      <c r="J119" s="146"/>
      <c r="K119" s="146"/>
      <c r="L119" s="146"/>
      <c r="M119" s="146"/>
      <c r="N119" s="146"/>
      <c r="O119" s="146"/>
      <c r="P119" s="146"/>
      <c r="Q119" s="146"/>
      <c r="R119" s="146"/>
      <c r="S119" s="147"/>
      <c r="T119" s="147"/>
      <c r="U119" s="147"/>
      <c r="V119" s="147"/>
    </row>
    <row r="120" spans="1:22" s="21" customFormat="1" ht="15">
      <c r="A120" s="144">
        <v>115</v>
      </c>
      <c r="B120" s="188" t="s">
        <v>429</v>
      </c>
      <c r="C120" s="189" t="s">
        <v>434</v>
      </c>
      <c r="D120" s="190">
        <v>37</v>
      </c>
      <c r="E120" s="191"/>
      <c r="F120" s="192" t="s">
        <v>175</v>
      </c>
      <c r="G120" s="190" t="s">
        <v>77</v>
      </c>
      <c r="H120" s="193">
        <v>1762750</v>
      </c>
      <c r="I120" s="145"/>
      <c r="J120" s="146"/>
      <c r="K120" s="146"/>
      <c r="L120" s="146"/>
      <c r="M120" s="146"/>
      <c r="N120" s="146"/>
      <c r="O120" s="146"/>
      <c r="P120" s="146"/>
      <c r="Q120" s="146"/>
      <c r="R120" s="146"/>
      <c r="S120" s="147"/>
      <c r="T120" s="147"/>
      <c r="U120" s="147"/>
      <c r="V120" s="147"/>
    </row>
    <row r="121" spans="1:22" s="21" customFormat="1" ht="15">
      <c r="A121" s="144">
        <v>116</v>
      </c>
      <c r="B121" s="188" t="s">
        <v>429</v>
      </c>
      <c r="C121" s="189" t="s">
        <v>435</v>
      </c>
      <c r="D121" s="190"/>
      <c r="E121" s="191">
        <v>58</v>
      </c>
      <c r="F121" s="192" t="s">
        <v>145</v>
      </c>
      <c r="G121" s="190" t="s">
        <v>77</v>
      </c>
      <c r="H121" s="193">
        <v>4497500</v>
      </c>
      <c r="I121" s="145"/>
      <c r="J121" s="146"/>
      <c r="K121" s="146"/>
      <c r="L121" s="146"/>
      <c r="M121" s="146"/>
      <c r="N121" s="146"/>
      <c r="O121" s="146"/>
      <c r="P121" s="146"/>
      <c r="Q121" s="146"/>
      <c r="R121" s="146"/>
      <c r="S121" s="147"/>
      <c r="T121" s="147"/>
      <c r="U121" s="147"/>
      <c r="V121" s="147"/>
    </row>
    <row r="122" spans="1:22" s="21" customFormat="1" ht="15">
      <c r="A122" s="144">
        <v>117</v>
      </c>
      <c r="B122" s="188" t="s">
        <v>429</v>
      </c>
      <c r="C122" s="189" t="s">
        <v>436</v>
      </c>
      <c r="D122" s="190">
        <v>45</v>
      </c>
      <c r="E122" s="191"/>
      <c r="F122" s="192" t="s">
        <v>137</v>
      </c>
      <c r="G122" s="190" t="s">
        <v>78</v>
      </c>
      <c r="H122" s="193">
        <v>2128200</v>
      </c>
      <c r="I122" s="145"/>
      <c r="J122" s="146"/>
      <c r="K122" s="146"/>
      <c r="L122" s="146"/>
      <c r="M122" s="146"/>
      <c r="N122" s="146"/>
      <c r="O122" s="146"/>
      <c r="P122" s="146"/>
      <c r="Q122" s="146"/>
      <c r="R122" s="146"/>
      <c r="S122" s="147"/>
      <c r="T122" s="147"/>
      <c r="U122" s="147"/>
      <c r="V122" s="147"/>
    </row>
    <row r="123" spans="1:22" s="21" customFormat="1" ht="15">
      <c r="A123" s="144">
        <v>118</v>
      </c>
      <c r="B123" s="188" t="s">
        <v>437</v>
      </c>
      <c r="C123" s="189" t="s">
        <v>438</v>
      </c>
      <c r="D123" s="190">
        <v>33</v>
      </c>
      <c r="E123" s="191"/>
      <c r="F123" s="192" t="s">
        <v>363</v>
      </c>
      <c r="G123" s="190" t="s">
        <v>77</v>
      </c>
      <c r="H123" s="193">
        <v>3405500</v>
      </c>
      <c r="I123" s="145"/>
      <c r="J123" s="146"/>
      <c r="K123" s="146"/>
      <c r="L123" s="146"/>
      <c r="M123" s="146"/>
      <c r="N123" s="146"/>
      <c r="O123" s="146"/>
      <c r="P123" s="146"/>
      <c r="Q123" s="146"/>
      <c r="R123" s="146"/>
      <c r="S123" s="147"/>
      <c r="T123" s="147"/>
      <c r="U123" s="147"/>
      <c r="V123" s="147"/>
    </row>
    <row r="124" spans="1:22" s="21" customFormat="1" ht="15">
      <c r="A124" s="144">
        <v>119</v>
      </c>
      <c r="B124" s="188" t="s">
        <v>437</v>
      </c>
      <c r="C124" s="189" t="s">
        <v>438</v>
      </c>
      <c r="D124" s="190" t="s">
        <v>439</v>
      </c>
      <c r="E124" s="191"/>
      <c r="F124" s="192" t="s">
        <v>440</v>
      </c>
      <c r="G124" s="190" t="s">
        <v>77</v>
      </c>
      <c r="H124" s="193">
        <v>0</v>
      </c>
      <c r="I124" s="145"/>
      <c r="J124" s="146"/>
      <c r="K124" s="146"/>
      <c r="L124" s="146"/>
      <c r="M124" s="146"/>
      <c r="N124" s="146"/>
      <c r="O124" s="146"/>
      <c r="P124" s="146"/>
      <c r="Q124" s="146"/>
      <c r="R124" s="146"/>
      <c r="S124" s="147"/>
      <c r="T124" s="147"/>
      <c r="U124" s="147"/>
      <c r="V124" s="147"/>
    </row>
    <row r="125" spans="1:22" s="21" customFormat="1" ht="15">
      <c r="A125" s="144">
        <v>120</v>
      </c>
      <c r="B125" s="188" t="s">
        <v>437</v>
      </c>
      <c r="C125" s="189" t="s">
        <v>441</v>
      </c>
      <c r="D125" s="190"/>
      <c r="E125" s="191">
        <v>64</v>
      </c>
      <c r="F125" s="192" t="s">
        <v>398</v>
      </c>
      <c r="G125" s="190" t="s">
        <v>77</v>
      </c>
      <c r="H125" s="193">
        <v>0</v>
      </c>
      <c r="I125" s="145"/>
      <c r="J125" s="146"/>
      <c r="K125" s="146"/>
      <c r="L125" s="146"/>
      <c r="M125" s="146"/>
      <c r="N125" s="146"/>
      <c r="O125" s="146"/>
      <c r="P125" s="146"/>
      <c r="Q125" s="146"/>
      <c r="R125" s="146"/>
      <c r="S125" s="147"/>
      <c r="T125" s="147"/>
      <c r="U125" s="147"/>
      <c r="V125" s="147"/>
    </row>
    <row r="126" spans="1:22" s="21" customFormat="1" ht="15">
      <c r="A126" s="144">
        <v>121</v>
      </c>
      <c r="B126" s="188" t="s">
        <v>437</v>
      </c>
      <c r="C126" s="189" t="s">
        <v>442</v>
      </c>
      <c r="D126" s="190"/>
      <c r="E126" s="191">
        <v>52</v>
      </c>
      <c r="F126" s="192" t="s">
        <v>145</v>
      </c>
      <c r="G126" s="190" t="s">
        <v>77</v>
      </c>
      <c r="H126" s="193">
        <v>4497500</v>
      </c>
      <c r="I126" s="145"/>
      <c r="J126" s="146"/>
      <c r="K126" s="146"/>
      <c r="L126" s="146"/>
      <c r="M126" s="146"/>
      <c r="N126" s="146"/>
      <c r="O126" s="146"/>
      <c r="P126" s="146"/>
      <c r="Q126" s="146"/>
      <c r="R126" s="146"/>
      <c r="S126" s="147"/>
      <c r="T126" s="147"/>
      <c r="U126" s="147"/>
      <c r="V126" s="147"/>
    </row>
    <row r="127" spans="1:22" s="21" customFormat="1" ht="15">
      <c r="A127" s="144">
        <v>122</v>
      </c>
      <c r="B127" s="188" t="s">
        <v>437</v>
      </c>
      <c r="C127" s="189" t="s">
        <v>442</v>
      </c>
      <c r="D127" s="190"/>
      <c r="E127" s="191">
        <v>52</v>
      </c>
      <c r="F127" s="192" t="s">
        <v>145</v>
      </c>
      <c r="G127" s="190" t="s">
        <v>77</v>
      </c>
      <c r="H127" s="193">
        <v>0</v>
      </c>
      <c r="I127" s="145"/>
      <c r="J127" s="146"/>
      <c r="K127" s="146"/>
      <c r="L127" s="146"/>
      <c r="M127" s="146"/>
      <c r="N127" s="146"/>
      <c r="O127" s="146"/>
      <c r="P127" s="146"/>
      <c r="Q127" s="146"/>
      <c r="R127" s="146"/>
      <c r="S127" s="147"/>
      <c r="T127" s="147"/>
      <c r="U127" s="147"/>
      <c r="V127" s="147"/>
    </row>
    <row r="128" spans="1:22" s="21" customFormat="1" ht="15">
      <c r="A128" s="144">
        <v>123</v>
      </c>
      <c r="B128" s="188" t="s">
        <v>443</v>
      </c>
      <c r="C128" s="189" t="s">
        <v>444</v>
      </c>
      <c r="D128" s="190">
        <v>38</v>
      </c>
      <c r="E128" s="191"/>
      <c r="F128" s="192" t="s">
        <v>93</v>
      </c>
      <c r="G128" s="190" t="s">
        <v>77</v>
      </c>
      <c r="H128" s="193">
        <v>3525500</v>
      </c>
      <c r="I128" s="145"/>
      <c r="J128" s="146"/>
      <c r="K128" s="146"/>
      <c r="L128" s="146"/>
      <c r="M128" s="146"/>
      <c r="N128" s="146"/>
      <c r="O128" s="146"/>
      <c r="P128" s="146"/>
      <c r="Q128" s="146"/>
      <c r="R128" s="146"/>
      <c r="S128" s="147"/>
      <c r="T128" s="147"/>
      <c r="U128" s="147"/>
      <c r="V128" s="147"/>
    </row>
    <row r="129" spans="1:22" s="21" customFormat="1" ht="15">
      <c r="A129" s="144">
        <v>124</v>
      </c>
      <c r="B129" s="188" t="s">
        <v>443</v>
      </c>
      <c r="C129" s="189" t="s">
        <v>377</v>
      </c>
      <c r="D129" s="190"/>
      <c r="E129" s="191">
        <v>69</v>
      </c>
      <c r="F129" s="192" t="s">
        <v>445</v>
      </c>
      <c r="G129" s="190" t="s">
        <v>79</v>
      </c>
      <c r="H129" s="193">
        <v>2897500</v>
      </c>
      <c r="I129" s="145"/>
      <c r="J129" s="146"/>
      <c r="K129" s="146"/>
      <c r="L129" s="146"/>
      <c r="M129" s="146"/>
      <c r="N129" s="146"/>
      <c r="O129" s="146"/>
      <c r="P129" s="146"/>
      <c r="Q129" s="146"/>
      <c r="R129" s="146"/>
      <c r="S129" s="147"/>
      <c r="T129" s="147"/>
      <c r="U129" s="147"/>
      <c r="V129" s="147"/>
    </row>
    <row r="130" spans="1:22" s="21" customFormat="1" ht="15">
      <c r="A130" s="144">
        <v>125</v>
      </c>
      <c r="B130" s="188" t="s">
        <v>443</v>
      </c>
      <c r="C130" s="189" t="s">
        <v>446</v>
      </c>
      <c r="D130" s="190"/>
      <c r="E130" s="191">
        <v>44</v>
      </c>
      <c r="F130" s="192" t="s">
        <v>138</v>
      </c>
      <c r="G130" s="190" t="s">
        <v>79</v>
      </c>
      <c r="H130" s="193">
        <v>2697300</v>
      </c>
      <c r="I130" s="145"/>
      <c r="J130" s="146"/>
      <c r="K130" s="146"/>
      <c r="L130" s="146"/>
      <c r="M130" s="146"/>
      <c r="N130" s="146"/>
      <c r="O130" s="146"/>
      <c r="P130" s="146"/>
      <c r="Q130" s="146"/>
      <c r="R130" s="146"/>
      <c r="S130" s="147"/>
      <c r="T130" s="147"/>
      <c r="U130" s="147"/>
      <c r="V130" s="147"/>
    </row>
    <row r="131" spans="1:22" s="21" customFormat="1" ht="15">
      <c r="A131" s="144">
        <v>126</v>
      </c>
      <c r="B131" s="188" t="s">
        <v>443</v>
      </c>
      <c r="C131" s="189" t="s">
        <v>447</v>
      </c>
      <c r="D131" s="190"/>
      <c r="E131" s="191">
        <v>19</v>
      </c>
      <c r="F131" s="192" t="s">
        <v>326</v>
      </c>
      <c r="G131" s="190" t="s">
        <v>78</v>
      </c>
      <c r="H131" s="193">
        <v>2559100</v>
      </c>
      <c r="I131" s="145"/>
      <c r="J131" s="146"/>
      <c r="K131" s="146"/>
      <c r="L131" s="146"/>
      <c r="M131" s="146"/>
      <c r="N131" s="146"/>
      <c r="O131" s="146"/>
      <c r="P131" s="146"/>
      <c r="Q131" s="146"/>
      <c r="R131" s="146"/>
      <c r="S131" s="147"/>
      <c r="T131" s="147"/>
      <c r="U131" s="147"/>
      <c r="V131" s="147"/>
    </row>
    <row r="132" spans="1:22" s="21" customFormat="1" ht="15">
      <c r="A132" s="144">
        <v>127</v>
      </c>
      <c r="B132" s="188" t="s">
        <v>443</v>
      </c>
      <c r="C132" s="189" t="s">
        <v>448</v>
      </c>
      <c r="D132" s="190"/>
      <c r="E132" s="191">
        <v>68</v>
      </c>
      <c r="F132" s="192" t="s">
        <v>343</v>
      </c>
      <c r="G132" s="190" t="s">
        <v>77</v>
      </c>
      <c r="H132" s="193">
        <v>3279400</v>
      </c>
      <c r="I132" s="145"/>
      <c r="J132" s="146"/>
      <c r="K132" s="146"/>
      <c r="L132" s="146"/>
      <c r="M132" s="146"/>
      <c r="N132" s="146"/>
      <c r="O132" s="146"/>
      <c r="P132" s="146"/>
      <c r="Q132" s="146"/>
      <c r="R132" s="146"/>
      <c r="S132" s="147"/>
      <c r="T132" s="147"/>
      <c r="U132" s="147"/>
      <c r="V132" s="147"/>
    </row>
    <row r="133" spans="1:22" s="21" customFormat="1" ht="15">
      <c r="A133" s="144">
        <v>128</v>
      </c>
      <c r="B133" s="188" t="s">
        <v>449</v>
      </c>
      <c r="C133" s="189" t="s">
        <v>450</v>
      </c>
      <c r="D133" s="190">
        <v>34</v>
      </c>
      <c r="E133" s="191"/>
      <c r="F133" s="192" t="s">
        <v>145</v>
      </c>
      <c r="G133" s="190" t="s">
        <v>77</v>
      </c>
      <c r="H133" s="193">
        <v>4497500</v>
      </c>
      <c r="I133" s="145"/>
      <c r="J133" s="146"/>
      <c r="K133" s="146"/>
      <c r="L133" s="146"/>
      <c r="M133" s="146"/>
      <c r="N133" s="146"/>
      <c r="O133" s="146"/>
      <c r="P133" s="146"/>
      <c r="Q133" s="146"/>
      <c r="R133" s="146"/>
      <c r="S133" s="147"/>
      <c r="T133" s="147"/>
      <c r="U133" s="147"/>
      <c r="V133" s="147"/>
    </row>
    <row r="134" spans="1:22" s="21" customFormat="1" ht="15">
      <c r="A134" s="144">
        <v>129</v>
      </c>
      <c r="B134" s="188" t="s">
        <v>449</v>
      </c>
      <c r="C134" s="189" t="s">
        <v>451</v>
      </c>
      <c r="D134" s="190">
        <v>42</v>
      </c>
      <c r="E134" s="191"/>
      <c r="F134" s="192" t="s">
        <v>145</v>
      </c>
      <c r="G134" s="190" t="s">
        <v>77</v>
      </c>
      <c r="H134" s="193">
        <v>4497500</v>
      </c>
      <c r="I134" s="145"/>
      <c r="J134" s="146"/>
      <c r="K134" s="146"/>
      <c r="L134" s="146"/>
      <c r="M134" s="146"/>
      <c r="N134" s="146"/>
      <c r="O134" s="146"/>
      <c r="P134" s="146"/>
      <c r="Q134" s="146"/>
      <c r="R134" s="146"/>
      <c r="S134" s="147"/>
      <c r="T134" s="147"/>
      <c r="U134" s="147"/>
      <c r="V134" s="147"/>
    </row>
    <row r="135" spans="1:22" s="21" customFormat="1" ht="15">
      <c r="A135" s="144">
        <v>130</v>
      </c>
      <c r="B135" s="188" t="s">
        <v>449</v>
      </c>
      <c r="C135" s="189" t="s">
        <v>436</v>
      </c>
      <c r="D135" s="190">
        <v>45</v>
      </c>
      <c r="E135" s="191"/>
      <c r="F135" s="192" t="s">
        <v>137</v>
      </c>
      <c r="G135" s="190" t="s">
        <v>78</v>
      </c>
      <c r="H135" s="193">
        <v>0</v>
      </c>
      <c r="I135" s="145"/>
      <c r="J135" s="146"/>
      <c r="K135" s="146"/>
      <c r="L135" s="146"/>
      <c r="M135" s="146"/>
      <c r="N135" s="146"/>
      <c r="O135" s="146"/>
      <c r="P135" s="146"/>
      <c r="Q135" s="146"/>
      <c r="R135" s="146"/>
      <c r="S135" s="147"/>
      <c r="T135" s="147"/>
      <c r="U135" s="147"/>
      <c r="V135" s="147"/>
    </row>
    <row r="136" spans="1:22" s="21" customFormat="1" ht="15">
      <c r="A136" s="144">
        <v>131</v>
      </c>
      <c r="B136" s="188" t="s">
        <v>449</v>
      </c>
      <c r="C136" s="189" t="s">
        <v>452</v>
      </c>
      <c r="D136" s="190"/>
      <c r="E136" s="191">
        <v>30</v>
      </c>
      <c r="F136" s="192" t="s">
        <v>137</v>
      </c>
      <c r="G136" s="190" t="s">
        <v>78</v>
      </c>
      <c r="H136" s="193">
        <v>2128200</v>
      </c>
      <c r="I136" s="145"/>
      <c r="J136" s="146"/>
      <c r="K136" s="146"/>
      <c r="L136" s="146"/>
      <c r="M136" s="146"/>
      <c r="N136" s="146"/>
      <c r="O136" s="146"/>
      <c r="P136" s="146"/>
      <c r="Q136" s="146"/>
      <c r="R136" s="146"/>
      <c r="S136" s="147"/>
      <c r="T136" s="147"/>
      <c r="U136" s="147"/>
      <c r="V136" s="147"/>
    </row>
    <row r="137" spans="1:22" s="21" customFormat="1" ht="15">
      <c r="A137" s="144">
        <v>132</v>
      </c>
      <c r="B137" s="188" t="s">
        <v>453</v>
      </c>
      <c r="C137" s="189" t="s">
        <v>454</v>
      </c>
      <c r="D137" s="190"/>
      <c r="E137" s="191">
        <v>26</v>
      </c>
      <c r="F137" s="192" t="s">
        <v>326</v>
      </c>
      <c r="G137" s="190" t="s">
        <v>78</v>
      </c>
      <c r="H137" s="193">
        <v>2559100</v>
      </c>
      <c r="I137" s="145"/>
      <c r="J137" s="146"/>
      <c r="K137" s="146"/>
      <c r="L137" s="146"/>
      <c r="M137" s="146"/>
      <c r="N137" s="146"/>
      <c r="O137" s="146"/>
      <c r="P137" s="146"/>
      <c r="Q137" s="146"/>
      <c r="R137" s="146"/>
      <c r="S137" s="147"/>
      <c r="T137" s="147"/>
      <c r="U137" s="147"/>
      <c r="V137" s="147"/>
    </row>
    <row r="138" spans="1:22" s="21" customFormat="1" ht="15">
      <c r="A138" s="144">
        <v>133</v>
      </c>
      <c r="B138" s="188" t="s">
        <v>453</v>
      </c>
      <c r="C138" s="189" t="s">
        <v>455</v>
      </c>
      <c r="D138" s="190">
        <v>88</v>
      </c>
      <c r="E138" s="191"/>
      <c r="F138" s="192" t="s">
        <v>139</v>
      </c>
      <c r="G138" s="190" t="s">
        <v>79</v>
      </c>
      <c r="H138" s="193">
        <v>3897500</v>
      </c>
      <c r="I138" s="145"/>
      <c r="J138" s="146"/>
      <c r="K138" s="146"/>
      <c r="L138" s="146"/>
      <c r="M138" s="146"/>
      <c r="N138" s="146"/>
      <c r="O138" s="146"/>
      <c r="P138" s="146"/>
      <c r="Q138" s="146"/>
      <c r="R138" s="146"/>
      <c r="S138" s="147"/>
      <c r="T138" s="147"/>
      <c r="U138" s="147"/>
      <c r="V138" s="147"/>
    </row>
    <row r="139" spans="1:22" s="21" customFormat="1" ht="15">
      <c r="A139" s="144">
        <v>134</v>
      </c>
      <c r="B139" s="188" t="s">
        <v>453</v>
      </c>
      <c r="C139" s="189" t="s">
        <v>174</v>
      </c>
      <c r="D139" s="190"/>
      <c r="E139" s="191">
        <v>67</v>
      </c>
      <c r="F139" s="192" t="s">
        <v>133</v>
      </c>
      <c r="G139" s="190" t="s">
        <v>77</v>
      </c>
      <c r="H139" s="193">
        <v>3525500</v>
      </c>
      <c r="I139" s="145"/>
      <c r="J139" s="146"/>
      <c r="K139" s="146"/>
      <c r="L139" s="146"/>
      <c r="M139" s="146"/>
      <c r="N139" s="146"/>
      <c r="O139" s="146"/>
      <c r="P139" s="146"/>
      <c r="Q139" s="146"/>
      <c r="R139" s="146"/>
      <c r="S139" s="147"/>
      <c r="T139" s="147"/>
      <c r="U139" s="147"/>
      <c r="V139" s="147"/>
    </row>
    <row r="140" spans="1:22" s="21" customFormat="1" ht="15">
      <c r="A140" s="144">
        <v>135</v>
      </c>
      <c r="B140" s="188" t="s">
        <v>453</v>
      </c>
      <c r="C140" s="189" t="s">
        <v>456</v>
      </c>
      <c r="D140" s="190">
        <v>63</v>
      </c>
      <c r="E140" s="191"/>
      <c r="F140" s="192" t="s">
        <v>457</v>
      </c>
      <c r="G140" s="190"/>
      <c r="H140" s="193">
        <v>8993000</v>
      </c>
      <c r="I140" s="145"/>
      <c r="J140" s="146"/>
      <c r="K140" s="146"/>
      <c r="L140" s="146"/>
      <c r="M140" s="146"/>
      <c r="N140" s="146"/>
      <c r="O140" s="146"/>
      <c r="P140" s="146"/>
      <c r="Q140" s="146"/>
      <c r="R140" s="146"/>
      <c r="S140" s="147"/>
      <c r="T140" s="147"/>
      <c r="U140" s="147"/>
      <c r="V140" s="147"/>
    </row>
    <row r="141" spans="1:22" s="21" customFormat="1" ht="15">
      <c r="A141" s="144">
        <v>136</v>
      </c>
      <c r="B141" s="188" t="s">
        <v>458</v>
      </c>
      <c r="C141" s="189" t="s">
        <v>459</v>
      </c>
      <c r="D141" s="190">
        <v>72</v>
      </c>
      <c r="E141" s="191"/>
      <c r="F141" s="192" t="s">
        <v>133</v>
      </c>
      <c r="G141" s="190" t="s">
        <v>77</v>
      </c>
      <c r="H141" s="193">
        <v>3525500</v>
      </c>
      <c r="I141" s="145"/>
      <c r="J141" s="146"/>
      <c r="K141" s="146"/>
      <c r="L141" s="146"/>
      <c r="M141" s="146"/>
      <c r="N141" s="146"/>
      <c r="O141" s="146"/>
      <c r="P141" s="146"/>
      <c r="Q141" s="146"/>
      <c r="R141" s="146"/>
      <c r="S141" s="147"/>
      <c r="T141" s="147"/>
      <c r="U141" s="147"/>
      <c r="V141" s="147"/>
    </row>
    <row r="142" spans="1:22" s="21" customFormat="1" ht="15">
      <c r="A142" s="144">
        <v>137</v>
      </c>
      <c r="B142" s="188" t="s">
        <v>458</v>
      </c>
      <c r="C142" s="189" t="s">
        <v>460</v>
      </c>
      <c r="D142" s="190"/>
      <c r="E142" s="191">
        <v>59</v>
      </c>
      <c r="F142" s="192" t="s">
        <v>366</v>
      </c>
      <c r="G142" s="190" t="s">
        <v>77</v>
      </c>
      <c r="H142" s="193">
        <v>4497500</v>
      </c>
      <c r="I142" s="145"/>
      <c r="J142" s="146"/>
      <c r="K142" s="146"/>
      <c r="L142" s="146"/>
      <c r="M142" s="146"/>
      <c r="N142" s="146"/>
      <c r="O142" s="146"/>
      <c r="P142" s="146"/>
      <c r="Q142" s="146"/>
      <c r="R142" s="146"/>
      <c r="S142" s="147"/>
      <c r="T142" s="147"/>
      <c r="U142" s="147"/>
      <c r="V142" s="147"/>
    </row>
    <row r="143" spans="1:22" s="21" customFormat="1" ht="15">
      <c r="A143" s="144">
        <v>138</v>
      </c>
      <c r="B143" s="188" t="s">
        <v>461</v>
      </c>
      <c r="C143" s="189" t="s">
        <v>462</v>
      </c>
      <c r="D143" s="190">
        <v>57</v>
      </c>
      <c r="E143" s="191"/>
      <c r="F143" s="192" t="s">
        <v>137</v>
      </c>
      <c r="G143" s="190" t="s">
        <v>78</v>
      </c>
      <c r="H143" s="193">
        <v>2128200</v>
      </c>
      <c r="I143" s="145"/>
      <c r="J143" s="146"/>
      <c r="K143" s="146"/>
      <c r="L143" s="146"/>
      <c r="M143" s="146"/>
      <c r="N143" s="146"/>
      <c r="O143" s="146"/>
      <c r="P143" s="146"/>
      <c r="Q143" s="146"/>
      <c r="R143" s="146"/>
      <c r="S143" s="147"/>
      <c r="T143" s="147"/>
      <c r="U143" s="147"/>
      <c r="V143" s="147"/>
    </row>
    <row r="144" spans="1:22" s="21" customFormat="1" ht="15">
      <c r="A144" s="144">
        <v>139</v>
      </c>
      <c r="B144" s="188" t="s">
        <v>463</v>
      </c>
      <c r="C144" s="189" t="s">
        <v>464</v>
      </c>
      <c r="D144" s="190">
        <v>69</v>
      </c>
      <c r="E144" s="191"/>
      <c r="F144" s="192" t="s">
        <v>395</v>
      </c>
      <c r="G144" s="190" t="s">
        <v>77</v>
      </c>
      <c r="H144" s="193">
        <v>3525500</v>
      </c>
      <c r="I144" s="145"/>
      <c r="J144" s="146"/>
      <c r="K144" s="146"/>
      <c r="L144" s="146"/>
      <c r="M144" s="146"/>
      <c r="N144" s="146"/>
      <c r="O144" s="146"/>
      <c r="P144" s="146"/>
      <c r="Q144" s="146"/>
      <c r="R144" s="146"/>
      <c r="S144" s="147"/>
      <c r="T144" s="147"/>
      <c r="U144" s="147"/>
      <c r="V144" s="147"/>
    </row>
    <row r="145" spans="1:22" s="21" customFormat="1" ht="15">
      <c r="A145" s="144">
        <v>140</v>
      </c>
      <c r="B145" s="188" t="s">
        <v>463</v>
      </c>
      <c r="C145" s="189" t="s">
        <v>465</v>
      </c>
      <c r="D145" s="190"/>
      <c r="E145" s="191">
        <v>76</v>
      </c>
      <c r="F145" s="192" t="s">
        <v>466</v>
      </c>
      <c r="G145" s="190" t="s">
        <v>77</v>
      </c>
      <c r="H145" s="193">
        <v>3525500</v>
      </c>
      <c r="I145" s="145"/>
      <c r="J145" s="146"/>
      <c r="K145" s="146"/>
      <c r="L145" s="146"/>
      <c r="M145" s="146"/>
      <c r="N145" s="146"/>
      <c r="O145" s="146"/>
      <c r="P145" s="146"/>
      <c r="Q145" s="146"/>
      <c r="R145" s="146"/>
      <c r="S145" s="147"/>
      <c r="T145" s="147"/>
      <c r="U145" s="147"/>
      <c r="V145" s="147"/>
    </row>
    <row r="146" spans="1:22" s="21" customFormat="1" ht="15">
      <c r="A146" s="144">
        <v>141</v>
      </c>
      <c r="B146" s="188" t="s">
        <v>463</v>
      </c>
      <c r="C146" s="189" t="s">
        <v>467</v>
      </c>
      <c r="D146" s="190">
        <v>57</v>
      </c>
      <c r="E146" s="191"/>
      <c r="F146" s="192" t="s">
        <v>145</v>
      </c>
      <c r="G146" s="190" t="s">
        <v>77</v>
      </c>
      <c r="H146" s="193">
        <v>4497500</v>
      </c>
      <c r="I146" s="145"/>
      <c r="J146" s="146"/>
      <c r="K146" s="146"/>
      <c r="L146" s="146"/>
      <c r="M146" s="146"/>
      <c r="N146" s="146"/>
      <c r="O146" s="146"/>
      <c r="P146" s="146"/>
      <c r="Q146" s="146"/>
      <c r="R146" s="146"/>
      <c r="S146" s="147"/>
      <c r="T146" s="147"/>
      <c r="U146" s="147"/>
      <c r="V146" s="147"/>
    </row>
    <row r="147" spans="1:22" s="21" customFormat="1" ht="15">
      <c r="A147" s="144">
        <v>142</v>
      </c>
      <c r="B147" s="188" t="s">
        <v>463</v>
      </c>
      <c r="C147" s="189" t="s">
        <v>468</v>
      </c>
      <c r="D147" s="190"/>
      <c r="E147" s="191">
        <v>49</v>
      </c>
      <c r="F147" s="192" t="s">
        <v>145</v>
      </c>
      <c r="G147" s="190" t="s">
        <v>77</v>
      </c>
      <c r="H147" s="193">
        <v>4497500</v>
      </c>
      <c r="I147" s="145"/>
      <c r="J147" s="146"/>
      <c r="K147" s="146"/>
      <c r="L147" s="146"/>
      <c r="M147" s="146"/>
      <c r="N147" s="146"/>
      <c r="O147" s="146"/>
      <c r="P147" s="146"/>
      <c r="Q147" s="146"/>
      <c r="R147" s="146"/>
      <c r="S147" s="147"/>
      <c r="T147" s="147"/>
      <c r="U147" s="147"/>
      <c r="V147" s="147"/>
    </row>
    <row r="148" spans="1:22" s="21" customFormat="1" ht="15">
      <c r="A148" s="144">
        <v>144</v>
      </c>
      <c r="B148" s="188" t="s">
        <v>463</v>
      </c>
      <c r="C148" s="189" t="s">
        <v>469</v>
      </c>
      <c r="D148" s="190">
        <v>69</v>
      </c>
      <c r="E148" s="191"/>
      <c r="F148" s="192" t="s">
        <v>172</v>
      </c>
      <c r="G148" s="190" t="s">
        <v>78</v>
      </c>
      <c r="H148" s="193">
        <v>0</v>
      </c>
      <c r="I148" s="145"/>
      <c r="J148" s="146"/>
      <c r="K148" s="146"/>
      <c r="L148" s="146"/>
      <c r="M148" s="146"/>
      <c r="N148" s="146"/>
      <c r="O148" s="146"/>
      <c r="P148" s="146"/>
      <c r="Q148" s="146"/>
      <c r="R148" s="146"/>
      <c r="S148" s="147"/>
      <c r="T148" s="147"/>
      <c r="U148" s="147"/>
      <c r="V148" s="147"/>
    </row>
    <row r="149" spans="1:22" s="21" customFormat="1" ht="15">
      <c r="A149" s="144">
        <v>145</v>
      </c>
      <c r="B149" s="188" t="s">
        <v>463</v>
      </c>
      <c r="C149" s="189" t="s">
        <v>470</v>
      </c>
      <c r="D149" s="190"/>
      <c r="E149" s="191">
        <v>33</v>
      </c>
      <c r="F149" s="192" t="s">
        <v>471</v>
      </c>
      <c r="G149" s="190" t="s">
        <v>77</v>
      </c>
      <c r="H149" s="193">
        <v>3405500</v>
      </c>
      <c r="I149" s="145"/>
      <c r="J149" s="146"/>
      <c r="K149" s="146"/>
      <c r="L149" s="146"/>
      <c r="M149" s="146"/>
      <c r="N149" s="146"/>
      <c r="O149" s="146"/>
      <c r="P149" s="146"/>
      <c r="Q149" s="146"/>
      <c r="R149" s="146"/>
      <c r="S149" s="147"/>
      <c r="T149" s="147"/>
      <c r="U149" s="147"/>
      <c r="V149" s="147"/>
    </row>
    <row r="150" spans="1:22" s="21" customFormat="1" ht="15">
      <c r="A150" s="144">
        <v>146</v>
      </c>
      <c r="B150" s="188" t="s">
        <v>463</v>
      </c>
      <c r="C150" s="189" t="s">
        <v>470</v>
      </c>
      <c r="D150" s="190"/>
      <c r="E150" s="191">
        <v>33</v>
      </c>
      <c r="F150" s="192" t="s">
        <v>440</v>
      </c>
      <c r="G150" s="190" t="s">
        <v>77</v>
      </c>
      <c r="H150" s="193">
        <v>0</v>
      </c>
      <c r="I150" s="145"/>
      <c r="J150" s="146"/>
      <c r="K150" s="146"/>
      <c r="L150" s="146"/>
      <c r="M150" s="146"/>
      <c r="N150" s="146"/>
      <c r="O150" s="146"/>
      <c r="P150" s="146"/>
      <c r="Q150" s="146"/>
      <c r="R150" s="146"/>
      <c r="S150" s="147"/>
      <c r="T150" s="147"/>
      <c r="U150" s="147"/>
      <c r="V150" s="147"/>
    </row>
    <row r="151" spans="1:22" s="21" customFormat="1" ht="15">
      <c r="A151" s="144">
        <v>147</v>
      </c>
      <c r="B151" s="188" t="s">
        <v>463</v>
      </c>
      <c r="C151" s="189" t="s">
        <v>472</v>
      </c>
      <c r="D151" s="190">
        <v>50</v>
      </c>
      <c r="E151" s="191"/>
      <c r="F151" s="192" t="s">
        <v>180</v>
      </c>
      <c r="G151" s="190" t="s">
        <v>79</v>
      </c>
      <c r="H151" s="193">
        <v>3397500</v>
      </c>
      <c r="I151" s="145"/>
      <c r="J151" s="146"/>
      <c r="K151" s="146"/>
      <c r="L151" s="146"/>
      <c r="M151" s="146"/>
      <c r="N151" s="146"/>
      <c r="O151" s="146"/>
      <c r="P151" s="146"/>
      <c r="Q151" s="146"/>
      <c r="R151" s="146"/>
      <c r="S151" s="147"/>
      <c r="T151" s="147"/>
      <c r="U151" s="147"/>
      <c r="V151" s="147"/>
    </row>
    <row r="152" spans="1:22" s="21" customFormat="1" ht="15">
      <c r="A152" s="144">
        <v>148</v>
      </c>
      <c r="B152" s="188" t="s">
        <v>473</v>
      </c>
      <c r="C152" s="189" t="s">
        <v>474</v>
      </c>
      <c r="D152" s="190"/>
      <c r="E152" s="191">
        <v>72</v>
      </c>
      <c r="F152" s="192" t="s">
        <v>475</v>
      </c>
      <c r="G152" s="190" t="s">
        <v>476</v>
      </c>
      <c r="H152" s="193">
        <v>5129900</v>
      </c>
      <c r="I152" s="145"/>
      <c r="J152" s="146"/>
      <c r="K152" s="146"/>
      <c r="L152" s="146"/>
      <c r="M152" s="146"/>
      <c r="N152" s="146"/>
      <c r="O152" s="146"/>
      <c r="P152" s="146"/>
      <c r="Q152" s="146"/>
      <c r="R152" s="146"/>
      <c r="S152" s="147"/>
      <c r="T152" s="147"/>
      <c r="U152" s="147"/>
      <c r="V152" s="147"/>
    </row>
    <row r="153" spans="1:22" s="21" customFormat="1" ht="15">
      <c r="A153" s="144">
        <v>149</v>
      </c>
      <c r="B153" s="188" t="s">
        <v>473</v>
      </c>
      <c r="C153" s="189" t="s">
        <v>477</v>
      </c>
      <c r="D153" s="190">
        <v>46</v>
      </c>
      <c r="E153" s="191"/>
      <c r="F153" s="192" t="s">
        <v>326</v>
      </c>
      <c r="G153" s="190" t="s">
        <v>78</v>
      </c>
      <c r="H153" s="193">
        <v>2559100</v>
      </c>
      <c r="I153" s="145"/>
      <c r="J153" s="146"/>
      <c r="K153" s="146"/>
      <c r="L153" s="146"/>
      <c r="M153" s="146"/>
      <c r="N153" s="146"/>
      <c r="O153" s="146"/>
      <c r="P153" s="146"/>
      <c r="Q153" s="146"/>
      <c r="R153" s="146"/>
      <c r="S153" s="147"/>
      <c r="T153" s="147"/>
      <c r="U153" s="147"/>
      <c r="V153" s="147"/>
    </row>
    <row r="154" spans="1:22" s="21" customFormat="1" ht="15">
      <c r="A154" s="144">
        <v>150</v>
      </c>
      <c r="B154" s="188" t="s">
        <v>473</v>
      </c>
      <c r="C154" s="189" t="s">
        <v>478</v>
      </c>
      <c r="D154" s="190"/>
      <c r="E154" s="191">
        <v>64</v>
      </c>
      <c r="F154" s="192" t="s">
        <v>346</v>
      </c>
      <c r="G154" s="190" t="s">
        <v>79</v>
      </c>
      <c r="H154" s="193">
        <v>1301200</v>
      </c>
      <c r="I154" s="145"/>
      <c r="J154" s="146"/>
      <c r="K154" s="146"/>
      <c r="L154" s="146"/>
      <c r="M154" s="146"/>
      <c r="N154" s="146"/>
      <c r="O154" s="146"/>
      <c r="P154" s="146"/>
      <c r="Q154" s="146"/>
      <c r="R154" s="146"/>
      <c r="S154" s="147"/>
      <c r="T154" s="147"/>
      <c r="U154" s="147"/>
      <c r="V154" s="147"/>
    </row>
    <row r="155" spans="1:22" s="21" customFormat="1" ht="15">
      <c r="A155" s="144">
        <v>151</v>
      </c>
      <c r="B155" s="188" t="s">
        <v>473</v>
      </c>
      <c r="C155" s="189" t="s">
        <v>478</v>
      </c>
      <c r="D155" s="190"/>
      <c r="E155" s="191">
        <v>64</v>
      </c>
      <c r="F155" s="192" t="s">
        <v>346</v>
      </c>
      <c r="G155" s="190" t="s">
        <v>78</v>
      </c>
      <c r="H155" s="193">
        <v>0</v>
      </c>
      <c r="I155" s="145"/>
      <c r="J155" s="146"/>
      <c r="K155" s="146"/>
      <c r="L155" s="146"/>
      <c r="M155" s="146"/>
      <c r="N155" s="146"/>
      <c r="O155" s="146"/>
      <c r="P155" s="146"/>
      <c r="Q155" s="146"/>
      <c r="R155" s="146"/>
      <c r="S155" s="147"/>
      <c r="T155" s="147"/>
      <c r="U155" s="147"/>
      <c r="V155" s="147"/>
    </row>
    <row r="156" spans="1:22" s="21" customFormat="1" ht="15">
      <c r="A156" s="144">
        <v>152</v>
      </c>
      <c r="B156" s="188" t="s">
        <v>473</v>
      </c>
      <c r="C156" s="189" t="s">
        <v>479</v>
      </c>
      <c r="D156" s="190"/>
      <c r="E156" s="191">
        <v>41</v>
      </c>
      <c r="F156" s="192" t="s">
        <v>480</v>
      </c>
      <c r="G156" s="190" t="s">
        <v>78</v>
      </c>
      <c r="H156" s="193">
        <v>2496400</v>
      </c>
      <c r="I156" s="145"/>
      <c r="J156" s="146"/>
      <c r="K156" s="146"/>
      <c r="L156" s="146"/>
      <c r="M156" s="146"/>
      <c r="N156" s="146"/>
      <c r="O156" s="146"/>
      <c r="P156" s="146"/>
      <c r="Q156" s="146"/>
      <c r="R156" s="146"/>
      <c r="S156" s="147"/>
      <c r="T156" s="147"/>
      <c r="U156" s="147"/>
      <c r="V156" s="147"/>
    </row>
    <row r="157" spans="1:22" s="21" customFormat="1" ht="15">
      <c r="A157" s="144"/>
      <c r="B157" s="188"/>
      <c r="C157" s="189"/>
      <c r="D157" s="190"/>
      <c r="E157" s="191"/>
      <c r="F157" s="192"/>
      <c r="G157" s="190"/>
      <c r="H157" s="193"/>
      <c r="I157" s="145"/>
      <c r="J157" s="146"/>
      <c r="K157" s="146"/>
      <c r="L157" s="146"/>
      <c r="M157" s="146"/>
      <c r="N157" s="146"/>
      <c r="O157" s="146"/>
      <c r="P157" s="146"/>
      <c r="Q157" s="146"/>
      <c r="R157" s="146"/>
      <c r="S157" s="147"/>
      <c r="T157" s="147"/>
      <c r="U157" s="147"/>
      <c r="V157" s="147"/>
    </row>
    <row r="158" spans="1:22" s="21" customFormat="1" ht="15">
      <c r="A158" s="144"/>
      <c r="B158" s="188"/>
      <c r="C158" s="189"/>
      <c r="D158" s="190"/>
      <c r="E158" s="191"/>
      <c r="F158" s="192"/>
      <c r="G158" s="190"/>
      <c r="H158" s="193"/>
      <c r="I158" s="145"/>
      <c r="J158" s="146"/>
      <c r="K158" s="146"/>
      <c r="L158" s="146"/>
      <c r="M158" s="146"/>
      <c r="N158" s="146"/>
      <c r="O158" s="146"/>
      <c r="P158" s="146"/>
      <c r="Q158" s="146"/>
      <c r="R158" s="146"/>
      <c r="S158" s="147"/>
      <c r="T158" s="147"/>
      <c r="U158" s="147"/>
      <c r="V158" s="147"/>
    </row>
    <row r="159" spans="1:22" s="21" customFormat="1" ht="15">
      <c r="A159" s="144"/>
      <c r="B159" s="188"/>
      <c r="C159" s="189"/>
      <c r="D159" s="190"/>
      <c r="E159" s="191"/>
      <c r="F159" s="192"/>
      <c r="G159" s="190"/>
      <c r="H159" s="193"/>
      <c r="I159" s="145"/>
      <c r="J159" s="146"/>
      <c r="K159" s="146"/>
      <c r="L159" s="146"/>
      <c r="M159" s="146"/>
      <c r="N159" s="146"/>
      <c r="O159" s="146"/>
      <c r="P159" s="146"/>
      <c r="Q159" s="146"/>
      <c r="R159" s="146"/>
      <c r="S159" s="147"/>
      <c r="T159" s="147"/>
      <c r="U159" s="147"/>
      <c r="V159" s="147"/>
    </row>
    <row r="160" spans="1:22" s="21" customFormat="1" ht="15">
      <c r="A160" s="144"/>
      <c r="B160" s="188"/>
      <c r="C160" s="189"/>
      <c r="D160" s="190"/>
      <c r="E160" s="191"/>
      <c r="F160" s="192"/>
      <c r="G160" s="190"/>
      <c r="H160" s="193"/>
      <c r="I160" s="145"/>
      <c r="J160" s="146"/>
      <c r="K160" s="146"/>
      <c r="L160" s="146"/>
      <c r="M160" s="146"/>
      <c r="N160" s="146"/>
      <c r="O160" s="146"/>
      <c r="P160" s="146"/>
      <c r="Q160" s="146"/>
      <c r="R160" s="146"/>
      <c r="S160" s="147"/>
      <c r="T160" s="147"/>
      <c r="U160" s="147"/>
      <c r="V160" s="147"/>
    </row>
    <row r="161" spans="1:22" s="21" customFormat="1" ht="15">
      <c r="A161" s="144"/>
      <c r="B161" s="188"/>
      <c r="C161" s="189"/>
      <c r="D161" s="190"/>
      <c r="E161" s="191"/>
      <c r="F161" s="192"/>
      <c r="G161" s="190"/>
      <c r="H161" s="193"/>
      <c r="I161" s="145"/>
      <c r="J161" s="146"/>
      <c r="K161" s="146"/>
      <c r="L161" s="146"/>
      <c r="M161" s="146"/>
      <c r="N161" s="146"/>
      <c r="O161" s="146"/>
      <c r="P161" s="146"/>
      <c r="Q161" s="146"/>
      <c r="R161" s="146"/>
      <c r="S161" s="147"/>
      <c r="T161" s="147"/>
      <c r="U161" s="147"/>
      <c r="V161" s="147"/>
    </row>
    <row r="162" spans="1:22" s="21" customFormat="1" ht="15">
      <c r="A162" s="144"/>
      <c r="B162" s="188"/>
      <c r="C162" s="189"/>
      <c r="D162" s="190"/>
      <c r="E162" s="191"/>
      <c r="F162" s="192"/>
      <c r="G162" s="190"/>
      <c r="H162" s="193"/>
      <c r="I162" s="145"/>
      <c r="J162" s="146"/>
      <c r="K162" s="146"/>
      <c r="L162" s="146"/>
      <c r="M162" s="146"/>
      <c r="N162" s="146"/>
      <c r="O162" s="146"/>
      <c r="P162" s="146"/>
      <c r="Q162" s="146"/>
      <c r="R162" s="146"/>
      <c r="S162" s="147"/>
      <c r="T162" s="147"/>
      <c r="U162" s="147"/>
      <c r="V162" s="147"/>
    </row>
    <row r="163" spans="1:22" s="21" customFormat="1" ht="15">
      <c r="A163" s="144"/>
      <c r="B163" s="188"/>
      <c r="C163" s="189"/>
      <c r="D163" s="190"/>
      <c r="E163" s="191"/>
      <c r="F163" s="192"/>
      <c r="G163" s="190"/>
      <c r="H163" s="193"/>
      <c r="I163" s="145"/>
      <c r="J163" s="146"/>
      <c r="K163" s="146"/>
      <c r="L163" s="146"/>
      <c r="M163" s="146"/>
      <c r="N163" s="146"/>
      <c r="O163" s="146"/>
      <c r="P163" s="146"/>
      <c r="Q163" s="146"/>
      <c r="R163" s="146"/>
      <c r="S163" s="147"/>
      <c r="T163" s="147"/>
      <c r="U163" s="147"/>
      <c r="V163" s="147"/>
    </row>
    <row r="164" spans="1:22" s="21" customFormat="1" ht="15">
      <c r="A164" s="144"/>
      <c r="B164" s="188"/>
      <c r="C164" s="189"/>
      <c r="D164" s="190"/>
      <c r="E164" s="191"/>
      <c r="F164" s="192"/>
      <c r="G164" s="190"/>
      <c r="H164" s="193"/>
      <c r="I164" s="145"/>
      <c r="J164" s="146"/>
      <c r="K164" s="146"/>
      <c r="L164" s="146"/>
      <c r="M164" s="146"/>
      <c r="N164" s="146"/>
      <c r="O164" s="146"/>
      <c r="P164" s="146"/>
      <c r="Q164" s="146"/>
      <c r="R164" s="146"/>
      <c r="S164" s="147"/>
      <c r="T164" s="147"/>
      <c r="U164" s="147"/>
      <c r="V164" s="147"/>
    </row>
    <row r="165" spans="1:22" s="21" customFormat="1" ht="15">
      <c r="A165" s="144"/>
      <c r="B165" s="188"/>
      <c r="C165" s="189"/>
      <c r="D165" s="190"/>
      <c r="E165" s="191"/>
      <c r="F165" s="192"/>
      <c r="G165" s="190"/>
      <c r="H165" s="193"/>
      <c r="I165" s="145"/>
      <c r="J165" s="146"/>
      <c r="K165" s="146"/>
      <c r="L165" s="146"/>
      <c r="M165" s="146"/>
      <c r="N165" s="146"/>
      <c r="O165" s="146"/>
      <c r="P165" s="146"/>
      <c r="Q165" s="146"/>
      <c r="R165" s="146"/>
      <c r="S165" s="147"/>
      <c r="T165" s="147"/>
      <c r="U165" s="147"/>
      <c r="V165" s="147"/>
    </row>
    <row r="166" spans="1:22" s="21" customFormat="1" ht="15">
      <c r="A166" s="144"/>
      <c r="B166" s="188"/>
      <c r="C166" s="189"/>
      <c r="D166" s="190"/>
      <c r="E166" s="191"/>
      <c r="F166" s="192"/>
      <c r="G166" s="190"/>
      <c r="H166" s="193"/>
      <c r="I166" s="145"/>
      <c r="J166" s="146"/>
      <c r="K166" s="146"/>
      <c r="L166" s="146"/>
      <c r="M166" s="146"/>
      <c r="N166" s="146"/>
      <c r="O166" s="146"/>
      <c r="P166" s="146"/>
      <c r="Q166" s="146"/>
      <c r="R166" s="146"/>
      <c r="S166" s="147"/>
      <c r="T166" s="147"/>
      <c r="U166" s="147"/>
      <c r="V166" s="147"/>
    </row>
    <row r="167" spans="1:22" s="21" customFormat="1" ht="15">
      <c r="A167" s="144"/>
      <c r="B167" s="188"/>
      <c r="C167" s="189"/>
      <c r="D167" s="190"/>
      <c r="E167" s="191"/>
      <c r="F167" s="192"/>
      <c r="G167" s="190"/>
      <c r="H167" s="193"/>
      <c r="I167" s="145"/>
      <c r="J167" s="146"/>
      <c r="K167" s="146"/>
      <c r="L167" s="146"/>
      <c r="M167" s="146"/>
      <c r="N167" s="146"/>
      <c r="O167" s="146"/>
      <c r="P167" s="146"/>
      <c r="Q167" s="146"/>
      <c r="R167" s="146"/>
      <c r="S167" s="147"/>
      <c r="T167" s="147"/>
      <c r="U167" s="147"/>
      <c r="V167" s="147"/>
    </row>
    <row r="168" spans="1:22" s="21" customFormat="1" ht="15">
      <c r="A168" s="144"/>
      <c r="B168" s="188"/>
      <c r="C168" s="189"/>
      <c r="D168" s="190"/>
      <c r="E168" s="191"/>
      <c r="F168" s="192"/>
      <c r="G168" s="190"/>
      <c r="H168" s="193"/>
      <c r="I168" s="145"/>
      <c r="J168" s="146"/>
      <c r="K168" s="146"/>
      <c r="L168" s="146"/>
      <c r="M168" s="146"/>
      <c r="N168" s="146"/>
      <c r="O168" s="146"/>
      <c r="P168" s="146"/>
      <c r="Q168" s="146"/>
      <c r="R168" s="146"/>
      <c r="S168" s="147"/>
      <c r="T168" s="147"/>
      <c r="U168" s="147"/>
      <c r="V168" s="147"/>
    </row>
    <row r="169" spans="1:22" s="21" customFormat="1" ht="15">
      <c r="A169" s="144"/>
      <c r="B169" s="188"/>
      <c r="C169" s="189"/>
      <c r="D169" s="190"/>
      <c r="E169" s="191"/>
      <c r="F169" s="192"/>
      <c r="G169" s="190"/>
      <c r="H169" s="193"/>
      <c r="I169" s="145"/>
      <c r="J169" s="146"/>
      <c r="K169" s="146"/>
      <c r="L169" s="146"/>
      <c r="M169" s="146"/>
      <c r="N169" s="146"/>
      <c r="O169" s="146"/>
      <c r="P169" s="146"/>
      <c r="Q169" s="146"/>
      <c r="R169" s="146"/>
      <c r="S169" s="147"/>
      <c r="T169" s="147"/>
      <c r="U169" s="147"/>
      <c r="V169" s="147"/>
    </row>
    <row r="170" spans="1:22" s="21" customFormat="1" ht="15">
      <c r="A170" s="144"/>
      <c r="B170" s="188"/>
      <c r="C170" s="189"/>
      <c r="D170" s="190"/>
      <c r="E170" s="191"/>
      <c r="F170" s="192"/>
      <c r="G170" s="190"/>
      <c r="H170" s="193"/>
      <c r="I170" s="145"/>
      <c r="J170" s="146"/>
      <c r="K170" s="146"/>
      <c r="L170" s="146"/>
      <c r="M170" s="146"/>
      <c r="N170" s="146"/>
      <c r="O170" s="146"/>
      <c r="P170" s="146"/>
      <c r="Q170" s="146"/>
      <c r="R170" s="146"/>
      <c r="S170" s="147"/>
      <c r="T170" s="147"/>
      <c r="U170" s="147"/>
      <c r="V170" s="147"/>
    </row>
    <row r="171" spans="1:22" s="21" customFormat="1" ht="15">
      <c r="A171" s="144"/>
      <c r="B171" s="188"/>
      <c r="C171" s="189"/>
      <c r="D171" s="190"/>
      <c r="E171" s="191"/>
      <c r="F171" s="192"/>
      <c r="G171" s="190"/>
      <c r="H171" s="193"/>
      <c r="I171" s="145"/>
      <c r="J171" s="146"/>
      <c r="K171" s="146"/>
      <c r="L171" s="146"/>
      <c r="M171" s="146"/>
      <c r="N171" s="146"/>
      <c r="O171" s="146"/>
      <c r="P171" s="146"/>
      <c r="Q171" s="146"/>
      <c r="R171" s="146"/>
      <c r="S171" s="147"/>
      <c r="T171" s="147"/>
      <c r="U171" s="147"/>
      <c r="V171" s="147"/>
    </row>
    <row r="172" spans="1:22" s="21" customFormat="1" ht="15">
      <c r="A172" s="144"/>
      <c r="B172" s="188"/>
      <c r="C172" s="189"/>
      <c r="D172" s="190"/>
      <c r="E172" s="191"/>
      <c r="F172" s="192"/>
      <c r="G172" s="190"/>
      <c r="H172" s="193"/>
      <c r="I172" s="145"/>
      <c r="J172" s="146"/>
      <c r="K172" s="146"/>
      <c r="L172" s="146"/>
      <c r="M172" s="146"/>
      <c r="N172" s="146"/>
      <c r="O172" s="146"/>
      <c r="P172" s="146"/>
      <c r="Q172" s="146"/>
      <c r="R172" s="146"/>
      <c r="S172" s="147"/>
      <c r="T172" s="147"/>
      <c r="U172" s="147"/>
      <c r="V172" s="147"/>
    </row>
    <row r="173" spans="1:22" s="21" customFormat="1" ht="15">
      <c r="A173" s="144"/>
      <c r="B173" s="188"/>
      <c r="C173" s="189"/>
      <c r="D173" s="190"/>
      <c r="E173" s="191"/>
      <c r="F173" s="192"/>
      <c r="G173" s="190"/>
      <c r="H173" s="193"/>
      <c r="I173" s="145"/>
      <c r="J173" s="146"/>
      <c r="K173" s="146"/>
      <c r="L173" s="146"/>
      <c r="M173" s="146"/>
      <c r="N173" s="146"/>
      <c r="O173" s="146"/>
      <c r="P173" s="146"/>
      <c r="Q173" s="146"/>
      <c r="R173" s="146"/>
      <c r="S173" s="147"/>
      <c r="T173" s="147"/>
      <c r="U173" s="147"/>
      <c r="V173" s="147"/>
    </row>
    <row r="174" spans="1:22" s="21" customFormat="1" ht="15">
      <c r="A174" s="144"/>
      <c r="B174" s="188"/>
      <c r="C174" s="189"/>
      <c r="D174" s="190"/>
      <c r="E174" s="191"/>
      <c r="F174" s="192"/>
      <c r="G174" s="190"/>
      <c r="H174" s="193"/>
      <c r="I174" s="145"/>
      <c r="J174" s="146"/>
      <c r="K174" s="146"/>
      <c r="L174" s="146"/>
      <c r="M174" s="146"/>
      <c r="N174" s="146"/>
      <c r="O174" s="146"/>
      <c r="P174" s="146"/>
      <c r="Q174" s="146"/>
      <c r="R174" s="146"/>
      <c r="S174" s="147"/>
      <c r="T174" s="147"/>
      <c r="U174" s="147"/>
      <c r="V174" s="147"/>
    </row>
    <row r="175" spans="1:22" s="21" customFormat="1" ht="15">
      <c r="A175" s="144"/>
      <c r="B175" s="188"/>
      <c r="C175" s="189"/>
      <c r="D175" s="190"/>
      <c r="E175" s="191"/>
      <c r="F175" s="192"/>
      <c r="G175" s="190"/>
      <c r="H175" s="193"/>
      <c r="I175" s="145"/>
      <c r="J175" s="146"/>
      <c r="K175" s="146"/>
      <c r="L175" s="146"/>
      <c r="M175" s="146"/>
      <c r="N175" s="146"/>
      <c r="O175" s="146"/>
      <c r="P175" s="146"/>
      <c r="Q175" s="146"/>
      <c r="R175" s="146"/>
      <c r="S175" s="147"/>
      <c r="T175" s="147"/>
      <c r="U175" s="147"/>
      <c r="V175" s="147"/>
    </row>
    <row r="176" spans="1:22" s="21" customFormat="1" ht="15">
      <c r="A176" s="144"/>
      <c r="B176" s="188"/>
      <c r="C176" s="189"/>
      <c r="D176" s="190"/>
      <c r="E176" s="191"/>
      <c r="F176" s="192"/>
      <c r="G176" s="190"/>
      <c r="H176" s="193"/>
      <c r="I176" s="145"/>
      <c r="J176" s="146"/>
      <c r="K176" s="146"/>
      <c r="L176" s="146"/>
      <c r="M176" s="146"/>
      <c r="N176" s="146"/>
      <c r="O176" s="146"/>
      <c r="P176" s="146"/>
      <c r="Q176" s="146"/>
      <c r="R176" s="146"/>
      <c r="S176" s="147"/>
      <c r="T176" s="147"/>
      <c r="U176" s="147"/>
      <c r="V176" s="147"/>
    </row>
    <row r="177" spans="1:22" s="21" customFormat="1" ht="15">
      <c r="A177" s="144"/>
      <c r="B177" s="188"/>
      <c r="C177" s="189"/>
      <c r="D177" s="190"/>
      <c r="E177" s="191"/>
      <c r="F177" s="192"/>
      <c r="G177" s="190"/>
      <c r="H177" s="193"/>
      <c r="I177" s="145"/>
      <c r="J177" s="146"/>
      <c r="K177" s="146"/>
      <c r="L177" s="146"/>
      <c r="M177" s="146"/>
      <c r="N177" s="146"/>
      <c r="O177" s="146"/>
      <c r="P177" s="146"/>
      <c r="Q177" s="146"/>
      <c r="R177" s="146"/>
      <c r="S177" s="147"/>
      <c r="T177" s="147"/>
      <c r="U177" s="147"/>
      <c r="V177" s="147"/>
    </row>
    <row r="178" spans="1:22" s="21" customFormat="1" ht="15">
      <c r="A178" s="144"/>
      <c r="B178" s="188"/>
      <c r="C178" s="189"/>
      <c r="D178" s="190"/>
      <c r="E178" s="191"/>
      <c r="F178" s="192"/>
      <c r="G178" s="190"/>
      <c r="H178" s="193"/>
      <c r="I178" s="145"/>
      <c r="J178" s="146"/>
      <c r="K178" s="146"/>
      <c r="L178" s="146"/>
      <c r="M178" s="146"/>
      <c r="N178" s="146"/>
      <c r="O178" s="146"/>
      <c r="P178" s="146"/>
      <c r="Q178" s="146"/>
      <c r="R178" s="146"/>
      <c r="S178" s="147"/>
      <c r="T178" s="147"/>
      <c r="U178" s="147"/>
      <c r="V178" s="147"/>
    </row>
    <row r="179" spans="1:22" s="21" customFormat="1" ht="15">
      <c r="A179" s="144"/>
      <c r="B179" s="188"/>
      <c r="C179" s="189"/>
      <c r="D179" s="190"/>
      <c r="E179" s="191"/>
      <c r="F179" s="192"/>
      <c r="G179" s="190"/>
      <c r="H179" s="193"/>
      <c r="I179" s="145"/>
      <c r="J179" s="146"/>
      <c r="K179" s="146"/>
      <c r="L179" s="146"/>
      <c r="M179" s="146"/>
      <c r="N179" s="146"/>
      <c r="O179" s="146"/>
      <c r="P179" s="146"/>
      <c r="Q179" s="146"/>
      <c r="R179" s="146"/>
      <c r="S179" s="147"/>
      <c r="T179" s="147"/>
      <c r="U179" s="147"/>
      <c r="V179" s="147"/>
    </row>
    <row r="180" spans="1:22" s="21" customFormat="1" ht="15">
      <c r="A180" s="144"/>
      <c r="B180" s="188"/>
      <c r="C180" s="189"/>
      <c r="D180" s="190"/>
      <c r="E180" s="191"/>
      <c r="F180" s="192"/>
      <c r="G180" s="190"/>
      <c r="H180" s="193"/>
      <c r="I180" s="145"/>
      <c r="J180" s="146"/>
      <c r="K180" s="146"/>
      <c r="L180" s="146"/>
      <c r="M180" s="146"/>
      <c r="N180" s="146"/>
      <c r="O180" s="146"/>
      <c r="P180" s="146"/>
      <c r="Q180" s="146"/>
      <c r="R180" s="146"/>
      <c r="S180" s="147"/>
      <c r="T180" s="147"/>
      <c r="U180" s="147"/>
      <c r="V180" s="147"/>
    </row>
    <row r="181" spans="1:22" s="21" customFormat="1" ht="15">
      <c r="A181" s="144"/>
      <c r="B181" s="188"/>
      <c r="C181" s="189"/>
      <c r="D181" s="190"/>
      <c r="E181" s="191"/>
      <c r="F181" s="192"/>
      <c r="G181" s="190"/>
      <c r="H181" s="193"/>
      <c r="I181" s="145"/>
      <c r="J181" s="146"/>
      <c r="K181" s="146"/>
      <c r="L181" s="146"/>
      <c r="M181" s="146"/>
      <c r="N181" s="146"/>
      <c r="O181" s="146"/>
      <c r="P181" s="146"/>
      <c r="Q181" s="146"/>
      <c r="R181" s="146"/>
      <c r="S181" s="147"/>
      <c r="T181" s="147"/>
      <c r="U181" s="147"/>
      <c r="V181" s="147"/>
    </row>
    <row r="182" spans="1:22" s="21" customFormat="1" ht="15">
      <c r="A182" s="144"/>
      <c r="B182" s="188"/>
      <c r="C182" s="189"/>
      <c r="D182" s="190"/>
      <c r="E182" s="191"/>
      <c r="F182" s="192"/>
      <c r="G182" s="190"/>
      <c r="H182" s="193"/>
      <c r="I182" s="145"/>
      <c r="J182" s="146"/>
      <c r="K182" s="146"/>
      <c r="L182" s="146"/>
      <c r="M182" s="146"/>
      <c r="N182" s="146"/>
      <c r="O182" s="146"/>
      <c r="P182" s="146"/>
      <c r="Q182" s="146"/>
      <c r="R182" s="146"/>
      <c r="S182" s="147"/>
      <c r="T182" s="147"/>
      <c r="U182" s="147"/>
      <c r="V182" s="147"/>
    </row>
    <row r="183" spans="1:22" s="21" customFormat="1" ht="15">
      <c r="A183" s="144"/>
      <c r="B183" s="188"/>
      <c r="C183" s="189"/>
      <c r="D183" s="190"/>
      <c r="E183" s="191"/>
      <c r="F183" s="192"/>
      <c r="G183" s="190"/>
      <c r="H183" s="193"/>
      <c r="I183" s="145"/>
      <c r="J183" s="146"/>
      <c r="K183" s="146"/>
      <c r="L183" s="146"/>
      <c r="M183" s="146"/>
      <c r="N183" s="146"/>
      <c r="O183" s="146"/>
      <c r="P183" s="146"/>
      <c r="Q183" s="146"/>
      <c r="R183" s="146"/>
      <c r="S183" s="147"/>
      <c r="T183" s="147"/>
      <c r="U183" s="147"/>
      <c r="V183" s="147"/>
    </row>
    <row r="184" spans="1:22" s="21" customFormat="1" ht="15">
      <c r="A184" s="144"/>
      <c r="B184" s="188"/>
      <c r="C184" s="189"/>
      <c r="D184" s="190"/>
      <c r="E184" s="191"/>
      <c r="F184" s="192"/>
      <c r="G184" s="190"/>
      <c r="H184" s="193"/>
      <c r="I184" s="145"/>
      <c r="J184" s="146"/>
      <c r="K184" s="146"/>
      <c r="L184" s="146"/>
      <c r="M184" s="146"/>
      <c r="N184" s="146"/>
      <c r="O184" s="146"/>
      <c r="P184" s="146"/>
      <c r="Q184" s="146"/>
      <c r="R184" s="146"/>
      <c r="S184" s="147"/>
      <c r="T184" s="147"/>
      <c r="U184" s="147"/>
      <c r="V184" s="147"/>
    </row>
    <row r="185" spans="1:22" s="21" customFormat="1" ht="15">
      <c r="A185" s="144"/>
      <c r="B185" s="188"/>
      <c r="C185" s="189"/>
      <c r="D185" s="190"/>
      <c r="E185" s="191"/>
      <c r="F185" s="192"/>
      <c r="G185" s="190"/>
      <c r="H185" s="193"/>
      <c r="I185" s="145"/>
      <c r="J185" s="146"/>
      <c r="K185" s="146"/>
      <c r="L185" s="146"/>
      <c r="M185" s="146"/>
      <c r="N185" s="146"/>
      <c r="O185" s="146"/>
      <c r="P185" s="146"/>
      <c r="Q185" s="146"/>
      <c r="R185" s="146"/>
      <c r="S185" s="147"/>
      <c r="T185" s="147"/>
      <c r="U185" s="147"/>
      <c r="V185" s="147"/>
    </row>
    <row r="186" spans="1:22" s="21" customFormat="1" ht="15">
      <c r="A186" s="144"/>
      <c r="B186" s="188"/>
      <c r="C186" s="189"/>
      <c r="D186" s="190"/>
      <c r="E186" s="191"/>
      <c r="F186" s="192"/>
      <c r="G186" s="190"/>
      <c r="H186" s="193"/>
      <c r="I186" s="145"/>
      <c r="J186" s="146"/>
      <c r="K186" s="146"/>
      <c r="L186" s="146"/>
      <c r="M186" s="146"/>
      <c r="N186" s="146"/>
      <c r="O186" s="146"/>
      <c r="P186" s="146"/>
      <c r="Q186" s="146"/>
      <c r="R186" s="146"/>
      <c r="S186" s="147"/>
      <c r="T186" s="147"/>
      <c r="U186" s="147"/>
      <c r="V186" s="147"/>
    </row>
    <row r="187" spans="1:22" s="21" customFormat="1" ht="15">
      <c r="A187" s="144"/>
      <c r="B187" s="188"/>
      <c r="C187" s="189"/>
      <c r="D187" s="190"/>
      <c r="E187" s="191"/>
      <c r="F187" s="192"/>
      <c r="G187" s="190"/>
      <c r="H187" s="193"/>
      <c r="I187" s="145"/>
      <c r="J187" s="146"/>
      <c r="K187" s="146"/>
      <c r="L187" s="146"/>
      <c r="M187" s="146"/>
      <c r="N187" s="146"/>
      <c r="O187" s="146"/>
      <c r="P187" s="146"/>
      <c r="Q187" s="146"/>
      <c r="R187" s="146"/>
      <c r="S187" s="147"/>
      <c r="T187" s="147"/>
      <c r="U187" s="147"/>
      <c r="V187" s="147"/>
    </row>
    <row r="188" spans="1:22" s="176" customFormat="1">
      <c r="A188" s="144"/>
      <c r="B188" s="172"/>
      <c r="C188" s="205" t="s">
        <v>11</v>
      </c>
      <c r="D188" s="205"/>
      <c r="E188" s="205"/>
      <c r="F188" s="205"/>
      <c r="G188" s="173"/>
      <c r="H188" s="174">
        <f>SUM(H7:H187)</f>
        <v>476905050</v>
      </c>
      <c r="I188" s="175"/>
      <c r="J188" s="175">
        <f>SUBTOTAL(9,J7:J60)</f>
        <v>18265188.5</v>
      </c>
      <c r="K188" s="175"/>
      <c r="L188" s="175">
        <f>SUBTOTAL(9,L7:L60)</f>
        <v>5164677</v>
      </c>
      <c r="M188" s="175"/>
      <c r="N188" s="175">
        <f>SUBTOTAL(9,N7:N60)</f>
        <v>3443118</v>
      </c>
      <c r="O188" s="175"/>
      <c r="P188" s="175">
        <f>SUBTOTAL(9,P7:P60)</f>
        <v>1532740</v>
      </c>
      <c r="Q188" s="175">
        <f>SUBTOTAL(9,Q7:Q60)</f>
        <v>860779.5</v>
      </c>
      <c r="R188" s="175">
        <f>SUBTOTAL(9,R7:R60)</f>
        <v>29266503</v>
      </c>
    </row>
    <row r="189" spans="1:22" ht="15.75">
      <c r="A189" s="144"/>
      <c r="B189" s="21"/>
      <c r="C189" s="21"/>
      <c r="F189" s="21"/>
      <c r="G189" s="21"/>
      <c r="H189" s="134"/>
      <c r="I189" s="152"/>
      <c r="J189" s="2"/>
      <c r="M189" s="21"/>
      <c r="N189" s="206" t="s">
        <v>300</v>
      </c>
      <c r="O189" s="206"/>
      <c r="P189" s="206"/>
      <c r="Q189" s="206"/>
      <c r="R189" s="206"/>
    </row>
    <row r="190" spans="1:22" ht="18.75">
      <c r="A190" s="144"/>
      <c r="B190" s="207" t="s">
        <v>13</v>
      </c>
      <c r="C190" s="207"/>
      <c r="D190" s="178"/>
      <c r="E190" s="178"/>
      <c r="F190" s="178"/>
      <c r="G190" s="178"/>
      <c r="H190" s="184"/>
      <c r="I190" s="179"/>
      <c r="J190" s="18"/>
      <c r="K190" s="180"/>
      <c r="L190" s="179"/>
      <c r="M190" s="52"/>
      <c r="N190" s="208" t="s">
        <v>10</v>
      </c>
      <c r="O190" s="208"/>
      <c r="P190" s="208"/>
      <c r="Q190" s="208"/>
      <c r="R190" s="208"/>
      <c r="S190" s="16"/>
    </row>
    <row r="191" spans="1:22" ht="18.75">
      <c r="A191" s="144"/>
      <c r="B191" s="178"/>
      <c r="C191" s="178"/>
      <c r="D191" s="178"/>
      <c r="E191" s="178"/>
      <c r="F191" s="178"/>
      <c r="G191" s="178"/>
      <c r="H191" s="135"/>
      <c r="I191" s="179"/>
      <c r="J191" s="18"/>
      <c r="K191" s="180"/>
      <c r="L191" s="18"/>
      <c r="M191" s="178"/>
      <c r="N191" s="19"/>
      <c r="O191" s="52"/>
      <c r="P191" s="19"/>
      <c r="Q191" s="19"/>
    </row>
    <row r="192" spans="1:22" ht="18.75">
      <c r="A192" s="144"/>
      <c r="B192" s="178"/>
      <c r="C192" s="178"/>
      <c r="D192" s="178"/>
      <c r="E192" s="178"/>
      <c r="F192" s="178"/>
      <c r="G192" s="178"/>
      <c r="H192" s="135"/>
      <c r="I192" s="179"/>
      <c r="J192" s="18"/>
      <c r="K192" s="180"/>
      <c r="L192" s="18"/>
      <c r="M192" s="178"/>
      <c r="N192" s="18"/>
      <c r="O192" s="50"/>
      <c r="P192" s="18"/>
      <c r="Q192" s="18"/>
      <c r="R192" s="20"/>
    </row>
    <row r="193" spans="1:18" ht="18.75">
      <c r="A193" s="144"/>
      <c r="B193" s="178"/>
      <c r="C193" s="178"/>
      <c r="D193" s="178"/>
      <c r="E193" s="178"/>
      <c r="F193" s="178"/>
      <c r="G193" s="178"/>
      <c r="H193" s="135"/>
      <c r="I193" s="179"/>
      <c r="J193" s="18"/>
      <c r="K193" s="180"/>
      <c r="L193" s="18"/>
      <c r="M193" s="178"/>
      <c r="N193" s="18"/>
      <c r="O193" s="50"/>
      <c r="P193" s="18"/>
      <c r="Q193" s="18"/>
      <c r="R193" s="20"/>
    </row>
    <row r="194" spans="1:18" ht="18.75">
      <c r="A194" s="144"/>
      <c r="B194" s="207" t="s">
        <v>23</v>
      </c>
      <c r="C194" s="207"/>
      <c r="D194" s="178"/>
      <c r="E194" s="178"/>
      <c r="F194" s="178"/>
      <c r="G194" s="178"/>
      <c r="H194" s="135"/>
      <c r="I194" s="179"/>
      <c r="J194" s="18"/>
      <c r="K194" s="180"/>
      <c r="L194" s="18"/>
      <c r="M194" s="178"/>
      <c r="N194" s="208" t="s">
        <v>30</v>
      </c>
      <c r="O194" s="208"/>
      <c r="P194" s="208"/>
      <c r="Q194" s="208"/>
      <c r="R194" s="208"/>
    </row>
    <row r="195" spans="1:18" ht="18.75">
      <c r="A195" s="144"/>
      <c r="B195" s="178"/>
      <c r="C195" s="178"/>
      <c r="D195" s="178"/>
      <c r="E195" s="178"/>
      <c r="F195" s="178"/>
      <c r="G195" s="178"/>
      <c r="H195" s="135"/>
      <c r="I195" s="179"/>
      <c r="J195" s="18"/>
      <c r="K195" s="180"/>
      <c r="L195" s="18"/>
      <c r="M195" s="178"/>
      <c r="N195" s="18"/>
      <c r="O195" s="50"/>
      <c r="P195" s="18"/>
      <c r="Q195" s="18"/>
      <c r="R195" s="20"/>
    </row>
    <row r="196" spans="1:18" ht="15">
      <c r="A196" s="144"/>
      <c r="C196" s="53"/>
      <c r="D196" s="53"/>
      <c r="E196" s="53"/>
      <c r="F196" s="53"/>
    </row>
  </sheetData>
  <autoFilter ref="A6:WWO196" xr:uid="{00000000-0009-0000-0000-000000000000}"/>
  <sortState xmlns:xlrd2="http://schemas.microsoft.com/office/spreadsheetml/2017/richdata2" ref="A7:U36">
    <sortCondition ref="G7:G36"/>
  </sortState>
  <mergeCells count="10">
    <mergeCell ref="N189:R189"/>
    <mergeCell ref="B190:C190"/>
    <mergeCell ref="N190:R190"/>
    <mergeCell ref="B194:C194"/>
    <mergeCell ref="N194:R194"/>
    <mergeCell ref="A1:E1"/>
    <mergeCell ref="A2:E2"/>
    <mergeCell ref="A3:R3"/>
    <mergeCell ref="A4:R4"/>
    <mergeCell ref="C188:F188"/>
  </mergeCells>
  <phoneticPr fontId="2" type="noConversion"/>
  <pageMargins left="0.2" right="0.27" top="0.31" bottom="0.4861111111111111" header="0.31496062992126" footer="0.31496062992126"/>
  <pageSetup scale="75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00"/>
  </sheetPr>
  <dimension ref="A1:GE1362"/>
  <sheetViews>
    <sheetView tabSelected="1" zoomScale="110" zoomScaleNormal="110" workbookViewId="0">
      <pane xSplit="5" ySplit="5" topLeftCell="F1074" activePane="bottomRight" state="frozen"/>
      <selection pane="topRight" activeCell="G1" sqref="G1"/>
      <selection pane="bottomLeft" activeCell="A7" sqref="A7"/>
      <selection pane="bottomRight" activeCell="L1177" sqref="L1177"/>
    </sheetView>
  </sheetViews>
  <sheetFormatPr defaultColWidth="21.140625" defaultRowHeight="12.75"/>
  <cols>
    <col min="1" max="1" width="6.5703125" style="9" customWidth="1"/>
    <col min="2" max="2" width="11.140625" style="9" customWidth="1"/>
    <col min="3" max="3" width="27.85546875" style="8" customWidth="1"/>
    <col min="4" max="4" width="6.5703125" style="29" customWidth="1"/>
    <col min="5" max="5" width="32.7109375" style="10" customWidth="1"/>
    <col min="6" max="6" width="9" style="25" customWidth="1"/>
    <col min="7" max="7" width="13.28515625" style="11" customWidth="1"/>
    <col min="8" max="8" width="11.140625" style="8" customWidth="1"/>
    <col min="9" max="9" width="9.140625" style="8" customWidth="1"/>
    <col min="10" max="10" width="16.42578125" style="8" customWidth="1"/>
    <col min="11" max="227" width="9.140625" style="8" customWidth="1"/>
    <col min="228" max="228" width="4" style="8" customWidth="1"/>
    <col min="229" max="246" width="21.140625" style="8"/>
    <col min="247" max="247" width="4" style="8" customWidth="1"/>
    <col min="248" max="250" width="21.140625" style="8" customWidth="1"/>
    <col min="251" max="251" width="5.5703125" style="8" customWidth="1"/>
    <col min="252" max="252" width="4.7109375" style="8" customWidth="1"/>
    <col min="253" max="253" width="7.28515625" style="8" customWidth="1"/>
    <col min="254" max="254" width="6.5703125" style="8" customWidth="1"/>
    <col min="255" max="255" width="13.42578125" style="8" customWidth="1"/>
    <col min="256" max="256" width="12.42578125" style="8" customWidth="1"/>
    <col min="257" max="257" width="8.28515625" style="8" customWidth="1"/>
    <col min="258" max="259" width="11.85546875" style="8" customWidth="1"/>
    <col min="260" max="260" width="14.140625" style="8" customWidth="1"/>
    <col min="261" max="261" width="12" style="8" customWidth="1"/>
    <col min="262" max="262" width="11" style="8" customWidth="1"/>
    <col min="263" max="263" width="11.5703125" style="8" customWidth="1"/>
    <col min="264" max="483" width="9.140625" style="8" customWidth="1"/>
    <col min="484" max="484" width="4" style="8" customWidth="1"/>
    <col min="485" max="502" width="21.140625" style="8"/>
    <col min="503" max="503" width="4" style="8" customWidth="1"/>
    <col min="504" max="506" width="21.140625" style="8" customWidth="1"/>
    <col min="507" max="507" width="5.5703125" style="8" customWidth="1"/>
    <col min="508" max="508" width="4.7109375" style="8" customWidth="1"/>
    <col min="509" max="509" width="7.28515625" style="8" customWidth="1"/>
    <col min="510" max="510" width="6.5703125" style="8" customWidth="1"/>
    <col min="511" max="511" width="13.42578125" style="8" customWidth="1"/>
    <col min="512" max="512" width="12.42578125" style="8" customWidth="1"/>
    <col min="513" max="513" width="8.28515625" style="8" customWidth="1"/>
    <col min="514" max="515" width="11.85546875" style="8" customWidth="1"/>
    <col min="516" max="516" width="14.140625" style="8" customWidth="1"/>
    <col min="517" max="517" width="12" style="8" customWidth="1"/>
    <col min="518" max="518" width="11" style="8" customWidth="1"/>
    <col min="519" max="519" width="11.5703125" style="8" customWidth="1"/>
    <col min="520" max="739" width="9.140625" style="8" customWidth="1"/>
    <col min="740" max="740" width="4" style="8" customWidth="1"/>
    <col min="741" max="758" width="21.140625" style="8"/>
    <col min="759" max="759" width="4" style="8" customWidth="1"/>
    <col min="760" max="762" width="21.140625" style="8" customWidth="1"/>
    <col min="763" max="763" width="5.5703125" style="8" customWidth="1"/>
    <col min="764" max="764" width="4.7109375" style="8" customWidth="1"/>
    <col min="765" max="765" width="7.28515625" style="8" customWidth="1"/>
    <col min="766" max="766" width="6.5703125" style="8" customWidth="1"/>
    <col min="767" max="767" width="13.42578125" style="8" customWidth="1"/>
    <col min="768" max="768" width="12.42578125" style="8" customWidth="1"/>
    <col min="769" max="769" width="8.28515625" style="8" customWidth="1"/>
    <col min="770" max="771" width="11.85546875" style="8" customWidth="1"/>
    <col min="772" max="772" width="14.140625" style="8" customWidth="1"/>
    <col min="773" max="773" width="12" style="8" customWidth="1"/>
    <col min="774" max="774" width="11" style="8" customWidth="1"/>
    <col min="775" max="775" width="11.5703125" style="8" customWidth="1"/>
    <col min="776" max="995" width="9.140625" style="8" customWidth="1"/>
    <col min="996" max="996" width="4" style="8" customWidth="1"/>
    <col min="997" max="1014" width="21.140625" style="8"/>
    <col min="1015" max="1015" width="4" style="8" customWidth="1"/>
    <col min="1016" max="1018" width="21.140625" style="8" customWidth="1"/>
    <col min="1019" max="1019" width="5.5703125" style="8" customWidth="1"/>
    <col min="1020" max="1020" width="4.7109375" style="8" customWidth="1"/>
    <col min="1021" max="1021" width="7.28515625" style="8" customWidth="1"/>
    <col min="1022" max="1022" width="6.5703125" style="8" customWidth="1"/>
    <col min="1023" max="1023" width="13.42578125" style="8" customWidth="1"/>
    <col min="1024" max="1024" width="12.42578125" style="8" customWidth="1"/>
    <col min="1025" max="1025" width="8.28515625" style="8" customWidth="1"/>
    <col min="1026" max="1027" width="11.85546875" style="8" customWidth="1"/>
    <col min="1028" max="1028" width="14.140625" style="8" customWidth="1"/>
    <col min="1029" max="1029" width="12" style="8" customWidth="1"/>
    <col min="1030" max="1030" width="11" style="8" customWidth="1"/>
    <col min="1031" max="1031" width="11.5703125" style="8" customWidth="1"/>
    <col min="1032" max="1251" width="9.140625" style="8" customWidth="1"/>
    <col min="1252" max="1252" width="4" style="8" customWidth="1"/>
    <col min="1253" max="1270" width="21.140625" style="8"/>
    <col min="1271" max="1271" width="4" style="8" customWidth="1"/>
    <col min="1272" max="1274" width="21.140625" style="8" customWidth="1"/>
    <col min="1275" max="1275" width="5.5703125" style="8" customWidth="1"/>
    <col min="1276" max="1276" width="4.7109375" style="8" customWidth="1"/>
    <col min="1277" max="1277" width="7.28515625" style="8" customWidth="1"/>
    <col min="1278" max="1278" width="6.5703125" style="8" customWidth="1"/>
    <col min="1279" max="1279" width="13.42578125" style="8" customWidth="1"/>
    <col min="1280" max="1280" width="12.42578125" style="8" customWidth="1"/>
    <col min="1281" max="1281" width="8.28515625" style="8" customWidth="1"/>
    <col min="1282" max="1283" width="11.85546875" style="8" customWidth="1"/>
    <col min="1284" max="1284" width="14.140625" style="8" customWidth="1"/>
    <col min="1285" max="1285" width="12" style="8" customWidth="1"/>
    <col min="1286" max="1286" width="11" style="8" customWidth="1"/>
    <col min="1287" max="1287" width="11.5703125" style="8" customWidth="1"/>
    <col min="1288" max="1507" width="9.140625" style="8" customWidth="1"/>
    <col min="1508" max="1508" width="4" style="8" customWidth="1"/>
    <col min="1509" max="1526" width="21.140625" style="8"/>
    <col min="1527" max="1527" width="4" style="8" customWidth="1"/>
    <col min="1528" max="1530" width="21.140625" style="8" customWidth="1"/>
    <col min="1531" max="1531" width="5.5703125" style="8" customWidth="1"/>
    <col min="1532" max="1532" width="4.7109375" style="8" customWidth="1"/>
    <col min="1533" max="1533" width="7.28515625" style="8" customWidth="1"/>
    <col min="1534" max="1534" width="6.5703125" style="8" customWidth="1"/>
    <col min="1535" max="1535" width="13.42578125" style="8" customWidth="1"/>
    <col min="1536" max="1536" width="12.42578125" style="8" customWidth="1"/>
    <col min="1537" max="1537" width="8.28515625" style="8" customWidth="1"/>
    <col min="1538" max="1539" width="11.85546875" style="8" customWidth="1"/>
    <col min="1540" max="1540" width="14.140625" style="8" customWidth="1"/>
    <col min="1541" max="1541" width="12" style="8" customWidth="1"/>
    <col min="1542" max="1542" width="11" style="8" customWidth="1"/>
    <col min="1543" max="1543" width="11.5703125" style="8" customWidth="1"/>
    <col min="1544" max="1763" width="9.140625" style="8" customWidth="1"/>
    <col min="1764" max="1764" width="4" style="8" customWidth="1"/>
    <col min="1765" max="1782" width="21.140625" style="8"/>
    <col min="1783" max="1783" width="4" style="8" customWidth="1"/>
    <col min="1784" max="1786" width="21.140625" style="8" customWidth="1"/>
    <col min="1787" max="1787" width="5.5703125" style="8" customWidth="1"/>
    <col min="1788" max="1788" width="4.7109375" style="8" customWidth="1"/>
    <col min="1789" max="1789" width="7.28515625" style="8" customWidth="1"/>
    <col min="1790" max="1790" width="6.5703125" style="8" customWidth="1"/>
    <col min="1791" max="1791" width="13.42578125" style="8" customWidth="1"/>
    <col min="1792" max="1792" width="12.42578125" style="8" customWidth="1"/>
    <col min="1793" max="1793" width="8.28515625" style="8" customWidth="1"/>
    <col min="1794" max="1795" width="11.85546875" style="8" customWidth="1"/>
    <col min="1796" max="1796" width="14.140625" style="8" customWidth="1"/>
    <col min="1797" max="1797" width="12" style="8" customWidth="1"/>
    <col min="1798" max="1798" width="11" style="8" customWidth="1"/>
    <col min="1799" max="1799" width="11.5703125" style="8" customWidth="1"/>
    <col min="1800" max="2019" width="9.140625" style="8" customWidth="1"/>
    <col min="2020" max="2020" width="4" style="8" customWidth="1"/>
    <col min="2021" max="2038" width="21.140625" style="8"/>
    <col min="2039" max="2039" width="4" style="8" customWidth="1"/>
    <col min="2040" max="2042" width="21.140625" style="8" customWidth="1"/>
    <col min="2043" max="2043" width="5.5703125" style="8" customWidth="1"/>
    <col min="2044" max="2044" width="4.7109375" style="8" customWidth="1"/>
    <col min="2045" max="2045" width="7.28515625" style="8" customWidth="1"/>
    <col min="2046" max="2046" width="6.5703125" style="8" customWidth="1"/>
    <col min="2047" max="2047" width="13.42578125" style="8" customWidth="1"/>
    <col min="2048" max="2048" width="12.42578125" style="8" customWidth="1"/>
    <col min="2049" max="2049" width="8.28515625" style="8" customWidth="1"/>
    <col min="2050" max="2051" width="11.85546875" style="8" customWidth="1"/>
    <col min="2052" max="2052" width="14.140625" style="8" customWidth="1"/>
    <col min="2053" max="2053" width="12" style="8" customWidth="1"/>
    <col min="2054" max="2054" width="11" style="8" customWidth="1"/>
    <col min="2055" max="2055" width="11.5703125" style="8" customWidth="1"/>
    <col min="2056" max="2275" width="9.140625" style="8" customWidth="1"/>
    <col min="2276" max="2276" width="4" style="8" customWidth="1"/>
    <col min="2277" max="2294" width="21.140625" style="8"/>
    <col min="2295" max="2295" width="4" style="8" customWidth="1"/>
    <col min="2296" max="2298" width="21.140625" style="8" customWidth="1"/>
    <col min="2299" max="2299" width="5.5703125" style="8" customWidth="1"/>
    <col min="2300" max="2300" width="4.7109375" style="8" customWidth="1"/>
    <col min="2301" max="2301" width="7.28515625" style="8" customWidth="1"/>
    <col min="2302" max="2302" width="6.5703125" style="8" customWidth="1"/>
    <col min="2303" max="2303" width="13.42578125" style="8" customWidth="1"/>
    <col min="2304" max="2304" width="12.42578125" style="8" customWidth="1"/>
    <col min="2305" max="2305" width="8.28515625" style="8" customWidth="1"/>
    <col min="2306" max="2307" width="11.85546875" style="8" customWidth="1"/>
    <col min="2308" max="2308" width="14.140625" style="8" customWidth="1"/>
    <col min="2309" max="2309" width="12" style="8" customWidth="1"/>
    <col min="2310" max="2310" width="11" style="8" customWidth="1"/>
    <col min="2311" max="2311" width="11.5703125" style="8" customWidth="1"/>
    <col min="2312" max="2531" width="9.140625" style="8" customWidth="1"/>
    <col min="2532" max="2532" width="4" style="8" customWidth="1"/>
    <col min="2533" max="2550" width="21.140625" style="8"/>
    <col min="2551" max="2551" width="4" style="8" customWidth="1"/>
    <col min="2552" max="2554" width="21.140625" style="8" customWidth="1"/>
    <col min="2555" max="2555" width="5.5703125" style="8" customWidth="1"/>
    <col min="2556" max="2556" width="4.7109375" style="8" customWidth="1"/>
    <col min="2557" max="2557" width="7.28515625" style="8" customWidth="1"/>
    <col min="2558" max="2558" width="6.5703125" style="8" customWidth="1"/>
    <col min="2559" max="2559" width="13.42578125" style="8" customWidth="1"/>
    <col min="2560" max="2560" width="12.42578125" style="8" customWidth="1"/>
    <col min="2561" max="2561" width="8.28515625" style="8" customWidth="1"/>
    <col min="2562" max="2563" width="11.85546875" style="8" customWidth="1"/>
    <col min="2564" max="2564" width="14.140625" style="8" customWidth="1"/>
    <col min="2565" max="2565" width="12" style="8" customWidth="1"/>
    <col min="2566" max="2566" width="11" style="8" customWidth="1"/>
    <col min="2567" max="2567" width="11.5703125" style="8" customWidth="1"/>
    <col min="2568" max="2787" width="9.140625" style="8" customWidth="1"/>
    <col min="2788" max="2788" width="4" style="8" customWidth="1"/>
    <col min="2789" max="2806" width="21.140625" style="8"/>
    <col min="2807" max="2807" width="4" style="8" customWidth="1"/>
    <col min="2808" max="2810" width="21.140625" style="8" customWidth="1"/>
    <col min="2811" max="2811" width="5.5703125" style="8" customWidth="1"/>
    <col min="2812" max="2812" width="4.7109375" style="8" customWidth="1"/>
    <col min="2813" max="2813" width="7.28515625" style="8" customWidth="1"/>
    <col min="2814" max="2814" width="6.5703125" style="8" customWidth="1"/>
    <col min="2815" max="2815" width="13.42578125" style="8" customWidth="1"/>
    <col min="2816" max="2816" width="12.42578125" style="8" customWidth="1"/>
    <col min="2817" max="2817" width="8.28515625" style="8" customWidth="1"/>
    <col min="2818" max="2819" width="11.85546875" style="8" customWidth="1"/>
    <col min="2820" max="2820" width="14.140625" style="8" customWidth="1"/>
    <col min="2821" max="2821" width="12" style="8" customWidth="1"/>
    <col min="2822" max="2822" width="11" style="8" customWidth="1"/>
    <col min="2823" max="2823" width="11.5703125" style="8" customWidth="1"/>
    <col min="2824" max="3043" width="9.140625" style="8" customWidth="1"/>
    <col min="3044" max="3044" width="4" style="8" customWidth="1"/>
    <col min="3045" max="3062" width="21.140625" style="8"/>
    <col min="3063" max="3063" width="4" style="8" customWidth="1"/>
    <col min="3064" max="3066" width="21.140625" style="8" customWidth="1"/>
    <col min="3067" max="3067" width="5.5703125" style="8" customWidth="1"/>
    <col min="3068" max="3068" width="4.7109375" style="8" customWidth="1"/>
    <col min="3069" max="3069" width="7.28515625" style="8" customWidth="1"/>
    <col min="3070" max="3070" width="6.5703125" style="8" customWidth="1"/>
    <col min="3071" max="3071" width="13.42578125" style="8" customWidth="1"/>
    <col min="3072" max="3072" width="12.42578125" style="8" customWidth="1"/>
    <col min="3073" max="3073" width="8.28515625" style="8" customWidth="1"/>
    <col min="3074" max="3075" width="11.85546875" style="8" customWidth="1"/>
    <col min="3076" max="3076" width="14.140625" style="8" customWidth="1"/>
    <col min="3077" max="3077" width="12" style="8" customWidth="1"/>
    <col min="3078" max="3078" width="11" style="8" customWidth="1"/>
    <col min="3079" max="3079" width="11.5703125" style="8" customWidth="1"/>
    <col min="3080" max="3299" width="9.140625" style="8" customWidth="1"/>
    <col min="3300" max="3300" width="4" style="8" customWidth="1"/>
    <col min="3301" max="3318" width="21.140625" style="8"/>
    <col min="3319" max="3319" width="4" style="8" customWidth="1"/>
    <col min="3320" max="3322" width="21.140625" style="8" customWidth="1"/>
    <col min="3323" max="3323" width="5.5703125" style="8" customWidth="1"/>
    <col min="3324" max="3324" width="4.7109375" style="8" customWidth="1"/>
    <col min="3325" max="3325" width="7.28515625" style="8" customWidth="1"/>
    <col min="3326" max="3326" width="6.5703125" style="8" customWidth="1"/>
    <col min="3327" max="3327" width="13.42578125" style="8" customWidth="1"/>
    <col min="3328" max="3328" width="12.42578125" style="8" customWidth="1"/>
    <col min="3329" max="3329" width="8.28515625" style="8" customWidth="1"/>
    <col min="3330" max="3331" width="11.85546875" style="8" customWidth="1"/>
    <col min="3332" max="3332" width="14.140625" style="8" customWidth="1"/>
    <col min="3333" max="3333" width="12" style="8" customWidth="1"/>
    <col min="3334" max="3334" width="11" style="8" customWidth="1"/>
    <col min="3335" max="3335" width="11.5703125" style="8" customWidth="1"/>
    <col min="3336" max="3555" width="9.140625" style="8" customWidth="1"/>
    <col min="3556" max="3556" width="4" style="8" customWidth="1"/>
    <col min="3557" max="3574" width="21.140625" style="8"/>
    <col min="3575" max="3575" width="4" style="8" customWidth="1"/>
    <col min="3576" max="3578" width="21.140625" style="8" customWidth="1"/>
    <col min="3579" max="3579" width="5.5703125" style="8" customWidth="1"/>
    <col min="3580" max="3580" width="4.7109375" style="8" customWidth="1"/>
    <col min="3581" max="3581" width="7.28515625" style="8" customWidth="1"/>
    <col min="3582" max="3582" width="6.5703125" style="8" customWidth="1"/>
    <col min="3583" max="3583" width="13.42578125" style="8" customWidth="1"/>
    <col min="3584" max="3584" width="12.42578125" style="8" customWidth="1"/>
    <col min="3585" max="3585" width="8.28515625" style="8" customWidth="1"/>
    <col min="3586" max="3587" width="11.85546875" style="8" customWidth="1"/>
    <col min="3588" max="3588" width="14.140625" style="8" customWidth="1"/>
    <col min="3589" max="3589" width="12" style="8" customWidth="1"/>
    <col min="3590" max="3590" width="11" style="8" customWidth="1"/>
    <col min="3591" max="3591" width="11.5703125" style="8" customWidth="1"/>
    <col min="3592" max="3811" width="9.140625" style="8" customWidth="1"/>
    <col min="3812" max="3812" width="4" style="8" customWidth="1"/>
    <col min="3813" max="3830" width="21.140625" style="8"/>
    <col min="3831" max="3831" width="4" style="8" customWidth="1"/>
    <col min="3832" max="3834" width="21.140625" style="8" customWidth="1"/>
    <col min="3835" max="3835" width="5.5703125" style="8" customWidth="1"/>
    <col min="3836" max="3836" width="4.7109375" style="8" customWidth="1"/>
    <col min="3837" max="3837" width="7.28515625" style="8" customWidth="1"/>
    <col min="3838" max="3838" width="6.5703125" style="8" customWidth="1"/>
    <col min="3839" max="3839" width="13.42578125" style="8" customWidth="1"/>
    <col min="3840" max="3840" width="12.42578125" style="8" customWidth="1"/>
    <col min="3841" max="3841" width="8.28515625" style="8" customWidth="1"/>
    <col min="3842" max="3843" width="11.85546875" style="8" customWidth="1"/>
    <col min="3844" max="3844" width="14.140625" style="8" customWidth="1"/>
    <col min="3845" max="3845" width="12" style="8" customWidth="1"/>
    <col min="3846" max="3846" width="11" style="8" customWidth="1"/>
    <col min="3847" max="3847" width="11.5703125" style="8" customWidth="1"/>
    <col min="3848" max="4067" width="9.140625" style="8" customWidth="1"/>
    <col min="4068" max="4068" width="4" style="8" customWidth="1"/>
    <col min="4069" max="4086" width="21.140625" style="8"/>
    <col min="4087" max="4087" width="4" style="8" customWidth="1"/>
    <col min="4088" max="4090" width="21.140625" style="8" customWidth="1"/>
    <col min="4091" max="4091" width="5.5703125" style="8" customWidth="1"/>
    <col min="4092" max="4092" width="4.7109375" style="8" customWidth="1"/>
    <col min="4093" max="4093" width="7.28515625" style="8" customWidth="1"/>
    <col min="4094" max="4094" width="6.5703125" style="8" customWidth="1"/>
    <col min="4095" max="4095" width="13.42578125" style="8" customWidth="1"/>
    <col min="4096" max="4096" width="12.42578125" style="8" customWidth="1"/>
    <col min="4097" max="4097" width="8.28515625" style="8" customWidth="1"/>
    <col min="4098" max="4099" width="11.85546875" style="8" customWidth="1"/>
    <col min="4100" max="4100" width="14.140625" style="8" customWidth="1"/>
    <col min="4101" max="4101" width="12" style="8" customWidth="1"/>
    <col min="4102" max="4102" width="11" style="8" customWidth="1"/>
    <col min="4103" max="4103" width="11.5703125" style="8" customWidth="1"/>
    <col min="4104" max="4323" width="9.140625" style="8" customWidth="1"/>
    <col min="4324" max="4324" width="4" style="8" customWidth="1"/>
    <col min="4325" max="4342" width="21.140625" style="8"/>
    <col min="4343" max="4343" width="4" style="8" customWidth="1"/>
    <col min="4344" max="4346" width="21.140625" style="8" customWidth="1"/>
    <col min="4347" max="4347" width="5.5703125" style="8" customWidth="1"/>
    <col min="4348" max="4348" width="4.7109375" style="8" customWidth="1"/>
    <col min="4349" max="4349" width="7.28515625" style="8" customWidth="1"/>
    <col min="4350" max="4350" width="6.5703125" style="8" customWidth="1"/>
    <col min="4351" max="4351" width="13.42578125" style="8" customWidth="1"/>
    <col min="4352" max="4352" width="12.42578125" style="8" customWidth="1"/>
    <col min="4353" max="4353" width="8.28515625" style="8" customWidth="1"/>
    <col min="4354" max="4355" width="11.85546875" style="8" customWidth="1"/>
    <col min="4356" max="4356" width="14.140625" style="8" customWidth="1"/>
    <col min="4357" max="4357" width="12" style="8" customWidth="1"/>
    <col min="4358" max="4358" width="11" style="8" customWidth="1"/>
    <col min="4359" max="4359" width="11.5703125" style="8" customWidth="1"/>
    <col min="4360" max="4579" width="9.140625" style="8" customWidth="1"/>
    <col min="4580" max="4580" width="4" style="8" customWidth="1"/>
    <col min="4581" max="4598" width="21.140625" style="8"/>
    <col min="4599" max="4599" width="4" style="8" customWidth="1"/>
    <col min="4600" max="4602" width="21.140625" style="8" customWidth="1"/>
    <col min="4603" max="4603" width="5.5703125" style="8" customWidth="1"/>
    <col min="4604" max="4604" width="4.7109375" style="8" customWidth="1"/>
    <col min="4605" max="4605" width="7.28515625" style="8" customWidth="1"/>
    <col min="4606" max="4606" width="6.5703125" style="8" customWidth="1"/>
    <col min="4607" max="4607" width="13.42578125" style="8" customWidth="1"/>
    <col min="4608" max="4608" width="12.42578125" style="8" customWidth="1"/>
    <col min="4609" max="4609" width="8.28515625" style="8" customWidth="1"/>
    <col min="4610" max="4611" width="11.85546875" style="8" customWidth="1"/>
    <col min="4612" max="4612" width="14.140625" style="8" customWidth="1"/>
    <col min="4613" max="4613" width="12" style="8" customWidth="1"/>
    <col min="4614" max="4614" width="11" style="8" customWidth="1"/>
    <col min="4615" max="4615" width="11.5703125" style="8" customWidth="1"/>
    <col min="4616" max="4835" width="9.140625" style="8" customWidth="1"/>
    <col min="4836" max="4836" width="4" style="8" customWidth="1"/>
    <col min="4837" max="4854" width="21.140625" style="8"/>
    <col min="4855" max="4855" width="4" style="8" customWidth="1"/>
    <col min="4856" max="4858" width="21.140625" style="8" customWidth="1"/>
    <col min="4859" max="4859" width="5.5703125" style="8" customWidth="1"/>
    <col min="4860" max="4860" width="4.7109375" style="8" customWidth="1"/>
    <col min="4861" max="4861" width="7.28515625" style="8" customWidth="1"/>
    <col min="4862" max="4862" width="6.5703125" style="8" customWidth="1"/>
    <col min="4863" max="4863" width="13.42578125" style="8" customWidth="1"/>
    <col min="4864" max="4864" width="12.42578125" style="8" customWidth="1"/>
    <col min="4865" max="4865" width="8.28515625" style="8" customWidth="1"/>
    <col min="4866" max="4867" width="11.85546875" style="8" customWidth="1"/>
    <col min="4868" max="4868" width="14.140625" style="8" customWidth="1"/>
    <col min="4869" max="4869" width="12" style="8" customWidth="1"/>
    <col min="4870" max="4870" width="11" style="8" customWidth="1"/>
    <col min="4871" max="4871" width="11.5703125" style="8" customWidth="1"/>
    <col min="4872" max="5091" width="9.140625" style="8" customWidth="1"/>
    <col min="5092" max="5092" width="4" style="8" customWidth="1"/>
    <col min="5093" max="5110" width="21.140625" style="8"/>
    <col min="5111" max="5111" width="4" style="8" customWidth="1"/>
    <col min="5112" max="5114" width="21.140625" style="8" customWidth="1"/>
    <col min="5115" max="5115" width="5.5703125" style="8" customWidth="1"/>
    <col min="5116" max="5116" width="4.7109375" style="8" customWidth="1"/>
    <col min="5117" max="5117" width="7.28515625" style="8" customWidth="1"/>
    <col min="5118" max="5118" width="6.5703125" style="8" customWidth="1"/>
    <col min="5119" max="5119" width="13.42578125" style="8" customWidth="1"/>
    <col min="5120" max="5120" width="12.42578125" style="8" customWidth="1"/>
    <col min="5121" max="5121" width="8.28515625" style="8" customWidth="1"/>
    <col min="5122" max="5123" width="11.85546875" style="8" customWidth="1"/>
    <col min="5124" max="5124" width="14.140625" style="8" customWidth="1"/>
    <col min="5125" max="5125" width="12" style="8" customWidth="1"/>
    <col min="5126" max="5126" width="11" style="8" customWidth="1"/>
    <col min="5127" max="5127" width="11.5703125" style="8" customWidth="1"/>
    <col min="5128" max="5347" width="9.140625" style="8" customWidth="1"/>
    <col min="5348" max="5348" width="4" style="8" customWidth="1"/>
    <col min="5349" max="5366" width="21.140625" style="8"/>
    <col min="5367" max="5367" width="4" style="8" customWidth="1"/>
    <col min="5368" max="5370" width="21.140625" style="8" customWidth="1"/>
    <col min="5371" max="5371" width="5.5703125" style="8" customWidth="1"/>
    <col min="5372" max="5372" width="4.7109375" style="8" customWidth="1"/>
    <col min="5373" max="5373" width="7.28515625" style="8" customWidth="1"/>
    <col min="5374" max="5374" width="6.5703125" style="8" customWidth="1"/>
    <col min="5375" max="5375" width="13.42578125" style="8" customWidth="1"/>
    <col min="5376" max="5376" width="12.42578125" style="8" customWidth="1"/>
    <col min="5377" max="5377" width="8.28515625" style="8" customWidth="1"/>
    <col min="5378" max="5379" width="11.85546875" style="8" customWidth="1"/>
    <col min="5380" max="5380" width="14.140625" style="8" customWidth="1"/>
    <col min="5381" max="5381" width="12" style="8" customWidth="1"/>
    <col min="5382" max="5382" width="11" style="8" customWidth="1"/>
    <col min="5383" max="5383" width="11.5703125" style="8" customWidth="1"/>
    <col min="5384" max="5603" width="9.140625" style="8" customWidth="1"/>
    <col min="5604" max="5604" width="4" style="8" customWidth="1"/>
    <col min="5605" max="5622" width="21.140625" style="8"/>
    <col min="5623" max="5623" width="4" style="8" customWidth="1"/>
    <col min="5624" max="5626" width="21.140625" style="8" customWidth="1"/>
    <col min="5627" max="5627" width="5.5703125" style="8" customWidth="1"/>
    <col min="5628" max="5628" width="4.7109375" style="8" customWidth="1"/>
    <col min="5629" max="5629" width="7.28515625" style="8" customWidth="1"/>
    <col min="5630" max="5630" width="6.5703125" style="8" customWidth="1"/>
    <col min="5631" max="5631" width="13.42578125" style="8" customWidth="1"/>
    <col min="5632" max="5632" width="12.42578125" style="8" customWidth="1"/>
    <col min="5633" max="5633" width="8.28515625" style="8" customWidth="1"/>
    <col min="5634" max="5635" width="11.85546875" style="8" customWidth="1"/>
    <col min="5636" max="5636" width="14.140625" style="8" customWidth="1"/>
    <col min="5637" max="5637" width="12" style="8" customWidth="1"/>
    <col min="5638" max="5638" width="11" style="8" customWidth="1"/>
    <col min="5639" max="5639" width="11.5703125" style="8" customWidth="1"/>
    <col min="5640" max="5859" width="9.140625" style="8" customWidth="1"/>
    <col min="5860" max="5860" width="4" style="8" customWidth="1"/>
    <col min="5861" max="5878" width="21.140625" style="8"/>
    <col min="5879" max="5879" width="4" style="8" customWidth="1"/>
    <col min="5880" max="5882" width="21.140625" style="8" customWidth="1"/>
    <col min="5883" max="5883" width="5.5703125" style="8" customWidth="1"/>
    <col min="5884" max="5884" width="4.7109375" style="8" customWidth="1"/>
    <col min="5885" max="5885" width="7.28515625" style="8" customWidth="1"/>
    <col min="5886" max="5886" width="6.5703125" style="8" customWidth="1"/>
    <col min="5887" max="5887" width="13.42578125" style="8" customWidth="1"/>
    <col min="5888" max="5888" width="12.42578125" style="8" customWidth="1"/>
    <col min="5889" max="5889" width="8.28515625" style="8" customWidth="1"/>
    <col min="5890" max="5891" width="11.85546875" style="8" customWidth="1"/>
    <col min="5892" max="5892" width="14.140625" style="8" customWidth="1"/>
    <col min="5893" max="5893" width="12" style="8" customWidth="1"/>
    <col min="5894" max="5894" width="11" style="8" customWidth="1"/>
    <col min="5895" max="5895" width="11.5703125" style="8" customWidth="1"/>
    <col min="5896" max="6115" width="9.140625" style="8" customWidth="1"/>
    <col min="6116" max="6116" width="4" style="8" customWidth="1"/>
    <col min="6117" max="6134" width="21.140625" style="8"/>
    <col min="6135" max="6135" width="4" style="8" customWidth="1"/>
    <col min="6136" max="6138" width="21.140625" style="8" customWidth="1"/>
    <col min="6139" max="6139" width="5.5703125" style="8" customWidth="1"/>
    <col min="6140" max="6140" width="4.7109375" style="8" customWidth="1"/>
    <col min="6141" max="6141" width="7.28515625" style="8" customWidth="1"/>
    <col min="6142" max="6142" width="6.5703125" style="8" customWidth="1"/>
    <col min="6143" max="6143" width="13.42578125" style="8" customWidth="1"/>
    <col min="6144" max="6144" width="12.42578125" style="8" customWidth="1"/>
    <col min="6145" max="6145" width="8.28515625" style="8" customWidth="1"/>
    <col min="6146" max="6147" width="11.85546875" style="8" customWidth="1"/>
    <col min="6148" max="6148" width="14.140625" style="8" customWidth="1"/>
    <col min="6149" max="6149" width="12" style="8" customWidth="1"/>
    <col min="6150" max="6150" width="11" style="8" customWidth="1"/>
    <col min="6151" max="6151" width="11.5703125" style="8" customWidth="1"/>
    <col min="6152" max="6371" width="9.140625" style="8" customWidth="1"/>
    <col min="6372" max="6372" width="4" style="8" customWidth="1"/>
    <col min="6373" max="6390" width="21.140625" style="8"/>
    <col min="6391" max="6391" width="4" style="8" customWidth="1"/>
    <col min="6392" max="6394" width="21.140625" style="8" customWidth="1"/>
    <col min="6395" max="6395" width="5.5703125" style="8" customWidth="1"/>
    <col min="6396" max="6396" width="4.7109375" style="8" customWidth="1"/>
    <col min="6397" max="6397" width="7.28515625" style="8" customWidth="1"/>
    <col min="6398" max="6398" width="6.5703125" style="8" customWidth="1"/>
    <col min="6399" max="6399" width="13.42578125" style="8" customWidth="1"/>
    <col min="6400" max="6400" width="12.42578125" style="8" customWidth="1"/>
    <col min="6401" max="6401" width="8.28515625" style="8" customWidth="1"/>
    <col min="6402" max="6403" width="11.85546875" style="8" customWidth="1"/>
    <col min="6404" max="6404" width="14.140625" style="8" customWidth="1"/>
    <col min="6405" max="6405" width="12" style="8" customWidth="1"/>
    <col min="6406" max="6406" width="11" style="8" customWidth="1"/>
    <col min="6407" max="6407" width="11.5703125" style="8" customWidth="1"/>
    <col min="6408" max="6627" width="9.140625" style="8" customWidth="1"/>
    <col min="6628" max="6628" width="4" style="8" customWidth="1"/>
    <col min="6629" max="6646" width="21.140625" style="8"/>
    <col min="6647" max="6647" width="4" style="8" customWidth="1"/>
    <col min="6648" max="6650" width="21.140625" style="8" customWidth="1"/>
    <col min="6651" max="6651" width="5.5703125" style="8" customWidth="1"/>
    <col min="6652" max="6652" width="4.7109375" style="8" customWidth="1"/>
    <col min="6653" max="6653" width="7.28515625" style="8" customWidth="1"/>
    <col min="6654" max="6654" width="6.5703125" style="8" customWidth="1"/>
    <col min="6655" max="6655" width="13.42578125" style="8" customWidth="1"/>
    <col min="6656" max="6656" width="12.42578125" style="8" customWidth="1"/>
    <col min="6657" max="6657" width="8.28515625" style="8" customWidth="1"/>
    <col min="6658" max="6659" width="11.85546875" style="8" customWidth="1"/>
    <col min="6660" max="6660" width="14.140625" style="8" customWidth="1"/>
    <col min="6661" max="6661" width="12" style="8" customWidth="1"/>
    <col min="6662" max="6662" width="11" style="8" customWidth="1"/>
    <col min="6663" max="6663" width="11.5703125" style="8" customWidth="1"/>
    <col min="6664" max="6883" width="9.140625" style="8" customWidth="1"/>
    <col min="6884" max="6884" width="4" style="8" customWidth="1"/>
    <col min="6885" max="6902" width="21.140625" style="8"/>
    <col min="6903" max="6903" width="4" style="8" customWidth="1"/>
    <col min="6904" max="6906" width="21.140625" style="8" customWidth="1"/>
    <col min="6907" max="6907" width="5.5703125" style="8" customWidth="1"/>
    <col min="6908" max="6908" width="4.7109375" style="8" customWidth="1"/>
    <col min="6909" max="6909" width="7.28515625" style="8" customWidth="1"/>
    <col min="6910" max="6910" width="6.5703125" style="8" customWidth="1"/>
    <col min="6911" max="6911" width="13.42578125" style="8" customWidth="1"/>
    <col min="6912" max="6912" width="12.42578125" style="8" customWidth="1"/>
    <col min="6913" max="6913" width="8.28515625" style="8" customWidth="1"/>
    <col min="6914" max="6915" width="11.85546875" style="8" customWidth="1"/>
    <col min="6916" max="6916" width="14.140625" style="8" customWidth="1"/>
    <col min="6917" max="6917" width="12" style="8" customWidth="1"/>
    <col min="6918" max="6918" width="11" style="8" customWidth="1"/>
    <col min="6919" max="6919" width="11.5703125" style="8" customWidth="1"/>
    <col min="6920" max="7139" width="9.140625" style="8" customWidth="1"/>
    <col min="7140" max="7140" width="4" style="8" customWidth="1"/>
    <col min="7141" max="7158" width="21.140625" style="8"/>
    <col min="7159" max="7159" width="4" style="8" customWidth="1"/>
    <col min="7160" max="7162" width="21.140625" style="8" customWidth="1"/>
    <col min="7163" max="7163" width="5.5703125" style="8" customWidth="1"/>
    <col min="7164" max="7164" width="4.7109375" style="8" customWidth="1"/>
    <col min="7165" max="7165" width="7.28515625" style="8" customWidth="1"/>
    <col min="7166" max="7166" width="6.5703125" style="8" customWidth="1"/>
    <col min="7167" max="7167" width="13.42578125" style="8" customWidth="1"/>
    <col min="7168" max="7168" width="12.42578125" style="8" customWidth="1"/>
    <col min="7169" max="7169" width="8.28515625" style="8" customWidth="1"/>
    <col min="7170" max="7171" width="11.85546875" style="8" customWidth="1"/>
    <col min="7172" max="7172" width="14.140625" style="8" customWidth="1"/>
    <col min="7173" max="7173" width="12" style="8" customWidth="1"/>
    <col min="7174" max="7174" width="11" style="8" customWidth="1"/>
    <col min="7175" max="7175" width="11.5703125" style="8" customWidth="1"/>
    <col min="7176" max="7395" width="9.140625" style="8" customWidth="1"/>
    <col min="7396" max="7396" width="4" style="8" customWidth="1"/>
    <col min="7397" max="7414" width="21.140625" style="8"/>
    <col min="7415" max="7415" width="4" style="8" customWidth="1"/>
    <col min="7416" max="7418" width="21.140625" style="8" customWidth="1"/>
    <col min="7419" max="7419" width="5.5703125" style="8" customWidth="1"/>
    <col min="7420" max="7420" width="4.7109375" style="8" customWidth="1"/>
    <col min="7421" max="7421" width="7.28515625" style="8" customWidth="1"/>
    <col min="7422" max="7422" width="6.5703125" style="8" customWidth="1"/>
    <col min="7423" max="7423" width="13.42578125" style="8" customWidth="1"/>
    <col min="7424" max="7424" width="12.42578125" style="8" customWidth="1"/>
    <col min="7425" max="7425" width="8.28515625" style="8" customWidth="1"/>
    <col min="7426" max="7427" width="11.85546875" style="8" customWidth="1"/>
    <col min="7428" max="7428" width="14.140625" style="8" customWidth="1"/>
    <col min="7429" max="7429" width="12" style="8" customWidth="1"/>
    <col min="7430" max="7430" width="11" style="8" customWidth="1"/>
    <col min="7431" max="7431" width="11.5703125" style="8" customWidth="1"/>
    <col min="7432" max="7651" width="9.140625" style="8" customWidth="1"/>
    <col min="7652" max="7652" width="4" style="8" customWidth="1"/>
    <col min="7653" max="7670" width="21.140625" style="8"/>
    <col min="7671" max="7671" width="4" style="8" customWidth="1"/>
    <col min="7672" max="7674" width="21.140625" style="8" customWidth="1"/>
    <col min="7675" max="7675" width="5.5703125" style="8" customWidth="1"/>
    <col min="7676" max="7676" width="4.7109375" style="8" customWidth="1"/>
    <col min="7677" max="7677" width="7.28515625" style="8" customWidth="1"/>
    <col min="7678" max="7678" width="6.5703125" style="8" customWidth="1"/>
    <col min="7679" max="7679" width="13.42578125" style="8" customWidth="1"/>
    <col min="7680" max="7680" width="12.42578125" style="8" customWidth="1"/>
    <col min="7681" max="7681" width="8.28515625" style="8" customWidth="1"/>
    <col min="7682" max="7683" width="11.85546875" style="8" customWidth="1"/>
    <col min="7684" max="7684" width="14.140625" style="8" customWidth="1"/>
    <col min="7685" max="7685" width="12" style="8" customWidth="1"/>
    <col min="7686" max="7686" width="11" style="8" customWidth="1"/>
    <col min="7687" max="7687" width="11.5703125" style="8" customWidth="1"/>
    <col min="7688" max="7907" width="9.140625" style="8" customWidth="1"/>
    <col min="7908" max="7908" width="4" style="8" customWidth="1"/>
    <col min="7909" max="7926" width="21.140625" style="8"/>
    <col min="7927" max="7927" width="4" style="8" customWidth="1"/>
    <col min="7928" max="7930" width="21.140625" style="8" customWidth="1"/>
    <col min="7931" max="7931" width="5.5703125" style="8" customWidth="1"/>
    <col min="7932" max="7932" width="4.7109375" style="8" customWidth="1"/>
    <col min="7933" max="7933" width="7.28515625" style="8" customWidth="1"/>
    <col min="7934" max="7934" width="6.5703125" style="8" customWidth="1"/>
    <col min="7935" max="7935" width="13.42578125" style="8" customWidth="1"/>
    <col min="7936" max="7936" width="12.42578125" style="8" customWidth="1"/>
    <col min="7937" max="7937" width="8.28515625" style="8" customWidth="1"/>
    <col min="7938" max="7939" width="11.85546875" style="8" customWidth="1"/>
    <col min="7940" max="7940" width="14.140625" style="8" customWidth="1"/>
    <col min="7941" max="7941" width="12" style="8" customWidth="1"/>
    <col min="7942" max="7942" width="11" style="8" customWidth="1"/>
    <col min="7943" max="7943" width="11.5703125" style="8" customWidth="1"/>
    <col min="7944" max="8163" width="9.140625" style="8" customWidth="1"/>
    <col min="8164" max="8164" width="4" style="8" customWidth="1"/>
    <col min="8165" max="8182" width="21.140625" style="8"/>
    <col min="8183" max="8183" width="4" style="8" customWidth="1"/>
    <col min="8184" max="8186" width="21.140625" style="8" customWidth="1"/>
    <col min="8187" max="8187" width="5.5703125" style="8" customWidth="1"/>
    <col min="8188" max="8188" width="4.7109375" style="8" customWidth="1"/>
    <col min="8189" max="8189" width="7.28515625" style="8" customWidth="1"/>
    <col min="8190" max="8190" width="6.5703125" style="8" customWidth="1"/>
    <col min="8191" max="8191" width="13.42578125" style="8" customWidth="1"/>
    <col min="8192" max="8192" width="12.42578125" style="8" customWidth="1"/>
    <col min="8193" max="8193" width="8.28515625" style="8" customWidth="1"/>
    <col min="8194" max="8195" width="11.85546875" style="8" customWidth="1"/>
    <col min="8196" max="8196" width="14.140625" style="8" customWidth="1"/>
    <col min="8197" max="8197" width="12" style="8" customWidth="1"/>
    <col min="8198" max="8198" width="11" style="8" customWidth="1"/>
    <col min="8199" max="8199" width="11.5703125" style="8" customWidth="1"/>
    <col min="8200" max="8419" width="9.140625" style="8" customWidth="1"/>
    <col min="8420" max="8420" width="4" style="8" customWidth="1"/>
    <col min="8421" max="8438" width="21.140625" style="8"/>
    <col min="8439" max="8439" width="4" style="8" customWidth="1"/>
    <col min="8440" max="8442" width="21.140625" style="8" customWidth="1"/>
    <col min="8443" max="8443" width="5.5703125" style="8" customWidth="1"/>
    <col min="8444" max="8444" width="4.7109375" style="8" customWidth="1"/>
    <col min="8445" max="8445" width="7.28515625" style="8" customWidth="1"/>
    <col min="8446" max="8446" width="6.5703125" style="8" customWidth="1"/>
    <col min="8447" max="8447" width="13.42578125" style="8" customWidth="1"/>
    <col min="8448" max="8448" width="12.42578125" style="8" customWidth="1"/>
    <col min="8449" max="8449" width="8.28515625" style="8" customWidth="1"/>
    <col min="8450" max="8451" width="11.85546875" style="8" customWidth="1"/>
    <col min="8452" max="8452" width="14.140625" style="8" customWidth="1"/>
    <col min="8453" max="8453" width="12" style="8" customWidth="1"/>
    <col min="8454" max="8454" width="11" style="8" customWidth="1"/>
    <col min="8455" max="8455" width="11.5703125" style="8" customWidth="1"/>
    <col min="8456" max="8675" width="9.140625" style="8" customWidth="1"/>
    <col min="8676" max="8676" width="4" style="8" customWidth="1"/>
    <col min="8677" max="8694" width="21.140625" style="8"/>
    <col min="8695" max="8695" width="4" style="8" customWidth="1"/>
    <col min="8696" max="8698" width="21.140625" style="8" customWidth="1"/>
    <col min="8699" max="8699" width="5.5703125" style="8" customWidth="1"/>
    <col min="8700" max="8700" width="4.7109375" style="8" customWidth="1"/>
    <col min="8701" max="8701" width="7.28515625" style="8" customWidth="1"/>
    <col min="8702" max="8702" width="6.5703125" style="8" customWidth="1"/>
    <col min="8703" max="8703" width="13.42578125" style="8" customWidth="1"/>
    <col min="8704" max="8704" width="12.42578125" style="8" customWidth="1"/>
    <col min="8705" max="8705" width="8.28515625" style="8" customWidth="1"/>
    <col min="8706" max="8707" width="11.85546875" style="8" customWidth="1"/>
    <col min="8708" max="8708" width="14.140625" style="8" customWidth="1"/>
    <col min="8709" max="8709" width="12" style="8" customWidth="1"/>
    <col min="8710" max="8710" width="11" style="8" customWidth="1"/>
    <col min="8711" max="8711" width="11.5703125" style="8" customWidth="1"/>
    <col min="8712" max="8931" width="9.140625" style="8" customWidth="1"/>
    <col min="8932" max="8932" width="4" style="8" customWidth="1"/>
    <col min="8933" max="8950" width="21.140625" style="8"/>
    <col min="8951" max="8951" width="4" style="8" customWidth="1"/>
    <col min="8952" max="8954" width="21.140625" style="8" customWidth="1"/>
    <col min="8955" max="8955" width="5.5703125" style="8" customWidth="1"/>
    <col min="8956" max="8956" width="4.7109375" style="8" customWidth="1"/>
    <col min="8957" max="8957" width="7.28515625" style="8" customWidth="1"/>
    <col min="8958" max="8958" width="6.5703125" style="8" customWidth="1"/>
    <col min="8959" max="8959" width="13.42578125" style="8" customWidth="1"/>
    <col min="8960" max="8960" width="12.42578125" style="8" customWidth="1"/>
    <col min="8961" max="8961" width="8.28515625" style="8" customWidth="1"/>
    <col min="8962" max="8963" width="11.85546875" style="8" customWidth="1"/>
    <col min="8964" max="8964" width="14.140625" style="8" customWidth="1"/>
    <col min="8965" max="8965" width="12" style="8" customWidth="1"/>
    <col min="8966" max="8966" width="11" style="8" customWidth="1"/>
    <col min="8967" max="8967" width="11.5703125" style="8" customWidth="1"/>
    <col min="8968" max="9187" width="9.140625" style="8" customWidth="1"/>
    <col min="9188" max="9188" width="4" style="8" customWidth="1"/>
    <col min="9189" max="9206" width="21.140625" style="8"/>
    <col min="9207" max="9207" width="4" style="8" customWidth="1"/>
    <col min="9208" max="9210" width="21.140625" style="8" customWidth="1"/>
    <col min="9211" max="9211" width="5.5703125" style="8" customWidth="1"/>
    <col min="9212" max="9212" width="4.7109375" style="8" customWidth="1"/>
    <col min="9213" max="9213" width="7.28515625" style="8" customWidth="1"/>
    <col min="9214" max="9214" width="6.5703125" style="8" customWidth="1"/>
    <col min="9215" max="9215" width="13.42578125" style="8" customWidth="1"/>
    <col min="9216" max="9216" width="12.42578125" style="8" customWidth="1"/>
    <col min="9217" max="9217" width="8.28515625" style="8" customWidth="1"/>
    <col min="9218" max="9219" width="11.85546875" style="8" customWidth="1"/>
    <col min="9220" max="9220" width="14.140625" style="8" customWidth="1"/>
    <col min="9221" max="9221" width="12" style="8" customWidth="1"/>
    <col min="9222" max="9222" width="11" style="8" customWidth="1"/>
    <col min="9223" max="9223" width="11.5703125" style="8" customWidth="1"/>
    <col min="9224" max="9443" width="9.140625" style="8" customWidth="1"/>
    <col min="9444" max="9444" width="4" style="8" customWidth="1"/>
    <col min="9445" max="9462" width="21.140625" style="8"/>
    <col min="9463" max="9463" width="4" style="8" customWidth="1"/>
    <col min="9464" max="9466" width="21.140625" style="8" customWidth="1"/>
    <col min="9467" max="9467" width="5.5703125" style="8" customWidth="1"/>
    <col min="9468" max="9468" width="4.7109375" style="8" customWidth="1"/>
    <col min="9469" max="9469" width="7.28515625" style="8" customWidth="1"/>
    <col min="9470" max="9470" width="6.5703125" style="8" customWidth="1"/>
    <col min="9471" max="9471" width="13.42578125" style="8" customWidth="1"/>
    <col min="9472" max="9472" width="12.42578125" style="8" customWidth="1"/>
    <col min="9473" max="9473" width="8.28515625" style="8" customWidth="1"/>
    <col min="9474" max="9475" width="11.85546875" style="8" customWidth="1"/>
    <col min="9476" max="9476" width="14.140625" style="8" customWidth="1"/>
    <col min="9477" max="9477" width="12" style="8" customWidth="1"/>
    <col min="9478" max="9478" width="11" style="8" customWidth="1"/>
    <col min="9479" max="9479" width="11.5703125" style="8" customWidth="1"/>
    <col min="9480" max="9699" width="9.140625" style="8" customWidth="1"/>
    <col min="9700" max="9700" width="4" style="8" customWidth="1"/>
    <col min="9701" max="9718" width="21.140625" style="8"/>
    <col min="9719" max="9719" width="4" style="8" customWidth="1"/>
    <col min="9720" max="9722" width="21.140625" style="8" customWidth="1"/>
    <col min="9723" max="9723" width="5.5703125" style="8" customWidth="1"/>
    <col min="9724" max="9724" width="4.7109375" style="8" customWidth="1"/>
    <col min="9725" max="9725" width="7.28515625" style="8" customWidth="1"/>
    <col min="9726" max="9726" width="6.5703125" style="8" customWidth="1"/>
    <col min="9727" max="9727" width="13.42578125" style="8" customWidth="1"/>
    <col min="9728" max="9728" width="12.42578125" style="8" customWidth="1"/>
    <col min="9729" max="9729" width="8.28515625" style="8" customWidth="1"/>
    <col min="9730" max="9731" width="11.85546875" style="8" customWidth="1"/>
    <col min="9732" max="9732" width="14.140625" style="8" customWidth="1"/>
    <col min="9733" max="9733" width="12" style="8" customWidth="1"/>
    <col min="9734" max="9734" width="11" style="8" customWidth="1"/>
    <col min="9735" max="9735" width="11.5703125" style="8" customWidth="1"/>
    <col min="9736" max="9955" width="9.140625" style="8" customWidth="1"/>
    <col min="9956" max="9956" width="4" style="8" customWidth="1"/>
    <col min="9957" max="9974" width="21.140625" style="8"/>
    <col min="9975" max="9975" width="4" style="8" customWidth="1"/>
    <col min="9976" max="9978" width="21.140625" style="8" customWidth="1"/>
    <col min="9979" max="9979" width="5.5703125" style="8" customWidth="1"/>
    <col min="9980" max="9980" width="4.7109375" style="8" customWidth="1"/>
    <col min="9981" max="9981" width="7.28515625" style="8" customWidth="1"/>
    <col min="9982" max="9982" width="6.5703125" style="8" customWidth="1"/>
    <col min="9983" max="9983" width="13.42578125" style="8" customWidth="1"/>
    <col min="9984" max="9984" width="12.42578125" style="8" customWidth="1"/>
    <col min="9985" max="9985" width="8.28515625" style="8" customWidth="1"/>
    <col min="9986" max="9987" width="11.85546875" style="8" customWidth="1"/>
    <col min="9988" max="9988" width="14.140625" style="8" customWidth="1"/>
    <col min="9989" max="9989" width="12" style="8" customWidth="1"/>
    <col min="9990" max="9990" width="11" style="8" customWidth="1"/>
    <col min="9991" max="9991" width="11.5703125" style="8" customWidth="1"/>
    <col min="9992" max="10211" width="9.140625" style="8" customWidth="1"/>
    <col min="10212" max="10212" width="4" style="8" customWidth="1"/>
    <col min="10213" max="10230" width="21.140625" style="8"/>
    <col min="10231" max="10231" width="4" style="8" customWidth="1"/>
    <col min="10232" max="10234" width="21.140625" style="8" customWidth="1"/>
    <col min="10235" max="10235" width="5.5703125" style="8" customWidth="1"/>
    <col min="10236" max="10236" width="4.7109375" style="8" customWidth="1"/>
    <col min="10237" max="10237" width="7.28515625" style="8" customWidth="1"/>
    <col min="10238" max="10238" width="6.5703125" style="8" customWidth="1"/>
    <col min="10239" max="10239" width="13.42578125" style="8" customWidth="1"/>
    <col min="10240" max="10240" width="12.42578125" style="8" customWidth="1"/>
    <col min="10241" max="10241" width="8.28515625" style="8" customWidth="1"/>
    <col min="10242" max="10243" width="11.85546875" style="8" customWidth="1"/>
    <col min="10244" max="10244" width="14.140625" style="8" customWidth="1"/>
    <col min="10245" max="10245" width="12" style="8" customWidth="1"/>
    <col min="10246" max="10246" width="11" style="8" customWidth="1"/>
    <col min="10247" max="10247" width="11.5703125" style="8" customWidth="1"/>
    <col min="10248" max="10467" width="9.140625" style="8" customWidth="1"/>
    <col min="10468" max="10468" width="4" style="8" customWidth="1"/>
    <col min="10469" max="10486" width="21.140625" style="8"/>
    <col min="10487" max="10487" width="4" style="8" customWidth="1"/>
    <col min="10488" max="10490" width="21.140625" style="8" customWidth="1"/>
    <col min="10491" max="10491" width="5.5703125" style="8" customWidth="1"/>
    <col min="10492" max="10492" width="4.7109375" style="8" customWidth="1"/>
    <col min="10493" max="10493" width="7.28515625" style="8" customWidth="1"/>
    <col min="10494" max="10494" width="6.5703125" style="8" customWidth="1"/>
    <col min="10495" max="10495" width="13.42578125" style="8" customWidth="1"/>
    <col min="10496" max="10496" width="12.42578125" style="8" customWidth="1"/>
    <col min="10497" max="10497" width="8.28515625" style="8" customWidth="1"/>
    <col min="10498" max="10499" width="11.85546875" style="8" customWidth="1"/>
    <col min="10500" max="10500" width="14.140625" style="8" customWidth="1"/>
    <col min="10501" max="10501" width="12" style="8" customWidth="1"/>
    <col min="10502" max="10502" width="11" style="8" customWidth="1"/>
    <col min="10503" max="10503" width="11.5703125" style="8" customWidth="1"/>
    <col min="10504" max="10723" width="9.140625" style="8" customWidth="1"/>
    <col min="10724" max="10724" width="4" style="8" customWidth="1"/>
    <col min="10725" max="10742" width="21.140625" style="8"/>
    <col min="10743" max="10743" width="4" style="8" customWidth="1"/>
    <col min="10744" max="10746" width="21.140625" style="8" customWidth="1"/>
    <col min="10747" max="10747" width="5.5703125" style="8" customWidth="1"/>
    <col min="10748" max="10748" width="4.7109375" style="8" customWidth="1"/>
    <col min="10749" max="10749" width="7.28515625" style="8" customWidth="1"/>
    <col min="10750" max="10750" width="6.5703125" style="8" customWidth="1"/>
    <col min="10751" max="10751" width="13.42578125" style="8" customWidth="1"/>
    <col min="10752" max="10752" width="12.42578125" style="8" customWidth="1"/>
    <col min="10753" max="10753" width="8.28515625" style="8" customWidth="1"/>
    <col min="10754" max="10755" width="11.85546875" style="8" customWidth="1"/>
    <col min="10756" max="10756" width="14.140625" style="8" customWidth="1"/>
    <col min="10757" max="10757" width="12" style="8" customWidth="1"/>
    <col min="10758" max="10758" width="11" style="8" customWidth="1"/>
    <col min="10759" max="10759" width="11.5703125" style="8" customWidth="1"/>
    <col min="10760" max="10979" width="9.140625" style="8" customWidth="1"/>
    <col min="10980" max="10980" width="4" style="8" customWidth="1"/>
    <col min="10981" max="10998" width="21.140625" style="8"/>
    <col min="10999" max="10999" width="4" style="8" customWidth="1"/>
    <col min="11000" max="11002" width="21.140625" style="8" customWidth="1"/>
    <col min="11003" max="11003" width="5.5703125" style="8" customWidth="1"/>
    <col min="11004" max="11004" width="4.7109375" style="8" customWidth="1"/>
    <col min="11005" max="11005" width="7.28515625" style="8" customWidth="1"/>
    <col min="11006" max="11006" width="6.5703125" style="8" customWidth="1"/>
    <col min="11007" max="11007" width="13.42578125" style="8" customWidth="1"/>
    <col min="11008" max="11008" width="12.42578125" style="8" customWidth="1"/>
    <col min="11009" max="11009" width="8.28515625" style="8" customWidth="1"/>
    <col min="11010" max="11011" width="11.85546875" style="8" customWidth="1"/>
    <col min="11012" max="11012" width="14.140625" style="8" customWidth="1"/>
    <col min="11013" max="11013" width="12" style="8" customWidth="1"/>
    <col min="11014" max="11014" width="11" style="8" customWidth="1"/>
    <col min="11015" max="11015" width="11.5703125" style="8" customWidth="1"/>
    <col min="11016" max="11235" width="9.140625" style="8" customWidth="1"/>
    <col min="11236" max="11236" width="4" style="8" customWidth="1"/>
    <col min="11237" max="11254" width="21.140625" style="8"/>
    <col min="11255" max="11255" width="4" style="8" customWidth="1"/>
    <col min="11256" max="11258" width="21.140625" style="8" customWidth="1"/>
    <col min="11259" max="11259" width="5.5703125" style="8" customWidth="1"/>
    <col min="11260" max="11260" width="4.7109375" style="8" customWidth="1"/>
    <col min="11261" max="11261" width="7.28515625" style="8" customWidth="1"/>
    <col min="11262" max="11262" width="6.5703125" style="8" customWidth="1"/>
    <col min="11263" max="11263" width="13.42578125" style="8" customWidth="1"/>
    <col min="11264" max="11264" width="12.42578125" style="8" customWidth="1"/>
    <col min="11265" max="11265" width="8.28515625" style="8" customWidth="1"/>
    <col min="11266" max="11267" width="11.85546875" style="8" customWidth="1"/>
    <col min="11268" max="11268" width="14.140625" style="8" customWidth="1"/>
    <col min="11269" max="11269" width="12" style="8" customWidth="1"/>
    <col min="11270" max="11270" width="11" style="8" customWidth="1"/>
    <col min="11271" max="11271" width="11.5703125" style="8" customWidth="1"/>
    <col min="11272" max="11491" width="9.140625" style="8" customWidth="1"/>
    <col min="11492" max="11492" width="4" style="8" customWidth="1"/>
    <col min="11493" max="11510" width="21.140625" style="8"/>
    <col min="11511" max="11511" width="4" style="8" customWidth="1"/>
    <col min="11512" max="11514" width="21.140625" style="8" customWidth="1"/>
    <col min="11515" max="11515" width="5.5703125" style="8" customWidth="1"/>
    <col min="11516" max="11516" width="4.7109375" style="8" customWidth="1"/>
    <col min="11517" max="11517" width="7.28515625" style="8" customWidth="1"/>
    <col min="11518" max="11518" width="6.5703125" style="8" customWidth="1"/>
    <col min="11519" max="11519" width="13.42578125" style="8" customWidth="1"/>
    <col min="11520" max="11520" width="12.42578125" style="8" customWidth="1"/>
    <col min="11521" max="11521" width="8.28515625" style="8" customWidth="1"/>
    <col min="11522" max="11523" width="11.85546875" style="8" customWidth="1"/>
    <col min="11524" max="11524" width="14.140625" style="8" customWidth="1"/>
    <col min="11525" max="11525" width="12" style="8" customWidth="1"/>
    <col min="11526" max="11526" width="11" style="8" customWidth="1"/>
    <col min="11527" max="11527" width="11.5703125" style="8" customWidth="1"/>
    <col min="11528" max="11747" width="9.140625" style="8" customWidth="1"/>
    <col min="11748" max="11748" width="4" style="8" customWidth="1"/>
    <col min="11749" max="11766" width="21.140625" style="8"/>
    <col min="11767" max="11767" width="4" style="8" customWidth="1"/>
    <col min="11768" max="11770" width="21.140625" style="8" customWidth="1"/>
    <col min="11771" max="11771" width="5.5703125" style="8" customWidth="1"/>
    <col min="11772" max="11772" width="4.7109375" style="8" customWidth="1"/>
    <col min="11773" max="11773" width="7.28515625" style="8" customWidth="1"/>
    <col min="11774" max="11774" width="6.5703125" style="8" customWidth="1"/>
    <col min="11775" max="11775" width="13.42578125" style="8" customWidth="1"/>
    <col min="11776" max="11776" width="12.42578125" style="8" customWidth="1"/>
    <col min="11777" max="11777" width="8.28515625" style="8" customWidth="1"/>
    <col min="11778" max="11779" width="11.85546875" style="8" customWidth="1"/>
    <col min="11780" max="11780" width="14.140625" style="8" customWidth="1"/>
    <col min="11781" max="11781" width="12" style="8" customWidth="1"/>
    <col min="11782" max="11782" width="11" style="8" customWidth="1"/>
    <col min="11783" max="11783" width="11.5703125" style="8" customWidth="1"/>
    <col min="11784" max="12003" width="9.140625" style="8" customWidth="1"/>
    <col min="12004" max="12004" width="4" style="8" customWidth="1"/>
    <col min="12005" max="12022" width="21.140625" style="8"/>
    <col min="12023" max="12023" width="4" style="8" customWidth="1"/>
    <col min="12024" max="12026" width="21.140625" style="8" customWidth="1"/>
    <col min="12027" max="12027" width="5.5703125" style="8" customWidth="1"/>
    <col min="12028" max="12028" width="4.7109375" style="8" customWidth="1"/>
    <col min="12029" max="12029" width="7.28515625" style="8" customWidth="1"/>
    <col min="12030" max="12030" width="6.5703125" style="8" customWidth="1"/>
    <col min="12031" max="12031" width="13.42578125" style="8" customWidth="1"/>
    <col min="12032" max="12032" width="12.42578125" style="8" customWidth="1"/>
    <col min="12033" max="12033" width="8.28515625" style="8" customWidth="1"/>
    <col min="12034" max="12035" width="11.85546875" style="8" customWidth="1"/>
    <col min="12036" max="12036" width="14.140625" style="8" customWidth="1"/>
    <col min="12037" max="12037" width="12" style="8" customWidth="1"/>
    <col min="12038" max="12038" width="11" style="8" customWidth="1"/>
    <col min="12039" max="12039" width="11.5703125" style="8" customWidth="1"/>
    <col min="12040" max="12259" width="9.140625" style="8" customWidth="1"/>
    <col min="12260" max="12260" width="4" style="8" customWidth="1"/>
    <col min="12261" max="12278" width="21.140625" style="8"/>
    <col min="12279" max="12279" width="4" style="8" customWidth="1"/>
    <col min="12280" max="12282" width="21.140625" style="8" customWidth="1"/>
    <col min="12283" max="12283" width="5.5703125" style="8" customWidth="1"/>
    <col min="12284" max="12284" width="4.7109375" style="8" customWidth="1"/>
    <col min="12285" max="12285" width="7.28515625" style="8" customWidth="1"/>
    <col min="12286" max="12286" width="6.5703125" style="8" customWidth="1"/>
    <col min="12287" max="12287" width="13.42578125" style="8" customWidth="1"/>
    <col min="12288" max="12288" width="12.42578125" style="8" customWidth="1"/>
    <col min="12289" max="12289" width="8.28515625" style="8" customWidth="1"/>
    <col min="12290" max="12291" width="11.85546875" style="8" customWidth="1"/>
    <col min="12292" max="12292" width="14.140625" style="8" customWidth="1"/>
    <col min="12293" max="12293" width="12" style="8" customWidth="1"/>
    <col min="12294" max="12294" width="11" style="8" customWidth="1"/>
    <col min="12295" max="12295" width="11.5703125" style="8" customWidth="1"/>
    <col min="12296" max="12515" width="9.140625" style="8" customWidth="1"/>
    <col min="12516" max="12516" width="4" style="8" customWidth="1"/>
    <col min="12517" max="12534" width="21.140625" style="8"/>
    <col min="12535" max="12535" width="4" style="8" customWidth="1"/>
    <col min="12536" max="12538" width="21.140625" style="8" customWidth="1"/>
    <col min="12539" max="12539" width="5.5703125" style="8" customWidth="1"/>
    <col min="12540" max="12540" width="4.7109375" style="8" customWidth="1"/>
    <col min="12541" max="12541" width="7.28515625" style="8" customWidth="1"/>
    <col min="12542" max="12542" width="6.5703125" style="8" customWidth="1"/>
    <col min="12543" max="12543" width="13.42578125" style="8" customWidth="1"/>
    <col min="12544" max="12544" width="12.42578125" style="8" customWidth="1"/>
    <col min="12545" max="12545" width="8.28515625" style="8" customWidth="1"/>
    <col min="12546" max="12547" width="11.85546875" style="8" customWidth="1"/>
    <col min="12548" max="12548" width="14.140625" style="8" customWidth="1"/>
    <col min="12549" max="12549" width="12" style="8" customWidth="1"/>
    <col min="12550" max="12550" width="11" style="8" customWidth="1"/>
    <col min="12551" max="12551" width="11.5703125" style="8" customWidth="1"/>
    <col min="12552" max="12771" width="9.140625" style="8" customWidth="1"/>
    <col min="12772" max="12772" width="4" style="8" customWidth="1"/>
    <col min="12773" max="12790" width="21.140625" style="8"/>
    <col min="12791" max="12791" width="4" style="8" customWidth="1"/>
    <col min="12792" max="12794" width="21.140625" style="8" customWidth="1"/>
    <col min="12795" max="12795" width="5.5703125" style="8" customWidth="1"/>
    <col min="12796" max="12796" width="4.7109375" style="8" customWidth="1"/>
    <col min="12797" max="12797" width="7.28515625" style="8" customWidth="1"/>
    <col min="12798" max="12798" width="6.5703125" style="8" customWidth="1"/>
    <col min="12799" max="12799" width="13.42578125" style="8" customWidth="1"/>
    <col min="12800" max="12800" width="12.42578125" style="8" customWidth="1"/>
    <col min="12801" max="12801" width="8.28515625" style="8" customWidth="1"/>
    <col min="12802" max="12803" width="11.85546875" style="8" customWidth="1"/>
    <col min="12804" max="12804" width="14.140625" style="8" customWidth="1"/>
    <col min="12805" max="12805" width="12" style="8" customWidth="1"/>
    <col min="12806" max="12806" width="11" style="8" customWidth="1"/>
    <col min="12807" max="12807" width="11.5703125" style="8" customWidth="1"/>
    <col min="12808" max="13027" width="9.140625" style="8" customWidth="1"/>
    <col min="13028" max="13028" width="4" style="8" customWidth="1"/>
    <col min="13029" max="13046" width="21.140625" style="8"/>
    <col min="13047" max="13047" width="4" style="8" customWidth="1"/>
    <col min="13048" max="13050" width="21.140625" style="8" customWidth="1"/>
    <col min="13051" max="13051" width="5.5703125" style="8" customWidth="1"/>
    <col min="13052" max="13052" width="4.7109375" style="8" customWidth="1"/>
    <col min="13053" max="13053" width="7.28515625" style="8" customWidth="1"/>
    <col min="13054" max="13054" width="6.5703125" style="8" customWidth="1"/>
    <col min="13055" max="13055" width="13.42578125" style="8" customWidth="1"/>
    <col min="13056" max="13056" width="12.42578125" style="8" customWidth="1"/>
    <col min="13057" max="13057" width="8.28515625" style="8" customWidth="1"/>
    <col min="13058" max="13059" width="11.85546875" style="8" customWidth="1"/>
    <col min="13060" max="13060" width="14.140625" style="8" customWidth="1"/>
    <col min="13061" max="13061" width="12" style="8" customWidth="1"/>
    <col min="13062" max="13062" width="11" style="8" customWidth="1"/>
    <col min="13063" max="13063" width="11.5703125" style="8" customWidth="1"/>
    <col min="13064" max="13283" width="9.140625" style="8" customWidth="1"/>
    <col min="13284" max="13284" width="4" style="8" customWidth="1"/>
    <col min="13285" max="13302" width="21.140625" style="8"/>
    <col min="13303" max="13303" width="4" style="8" customWidth="1"/>
    <col min="13304" max="13306" width="21.140625" style="8" customWidth="1"/>
    <col min="13307" max="13307" width="5.5703125" style="8" customWidth="1"/>
    <col min="13308" max="13308" width="4.7109375" style="8" customWidth="1"/>
    <col min="13309" max="13309" width="7.28515625" style="8" customWidth="1"/>
    <col min="13310" max="13310" width="6.5703125" style="8" customWidth="1"/>
    <col min="13311" max="13311" width="13.42578125" style="8" customWidth="1"/>
    <col min="13312" max="13312" width="12.42578125" style="8" customWidth="1"/>
    <col min="13313" max="13313" width="8.28515625" style="8" customWidth="1"/>
    <col min="13314" max="13315" width="11.85546875" style="8" customWidth="1"/>
    <col min="13316" max="13316" width="14.140625" style="8" customWidth="1"/>
    <col min="13317" max="13317" width="12" style="8" customWidth="1"/>
    <col min="13318" max="13318" width="11" style="8" customWidth="1"/>
    <col min="13319" max="13319" width="11.5703125" style="8" customWidth="1"/>
    <col min="13320" max="13539" width="9.140625" style="8" customWidth="1"/>
    <col min="13540" max="13540" width="4" style="8" customWidth="1"/>
    <col min="13541" max="13558" width="21.140625" style="8"/>
    <col min="13559" max="13559" width="4" style="8" customWidth="1"/>
    <col min="13560" max="13562" width="21.140625" style="8" customWidth="1"/>
    <col min="13563" max="13563" width="5.5703125" style="8" customWidth="1"/>
    <col min="13564" max="13564" width="4.7109375" style="8" customWidth="1"/>
    <col min="13565" max="13565" width="7.28515625" style="8" customWidth="1"/>
    <col min="13566" max="13566" width="6.5703125" style="8" customWidth="1"/>
    <col min="13567" max="13567" width="13.42578125" style="8" customWidth="1"/>
    <col min="13568" max="13568" width="12.42578125" style="8" customWidth="1"/>
    <col min="13569" max="13569" width="8.28515625" style="8" customWidth="1"/>
    <col min="13570" max="13571" width="11.85546875" style="8" customWidth="1"/>
    <col min="13572" max="13572" width="14.140625" style="8" customWidth="1"/>
    <col min="13573" max="13573" width="12" style="8" customWidth="1"/>
    <col min="13574" max="13574" width="11" style="8" customWidth="1"/>
    <col min="13575" max="13575" width="11.5703125" style="8" customWidth="1"/>
    <col min="13576" max="13795" width="9.140625" style="8" customWidth="1"/>
    <col min="13796" max="13796" width="4" style="8" customWidth="1"/>
    <col min="13797" max="13814" width="21.140625" style="8"/>
    <col min="13815" max="13815" width="4" style="8" customWidth="1"/>
    <col min="13816" max="13818" width="21.140625" style="8" customWidth="1"/>
    <col min="13819" max="13819" width="5.5703125" style="8" customWidth="1"/>
    <col min="13820" max="13820" width="4.7109375" style="8" customWidth="1"/>
    <col min="13821" max="13821" width="7.28515625" style="8" customWidth="1"/>
    <col min="13822" max="13822" width="6.5703125" style="8" customWidth="1"/>
    <col min="13823" max="13823" width="13.42578125" style="8" customWidth="1"/>
    <col min="13824" max="13824" width="12.42578125" style="8" customWidth="1"/>
    <col min="13825" max="13825" width="8.28515625" style="8" customWidth="1"/>
    <col min="13826" max="13827" width="11.85546875" style="8" customWidth="1"/>
    <col min="13828" max="13828" width="14.140625" style="8" customWidth="1"/>
    <col min="13829" max="13829" width="12" style="8" customWidth="1"/>
    <col min="13830" max="13830" width="11" style="8" customWidth="1"/>
    <col min="13831" max="13831" width="11.5703125" style="8" customWidth="1"/>
    <col min="13832" max="14051" width="9.140625" style="8" customWidth="1"/>
    <col min="14052" max="14052" width="4" style="8" customWidth="1"/>
    <col min="14053" max="14070" width="21.140625" style="8"/>
    <col min="14071" max="14071" width="4" style="8" customWidth="1"/>
    <col min="14072" max="14074" width="21.140625" style="8" customWidth="1"/>
    <col min="14075" max="14075" width="5.5703125" style="8" customWidth="1"/>
    <col min="14076" max="14076" width="4.7109375" style="8" customWidth="1"/>
    <col min="14077" max="14077" width="7.28515625" style="8" customWidth="1"/>
    <col min="14078" max="14078" width="6.5703125" style="8" customWidth="1"/>
    <col min="14079" max="14079" width="13.42578125" style="8" customWidth="1"/>
    <col min="14080" max="14080" width="12.42578125" style="8" customWidth="1"/>
    <col min="14081" max="14081" width="8.28515625" style="8" customWidth="1"/>
    <col min="14082" max="14083" width="11.85546875" style="8" customWidth="1"/>
    <col min="14084" max="14084" width="14.140625" style="8" customWidth="1"/>
    <col min="14085" max="14085" width="12" style="8" customWidth="1"/>
    <col min="14086" max="14086" width="11" style="8" customWidth="1"/>
    <col min="14087" max="14087" width="11.5703125" style="8" customWidth="1"/>
    <col min="14088" max="14307" width="9.140625" style="8" customWidth="1"/>
    <col min="14308" max="14308" width="4" style="8" customWidth="1"/>
    <col min="14309" max="14326" width="21.140625" style="8"/>
    <col min="14327" max="14327" width="4" style="8" customWidth="1"/>
    <col min="14328" max="14330" width="21.140625" style="8" customWidth="1"/>
    <col min="14331" max="14331" width="5.5703125" style="8" customWidth="1"/>
    <col min="14332" max="14332" width="4.7109375" style="8" customWidth="1"/>
    <col min="14333" max="14333" width="7.28515625" style="8" customWidth="1"/>
    <col min="14334" max="14334" width="6.5703125" style="8" customWidth="1"/>
    <col min="14335" max="14335" width="13.42578125" style="8" customWidth="1"/>
    <col min="14336" max="14336" width="12.42578125" style="8" customWidth="1"/>
    <col min="14337" max="14337" width="8.28515625" style="8" customWidth="1"/>
    <col min="14338" max="14339" width="11.85546875" style="8" customWidth="1"/>
    <col min="14340" max="14340" width="14.140625" style="8" customWidth="1"/>
    <col min="14341" max="14341" width="12" style="8" customWidth="1"/>
    <col min="14342" max="14342" width="11" style="8" customWidth="1"/>
    <col min="14343" max="14343" width="11.5703125" style="8" customWidth="1"/>
    <col min="14344" max="14563" width="9.140625" style="8" customWidth="1"/>
    <col min="14564" max="14564" width="4" style="8" customWidth="1"/>
    <col min="14565" max="14582" width="21.140625" style="8"/>
    <col min="14583" max="14583" width="4" style="8" customWidth="1"/>
    <col min="14584" max="14586" width="21.140625" style="8" customWidth="1"/>
    <col min="14587" max="14587" width="5.5703125" style="8" customWidth="1"/>
    <col min="14588" max="14588" width="4.7109375" style="8" customWidth="1"/>
    <col min="14589" max="14589" width="7.28515625" style="8" customWidth="1"/>
    <col min="14590" max="14590" width="6.5703125" style="8" customWidth="1"/>
    <col min="14591" max="14591" width="13.42578125" style="8" customWidth="1"/>
    <col min="14592" max="14592" width="12.42578125" style="8" customWidth="1"/>
    <col min="14593" max="14593" width="8.28515625" style="8" customWidth="1"/>
    <col min="14594" max="14595" width="11.85546875" style="8" customWidth="1"/>
    <col min="14596" max="14596" width="14.140625" style="8" customWidth="1"/>
    <col min="14597" max="14597" width="12" style="8" customWidth="1"/>
    <col min="14598" max="14598" width="11" style="8" customWidth="1"/>
    <col min="14599" max="14599" width="11.5703125" style="8" customWidth="1"/>
    <col min="14600" max="14819" width="9.140625" style="8" customWidth="1"/>
    <col min="14820" max="14820" width="4" style="8" customWidth="1"/>
    <col min="14821" max="14838" width="21.140625" style="8"/>
    <col min="14839" max="14839" width="4" style="8" customWidth="1"/>
    <col min="14840" max="14842" width="21.140625" style="8" customWidth="1"/>
    <col min="14843" max="14843" width="5.5703125" style="8" customWidth="1"/>
    <col min="14844" max="14844" width="4.7109375" style="8" customWidth="1"/>
    <col min="14845" max="14845" width="7.28515625" style="8" customWidth="1"/>
    <col min="14846" max="14846" width="6.5703125" style="8" customWidth="1"/>
    <col min="14847" max="14847" width="13.42578125" style="8" customWidth="1"/>
    <col min="14848" max="14848" width="12.42578125" style="8" customWidth="1"/>
    <col min="14849" max="14849" width="8.28515625" style="8" customWidth="1"/>
    <col min="14850" max="14851" width="11.85546875" style="8" customWidth="1"/>
    <col min="14852" max="14852" width="14.140625" style="8" customWidth="1"/>
    <col min="14853" max="14853" width="12" style="8" customWidth="1"/>
    <col min="14854" max="14854" width="11" style="8" customWidth="1"/>
    <col min="14855" max="14855" width="11.5703125" style="8" customWidth="1"/>
    <col min="14856" max="15075" width="9.140625" style="8" customWidth="1"/>
    <col min="15076" max="15076" width="4" style="8" customWidth="1"/>
    <col min="15077" max="15094" width="21.140625" style="8"/>
    <col min="15095" max="15095" width="4" style="8" customWidth="1"/>
    <col min="15096" max="15098" width="21.140625" style="8" customWidth="1"/>
    <col min="15099" max="15099" width="5.5703125" style="8" customWidth="1"/>
    <col min="15100" max="15100" width="4.7109375" style="8" customWidth="1"/>
    <col min="15101" max="15101" width="7.28515625" style="8" customWidth="1"/>
    <col min="15102" max="15102" width="6.5703125" style="8" customWidth="1"/>
    <col min="15103" max="15103" width="13.42578125" style="8" customWidth="1"/>
    <col min="15104" max="15104" width="12.42578125" style="8" customWidth="1"/>
    <col min="15105" max="15105" width="8.28515625" style="8" customWidth="1"/>
    <col min="15106" max="15107" width="11.85546875" style="8" customWidth="1"/>
    <col min="15108" max="15108" width="14.140625" style="8" customWidth="1"/>
    <col min="15109" max="15109" width="12" style="8" customWidth="1"/>
    <col min="15110" max="15110" width="11" style="8" customWidth="1"/>
    <col min="15111" max="15111" width="11.5703125" style="8" customWidth="1"/>
    <col min="15112" max="15331" width="9.140625" style="8" customWidth="1"/>
    <col min="15332" max="15332" width="4" style="8" customWidth="1"/>
    <col min="15333" max="15350" width="21.140625" style="8"/>
    <col min="15351" max="15351" width="4" style="8" customWidth="1"/>
    <col min="15352" max="15354" width="21.140625" style="8" customWidth="1"/>
    <col min="15355" max="15355" width="5.5703125" style="8" customWidth="1"/>
    <col min="15356" max="15356" width="4.7109375" style="8" customWidth="1"/>
    <col min="15357" max="15357" width="7.28515625" style="8" customWidth="1"/>
    <col min="15358" max="15358" width="6.5703125" style="8" customWidth="1"/>
    <col min="15359" max="15359" width="13.42578125" style="8" customWidth="1"/>
    <col min="15360" max="15360" width="12.42578125" style="8" customWidth="1"/>
    <col min="15361" max="15361" width="8.28515625" style="8" customWidth="1"/>
    <col min="15362" max="15363" width="11.85546875" style="8" customWidth="1"/>
    <col min="15364" max="15364" width="14.140625" style="8" customWidth="1"/>
    <col min="15365" max="15365" width="12" style="8" customWidth="1"/>
    <col min="15366" max="15366" width="11" style="8" customWidth="1"/>
    <col min="15367" max="15367" width="11.5703125" style="8" customWidth="1"/>
    <col min="15368" max="15587" width="9.140625" style="8" customWidth="1"/>
    <col min="15588" max="15588" width="4" style="8" customWidth="1"/>
    <col min="15589" max="15606" width="21.140625" style="8"/>
    <col min="15607" max="15607" width="4" style="8" customWidth="1"/>
    <col min="15608" max="15610" width="21.140625" style="8" customWidth="1"/>
    <col min="15611" max="15611" width="5.5703125" style="8" customWidth="1"/>
    <col min="15612" max="15612" width="4.7109375" style="8" customWidth="1"/>
    <col min="15613" max="15613" width="7.28515625" style="8" customWidth="1"/>
    <col min="15614" max="15614" width="6.5703125" style="8" customWidth="1"/>
    <col min="15615" max="15615" width="13.42578125" style="8" customWidth="1"/>
    <col min="15616" max="15616" width="12.42578125" style="8" customWidth="1"/>
    <col min="15617" max="15617" width="8.28515625" style="8" customWidth="1"/>
    <col min="15618" max="15619" width="11.85546875" style="8" customWidth="1"/>
    <col min="15620" max="15620" width="14.140625" style="8" customWidth="1"/>
    <col min="15621" max="15621" width="12" style="8" customWidth="1"/>
    <col min="15622" max="15622" width="11" style="8" customWidth="1"/>
    <col min="15623" max="15623" width="11.5703125" style="8" customWidth="1"/>
    <col min="15624" max="15843" width="9.140625" style="8" customWidth="1"/>
    <col min="15844" max="15844" width="4" style="8" customWidth="1"/>
    <col min="15845" max="15862" width="21.140625" style="8"/>
    <col min="15863" max="15863" width="4" style="8" customWidth="1"/>
    <col min="15864" max="15866" width="21.140625" style="8" customWidth="1"/>
    <col min="15867" max="15867" width="5.5703125" style="8" customWidth="1"/>
    <col min="15868" max="15868" width="4.7109375" style="8" customWidth="1"/>
    <col min="15869" max="15869" width="7.28515625" style="8" customWidth="1"/>
    <col min="15870" max="15870" width="6.5703125" style="8" customWidth="1"/>
    <col min="15871" max="15871" width="13.42578125" style="8" customWidth="1"/>
    <col min="15872" max="15872" width="12.42578125" style="8" customWidth="1"/>
    <col min="15873" max="15873" width="8.28515625" style="8" customWidth="1"/>
    <col min="15874" max="15875" width="11.85546875" style="8" customWidth="1"/>
    <col min="15876" max="15876" width="14.140625" style="8" customWidth="1"/>
    <col min="15877" max="15877" width="12" style="8" customWidth="1"/>
    <col min="15878" max="15878" width="11" style="8" customWidth="1"/>
    <col min="15879" max="15879" width="11.5703125" style="8" customWidth="1"/>
    <col min="15880" max="16099" width="9.140625" style="8" customWidth="1"/>
    <col min="16100" max="16100" width="4" style="8" customWidth="1"/>
    <col min="16101" max="16118" width="21.140625" style="8"/>
    <col min="16119" max="16119" width="4" style="8" customWidth="1"/>
    <col min="16120" max="16122" width="21.140625" style="8" customWidth="1"/>
    <col min="16123" max="16123" width="5.5703125" style="8" customWidth="1"/>
    <col min="16124" max="16124" width="4.7109375" style="8" customWidth="1"/>
    <col min="16125" max="16125" width="7.28515625" style="8" customWidth="1"/>
    <col min="16126" max="16126" width="6.5703125" style="8" customWidth="1"/>
    <col min="16127" max="16127" width="13.42578125" style="8" customWidth="1"/>
    <col min="16128" max="16128" width="12.42578125" style="8" customWidth="1"/>
    <col min="16129" max="16129" width="8.28515625" style="8" customWidth="1"/>
    <col min="16130" max="16131" width="11.85546875" style="8" customWidth="1"/>
    <col min="16132" max="16132" width="14.140625" style="8" customWidth="1"/>
    <col min="16133" max="16133" width="12" style="8" customWidth="1"/>
    <col min="16134" max="16134" width="11" style="8" customWidth="1"/>
    <col min="16135" max="16135" width="11.5703125" style="8" customWidth="1"/>
    <col min="16136" max="16355" width="9.140625" style="8" customWidth="1"/>
    <col min="16356" max="16356" width="4" style="8" customWidth="1"/>
    <col min="16357" max="16384" width="21.140625" style="8"/>
  </cols>
  <sheetData>
    <row r="1" spans="1:187" ht="20.25">
      <c r="A1" s="5" t="s">
        <v>0</v>
      </c>
      <c r="B1" s="5"/>
      <c r="C1" s="5"/>
      <c r="D1" s="27"/>
      <c r="E1" s="26"/>
      <c r="F1" s="41"/>
      <c r="G1" s="7"/>
      <c r="H1" s="4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</row>
    <row r="2" spans="1:187" ht="20.25">
      <c r="A2" s="13" t="s">
        <v>19</v>
      </c>
      <c r="B2" s="13"/>
      <c r="C2" s="13"/>
      <c r="D2" s="28"/>
      <c r="F2" s="41"/>
      <c r="G2" s="7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</row>
    <row r="3" spans="1:187" ht="20.25">
      <c r="A3" s="198" t="s">
        <v>15</v>
      </c>
      <c r="B3" s="198"/>
      <c r="C3" s="198"/>
      <c r="D3" s="198"/>
      <c r="E3" s="198"/>
      <c r="F3" s="198"/>
      <c r="G3" s="198"/>
      <c r="H3" s="198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</row>
    <row r="4" spans="1:187" ht="20.25" customHeight="1">
      <c r="A4" s="199" t="str">
        <f>GB!A4</f>
        <v>THÁNG 8/2026</v>
      </c>
      <c r="B4" s="199"/>
      <c r="C4" s="199"/>
      <c r="D4" s="199"/>
      <c r="E4" s="199"/>
      <c r="F4" s="199"/>
      <c r="G4" s="199"/>
      <c r="H4" s="199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</row>
    <row r="5" spans="1:187" s="21" customFormat="1" ht="18.75" customHeight="1">
      <c r="A5" s="132" t="s">
        <v>2</v>
      </c>
      <c r="B5" s="132" t="s">
        <v>9</v>
      </c>
      <c r="C5" s="132" t="s">
        <v>12</v>
      </c>
      <c r="D5" s="131" t="s">
        <v>3</v>
      </c>
      <c r="E5" s="133" t="s">
        <v>47</v>
      </c>
      <c r="F5" s="133" t="s">
        <v>48</v>
      </c>
      <c r="G5" s="130" t="s">
        <v>49</v>
      </c>
      <c r="H5" s="133" t="s">
        <v>16</v>
      </c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6"/>
      <c r="AJ5" s="36"/>
      <c r="AK5" s="36"/>
      <c r="AL5" s="36"/>
      <c r="AM5" s="36"/>
      <c r="AN5" s="36"/>
      <c r="AO5" s="36"/>
      <c r="AP5" s="36"/>
      <c r="AQ5" s="36"/>
      <c r="AR5" s="36"/>
      <c r="AS5" s="36"/>
      <c r="AT5" s="36"/>
      <c r="AU5" s="36"/>
      <c r="AV5" s="36"/>
      <c r="AW5" s="36"/>
      <c r="AX5" s="36"/>
      <c r="AY5" s="36"/>
      <c r="AZ5" s="36"/>
      <c r="BA5" s="36"/>
      <c r="BB5" s="36"/>
      <c r="BC5" s="36"/>
      <c r="BD5" s="36"/>
      <c r="BE5" s="36"/>
      <c r="BF5" s="36"/>
      <c r="BG5" s="36"/>
      <c r="BH5" s="36"/>
      <c r="BI5" s="36"/>
      <c r="BJ5" s="36"/>
      <c r="BK5" s="36"/>
      <c r="BL5" s="36"/>
      <c r="BM5" s="36"/>
      <c r="BN5" s="36"/>
      <c r="BO5" s="36"/>
      <c r="BP5" s="36"/>
      <c r="BQ5" s="36"/>
      <c r="BR5" s="36"/>
      <c r="BS5" s="36"/>
      <c r="BT5" s="36"/>
      <c r="BU5" s="36"/>
      <c r="BV5" s="36"/>
      <c r="BW5" s="36"/>
      <c r="BX5" s="36"/>
      <c r="BY5" s="36"/>
      <c r="BZ5" s="36"/>
      <c r="CA5" s="36"/>
      <c r="CB5" s="36"/>
      <c r="CC5" s="36"/>
      <c r="CD5" s="36"/>
      <c r="CE5" s="36"/>
      <c r="CF5" s="36"/>
      <c r="CG5" s="36"/>
      <c r="CH5" s="36"/>
      <c r="CI5" s="36"/>
      <c r="CJ5" s="36"/>
      <c r="CK5" s="36"/>
      <c r="CL5" s="36"/>
      <c r="CM5" s="36"/>
      <c r="CN5" s="36"/>
      <c r="CO5" s="36"/>
      <c r="CP5" s="36"/>
      <c r="CQ5" s="36"/>
      <c r="CR5" s="36"/>
      <c r="CS5" s="36"/>
      <c r="CT5" s="36"/>
      <c r="CU5" s="36"/>
      <c r="CV5" s="36"/>
      <c r="CW5" s="36"/>
      <c r="CX5" s="36"/>
      <c r="CY5" s="36"/>
      <c r="CZ5" s="36"/>
      <c r="DA5" s="36"/>
      <c r="DB5" s="36"/>
      <c r="DC5" s="36"/>
      <c r="DD5" s="36"/>
      <c r="DE5" s="36"/>
      <c r="DF5" s="36"/>
      <c r="DG5" s="36"/>
      <c r="DH5" s="36"/>
      <c r="DI5" s="36"/>
      <c r="DJ5" s="36"/>
      <c r="DK5" s="36"/>
      <c r="DL5" s="36"/>
      <c r="DM5" s="36"/>
      <c r="DN5" s="36"/>
      <c r="DO5" s="36"/>
      <c r="DP5" s="36"/>
      <c r="DQ5" s="36"/>
      <c r="DR5" s="36"/>
      <c r="DS5" s="36"/>
      <c r="DT5" s="36"/>
      <c r="DU5" s="36"/>
      <c r="DV5" s="36"/>
      <c r="DW5" s="36"/>
      <c r="DX5" s="36"/>
      <c r="DY5" s="36"/>
      <c r="DZ5" s="36"/>
      <c r="EA5" s="36"/>
      <c r="EB5" s="36"/>
      <c r="EC5" s="36"/>
      <c r="ED5" s="36"/>
      <c r="EE5" s="36"/>
      <c r="EF5" s="36"/>
      <c r="EG5" s="36"/>
      <c r="EH5" s="36"/>
      <c r="EI5" s="36"/>
      <c r="EJ5" s="36"/>
      <c r="EK5" s="36"/>
      <c r="EL5" s="36"/>
      <c r="EM5" s="36"/>
      <c r="EN5" s="36"/>
      <c r="EO5" s="36"/>
      <c r="EP5" s="36"/>
      <c r="EQ5" s="36"/>
      <c r="ER5" s="36"/>
      <c r="ES5" s="36"/>
      <c r="ET5" s="36"/>
      <c r="EU5" s="36"/>
      <c r="EV5" s="36"/>
      <c r="EW5" s="36"/>
      <c r="EX5" s="36"/>
      <c r="EY5" s="36"/>
      <c r="EZ5" s="36"/>
      <c r="FA5" s="36"/>
      <c r="FB5" s="36"/>
      <c r="FC5" s="36"/>
      <c r="FD5" s="36"/>
      <c r="FE5" s="36"/>
      <c r="FF5" s="36"/>
      <c r="FG5" s="36"/>
      <c r="FH5" s="36"/>
      <c r="FI5" s="36"/>
      <c r="FJ5" s="36"/>
      <c r="FK5" s="36"/>
      <c r="FL5" s="36"/>
      <c r="FM5" s="36"/>
      <c r="FN5" s="36"/>
      <c r="FO5" s="36"/>
      <c r="FP5" s="36"/>
      <c r="FQ5" s="36"/>
      <c r="FR5" s="36"/>
      <c r="FS5" s="36"/>
      <c r="FT5" s="36"/>
      <c r="FU5" s="36"/>
      <c r="FV5" s="36"/>
      <c r="FW5" s="36"/>
      <c r="FX5" s="36"/>
      <c r="FY5" s="36"/>
      <c r="FZ5" s="36"/>
      <c r="GA5" s="36"/>
      <c r="GB5" s="36"/>
      <c r="GC5" s="36"/>
      <c r="GD5" s="36"/>
      <c r="GE5" s="36"/>
    </row>
    <row r="6" spans="1:187" s="21" customFormat="1" ht="15.75" customHeight="1">
      <c r="A6" s="94">
        <v>1</v>
      </c>
      <c r="B6" s="105" t="s">
        <v>240</v>
      </c>
      <c r="C6" s="105" t="s">
        <v>961</v>
      </c>
      <c r="D6" s="105" t="s">
        <v>154</v>
      </c>
      <c r="E6" s="105" t="s">
        <v>143</v>
      </c>
      <c r="F6" s="108">
        <v>1</v>
      </c>
      <c r="G6" s="107">
        <v>16000</v>
      </c>
      <c r="H6" s="95">
        <f>G6*21.21%</f>
        <v>3393.6000000000004</v>
      </c>
      <c r="I6" s="37"/>
    </row>
    <row r="7" spans="1:187" s="21" customFormat="1" ht="15.75" customHeight="1">
      <c r="A7" s="94">
        <v>2</v>
      </c>
      <c r="B7" s="105" t="s">
        <v>262</v>
      </c>
      <c r="C7" s="105" t="s">
        <v>1017</v>
      </c>
      <c r="D7" s="105" t="s">
        <v>98</v>
      </c>
      <c r="E7" s="105" t="s">
        <v>143</v>
      </c>
      <c r="F7" s="108">
        <v>1</v>
      </c>
      <c r="G7" s="107">
        <v>35000</v>
      </c>
      <c r="H7" s="95">
        <f t="shared" ref="H7:H70" si="0">G7*21.21%</f>
        <v>7423.5</v>
      </c>
      <c r="I7" s="37"/>
    </row>
    <row r="8" spans="1:187" s="21" customFormat="1" ht="15.75" customHeight="1">
      <c r="A8" s="94">
        <v>3</v>
      </c>
      <c r="B8" s="105" t="s">
        <v>259</v>
      </c>
      <c r="C8" s="105" t="s">
        <v>1017</v>
      </c>
      <c r="D8" s="105" t="s">
        <v>98</v>
      </c>
      <c r="E8" s="105" t="s">
        <v>143</v>
      </c>
      <c r="F8" s="108">
        <v>1</v>
      </c>
      <c r="G8" s="107">
        <v>35000</v>
      </c>
      <c r="H8" s="95">
        <f t="shared" si="0"/>
        <v>7423.5</v>
      </c>
      <c r="I8" s="37"/>
    </row>
    <row r="9" spans="1:187" s="21" customFormat="1" ht="15.75" customHeight="1">
      <c r="A9" s="94">
        <v>4</v>
      </c>
      <c r="B9" s="105" t="s">
        <v>219</v>
      </c>
      <c r="C9" s="105" t="s">
        <v>1017</v>
      </c>
      <c r="D9" s="105" t="s">
        <v>98</v>
      </c>
      <c r="E9" s="105" t="s">
        <v>143</v>
      </c>
      <c r="F9" s="108">
        <v>1</v>
      </c>
      <c r="G9" s="107">
        <v>35000</v>
      </c>
      <c r="H9" s="95">
        <f t="shared" si="0"/>
        <v>7423.5</v>
      </c>
      <c r="I9" s="37"/>
    </row>
    <row r="10" spans="1:187" s="21" customFormat="1" ht="15.75" customHeight="1">
      <c r="A10" s="94">
        <v>5</v>
      </c>
      <c r="B10" s="105" t="s">
        <v>261</v>
      </c>
      <c r="C10" s="105" t="s">
        <v>739</v>
      </c>
      <c r="D10" s="105" t="s">
        <v>252</v>
      </c>
      <c r="E10" s="105" t="s">
        <v>143</v>
      </c>
      <c r="F10" s="108">
        <v>1</v>
      </c>
      <c r="G10" s="107">
        <v>35000</v>
      </c>
      <c r="H10" s="95">
        <f t="shared" si="0"/>
        <v>7423.5</v>
      </c>
      <c r="I10" s="37"/>
    </row>
    <row r="11" spans="1:187" s="21" customFormat="1" ht="15.75" customHeight="1">
      <c r="A11" s="94">
        <v>6</v>
      </c>
      <c r="B11" s="105" t="s">
        <v>261</v>
      </c>
      <c r="C11" s="105" t="s">
        <v>1017</v>
      </c>
      <c r="D11" s="105" t="s">
        <v>98</v>
      </c>
      <c r="E11" s="105" t="s">
        <v>143</v>
      </c>
      <c r="F11" s="108">
        <v>1</v>
      </c>
      <c r="G11" s="107">
        <v>35000</v>
      </c>
      <c r="H11" s="95">
        <f t="shared" si="0"/>
        <v>7423.5</v>
      </c>
      <c r="I11" s="37"/>
    </row>
    <row r="12" spans="1:187" s="21" customFormat="1" ht="15.75" customHeight="1">
      <c r="A12" s="94">
        <v>7</v>
      </c>
      <c r="B12" s="105" t="s">
        <v>260</v>
      </c>
      <c r="C12" s="105" t="s">
        <v>739</v>
      </c>
      <c r="D12" s="105" t="s">
        <v>252</v>
      </c>
      <c r="E12" s="105" t="s">
        <v>143</v>
      </c>
      <c r="F12" s="108">
        <v>1</v>
      </c>
      <c r="G12" s="107">
        <v>35000</v>
      </c>
      <c r="H12" s="95">
        <f t="shared" si="0"/>
        <v>7423.5</v>
      </c>
      <c r="I12" s="37"/>
    </row>
    <row r="13" spans="1:187" s="21" customFormat="1" ht="15.75" customHeight="1">
      <c r="A13" s="94">
        <v>8</v>
      </c>
      <c r="B13" s="105" t="s">
        <v>260</v>
      </c>
      <c r="C13" s="105" t="s">
        <v>789</v>
      </c>
      <c r="D13" s="105" t="s">
        <v>790</v>
      </c>
      <c r="E13" s="105" t="s">
        <v>143</v>
      </c>
      <c r="F13" s="108">
        <v>1</v>
      </c>
      <c r="G13" s="107">
        <v>16000</v>
      </c>
      <c r="H13" s="95">
        <f t="shared" si="0"/>
        <v>3393.6000000000004</v>
      </c>
      <c r="I13" s="37"/>
    </row>
    <row r="14" spans="1:187" s="21" customFormat="1" ht="15.75" customHeight="1">
      <c r="A14" s="94">
        <v>9</v>
      </c>
      <c r="B14" s="105" t="s">
        <v>260</v>
      </c>
      <c r="C14" s="105" t="s">
        <v>1017</v>
      </c>
      <c r="D14" s="105" t="s">
        <v>98</v>
      </c>
      <c r="E14" s="105" t="s">
        <v>143</v>
      </c>
      <c r="F14" s="108">
        <v>1</v>
      </c>
      <c r="G14" s="107">
        <v>35000</v>
      </c>
      <c r="H14" s="95">
        <f t="shared" si="0"/>
        <v>7423.5</v>
      </c>
      <c r="I14" s="37"/>
    </row>
    <row r="15" spans="1:187" s="21" customFormat="1" ht="15.75" customHeight="1">
      <c r="A15" s="94">
        <v>10</v>
      </c>
      <c r="B15" s="105" t="s">
        <v>270</v>
      </c>
      <c r="C15" s="105" t="s">
        <v>1017</v>
      </c>
      <c r="D15" s="105" t="s">
        <v>98</v>
      </c>
      <c r="E15" s="105" t="s">
        <v>143</v>
      </c>
      <c r="F15" s="108">
        <v>1</v>
      </c>
      <c r="G15" s="107">
        <v>35000</v>
      </c>
      <c r="H15" s="95">
        <f t="shared" si="0"/>
        <v>7423.5</v>
      </c>
      <c r="I15" s="37"/>
    </row>
    <row r="16" spans="1:187" s="21" customFormat="1" ht="15.75" customHeight="1">
      <c r="A16" s="94">
        <v>11</v>
      </c>
      <c r="B16" s="105" t="s">
        <v>267</v>
      </c>
      <c r="C16" s="105" t="s">
        <v>1017</v>
      </c>
      <c r="D16" s="105" t="s">
        <v>98</v>
      </c>
      <c r="E16" s="105" t="s">
        <v>143</v>
      </c>
      <c r="F16" s="108">
        <v>1</v>
      </c>
      <c r="G16" s="107">
        <v>35000</v>
      </c>
      <c r="H16" s="95">
        <f t="shared" si="0"/>
        <v>7423.5</v>
      </c>
      <c r="I16" s="37"/>
    </row>
    <row r="17" spans="1:9" s="21" customFormat="1" ht="15.75" customHeight="1">
      <c r="A17" s="94">
        <v>12</v>
      </c>
      <c r="B17" s="105" t="s">
        <v>266</v>
      </c>
      <c r="C17" s="105" t="s">
        <v>744</v>
      </c>
      <c r="D17" s="105" t="s">
        <v>130</v>
      </c>
      <c r="E17" s="105" t="s">
        <v>143</v>
      </c>
      <c r="F17" s="108">
        <v>1</v>
      </c>
      <c r="G17" s="107">
        <v>16000</v>
      </c>
      <c r="H17" s="95">
        <f t="shared" si="0"/>
        <v>3393.6000000000004</v>
      </c>
      <c r="I17" s="37"/>
    </row>
    <row r="18" spans="1:9" s="21" customFormat="1" ht="15.75" customHeight="1">
      <c r="A18" s="94">
        <v>13</v>
      </c>
      <c r="B18" s="105" t="s">
        <v>266</v>
      </c>
      <c r="C18" s="105" t="s">
        <v>746</v>
      </c>
      <c r="D18" s="105" t="s">
        <v>747</v>
      </c>
      <c r="E18" s="105" t="s">
        <v>143</v>
      </c>
      <c r="F18" s="108">
        <v>1</v>
      </c>
      <c r="G18" s="107">
        <v>35000</v>
      </c>
      <c r="H18" s="95">
        <f t="shared" si="0"/>
        <v>7423.5</v>
      </c>
      <c r="I18" s="37"/>
    </row>
    <row r="19" spans="1:9" s="21" customFormat="1" ht="15.75" customHeight="1">
      <c r="A19" s="94">
        <v>14</v>
      </c>
      <c r="B19" s="105" t="s">
        <v>1020</v>
      </c>
      <c r="C19" s="105" t="s">
        <v>1017</v>
      </c>
      <c r="D19" s="105" t="s">
        <v>98</v>
      </c>
      <c r="E19" s="105" t="s">
        <v>143</v>
      </c>
      <c r="F19" s="108">
        <v>1</v>
      </c>
      <c r="G19" s="107">
        <v>35000</v>
      </c>
      <c r="H19" s="95">
        <f t="shared" si="0"/>
        <v>7423.5</v>
      </c>
      <c r="I19" s="37"/>
    </row>
    <row r="20" spans="1:9" s="21" customFormat="1" ht="15.75" customHeight="1">
      <c r="A20" s="94">
        <v>15</v>
      </c>
      <c r="B20" s="105" t="s">
        <v>268</v>
      </c>
      <c r="C20" s="105" t="s">
        <v>789</v>
      </c>
      <c r="D20" s="105" t="s">
        <v>790</v>
      </c>
      <c r="E20" s="105" t="s">
        <v>143</v>
      </c>
      <c r="F20" s="108">
        <v>1</v>
      </c>
      <c r="G20" s="107">
        <v>35000</v>
      </c>
      <c r="H20" s="95">
        <f t="shared" si="0"/>
        <v>7423.5</v>
      </c>
      <c r="I20" s="37"/>
    </row>
    <row r="21" spans="1:9" s="21" customFormat="1" ht="15.75" customHeight="1">
      <c r="A21" s="94">
        <v>16</v>
      </c>
      <c r="B21" s="105" t="s">
        <v>268</v>
      </c>
      <c r="C21" s="105" t="s">
        <v>1017</v>
      </c>
      <c r="D21" s="105" t="s">
        <v>98</v>
      </c>
      <c r="E21" s="105" t="s">
        <v>143</v>
      </c>
      <c r="F21" s="108">
        <v>1</v>
      </c>
      <c r="G21" s="107">
        <v>35000</v>
      </c>
      <c r="H21" s="95">
        <f t="shared" si="0"/>
        <v>7423.5</v>
      </c>
      <c r="I21" s="37"/>
    </row>
    <row r="22" spans="1:9" s="21" customFormat="1" ht="15.75" customHeight="1">
      <c r="A22" s="94">
        <v>17</v>
      </c>
      <c r="B22" s="105" t="s">
        <v>1079</v>
      </c>
      <c r="C22" s="105" t="s">
        <v>739</v>
      </c>
      <c r="D22" s="105" t="s">
        <v>252</v>
      </c>
      <c r="E22" s="105" t="s">
        <v>143</v>
      </c>
      <c r="F22" s="108">
        <v>1</v>
      </c>
      <c r="G22" s="107">
        <v>35000</v>
      </c>
      <c r="H22" s="95">
        <f t="shared" si="0"/>
        <v>7423.5</v>
      </c>
      <c r="I22" s="37"/>
    </row>
    <row r="23" spans="1:9" s="21" customFormat="1" ht="15.75" customHeight="1">
      <c r="A23" s="94">
        <v>18</v>
      </c>
      <c r="B23" s="105" t="s">
        <v>1079</v>
      </c>
      <c r="C23" s="105" t="s">
        <v>744</v>
      </c>
      <c r="D23" s="105" t="s">
        <v>130</v>
      </c>
      <c r="E23" s="105" t="s">
        <v>143</v>
      </c>
      <c r="F23" s="108">
        <v>1</v>
      </c>
      <c r="G23" s="107">
        <v>16000</v>
      </c>
      <c r="H23" s="95">
        <f t="shared" si="0"/>
        <v>3393.6000000000004</v>
      </c>
      <c r="I23" s="37"/>
    </row>
    <row r="24" spans="1:9" s="21" customFormat="1" ht="15.75" customHeight="1">
      <c r="A24" s="94">
        <v>19</v>
      </c>
      <c r="B24" s="105" t="s">
        <v>265</v>
      </c>
      <c r="C24" s="105" t="s">
        <v>674</v>
      </c>
      <c r="D24" s="105" t="s">
        <v>675</v>
      </c>
      <c r="E24" s="105" t="s">
        <v>143</v>
      </c>
      <c r="F24" s="108">
        <v>1</v>
      </c>
      <c r="G24" s="107">
        <v>35000</v>
      </c>
      <c r="H24" s="95">
        <f t="shared" si="0"/>
        <v>7423.5</v>
      </c>
      <c r="I24" s="37"/>
    </row>
    <row r="25" spans="1:9" s="21" customFormat="1" ht="15.75" customHeight="1">
      <c r="A25" s="94">
        <v>20</v>
      </c>
      <c r="B25" s="105" t="s">
        <v>265</v>
      </c>
      <c r="C25" s="105" t="s">
        <v>739</v>
      </c>
      <c r="D25" s="105" t="s">
        <v>252</v>
      </c>
      <c r="E25" s="105" t="s">
        <v>143</v>
      </c>
      <c r="F25" s="108">
        <v>1</v>
      </c>
      <c r="G25" s="107">
        <v>35000</v>
      </c>
      <c r="H25" s="95">
        <f t="shared" si="0"/>
        <v>7423.5</v>
      </c>
      <c r="I25" s="37"/>
    </row>
    <row r="26" spans="1:9" s="21" customFormat="1" ht="15.75" customHeight="1">
      <c r="A26" s="94">
        <v>21</v>
      </c>
      <c r="B26" s="105" t="s">
        <v>265</v>
      </c>
      <c r="C26" s="105" t="s">
        <v>744</v>
      </c>
      <c r="D26" s="105" t="s">
        <v>130</v>
      </c>
      <c r="E26" s="105" t="s">
        <v>143</v>
      </c>
      <c r="F26" s="108">
        <v>1</v>
      </c>
      <c r="G26" s="107">
        <v>16000</v>
      </c>
      <c r="H26" s="95">
        <f t="shared" si="0"/>
        <v>3393.6000000000004</v>
      </c>
      <c r="I26" s="37"/>
    </row>
    <row r="27" spans="1:9" s="21" customFormat="1" ht="15.75" customHeight="1">
      <c r="A27" s="94">
        <v>22</v>
      </c>
      <c r="B27" s="105" t="s">
        <v>265</v>
      </c>
      <c r="C27" s="105" t="s">
        <v>746</v>
      </c>
      <c r="D27" s="105" t="s">
        <v>747</v>
      </c>
      <c r="E27" s="105" t="s">
        <v>143</v>
      </c>
      <c r="F27" s="108">
        <v>1</v>
      </c>
      <c r="G27" s="107">
        <v>35000</v>
      </c>
      <c r="H27" s="95">
        <f t="shared" si="0"/>
        <v>7423.5</v>
      </c>
      <c r="I27" s="37"/>
    </row>
    <row r="28" spans="1:9" s="21" customFormat="1" ht="15.75" customHeight="1">
      <c r="A28" s="94">
        <v>23</v>
      </c>
      <c r="B28" s="105" t="s">
        <v>265</v>
      </c>
      <c r="C28" s="105" t="s">
        <v>789</v>
      </c>
      <c r="D28" s="105" t="s">
        <v>790</v>
      </c>
      <c r="E28" s="105" t="s">
        <v>143</v>
      </c>
      <c r="F28" s="108">
        <v>1</v>
      </c>
      <c r="G28" s="107">
        <v>35000</v>
      </c>
      <c r="H28" s="95">
        <f t="shared" si="0"/>
        <v>7423.5</v>
      </c>
      <c r="I28" s="37"/>
    </row>
    <row r="29" spans="1:9" s="21" customFormat="1" ht="15.75" customHeight="1">
      <c r="A29" s="94">
        <v>24</v>
      </c>
      <c r="B29" s="105" t="s">
        <v>264</v>
      </c>
      <c r="C29" s="105" t="s">
        <v>744</v>
      </c>
      <c r="D29" s="105" t="s">
        <v>130</v>
      </c>
      <c r="E29" s="105" t="s">
        <v>143</v>
      </c>
      <c r="F29" s="108">
        <v>1</v>
      </c>
      <c r="G29" s="107">
        <v>16000</v>
      </c>
      <c r="H29" s="95">
        <f t="shared" si="0"/>
        <v>3393.6000000000004</v>
      </c>
      <c r="I29" s="37"/>
    </row>
    <row r="30" spans="1:9" s="21" customFormat="1" ht="15.75" customHeight="1">
      <c r="A30" s="94">
        <v>25</v>
      </c>
      <c r="B30" s="105" t="s">
        <v>264</v>
      </c>
      <c r="C30" s="105" t="s">
        <v>746</v>
      </c>
      <c r="D30" s="105" t="s">
        <v>747</v>
      </c>
      <c r="E30" s="105" t="s">
        <v>143</v>
      </c>
      <c r="F30" s="108">
        <v>1</v>
      </c>
      <c r="G30" s="107">
        <v>35000</v>
      </c>
      <c r="H30" s="95">
        <f t="shared" si="0"/>
        <v>7423.5</v>
      </c>
      <c r="I30" s="37"/>
    </row>
    <row r="31" spans="1:9" s="21" customFormat="1" ht="15.75" customHeight="1">
      <c r="A31" s="94">
        <v>26</v>
      </c>
      <c r="B31" s="105" t="s">
        <v>263</v>
      </c>
      <c r="C31" s="105" t="s">
        <v>674</v>
      </c>
      <c r="D31" s="105" t="s">
        <v>675</v>
      </c>
      <c r="E31" s="105" t="s">
        <v>143</v>
      </c>
      <c r="F31" s="108">
        <v>1</v>
      </c>
      <c r="G31" s="107">
        <v>35000</v>
      </c>
      <c r="H31" s="95">
        <f t="shared" si="0"/>
        <v>7423.5</v>
      </c>
      <c r="I31" s="37"/>
    </row>
    <row r="32" spans="1:9" s="21" customFormat="1" ht="15.75" customHeight="1">
      <c r="A32" s="94">
        <v>27</v>
      </c>
      <c r="B32" s="105" t="s">
        <v>263</v>
      </c>
      <c r="C32" s="105" t="s">
        <v>739</v>
      </c>
      <c r="D32" s="105" t="s">
        <v>252</v>
      </c>
      <c r="E32" s="105" t="s">
        <v>143</v>
      </c>
      <c r="F32" s="108">
        <v>1</v>
      </c>
      <c r="G32" s="107">
        <v>35000</v>
      </c>
      <c r="H32" s="95">
        <f t="shared" si="0"/>
        <v>7423.5</v>
      </c>
      <c r="I32" s="37"/>
    </row>
    <row r="33" spans="1:9" s="21" customFormat="1" ht="15.75" customHeight="1">
      <c r="A33" s="94">
        <v>28</v>
      </c>
      <c r="B33" s="105" t="s">
        <v>263</v>
      </c>
      <c r="C33" s="105" t="s">
        <v>744</v>
      </c>
      <c r="D33" s="105" t="s">
        <v>130</v>
      </c>
      <c r="E33" s="105" t="s">
        <v>143</v>
      </c>
      <c r="F33" s="108">
        <v>1</v>
      </c>
      <c r="G33" s="107">
        <v>16000</v>
      </c>
      <c r="H33" s="95">
        <f t="shared" si="0"/>
        <v>3393.6000000000004</v>
      </c>
      <c r="I33" s="37"/>
    </row>
    <row r="34" spans="1:9" s="21" customFormat="1" ht="15.75" customHeight="1">
      <c r="A34" s="94">
        <v>29</v>
      </c>
      <c r="B34" s="105" t="s">
        <v>263</v>
      </c>
      <c r="C34" s="105" t="s">
        <v>746</v>
      </c>
      <c r="D34" s="105" t="s">
        <v>747</v>
      </c>
      <c r="E34" s="105" t="s">
        <v>143</v>
      </c>
      <c r="F34" s="108">
        <v>1</v>
      </c>
      <c r="G34" s="107">
        <v>35000</v>
      </c>
      <c r="H34" s="95">
        <f t="shared" si="0"/>
        <v>7423.5</v>
      </c>
      <c r="I34" s="37"/>
    </row>
    <row r="35" spans="1:9" s="21" customFormat="1" ht="15.75" customHeight="1">
      <c r="A35" s="94">
        <v>30</v>
      </c>
      <c r="B35" s="105" t="s">
        <v>263</v>
      </c>
      <c r="C35" s="105" t="s">
        <v>789</v>
      </c>
      <c r="D35" s="105" t="s">
        <v>790</v>
      </c>
      <c r="E35" s="105" t="s">
        <v>143</v>
      </c>
      <c r="F35" s="108">
        <v>1</v>
      </c>
      <c r="G35" s="107">
        <v>35000</v>
      </c>
      <c r="H35" s="95">
        <f t="shared" si="0"/>
        <v>7423.5</v>
      </c>
      <c r="I35" s="37"/>
    </row>
    <row r="36" spans="1:9" s="21" customFormat="1" ht="15.75" customHeight="1">
      <c r="A36" s="94">
        <v>31</v>
      </c>
      <c r="B36" s="105" t="s">
        <v>263</v>
      </c>
      <c r="C36" s="105" t="s">
        <v>1017</v>
      </c>
      <c r="D36" s="105" t="s">
        <v>98</v>
      </c>
      <c r="E36" s="105" t="s">
        <v>143</v>
      </c>
      <c r="F36" s="108">
        <v>1</v>
      </c>
      <c r="G36" s="107">
        <v>35000</v>
      </c>
      <c r="H36" s="95">
        <f t="shared" si="0"/>
        <v>7423.5</v>
      </c>
      <c r="I36" s="37"/>
    </row>
    <row r="37" spans="1:9" s="21" customFormat="1" ht="15.75" customHeight="1">
      <c r="A37" s="94">
        <v>32</v>
      </c>
      <c r="B37" s="105" t="s">
        <v>272</v>
      </c>
      <c r="C37" s="105" t="s">
        <v>739</v>
      </c>
      <c r="D37" s="105" t="s">
        <v>252</v>
      </c>
      <c r="E37" s="105" t="s">
        <v>143</v>
      </c>
      <c r="F37" s="108">
        <v>1</v>
      </c>
      <c r="G37" s="107">
        <v>35000</v>
      </c>
      <c r="H37" s="95">
        <f t="shared" si="0"/>
        <v>7423.5</v>
      </c>
      <c r="I37" s="37"/>
    </row>
    <row r="38" spans="1:9" s="21" customFormat="1" ht="15.75" customHeight="1">
      <c r="A38" s="94">
        <v>33</v>
      </c>
      <c r="B38" s="105" t="s">
        <v>272</v>
      </c>
      <c r="C38" s="105" t="s">
        <v>744</v>
      </c>
      <c r="D38" s="105" t="s">
        <v>130</v>
      </c>
      <c r="E38" s="105" t="s">
        <v>143</v>
      </c>
      <c r="F38" s="108">
        <v>1</v>
      </c>
      <c r="G38" s="107">
        <v>16000</v>
      </c>
      <c r="H38" s="95">
        <f t="shared" si="0"/>
        <v>3393.6000000000004</v>
      </c>
      <c r="I38" s="37"/>
    </row>
    <row r="39" spans="1:9" s="21" customFormat="1" ht="15.75" customHeight="1">
      <c r="A39" s="94">
        <v>34</v>
      </c>
      <c r="B39" s="105" t="s">
        <v>272</v>
      </c>
      <c r="C39" s="105" t="s">
        <v>746</v>
      </c>
      <c r="D39" s="105" t="s">
        <v>747</v>
      </c>
      <c r="E39" s="105" t="s">
        <v>143</v>
      </c>
      <c r="F39" s="108">
        <v>1</v>
      </c>
      <c r="G39" s="107">
        <v>35000</v>
      </c>
      <c r="H39" s="95">
        <f t="shared" si="0"/>
        <v>7423.5</v>
      </c>
      <c r="I39" s="37"/>
    </row>
    <row r="40" spans="1:9" s="21" customFormat="1" ht="15.75" customHeight="1">
      <c r="A40" s="94">
        <v>35</v>
      </c>
      <c r="B40" s="105" t="s">
        <v>272</v>
      </c>
      <c r="C40" s="105" t="s">
        <v>1017</v>
      </c>
      <c r="D40" s="105" t="s">
        <v>98</v>
      </c>
      <c r="E40" s="105" t="s">
        <v>143</v>
      </c>
      <c r="F40" s="108">
        <v>1</v>
      </c>
      <c r="G40" s="107">
        <v>35000</v>
      </c>
      <c r="H40" s="95">
        <f t="shared" si="0"/>
        <v>7423.5</v>
      </c>
      <c r="I40" s="37"/>
    </row>
    <row r="41" spans="1:9" s="21" customFormat="1" ht="15.75" customHeight="1">
      <c r="A41" s="94">
        <v>36</v>
      </c>
      <c r="B41" s="105" t="s">
        <v>285</v>
      </c>
      <c r="C41" s="105" t="s">
        <v>603</v>
      </c>
      <c r="D41" s="105" t="s">
        <v>604</v>
      </c>
      <c r="E41" s="105" t="s">
        <v>143</v>
      </c>
      <c r="F41" s="108">
        <v>1</v>
      </c>
      <c r="G41" s="107">
        <v>35000</v>
      </c>
      <c r="H41" s="95">
        <f t="shared" si="0"/>
        <v>7423.5</v>
      </c>
      <c r="I41" s="37"/>
    </row>
    <row r="42" spans="1:9" s="21" customFormat="1" ht="15.75" customHeight="1">
      <c r="A42" s="94">
        <v>37</v>
      </c>
      <c r="B42" s="105" t="s">
        <v>285</v>
      </c>
      <c r="C42" s="105" t="s">
        <v>739</v>
      </c>
      <c r="D42" s="105" t="s">
        <v>252</v>
      </c>
      <c r="E42" s="105" t="s">
        <v>143</v>
      </c>
      <c r="F42" s="108">
        <v>1</v>
      </c>
      <c r="G42" s="107">
        <v>35000</v>
      </c>
      <c r="H42" s="95">
        <f t="shared" si="0"/>
        <v>7423.5</v>
      </c>
      <c r="I42" s="37"/>
    </row>
    <row r="43" spans="1:9" s="21" customFormat="1" ht="15.75" customHeight="1">
      <c r="A43" s="94">
        <v>38</v>
      </c>
      <c r="B43" s="105" t="s">
        <v>285</v>
      </c>
      <c r="C43" s="105" t="s">
        <v>744</v>
      </c>
      <c r="D43" s="105" t="s">
        <v>130</v>
      </c>
      <c r="E43" s="105" t="s">
        <v>143</v>
      </c>
      <c r="F43" s="108">
        <v>1</v>
      </c>
      <c r="G43" s="107">
        <v>16000</v>
      </c>
      <c r="H43" s="95">
        <f t="shared" si="0"/>
        <v>3393.6000000000004</v>
      </c>
      <c r="I43" s="37"/>
    </row>
    <row r="44" spans="1:9" s="21" customFormat="1" ht="15.75" customHeight="1">
      <c r="A44" s="94">
        <v>39</v>
      </c>
      <c r="B44" s="105" t="s">
        <v>285</v>
      </c>
      <c r="C44" s="105" t="s">
        <v>1017</v>
      </c>
      <c r="D44" s="105" t="s">
        <v>98</v>
      </c>
      <c r="E44" s="105" t="s">
        <v>143</v>
      </c>
      <c r="F44" s="108">
        <v>1</v>
      </c>
      <c r="G44" s="107">
        <v>35000</v>
      </c>
      <c r="H44" s="95">
        <f t="shared" si="0"/>
        <v>7423.5</v>
      </c>
      <c r="I44" s="37"/>
    </row>
    <row r="45" spans="1:9" s="21" customFormat="1" ht="15.75" customHeight="1">
      <c r="A45" s="94">
        <v>40</v>
      </c>
      <c r="B45" s="105" t="s">
        <v>1088</v>
      </c>
      <c r="C45" s="105" t="s">
        <v>969</v>
      </c>
      <c r="D45" s="105" t="s">
        <v>108</v>
      </c>
      <c r="E45" s="105" t="s">
        <v>143</v>
      </c>
      <c r="F45" s="108">
        <v>1</v>
      </c>
      <c r="G45" s="107">
        <v>35000</v>
      </c>
      <c r="H45" s="95">
        <f t="shared" si="0"/>
        <v>7423.5</v>
      </c>
      <c r="I45" s="37"/>
    </row>
    <row r="46" spans="1:9" s="21" customFormat="1" ht="15.75" customHeight="1">
      <c r="A46" s="94">
        <v>41</v>
      </c>
      <c r="B46" s="105" t="s">
        <v>1089</v>
      </c>
      <c r="C46" s="105" t="s">
        <v>969</v>
      </c>
      <c r="D46" s="105" t="s">
        <v>108</v>
      </c>
      <c r="E46" s="105" t="s">
        <v>143</v>
      </c>
      <c r="F46" s="108">
        <v>1</v>
      </c>
      <c r="G46" s="107">
        <v>35000</v>
      </c>
      <c r="H46" s="95">
        <f t="shared" si="0"/>
        <v>7423.5</v>
      </c>
      <c r="I46" s="37"/>
    </row>
    <row r="47" spans="1:9" s="21" customFormat="1" ht="15.75" customHeight="1">
      <c r="A47" s="94">
        <v>42</v>
      </c>
      <c r="B47" s="105" t="s">
        <v>1078</v>
      </c>
      <c r="C47" s="105" t="s">
        <v>739</v>
      </c>
      <c r="D47" s="105" t="s">
        <v>740</v>
      </c>
      <c r="E47" s="105" t="s">
        <v>143</v>
      </c>
      <c r="F47" s="108">
        <v>1</v>
      </c>
      <c r="G47" s="107">
        <v>35000</v>
      </c>
      <c r="H47" s="95">
        <f t="shared" si="0"/>
        <v>7423.5</v>
      </c>
      <c r="I47" s="37"/>
    </row>
    <row r="48" spans="1:9" s="21" customFormat="1" ht="15.75" customHeight="1">
      <c r="A48" s="94">
        <v>43</v>
      </c>
      <c r="B48" s="105" t="s">
        <v>1078</v>
      </c>
      <c r="C48" s="105" t="s">
        <v>760</v>
      </c>
      <c r="D48" s="105" t="s">
        <v>761</v>
      </c>
      <c r="E48" s="105" t="s">
        <v>143</v>
      </c>
      <c r="F48" s="108">
        <v>1</v>
      </c>
      <c r="G48" s="107">
        <v>35000</v>
      </c>
      <c r="H48" s="95">
        <f t="shared" si="0"/>
        <v>7423.5</v>
      </c>
      <c r="I48" s="37"/>
    </row>
    <row r="49" spans="1:9" s="21" customFormat="1" ht="15.75" customHeight="1">
      <c r="A49" s="94">
        <v>44</v>
      </c>
      <c r="B49" s="105" t="s">
        <v>1078</v>
      </c>
      <c r="C49" s="105" t="s">
        <v>218</v>
      </c>
      <c r="D49" s="105" t="s">
        <v>98</v>
      </c>
      <c r="E49" s="105" t="s">
        <v>143</v>
      </c>
      <c r="F49" s="108">
        <v>1</v>
      </c>
      <c r="G49" s="107">
        <v>35000</v>
      </c>
      <c r="H49" s="95">
        <f t="shared" si="0"/>
        <v>7423.5</v>
      </c>
      <c r="I49" s="37"/>
    </row>
    <row r="50" spans="1:9" s="21" customFormat="1" ht="15.75" customHeight="1">
      <c r="A50" s="94">
        <v>45</v>
      </c>
      <c r="B50" s="105" t="s">
        <v>1078</v>
      </c>
      <c r="C50" s="105" t="s">
        <v>969</v>
      </c>
      <c r="D50" s="105" t="s">
        <v>108</v>
      </c>
      <c r="E50" s="105" t="s">
        <v>143</v>
      </c>
      <c r="F50" s="108">
        <v>1</v>
      </c>
      <c r="G50" s="107">
        <v>35000</v>
      </c>
      <c r="H50" s="95">
        <f t="shared" si="0"/>
        <v>7423.5</v>
      </c>
      <c r="I50" s="37"/>
    </row>
    <row r="51" spans="1:9" s="21" customFormat="1" ht="15.75" customHeight="1">
      <c r="A51" s="94">
        <v>46</v>
      </c>
      <c r="B51" s="105" t="s">
        <v>1083</v>
      </c>
      <c r="C51" s="105" t="s">
        <v>1017</v>
      </c>
      <c r="D51" s="105" t="s">
        <v>98</v>
      </c>
      <c r="E51" s="105" t="s">
        <v>143</v>
      </c>
      <c r="F51" s="108">
        <v>1</v>
      </c>
      <c r="G51" s="107">
        <v>35000</v>
      </c>
      <c r="H51" s="95">
        <f t="shared" si="0"/>
        <v>7423.5</v>
      </c>
      <c r="I51" s="37"/>
    </row>
    <row r="52" spans="1:9" s="21" customFormat="1" ht="15.75" customHeight="1">
      <c r="A52" s="94">
        <v>47</v>
      </c>
      <c r="B52" s="105" t="s">
        <v>1077</v>
      </c>
      <c r="C52" s="105" t="s">
        <v>739</v>
      </c>
      <c r="D52" s="105" t="s">
        <v>740</v>
      </c>
      <c r="E52" s="105" t="s">
        <v>143</v>
      </c>
      <c r="F52" s="108">
        <v>1</v>
      </c>
      <c r="G52" s="107">
        <v>35000</v>
      </c>
      <c r="H52" s="95">
        <f t="shared" si="0"/>
        <v>7423.5</v>
      </c>
      <c r="I52" s="37"/>
    </row>
    <row r="53" spans="1:9" s="21" customFormat="1" ht="15.75" customHeight="1">
      <c r="A53" s="94">
        <v>48</v>
      </c>
      <c r="B53" s="105" t="s">
        <v>1077</v>
      </c>
      <c r="C53" s="105" t="s">
        <v>218</v>
      </c>
      <c r="D53" s="105" t="s">
        <v>98</v>
      </c>
      <c r="E53" s="105" t="s">
        <v>143</v>
      </c>
      <c r="F53" s="108">
        <v>1</v>
      </c>
      <c r="G53" s="107">
        <v>35000</v>
      </c>
      <c r="H53" s="95">
        <f t="shared" si="0"/>
        <v>7423.5</v>
      </c>
      <c r="I53" s="37"/>
    </row>
    <row r="54" spans="1:9" s="21" customFormat="1" ht="15.75" customHeight="1">
      <c r="A54" s="94">
        <v>49</v>
      </c>
      <c r="B54" s="105" t="s">
        <v>1061</v>
      </c>
      <c r="C54" s="105" t="s">
        <v>535</v>
      </c>
      <c r="D54" s="105" t="s">
        <v>536</v>
      </c>
      <c r="E54" s="105" t="s">
        <v>143</v>
      </c>
      <c r="F54" s="108">
        <v>1</v>
      </c>
      <c r="G54" s="107">
        <v>35000</v>
      </c>
      <c r="H54" s="95">
        <f t="shared" si="0"/>
        <v>7423.5</v>
      </c>
      <c r="I54" s="37"/>
    </row>
    <row r="55" spans="1:9" s="21" customFormat="1" ht="15.75" customHeight="1">
      <c r="A55" s="94">
        <v>50</v>
      </c>
      <c r="B55" s="105" t="s">
        <v>1061</v>
      </c>
      <c r="C55" s="105" t="s">
        <v>739</v>
      </c>
      <c r="D55" s="105" t="s">
        <v>740</v>
      </c>
      <c r="E55" s="105" t="s">
        <v>143</v>
      </c>
      <c r="F55" s="108">
        <v>1</v>
      </c>
      <c r="G55" s="107">
        <v>16000</v>
      </c>
      <c r="H55" s="95">
        <f t="shared" si="0"/>
        <v>3393.6000000000004</v>
      </c>
      <c r="I55" s="37"/>
    </row>
    <row r="56" spans="1:9" s="21" customFormat="1" ht="15.75" customHeight="1">
      <c r="A56" s="94">
        <v>51</v>
      </c>
      <c r="B56" s="105" t="s">
        <v>1061</v>
      </c>
      <c r="C56" s="105" t="s">
        <v>769</v>
      </c>
      <c r="D56" s="105" t="s">
        <v>770</v>
      </c>
      <c r="E56" s="105" t="s">
        <v>143</v>
      </c>
      <c r="F56" s="108">
        <v>1</v>
      </c>
      <c r="G56" s="107">
        <v>35000</v>
      </c>
      <c r="H56" s="95">
        <f t="shared" si="0"/>
        <v>7423.5</v>
      </c>
      <c r="I56" s="37"/>
    </row>
    <row r="57" spans="1:9" s="21" customFormat="1" ht="15.75" customHeight="1">
      <c r="A57" s="94">
        <v>52</v>
      </c>
      <c r="B57" s="105" t="s">
        <v>1061</v>
      </c>
      <c r="C57" s="105" t="s">
        <v>218</v>
      </c>
      <c r="D57" s="105" t="s">
        <v>98</v>
      </c>
      <c r="E57" s="105" t="s">
        <v>143</v>
      </c>
      <c r="F57" s="108">
        <v>1</v>
      </c>
      <c r="G57" s="107">
        <v>35000</v>
      </c>
      <c r="H57" s="95">
        <f t="shared" si="0"/>
        <v>7423.5</v>
      </c>
      <c r="I57" s="37"/>
    </row>
    <row r="58" spans="1:9" s="21" customFormat="1" ht="15.75" customHeight="1">
      <c r="A58" s="94">
        <v>53</v>
      </c>
      <c r="B58" s="105" t="s">
        <v>1062</v>
      </c>
      <c r="C58" s="105" t="s">
        <v>535</v>
      </c>
      <c r="D58" s="105" t="s">
        <v>536</v>
      </c>
      <c r="E58" s="105" t="s">
        <v>143</v>
      </c>
      <c r="F58" s="108">
        <v>1</v>
      </c>
      <c r="G58" s="107">
        <v>35000</v>
      </c>
      <c r="H58" s="95">
        <f t="shared" si="0"/>
        <v>7423.5</v>
      </c>
      <c r="I58" s="37"/>
    </row>
    <row r="59" spans="1:9" s="21" customFormat="1" ht="15.75" customHeight="1">
      <c r="A59" s="94">
        <v>54</v>
      </c>
      <c r="B59" s="105" t="s">
        <v>1062</v>
      </c>
      <c r="C59" s="105" t="s">
        <v>739</v>
      </c>
      <c r="D59" s="105" t="s">
        <v>740</v>
      </c>
      <c r="E59" s="105" t="s">
        <v>143</v>
      </c>
      <c r="F59" s="108">
        <v>1</v>
      </c>
      <c r="G59" s="107">
        <v>35000</v>
      </c>
      <c r="H59" s="95">
        <f t="shared" si="0"/>
        <v>7423.5</v>
      </c>
      <c r="I59" s="37"/>
    </row>
    <row r="60" spans="1:9" s="21" customFormat="1" ht="15.75" customHeight="1">
      <c r="A60" s="94">
        <v>55</v>
      </c>
      <c r="B60" s="105" t="s">
        <v>1062</v>
      </c>
      <c r="C60" s="105" t="s">
        <v>769</v>
      </c>
      <c r="D60" s="105" t="s">
        <v>770</v>
      </c>
      <c r="E60" s="105" t="s">
        <v>143</v>
      </c>
      <c r="F60" s="108">
        <v>1</v>
      </c>
      <c r="G60" s="107">
        <v>35000</v>
      </c>
      <c r="H60" s="95">
        <f t="shared" si="0"/>
        <v>7423.5</v>
      </c>
      <c r="I60" s="37"/>
    </row>
    <row r="61" spans="1:9" s="21" customFormat="1" ht="15.75" customHeight="1">
      <c r="A61" s="94">
        <v>56</v>
      </c>
      <c r="B61" s="105" t="s">
        <v>1062</v>
      </c>
      <c r="C61" s="105" t="s">
        <v>218</v>
      </c>
      <c r="D61" s="105" t="s">
        <v>98</v>
      </c>
      <c r="E61" s="105" t="s">
        <v>143</v>
      </c>
      <c r="F61" s="108">
        <v>1</v>
      </c>
      <c r="G61" s="107">
        <v>35000</v>
      </c>
      <c r="H61" s="95">
        <f t="shared" si="0"/>
        <v>7423.5</v>
      </c>
      <c r="I61" s="37"/>
    </row>
    <row r="62" spans="1:9" s="21" customFormat="1" ht="15.75" customHeight="1">
      <c r="A62" s="94">
        <v>57</v>
      </c>
      <c r="B62" s="105" t="s">
        <v>1065</v>
      </c>
      <c r="C62" s="105" t="s">
        <v>535</v>
      </c>
      <c r="D62" s="105" t="s">
        <v>536</v>
      </c>
      <c r="E62" s="105" t="s">
        <v>143</v>
      </c>
      <c r="F62" s="108">
        <v>1</v>
      </c>
      <c r="G62" s="107">
        <v>35000</v>
      </c>
      <c r="H62" s="95">
        <f t="shared" si="0"/>
        <v>7423.5</v>
      </c>
      <c r="I62" s="37"/>
    </row>
    <row r="63" spans="1:9" s="21" customFormat="1" ht="15.75" customHeight="1">
      <c r="A63" s="94">
        <v>58</v>
      </c>
      <c r="B63" s="105" t="s">
        <v>1065</v>
      </c>
      <c r="C63" s="105" t="s">
        <v>535</v>
      </c>
      <c r="D63" s="105" t="s">
        <v>536</v>
      </c>
      <c r="E63" s="105" t="s">
        <v>143</v>
      </c>
      <c r="F63" s="108">
        <v>1</v>
      </c>
      <c r="G63" s="107">
        <v>35000</v>
      </c>
      <c r="H63" s="95">
        <f t="shared" si="0"/>
        <v>7423.5</v>
      </c>
      <c r="I63" s="37"/>
    </row>
    <row r="64" spans="1:9" s="21" customFormat="1" ht="15.75" customHeight="1">
      <c r="A64" s="94">
        <v>59</v>
      </c>
      <c r="B64" s="105" t="s">
        <v>1065</v>
      </c>
      <c r="C64" s="105" t="s">
        <v>769</v>
      </c>
      <c r="D64" s="105" t="s">
        <v>770</v>
      </c>
      <c r="E64" s="105" t="s">
        <v>143</v>
      </c>
      <c r="F64" s="108">
        <v>1</v>
      </c>
      <c r="G64" s="107">
        <v>35000</v>
      </c>
      <c r="H64" s="95">
        <f t="shared" si="0"/>
        <v>7423.5</v>
      </c>
      <c r="I64" s="37"/>
    </row>
    <row r="65" spans="1:9" s="21" customFormat="1" ht="15.75" customHeight="1">
      <c r="A65" s="94">
        <v>60</v>
      </c>
      <c r="B65" s="105" t="s">
        <v>1065</v>
      </c>
      <c r="C65" s="105" t="s">
        <v>218</v>
      </c>
      <c r="D65" s="105" t="s">
        <v>98</v>
      </c>
      <c r="E65" s="105" t="s">
        <v>143</v>
      </c>
      <c r="F65" s="108">
        <v>1</v>
      </c>
      <c r="G65" s="107">
        <v>35000</v>
      </c>
      <c r="H65" s="95">
        <f t="shared" si="0"/>
        <v>7423.5</v>
      </c>
      <c r="I65" s="37"/>
    </row>
    <row r="66" spans="1:9" s="21" customFormat="1" ht="15.75" customHeight="1">
      <c r="A66" s="94">
        <v>61</v>
      </c>
      <c r="B66" s="105" t="s">
        <v>1063</v>
      </c>
      <c r="C66" s="105" t="s">
        <v>535</v>
      </c>
      <c r="D66" s="105" t="s">
        <v>536</v>
      </c>
      <c r="E66" s="105" t="s">
        <v>143</v>
      </c>
      <c r="F66" s="108">
        <v>1</v>
      </c>
      <c r="G66" s="107">
        <v>35000</v>
      </c>
      <c r="H66" s="95">
        <f t="shared" si="0"/>
        <v>7423.5</v>
      </c>
      <c r="I66" s="37"/>
    </row>
    <row r="67" spans="1:9" s="21" customFormat="1" ht="15.75" customHeight="1">
      <c r="A67" s="94">
        <v>62</v>
      </c>
      <c r="B67" s="105" t="s">
        <v>1063</v>
      </c>
      <c r="C67" s="105" t="s">
        <v>985</v>
      </c>
      <c r="D67" s="105" t="s">
        <v>160</v>
      </c>
      <c r="E67" s="105" t="s">
        <v>143</v>
      </c>
      <c r="F67" s="108">
        <v>1</v>
      </c>
      <c r="G67" s="107">
        <v>35000</v>
      </c>
      <c r="H67" s="95">
        <f t="shared" si="0"/>
        <v>7423.5</v>
      </c>
      <c r="I67" s="37"/>
    </row>
    <row r="68" spans="1:9" s="21" customFormat="1" ht="15.75" customHeight="1">
      <c r="A68" s="94">
        <v>63</v>
      </c>
      <c r="B68" s="105" t="s">
        <v>1064</v>
      </c>
      <c r="C68" s="105" t="s">
        <v>535</v>
      </c>
      <c r="D68" s="105" t="s">
        <v>536</v>
      </c>
      <c r="E68" s="105" t="s">
        <v>143</v>
      </c>
      <c r="F68" s="108">
        <v>1</v>
      </c>
      <c r="G68" s="107">
        <v>35000</v>
      </c>
      <c r="H68" s="95">
        <f t="shared" si="0"/>
        <v>7423.5</v>
      </c>
      <c r="I68" s="37"/>
    </row>
    <row r="69" spans="1:9" s="21" customFormat="1" ht="15.75" customHeight="1">
      <c r="A69" s="94">
        <v>64</v>
      </c>
      <c r="B69" s="105" t="s">
        <v>1064</v>
      </c>
      <c r="C69" s="105" t="s">
        <v>769</v>
      </c>
      <c r="D69" s="105" t="s">
        <v>770</v>
      </c>
      <c r="E69" s="105" t="s">
        <v>143</v>
      </c>
      <c r="F69" s="108">
        <v>1</v>
      </c>
      <c r="G69" s="107">
        <v>35000</v>
      </c>
      <c r="H69" s="95">
        <f t="shared" si="0"/>
        <v>7423.5</v>
      </c>
      <c r="I69" s="37"/>
    </row>
    <row r="70" spans="1:9" s="21" customFormat="1" ht="15.75" customHeight="1">
      <c r="A70" s="94">
        <v>65</v>
      </c>
      <c r="B70" s="105" t="s">
        <v>1082</v>
      </c>
      <c r="C70" s="105" t="s">
        <v>850</v>
      </c>
      <c r="D70" s="105" t="s">
        <v>851</v>
      </c>
      <c r="E70" s="105" t="s">
        <v>143</v>
      </c>
      <c r="F70" s="108">
        <v>1</v>
      </c>
      <c r="G70" s="107">
        <v>35000</v>
      </c>
      <c r="H70" s="95">
        <f t="shared" si="0"/>
        <v>7423.5</v>
      </c>
      <c r="I70" s="37"/>
    </row>
    <row r="71" spans="1:9" s="21" customFormat="1" ht="15.75" customHeight="1">
      <c r="A71" s="94">
        <v>66</v>
      </c>
      <c r="B71" s="105" t="s">
        <v>1072</v>
      </c>
      <c r="C71" s="105" t="s">
        <v>648</v>
      </c>
      <c r="D71" s="105" t="s">
        <v>649</v>
      </c>
      <c r="E71" s="105" t="s">
        <v>143</v>
      </c>
      <c r="F71" s="108">
        <v>1</v>
      </c>
      <c r="G71" s="107">
        <v>35000</v>
      </c>
      <c r="H71" s="95">
        <f t="shared" ref="H71:H134" si="1">G71*21.21%</f>
        <v>7423.5</v>
      </c>
      <c r="I71" s="37"/>
    </row>
    <row r="72" spans="1:9" s="21" customFormat="1" ht="15.75" customHeight="1">
      <c r="A72" s="94">
        <v>67</v>
      </c>
      <c r="B72" s="105" t="s">
        <v>1072</v>
      </c>
      <c r="C72" s="105" t="s">
        <v>769</v>
      </c>
      <c r="D72" s="105" t="s">
        <v>770</v>
      </c>
      <c r="E72" s="105" t="s">
        <v>143</v>
      </c>
      <c r="F72" s="108">
        <v>1</v>
      </c>
      <c r="G72" s="107">
        <v>16000</v>
      </c>
      <c r="H72" s="95">
        <f t="shared" si="1"/>
        <v>3393.6000000000004</v>
      </c>
      <c r="I72" s="37"/>
    </row>
    <row r="73" spans="1:9" s="21" customFormat="1" ht="15.75" customHeight="1">
      <c r="A73" s="94">
        <v>68</v>
      </c>
      <c r="B73" s="105" t="s">
        <v>1072</v>
      </c>
      <c r="C73" s="105" t="s">
        <v>892</v>
      </c>
      <c r="D73" s="105" t="s">
        <v>893</v>
      </c>
      <c r="E73" s="105" t="s">
        <v>143</v>
      </c>
      <c r="F73" s="108">
        <v>1</v>
      </c>
      <c r="G73" s="107">
        <v>35000</v>
      </c>
      <c r="H73" s="95">
        <f t="shared" si="1"/>
        <v>7423.5</v>
      </c>
      <c r="I73" s="37"/>
    </row>
    <row r="74" spans="1:9" s="21" customFormat="1" ht="15.75" customHeight="1">
      <c r="A74" s="94">
        <v>69</v>
      </c>
      <c r="B74" s="105" t="s">
        <v>1084</v>
      </c>
      <c r="C74" s="105" t="s">
        <v>892</v>
      </c>
      <c r="D74" s="105" t="s">
        <v>893</v>
      </c>
      <c r="E74" s="105" t="s">
        <v>143</v>
      </c>
      <c r="F74" s="108">
        <v>1</v>
      </c>
      <c r="G74" s="107">
        <v>35000</v>
      </c>
      <c r="H74" s="95">
        <f t="shared" si="1"/>
        <v>7423.5</v>
      </c>
      <c r="I74" s="37"/>
    </row>
    <row r="75" spans="1:9" s="21" customFormat="1" ht="15.75" customHeight="1">
      <c r="A75" s="94">
        <v>70</v>
      </c>
      <c r="B75" s="105" t="s">
        <v>1085</v>
      </c>
      <c r="C75" s="105" t="s">
        <v>892</v>
      </c>
      <c r="D75" s="105" t="s">
        <v>893</v>
      </c>
      <c r="E75" s="105" t="s">
        <v>143</v>
      </c>
      <c r="F75" s="108">
        <v>1</v>
      </c>
      <c r="G75" s="107">
        <v>35000</v>
      </c>
      <c r="H75" s="95">
        <f t="shared" si="1"/>
        <v>7423.5</v>
      </c>
      <c r="I75" s="37"/>
    </row>
    <row r="76" spans="1:9" s="21" customFormat="1" ht="15.75" customHeight="1">
      <c r="A76" s="94">
        <v>71</v>
      </c>
      <c r="B76" s="105" t="s">
        <v>1087</v>
      </c>
      <c r="C76" s="105" t="s">
        <v>925</v>
      </c>
      <c r="D76" s="105" t="s">
        <v>100</v>
      </c>
      <c r="E76" s="105" t="s">
        <v>143</v>
      </c>
      <c r="F76" s="108">
        <v>1</v>
      </c>
      <c r="G76" s="107">
        <v>35000</v>
      </c>
      <c r="H76" s="95">
        <f t="shared" si="1"/>
        <v>7423.5</v>
      </c>
      <c r="I76" s="37"/>
    </row>
    <row r="77" spans="1:9" s="21" customFormat="1" ht="15.75" customHeight="1">
      <c r="A77" s="94">
        <v>72</v>
      </c>
      <c r="B77" s="105" t="s">
        <v>1087</v>
      </c>
      <c r="C77" s="105" t="s">
        <v>892</v>
      </c>
      <c r="D77" s="105" t="s">
        <v>893</v>
      </c>
      <c r="E77" s="105" t="s">
        <v>143</v>
      </c>
      <c r="F77" s="108">
        <v>1</v>
      </c>
      <c r="G77" s="107">
        <v>16000</v>
      </c>
      <c r="H77" s="95">
        <f t="shared" si="1"/>
        <v>3393.6000000000004</v>
      </c>
      <c r="I77" s="37"/>
    </row>
    <row r="78" spans="1:9" s="21" customFormat="1" ht="15.75" customHeight="1">
      <c r="A78" s="94">
        <v>73</v>
      </c>
      <c r="B78" s="105" t="s">
        <v>1081</v>
      </c>
      <c r="C78" s="105" t="s">
        <v>157</v>
      </c>
      <c r="D78" s="105" t="s">
        <v>123</v>
      </c>
      <c r="E78" s="105" t="s">
        <v>143</v>
      </c>
      <c r="F78" s="108">
        <v>1</v>
      </c>
      <c r="G78" s="107">
        <v>35000</v>
      </c>
      <c r="H78" s="95">
        <f t="shared" si="1"/>
        <v>7423.5</v>
      </c>
      <c r="I78" s="37"/>
    </row>
    <row r="79" spans="1:9" s="21" customFormat="1" ht="15.75" customHeight="1">
      <c r="A79" s="94">
        <v>74</v>
      </c>
      <c r="B79" s="105" t="s">
        <v>1054</v>
      </c>
      <c r="C79" s="105" t="s">
        <v>298</v>
      </c>
      <c r="D79" s="105" t="s">
        <v>107</v>
      </c>
      <c r="E79" s="105" t="s">
        <v>143</v>
      </c>
      <c r="F79" s="108">
        <v>1</v>
      </c>
      <c r="G79" s="107">
        <v>35000</v>
      </c>
      <c r="H79" s="95">
        <f t="shared" si="1"/>
        <v>7423.5</v>
      </c>
      <c r="I79" s="37"/>
    </row>
    <row r="80" spans="1:9" s="21" customFormat="1" ht="15.75" customHeight="1">
      <c r="A80" s="94">
        <v>75</v>
      </c>
      <c r="B80" s="105" t="s">
        <v>1054</v>
      </c>
      <c r="C80" s="105" t="s">
        <v>648</v>
      </c>
      <c r="D80" s="105" t="s">
        <v>649</v>
      </c>
      <c r="E80" s="105" t="s">
        <v>143</v>
      </c>
      <c r="F80" s="108">
        <v>1</v>
      </c>
      <c r="G80" s="107">
        <v>35000</v>
      </c>
      <c r="H80" s="95">
        <f t="shared" si="1"/>
        <v>7423.5</v>
      </c>
      <c r="I80" s="37"/>
    </row>
    <row r="81" spans="1:9" s="21" customFormat="1" ht="15.75" customHeight="1">
      <c r="A81" s="94">
        <v>76</v>
      </c>
      <c r="B81" s="105" t="s">
        <v>1054</v>
      </c>
      <c r="C81" s="105" t="s">
        <v>719</v>
      </c>
      <c r="D81" s="105" t="s">
        <v>720</v>
      </c>
      <c r="E81" s="105" t="s">
        <v>143</v>
      </c>
      <c r="F81" s="108">
        <v>1</v>
      </c>
      <c r="G81" s="107">
        <v>35000</v>
      </c>
      <c r="H81" s="95">
        <f t="shared" si="1"/>
        <v>7423.5</v>
      </c>
      <c r="I81" s="37"/>
    </row>
    <row r="82" spans="1:9" s="21" customFormat="1" ht="15.75" customHeight="1">
      <c r="A82" s="94">
        <v>77</v>
      </c>
      <c r="B82" s="105" t="s">
        <v>1054</v>
      </c>
      <c r="C82" s="105" t="s">
        <v>157</v>
      </c>
      <c r="D82" s="105" t="s">
        <v>123</v>
      </c>
      <c r="E82" s="105" t="s">
        <v>143</v>
      </c>
      <c r="F82" s="108">
        <v>1</v>
      </c>
      <c r="G82" s="107">
        <v>35000</v>
      </c>
      <c r="H82" s="95">
        <f t="shared" si="1"/>
        <v>7423.5</v>
      </c>
      <c r="I82" s="37"/>
    </row>
    <row r="83" spans="1:9" s="21" customFormat="1" ht="15.75" customHeight="1">
      <c r="A83" s="94">
        <v>78</v>
      </c>
      <c r="B83" s="105" t="s">
        <v>1054</v>
      </c>
      <c r="C83" s="105" t="s">
        <v>817</v>
      </c>
      <c r="D83" s="105" t="s">
        <v>818</v>
      </c>
      <c r="E83" s="105" t="s">
        <v>143</v>
      </c>
      <c r="F83" s="108">
        <v>1</v>
      </c>
      <c r="G83" s="107">
        <v>16000</v>
      </c>
      <c r="H83" s="95">
        <f t="shared" si="1"/>
        <v>3393.6000000000004</v>
      </c>
      <c r="I83" s="37"/>
    </row>
    <row r="84" spans="1:9" s="21" customFormat="1" ht="15.75" customHeight="1">
      <c r="A84" s="94">
        <v>79</v>
      </c>
      <c r="B84" s="105" t="s">
        <v>1054</v>
      </c>
      <c r="C84" s="105" t="s">
        <v>925</v>
      </c>
      <c r="D84" s="105" t="s">
        <v>100</v>
      </c>
      <c r="E84" s="105" t="s">
        <v>143</v>
      </c>
      <c r="F84" s="108">
        <v>1</v>
      </c>
      <c r="G84" s="107">
        <v>35000</v>
      </c>
      <c r="H84" s="95">
        <f t="shared" si="1"/>
        <v>7423.5</v>
      </c>
      <c r="I84" s="37"/>
    </row>
    <row r="85" spans="1:9" s="21" customFormat="1" ht="15.75" customHeight="1">
      <c r="A85" s="94">
        <v>80</v>
      </c>
      <c r="B85" s="105" t="s">
        <v>1054</v>
      </c>
      <c r="C85" s="105" t="s">
        <v>958</v>
      </c>
      <c r="D85" s="105" t="s">
        <v>959</v>
      </c>
      <c r="E85" s="105" t="s">
        <v>143</v>
      </c>
      <c r="F85" s="108">
        <v>1</v>
      </c>
      <c r="G85" s="107">
        <v>35000</v>
      </c>
      <c r="H85" s="95">
        <f t="shared" si="1"/>
        <v>7423.5</v>
      </c>
      <c r="I85" s="37"/>
    </row>
    <row r="86" spans="1:9" s="21" customFormat="1" ht="15.75" customHeight="1">
      <c r="A86" s="94">
        <v>81</v>
      </c>
      <c r="B86" s="105" t="s">
        <v>1054</v>
      </c>
      <c r="C86" s="105" t="s">
        <v>892</v>
      </c>
      <c r="D86" s="105" t="s">
        <v>893</v>
      </c>
      <c r="E86" s="105" t="s">
        <v>143</v>
      </c>
      <c r="F86" s="108">
        <v>1</v>
      </c>
      <c r="G86" s="107">
        <v>16000</v>
      </c>
      <c r="H86" s="95">
        <f t="shared" si="1"/>
        <v>3393.6000000000004</v>
      </c>
      <c r="I86" s="37"/>
    </row>
    <row r="87" spans="1:9" s="21" customFormat="1" ht="15.75" customHeight="1">
      <c r="A87" s="94">
        <v>82</v>
      </c>
      <c r="B87" s="105" t="s">
        <v>1080</v>
      </c>
      <c r="C87" s="105" t="s">
        <v>157</v>
      </c>
      <c r="D87" s="105" t="s">
        <v>123</v>
      </c>
      <c r="E87" s="105" t="s">
        <v>143</v>
      </c>
      <c r="F87" s="108">
        <v>1</v>
      </c>
      <c r="G87" s="107">
        <v>35000</v>
      </c>
      <c r="H87" s="95">
        <f t="shared" si="1"/>
        <v>7423.5</v>
      </c>
      <c r="I87" s="37"/>
    </row>
    <row r="88" spans="1:9" s="21" customFormat="1" ht="15.75" customHeight="1">
      <c r="A88" s="94">
        <v>83</v>
      </c>
      <c r="B88" s="105" t="s">
        <v>1086</v>
      </c>
      <c r="C88" s="105" t="s">
        <v>892</v>
      </c>
      <c r="D88" s="105" t="s">
        <v>893</v>
      </c>
      <c r="E88" s="105" t="s">
        <v>143</v>
      </c>
      <c r="F88" s="108">
        <v>1</v>
      </c>
      <c r="G88" s="107">
        <v>35000</v>
      </c>
      <c r="H88" s="95">
        <f t="shared" si="1"/>
        <v>7423.5</v>
      </c>
      <c r="I88" s="37"/>
    </row>
    <row r="89" spans="1:9" s="21" customFormat="1" ht="15.75" customHeight="1">
      <c r="A89" s="94">
        <v>84</v>
      </c>
      <c r="B89" s="105" t="s">
        <v>899</v>
      </c>
      <c r="C89" s="105" t="s">
        <v>298</v>
      </c>
      <c r="D89" s="105" t="s">
        <v>107</v>
      </c>
      <c r="E89" s="105" t="s">
        <v>143</v>
      </c>
      <c r="F89" s="108">
        <v>1</v>
      </c>
      <c r="G89" s="107">
        <v>35000</v>
      </c>
      <c r="H89" s="95">
        <f t="shared" si="1"/>
        <v>7423.5</v>
      </c>
      <c r="I89" s="37"/>
    </row>
    <row r="90" spans="1:9" s="21" customFormat="1" ht="15.75" customHeight="1">
      <c r="A90" s="94">
        <v>85</v>
      </c>
      <c r="B90" s="105" t="s">
        <v>899</v>
      </c>
      <c r="C90" s="105" t="s">
        <v>719</v>
      </c>
      <c r="D90" s="105" t="s">
        <v>720</v>
      </c>
      <c r="E90" s="105" t="s">
        <v>143</v>
      </c>
      <c r="F90" s="108">
        <v>1</v>
      </c>
      <c r="G90" s="107">
        <v>35000</v>
      </c>
      <c r="H90" s="95">
        <f t="shared" si="1"/>
        <v>7423.5</v>
      </c>
      <c r="I90" s="37"/>
    </row>
    <row r="91" spans="1:9" s="21" customFormat="1" ht="15.75" customHeight="1">
      <c r="A91" s="94">
        <v>86</v>
      </c>
      <c r="B91" s="105" t="s">
        <v>899</v>
      </c>
      <c r="C91" s="105" t="s">
        <v>238</v>
      </c>
      <c r="D91" s="105" t="s">
        <v>725</v>
      </c>
      <c r="E91" s="105" t="s">
        <v>143</v>
      </c>
      <c r="F91" s="108">
        <v>1</v>
      </c>
      <c r="G91" s="107">
        <v>35000</v>
      </c>
      <c r="H91" s="95">
        <f t="shared" si="1"/>
        <v>7423.5</v>
      </c>
      <c r="I91" s="37"/>
    </row>
    <row r="92" spans="1:9" s="21" customFormat="1" ht="15.75" customHeight="1">
      <c r="A92" s="94">
        <v>87</v>
      </c>
      <c r="B92" s="105" t="s">
        <v>899</v>
      </c>
      <c r="C92" s="105" t="s">
        <v>958</v>
      </c>
      <c r="D92" s="105" t="s">
        <v>959</v>
      </c>
      <c r="E92" s="105" t="s">
        <v>143</v>
      </c>
      <c r="F92" s="108">
        <v>1</v>
      </c>
      <c r="G92" s="107">
        <v>35000</v>
      </c>
      <c r="H92" s="95">
        <f t="shared" si="1"/>
        <v>7423.5</v>
      </c>
      <c r="I92" s="37"/>
    </row>
    <row r="93" spans="1:9" s="21" customFormat="1" ht="15.75" customHeight="1">
      <c r="A93" s="94">
        <v>88</v>
      </c>
      <c r="B93" s="105" t="s">
        <v>899</v>
      </c>
      <c r="C93" s="105" t="s">
        <v>925</v>
      </c>
      <c r="D93" s="105" t="s">
        <v>100</v>
      </c>
      <c r="E93" s="105" t="s">
        <v>143</v>
      </c>
      <c r="F93" s="108">
        <v>1</v>
      </c>
      <c r="G93" s="107">
        <v>16000</v>
      </c>
      <c r="H93" s="95">
        <f t="shared" si="1"/>
        <v>3393.6000000000004</v>
      </c>
      <c r="I93" s="37"/>
    </row>
    <row r="94" spans="1:9" s="21" customFormat="1" ht="15.75" customHeight="1">
      <c r="A94" s="94">
        <v>89</v>
      </c>
      <c r="B94" s="105" t="s">
        <v>1055</v>
      </c>
      <c r="C94" s="105" t="s">
        <v>298</v>
      </c>
      <c r="D94" s="105" t="s">
        <v>107</v>
      </c>
      <c r="E94" s="105" t="s">
        <v>143</v>
      </c>
      <c r="F94" s="108">
        <v>1</v>
      </c>
      <c r="G94" s="107">
        <v>16000</v>
      </c>
      <c r="H94" s="95">
        <f t="shared" si="1"/>
        <v>3393.6000000000004</v>
      </c>
      <c r="I94" s="37"/>
    </row>
    <row r="95" spans="1:9" s="21" customFormat="1" ht="15.75" customHeight="1">
      <c r="A95" s="94">
        <v>90</v>
      </c>
      <c r="B95" s="105" t="s">
        <v>1055</v>
      </c>
      <c r="C95" s="105" t="s">
        <v>238</v>
      </c>
      <c r="D95" s="105" t="s">
        <v>725</v>
      </c>
      <c r="E95" s="105" t="s">
        <v>143</v>
      </c>
      <c r="F95" s="108">
        <v>1</v>
      </c>
      <c r="G95" s="107">
        <v>35000</v>
      </c>
      <c r="H95" s="95">
        <f t="shared" si="1"/>
        <v>7423.5</v>
      </c>
      <c r="I95" s="37"/>
    </row>
    <row r="96" spans="1:9" s="21" customFormat="1" ht="15.75" customHeight="1">
      <c r="A96" s="94">
        <v>91</v>
      </c>
      <c r="B96" s="105" t="s">
        <v>1055</v>
      </c>
      <c r="C96" s="105" t="s">
        <v>769</v>
      </c>
      <c r="D96" s="105" t="s">
        <v>770</v>
      </c>
      <c r="E96" s="105" t="s">
        <v>143</v>
      </c>
      <c r="F96" s="108">
        <v>1</v>
      </c>
      <c r="G96" s="107">
        <v>35000</v>
      </c>
      <c r="H96" s="95">
        <f t="shared" si="1"/>
        <v>7423.5</v>
      </c>
      <c r="I96" s="37"/>
    </row>
    <row r="97" spans="1:9" s="21" customFormat="1" ht="15.75" customHeight="1">
      <c r="A97" s="94">
        <v>92</v>
      </c>
      <c r="B97" s="105" t="s">
        <v>1055</v>
      </c>
      <c r="C97" s="105" t="s">
        <v>817</v>
      </c>
      <c r="D97" s="105" t="s">
        <v>818</v>
      </c>
      <c r="E97" s="105" t="s">
        <v>143</v>
      </c>
      <c r="F97" s="108">
        <v>1</v>
      </c>
      <c r="G97" s="107">
        <v>16000</v>
      </c>
      <c r="H97" s="95">
        <f t="shared" si="1"/>
        <v>3393.6000000000004</v>
      </c>
      <c r="I97" s="37"/>
    </row>
    <row r="98" spans="1:9" s="21" customFormat="1" ht="15.75" customHeight="1">
      <c r="A98" s="94">
        <v>93</v>
      </c>
      <c r="B98" s="105" t="s">
        <v>1055</v>
      </c>
      <c r="C98" s="105" t="s">
        <v>892</v>
      </c>
      <c r="D98" s="105" t="s">
        <v>893</v>
      </c>
      <c r="E98" s="105" t="s">
        <v>143</v>
      </c>
      <c r="F98" s="108">
        <v>1</v>
      </c>
      <c r="G98" s="107">
        <v>35000</v>
      </c>
      <c r="H98" s="95">
        <f t="shared" si="1"/>
        <v>7423.5</v>
      </c>
      <c r="I98" s="37"/>
    </row>
    <row r="99" spans="1:9" s="21" customFormat="1" ht="15.75" customHeight="1">
      <c r="A99" s="94">
        <v>94</v>
      </c>
      <c r="B99" s="105" t="s">
        <v>1055</v>
      </c>
      <c r="C99" s="105" t="s">
        <v>925</v>
      </c>
      <c r="D99" s="105" t="s">
        <v>100</v>
      </c>
      <c r="E99" s="105" t="s">
        <v>143</v>
      </c>
      <c r="F99" s="108">
        <v>1</v>
      </c>
      <c r="G99" s="107">
        <v>16000</v>
      </c>
      <c r="H99" s="95">
        <f t="shared" si="1"/>
        <v>3393.6000000000004</v>
      </c>
      <c r="I99" s="37"/>
    </row>
    <row r="100" spans="1:9" s="21" customFormat="1" ht="15.75" customHeight="1">
      <c r="A100" s="94">
        <v>95</v>
      </c>
      <c r="B100" s="105" t="s">
        <v>1057</v>
      </c>
      <c r="C100" s="105" t="s">
        <v>298</v>
      </c>
      <c r="D100" s="105" t="s">
        <v>107</v>
      </c>
      <c r="E100" s="105" t="s">
        <v>143</v>
      </c>
      <c r="F100" s="108">
        <v>1</v>
      </c>
      <c r="G100" s="107">
        <v>35000</v>
      </c>
      <c r="H100" s="95">
        <f t="shared" si="1"/>
        <v>7423.5</v>
      </c>
      <c r="I100" s="37"/>
    </row>
    <row r="101" spans="1:9" s="21" customFormat="1" ht="15.75" customHeight="1">
      <c r="A101" s="94">
        <v>96</v>
      </c>
      <c r="B101" s="105" t="s">
        <v>1057</v>
      </c>
      <c r="C101" s="105" t="s">
        <v>238</v>
      </c>
      <c r="D101" s="105" t="s">
        <v>725</v>
      </c>
      <c r="E101" s="105" t="s">
        <v>143</v>
      </c>
      <c r="F101" s="108">
        <v>1</v>
      </c>
      <c r="G101" s="107">
        <v>35000</v>
      </c>
      <c r="H101" s="95">
        <f t="shared" si="1"/>
        <v>7423.5</v>
      </c>
      <c r="I101" s="37"/>
    </row>
    <row r="102" spans="1:9" s="21" customFormat="1" ht="15.75" customHeight="1">
      <c r="A102" s="94">
        <v>97</v>
      </c>
      <c r="B102" s="105" t="s">
        <v>1057</v>
      </c>
      <c r="C102" s="105" t="s">
        <v>769</v>
      </c>
      <c r="D102" s="105" t="s">
        <v>770</v>
      </c>
      <c r="E102" s="105" t="s">
        <v>143</v>
      </c>
      <c r="F102" s="108">
        <v>1</v>
      </c>
      <c r="G102" s="107">
        <v>35000</v>
      </c>
      <c r="H102" s="95">
        <f t="shared" si="1"/>
        <v>7423.5</v>
      </c>
      <c r="I102" s="37"/>
    </row>
    <row r="103" spans="1:9" s="21" customFormat="1" ht="15.75" customHeight="1">
      <c r="A103" s="94">
        <v>98</v>
      </c>
      <c r="B103" s="105" t="s">
        <v>1057</v>
      </c>
      <c r="C103" s="105" t="s">
        <v>925</v>
      </c>
      <c r="D103" s="105" t="s">
        <v>100</v>
      </c>
      <c r="E103" s="105" t="s">
        <v>143</v>
      </c>
      <c r="F103" s="108">
        <v>1</v>
      </c>
      <c r="G103" s="107">
        <v>35000</v>
      </c>
      <c r="H103" s="95">
        <f t="shared" si="1"/>
        <v>7423.5</v>
      </c>
      <c r="I103" s="37"/>
    </row>
    <row r="104" spans="1:9" s="21" customFormat="1" ht="15.75" customHeight="1">
      <c r="A104" s="94">
        <v>99</v>
      </c>
      <c r="B104" s="105" t="s">
        <v>1057</v>
      </c>
      <c r="C104" s="105" t="s">
        <v>976</v>
      </c>
      <c r="D104" s="105" t="s">
        <v>977</v>
      </c>
      <c r="E104" s="105" t="s">
        <v>143</v>
      </c>
      <c r="F104" s="108">
        <v>1</v>
      </c>
      <c r="G104" s="107">
        <v>35000</v>
      </c>
      <c r="H104" s="95">
        <f t="shared" si="1"/>
        <v>7423.5</v>
      </c>
      <c r="I104" s="37"/>
    </row>
    <row r="105" spans="1:9" s="21" customFormat="1" ht="15.75" customHeight="1">
      <c r="A105" s="94">
        <v>100</v>
      </c>
      <c r="B105" s="105" t="s">
        <v>1057</v>
      </c>
      <c r="C105" s="105" t="s">
        <v>892</v>
      </c>
      <c r="D105" s="105" t="s">
        <v>893</v>
      </c>
      <c r="E105" s="105" t="s">
        <v>143</v>
      </c>
      <c r="F105" s="108">
        <v>1</v>
      </c>
      <c r="G105" s="107">
        <v>16000</v>
      </c>
      <c r="H105" s="95">
        <f t="shared" si="1"/>
        <v>3393.6000000000004</v>
      </c>
      <c r="I105" s="37"/>
    </row>
    <row r="106" spans="1:9" s="21" customFormat="1" ht="15.75" customHeight="1">
      <c r="A106" s="94">
        <v>101</v>
      </c>
      <c r="B106" s="105" t="s">
        <v>1058</v>
      </c>
      <c r="C106" s="105" t="s">
        <v>298</v>
      </c>
      <c r="D106" s="105" t="s">
        <v>107</v>
      </c>
      <c r="E106" s="105" t="s">
        <v>143</v>
      </c>
      <c r="F106" s="108">
        <v>1</v>
      </c>
      <c r="G106" s="107">
        <v>35000</v>
      </c>
      <c r="H106" s="95">
        <f t="shared" si="1"/>
        <v>7423.5</v>
      </c>
      <c r="I106" s="37"/>
    </row>
    <row r="107" spans="1:9" s="21" customFormat="1" ht="15.75" customHeight="1">
      <c r="A107" s="94">
        <v>102</v>
      </c>
      <c r="B107" s="105" t="s">
        <v>1058</v>
      </c>
      <c r="C107" s="105" t="s">
        <v>238</v>
      </c>
      <c r="D107" s="105" t="s">
        <v>725</v>
      </c>
      <c r="E107" s="105" t="s">
        <v>143</v>
      </c>
      <c r="F107" s="108">
        <v>1</v>
      </c>
      <c r="G107" s="107">
        <v>16000</v>
      </c>
      <c r="H107" s="95">
        <f t="shared" si="1"/>
        <v>3393.6000000000004</v>
      </c>
      <c r="I107" s="37"/>
    </row>
    <row r="108" spans="1:9" s="21" customFormat="1" ht="15.75" customHeight="1">
      <c r="A108" s="94">
        <v>103</v>
      </c>
      <c r="B108" s="105" t="s">
        <v>1058</v>
      </c>
      <c r="C108" s="105" t="s">
        <v>769</v>
      </c>
      <c r="D108" s="105" t="s">
        <v>770</v>
      </c>
      <c r="E108" s="105" t="s">
        <v>143</v>
      </c>
      <c r="F108" s="108">
        <v>1</v>
      </c>
      <c r="G108" s="107">
        <v>16000</v>
      </c>
      <c r="H108" s="95">
        <f t="shared" si="1"/>
        <v>3393.6000000000004</v>
      </c>
      <c r="I108" s="37"/>
    </row>
    <row r="109" spans="1:9" s="21" customFormat="1" ht="15.75" customHeight="1">
      <c r="A109" s="94">
        <v>104</v>
      </c>
      <c r="B109" s="105" t="s">
        <v>1058</v>
      </c>
      <c r="C109" s="105" t="s">
        <v>976</v>
      </c>
      <c r="D109" s="105" t="s">
        <v>977</v>
      </c>
      <c r="E109" s="105" t="s">
        <v>143</v>
      </c>
      <c r="F109" s="108">
        <v>1</v>
      </c>
      <c r="G109" s="107">
        <v>35000</v>
      </c>
      <c r="H109" s="95">
        <f t="shared" si="1"/>
        <v>7423.5</v>
      </c>
      <c r="I109" s="37"/>
    </row>
    <row r="110" spans="1:9" s="21" customFormat="1" ht="15.75" customHeight="1">
      <c r="A110" s="94">
        <v>105</v>
      </c>
      <c r="B110" s="105" t="s">
        <v>1058</v>
      </c>
      <c r="C110" s="105" t="s">
        <v>892</v>
      </c>
      <c r="D110" s="105" t="s">
        <v>893</v>
      </c>
      <c r="E110" s="105" t="s">
        <v>143</v>
      </c>
      <c r="F110" s="108">
        <v>1</v>
      </c>
      <c r="G110" s="107">
        <v>16000</v>
      </c>
      <c r="H110" s="95">
        <f t="shared" si="1"/>
        <v>3393.6000000000004</v>
      </c>
      <c r="I110" s="37"/>
    </row>
    <row r="111" spans="1:9" s="21" customFormat="1" ht="15.75" customHeight="1">
      <c r="A111" s="94">
        <v>106</v>
      </c>
      <c r="B111" s="105" t="s">
        <v>1056</v>
      </c>
      <c r="C111" s="105" t="s">
        <v>298</v>
      </c>
      <c r="D111" s="105" t="s">
        <v>107</v>
      </c>
      <c r="E111" s="105" t="s">
        <v>143</v>
      </c>
      <c r="F111" s="108">
        <v>1</v>
      </c>
      <c r="G111" s="107">
        <v>35000</v>
      </c>
      <c r="H111" s="95">
        <f t="shared" si="1"/>
        <v>7423.5</v>
      </c>
      <c r="I111" s="37"/>
    </row>
    <row r="112" spans="1:9" s="21" customFormat="1" ht="15.75" customHeight="1">
      <c r="A112" s="94">
        <v>107</v>
      </c>
      <c r="B112" s="105" t="s">
        <v>1056</v>
      </c>
      <c r="C112" s="105" t="s">
        <v>723</v>
      </c>
      <c r="D112" s="105" t="s">
        <v>100</v>
      </c>
      <c r="E112" s="105" t="s">
        <v>143</v>
      </c>
      <c r="F112" s="108">
        <v>1</v>
      </c>
      <c r="G112" s="107">
        <v>35000</v>
      </c>
      <c r="H112" s="95">
        <f t="shared" si="1"/>
        <v>7423.5</v>
      </c>
      <c r="I112" s="37"/>
    </row>
    <row r="113" spans="1:9" s="21" customFormat="1" ht="15.75" customHeight="1">
      <c r="A113" s="94">
        <v>108</v>
      </c>
      <c r="B113" s="105" t="s">
        <v>1056</v>
      </c>
      <c r="C113" s="105" t="s">
        <v>238</v>
      </c>
      <c r="D113" s="105" t="s">
        <v>725</v>
      </c>
      <c r="E113" s="105" t="s">
        <v>143</v>
      </c>
      <c r="F113" s="108">
        <v>1</v>
      </c>
      <c r="G113" s="107">
        <v>35000</v>
      </c>
      <c r="H113" s="95">
        <f t="shared" si="1"/>
        <v>7423.5</v>
      </c>
      <c r="I113" s="37"/>
    </row>
    <row r="114" spans="1:9" s="21" customFormat="1" ht="15.75" customHeight="1">
      <c r="A114" s="94">
        <v>109</v>
      </c>
      <c r="B114" s="105" t="s">
        <v>1056</v>
      </c>
      <c r="C114" s="105" t="s">
        <v>769</v>
      </c>
      <c r="D114" s="105" t="s">
        <v>770</v>
      </c>
      <c r="E114" s="105" t="s">
        <v>143</v>
      </c>
      <c r="F114" s="108">
        <v>1</v>
      </c>
      <c r="G114" s="107">
        <v>35000</v>
      </c>
      <c r="H114" s="95">
        <f t="shared" si="1"/>
        <v>7423.5</v>
      </c>
      <c r="I114" s="37"/>
    </row>
    <row r="115" spans="1:9" s="21" customFormat="1" ht="15.75" customHeight="1">
      <c r="A115" s="94">
        <v>110</v>
      </c>
      <c r="B115" s="105" t="s">
        <v>1056</v>
      </c>
      <c r="C115" s="105" t="s">
        <v>892</v>
      </c>
      <c r="D115" s="105" t="s">
        <v>893</v>
      </c>
      <c r="E115" s="105" t="s">
        <v>143</v>
      </c>
      <c r="F115" s="108">
        <v>1</v>
      </c>
      <c r="G115" s="107">
        <v>16000</v>
      </c>
      <c r="H115" s="95">
        <f t="shared" si="1"/>
        <v>3393.6000000000004</v>
      </c>
      <c r="I115" s="37"/>
    </row>
    <row r="116" spans="1:9" s="21" customFormat="1" ht="15.75" customHeight="1">
      <c r="A116" s="94">
        <v>111</v>
      </c>
      <c r="B116" s="105" t="s">
        <v>1052</v>
      </c>
      <c r="C116" s="105" t="s">
        <v>499</v>
      </c>
      <c r="D116" s="105" t="s">
        <v>104</v>
      </c>
      <c r="E116" s="105" t="s">
        <v>143</v>
      </c>
      <c r="F116" s="108">
        <v>1</v>
      </c>
      <c r="G116" s="107">
        <v>35000</v>
      </c>
      <c r="H116" s="95">
        <f t="shared" si="1"/>
        <v>7423.5</v>
      </c>
      <c r="I116" s="37"/>
    </row>
    <row r="117" spans="1:9" s="21" customFormat="1" ht="15.75" customHeight="1">
      <c r="A117" s="94">
        <v>112</v>
      </c>
      <c r="B117" s="105" t="s">
        <v>1052</v>
      </c>
      <c r="C117" s="105" t="s">
        <v>298</v>
      </c>
      <c r="D117" s="105" t="s">
        <v>107</v>
      </c>
      <c r="E117" s="105" t="s">
        <v>143</v>
      </c>
      <c r="F117" s="108">
        <v>1</v>
      </c>
      <c r="G117" s="107">
        <v>16000</v>
      </c>
      <c r="H117" s="95">
        <f t="shared" si="1"/>
        <v>3393.6000000000004</v>
      </c>
      <c r="I117" s="37"/>
    </row>
    <row r="118" spans="1:9" s="21" customFormat="1" ht="15.75" customHeight="1">
      <c r="A118" s="94">
        <v>113</v>
      </c>
      <c r="B118" s="105" t="s">
        <v>1052</v>
      </c>
      <c r="C118" s="105" t="s">
        <v>723</v>
      </c>
      <c r="D118" s="105" t="s">
        <v>100</v>
      </c>
      <c r="E118" s="105" t="s">
        <v>143</v>
      </c>
      <c r="F118" s="108">
        <v>1</v>
      </c>
      <c r="G118" s="107">
        <v>35000</v>
      </c>
      <c r="H118" s="95">
        <f t="shared" si="1"/>
        <v>7423.5</v>
      </c>
      <c r="I118" s="37"/>
    </row>
    <row r="119" spans="1:9" s="21" customFormat="1" ht="15.75" customHeight="1">
      <c r="A119" s="94">
        <v>114</v>
      </c>
      <c r="B119" s="105" t="s">
        <v>1052</v>
      </c>
      <c r="C119" s="105" t="s">
        <v>238</v>
      </c>
      <c r="D119" s="105" t="s">
        <v>725</v>
      </c>
      <c r="E119" s="105" t="s">
        <v>143</v>
      </c>
      <c r="F119" s="108">
        <v>1</v>
      </c>
      <c r="G119" s="107">
        <v>16000</v>
      </c>
      <c r="H119" s="95">
        <f t="shared" si="1"/>
        <v>3393.6000000000004</v>
      </c>
      <c r="I119" s="37"/>
    </row>
    <row r="120" spans="1:9" s="21" customFormat="1" ht="15.75" customHeight="1">
      <c r="A120" s="94">
        <v>115</v>
      </c>
      <c r="B120" s="105" t="s">
        <v>1052</v>
      </c>
      <c r="C120" s="105" t="s">
        <v>236</v>
      </c>
      <c r="D120" s="105" t="s">
        <v>730</v>
      </c>
      <c r="E120" s="105" t="s">
        <v>143</v>
      </c>
      <c r="F120" s="108">
        <v>1</v>
      </c>
      <c r="G120" s="107">
        <v>35000</v>
      </c>
      <c r="H120" s="95">
        <f t="shared" si="1"/>
        <v>7423.5</v>
      </c>
      <c r="I120" s="37"/>
    </row>
    <row r="121" spans="1:9" s="21" customFormat="1" ht="15.75" customHeight="1">
      <c r="A121" s="94">
        <v>116</v>
      </c>
      <c r="B121" s="105" t="s">
        <v>1052</v>
      </c>
      <c r="C121" s="105" t="s">
        <v>892</v>
      </c>
      <c r="D121" s="105" t="s">
        <v>893</v>
      </c>
      <c r="E121" s="105" t="s">
        <v>143</v>
      </c>
      <c r="F121" s="108">
        <v>1</v>
      </c>
      <c r="G121" s="107">
        <v>35000</v>
      </c>
      <c r="H121" s="95">
        <f t="shared" si="1"/>
        <v>7423.5</v>
      </c>
      <c r="I121" s="37"/>
    </row>
    <row r="122" spans="1:9" s="21" customFormat="1" ht="15.75" customHeight="1">
      <c r="A122" s="94">
        <v>117</v>
      </c>
      <c r="B122" s="105" t="s">
        <v>1052</v>
      </c>
      <c r="C122" s="105" t="s">
        <v>958</v>
      </c>
      <c r="D122" s="105" t="s">
        <v>959</v>
      </c>
      <c r="E122" s="105" t="s">
        <v>143</v>
      </c>
      <c r="F122" s="108">
        <v>1</v>
      </c>
      <c r="G122" s="107">
        <v>35000</v>
      </c>
      <c r="H122" s="95">
        <f t="shared" si="1"/>
        <v>7423.5</v>
      </c>
      <c r="I122" s="37"/>
    </row>
    <row r="123" spans="1:9" s="21" customFormat="1" ht="15.75" customHeight="1">
      <c r="A123" s="94">
        <v>118</v>
      </c>
      <c r="B123" s="105" t="s">
        <v>1052</v>
      </c>
      <c r="C123" s="105" t="s">
        <v>976</v>
      </c>
      <c r="D123" s="105" t="s">
        <v>977</v>
      </c>
      <c r="E123" s="105" t="s">
        <v>143</v>
      </c>
      <c r="F123" s="108">
        <v>1</v>
      </c>
      <c r="G123" s="107">
        <v>35000</v>
      </c>
      <c r="H123" s="95">
        <f t="shared" si="1"/>
        <v>7423.5</v>
      </c>
      <c r="I123" s="37"/>
    </row>
    <row r="124" spans="1:9" s="21" customFormat="1" ht="15.75" customHeight="1">
      <c r="A124" s="94">
        <v>119</v>
      </c>
      <c r="B124" s="105" t="s">
        <v>1074</v>
      </c>
      <c r="C124" s="105" t="s">
        <v>719</v>
      </c>
      <c r="D124" s="105" t="s">
        <v>720</v>
      </c>
      <c r="E124" s="105" t="s">
        <v>143</v>
      </c>
      <c r="F124" s="108">
        <v>1</v>
      </c>
      <c r="G124" s="107">
        <v>35000</v>
      </c>
      <c r="H124" s="95">
        <f t="shared" si="1"/>
        <v>7423.5</v>
      </c>
      <c r="I124" s="37"/>
    </row>
    <row r="125" spans="1:9" s="21" customFormat="1" ht="15.75" customHeight="1">
      <c r="A125" s="94">
        <v>120</v>
      </c>
      <c r="B125" s="105" t="s">
        <v>1060</v>
      </c>
      <c r="C125" s="105" t="s">
        <v>298</v>
      </c>
      <c r="D125" s="105" t="s">
        <v>107</v>
      </c>
      <c r="E125" s="105" t="s">
        <v>143</v>
      </c>
      <c r="F125" s="108">
        <v>1</v>
      </c>
      <c r="G125" s="107">
        <v>35000</v>
      </c>
      <c r="H125" s="95">
        <f t="shared" si="1"/>
        <v>7423.5</v>
      </c>
      <c r="I125" s="37"/>
    </row>
    <row r="126" spans="1:9" s="21" customFormat="1" ht="15.75" customHeight="1">
      <c r="A126" s="94">
        <v>121</v>
      </c>
      <c r="B126" s="105" t="s">
        <v>1059</v>
      </c>
      <c r="C126" s="105" t="s">
        <v>298</v>
      </c>
      <c r="D126" s="105" t="s">
        <v>107</v>
      </c>
      <c r="E126" s="105" t="s">
        <v>143</v>
      </c>
      <c r="F126" s="108">
        <v>1</v>
      </c>
      <c r="G126" s="107">
        <v>35000</v>
      </c>
      <c r="H126" s="95">
        <f t="shared" si="1"/>
        <v>7423.5</v>
      </c>
      <c r="I126" s="37"/>
    </row>
    <row r="127" spans="1:9" s="21" customFormat="1" ht="15.75" customHeight="1">
      <c r="A127" s="94">
        <v>122</v>
      </c>
      <c r="B127" s="105" t="s">
        <v>1059</v>
      </c>
      <c r="C127" s="105" t="s">
        <v>238</v>
      </c>
      <c r="D127" s="105" t="s">
        <v>725</v>
      </c>
      <c r="E127" s="105" t="s">
        <v>143</v>
      </c>
      <c r="F127" s="108">
        <v>1</v>
      </c>
      <c r="G127" s="107">
        <v>35000</v>
      </c>
      <c r="H127" s="95">
        <f t="shared" si="1"/>
        <v>7423.5</v>
      </c>
      <c r="I127" s="37"/>
    </row>
    <row r="128" spans="1:9" s="21" customFormat="1" ht="15.75" customHeight="1">
      <c r="A128" s="94">
        <v>123</v>
      </c>
      <c r="B128" s="105" t="s">
        <v>1059</v>
      </c>
      <c r="C128" s="105" t="s">
        <v>958</v>
      </c>
      <c r="D128" s="105" t="s">
        <v>959</v>
      </c>
      <c r="E128" s="105" t="s">
        <v>143</v>
      </c>
      <c r="F128" s="108">
        <v>1</v>
      </c>
      <c r="G128" s="107">
        <v>16000</v>
      </c>
      <c r="H128" s="95">
        <f t="shared" si="1"/>
        <v>3393.6000000000004</v>
      </c>
      <c r="I128" s="37"/>
    </row>
    <row r="129" spans="1:9" s="21" customFormat="1" ht="15.75" customHeight="1">
      <c r="A129" s="94">
        <v>124</v>
      </c>
      <c r="B129" s="105" t="s">
        <v>1059</v>
      </c>
      <c r="C129" s="105" t="s">
        <v>976</v>
      </c>
      <c r="D129" s="105" t="s">
        <v>977</v>
      </c>
      <c r="E129" s="105" t="s">
        <v>143</v>
      </c>
      <c r="F129" s="108">
        <v>1</v>
      </c>
      <c r="G129" s="107">
        <v>35000</v>
      </c>
      <c r="H129" s="95">
        <f t="shared" si="1"/>
        <v>7423.5</v>
      </c>
      <c r="I129" s="37"/>
    </row>
    <row r="130" spans="1:9" s="21" customFormat="1" ht="15.75" customHeight="1">
      <c r="A130" s="94">
        <v>125</v>
      </c>
      <c r="B130" s="105" t="s">
        <v>1059</v>
      </c>
      <c r="C130" s="105" t="s">
        <v>499</v>
      </c>
      <c r="D130" s="105" t="s">
        <v>104</v>
      </c>
      <c r="E130" s="105" t="s">
        <v>143</v>
      </c>
      <c r="F130" s="108">
        <v>1</v>
      </c>
      <c r="G130" s="107">
        <v>16000</v>
      </c>
      <c r="H130" s="95">
        <f t="shared" si="1"/>
        <v>3393.6000000000004</v>
      </c>
      <c r="I130" s="37"/>
    </row>
    <row r="131" spans="1:9" s="21" customFormat="1" ht="15.75" customHeight="1">
      <c r="A131" s="94">
        <v>126</v>
      </c>
      <c r="B131" s="105" t="s">
        <v>1059</v>
      </c>
      <c r="C131" s="105" t="s">
        <v>723</v>
      </c>
      <c r="D131" s="105" t="s">
        <v>100</v>
      </c>
      <c r="E131" s="105" t="s">
        <v>143</v>
      </c>
      <c r="F131" s="108">
        <v>1</v>
      </c>
      <c r="G131" s="107">
        <v>16000</v>
      </c>
      <c r="H131" s="95">
        <f t="shared" si="1"/>
        <v>3393.6000000000004</v>
      </c>
      <c r="I131" s="37"/>
    </row>
    <row r="132" spans="1:9" s="21" customFormat="1" ht="15.75" customHeight="1">
      <c r="A132" s="94">
        <v>127</v>
      </c>
      <c r="B132" s="105" t="s">
        <v>1059</v>
      </c>
      <c r="C132" s="105" t="s">
        <v>892</v>
      </c>
      <c r="D132" s="105" t="s">
        <v>893</v>
      </c>
      <c r="E132" s="105" t="s">
        <v>143</v>
      </c>
      <c r="F132" s="108">
        <v>1</v>
      </c>
      <c r="G132" s="107">
        <v>16000</v>
      </c>
      <c r="H132" s="95">
        <f t="shared" si="1"/>
        <v>3393.6000000000004</v>
      </c>
      <c r="I132" s="37"/>
    </row>
    <row r="133" spans="1:9" s="21" customFormat="1" ht="15.75" customHeight="1">
      <c r="A133" s="94">
        <v>128</v>
      </c>
      <c r="B133" s="105" t="s">
        <v>1075</v>
      </c>
      <c r="C133" s="105" t="s">
        <v>719</v>
      </c>
      <c r="D133" s="105" t="s">
        <v>720</v>
      </c>
      <c r="E133" s="105" t="s">
        <v>143</v>
      </c>
      <c r="F133" s="108">
        <v>1</v>
      </c>
      <c r="G133" s="107">
        <v>35000</v>
      </c>
      <c r="H133" s="95">
        <f t="shared" si="1"/>
        <v>7423.5</v>
      </c>
      <c r="I133" s="37"/>
    </row>
    <row r="134" spans="1:9" s="21" customFormat="1" ht="15.75" customHeight="1">
      <c r="A134" s="94">
        <v>129</v>
      </c>
      <c r="B134" s="105" t="s">
        <v>1050</v>
      </c>
      <c r="C134" s="105" t="s">
        <v>499</v>
      </c>
      <c r="D134" s="105" t="s">
        <v>104</v>
      </c>
      <c r="E134" s="105" t="s">
        <v>143</v>
      </c>
      <c r="F134" s="108">
        <v>1</v>
      </c>
      <c r="G134" s="107">
        <v>35000</v>
      </c>
      <c r="H134" s="95">
        <f t="shared" si="1"/>
        <v>7423.5</v>
      </c>
      <c r="I134" s="37"/>
    </row>
    <row r="135" spans="1:9" s="21" customFormat="1" ht="15.75" customHeight="1">
      <c r="A135" s="94">
        <v>130</v>
      </c>
      <c r="B135" s="105" t="s">
        <v>1050</v>
      </c>
      <c r="C135" s="105" t="s">
        <v>298</v>
      </c>
      <c r="D135" s="105" t="s">
        <v>107</v>
      </c>
      <c r="E135" s="105" t="s">
        <v>143</v>
      </c>
      <c r="F135" s="108">
        <v>1</v>
      </c>
      <c r="G135" s="107">
        <v>16000</v>
      </c>
      <c r="H135" s="95">
        <f t="shared" ref="H135:H198" si="2">G135*21.21%</f>
        <v>3393.6000000000004</v>
      </c>
      <c r="I135" s="37"/>
    </row>
    <row r="136" spans="1:9" s="21" customFormat="1" ht="15.75" customHeight="1">
      <c r="A136" s="94">
        <v>131</v>
      </c>
      <c r="B136" s="105" t="s">
        <v>1050</v>
      </c>
      <c r="C136" s="105" t="s">
        <v>719</v>
      </c>
      <c r="D136" s="105" t="s">
        <v>720</v>
      </c>
      <c r="E136" s="105" t="s">
        <v>143</v>
      </c>
      <c r="F136" s="108">
        <v>1</v>
      </c>
      <c r="G136" s="107">
        <v>35000</v>
      </c>
      <c r="H136" s="95">
        <f t="shared" si="2"/>
        <v>7423.5</v>
      </c>
      <c r="I136" s="37"/>
    </row>
    <row r="137" spans="1:9" s="21" customFormat="1" ht="15.75" customHeight="1">
      <c r="A137" s="94">
        <v>132</v>
      </c>
      <c r="B137" s="105" t="s">
        <v>1050</v>
      </c>
      <c r="C137" s="105" t="s">
        <v>238</v>
      </c>
      <c r="D137" s="105" t="s">
        <v>725</v>
      </c>
      <c r="E137" s="105" t="s">
        <v>143</v>
      </c>
      <c r="F137" s="108">
        <v>1</v>
      </c>
      <c r="G137" s="107">
        <v>16000</v>
      </c>
      <c r="H137" s="95">
        <f t="shared" si="2"/>
        <v>3393.6000000000004</v>
      </c>
      <c r="I137" s="37"/>
    </row>
    <row r="138" spans="1:9" s="21" customFormat="1" ht="15.75" customHeight="1">
      <c r="A138" s="94">
        <v>133</v>
      </c>
      <c r="B138" s="105" t="s">
        <v>1050</v>
      </c>
      <c r="C138" s="105" t="s">
        <v>898</v>
      </c>
      <c r="D138" s="105" t="s">
        <v>108</v>
      </c>
      <c r="E138" s="105" t="s">
        <v>143</v>
      </c>
      <c r="F138" s="108">
        <v>1</v>
      </c>
      <c r="G138" s="107">
        <v>35000</v>
      </c>
      <c r="H138" s="95">
        <f t="shared" si="2"/>
        <v>7423.5</v>
      </c>
      <c r="I138" s="37"/>
    </row>
    <row r="139" spans="1:9" s="21" customFormat="1" ht="15.75" customHeight="1">
      <c r="A139" s="94">
        <v>134</v>
      </c>
      <c r="B139" s="105" t="s">
        <v>1050</v>
      </c>
      <c r="C139" s="105" t="s">
        <v>958</v>
      </c>
      <c r="D139" s="105" t="s">
        <v>959</v>
      </c>
      <c r="E139" s="105" t="s">
        <v>143</v>
      </c>
      <c r="F139" s="108">
        <v>1</v>
      </c>
      <c r="G139" s="107">
        <v>35000</v>
      </c>
      <c r="H139" s="95">
        <f t="shared" si="2"/>
        <v>7423.5</v>
      </c>
      <c r="I139" s="37"/>
    </row>
    <row r="140" spans="1:9" s="21" customFormat="1" ht="15.75" customHeight="1">
      <c r="A140" s="94">
        <v>135</v>
      </c>
      <c r="B140" s="105" t="s">
        <v>1050</v>
      </c>
      <c r="C140" s="105" t="s">
        <v>723</v>
      </c>
      <c r="D140" s="105" t="s">
        <v>100</v>
      </c>
      <c r="E140" s="105" t="s">
        <v>143</v>
      </c>
      <c r="F140" s="108">
        <v>1</v>
      </c>
      <c r="G140" s="107">
        <v>16000</v>
      </c>
      <c r="H140" s="95">
        <f t="shared" si="2"/>
        <v>3393.6000000000004</v>
      </c>
      <c r="I140" s="37"/>
    </row>
    <row r="141" spans="1:9" s="21" customFormat="1" ht="15.75" customHeight="1">
      <c r="A141" s="94">
        <v>136</v>
      </c>
      <c r="B141" s="105" t="s">
        <v>1050</v>
      </c>
      <c r="C141" s="105" t="s">
        <v>976</v>
      </c>
      <c r="D141" s="105" t="s">
        <v>977</v>
      </c>
      <c r="E141" s="105" t="s">
        <v>143</v>
      </c>
      <c r="F141" s="108">
        <v>1</v>
      </c>
      <c r="G141" s="107">
        <v>16000</v>
      </c>
      <c r="H141" s="95">
        <f t="shared" si="2"/>
        <v>3393.6000000000004</v>
      </c>
      <c r="I141" s="37"/>
    </row>
    <row r="142" spans="1:9" s="21" customFormat="1" ht="15.75" customHeight="1">
      <c r="A142" s="94">
        <v>137</v>
      </c>
      <c r="B142" s="105" t="s">
        <v>900</v>
      </c>
      <c r="C142" s="105" t="s">
        <v>298</v>
      </c>
      <c r="D142" s="105" t="s">
        <v>107</v>
      </c>
      <c r="E142" s="105" t="s">
        <v>143</v>
      </c>
      <c r="F142" s="108">
        <v>1</v>
      </c>
      <c r="G142" s="107">
        <v>16000</v>
      </c>
      <c r="H142" s="95">
        <f t="shared" si="2"/>
        <v>3393.6000000000004</v>
      </c>
      <c r="I142" s="37"/>
    </row>
    <row r="143" spans="1:9" s="21" customFormat="1" ht="15.75" customHeight="1">
      <c r="A143" s="94">
        <v>138</v>
      </c>
      <c r="B143" s="105" t="s">
        <v>900</v>
      </c>
      <c r="C143" s="105" t="s">
        <v>898</v>
      </c>
      <c r="D143" s="105" t="s">
        <v>108</v>
      </c>
      <c r="E143" s="105" t="s">
        <v>143</v>
      </c>
      <c r="F143" s="108">
        <v>1</v>
      </c>
      <c r="G143" s="107">
        <v>35000</v>
      </c>
      <c r="H143" s="95">
        <f t="shared" si="2"/>
        <v>7423.5</v>
      </c>
      <c r="I143" s="37"/>
    </row>
    <row r="144" spans="1:9" s="21" customFormat="1" ht="15.75" customHeight="1">
      <c r="A144" s="94">
        <v>139</v>
      </c>
      <c r="B144" s="105" t="s">
        <v>900</v>
      </c>
      <c r="C144" s="105" t="s">
        <v>958</v>
      </c>
      <c r="D144" s="105" t="s">
        <v>959</v>
      </c>
      <c r="E144" s="105" t="s">
        <v>143</v>
      </c>
      <c r="F144" s="108">
        <v>1</v>
      </c>
      <c r="G144" s="107">
        <v>16000</v>
      </c>
      <c r="H144" s="95">
        <f t="shared" si="2"/>
        <v>3393.6000000000004</v>
      </c>
      <c r="I144" s="37"/>
    </row>
    <row r="145" spans="1:9" s="21" customFormat="1" ht="15.75" customHeight="1">
      <c r="A145" s="94">
        <v>140</v>
      </c>
      <c r="B145" s="105" t="s">
        <v>900</v>
      </c>
      <c r="C145" s="105" t="s">
        <v>499</v>
      </c>
      <c r="D145" s="105" t="s">
        <v>104</v>
      </c>
      <c r="E145" s="105" t="s">
        <v>143</v>
      </c>
      <c r="F145" s="108">
        <v>1</v>
      </c>
      <c r="G145" s="107">
        <v>16000</v>
      </c>
      <c r="H145" s="95">
        <f t="shared" si="2"/>
        <v>3393.6000000000004</v>
      </c>
      <c r="I145" s="37"/>
    </row>
    <row r="146" spans="1:9" s="21" customFormat="1" ht="15.75" customHeight="1">
      <c r="A146" s="94">
        <v>141</v>
      </c>
      <c r="B146" s="105" t="s">
        <v>900</v>
      </c>
      <c r="C146" s="105" t="s">
        <v>719</v>
      </c>
      <c r="D146" s="105" t="s">
        <v>720</v>
      </c>
      <c r="E146" s="105" t="s">
        <v>143</v>
      </c>
      <c r="F146" s="108">
        <v>1</v>
      </c>
      <c r="G146" s="107">
        <v>16000</v>
      </c>
      <c r="H146" s="95">
        <f t="shared" si="2"/>
        <v>3393.6000000000004</v>
      </c>
      <c r="I146" s="37"/>
    </row>
    <row r="147" spans="1:9" s="21" customFormat="1" ht="15.75" customHeight="1">
      <c r="A147" s="94">
        <v>142</v>
      </c>
      <c r="B147" s="105" t="s">
        <v>900</v>
      </c>
      <c r="C147" s="105" t="s">
        <v>723</v>
      </c>
      <c r="D147" s="105" t="s">
        <v>100</v>
      </c>
      <c r="E147" s="105" t="s">
        <v>143</v>
      </c>
      <c r="F147" s="108">
        <v>1</v>
      </c>
      <c r="G147" s="107">
        <v>16000</v>
      </c>
      <c r="H147" s="95">
        <f t="shared" si="2"/>
        <v>3393.6000000000004</v>
      </c>
      <c r="I147" s="37"/>
    </row>
    <row r="148" spans="1:9" s="21" customFormat="1" ht="15.75" customHeight="1">
      <c r="A148" s="94">
        <v>143</v>
      </c>
      <c r="B148" s="105" t="s">
        <v>900</v>
      </c>
      <c r="C148" s="105" t="s">
        <v>976</v>
      </c>
      <c r="D148" s="105" t="s">
        <v>977</v>
      </c>
      <c r="E148" s="105" t="s">
        <v>143</v>
      </c>
      <c r="F148" s="108">
        <v>1</v>
      </c>
      <c r="G148" s="107">
        <v>16000</v>
      </c>
      <c r="H148" s="95">
        <f t="shared" si="2"/>
        <v>3393.6000000000004</v>
      </c>
      <c r="I148" s="37"/>
    </row>
    <row r="149" spans="1:9" s="21" customFormat="1" ht="15.75" customHeight="1">
      <c r="A149" s="94">
        <v>144</v>
      </c>
      <c r="B149" s="105" t="s">
        <v>1035</v>
      </c>
      <c r="C149" s="105" t="s">
        <v>486</v>
      </c>
      <c r="D149" s="105" t="s">
        <v>487</v>
      </c>
      <c r="E149" s="105" t="s">
        <v>143</v>
      </c>
      <c r="F149" s="108">
        <v>1</v>
      </c>
      <c r="G149" s="107">
        <v>16000</v>
      </c>
      <c r="H149" s="95">
        <f t="shared" si="2"/>
        <v>3393.6000000000004</v>
      </c>
      <c r="I149" s="37"/>
    </row>
    <row r="150" spans="1:9" s="21" customFormat="1" ht="15.75" customHeight="1">
      <c r="A150" s="94">
        <v>145</v>
      </c>
      <c r="B150" s="105" t="s">
        <v>1035</v>
      </c>
      <c r="C150" s="105" t="s">
        <v>298</v>
      </c>
      <c r="D150" s="105" t="s">
        <v>107</v>
      </c>
      <c r="E150" s="105" t="s">
        <v>143</v>
      </c>
      <c r="F150" s="108">
        <v>1</v>
      </c>
      <c r="G150" s="107">
        <v>16000</v>
      </c>
      <c r="H150" s="95">
        <f t="shared" si="2"/>
        <v>3393.6000000000004</v>
      </c>
      <c r="I150" s="37"/>
    </row>
    <row r="151" spans="1:9" s="21" customFormat="1" ht="15.75" customHeight="1">
      <c r="A151" s="94">
        <v>146</v>
      </c>
      <c r="B151" s="105" t="s">
        <v>1035</v>
      </c>
      <c r="C151" s="105" t="s">
        <v>238</v>
      </c>
      <c r="D151" s="105" t="s">
        <v>725</v>
      </c>
      <c r="E151" s="105" t="s">
        <v>143</v>
      </c>
      <c r="F151" s="108">
        <v>1</v>
      </c>
      <c r="G151" s="107">
        <v>35000</v>
      </c>
      <c r="H151" s="95">
        <f t="shared" si="2"/>
        <v>7423.5</v>
      </c>
      <c r="I151" s="37"/>
    </row>
    <row r="152" spans="1:9" s="21" customFormat="1" ht="15.75" customHeight="1">
      <c r="A152" s="94">
        <v>147</v>
      </c>
      <c r="B152" s="105" t="s">
        <v>1035</v>
      </c>
      <c r="C152" s="105" t="s">
        <v>719</v>
      </c>
      <c r="D152" s="105" t="s">
        <v>720</v>
      </c>
      <c r="E152" s="105" t="s">
        <v>143</v>
      </c>
      <c r="F152" s="108">
        <v>1</v>
      </c>
      <c r="G152" s="107">
        <v>16000</v>
      </c>
      <c r="H152" s="95">
        <f t="shared" si="2"/>
        <v>3393.6000000000004</v>
      </c>
      <c r="I152" s="37"/>
    </row>
    <row r="153" spans="1:9" s="21" customFormat="1" ht="15.75" customHeight="1">
      <c r="A153" s="94">
        <v>148</v>
      </c>
      <c r="B153" s="105" t="s">
        <v>512</v>
      </c>
      <c r="C153" s="105" t="s">
        <v>486</v>
      </c>
      <c r="D153" s="105" t="s">
        <v>487</v>
      </c>
      <c r="E153" s="105" t="s">
        <v>143</v>
      </c>
      <c r="F153" s="108">
        <v>1</v>
      </c>
      <c r="G153" s="107">
        <v>16000</v>
      </c>
      <c r="H153" s="95">
        <f t="shared" si="2"/>
        <v>3393.6000000000004</v>
      </c>
      <c r="I153" s="37"/>
    </row>
    <row r="154" spans="1:9" s="21" customFormat="1" ht="15.75" customHeight="1">
      <c r="A154" s="94">
        <v>149</v>
      </c>
      <c r="B154" s="105" t="s">
        <v>1036</v>
      </c>
      <c r="C154" s="105" t="s">
        <v>486</v>
      </c>
      <c r="D154" s="105" t="s">
        <v>487</v>
      </c>
      <c r="E154" s="105" t="s">
        <v>143</v>
      </c>
      <c r="F154" s="108">
        <v>1</v>
      </c>
      <c r="G154" s="107">
        <v>16000</v>
      </c>
      <c r="H154" s="95">
        <f t="shared" si="2"/>
        <v>3393.6000000000004</v>
      </c>
      <c r="I154" s="37"/>
    </row>
    <row r="155" spans="1:9" s="21" customFormat="1" ht="15.75" customHeight="1">
      <c r="A155" s="94">
        <v>150</v>
      </c>
      <c r="B155" s="105" t="s">
        <v>1036</v>
      </c>
      <c r="C155" s="105" t="s">
        <v>298</v>
      </c>
      <c r="D155" s="105" t="s">
        <v>107</v>
      </c>
      <c r="E155" s="105" t="s">
        <v>143</v>
      </c>
      <c r="F155" s="108">
        <v>1</v>
      </c>
      <c r="G155" s="107">
        <v>35000</v>
      </c>
      <c r="H155" s="95">
        <f t="shared" si="2"/>
        <v>7423.5</v>
      </c>
      <c r="I155" s="37"/>
    </row>
    <row r="156" spans="1:9" s="21" customFormat="1" ht="15.75" customHeight="1">
      <c r="A156" s="94">
        <v>151</v>
      </c>
      <c r="B156" s="105" t="s">
        <v>1036</v>
      </c>
      <c r="C156" s="105" t="s">
        <v>719</v>
      </c>
      <c r="D156" s="105" t="s">
        <v>720</v>
      </c>
      <c r="E156" s="105" t="s">
        <v>143</v>
      </c>
      <c r="F156" s="108">
        <v>1</v>
      </c>
      <c r="G156" s="107">
        <v>35000</v>
      </c>
      <c r="H156" s="95">
        <f t="shared" si="2"/>
        <v>7423.5</v>
      </c>
      <c r="I156" s="37"/>
    </row>
    <row r="157" spans="1:9" s="21" customFormat="1" ht="15.75" customHeight="1">
      <c r="A157" s="94">
        <v>152</v>
      </c>
      <c r="B157" s="105" t="s">
        <v>1036</v>
      </c>
      <c r="C157" s="105" t="s">
        <v>238</v>
      </c>
      <c r="D157" s="105" t="s">
        <v>725</v>
      </c>
      <c r="E157" s="105" t="s">
        <v>143</v>
      </c>
      <c r="F157" s="108">
        <v>1</v>
      </c>
      <c r="G157" s="107">
        <v>35000</v>
      </c>
      <c r="H157" s="95">
        <f t="shared" si="2"/>
        <v>7423.5</v>
      </c>
      <c r="I157" s="37"/>
    </row>
    <row r="158" spans="1:9" s="21" customFormat="1" ht="15.75" customHeight="1">
      <c r="A158" s="94">
        <v>153</v>
      </c>
      <c r="B158" s="105" t="s">
        <v>1036</v>
      </c>
      <c r="C158" s="105" t="s">
        <v>892</v>
      </c>
      <c r="D158" s="105" t="s">
        <v>893</v>
      </c>
      <c r="E158" s="105" t="s">
        <v>143</v>
      </c>
      <c r="F158" s="108">
        <v>1</v>
      </c>
      <c r="G158" s="107">
        <v>35000</v>
      </c>
      <c r="H158" s="95">
        <f t="shared" si="2"/>
        <v>7423.5</v>
      </c>
      <c r="I158" s="37"/>
    </row>
    <row r="159" spans="1:9" s="21" customFormat="1" ht="15.75" customHeight="1">
      <c r="A159" s="94">
        <v>154</v>
      </c>
      <c r="B159" s="105" t="s">
        <v>1036</v>
      </c>
      <c r="C159" s="105" t="s">
        <v>898</v>
      </c>
      <c r="D159" s="105" t="s">
        <v>108</v>
      </c>
      <c r="E159" s="105" t="s">
        <v>143</v>
      </c>
      <c r="F159" s="108">
        <v>1</v>
      </c>
      <c r="G159" s="107">
        <v>35000</v>
      </c>
      <c r="H159" s="95">
        <f t="shared" si="2"/>
        <v>7423.5</v>
      </c>
      <c r="I159" s="37"/>
    </row>
    <row r="160" spans="1:9" s="21" customFormat="1" ht="15.75" customHeight="1">
      <c r="A160" s="94">
        <v>155</v>
      </c>
      <c r="B160" s="105" t="s">
        <v>1044</v>
      </c>
      <c r="C160" s="105" t="s">
        <v>486</v>
      </c>
      <c r="D160" s="105" t="s">
        <v>487</v>
      </c>
      <c r="E160" s="105" t="s">
        <v>143</v>
      </c>
      <c r="F160" s="108">
        <v>1</v>
      </c>
      <c r="G160" s="107">
        <v>16000</v>
      </c>
      <c r="H160" s="95">
        <f t="shared" si="2"/>
        <v>3393.6000000000004</v>
      </c>
      <c r="I160" s="37"/>
    </row>
    <row r="161" spans="1:9" s="21" customFormat="1" ht="15.75" customHeight="1">
      <c r="A161" s="94">
        <v>156</v>
      </c>
      <c r="B161" s="105" t="s">
        <v>1044</v>
      </c>
      <c r="C161" s="105" t="s">
        <v>499</v>
      </c>
      <c r="D161" s="105" t="s">
        <v>104</v>
      </c>
      <c r="E161" s="105" t="s">
        <v>143</v>
      </c>
      <c r="F161" s="108">
        <v>1</v>
      </c>
      <c r="G161" s="107">
        <v>35000</v>
      </c>
      <c r="H161" s="95">
        <f t="shared" si="2"/>
        <v>7423.5</v>
      </c>
      <c r="I161" s="37"/>
    </row>
    <row r="162" spans="1:9" s="21" customFormat="1" ht="15.75" customHeight="1">
      <c r="A162" s="94">
        <v>157</v>
      </c>
      <c r="B162" s="105" t="s">
        <v>1044</v>
      </c>
      <c r="C162" s="105" t="s">
        <v>298</v>
      </c>
      <c r="D162" s="105" t="s">
        <v>107</v>
      </c>
      <c r="E162" s="105" t="s">
        <v>143</v>
      </c>
      <c r="F162" s="108">
        <v>1</v>
      </c>
      <c r="G162" s="107">
        <v>35000</v>
      </c>
      <c r="H162" s="95">
        <f t="shared" si="2"/>
        <v>7423.5</v>
      </c>
      <c r="I162" s="37"/>
    </row>
    <row r="163" spans="1:9" s="21" customFormat="1" ht="15.75" customHeight="1">
      <c r="A163" s="94">
        <v>158</v>
      </c>
      <c r="B163" s="105" t="s">
        <v>1044</v>
      </c>
      <c r="C163" s="105" t="s">
        <v>719</v>
      </c>
      <c r="D163" s="105" t="s">
        <v>720</v>
      </c>
      <c r="E163" s="105" t="s">
        <v>143</v>
      </c>
      <c r="F163" s="108">
        <v>1</v>
      </c>
      <c r="G163" s="107">
        <v>35000</v>
      </c>
      <c r="H163" s="95">
        <f t="shared" si="2"/>
        <v>7423.5</v>
      </c>
      <c r="I163" s="37"/>
    </row>
    <row r="164" spans="1:9" s="21" customFormat="1" ht="15.75" customHeight="1">
      <c r="A164" s="94">
        <v>159</v>
      </c>
      <c r="B164" s="105" t="s">
        <v>1044</v>
      </c>
      <c r="C164" s="105" t="s">
        <v>238</v>
      </c>
      <c r="D164" s="105" t="s">
        <v>725</v>
      </c>
      <c r="E164" s="105" t="s">
        <v>143</v>
      </c>
      <c r="F164" s="108">
        <v>1</v>
      </c>
      <c r="G164" s="107">
        <v>35000</v>
      </c>
      <c r="H164" s="95">
        <f t="shared" si="2"/>
        <v>7423.5</v>
      </c>
      <c r="I164" s="37"/>
    </row>
    <row r="165" spans="1:9" s="21" customFormat="1" ht="15.75" customHeight="1">
      <c r="A165" s="94">
        <v>160</v>
      </c>
      <c r="B165" s="105" t="s">
        <v>1044</v>
      </c>
      <c r="C165" s="105" t="s">
        <v>236</v>
      </c>
      <c r="D165" s="105" t="s">
        <v>730</v>
      </c>
      <c r="E165" s="105" t="s">
        <v>143</v>
      </c>
      <c r="F165" s="108">
        <v>1</v>
      </c>
      <c r="G165" s="107">
        <v>35000</v>
      </c>
      <c r="H165" s="95">
        <f t="shared" si="2"/>
        <v>7423.5</v>
      </c>
      <c r="I165" s="37"/>
    </row>
    <row r="166" spans="1:9" s="21" customFormat="1" ht="15.75" customHeight="1">
      <c r="A166" s="94">
        <v>161</v>
      </c>
      <c r="B166" s="105" t="s">
        <v>1044</v>
      </c>
      <c r="C166" s="105" t="s">
        <v>958</v>
      </c>
      <c r="D166" s="105" t="s">
        <v>959</v>
      </c>
      <c r="E166" s="105" t="s">
        <v>143</v>
      </c>
      <c r="F166" s="108">
        <v>1</v>
      </c>
      <c r="G166" s="107">
        <v>35000</v>
      </c>
      <c r="H166" s="95">
        <f t="shared" si="2"/>
        <v>7423.5</v>
      </c>
      <c r="I166" s="37"/>
    </row>
    <row r="167" spans="1:9" s="21" customFormat="1" ht="15.75" customHeight="1">
      <c r="A167" s="94">
        <v>162</v>
      </c>
      <c r="B167" s="105" t="s">
        <v>1044</v>
      </c>
      <c r="C167" s="105" t="s">
        <v>976</v>
      </c>
      <c r="D167" s="105" t="s">
        <v>977</v>
      </c>
      <c r="E167" s="105" t="s">
        <v>143</v>
      </c>
      <c r="F167" s="108">
        <v>1</v>
      </c>
      <c r="G167" s="107">
        <v>35000</v>
      </c>
      <c r="H167" s="95">
        <f t="shared" si="2"/>
        <v>7423.5</v>
      </c>
      <c r="I167" s="37"/>
    </row>
    <row r="168" spans="1:9" s="21" customFormat="1" ht="15.75" customHeight="1">
      <c r="A168" s="94">
        <v>163</v>
      </c>
      <c r="B168" s="105" t="s">
        <v>1044</v>
      </c>
      <c r="C168" s="105" t="s">
        <v>723</v>
      </c>
      <c r="D168" s="105" t="s">
        <v>100</v>
      </c>
      <c r="E168" s="105" t="s">
        <v>143</v>
      </c>
      <c r="F168" s="108">
        <v>1</v>
      </c>
      <c r="G168" s="107">
        <v>16000</v>
      </c>
      <c r="H168" s="95">
        <f t="shared" si="2"/>
        <v>3393.6000000000004</v>
      </c>
      <c r="I168" s="37"/>
    </row>
    <row r="169" spans="1:9" s="21" customFormat="1" ht="15.75" customHeight="1">
      <c r="A169" s="94">
        <v>164</v>
      </c>
      <c r="B169" s="105" t="s">
        <v>1043</v>
      </c>
      <c r="C169" s="105" t="s">
        <v>486</v>
      </c>
      <c r="D169" s="105" t="s">
        <v>487</v>
      </c>
      <c r="E169" s="105" t="s">
        <v>143</v>
      </c>
      <c r="F169" s="108">
        <v>1</v>
      </c>
      <c r="G169" s="107">
        <v>16000</v>
      </c>
      <c r="H169" s="95">
        <f t="shared" si="2"/>
        <v>3393.6000000000004</v>
      </c>
      <c r="I169" s="37"/>
    </row>
    <row r="170" spans="1:9" s="21" customFormat="1" ht="15.75" customHeight="1">
      <c r="A170" s="94">
        <v>165</v>
      </c>
      <c r="B170" s="105" t="s">
        <v>1043</v>
      </c>
      <c r="C170" s="105" t="s">
        <v>238</v>
      </c>
      <c r="D170" s="105" t="s">
        <v>725</v>
      </c>
      <c r="E170" s="105" t="s">
        <v>143</v>
      </c>
      <c r="F170" s="108">
        <v>1</v>
      </c>
      <c r="G170" s="107">
        <v>35000</v>
      </c>
      <c r="H170" s="95">
        <f t="shared" si="2"/>
        <v>7423.5</v>
      </c>
      <c r="I170" s="37"/>
    </row>
    <row r="171" spans="1:9" s="21" customFormat="1" ht="15.75" customHeight="1">
      <c r="A171" s="94">
        <v>166</v>
      </c>
      <c r="B171" s="105" t="s">
        <v>1037</v>
      </c>
      <c r="C171" s="105" t="s">
        <v>486</v>
      </c>
      <c r="D171" s="105" t="s">
        <v>487</v>
      </c>
      <c r="E171" s="105" t="s">
        <v>143</v>
      </c>
      <c r="F171" s="108">
        <v>1</v>
      </c>
      <c r="G171" s="107">
        <v>16000</v>
      </c>
      <c r="H171" s="95">
        <f t="shared" si="2"/>
        <v>3393.6000000000004</v>
      </c>
      <c r="I171" s="37"/>
    </row>
    <row r="172" spans="1:9" s="21" customFormat="1" ht="15.75" customHeight="1">
      <c r="A172" s="94">
        <v>167</v>
      </c>
      <c r="B172" s="105" t="s">
        <v>1037</v>
      </c>
      <c r="C172" s="105" t="s">
        <v>499</v>
      </c>
      <c r="D172" s="105" t="s">
        <v>104</v>
      </c>
      <c r="E172" s="105" t="s">
        <v>143</v>
      </c>
      <c r="F172" s="108">
        <v>1</v>
      </c>
      <c r="G172" s="107">
        <v>35000</v>
      </c>
      <c r="H172" s="95">
        <f t="shared" si="2"/>
        <v>7423.5</v>
      </c>
      <c r="I172" s="37"/>
    </row>
    <row r="173" spans="1:9" s="21" customFormat="1" ht="15.75" customHeight="1">
      <c r="A173" s="94">
        <v>168</v>
      </c>
      <c r="B173" s="105" t="s">
        <v>1037</v>
      </c>
      <c r="C173" s="105" t="s">
        <v>298</v>
      </c>
      <c r="D173" s="105" t="s">
        <v>107</v>
      </c>
      <c r="E173" s="105" t="s">
        <v>143</v>
      </c>
      <c r="F173" s="108">
        <v>1</v>
      </c>
      <c r="G173" s="107">
        <v>35000</v>
      </c>
      <c r="H173" s="95">
        <f t="shared" si="2"/>
        <v>7423.5</v>
      </c>
      <c r="I173" s="37"/>
    </row>
    <row r="174" spans="1:9" s="21" customFormat="1" ht="15.75" customHeight="1">
      <c r="A174" s="94">
        <v>169</v>
      </c>
      <c r="B174" s="105" t="s">
        <v>1037</v>
      </c>
      <c r="C174" s="105" t="s">
        <v>238</v>
      </c>
      <c r="D174" s="105" t="s">
        <v>725</v>
      </c>
      <c r="E174" s="105" t="s">
        <v>143</v>
      </c>
      <c r="F174" s="108">
        <v>1</v>
      </c>
      <c r="G174" s="107">
        <v>35000</v>
      </c>
      <c r="H174" s="95">
        <f t="shared" si="2"/>
        <v>7423.5</v>
      </c>
      <c r="I174" s="37"/>
    </row>
    <row r="175" spans="1:9" s="21" customFormat="1" ht="15.75" customHeight="1">
      <c r="A175" s="94">
        <v>170</v>
      </c>
      <c r="B175" s="105" t="s">
        <v>1076</v>
      </c>
      <c r="C175" s="105" t="s">
        <v>236</v>
      </c>
      <c r="D175" s="105" t="s">
        <v>730</v>
      </c>
      <c r="E175" s="105" t="s">
        <v>143</v>
      </c>
      <c r="F175" s="108">
        <v>1</v>
      </c>
      <c r="G175" s="107">
        <v>35000</v>
      </c>
      <c r="H175" s="95">
        <f t="shared" si="2"/>
        <v>7423.5</v>
      </c>
      <c r="I175" s="37"/>
    </row>
    <row r="176" spans="1:9" s="21" customFormat="1" ht="15.75" customHeight="1">
      <c r="A176" s="94">
        <v>171</v>
      </c>
      <c r="B176" s="105" t="s">
        <v>1041</v>
      </c>
      <c r="C176" s="105" t="s">
        <v>486</v>
      </c>
      <c r="D176" s="105" t="s">
        <v>487</v>
      </c>
      <c r="E176" s="105" t="s">
        <v>143</v>
      </c>
      <c r="F176" s="108">
        <v>1</v>
      </c>
      <c r="G176" s="107">
        <v>16000</v>
      </c>
      <c r="H176" s="95">
        <f t="shared" si="2"/>
        <v>3393.6000000000004</v>
      </c>
      <c r="I176" s="37"/>
    </row>
    <row r="177" spans="1:9" s="21" customFormat="1" ht="15.75" customHeight="1">
      <c r="A177" s="94">
        <v>172</v>
      </c>
      <c r="B177" s="105" t="s">
        <v>1030</v>
      </c>
      <c r="C177" s="105" t="s">
        <v>486</v>
      </c>
      <c r="D177" s="105" t="s">
        <v>487</v>
      </c>
      <c r="E177" s="105" t="s">
        <v>143</v>
      </c>
      <c r="F177" s="108">
        <v>1</v>
      </c>
      <c r="G177" s="107">
        <v>16000</v>
      </c>
      <c r="H177" s="95">
        <f t="shared" si="2"/>
        <v>3393.6000000000004</v>
      </c>
      <c r="I177" s="37"/>
    </row>
    <row r="178" spans="1:9" s="21" customFormat="1" ht="15.75" customHeight="1">
      <c r="A178" s="94">
        <v>173</v>
      </c>
      <c r="B178" s="105" t="s">
        <v>1030</v>
      </c>
      <c r="C178" s="105" t="s">
        <v>499</v>
      </c>
      <c r="D178" s="105" t="s">
        <v>104</v>
      </c>
      <c r="E178" s="105" t="s">
        <v>143</v>
      </c>
      <c r="F178" s="108">
        <v>1</v>
      </c>
      <c r="G178" s="107">
        <v>35000</v>
      </c>
      <c r="H178" s="95">
        <f t="shared" si="2"/>
        <v>7423.5</v>
      </c>
      <c r="I178" s="37"/>
    </row>
    <row r="179" spans="1:9" s="21" customFormat="1" ht="15.75" customHeight="1">
      <c r="A179" s="94">
        <v>174</v>
      </c>
      <c r="B179" s="105" t="s">
        <v>1030</v>
      </c>
      <c r="C179" s="105" t="s">
        <v>298</v>
      </c>
      <c r="D179" s="105" t="s">
        <v>107</v>
      </c>
      <c r="E179" s="105" t="s">
        <v>143</v>
      </c>
      <c r="F179" s="108">
        <v>1</v>
      </c>
      <c r="G179" s="107">
        <v>35000</v>
      </c>
      <c r="H179" s="95">
        <f t="shared" si="2"/>
        <v>7423.5</v>
      </c>
      <c r="I179" s="37"/>
    </row>
    <row r="180" spans="1:9" s="21" customFormat="1" ht="15.75" customHeight="1">
      <c r="A180" s="94">
        <v>175</v>
      </c>
      <c r="B180" s="105" t="s">
        <v>1030</v>
      </c>
      <c r="C180" s="105" t="s">
        <v>712</v>
      </c>
      <c r="D180" s="105" t="s">
        <v>101</v>
      </c>
      <c r="E180" s="105" t="s">
        <v>143</v>
      </c>
      <c r="F180" s="108">
        <v>1</v>
      </c>
      <c r="G180" s="107">
        <v>35000</v>
      </c>
      <c r="H180" s="95">
        <f t="shared" si="2"/>
        <v>7423.5</v>
      </c>
      <c r="I180" s="37"/>
    </row>
    <row r="181" spans="1:9" s="21" customFormat="1" ht="15.75" customHeight="1">
      <c r="A181" s="94">
        <v>176</v>
      </c>
      <c r="B181" s="105" t="s">
        <v>1030</v>
      </c>
      <c r="C181" s="105" t="s">
        <v>238</v>
      </c>
      <c r="D181" s="105" t="s">
        <v>725</v>
      </c>
      <c r="E181" s="105" t="s">
        <v>143</v>
      </c>
      <c r="F181" s="108">
        <v>1</v>
      </c>
      <c r="G181" s="107">
        <v>35000</v>
      </c>
      <c r="H181" s="95">
        <f t="shared" si="2"/>
        <v>7423.5</v>
      </c>
      <c r="I181" s="37"/>
    </row>
    <row r="182" spans="1:9" s="21" customFormat="1" ht="15.75" customHeight="1">
      <c r="A182" s="94">
        <v>177</v>
      </c>
      <c r="B182" s="105" t="s">
        <v>1030</v>
      </c>
      <c r="C182" s="105" t="s">
        <v>236</v>
      </c>
      <c r="D182" s="105" t="s">
        <v>730</v>
      </c>
      <c r="E182" s="105" t="s">
        <v>143</v>
      </c>
      <c r="F182" s="108">
        <v>1</v>
      </c>
      <c r="G182" s="107">
        <v>35000</v>
      </c>
      <c r="H182" s="95">
        <f t="shared" si="2"/>
        <v>7423.5</v>
      </c>
      <c r="I182" s="37"/>
    </row>
    <row r="183" spans="1:9" s="21" customFormat="1" ht="15.75" customHeight="1">
      <c r="A183" s="94">
        <v>178</v>
      </c>
      <c r="B183" s="105" t="s">
        <v>1073</v>
      </c>
      <c r="C183" s="105" t="s">
        <v>712</v>
      </c>
      <c r="D183" s="105" t="s">
        <v>101</v>
      </c>
      <c r="E183" s="105" t="s">
        <v>143</v>
      </c>
      <c r="F183" s="108">
        <v>1</v>
      </c>
      <c r="G183" s="107">
        <v>35000</v>
      </c>
      <c r="H183" s="95">
        <f t="shared" si="2"/>
        <v>7423.5</v>
      </c>
      <c r="I183" s="37"/>
    </row>
    <row r="184" spans="1:9" s="21" customFormat="1" ht="15.75" customHeight="1">
      <c r="A184" s="94">
        <v>179</v>
      </c>
      <c r="B184" s="105" t="s">
        <v>1038</v>
      </c>
      <c r="C184" s="105" t="s">
        <v>486</v>
      </c>
      <c r="D184" s="105" t="s">
        <v>487</v>
      </c>
      <c r="E184" s="105" t="s">
        <v>143</v>
      </c>
      <c r="F184" s="108">
        <v>1</v>
      </c>
      <c r="G184" s="107">
        <v>16000</v>
      </c>
      <c r="H184" s="95">
        <f t="shared" si="2"/>
        <v>3393.6000000000004</v>
      </c>
      <c r="I184" s="37"/>
    </row>
    <row r="185" spans="1:9" s="21" customFormat="1" ht="15.75" customHeight="1">
      <c r="A185" s="94">
        <v>180</v>
      </c>
      <c r="B185" s="105" t="s">
        <v>1051</v>
      </c>
      <c r="C185" s="105" t="s">
        <v>499</v>
      </c>
      <c r="D185" s="105" t="s">
        <v>104</v>
      </c>
      <c r="E185" s="105" t="s">
        <v>143</v>
      </c>
      <c r="F185" s="108">
        <v>1</v>
      </c>
      <c r="G185" s="107">
        <v>35000</v>
      </c>
      <c r="H185" s="95">
        <f t="shared" si="2"/>
        <v>7423.5</v>
      </c>
      <c r="I185" s="37"/>
    </row>
    <row r="186" spans="1:9" s="21" customFormat="1" ht="15.75" customHeight="1">
      <c r="A186" s="94">
        <v>181</v>
      </c>
      <c r="B186" s="105" t="s">
        <v>1031</v>
      </c>
      <c r="C186" s="105" t="s">
        <v>486</v>
      </c>
      <c r="D186" s="105" t="s">
        <v>487</v>
      </c>
      <c r="E186" s="105" t="s">
        <v>143</v>
      </c>
      <c r="F186" s="108">
        <v>1</v>
      </c>
      <c r="G186" s="107">
        <v>16000</v>
      </c>
      <c r="H186" s="95">
        <f t="shared" si="2"/>
        <v>3393.6000000000004</v>
      </c>
      <c r="I186" s="37"/>
    </row>
    <row r="187" spans="1:9" s="21" customFormat="1" ht="15.75" customHeight="1">
      <c r="A187" s="94">
        <v>182</v>
      </c>
      <c r="B187" s="105" t="s">
        <v>1031</v>
      </c>
      <c r="C187" s="105" t="s">
        <v>712</v>
      </c>
      <c r="D187" s="105" t="s">
        <v>101</v>
      </c>
      <c r="E187" s="105" t="s">
        <v>143</v>
      </c>
      <c r="F187" s="108">
        <v>1</v>
      </c>
      <c r="G187" s="107">
        <v>35000</v>
      </c>
      <c r="H187" s="95">
        <f t="shared" si="2"/>
        <v>7423.5</v>
      </c>
      <c r="I187" s="37"/>
    </row>
    <row r="188" spans="1:9" s="21" customFormat="1" ht="15.75" customHeight="1">
      <c r="A188" s="94">
        <v>183</v>
      </c>
      <c r="B188" s="105" t="s">
        <v>1031</v>
      </c>
      <c r="C188" s="105" t="s">
        <v>752</v>
      </c>
      <c r="D188" s="105" t="s">
        <v>117</v>
      </c>
      <c r="E188" s="105" t="s">
        <v>143</v>
      </c>
      <c r="F188" s="108">
        <v>1</v>
      </c>
      <c r="G188" s="107">
        <v>16000</v>
      </c>
      <c r="H188" s="95">
        <f t="shared" si="2"/>
        <v>3393.6000000000004</v>
      </c>
      <c r="I188" s="37"/>
    </row>
    <row r="189" spans="1:9" s="21" customFormat="1" ht="15.75" customHeight="1">
      <c r="A189" s="94">
        <v>184</v>
      </c>
      <c r="B189" s="105" t="s">
        <v>1031</v>
      </c>
      <c r="C189" s="105" t="s">
        <v>499</v>
      </c>
      <c r="D189" s="105" t="s">
        <v>104</v>
      </c>
      <c r="E189" s="105" t="s">
        <v>143</v>
      </c>
      <c r="F189" s="108">
        <v>1</v>
      </c>
      <c r="G189" s="107">
        <v>16000</v>
      </c>
      <c r="H189" s="95">
        <f t="shared" si="2"/>
        <v>3393.6000000000004</v>
      </c>
      <c r="I189" s="37"/>
    </row>
    <row r="190" spans="1:9" s="21" customFormat="1" ht="15.75" customHeight="1">
      <c r="A190" s="94">
        <v>185</v>
      </c>
      <c r="B190" s="105" t="s">
        <v>806</v>
      </c>
      <c r="C190" s="105" t="s">
        <v>486</v>
      </c>
      <c r="D190" s="105" t="s">
        <v>487</v>
      </c>
      <c r="E190" s="105" t="s">
        <v>143</v>
      </c>
      <c r="F190" s="108">
        <v>1</v>
      </c>
      <c r="G190" s="107">
        <v>16000</v>
      </c>
      <c r="H190" s="95">
        <f t="shared" si="2"/>
        <v>3393.6000000000004</v>
      </c>
      <c r="I190" s="37"/>
    </row>
    <row r="191" spans="1:9" s="21" customFormat="1" ht="15.75" customHeight="1">
      <c r="A191" s="94">
        <v>186</v>
      </c>
      <c r="B191" s="105" t="s">
        <v>1039</v>
      </c>
      <c r="C191" s="105" t="s">
        <v>486</v>
      </c>
      <c r="D191" s="105" t="s">
        <v>487</v>
      </c>
      <c r="E191" s="105" t="s">
        <v>143</v>
      </c>
      <c r="F191" s="108">
        <v>1</v>
      </c>
      <c r="G191" s="107">
        <v>16000</v>
      </c>
      <c r="H191" s="95">
        <f t="shared" si="2"/>
        <v>3393.6000000000004</v>
      </c>
      <c r="I191" s="37"/>
    </row>
    <row r="192" spans="1:9" s="21" customFormat="1" ht="15.75" customHeight="1">
      <c r="A192" s="94">
        <v>187</v>
      </c>
      <c r="B192" s="105" t="s">
        <v>1039</v>
      </c>
      <c r="C192" s="105" t="s">
        <v>499</v>
      </c>
      <c r="D192" s="105" t="s">
        <v>104</v>
      </c>
      <c r="E192" s="105" t="s">
        <v>143</v>
      </c>
      <c r="F192" s="108">
        <v>1</v>
      </c>
      <c r="G192" s="107">
        <v>35000</v>
      </c>
      <c r="H192" s="95">
        <f t="shared" si="2"/>
        <v>7423.5</v>
      </c>
      <c r="I192" s="37"/>
    </row>
    <row r="193" spans="1:9" s="21" customFormat="1" ht="15.75" customHeight="1">
      <c r="A193" s="94">
        <v>188</v>
      </c>
      <c r="B193" s="105" t="s">
        <v>1039</v>
      </c>
      <c r="C193" s="105" t="s">
        <v>712</v>
      </c>
      <c r="D193" s="105" t="s">
        <v>101</v>
      </c>
      <c r="E193" s="105" t="s">
        <v>143</v>
      </c>
      <c r="F193" s="108">
        <v>1</v>
      </c>
      <c r="G193" s="107">
        <v>16000</v>
      </c>
      <c r="H193" s="95">
        <f t="shared" si="2"/>
        <v>3393.6000000000004</v>
      </c>
      <c r="I193" s="37"/>
    </row>
    <row r="194" spans="1:9" s="21" customFormat="1" ht="15.75" customHeight="1">
      <c r="A194" s="94">
        <v>189</v>
      </c>
      <c r="B194" s="105" t="s">
        <v>1047</v>
      </c>
      <c r="C194" s="105" t="s">
        <v>486</v>
      </c>
      <c r="D194" s="105" t="s">
        <v>487</v>
      </c>
      <c r="E194" s="105" t="s">
        <v>143</v>
      </c>
      <c r="F194" s="108">
        <v>1</v>
      </c>
      <c r="G194" s="107">
        <v>16000</v>
      </c>
      <c r="H194" s="95">
        <f t="shared" si="2"/>
        <v>3393.6000000000004</v>
      </c>
      <c r="I194" s="37"/>
    </row>
    <row r="195" spans="1:9" s="21" customFormat="1" ht="15.75" customHeight="1">
      <c r="A195" s="94">
        <v>190</v>
      </c>
      <c r="B195" s="105" t="s">
        <v>1047</v>
      </c>
      <c r="C195" s="105" t="s">
        <v>712</v>
      </c>
      <c r="D195" s="105" t="s">
        <v>101</v>
      </c>
      <c r="E195" s="105" t="s">
        <v>143</v>
      </c>
      <c r="F195" s="108">
        <v>1</v>
      </c>
      <c r="G195" s="107">
        <v>16000</v>
      </c>
      <c r="H195" s="95">
        <f t="shared" si="2"/>
        <v>3393.6000000000004</v>
      </c>
      <c r="I195" s="37"/>
    </row>
    <row r="196" spans="1:9" s="21" customFormat="1" ht="15.75" customHeight="1">
      <c r="A196" s="94">
        <v>191</v>
      </c>
      <c r="B196" s="105" t="s">
        <v>1047</v>
      </c>
      <c r="C196" s="105" t="s">
        <v>752</v>
      </c>
      <c r="D196" s="105" t="s">
        <v>117</v>
      </c>
      <c r="E196" s="105" t="s">
        <v>143</v>
      </c>
      <c r="F196" s="108">
        <v>1</v>
      </c>
      <c r="G196" s="107">
        <v>16000</v>
      </c>
      <c r="H196" s="95">
        <f t="shared" si="2"/>
        <v>3393.6000000000004</v>
      </c>
      <c r="I196" s="37"/>
    </row>
    <row r="197" spans="1:9" s="21" customFormat="1" ht="15.75" customHeight="1">
      <c r="A197" s="94">
        <v>192</v>
      </c>
      <c r="B197" s="105" t="s">
        <v>1034</v>
      </c>
      <c r="C197" s="105" t="s">
        <v>486</v>
      </c>
      <c r="D197" s="105" t="s">
        <v>487</v>
      </c>
      <c r="E197" s="105" t="s">
        <v>143</v>
      </c>
      <c r="F197" s="108">
        <v>1</v>
      </c>
      <c r="G197" s="107">
        <v>16000</v>
      </c>
      <c r="H197" s="95">
        <f t="shared" si="2"/>
        <v>3393.6000000000004</v>
      </c>
      <c r="I197" s="37"/>
    </row>
    <row r="198" spans="1:9" s="21" customFormat="1" ht="15.75" customHeight="1">
      <c r="A198" s="94">
        <v>193</v>
      </c>
      <c r="B198" s="105" t="s">
        <v>1016</v>
      </c>
      <c r="C198" s="105" t="s">
        <v>486</v>
      </c>
      <c r="D198" s="105" t="s">
        <v>487</v>
      </c>
      <c r="E198" s="105" t="s">
        <v>143</v>
      </c>
      <c r="F198" s="108">
        <v>1</v>
      </c>
      <c r="G198" s="107">
        <v>16000</v>
      </c>
      <c r="H198" s="95">
        <f t="shared" si="2"/>
        <v>3393.6000000000004</v>
      </c>
      <c r="I198" s="37"/>
    </row>
    <row r="199" spans="1:9" customFormat="1" ht="15.75" customHeight="1">
      <c r="A199" s="94">
        <v>194</v>
      </c>
      <c r="B199" s="141" t="s">
        <v>1016</v>
      </c>
      <c r="C199" s="141" t="s">
        <v>712</v>
      </c>
      <c r="D199" s="141" t="s">
        <v>101</v>
      </c>
      <c r="E199" s="141" t="s">
        <v>143</v>
      </c>
      <c r="F199" s="142">
        <v>1</v>
      </c>
      <c r="G199" s="142">
        <v>35000</v>
      </c>
      <c r="H199" s="95">
        <f t="shared" ref="H199:H262" si="3">G199*21.21%</f>
        <v>7423.5</v>
      </c>
    </row>
    <row r="200" spans="1:9" customFormat="1" ht="15.75" customHeight="1">
      <c r="A200" s="94">
        <v>195</v>
      </c>
      <c r="B200" s="141" t="s">
        <v>758</v>
      </c>
      <c r="C200" s="141" t="s">
        <v>486</v>
      </c>
      <c r="D200" s="141" t="s">
        <v>487</v>
      </c>
      <c r="E200" s="141" t="s">
        <v>143</v>
      </c>
      <c r="F200" s="142">
        <v>1</v>
      </c>
      <c r="G200" s="142">
        <v>16000</v>
      </c>
      <c r="H200" s="95">
        <f t="shared" si="3"/>
        <v>3393.6000000000004</v>
      </c>
    </row>
    <row r="201" spans="1:9" customFormat="1" ht="15.75" customHeight="1">
      <c r="A201" s="94">
        <v>196</v>
      </c>
      <c r="B201" s="141" t="s">
        <v>758</v>
      </c>
      <c r="C201" s="141" t="s">
        <v>712</v>
      </c>
      <c r="D201" s="141" t="s">
        <v>101</v>
      </c>
      <c r="E201" s="141" t="s">
        <v>143</v>
      </c>
      <c r="F201" s="142">
        <v>1</v>
      </c>
      <c r="G201" s="142">
        <v>16000</v>
      </c>
      <c r="H201" s="95">
        <f t="shared" si="3"/>
        <v>3393.6000000000004</v>
      </c>
    </row>
    <row r="202" spans="1:9" customFormat="1" ht="15.75" customHeight="1">
      <c r="A202" s="94">
        <v>197</v>
      </c>
      <c r="B202" s="141" t="s">
        <v>758</v>
      </c>
      <c r="C202" s="141" t="s">
        <v>752</v>
      </c>
      <c r="D202" s="141" t="s">
        <v>117</v>
      </c>
      <c r="E202" s="141" t="s">
        <v>143</v>
      </c>
      <c r="F202" s="142">
        <v>1</v>
      </c>
      <c r="G202" s="142">
        <v>16000</v>
      </c>
      <c r="H202" s="95">
        <f t="shared" si="3"/>
        <v>3393.6000000000004</v>
      </c>
    </row>
    <row r="203" spans="1:9" customFormat="1" ht="15.75" customHeight="1">
      <c r="A203" s="94">
        <v>198</v>
      </c>
      <c r="B203" s="141" t="s">
        <v>1045</v>
      </c>
      <c r="C203" s="141" t="s">
        <v>486</v>
      </c>
      <c r="D203" s="141" t="s">
        <v>487</v>
      </c>
      <c r="E203" s="141" t="s">
        <v>143</v>
      </c>
      <c r="F203" s="142">
        <v>1</v>
      </c>
      <c r="G203" s="142">
        <v>16000</v>
      </c>
      <c r="H203" s="95">
        <f t="shared" si="3"/>
        <v>3393.6000000000004</v>
      </c>
    </row>
    <row r="204" spans="1:9" customFormat="1" ht="15.75" customHeight="1">
      <c r="A204" s="94">
        <v>199</v>
      </c>
      <c r="B204" s="141" t="s">
        <v>1053</v>
      </c>
      <c r="C204" s="141" t="s">
        <v>499</v>
      </c>
      <c r="D204" s="141" t="s">
        <v>104</v>
      </c>
      <c r="E204" s="141" t="s">
        <v>143</v>
      </c>
      <c r="F204" s="142">
        <v>1</v>
      </c>
      <c r="G204" s="142">
        <v>35000</v>
      </c>
      <c r="H204" s="95">
        <f t="shared" si="3"/>
        <v>7423.5</v>
      </c>
    </row>
    <row r="205" spans="1:9" customFormat="1" ht="15.75" customHeight="1">
      <c r="A205" s="94">
        <v>200</v>
      </c>
      <c r="B205" s="141" t="s">
        <v>1042</v>
      </c>
      <c r="C205" s="141" t="s">
        <v>486</v>
      </c>
      <c r="D205" s="141" t="s">
        <v>487</v>
      </c>
      <c r="E205" s="141" t="s">
        <v>143</v>
      </c>
      <c r="F205" s="142">
        <v>1</v>
      </c>
      <c r="G205" s="142">
        <v>16000</v>
      </c>
      <c r="H205" s="95">
        <f t="shared" si="3"/>
        <v>3393.6000000000004</v>
      </c>
    </row>
    <row r="206" spans="1:9" customFormat="1" ht="15.75" customHeight="1">
      <c r="A206" s="94">
        <v>201</v>
      </c>
      <c r="B206" s="141" t="s">
        <v>756</v>
      </c>
      <c r="C206" s="141" t="s">
        <v>499</v>
      </c>
      <c r="D206" s="141" t="s">
        <v>104</v>
      </c>
      <c r="E206" s="141" t="s">
        <v>143</v>
      </c>
      <c r="F206" s="142">
        <v>1</v>
      </c>
      <c r="G206" s="142">
        <v>35000</v>
      </c>
      <c r="H206" s="95">
        <f t="shared" si="3"/>
        <v>7423.5</v>
      </c>
    </row>
    <row r="207" spans="1:9" customFormat="1" ht="15.75" customHeight="1">
      <c r="A207" s="94">
        <v>202</v>
      </c>
      <c r="B207" s="141" t="s">
        <v>756</v>
      </c>
      <c r="C207" s="141" t="s">
        <v>581</v>
      </c>
      <c r="D207" s="141" t="s">
        <v>582</v>
      </c>
      <c r="E207" s="141" t="s">
        <v>143</v>
      </c>
      <c r="F207" s="142">
        <v>1</v>
      </c>
      <c r="G207" s="142">
        <v>16000</v>
      </c>
      <c r="H207" s="95">
        <f t="shared" si="3"/>
        <v>3393.6000000000004</v>
      </c>
    </row>
    <row r="208" spans="1:9" customFormat="1" ht="15.75" customHeight="1">
      <c r="A208" s="94">
        <v>203</v>
      </c>
      <c r="B208" s="141" t="s">
        <v>1032</v>
      </c>
      <c r="C208" s="141" t="s">
        <v>486</v>
      </c>
      <c r="D208" s="141" t="s">
        <v>487</v>
      </c>
      <c r="E208" s="141" t="s">
        <v>143</v>
      </c>
      <c r="F208" s="142">
        <v>1</v>
      </c>
      <c r="G208" s="142">
        <v>16000</v>
      </c>
      <c r="H208" s="95">
        <f t="shared" si="3"/>
        <v>3393.6000000000004</v>
      </c>
    </row>
    <row r="209" spans="1:8" customFormat="1" ht="15.75" customHeight="1">
      <c r="A209" s="94">
        <v>204</v>
      </c>
      <c r="B209" s="141" t="s">
        <v>1032</v>
      </c>
      <c r="C209" s="141" t="s">
        <v>499</v>
      </c>
      <c r="D209" s="141" t="s">
        <v>104</v>
      </c>
      <c r="E209" s="141" t="s">
        <v>143</v>
      </c>
      <c r="F209" s="142">
        <v>1</v>
      </c>
      <c r="G209" s="142">
        <v>35000</v>
      </c>
      <c r="H209" s="95">
        <f t="shared" si="3"/>
        <v>7423.5</v>
      </c>
    </row>
    <row r="210" spans="1:8" customFormat="1" ht="15.75" customHeight="1">
      <c r="A210" s="94">
        <v>205</v>
      </c>
      <c r="B210" s="141" t="s">
        <v>1032</v>
      </c>
      <c r="C210" s="141" t="s">
        <v>581</v>
      </c>
      <c r="D210" s="141" t="s">
        <v>582</v>
      </c>
      <c r="E210" s="141" t="s">
        <v>143</v>
      </c>
      <c r="F210" s="142">
        <v>1</v>
      </c>
      <c r="G210" s="142">
        <v>16000</v>
      </c>
      <c r="H210" s="95">
        <f t="shared" si="3"/>
        <v>3393.6000000000004</v>
      </c>
    </row>
    <row r="211" spans="1:8" customFormat="1" ht="15.75" customHeight="1">
      <c r="A211" s="94">
        <v>206</v>
      </c>
      <c r="B211" s="141" t="s">
        <v>755</v>
      </c>
      <c r="C211" s="141" t="s">
        <v>486</v>
      </c>
      <c r="D211" s="141" t="s">
        <v>487</v>
      </c>
      <c r="E211" s="141" t="s">
        <v>143</v>
      </c>
      <c r="F211" s="142">
        <v>1</v>
      </c>
      <c r="G211" s="142">
        <v>16000</v>
      </c>
      <c r="H211" s="95">
        <f t="shared" si="3"/>
        <v>3393.6000000000004</v>
      </c>
    </row>
    <row r="212" spans="1:8" customFormat="1" ht="15.75" customHeight="1">
      <c r="A212" s="94">
        <v>207</v>
      </c>
      <c r="B212" s="141" t="s">
        <v>755</v>
      </c>
      <c r="C212" s="141" t="s">
        <v>499</v>
      </c>
      <c r="D212" s="141" t="s">
        <v>104</v>
      </c>
      <c r="E212" s="141" t="s">
        <v>143</v>
      </c>
      <c r="F212" s="142">
        <v>1</v>
      </c>
      <c r="G212" s="142">
        <v>35000</v>
      </c>
      <c r="H212" s="95">
        <f t="shared" si="3"/>
        <v>7423.5</v>
      </c>
    </row>
    <row r="213" spans="1:8" customFormat="1" ht="15.75" customHeight="1">
      <c r="A213" s="94">
        <v>208</v>
      </c>
      <c r="B213" s="141" t="s">
        <v>755</v>
      </c>
      <c r="C213" s="141" t="s">
        <v>581</v>
      </c>
      <c r="D213" s="141" t="s">
        <v>582</v>
      </c>
      <c r="E213" s="141" t="s">
        <v>143</v>
      </c>
      <c r="F213" s="142">
        <v>1</v>
      </c>
      <c r="G213" s="142">
        <v>16000</v>
      </c>
      <c r="H213" s="95">
        <f t="shared" si="3"/>
        <v>3393.6000000000004</v>
      </c>
    </row>
    <row r="214" spans="1:8" customFormat="1" ht="15.75" customHeight="1">
      <c r="A214" s="94">
        <v>209</v>
      </c>
      <c r="B214" s="141" t="s">
        <v>1033</v>
      </c>
      <c r="C214" s="141" t="s">
        <v>486</v>
      </c>
      <c r="D214" s="141" t="s">
        <v>487</v>
      </c>
      <c r="E214" s="141" t="s">
        <v>143</v>
      </c>
      <c r="F214" s="142">
        <v>1</v>
      </c>
      <c r="G214" s="142">
        <v>16000</v>
      </c>
      <c r="H214" s="95">
        <f t="shared" si="3"/>
        <v>3393.6000000000004</v>
      </c>
    </row>
    <row r="215" spans="1:8" customFormat="1" ht="15.75" customHeight="1">
      <c r="A215" s="94">
        <v>210</v>
      </c>
      <c r="B215" s="141" t="s">
        <v>1048</v>
      </c>
      <c r="C215" s="141" t="s">
        <v>486</v>
      </c>
      <c r="D215" s="141" t="s">
        <v>487</v>
      </c>
      <c r="E215" s="141" t="s">
        <v>143</v>
      </c>
      <c r="F215" s="142">
        <v>1</v>
      </c>
      <c r="G215" s="142">
        <v>16000</v>
      </c>
      <c r="H215" s="95">
        <f t="shared" si="3"/>
        <v>3393.6000000000004</v>
      </c>
    </row>
    <row r="216" spans="1:8" customFormat="1" ht="15.75" customHeight="1">
      <c r="A216" s="94">
        <v>211</v>
      </c>
      <c r="B216" s="141" t="s">
        <v>583</v>
      </c>
      <c r="C216" s="141" t="s">
        <v>581</v>
      </c>
      <c r="D216" s="141" t="s">
        <v>582</v>
      </c>
      <c r="E216" s="141" t="s">
        <v>143</v>
      </c>
      <c r="F216" s="142">
        <v>1</v>
      </c>
      <c r="G216" s="142">
        <v>16000</v>
      </c>
      <c r="H216" s="95">
        <f t="shared" si="3"/>
        <v>3393.6000000000004</v>
      </c>
    </row>
    <row r="217" spans="1:8" customFormat="1" ht="15.75" customHeight="1">
      <c r="A217" s="94">
        <v>212</v>
      </c>
      <c r="B217" s="141" t="s">
        <v>754</v>
      </c>
      <c r="C217" s="141" t="s">
        <v>486</v>
      </c>
      <c r="D217" s="141" t="s">
        <v>487</v>
      </c>
      <c r="E217" s="141" t="s">
        <v>143</v>
      </c>
      <c r="F217" s="142">
        <v>1</v>
      </c>
      <c r="G217" s="142">
        <v>16000</v>
      </c>
      <c r="H217" s="95">
        <f t="shared" si="3"/>
        <v>3393.6000000000004</v>
      </c>
    </row>
    <row r="218" spans="1:8" customFormat="1" ht="15.75" customHeight="1">
      <c r="A218" s="94">
        <v>213</v>
      </c>
      <c r="B218" s="141" t="s">
        <v>754</v>
      </c>
      <c r="C218" s="141" t="s">
        <v>499</v>
      </c>
      <c r="D218" s="141" t="s">
        <v>104</v>
      </c>
      <c r="E218" s="141" t="s">
        <v>143</v>
      </c>
      <c r="F218" s="142">
        <v>1</v>
      </c>
      <c r="G218" s="142">
        <v>35000</v>
      </c>
      <c r="H218" s="95">
        <f t="shared" si="3"/>
        <v>7423.5</v>
      </c>
    </row>
    <row r="219" spans="1:8" customFormat="1" ht="15.75" customHeight="1">
      <c r="A219" s="94">
        <v>214</v>
      </c>
      <c r="B219" s="141" t="s">
        <v>754</v>
      </c>
      <c r="C219" s="141" t="s">
        <v>581</v>
      </c>
      <c r="D219" s="141" t="s">
        <v>582</v>
      </c>
      <c r="E219" s="141" t="s">
        <v>143</v>
      </c>
      <c r="F219" s="142">
        <v>1</v>
      </c>
      <c r="G219" s="142">
        <v>16000</v>
      </c>
      <c r="H219" s="95">
        <f t="shared" si="3"/>
        <v>3393.6000000000004</v>
      </c>
    </row>
    <row r="220" spans="1:8" customFormat="1" ht="15.75" customHeight="1">
      <c r="A220" s="94">
        <v>215</v>
      </c>
      <c r="B220" s="141" t="s">
        <v>754</v>
      </c>
      <c r="C220" s="141" t="s">
        <v>611</v>
      </c>
      <c r="D220" s="141" t="s">
        <v>96</v>
      </c>
      <c r="E220" s="141" t="s">
        <v>143</v>
      </c>
      <c r="F220" s="142">
        <v>1</v>
      </c>
      <c r="G220" s="142">
        <v>35000</v>
      </c>
      <c r="H220" s="95">
        <f t="shared" si="3"/>
        <v>7423.5</v>
      </c>
    </row>
    <row r="221" spans="1:8" customFormat="1" ht="15.75" customHeight="1">
      <c r="A221" s="94">
        <v>216</v>
      </c>
      <c r="B221" s="141" t="s">
        <v>1046</v>
      </c>
      <c r="C221" s="141" t="s">
        <v>486</v>
      </c>
      <c r="D221" s="141" t="s">
        <v>487</v>
      </c>
      <c r="E221" s="141" t="s">
        <v>143</v>
      </c>
      <c r="F221" s="142">
        <v>1</v>
      </c>
      <c r="G221" s="142">
        <v>16000</v>
      </c>
      <c r="H221" s="95">
        <f t="shared" si="3"/>
        <v>3393.6000000000004</v>
      </c>
    </row>
    <row r="222" spans="1:8" customFormat="1" ht="15.75" customHeight="1">
      <c r="A222" s="94">
        <v>217</v>
      </c>
      <c r="B222" s="141" t="s">
        <v>1040</v>
      </c>
      <c r="C222" s="141" t="s">
        <v>486</v>
      </c>
      <c r="D222" s="141" t="s">
        <v>487</v>
      </c>
      <c r="E222" s="141" t="s">
        <v>143</v>
      </c>
      <c r="F222" s="142">
        <v>1</v>
      </c>
      <c r="G222" s="142">
        <v>16000</v>
      </c>
      <c r="H222" s="95">
        <f t="shared" si="3"/>
        <v>3393.6000000000004</v>
      </c>
    </row>
    <row r="223" spans="1:8" customFormat="1" ht="15.75" customHeight="1">
      <c r="A223" s="94">
        <v>218</v>
      </c>
      <c r="B223" s="141" t="s">
        <v>1040</v>
      </c>
      <c r="C223" s="141" t="s">
        <v>581</v>
      </c>
      <c r="D223" s="141" t="s">
        <v>582</v>
      </c>
      <c r="E223" s="141" t="s">
        <v>143</v>
      </c>
      <c r="F223" s="142">
        <v>1</v>
      </c>
      <c r="G223" s="142">
        <v>16000</v>
      </c>
      <c r="H223" s="95">
        <f t="shared" si="3"/>
        <v>3393.6000000000004</v>
      </c>
    </row>
    <row r="224" spans="1:8" customFormat="1" ht="15.75" customHeight="1">
      <c r="A224" s="94">
        <v>219</v>
      </c>
      <c r="B224" s="141" t="s">
        <v>1040</v>
      </c>
      <c r="C224" s="141" t="s">
        <v>611</v>
      </c>
      <c r="D224" s="141" t="s">
        <v>96</v>
      </c>
      <c r="E224" s="141" t="s">
        <v>143</v>
      </c>
      <c r="F224" s="142">
        <v>1</v>
      </c>
      <c r="G224" s="142">
        <v>35000</v>
      </c>
      <c r="H224" s="95">
        <f t="shared" si="3"/>
        <v>7423.5</v>
      </c>
    </row>
    <row r="225" spans="1:8" customFormat="1" ht="15.75" customHeight="1">
      <c r="A225" s="94">
        <v>220</v>
      </c>
      <c r="B225" s="141" t="s">
        <v>1040</v>
      </c>
      <c r="C225" s="141" t="s">
        <v>752</v>
      </c>
      <c r="D225" s="141" t="s">
        <v>117</v>
      </c>
      <c r="E225" s="141" t="s">
        <v>143</v>
      </c>
      <c r="F225" s="142">
        <v>1</v>
      </c>
      <c r="G225" s="142">
        <v>16000</v>
      </c>
      <c r="H225" s="95">
        <f t="shared" si="3"/>
        <v>3393.6000000000004</v>
      </c>
    </row>
    <row r="226" spans="1:8" customFormat="1" ht="15.75" customHeight="1">
      <c r="A226" s="94">
        <v>221</v>
      </c>
      <c r="B226" s="141" t="s">
        <v>759</v>
      </c>
      <c r="C226" s="141" t="s">
        <v>581</v>
      </c>
      <c r="D226" s="141" t="s">
        <v>582</v>
      </c>
      <c r="E226" s="141" t="s">
        <v>143</v>
      </c>
      <c r="F226" s="142">
        <v>1</v>
      </c>
      <c r="G226" s="142">
        <v>16000</v>
      </c>
      <c r="H226" s="95">
        <f t="shared" si="3"/>
        <v>3393.6000000000004</v>
      </c>
    </row>
    <row r="227" spans="1:8" customFormat="1" ht="15.75" customHeight="1">
      <c r="A227" s="94">
        <v>222</v>
      </c>
      <c r="B227" s="141" t="s">
        <v>759</v>
      </c>
      <c r="C227" s="141" t="s">
        <v>611</v>
      </c>
      <c r="D227" s="141" t="s">
        <v>96</v>
      </c>
      <c r="E227" s="141" t="s">
        <v>143</v>
      </c>
      <c r="F227" s="142">
        <v>1</v>
      </c>
      <c r="G227" s="142">
        <v>35000</v>
      </c>
      <c r="H227" s="95">
        <f t="shared" si="3"/>
        <v>7423.5</v>
      </c>
    </row>
    <row r="228" spans="1:8" customFormat="1" ht="15.75" customHeight="1">
      <c r="A228" s="94">
        <v>223</v>
      </c>
      <c r="B228" s="141" t="s">
        <v>759</v>
      </c>
      <c r="C228" s="141" t="s">
        <v>752</v>
      </c>
      <c r="D228" s="141" t="s">
        <v>117</v>
      </c>
      <c r="E228" s="141" t="s">
        <v>143</v>
      </c>
      <c r="F228" s="142">
        <v>1</v>
      </c>
      <c r="G228" s="142">
        <v>16000</v>
      </c>
      <c r="H228" s="95">
        <f t="shared" si="3"/>
        <v>3393.6000000000004</v>
      </c>
    </row>
    <row r="229" spans="1:8" customFormat="1" ht="15.75" customHeight="1">
      <c r="A229" s="94">
        <v>224</v>
      </c>
      <c r="B229" s="141" t="s">
        <v>1066</v>
      </c>
      <c r="C229" s="141" t="s">
        <v>581</v>
      </c>
      <c r="D229" s="141" t="s">
        <v>582</v>
      </c>
      <c r="E229" s="141" t="s">
        <v>143</v>
      </c>
      <c r="F229" s="142">
        <v>1</v>
      </c>
      <c r="G229" s="142">
        <v>16000</v>
      </c>
      <c r="H229" s="95">
        <f t="shared" si="3"/>
        <v>3393.6000000000004</v>
      </c>
    </row>
    <row r="230" spans="1:8" customFormat="1" ht="15.75" customHeight="1">
      <c r="A230" s="94">
        <v>225</v>
      </c>
      <c r="B230" s="141" t="s">
        <v>1066</v>
      </c>
      <c r="C230" s="141" t="s">
        <v>752</v>
      </c>
      <c r="D230" s="141" t="s">
        <v>117</v>
      </c>
      <c r="E230" s="141" t="s">
        <v>143</v>
      </c>
      <c r="F230" s="142">
        <v>1</v>
      </c>
      <c r="G230" s="142">
        <v>35000</v>
      </c>
      <c r="H230" s="95">
        <f t="shared" si="3"/>
        <v>7423.5</v>
      </c>
    </row>
    <row r="231" spans="1:8" customFormat="1" ht="15.75" customHeight="1">
      <c r="A231" s="94">
        <v>226</v>
      </c>
      <c r="B231" s="141" t="s">
        <v>1071</v>
      </c>
      <c r="C231" s="141" t="s">
        <v>581</v>
      </c>
      <c r="D231" s="141" t="s">
        <v>582</v>
      </c>
      <c r="E231" s="141" t="s">
        <v>143</v>
      </c>
      <c r="F231" s="142">
        <v>1</v>
      </c>
      <c r="G231" s="142">
        <v>16000</v>
      </c>
      <c r="H231" s="95">
        <f t="shared" si="3"/>
        <v>3393.6000000000004</v>
      </c>
    </row>
    <row r="232" spans="1:8" customFormat="1" ht="15.75" customHeight="1">
      <c r="A232" s="94">
        <v>227</v>
      </c>
      <c r="B232" s="141" t="s">
        <v>1071</v>
      </c>
      <c r="C232" s="141" t="s">
        <v>611</v>
      </c>
      <c r="D232" s="141" t="s">
        <v>96</v>
      </c>
      <c r="E232" s="141" t="s">
        <v>143</v>
      </c>
      <c r="F232" s="142">
        <v>1</v>
      </c>
      <c r="G232" s="142">
        <v>35000</v>
      </c>
      <c r="H232" s="95">
        <f t="shared" si="3"/>
        <v>7423.5</v>
      </c>
    </row>
    <row r="233" spans="1:8" customFormat="1" ht="15.75" customHeight="1">
      <c r="A233" s="94">
        <v>228</v>
      </c>
      <c r="B233" s="141" t="s">
        <v>1071</v>
      </c>
      <c r="C233" s="141" t="s">
        <v>752</v>
      </c>
      <c r="D233" s="141" t="s">
        <v>117</v>
      </c>
      <c r="E233" s="141" t="s">
        <v>143</v>
      </c>
      <c r="F233" s="142">
        <v>1</v>
      </c>
      <c r="G233" s="142">
        <v>35000</v>
      </c>
      <c r="H233" s="95">
        <f t="shared" si="3"/>
        <v>7423.5</v>
      </c>
    </row>
    <row r="234" spans="1:8" customFormat="1" ht="15.75" customHeight="1">
      <c r="A234" s="94">
        <v>229</v>
      </c>
      <c r="B234" s="141" t="s">
        <v>1071</v>
      </c>
      <c r="C234" s="141" t="s">
        <v>887</v>
      </c>
      <c r="D234" s="141" t="s">
        <v>888</v>
      </c>
      <c r="E234" s="141" t="s">
        <v>143</v>
      </c>
      <c r="F234" s="142">
        <v>1</v>
      </c>
      <c r="G234" s="142">
        <v>16000</v>
      </c>
      <c r="H234" s="95">
        <f t="shared" si="3"/>
        <v>3393.6000000000004</v>
      </c>
    </row>
    <row r="235" spans="1:8" customFormat="1" ht="15.75" customHeight="1">
      <c r="A235" s="94">
        <v>230</v>
      </c>
      <c r="B235" s="141" t="s">
        <v>1067</v>
      </c>
      <c r="C235" s="141" t="s">
        <v>581</v>
      </c>
      <c r="D235" s="141" t="s">
        <v>582</v>
      </c>
      <c r="E235" s="141" t="s">
        <v>143</v>
      </c>
      <c r="F235" s="142">
        <v>1</v>
      </c>
      <c r="G235" s="142">
        <v>16000</v>
      </c>
      <c r="H235" s="95">
        <f t="shared" si="3"/>
        <v>3393.6000000000004</v>
      </c>
    </row>
    <row r="236" spans="1:8" customFormat="1" ht="15.75" customHeight="1">
      <c r="A236" s="94">
        <v>231</v>
      </c>
      <c r="B236" s="141" t="s">
        <v>1067</v>
      </c>
      <c r="C236" s="141" t="s">
        <v>611</v>
      </c>
      <c r="D236" s="141" t="s">
        <v>96</v>
      </c>
      <c r="E236" s="141" t="s">
        <v>143</v>
      </c>
      <c r="F236" s="142">
        <v>1</v>
      </c>
      <c r="G236" s="142">
        <v>16000</v>
      </c>
      <c r="H236" s="95">
        <f t="shared" si="3"/>
        <v>3393.6000000000004</v>
      </c>
    </row>
    <row r="237" spans="1:8" customFormat="1" ht="15.75" customHeight="1">
      <c r="A237" s="94">
        <v>232</v>
      </c>
      <c r="B237" s="141" t="s">
        <v>1067</v>
      </c>
      <c r="C237" s="141" t="s">
        <v>873</v>
      </c>
      <c r="D237" s="141" t="s">
        <v>874</v>
      </c>
      <c r="E237" s="141" t="s">
        <v>143</v>
      </c>
      <c r="F237" s="142">
        <v>1</v>
      </c>
      <c r="G237" s="142">
        <v>35000</v>
      </c>
      <c r="H237" s="95">
        <f t="shared" si="3"/>
        <v>7423.5</v>
      </c>
    </row>
    <row r="238" spans="1:8" customFormat="1" ht="15.75" customHeight="1">
      <c r="A238" s="94">
        <v>233</v>
      </c>
      <c r="B238" s="141" t="s">
        <v>1067</v>
      </c>
      <c r="C238" s="141" t="s">
        <v>887</v>
      </c>
      <c r="D238" s="141" t="s">
        <v>888</v>
      </c>
      <c r="E238" s="141" t="s">
        <v>143</v>
      </c>
      <c r="F238" s="142">
        <v>1</v>
      </c>
      <c r="G238" s="142">
        <v>16000</v>
      </c>
      <c r="H238" s="95">
        <f t="shared" si="3"/>
        <v>3393.6000000000004</v>
      </c>
    </row>
    <row r="239" spans="1:8" customFormat="1" ht="15.75" customHeight="1">
      <c r="A239" s="94">
        <v>234</v>
      </c>
      <c r="B239" s="141" t="s">
        <v>1068</v>
      </c>
      <c r="C239" s="141" t="s">
        <v>581</v>
      </c>
      <c r="D239" s="141" t="s">
        <v>582</v>
      </c>
      <c r="E239" s="141" t="s">
        <v>143</v>
      </c>
      <c r="F239" s="142">
        <v>1</v>
      </c>
      <c r="G239" s="142">
        <v>16000</v>
      </c>
      <c r="H239" s="95">
        <f t="shared" si="3"/>
        <v>3393.6000000000004</v>
      </c>
    </row>
    <row r="240" spans="1:8" customFormat="1" ht="15.75" customHeight="1">
      <c r="A240" s="94">
        <v>235</v>
      </c>
      <c r="B240" s="141" t="s">
        <v>1068</v>
      </c>
      <c r="C240" s="141" t="s">
        <v>611</v>
      </c>
      <c r="D240" s="141" t="s">
        <v>96</v>
      </c>
      <c r="E240" s="141" t="s">
        <v>143</v>
      </c>
      <c r="F240" s="142">
        <v>1</v>
      </c>
      <c r="G240" s="142">
        <v>35000</v>
      </c>
      <c r="H240" s="95">
        <f t="shared" si="3"/>
        <v>7423.5</v>
      </c>
    </row>
    <row r="241" spans="1:8" customFormat="1" ht="15.75" customHeight="1">
      <c r="A241" s="94">
        <v>236</v>
      </c>
      <c r="B241" s="141" t="s">
        <v>1068</v>
      </c>
      <c r="C241" s="141" t="s">
        <v>887</v>
      </c>
      <c r="D241" s="141" t="s">
        <v>888</v>
      </c>
      <c r="E241" s="141" t="s">
        <v>143</v>
      </c>
      <c r="F241" s="142">
        <v>1</v>
      </c>
      <c r="G241" s="142">
        <v>16000</v>
      </c>
      <c r="H241" s="95">
        <f t="shared" si="3"/>
        <v>3393.6000000000004</v>
      </c>
    </row>
    <row r="242" spans="1:8" customFormat="1" ht="15.75" customHeight="1">
      <c r="A242" s="94">
        <v>237</v>
      </c>
      <c r="B242" s="141" t="s">
        <v>1068</v>
      </c>
      <c r="C242" s="141" t="s">
        <v>873</v>
      </c>
      <c r="D242" s="141" t="s">
        <v>874</v>
      </c>
      <c r="E242" s="141" t="s">
        <v>143</v>
      </c>
      <c r="F242" s="142">
        <v>1</v>
      </c>
      <c r="G242" s="142">
        <v>16000</v>
      </c>
      <c r="H242" s="95">
        <f t="shared" si="3"/>
        <v>3393.6000000000004</v>
      </c>
    </row>
    <row r="243" spans="1:8" customFormat="1" ht="15.75" customHeight="1">
      <c r="A243" s="94">
        <v>238</v>
      </c>
      <c r="B243" s="141" t="s">
        <v>1069</v>
      </c>
      <c r="C243" s="141" t="s">
        <v>581</v>
      </c>
      <c r="D243" s="141" t="s">
        <v>582</v>
      </c>
      <c r="E243" s="141" t="s">
        <v>143</v>
      </c>
      <c r="F243" s="142">
        <v>1</v>
      </c>
      <c r="G243" s="142">
        <v>16000</v>
      </c>
      <c r="H243" s="95">
        <f t="shared" si="3"/>
        <v>3393.6000000000004</v>
      </c>
    </row>
    <row r="244" spans="1:8" customFormat="1" ht="15.75" customHeight="1">
      <c r="A244" s="94">
        <v>239</v>
      </c>
      <c r="B244" s="141" t="s">
        <v>1069</v>
      </c>
      <c r="C244" s="141" t="s">
        <v>611</v>
      </c>
      <c r="D244" s="141" t="s">
        <v>96</v>
      </c>
      <c r="E244" s="141" t="s">
        <v>143</v>
      </c>
      <c r="F244" s="142">
        <v>1</v>
      </c>
      <c r="G244" s="142">
        <v>16000</v>
      </c>
      <c r="H244" s="95">
        <f t="shared" si="3"/>
        <v>3393.6000000000004</v>
      </c>
    </row>
    <row r="245" spans="1:8" customFormat="1" ht="15.75" customHeight="1">
      <c r="A245" s="94">
        <v>240</v>
      </c>
      <c r="B245" s="141" t="s">
        <v>1069</v>
      </c>
      <c r="C245" s="141" t="s">
        <v>873</v>
      </c>
      <c r="D245" s="141" t="s">
        <v>874</v>
      </c>
      <c r="E245" s="141" t="s">
        <v>143</v>
      </c>
      <c r="F245" s="142">
        <v>1</v>
      </c>
      <c r="G245" s="142">
        <v>16000</v>
      </c>
      <c r="H245" s="95">
        <f t="shared" si="3"/>
        <v>3393.6000000000004</v>
      </c>
    </row>
    <row r="246" spans="1:8" customFormat="1" ht="15.75" customHeight="1">
      <c r="A246" s="94">
        <v>241</v>
      </c>
      <c r="B246" s="141" t="s">
        <v>1070</v>
      </c>
      <c r="C246" s="141" t="s">
        <v>581</v>
      </c>
      <c r="D246" s="141" t="s">
        <v>582</v>
      </c>
      <c r="E246" s="141" t="s">
        <v>143</v>
      </c>
      <c r="F246" s="142">
        <v>1</v>
      </c>
      <c r="G246" s="142">
        <v>16000</v>
      </c>
      <c r="H246" s="95">
        <f t="shared" si="3"/>
        <v>3393.6000000000004</v>
      </c>
    </row>
    <row r="247" spans="1:8" customFormat="1" ht="15.75" customHeight="1">
      <c r="A247" s="94">
        <v>242</v>
      </c>
      <c r="B247" s="141" t="s">
        <v>275</v>
      </c>
      <c r="C247" s="141" t="s">
        <v>677</v>
      </c>
      <c r="D247" s="141" t="s">
        <v>147</v>
      </c>
      <c r="E247" s="141" t="s">
        <v>110</v>
      </c>
      <c r="F247" s="142">
        <v>1</v>
      </c>
      <c r="G247" s="142">
        <v>100000</v>
      </c>
      <c r="H247" s="95">
        <f>25%*75%</f>
        <v>0.1875</v>
      </c>
    </row>
    <row r="248" spans="1:8" customFormat="1" ht="15.75" customHeight="1">
      <c r="A248" s="94">
        <v>243</v>
      </c>
      <c r="B248" s="141" t="s">
        <v>280</v>
      </c>
      <c r="C248" s="141" t="s">
        <v>607</v>
      </c>
      <c r="D248" s="141" t="s">
        <v>106</v>
      </c>
      <c r="E248" s="141" t="s">
        <v>110</v>
      </c>
      <c r="F248" s="142">
        <v>1</v>
      </c>
      <c r="G248" s="142">
        <v>100000</v>
      </c>
      <c r="H248" s="95">
        <f t="shared" ref="H248:H311" si="4">25%*75%</f>
        <v>0.1875</v>
      </c>
    </row>
    <row r="249" spans="1:8" customFormat="1" ht="15.75" customHeight="1">
      <c r="A249" s="94">
        <v>244</v>
      </c>
      <c r="B249" s="141" t="s">
        <v>274</v>
      </c>
      <c r="C249" s="141" t="s">
        <v>677</v>
      </c>
      <c r="D249" s="141" t="s">
        <v>147</v>
      </c>
      <c r="E249" s="141" t="s">
        <v>110</v>
      </c>
      <c r="F249" s="142">
        <v>1</v>
      </c>
      <c r="G249" s="142">
        <v>100000</v>
      </c>
      <c r="H249" s="95">
        <f t="shared" si="4"/>
        <v>0.1875</v>
      </c>
    </row>
    <row r="250" spans="1:8" customFormat="1" ht="15.75" customHeight="1">
      <c r="A250" s="94">
        <v>245</v>
      </c>
      <c r="B250" s="141" t="s">
        <v>279</v>
      </c>
      <c r="C250" s="141" t="s">
        <v>607</v>
      </c>
      <c r="D250" s="141" t="s">
        <v>106</v>
      </c>
      <c r="E250" s="141" t="s">
        <v>110</v>
      </c>
      <c r="F250" s="142">
        <v>1</v>
      </c>
      <c r="G250" s="142">
        <v>100000</v>
      </c>
      <c r="H250" s="95">
        <f t="shared" si="4"/>
        <v>0.1875</v>
      </c>
    </row>
    <row r="251" spans="1:8" customFormat="1" ht="15.75" customHeight="1">
      <c r="A251" s="94">
        <v>246</v>
      </c>
      <c r="B251" s="141" t="s">
        <v>284</v>
      </c>
      <c r="C251" s="141" t="s">
        <v>677</v>
      </c>
      <c r="D251" s="141" t="s">
        <v>147</v>
      </c>
      <c r="E251" s="141" t="s">
        <v>110</v>
      </c>
      <c r="F251" s="142">
        <v>1</v>
      </c>
      <c r="G251" s="142">
        <v>100000</v>
      </c>
      <c r="H251" s="95">
        <f t="shared" si="4"/>
        <v>0.1875</v>
      </c>
    </row>
    <row r="252" spans="1:8" customFormat="1" ht="15.75" customHeight="1">
      <c r="A252" s="94">
        <v>247</v>
      </c>
      <c r="B252" s="141" t="s">
        <v>281</v>
      </c>
      <c r="C252" s="141" t="s">
        <v>607</v>
      </c>
      <c r="D252" s="141" t="s">
        <v>106</v>
      </c>
      <c r="E252" s="141" t="s">
        <v>110</v>
      </c>
      <c r="F252" s="142">
        <v>1</v>
      </c>
      <c r="G252" s="142">
        <v>100000</v>
      </c>
      <c r="H252" s="95">
        <f t="shared" si="4"/>
        <v>0.1875</v>
      </c>
    </row>
    <row r="253" spans="1:8" customFormat="1" ht="15.75" customHeight="1">
      <c r="A253" s="94">
        <v>248</v>
      </c>
      <c r="B253" s="141" t="s">
        <v>1141</v>
      </c>
      <c r="C253" s="141" t="s">
        <v>607</v>
      </c>
      <c r="D253" s="141" t="s">
        <v>106</v>
      </c>
      <c r="E253" s="141" t="s">
        <v>126</v>
      </c>
      <c r="F253" s="142">
        <v>1</v>
      </c>
      <c r="G253" s="142">
        <v>101800</v>
      </c>
      <c r="H253" s="95">
        <f t="shared" si="4"/>
        <v>0.1875</v>
      </c>
    </row>
    <row r="254" spans="1:8" customFormat="1" ht="15.75" customHeight="1">
      <c r="A254" s="94">
        <v>249</v>
      </c>
      <c r="B254" s="141" t="s">
        <v>271</v>
      </c>
      <c r="C254" s="141" t="s">
        <v>607</v>
      </c>
      <c r="D254" s="141" t="s">
        <v>106</v>
      </c>
      <c r="E254" s="141" t="s">
        <v>110</v>
      </c>
      <c r="F254" s="142">
        <v>1</v>
      </c>
      <c r="G254" s="142">
        <v>100000</v>
      </c>
      <c r="H254" s="95">
        <f t="shared" si="4"/>
        <v>0.1875</v>
      </c>
    </row>
    <row r="255" spans="1:8" customFormat="1" ht="15.75" customHeight="1">
      <c r="A255" s="94">
        <v>250</v>
      </c>
      <c r="B255" s="141" t="s">
        <v>271</v>
      </c>
      <c r="C255" s="141" t="s">
        <v>677</v>
      </c>
      <c r="D255" s="141" t="s">
        <v>147</v>
      </c>
      <c r="E255" s="141" t="s">
        <v>110</v>
      </c>
      <c r="F255" s="142">
        <v>1</v>
      </c>
      <c r="G255" s="142">
        <v>100000</v>
      </c>
      <c r="H255" s="95">
        <f t="shared" si="4"/>
        <v>0.1875</v>
      </c>
    </row>
    <row r="256" spans="1:8" customFormat="1" ht="15.75" customHeight="1">
      <c r="A256" s="94">
        <v>251</v>
      </c>
      <c r="B256" s="141" t="s">
        <v>269</v>
      </c>
      <c r="C256" s="141" t="s">
        <v>607</v>
      </c>
      <c r="D256" s="141" t="s">
        <v>106</v>
      </c>
      <c r="E256" s="141" t="s">
        <v>110</v>
      </c>
      <c r="F256" s="142">
        <v>1</v>
      </c>
      <c r="G256" s="142">
        <v>100000</v>
      </c>
      <c r="H256" s="95">
        <f t="shared" si="4"/>
        <v>0.1875</v>
      </c>
    </row>
    <row r="257" spans="1:8" customFormat="1" ht="15.75" customHeight="1">
      <c r="A257" s="94">
        <v>252</v>
      </c>
      <c r="B257" s="141" t="s">
        <v>269</v>
      </c>
      <c r="C257" s="141" t="s">
        <v>677</v>
      </c>
      <c r="D257" s="141" t="s">
        <v>147</v>
      </c>
      <c r="E257" s="141" t="s">
        <v>110</v>
      </c>
      <c r="F257" s="142">
        <v>1</v>
      </c>
      <c r="G257" s="142">
        <v>100000</v>
      </c>
      <c r="H257" s="95">
        <f t="shared" si="4"/>
        <v>0.1875</v>
      </c>
    </row>
    <row r="258" spans="1:8" customFormat="1" ht="15.75" customHeight="1">
      <c r="A258" s="94">
        <v>253</v>
      </c>
      <c r="B258" s="141" t="s">
        <v>267</v>
      </c>
      <c r="C258" s="141" t="s">
        <v>607</v>
      </c>
      <c r="D258" s="141" t="s">
        <v>106</v>
      </c>
      <c r="E258" s="141" t="s">
        <v>110</v>
      </c>
      <c r="F258" s="142">
        <v>1</v>
      </c>
      <c r="G258" s="142">
        <v>100000</v>
      </c>
      <c r="H258" s="95">
        <f t="shared" si="4"/>
        <v>0.1875</v>
      </c>
    </row>
    <row r="259" spans="1:8" customFormat="1" ht="15.75" customHeight="1">
      <c r="A259" s="94">
        <v>254</v>
      </c>
      <c r="B259" s="141" t="s">
        <v>267</v>
      </c>
      <c r="C259" s="141" t="s">
        <v>677</v>
      </c>
      <c r="D259" s="141" t="s">
        <v>147</v>
      </c>
      <c r="E259" s="141" t="s">
        <v>110</v>
      </c>
      <c r="F259" s="142">
        <v>1</v>
      </c>
      <c r="G259" s="142">
        <v>100000</v>
      </c>
      <c r="H259" s="95">
        <f t="shared" si="4"/>
        <v>0.1875</v>
      </c>
    </row>
    <row r="260" spans="1:8" customFormat="1" ht="15.75" customHeight="1">
      <c r="A260" s="94">
        <v>255</v>
      </c>
      <c r="B260" s="141" t="s">
        <v>268</v>
      </c>
      <c r="C260" s="141" t="s">
        <v>677</v>
      </c>
      <c r="D260" s="141" t="s">
        <v>147</v>
      </c>
      <c r="E260" s="141" t="s">
        <v>110</v>
      </c>
      <c r="F260" s="142">
        <v>1</v>
      </c>
      <c r="G260" s="142">
        <v>100000</v>
      </c>
      <c r="H260" s="95">
        <f t="shared" si="4"/>
        <v>0.1875</v>
      </c>
    </row>
    <row r="261" spans="1:8" customFormat="1" ht="15.75" customHeight="1">
      <c r="A261" s="94">
        <v>256</v>
      </c>
      <c r="B261" s="141" t="s">
        <v>276</v>
      </c>
      <c r="C261" s="141" t="s">
        <v>1017</v>
      </c>
      <c r="D261" s="141" t="s">
        <v>98</v>
      </c>
      <c r="E261" s="141" t="s">
        <v>110</v>
      </c>
      <c r="F261" s="142">
        <v>1</v>
      </c>
      <c r="G261" s="142">
        <v>100000</v>
      </c>
      <c r="H261" s="95">
        <f t="shared" si="4"/>
        <v>0.1875</v>
      </c>
    </row>
    <row r="262" spans="1:8" customFormat="1" ht="15.75" customHeight="1">
      <c r="A262" s="94">
        <v>257</v>
      </c>
      <c r="B262" s="141" t="s">
        <v>276</v>
      </c>
      <c r="C262" s="141" t="s">
        <v>222</v>
      </c>
      <c r="D262" s="141" t="s">
        <v>100</v>
      </c>
      <c r="E262" s="141" t="s">
        <v>110</v>
      </c>
      <c r="F262" s="142">
        <v>1</v>
      </c>
      <c r="G262" s="142">
        <v>100000</v>
      </c>
      <c r="H262" s="95">
        <f t="shared" si="4"/>
        <v>0.1875</v>
      </c>
    </row>
    <row r="263" spans="1:8" customFormat="1" ht="15.75" customHeight="1">
      <c r="A263" s="94">
        <v>258</v>
      </c>
      <c r="B263" s="141" t="s">
        <v>1137</v>
      </c>
      <c r="C263" s="141" t="s">
        <v>607</v>
      </c>
      <c r="D263" s="141" t="s">
        <v>106</v>
      </c>
      <c r="E263" s="141" t="s">
        <v>110</v>
      </c>
      <c r="F263" s="142">
        <v>1</v>
      </c>
      <c r="G263" s="142">
        <v>100000</v>
      </c>
      <c r="H263" s="95">
        <f t="shared" si="4"/>
        <v>0.1875</v>
      </c>
    </row>
    <row r="264" spans="1:8" customFormat="1" ht="15.75" customHeight="1">
      <c r="A264" s="94">
        <v>259</v>
      </c>
      <c r="B264" s="141" t="s">
        <v>1240</v>
      </c>
      <c r="C264" s="141" t="s">
        <v>222</v>
      </c>
      <c r="D264" s="141" t="s">
        <v>100</v>
      </c>
      <c r="E264" s="141" t="s">
        <v>110</v>
      </c>
      <c r="F264" s="142">
        <v>1</v>
      </c>
      <c r="G264" s="142">
        <v>100000</v>
      </c>
      <c r="H264" s="95">
        <f t="shared" si="4"/>
        <v>0.1875</v>
      </c>
    </row>
    <row r="265" spans="1:8" customFormat="1" ht="15.75" customHeight="1">
      <c r="A265" s="94">
        <v>260</v>
      </c>
      <c r="B265" s="141" t="s">
        <v>265</v>
      </c>
      <c r="C265" s="141" t="s">
        <v>607</v>
      </c>
      <c r="D265" s="141" t="s">
        <v>106</v>
      </c>
      <c r="E265" s="141" t="s">
        <v>110</v>
      </c>
      <c r="F265" s="142">
        <v>1</v>
      </c>
      <c r="G265" s="142">
        <v>100000</v>
      </c>
      <c r="H265" s="95">
        <f t="shared" si="4"/>
        <v>0.1875</v>
      </c>
    </row>
    <row r="266" spans="1:8" customFormat="1" ht="15.75" customHeight="1">
      <c r="A266" s="94">
        <v>261</v>
      </c>
      <c r="B266" s="141" t="s">
        <v>265</v>
      </c>
      <c r="C266" s="141" t="s">
        <v>677</v>
      </c>
      <c r="D266" s="141" t="s">
        <v>147</v>
      </c>
      <c r="E266" s="141" t="s">
        <v>110</v>
      </c>
      <c r="F266" s="142">
        <v>1</v>
      </c>
      <c r="G266" s="142">
        <v>100000</v>
      </c>
      <c r="H266" s="95">
        <f t="shared" si="4"/>
        <v>0.1875</v>
      </c>
    </row>
    <row r="267" spans="1:8" customFormat="1" ht="15.75" customHeight="1">
      <c r="A267" s="94">
        <v>262</v>
      </c>
      <c r="B267" s="141" t="s">
        <v>282</v>
      </c>
      <c r="C267" s="141" t="s">
        <v>674</v>
      </c>
      <c r="D267" s="141" t="s">
        <v>675</v>
      </c>
      <c r="E267" s="141" t="s">
        <v>110</v>
      </c>
      <c r="F267" s="142">
        <v>1</v>
      </c>
      <c r="G267" s="142">
        <v>100000</v>
      </c>
      <c r="H267" s="95">
        <f t="shared" si="4"/>
        <v>0.1875</v>
      </c>
    </row>
    <row r="268" spans="1:8" customFormat="1" ht="15.75" customHeight="1">
      <c r="A268" s="94">
        <v>263</v>
      </c>
      <c r="B268" s="141" t="s">
        <v>282</v>
      </c>
      <c r="C268" s="141" t="s">
        <v>1017</v>
      </c>
      <c r="D268" s="141" t="s">
        <v>98</v>
      </c>
      <c r="E268" s="141" t="s">
        <v>110</v>
      </c>
      <c r="F268" s="142">
        <v>1</v>
      </c>
      <c r="G268" s="142">
        <v>100000</v>
      </c>
      <c r="H268" s="95">
        <f t="shared" si="4"/>
        <v>0.1875</v>
      </c>
    </row>
    <row r="269" spans="1:8" customFormat="1" ht="15.75" customHeight="1">
      <c r="A269" s="94">
        <v>264</v>
      </c>
      <c r="B269" s="141" t="s">
        <v>263</v>
      </c>
      <c r="C269" s="141" t="s">
        <v>607</v>
      </c>
      <c r="D269" s="141" t="s">
        <v>106</v>
      </c>
      <c r="E269" s="141" t="s">
        <v>110</v>
      </c>
      <c r="F269" s="142">
        <v>1</v>
      </c>
      <c r="G269" s="142">
        <v>100000</v>
      </c>
      <c r="H269" s="95">
        <f t="shared" si="4"/>
        <v>0.1875</v>
      </c>
    </row>
    <row r="270" spans="1:8" customFormat="1" ht="15.75" customHeight="1">
      <c r="A270" s="94">
        <v>265</v>
      </c>
      <c r="B270" s="141" t="s">
        <v>263</v>
      </c>
      <c r="C270" s="141" t="s">
        <v>674</v>
      </c>
      <c r="D270" s="141" t="s">
        <v>675</v>
      </c>
      <c r="E270" s="141" t="s">
        <v>110</v>
      </c>
      <c r="F270" s="142">
        <v>1</v>
      </c>
      <c r="G270" s="142">
        <v>100000</v>
      </c>
      <c r="H270" s="95">
        <f t="shared" si="4"/>
        <v>0.1875</v>
      </c>
    </row>
    <row r="271" spans="1:8" customFormat="1" ht="15.75" customHeight="1">
      <c r="A271" s="94">
        <v>266</v>
      </c>
      <c r="B271" s="141" t="s">
        <v>263</v>
      </c>
      <c r="C271" s="141" t="s">
        <v>677</v>
      </c>
      <c r="D271" s="141" t="s">
        <v>147</v>
      </c>
      <c r="E271" s="141" t="s">
        <v>110</v>
      </c>
      <c r="F271" s="142">
        <v>1</v>
      </c>
      <c r="G271" s="142">
        <v>100000</v>
      </c>
      <c r="H271" s="95">
        <f t="shared" si="4"/>
        <v>0.1875</v>
      </c>
    </row>
    <row r="272" spans="1:8" customFormat="1" ht="15.75" customHeight="1">
      <c r="A272" s="94">
        <v>267</v>
      </c>
      <c r="B272" s="141" t="s">
        <v>1245</v>
      </c>
      <c r="C272" s="141" t="s">
        <v>222</v>
      </c>
      <c r="D272" s="141" t="s">
        <v>100</v>
      </c>
      <c r="E272" s="141" t="s">
        <v>110</v>
      </c>
      <c r="F272" s="142">
        <v>1</v>
      </c>
      <c r="G272" s="142">
        <v>100000</v>
      </c>
      <c r="H272" s="95">
        <f t="shared" si="4"/>
        <v>0.1875</v>
      </c>
    </row>
    <row r="273" spans="1:8" customFormat="1" ht="15.75" customHeight="1">
      <c r="A273" s="94">
        <v>268</v>
      </c>
      <c r="B273" s="141" t="s">
        <v>1175</v>
      </c>
      <c r="C273" s="141" t="s">
        <v>699</v>
      </c>
      <c r="D273" s="141" t="s">
        <v>105</v>
      </c>
      <c r="E273" s="141" t="s">
        <v>110</v>
      </c>
      <c r="F273" s="142">
        <v>1</v>
      </c>
      <c r="G273" s="142">
        <v>100000</v>
      </c>
      <c r="H273" s="95">
        <f t="shared" si="4"/>
        <v>0.1875</v>
      </c>
    </row>
    <row r="274" spans="1:8" customFormat="1" ht="15.75" customHeight="1">
      <c r="A274" s="94">
        <v>269</v>
      </c>
      <c r="B274" s="141" t="s">
        <v>287</v>
      </c>
      <c r="C274" s="141" t="s">
        <v>311</v>
      </c>
      <c r="D274" s="141" t="s">
        <v>600</v>
      </c>
      <c r="E274" s="141" t="s">
        <v>110</v>
      </c>
      <c r="F274" s="142">
        <v>1</v>
      </c>
      <c r="G274" s="142">
        <v>100000</v>
      </c>
      <c r="H274" s="95">
        <f t="shared" si="4"/>
        <v>0.1875</v>
      </c>
    </row>
    <row r="275" spans="1:8" customFormat="1" ht="15.75" customHeight="1">
      <c r="A275" s="94">
        <v>270</v>
      </c>
      <c r="B275" s="141" t="s">
        <v>287</v>
      </c>
      <c r="C275" s="141" t="s">
        <v>341</v>
      </c>
      <c r="D275" s="141" t="s">
        <v>728</v>
      </c>
      <c r="E275" s="141" t="s">
        <v>110</v>
      </c>
      <c r="F275" s="142">
        <v>1</v>
      </c>
      <c r="G275" s="142">
        <v>100000</v>
      </c>
      <c r="H275" s="95">
        <f t="shared" si="4"/>
        <v>0.1875</v>
      </c>
    </row>
    <row r="276" spans="1:8" customFormat="1" ht="15.75" customHeight="1">
      <c r="A276" s="94">
        <v>271</v>
      </c>
      <c r="B276" s="141" t="s">
        <v>287</v>
      </c>
      <c r="C276" s="141" t="s">
        <v>1017</v>
      </c>
      <c r="D276" s="141" t="s">
        <v>98</v>
      </c>
      <c r="E276" s="141" t="s">
        <v>110</v>
      </c>
      <c r="F276" s="142">
        <v>1</v>
      </c>
      <c r="G276" s="142">
        <v>100000</v>
      </c>
      <c r="H276" s="95">
        <f t="shared" si="4"/>
        <v>0.1875</v>
      </c>
    </row>
    <row r="277" spans="1:8" customFormat="1" ht="15.75" customHeight="1">
      <c r="A277" s="94">
        <v>272</v>
      </c>
      <c r="B277" s="141" t="s">
        <v>287</v>
      </c>
      <c r="C277" s="141" t="s">
        <v>876</v>
      </c>
      <c r="D277" s="141" t="s">
        <v>108</v>
      </c>
      <c r="E277" s="141" t="s">
        <v>148</v>
      </c>
      <c r="F277" s="142">
        <v>1</v>
      </c>
      <c r="G277" s="142">
        <v>400000</v>
      </c>
      <c r="H277" s="95">
        <f t="shared" si="4"/>
        <v>0.1875</v>
      </c>
    </row>
    <row r="278" spans="1:8" customFormat="1" ht="15.75" customHeight="1">
      <c r="A278" s="94">
        <v>273</v>
      </c>
      <c r="B278" s="141" t="s">
        <v>1158</v>
      </c>
      <c r="C278" s="141" t="s">
        <v>667</v>
      </c>
      <c r="D278" s="141" t="s">
        <v>128</v>
      </c>
      <c r="E278" s="141" t="s">
        <v>110</v>
      </c>
      <c r="F278" s="142">
        <v>1</v>
      </c>
      <c r="G278" s="142">
        <v>100000</v>
      </c>
      <c r="H278" s="95">
        <f t="shared" si="4"/>
        <v>0.1875</v>
      </c>
    </row>
    <row r="279" spans="1:8" customFormat="1" ht="15.75" customHeight="1">
      <c r="A279" s="94">
        <v>274</v>
      </c>
      <c r="B279" s="141" t="s">
        <v>1193</v>
      </c>
      <c r="C279" s="141" t="s">
        <v>746</v>
      </c>
      <c r="D279" s="141" t="s">
        <v>747</v>
      </c>
      <c r="E279" s="141" t="s">
        <v>110</v>
      </c>
      <c r="F279" s="142">
        <v>1</v>
      </c>
      <c r="G279" s="142">
        <v>100000</v>
      </c>
      <c r="H279" s="95">
        <f t="shared" si="4"/>
        <v>0.1875</v>
      </c>
    </row>
    <row r="280" spans="1:8" customFormat="1" ht="15.75" customHeight="1">
      <c r="A280" s="94">
        <v>275</v>
      </c>
      <c r="B280" s="141" t="s">
        <v>1244</v>
      </c>
      <c r="C280" s="141" t="s">
        <v>222</v>
      </c>
      <c r="D280" s="141" t="s">
        <v>100</v>
      </c>
      <c r="E280" s="141" t="s">
        <v>110</v>
      </c>
      <c r="F280" s="142">
        <v>1</v>
      </c>
      <c r="G280" s="142">
        <v>100000</v>
      </c>
      <c r="H280" s="95">
        <f t="shared" si="4"/>
        <v>0.1875</v>
      </c>
    </row>
    <row r="281" spans="1:8" customFormat="1" ht="15.75" customHeight="1">
      <c r="A281" s="94">
        <v>276</v>
      </c>
      <c r="B281" s="141" t="s">
        <v>1228</v>
      </c>
      <c r="C281" s="141" t="s">
        <v>889</v>
      </c>
      <c r="D281" s="141" t="s">
        <v>890</v>
      </c>
      <c r="E281" s="141" t="s">
        <v>40</v>
      </c>
      <c r="F281" s="142">
        <v>1</v>
      </c>
      <c r="G281" s="142">
        <v>101800</v>
      </c>
      <c r="H281" s="95">
        <f t="shared" si="4"/>
        <v>0.1875</v>
      </c>
    </row>
    <row r="282" spans="1:8" customFormat="1" ht="15.75" customHeight="1">
      <c r="A282" s="94">
        <v>277</v>
      </c>
      <c r="B282" s="141" t="s">
        <v>285</v>
      </c>
      <c r="C282" s="141" t="s">
        <v>557</v>
      </c>
      <c r="D282" s="141" t="s">
        <v>103</v>
      </c>
      <c r="E282" s="141" t="s">
        <v>110</v>
      </c>
      <c r="F282" s="142">
        <v>1</v>
      </c>
      <c r="G282" s="142">
        <v>100000</v>
      </c>
      <c r="H282" s="95">
        <f t="shared" si="4"/>
        <v>0.1875</v>
      </c>
    </row>
    <row r="283" spans="1:8" customFormat="1" ht="15.75" customHeight="1">
      <c r="A283" s="94">
        <v>278</v>
      </c>
      <c r="B283" s="141" t="s">
        <v>285</v>
      </c>
      <c r="C283" s="141" t="s">
        <v>571</v>
      </c>
      <c r="D283" s="141" t="s">
        <v>572</v>
      </c>
      <c r="E283" s="141" t="s">
        <v>110</v>
      </c>
      <c r="F283" s="142">
        <v>1</v>
      </c>
      <c r="G283" s="142">
        <v>100000</v>
      </c>
      <c r="H283" s="95">
        <f t="shared" si="4"/>
        <v>0.1875</v>
      </c>
    </row>
    <row r="284" spans="1:8" customFormat="1" ht="15.75" customHeight="1">
      <c r="A284" s="94">
        <v>279</v>
      </c>
      <c r="B284" s="141" t="s">
        <v>285</v>
      </c>
      <c r="C284" s="141" t="s">
        <v>607</v>
      </c>
      <c r="D284" s="141" t="s">
        <v>106</v>
      </c>
      <c r="E284" s="141" t="s">
        <v>110</v>
      </c>
      <c r="F284" s="142">
        <v>1</v>
      </c>
      <c r="G284" s="142">
        <v>100000</v>
      </c>
      <c r="H284" s="95">
        <f t="shared" si="4"/>
        <v>0.1875</v>
      </c>
    </row>
    <row r="285" spans="1:8" customFormat="1" ht="15.75" customHeight="1">
      <c r="A285" s="94">
        <v>280</v>
      </c>
      <c r="B285" s="141" t="s">
        <v>285</v>
      </c>
      <c r="C285" s="141" t="s">
        <v>674</v>
      </c>
      <c r="D285" s="141" t="s">
        <v>675</v>
      </c>
      <c r="E285" s="141" t="s">
        <v>110</v>
      </c>
      <c r="F285" s="142">
        <v>1</v>
      </c>
      <c r="G285" s="142">
        <v>100000</v>
      </c>
      <c r="H285" s="95">
        <f t="shared" si="4"/>
        <v>0.1875</v>
      </c>
    </row>
    <row r="286" spans="1:8" customFormat="1" ht="15.75" customHeight="1">
      <c r="A286" s="94">
        <v>281</v>
      </c>
      <c r="B286" s="141" t="s">
        <v>285</v>
      </c>
      <c r="C286" s="141" t="s">
        <v>677</v>
      </c>
      <c r="D286" s="141" t="s">
        <v>147</v>
      </c>
      <c r="E286" s="141" t="s">
        <v>110</v>
      </c>
      <c r="F286" s="142">
        <v>1</v>
      </c>
      <c r="G286" s="142">
        <v>100000</v>
      </c>
      <c r="H286" s="95">
        <f t="shared" si="4"/>
        <v>0.1875</v>
      </c>
    </row>
    <row r="287" spans="1:8" customFormat="1" ht="15.75" customHeight="1">
      <c r="A287" s="94">
        <v>282</v>
      </c>
      <c r="B287" s="141" t="s">
        <v>285</v>
      </c>
      <c r="C287" s="141" t="s">
        <v>341</v>
      </c>
      <c r="D287" s="141" t="s">
        <v>728</v>
      </c>
      <c r="E287" s="141" t="s">
        <v>110</v>
      </c>
      <c r="F287" s="142">
        <v>1</v>
      </c>
      <c r="G287" s="142">
        <v>100000</v>
      </c>
      <c r="H287" s="95">
        <f t="shared" si="4"/>
        <v>0.1875</v>
      </c>
    </row>
    <row r="288" spans="1:8" customFormat="1" ht="15.75" customHeight="1">
      <c r="A288" s="94">
        <v>283</v>
      </c>
      <c r="B288" s="141" t="s">
        <v>285</v>
      </c>
      <c r="C288" s="141" t="s">
        <v>746</v>
      </c>
      <c r="D288" s="141" t="s">
        <v>747</v>
      </c>
      <c r="E288" s="141" t="s">
        <v>110</v>
      </c>
      <c r="F288" s="142">
        <v>1</v>
      </c>
      <c r="G288" s="142">
        <v>100000</v>
      </c>
      <c r="H288" s="95">
        <f t="shared" si="4"/>
        <v>0.1875</v>
      </c>
    </row>
    <row r="289" spans="1:8" customFormat="1" ht="15.75" customHeight="1">
      <c r="A289" s="94">
        <v>284</v>
      </c>
      <c r="B289" s="141" t="s">
        <v>285</v>
      </c>
      <c r="C289" s="141" t="s">
        <v>222</v>
      </c>
      <c r="D289" s="141" t="s">
        <v>100</v>
      </c>
      <c r="E289" s="141" t="s">
        <v>110</v>
      </c>
      <c r="F289" s="142">
        <v>1</v>
      </c>
      <c r="G289" s="142">
        <v>100000</v>
      </c>
      <c r="H289" s="95">
        <f t="shared" si="4"/>
        <v>0.1875</v>
      </c>
    </row>
    <row r="290" spans="1:8" customFormat="1" ht="15.75" customHeight="1">
      <c r="A290" s="94">
        <v>285</v>
      </c>
      <c r="B290" s="141" t="s">
        <v>286</v>
      </c>
      <c r="C290" s="141" t="s">
        <v>311</v>
      </c>
      <c r="D290" s="141" t="s">
        <v>600</v>
      </c>
      <c r="E290" s="141" t="s">
        <v>110</v>
      </c>
      <c r="F290" s="142">
        <v>1</v>
      </c>
      <c r="G290" s="142">
        <v>100000</v>
      </c>
      <c r="H290" s="95">
        <f t="shared" si="4"/>
        <v>0.1875</v>
      </c>
    </row>
    <row r="291" spans="1:8" customFormat="1" ht="15.75" customHeight="1">
      <c r="A291" s="94">
        <v>286</v>
      </c>
      <c r="B291" s="141" t="s">
        <v>286</v>
      </c>
      <c r="C291" s="141" t="s">
        <v>654</v>
      </c>
      <c r="D291" s="141" t="s">
        <v>107</v>
      </c>
      <c r="E291" s="141" t="s">
        <v>110</v>
      </c>
      <c r="F291" s="142">
        <v>1</v>
      </c>
      <c r="G291" s="142">
        <v>100000</v>
      </c>
      <c r="H291" s="95">
        <f t="shared" si="4"/>
        <v>0.1875</v>
      </c>
    </row>
    <row r="292" spans="1:8" customFormat="1" ht="15.75" customHeight="1">
      <c r="A292" s="94">
        <v>287</v>
      </c>
      <c r="B292" s="141" t="s">
        <v>286</v>
      </c>
      <c r="C292" s="141" t="s">
        <v>699</v>
      </c>
      <c r="D292" s="141" t="s">
        <v>105</v>
      </c>
      <c r="E292" s="141" t="s">
        <v>110</v>
      </c>
      <c r="F292" s="142">
        <v>1</v>
      </c>
      <c r="G292" s="142">
        <v>100000</v>
      </c>
      <c r="H292" s="95">
        <f t="shared" si="4"/>
        <v>0.1875</v>
      </c>
    </row>
    <row r="293" spans="1:8" customFormat="1" ht="15.75" customHeight="1">
      <c r="A293" s="94">
        <v>288</v>
      </c>
      <c r="B293" s="141" t="s">
        <v>286</v>
      </c>
      <c r="C293" s="141" t="s">
        <v>1017</v>
      </c>
      <c r="D293" s="141" t="s">
        <v>98</v>
      </c>
      <c r="E293" s="141" t="s">
        <v>110</v>
      </c>
      <c r="F293" s="142">
        <v>1</v>
      </c>
      <c r="G293" s="142">
        <v>100000</v>
      </c>
      <c r="H293" s="95">
        <f t="shared" si="4"/>
        <v>0.1875</v>
      </c>
    </row>
    <row r="294" spans="1:8" customFormat="1" ht="15.75" customHeight="1">
      <c r="A294" s="94">
        <v>289</v>
      </c>
      <c r="B294" s="141" t="s">
        <v>1121</v>
      </c>
      <c r="C294" s="141" t="s">
        <v>667</v>
      </c>
      <c r="D294" s="141" t="s">
        <v>128</v>
      </c>
      <c r="E294" s="141" t="s">
        <v>110</v>
      </c>
      <c r="F294" s="142">
        <v>1</v>
      </c>
      <c r="G294" s="142">
        <v>100000</v>
      </c>
      <c r="H294" s="95">
        <f t="shared" si="4"/>
        <v>0.1875</v>
      </c>
    </row>
    <row r="295" spans="1:8" customFormat="1" ht="15.75" customHeight="1">
      <c r="A295" s="94">
        <v>290</v>
      </c>
      <c r="B295" s="141" t="s">
        <v>1121</v>
      </c>
      <c r="C295" s="141" t="s">
        <v>889</v>
      </c>
      <c r="D295" s="141" t="s">
        <v>890</v>
      </c>
      <c r="E295" s="141" t="s">
        <v>110</v>
      </c>
      <c r="F295" s="142">
        <v>1</v>
      </c>
      <c r="G295" s="142">
        <v>100000</v>
      </c>
      <c r="H295" s="95">
        <f t="shared" si="4"/>
        <v>0.1875</v>
      </c>
    </row>
    <row r="296" spans="1:8" customFormat="1" ht="15.75" customHeight="1">
      <c r="A296" s="94">
        <v>291</v>
      </c>
      <c r="B296" s="141" t="s">
        <v>283</v>
      </c>
      <c r="C296" s="141" t="s">
        <v>744</v>
      </c>
      <c r="D296" s="141" t="s">
        <v>130</v>
      </c>
      <c r="E296" s="141" t="s">
        <v>110</v>
      </c>
      <c r="F296" s="142">
        <v>1</v>
      </c>
      <c r="G296" s="142">
        <v>100000</v>
      </c>
      <c r="H296" s="95">
        <f t="shared" si="4"/>
        <v>0.1875</v>
      </c>
    </row>
    <row r="297" spans="1:8" customFormat="1" ht="15.75" customHeight="1">
      <c r="A297" s="94">
        <v>292</v>
      </c>
      <c r="B297" s="141" t="s">
        <v>1250</v>
      </c>
      <c r="C297" s="141" t="s">
        <v>256</v>
      </c>
      <c r="D297" s="141" t="s">
        <v>167</v>
      </c>
      <c r="E297" s="141" t="s">
        <v>110</v>
      </c>
      <c r="F297" s="142">
        <v>1</v>
      </c>
      <c r="G297" s="142">
        <v>100000</v>
      </c>
      <c r="H297" s="95">
        <f t="shared" si="4"/>
        <v>0.1875</v>
      </c>
    </row>
    <row r="298" spans="1:8" customFormat="1" ht="15.75" customHeight="1">
      <c r="A298" s="94">
        <v>293</v>
      </c>
      <c r="B298" s="141" t="s">
        <v>1118</v>
      </c>
      <c r="C298" s="141" t="s">
        <v>557</v>
      </c>
      <c r="D298" s="141" t="s">
        <v>103</v>
      </c>
      <c r="E298" s="141" t="s">
        <v>110</v>
      </c>
      <c r="F298" s="142">
        <v>1</v>
      </c>
      <c r="G298" s="142">
        <v>100000</v>
      </c>
      <c r="H298" s="95">
        <f t="shared" si="4"/>
        <v>0.1875</v>
      </c>
    </row>
    <row r="299" spans="1:8" customFormat="1" ht="15.75" customHeight="1">
      <c r="A299" s="94">
        <v>294</v>
      </c>
      <c r="B299" s="141" t="s">
        <v>1118</v>
      </c>
      <c r="C299" s="141" t="s">
        <v>654</v>
      </c>
      <c r="D299" s="141" t="s">
        <v>107</v>
      </c>
      <c r="E299" s="141" t="s">
        <v>110</v>
      </c>
      <c r="F299" s="142">
        <v>1</v>
      </c>
      <c r="G299" s="142">
        <v>100000</v>
      </c>
      <c r="H299" s="95">
        <f t="shared" si="4"/>
        <v>0.1875</v>
      </c>
    </row>
    <row r="300" spans="1:8" customFormat="1" ht="15.75" customHeight="1">
      <c r="A300" s="94">
        <v>295</v>
      </c>
      <c r="B300" s="141" t="s">
        <v>1118</v>
      </c>
      <c r="C300" s="141" t="s">
        <v>674</v>
      </c>
      <c r="D300" s="141" t="s">
        <v>675</v>
      </c>
      <c r="E300" s="141" t="s">
        <v>110</v>
      </c>
      <c r="F300" s="142">
        <v>1</v>
      </c>
      <c r="G300" s="142">
        <v>100000</v>
      </c>
      <c r="H300" s="95">
        <f t="shared" si="4"/>
        <v>0.1875</v>
      </c>
    </row>
    <row r="301" spans="1:8" customFormat="1" ht="15.75" customHeight="1">
      <c r="A301" s="94">
        <v>296</v>
      </c>
      <c r="B301" s="141" t="s">
        <v>1118</v>
      </c>
      <c r="C301" s="141" t="s">
        <v>677</v>
      </c>
      <c r="D301" s="141" t="s">
        <v>147</v>
      </c>
      <c r="E301" s="141" t="s">
        <v>110</v>
      </c>
      <c r="F301" s="142">
        <v>1</v>
      </c>
      <c r="G301" s="142">
        <v>100000</v>
      </c>
      <c r="H301" s="95">
        <f t="shared" si="4"/>
        <v>0.1875</v>
      </c>
    </row>
    <row r="302" spans="1:8" customFormat="1" ht="15.75" customHeight="1">
      <c r="A302" s="94">
        <v>297</v>
      </c>
      <c r="B302" s="141" t="s">
        <v>1118</v>
      </c>
      <c r="C302" s="141" t="s">
        <v>341</v>
      </c>
      <c r="D302" s="141" t="s">
        <v>728</v>
      </c>
      <c r="E302" s="141" t="s">
        <v>110</v>
      </c>
      <c r="F302" s="142">
        <v>1</v>
      </c>
      <c r="G302" s="142">
        <v>100000</v>
      </c>
      <c r="H302" s="95">
        <f t="shared" si="4"/>
        <v>0.1875</v>
      </c>
    </row>
    <row r="303" spans="1:8" customFormat="1" ht="15.75" customHeight="1">
      <c r="A303" s="94">
        <v>298</v>
      </c>
      <c r="B303" s="141" t="s">
        <v>1118</v>
      </c>
      <c r="C303" s="141" t="s">
        <v>322</v>
      </c>
      <c r="D303" s="141" t="s">
        <v>882</v>
      </c>
      <c r="E303" s="141" t="s">
        <v>110</v>
      </c>
      <c r="F303" s="142">
        <v>1</v>
      </c>
      <c r="G303" s="142">
        <v>100000</v>
      </c>
      <c r="H303" s="95">
        <f t="shared" si="4"/>
        <v>0.1875</v>
      </c>
    </row>
    <row r="304" spans="1:8" customFormat="1" ht="15.75" customHeight="1">
      <c r="A304" s="94">
        <v>299</v>
      </c>
      <c r="B304" s="141" t="s">
        <v>1118</v>
      </c>
      <c r="C304" s="141" t="s">
        <v>889</v>
      </c>
      <c r="D304" s="141" t="s">
        <v>890</v>
      </c>
      <c r="E304" s="141" t="s">
        <v>110</v>
      </c>
      <c r="F304" s="142">
        <v>1</v>
      </c>
      <c r="G304" s="142">
        <v>100000</v>
      </c>
      <c r="H304" s="95">
        <f t="shared" si="4"/>
        <v>0.1875</v>
      </c>
    </row>
    <row r="305" spans="1:8" customFormat="1" ht="15.75" customHeight="1">
      <c r="A305" s="94">
        <v>300</v>
      </c>
      <c r="B305" s="141" t="s">
        <v>1118</v>
      </c>
      <c r="C305" s="141" t="s">
        <v>937</v>
      </c>
      <c r="D305" s="141" t="s">
        <v>938</v>
      </c>
      <c r="E305" s="141" t="s">
        <v>110</v>
      </c>
      <c r="F305" s="142">
        <v>1</v>
      </c>
      <c r="G305" s="142">
        <v>100000</v>
      </c>
      <c r="H305" s="95">
        <f t="shared" si="4"/>
        <v>0.1875</v>
      </c>
    </row>
    <row r="306" spans="1:8" customFormat="1" ht="15.75" customHeight="1">
      <c r="A306" s="94">
        <v>301</v>
      </c>
      <c r="B306" s="141" t="s">
        <v>1118</v>
      </c>
      <c r="C306" s="141" t="s">
        <v>222</v>
      </c>
      <c r="D306" s="141" t="s">
        <v>100</v>
      </c>
      <c r="E306" s="141" t="s">
        <v>110</v>
      </c>
      <c r="F306" s="142">
        <v>1</v>
      </c>
      <c r="G306" s="142">
        <v>100000</v>
      </c>
      <c r="H306" s="95">
        <f t="shared" si="4"/>
        <v>0.1875</v>
      </c>
    </row>
    <row r="307" spans="1:8" customFormat="1" ht="15.75" customHeight="1">
      <c r="A307" s="94">
        <v>302</v>
      </c>
      <c r="B307" s="141" t="s">
        <v>1119</v>
      </c>
      <c r="C307" s="141" t="s">
        <v>603</v>
      </c>
      <c r="D307" s="141" t="s">
        <v>604</v>
      </c>
      <c r="E307" s="141" t="s">
        <v>110</v>
      </c>
      <c r="F307" s="142">
        <v>1</v>
      </c>
      <c r="G307" s="142">
        <v>100000</v>
      </c>
      <c r="H307" s="95">
        <f t="shared" si="4"/>
        <v>0.1875</v>
      </c>
    </row>
    <row r="308" spans="1:8" customFormat="1" ht="15.75" customHeight="1">
      <c r="A308" s="94">
        <v>303</v>
      </c>
      <c r="B308" s="141" t="s">
        <v>1119</v>
      </c>
      <c r="C308" s="141" t="s">
        <v>699</v>
      </c>
      <c r="D308" s="141" t="s">
        <v>105</v>
      </c>
      <c r="E308" s="141" t="s">
        <v>110</v>
      </c>
      <c r="F308" s="142">
        <v>1</v>
      </c>
      <c r="G308" s="142">
        <v>100000</v>
      </c>
      <c r="H308" s="95">
        <f t="shared" si="4"/>
        <v>0.1875</v>
      </c>
    </row>
    <row r="309" spans="1:8" customFormat="1" ht="15.75" customHeight="1">
      <c r="A309" s="94">
        <v>304</v>
      </c>
      <c r="B309" s="141" t="s">
        <v>1119</v>
      </c>
      <c r="C309" s="141" t="s">
        <v>906</v>
      </c>
      <c r="D309" s="141" t="s">
        <v>907</v>
      </c>
      <c r="E309" s="141" t="s">
        <v>110</v>
      </c>
      <c r="F309" s="142">
        <v>1</v>
      </c>
      <c r="G309" s="142">
        <v>100000</v>
      </c>
      <c r="H309" s="95">
        <f t="shared" si="4"/>
        <v>0.1875</v>
      </c>
    </row>
    <row r="310" spans="1:8" customFormat="1" ht="15.75" customHeight="1">
      <c r="A310" s="94">
        <v>305</v>
      </c>
      <c r="B310" s="141" t="s">
        <v>1119</v>
      </c>
      <c r="C310" s="141" t="s">
        <v>256</v>
      </c>
      <c r="D310" s="141" t="s">
        <v>167</v>
      </c>
      <c r="E310" s="141" t="s">
        <v>110</v>
      </c>
      <c r="F310" s="142">
        <v>1</v>
      </c>
      <c r="G310" s="142">
        <v>100000</v>
      </c>
      <c r="H310" s="95">
        <f t="shared" si="4"/>
        <v>0.1875</v>
      </c>
    </row>
    <row r="311" spans="1:8" customFormat="1" ht="15.75" customHeight="1">
      <c r="A311" s="94">
        <v>306</v>
      </c>
      <c r="B311" s="141" t="s">
        <v>1239</v>
      </c>
      <c r="C311" s="141" t="s">
        <v>937</v>
      </c>
      <c r="D311" s="141" t="s">
        <v>938</v>
      </c>
      <c r="E311" s="141" t="s">
        <v>110</v>
      </c>
      <c r="F311" s="142">
        <v>1</v>
      </c>
      <c r="G311" s="142">
        <v>100000</v>
      </c>
      <c r="H311" s="95">
        <f t="shared" si="4"/>
        <v>0.1875</v>
      </c>
    </row>
    <row r="312" spans="1:8" customFormat="1" ht="15.75" customHeight="1">
      <c r="A312" s="94">
        <v>307</v>
      </c>
      <c r="B312" s="141" t="s">
        <v>1120</v>
      </c>
      <c r="C312" s="141" t="s">
        <v>557</v>
      </c>
      <c r="D312" s="141" t="s">
        <v>103</v>
      </c>
      <c r="E312" s="141" t="s">
        <v>110</v>
      </c>
      <c r="F312" s="142">
        <v>1</v>
      </c>
      <c r="G312" s="142">
        <v>100000</v>
      </c>
      <c r="H312" s="95">
        <f t="shared" ref="H312:H375" si="5">25%*75%</f>
        <v>0.1875</v>
      </c>
    </row>
    <row r="313" spans="1:8" customFormat="1" ht="15.75" customHeight="1">
      <c r="A313" s="94">
        <v>308</v>
      </c>
      <c r="B313" s="141" t="s">
        <v>1120</v>
      </c>
      <c r="C313" s="141" t="s">
        <v>571</v>
      </c>
      <c r="D313" s="141" t="s">
        <v>572</v>
      </c>
      <c r="E313" s="141" t="s">
        <v>110</v>
      </c>
      <c r="F313" s="142">
        <v>1</v>
      </c>
      <c r="G313" s="142">
        <v>100000</v>
      </c>
      <c r="H313" s="95">
        <f t="shared" si="5"/>
        <v>0.1875</v>
      </c>
    </row>
    <row r="314" spans="1:8" customFormat="1" ht="15.75" customHeight="1">
      <c r="A314" s="94">
        <v>309</v>
      </c>
      <c r="B314" s="141" t="s">
        <v>1120</v>
      </c>
      <c r="C314" s="141" t="s">
        <v>607</v>
      </c>
      <c r="D314" s="141" t="s">
        <v>106</v>
      </c>
      <c r="E314" s="141" t="s">
        <v>110</v>
      </c>
      <c r="F314" s="142">
        <v>1</v>
      </c>
      <c r="G314" s="142">
        <v>100000</v>
      </c>
      <c r="H314" s="95">
        <f t="shared" si="5"/>
        <v>0.1875</v>
      </c>
    </row>
    <row r="315" spans="1:8" customFormat="1" ht="15.75" customHeight="1">
      <c r="A315" s="94">
        <v>310</v>
      </c>
      <c r="B315" s="141" t="s">
        <v>1120</v>
      </c>
      <c r="C315" s="141" t="s">
        <v>630</v>
      </c>
      <c r="D315" s="141" t="s">
        <v>631</v>
      </c>
      <c r="E315" s="141" t="s">
        <v>110</v>
      </c>
      <c r="F315" s="142">
        <v>1</v>
      </c>
      <c r="G315" s="142">
        <v>100000</v>
      </c>
      <c r="H315" s="95">
        <f t="shared" si="5"/>
        <v>0.1875</v>
      </c>
    </row>
    <row r="316" spans="1:8" customFormat="1" ht="15.75" customHeight="1">
      <c r="A316" s="94">
        <v>311</v>
      </c>
      <c r="B316" s="141" t="s">
        <v>1120</v>
      </c>
      <c r="C316" s="141" t="s">
        <v>654</v>
      </c>
      <c r="D316" s="141" t="s">
        <v>107</v>
      </c>
      <c r="E316" s="141" t="s">
        <v>110</v>
      </c>
      <c r="F316" s="142">
        <v>1</v>
      </c>
      <c r="G316" s="142">
        <v>100000</v>
      </c>
      <c r="H316" s="95">
        <f t="shared" si="5"/>
        <v>0.1875</v>
      </c>
    </row>
    <row r="317" spans="1:8" customFormat="1" ht="15.75" customHeight="1">
      <c r="A317" s="94">
        <v>312</v>
      </c>
      <c r="B317" s="141" t="s">
        <v>1120</v>
      </c>
      <c r="C317" s="141" t="s">
        <v>674</v>
      </c>
      <c r="D317" s="141" t="s">
        <v>675</v>
      </c>
      <c r="E317" s="141" t="s">
        <v>110</v>
      </c>
      <c r="F317" s="142">
        <v>1</v>
      </c>
      <c r="G317" s="142">
        <v>100000</v>
      </c>
      <c r="H317" s="95">
        <f t="shared" si="5"/>
        <v>0.1875</v>
      </c>
    </row>
    <row r="318" spans="1:8" customFormat="1" ht="15.75" customHeight="1">
      <c r="A318" s="94">
        <v>313</v>
      </c>
      <c r="B318" s="141" t="s">
        <v>1120</v>
      </c>
      <c r="C318" s="141" t="s">
        <v>677</v>
      </c>
      <c r="D318" s="141" t="s">
        <v>147</v>
      </c>
      <c r="E318" s="141" t="s">
        <v>110</v>
      </c>
      <c r="F318" s="142">
        <v>1</v>
      </c>
      <c r="G318" s="142">
        <v>100000</v>
      </c>
      <c r="H318" s="95">
        <f t="shared" si="5"/>
        <v>0.1875</v>
      </c>
    </row>
    <row r="319" spans="1:8" customFormat="1" ht="15.75" customHeight="1">
      <c r="A319" s="94">
        <v>314</v>
      </c>
      <c r="B319" s="141" t="s">
        <v>1120</v>
      </c>
      <c r="C319" s="141" t="s">
        <v>699</v>
      </c>
      <c r="D319" s="141" t="s">
        <v>105</v>
      </c>
      <c r="E319" s="141" t="s">
        <v>110</v>
      </c>
      <c r="F319" s="142">
        <v>1</v>
      </c>
      <c r="G319" s="142">
        <v>100000</v>
      </c>
      <c r="H319" s="95">
        <f t="shared" si="5"/>
        <v>0.1875</v>
      </c>
    </row>
    <row r="320" spans="1:8" customFormat="1" ht="15.75" customHeight="1">
      <c r="A320" s="94">
        <v>315</v>
      </c>
      <c r="B320" s="141" t="s">
        <v>1120</v>
      </c>
      <c r="C320" s="141" t="s">
        <v>341</v>
      </c>
      <c r="D320" s="141" t="s">
        <v>728</v>
      </c>
      <c r="E320" s="141" t="s">
        <v>110</v>
      </c>
      <c r="F320" s="142">
        <v>1</v>
      </c>
      <c r="G320" s="142">
        <v>100000</v>
      </c>
      <c r="H320" s="95">
        <f t="shared" si="5"/>
        <v>0.1875</v>
      </c>
    </row>
    <row r="321" spans="1:8" customFormat="1" ht="15.75" customHeight="1">
      <c r="A321" s="94">
        <v>316</v>
      </c>
      <c r="B321" s="141" t="s">
        <v>1120</v>
      </c>
      <c r="C321" s="141" t="s">
        <v>746</v>
      </c>
      <c r="D321" s="141" t="s">
        <v>747</v>
      </c>
      <c r="E321" s="141" t="s">
        <v>110</v>
      </c>
      <c r="F321" s="142">
        <v>1</v>
      </c>
      <c r="G321" s="142">
        <v>100000</v>
      </c>
      <c r="H321" s="95">
        <f t="shared" si="5"/>
        <v>0.1875</v>
      </c>
    </row>
    <row r="322" spans="1:8" customFormat="1" ht="15.75" customHeight="1">
      <c r="A322" s="94">
        <v>317</v>
      </c>
      <c r="B322" s="141" t="s">
        <v>1120</v>
      </c>
      <c r="C322" s="141" t="s">
        <v>789</v>
      </c>
      <c r="D322" s="141" t="s">
        <v>790</v>
      </c>
      <c r="E322" s="141" t="s">
        <v>110</v>
      </c>
      <c r="F322" s="142">
        <v>1</v>
      </c>
      <c r="G322" s="142">
        <v>100000</v>
      </c>
      <c r="H322" s="95">
        <f t="shared" si="5"/>
        <v>0.1875</v>
      </c>
    </row>
    <row r="323" spans="1:8" customFormat="1" ht="15.75" customHeight="1">
      <c r="A323" s="94">
        <v>318</v>
      </c>
      <c r="B323" s="141" t="s">
        <v>1120</v>
      </c>
      <c r="C323" s="141" t="s">
        <v>823</v>
      </c>
      <c r="D323" s="141" t="s">
        <v>824</v>
      </c>
      <c r="E323" s="141" t="s">
        <v>110</v>
      </c>
      <c r="F323" s="142">
        <v>1</v>
      </c>
      <c r="G323" s="142">
        <v>100000</v>
      </c>
      <c r="H323" s="95">
        <f t="shared" si="5"/>
        <v>0.1875</v>
      </c>
    </row>
    <row r="324" spans="1:8" customFormat="1" ht="15.75" customHeight="1">
      <c r="A324" s="94">
        <v>319</v>
      </c>
      <c r="B324" s="141" t="s">
        <v>1120</v>
      </c>
      <c r="C324" s="141" t="s">
        <v>1017</v>
      </c>
      <c r="D324" s="141" t="s">
        <v>98</v>
      </c>
      <c r="E324" s="141" t="s">
        <v>110</v>
      </c>
      <c r="F324" s="142">
        <v>1</v>
      </c>
      <c r="G324" s="142">
        <v>100000</v>
      </c>
      <c r="H324" s="95">
        <f t="shared" si="5"/>
        <v>0.1875</v>
      </c>
    </row>
    <row r="325" spans="1:8" customFormat="1" ht="15.75" customHeight="1">
      <c r="A325" s="94">
        <v>320</v>
      </c>
      <c r="B325" s="141" t="s">
        <v>1120</v>
      </c>
      <c r="C325" s="141" t="s">
        <v>322</v>
      </c>
      <c r="D325" s="141" t="s">
        <v>882</v>
      </c>
      <c r="E325" s="141" t="s">
        <v>110</v>
      </c>
      <c r="F325" s="142">
        <v>1</v>
      </c>
      <c r="G325" s="142">
        <v>100000</v>
      </c>
      <c r="H325" s="95">
        <f t="shared" si="5"/>
        <v>0.1875</v>
      </c>
    </row>
    <row r="326" spans="1:8" customFormat="1" ht="15.75" customHeight="1">
      <c r="A326" s="94">
        <v>321</v>
      </c>
      <c r="B326" s="141" t="s">
        <v>1120</v>
      </c>
      <c r="C326" s="141" t="s">
        <v>889</v>
      </c>
      <c r="D326" s="141" t="s">
        <v>890</v>
      </c>
      <c r="E326" s="141" t="s">
        <v>110</v>
      </c>
      <c r="F326" s="142">
        <v>1</v>
      </c>
      <c r="G326" s="142">
        <v>100000</v>
      </c>
      <c r="H326" s="95">
        <f t="shared" si="5"/>
        <v>0.1875</v>
      </c>
    </row>
    <row r="327" spans="1:8" customFormat="1" ht="15.75" customHeight="1">
      <c r="A327" s="94">
        <v>322</v>
      </c>
      <c r="B327" s="141" t="s">
        <v>1120</v>
      </c>
      <c r="C327" s="141" t="s">
        <v>906</v>
      </c>
      <c r="D327" s="141" t="s">
        <v>907</v>
      </c>
      <c r="E327" s="141" t="s">
        <v>110</v>
      </c>
      <c r="F327" s="142">
        <v>1</v>
      </c>
      <c r="G327" s="142">
        <v>100000</v>
      </c>
      <c r="H327" s="95">
        <f t="shared" si="5"/>
        <v>0.1875</v>
      </c>
    </row>
    <row r="328" spans="1:8" customFormat="1" ht="15.75" customHeight="1">
      <c r="A328" s="94">
        <v>323</v>
      </c>
      <c r="B328" s="141" t="s">
        <v>1120</v>
      </c>
      <c r="C328" s="141" t="s">
        <v>937</v>
      </c>
      <c r="D328" s="141" t="s">
        <v>938</v>
      </c>
      <c r="E328" s="141" t="s">
        <v>110</v>
      </c>
      <c r="F328" s="142">
        <v>1</v>
      </c>
      <c r="G328" s="142">
        <v>100000</v>
      </c>
      <c r="H328" s="95">
        <f t="shared" si="5"/>
        <v>0.1875</v>
      </c>
    </row>
    <row r="329" spans="1:8" customFormat="1" ht="15.75" customHeight="1">
      <c r="A329" s="94">
        <v>324</v>
      </c>
      <c r="B329" s="141" t="s">
        <v>1120</v>
      </c>
      <c r="C329" s="141" t="s">
        <v>222</v>
      </c>
      <c r="D329" s="141" t="s">
        <v>100</v>
      </c>
      <c r="E329" s="141" t="s">
        <v>110</v>
      </c>
      <c r="F329" s="142">
        <v>1</v>
      </c>
      <c r="G329" s="142">
        <v>100000</v>
      </c>
      <c r="H329" s="95">
        <f t="shared" si="5"/>
        <v>0.1875</v>
      </c>
    </row>
    <row r="330" spans="1:8" customFormat="1" ht="15.75" customHeight="1">
      <c r="A330" s="94">
        <v>325</v>
      </c>
      <c r="B330" s="141" t="s">
        <v>1242</v>
      </c>
      <c r="C330" s="141" t="s">
        <v>222</v>
      </c>
      <c r="D330" s="141" t="s">
        <v>100</v>
      </c>
      <c r="E330" s="141" t="s">
        <v>110</v>
      </c>
      <c r="F330" s="142">
        <v>1</v>
      </c>
      <c r="G330" s="142">
        <v>100000</v>
      </c>
      <c r="H330" s="95">
        <f t="shared" si="5"/>
        <v>0.1875</v>
      </c>
    </row>
    <row r="331" spans="1:8" customFormat="1" ht="15.75" customHeight="1">
      <c r="A331" s="94">
        <v>326</v>
      </c>
      <c r="B331" s="141" t="s">
        <v>1089</v>
      </c>
      <c r="C331" s="141" t="s">
        <v>557</v>
      </c>
      <c r="D331" s="141" t="s">
        <v>103</v>
      </c>
      <c r="E331" s="141" t="s">
        <v>110</v>
      </c>
      <c r="F331" s="142">
        <v>1</v>
      </c>
      <c r="G331" s="142">
        <v>100000</v>
      </c>
      <c r="H331" s="95">
        <f t="shared" si="5"/>
        <v>0.1875</v>
      </c>
    </row>
    <row r="332" spans="1:8" customFormat="1" ht="15.75" customHeight="1">
      <c r="A332" s="94">
        <v>327</v>
      </c>
      <c r="B332" s="141" t="s">
        <v>1089</v>
      </c>
      <c r="C332" s="141" t="s">
        <v>607</v>
      </c>
      <c r="D332" s="141" t="s">
        <v>106</v>
      </c>
      <c r="E332" s="141" t="s">
        <v>110</v>
      </c>
      <c r="F332" s="142">
        <v>1</v>
      </c>
      <c r="G332" s="142">
        <v>100000</v>
      </c>
      <c r="H332" s="95">
        <f t="shared" si="5"/>
        <v>0.1875</v>
      </c>
    </row>
    <row r="333" spans="1:8" customFormat="1" ht="15.75" customHeight="1">
      <c r="A333" s="94">
        <v>328</v>
      </c>
      <c r="B333" s="141" t="s">
        <v>1089</v>
      </c>
      <c r="C333" s="141" t="s">
        <v>654</v>
      </c>
      <c r="D333" s="141" t="s">
        <v>107</v>
      </c>
      <c r="E333" s="141" t="s">
        <v>110</v>
      </c>
      <c r="F333" s="142">
        <v>1</v>
      </c>
      <c r="G333" s="142">
        <v>100000</v>
      </c>
      <c r="H333" s="95">
        <f t="shared" si="5"/>
        <v>0.1875</v>
      </c>
    </row>
    <row r="334" spans="1:8" customFormat="1" ht="15.75" customHeight="1">
      <c r="A334" s="94">
        <v>329</v>
      </c>
      <c r="B334" s="141" t="s">
        <v>1089</v>
      </c>
      <c r="C334" s="141" t="s">
        <v>677</v>
      </c>
      <c r="D334" s="141" t="s">
        <v>147</v>
      </c>
      <c r="E334" s="141" t="s">
        <v>110</v>
      </c>
      <c r="F334" s="142">
        <v>1</v>
      </c>
      <c r="G334" s="142">
        <v>100000</v>
      </c>
      <c r="H334" s="95">
        <f t="shared" si="5"/>
        <v>0.1875</v>
      </c>
    </row>
    <row r="335" spans="1:8" customFormat="1" ht="15.75" customHeight="1">
      <c r="A335" s="94">
        <v>330</v>
      </c>
      <c r="B335" s="141" t="s">
        <v>1089</v>
      </c>
      <c r="C335" s="141" t="s">
        <v>322</v>
      </c>
      <c r="D335" s="141" t="s">
        <v>882</v>
      </c>
      <c r="E335" s="141" t="s">
        <v>110</v>
      </c>
      <c r="F335" s="142">
        <v>1</v>
      </c>
      <c r="G335" s="142">
        <v>100000</v>
      </c>
      <c r="H335" s="95">
        <f t="shared" si="5"/>
        <v>0.1875</v>
      </c>
    </row>
    <row r="336" spans="1:8" customFormat="1" ht="15.75" customHeight="1">
      <c r="A336" s="94">
        <v>331</v>
      </c>
      <c r="B336" s="141" t="s">
        <v>1089</v>
      </c>
      <c r="C336" s="141" t="s">
        <v>889</v>
      </c>
      <c r="D336" s="141" t="s">
        <v>890</v>
      </c>
      <c r="E336" s="141" t="s">
        <v>110</v>
      </c>
      <c r="F336" s="142">
        <v>1</v>
      </c>
      <c r="G336" s="142">
        <v>100000</v>
      </c>
      <c r="H336" s="95">
        <f t="shared" si="5"/>
        <v>0.1875</v>
      </c>
    </row>
    <row r="337" spans="1:8" customFormat="1" ht="15.75" customHeight="1">
      <c r="A337" s="94">
        <v>332</v>
      </c>
      <c r="B337" s="141" t="s">
        <v>1089</v>
      </c>
      <c r="C337" s="141" t="s">
        <v>222</v>
      </c>
      <c r="D337" s="141" t="s">
        <v>100</v>
      </c>
      <c r="E337" s="141" t="s">
        <v>110</v>
      </c>
      <c r="F337" s="142">
        <v>1</v>
      </c>
      <c r="G337" s="142">
        <v>100000</v>
      </c>
      <c r="H337" s="95">
        <f t="shared" si="5"/>
        <v>0.1875</v>
      </c>
    </row>
    <row r="338" spans="1:8" customFormat="1" ht="15.75" customHeight="1">
      <c r="A338" s="94">
        <v>333</v>
      </c>
      <c r="B338" s="141" t="s">
        <v>1103</v>
      </c>
      <c r="C338" s="141" t="s">
        <v>531</v>
      </c>
      <c r="D338" s="141" t="s">
        <v>532</v>
      </c>
      <c r="E338" s="141" t="s">
        <v>110</v>
      </c>
      <c r="F338" s="142">
        <v>1</v>
      </c>
      <c r="G338" s="142">
        <v>100000</v>
      </c>
      <c r="H338" s="95">
        <f t="shared" si="5"/>
        <v>0.1875</v>
      </c>
    </row>
    <row r="339" spans="1:8" customFormat="1" ht="15.75" customHeight="1">
      <c r="A339" s="94">
        <v>334</v>
      </c>
      <c r="B339" s="141" t="s">
        <v>1103</v>
      </c>
      <c r="C339" s="141" t="s">
        <v>571</v>
      </c>
      <c r="D339" s="141" t="s">
        <v>572</v>
      </c>
      <c r="E339" s="141" t="s">
        <v>110</v>
      </c>
      <c r="F339" s="142">
        <v>1</v>
      </c>
      <c r="G339" s="142">
        <v>100000</v>
      </c>
      <c r="H339" s="95">
        <f t="shared" si="5"/>
        <v>0.1875</v>
      </c>
    </row>
    <row r="340" spans="1:8" customFormat="1" ht="15.75" customHeight="1">
      <c r="A340" s="94">
        <v>335</v>
      </c>
      <c r="B340" s="141" t="s">
        <v>1103</v>
      </c>
      <c r="C340" s="141" t="s">
        <v>311</v>
      </c>
      <c r="D340" s="141" t="s">
        <v>600</v>
      </c>
      <c r="E340" s="141" t="s">
        <v>110</v>
      </c>
      <c r="F340" s="142">
        <v>1</v>
      </c>
      <c r="G340" s="142">
        <v>100000</v>
      </c>
      <c r="H340" s="95">
        <f t="shared" si="5"/>
        <v>0.1875</v>
      </c>
    </row>
    <row r="341" spans="1:8" customFormat="1" ht="15.75" customHeight="1">
      <c r="A341" s="94">
        <v>336</v>
      </c>
      <c r="B341" s="141" t="s">
        <v>1103</v>
      </c>
      <c r="C341" s="141" t="s">
        <v>603</v>
      </c>
      <c r="D341" s="141" t="s">
        <v>604</v>
      </c>
      <c r="E341" s="141" t="s">
        <v>110</v>
      </c>
      <c r="F341" s="142">
        <v>1</v>
      </c>
      <c r="G341" s="142">
        <v>100000</v>
      </c>
      <c r="H341" s="95">
        <f t="shared" si="5"/>
        <v>0.1875</v>
      </c>
    </row>
    <row r="342" spans="1:8" customFormat="1" ht="15.75" customHeight="1">
      <c r="A342" s="94">
        <v>337</v>
      </c>
      <c r="B342" s="141" t="s">
        <v>1103</v>
      </c>
      <c r="C342" s="141" t="s">
        <v>630</v>
      </c>
      <c r="D342" s="141" t="s">
        <v>631</v>
      </c>
      <c r="E342" s="141" t="s">
        <v>110</v>
      </c>
      <c r="F342" s="142">
        <v>1</v>
      </c>
      <c r="G342" s="142">
        <v>100000</v>
      </c>
      <c r="H342" s="95">
        <f t="shared" si="5"/>
        <v>0.1875</v>
      </c>
    </row>
    <row r="343" spans="1:8" customFormat="1" ht="15.75" customHeight="1">
      <c r="A343" s="94">
        <v>338</v>
      </c>
      <c r="B343" s="141" t="s">
        <v>1103</v>
      </c>
      <c r="C343" s="141" t="s">
        <v>699</v>
      </c>
      <c r="D343" s="141" t="s">
        <v>105</v>
      </c>
      <c r="E343" s="141" t="s">
        <v>110</v>
      </c>
      <c r="F343" s="142">
        <v>1</v>
      </c>
      <c r="G343" s="142">
        <v>100000</v>
      </c>
      <c r="H343" s="95">
        <f t="shared" si="5"/>
        <v>0.1875</v>
      </c>
    </row>
    <row r="344" spans="1:8" customFormat="1" ht="15.75" customHeight="1">
      <c r="A344" s="94">
        <v>339</v>
      </c>
      <c r="B344" s="141" t="s">
        <v>1103</v>
      </c>
      <c r="C344" s="141" t="s">
        <v>746</v>
      </c>
      <c r="D344" s="141" t="s">
        <v>747</v>
      </c>
      <c r="E344" s="141" t="s">
        <v>110</v>
      </c>
      <c r="F344" s="142">
        <v>1</v>
      </c>
      <c r="G344" s="142">
        <v>100000</v>
      </c>
      <c r="H344" s="95">
        <f t="shared" si="5"/>
        <v>0.1875</v>
      </c>
    </row>
    <row r="345" spans="1:8" customFormat="1" ht="15.75" customHeight="1">
      <c r="A345" s="94">
        <v>340</v>
      </c>
      <c r="B345" s="141" t="s">
        <v>1103</v>
      </c>
      <c r="C345" s="141" t="s">
        <v>823</v>
      </c>
      <c r="D345" s="141" t="s">
        <v>824</v>
      </c>
      <c r="E345" s="141" t="s">
        <v>110</v>
      </c>
      <c r="F345" s="142">
        <v>1</v>
      </c>
      <c r="G345" s="142">
        <v>100000</v>
      </c>
      <c r="H345" s="95">
        <f t="shared" si="5"/>
        <v>0.1875</v>
      </c>
    </row>
    <row r="346" spans="1:8" customFormat="1" ht="15.75" customHeight="1">
      <c r="A346" s="94">
        <v>341</v>
      </c>
      <c r="B346" s="141" t="s">
        <v>1103</v>
      </c>
      <c r="C346" s="141" t="s">
        <v>1017</v>
      </c>
      <c r="D346" s="141" t="s">
        <v>98</v>
      </c>
      <c r="E346" s="141" t="s">
        <v>110</v>
      </c>
      <c r="F346" s="142">
        <v>1</v>
      </c>
      <c r="G346" s="142">
        <v>100000</v>
      </c>
      <c r="H346" s="95">
        <f t="shared" si="5"/>
        <v>0.1875</v>
      </c>
    </row>
    <row r="347" spans="1:8" customFormat="1" ht="15.75" customHeight="1">
      <c r="A347" s="94">
        <v>342</v>
      </c>
      <c r="B347" s="141" t="s">
        <v>1103</v>
      </c>
      <c r="C347" s="141" t="s">
        <v>937</v>
      </c>
      <c r="D347" s="141" t="s">
        <v>938</v>
      </c>
      <c r="E347" s="141" t="s">
        <v>110</v>
      </c>
      <c r="F347" s="142">
        <v>1</v>
      </c>
      <c r="G347" s="142">
        <v>100000</v>
      </c>
      <c r="H347" s="95">
        <f t="shared" si="5"/>
        <v>0.1875</v>
      </c>
    </row>
    <row r="348" spans="1:8" customFormat="1" ht="15.75" customHeight="1">
      <c r="A348" s="94">
        <v>343</v>
      </c>
      <c r="B348" s="141" t="s">
        <v>1103</v>
      </c>
      <c r="C348" s="141" t="s">
        <v>256</v>
      </c>
      <c r="D348" s="141" t="s">
        <v>167</v>
      </c>
      <c r="E348" s="141" t="s">
        <v>110</v>
      </c>
      <c r="F348" s="142">
        <v>1</v>
      </c>
      <c r="G348" s="142">
        <v>100000</v>
      </c>
      <c r="H348" s="95">
        <f t="shared" si="5"/>
        <v>0.1875</v>
      </c>
    </row>
    <row r="349" spans="1:8" customFormat="1" ht="15.75" customHeight="1">
      <c r="A349" s="94">
        <v>344</v>
      </c>
      <c r="B349" s="141" t="s">
        <v>762</v>
      </c>
      <c r="C349" s="141" t="s">
        <v>667</v>
      </c>
      <c r="D349" s="141" t="s">
        <v>128</v>
      </c>
      <c r="E349" s="141" t="s">
        <v>110</v>
      </c>
      <c r="F349" s="142">
        <v>1</v>
      </c>
      <c r="G349" s="142">
        <v>100000</v>
      </c>
      <c r="H349" s="95">
        <f t="shared" si="5"/>
        <v>0.1875</v>
      </c>
    </row>
    <row r="350" spans="1:8" customFormat="1" ht="15.75" customHeight="1">
      <c r="A350" s="94">
        <v>345</v>
      </c>
      <c r="B350" s="141" t="s">
        <v>880</v>
      </c>
      <c r="C350" s="141" t="s">
        <v>744</v>
      </c>
      <c r="D350" s="141" t="s">
        <v>130</v>
      </c>
      <c r="E350" s="141" t="s">
        <v>110</v>
      </c>
      <c r="F350" s="142">
        <v>1</v>
      </c>
      <c r="G350" s="142">
        <v>100000</v>
      </c>
      <c r="H350" s="95">
        <f t="shared" si="5"/>
        <v>0.1875</v>
      </c>
    </row>
    <row r="351" spans="1:8" customFormat="1" ht="15.75" customHeight="1">
      <c r="A351" s="94">
        <v>346</v>
      </c>
      <c r="B351" s="141" t="s">
        <v>1078</v>
      </c>
      <c r="C351" s="141" t="s">
        <v>607</v>
      </c>
      <c r="D351" s="141" t="s">
        <v>106</v>
      </c>
      <c r="E351" s="141" t="s">
        <v>110</v>
      </c>
      <c r="F351" s="142">
        <v>1</v>
      </c>
      <c r="G351" s="142">
        <v>100000</v>
      </c>
      <c r="H351" s="95">
        <f t="shared" si="5"/>
        <v>0.1875</v>
      </c>
    </row>
    <row r="352" spans="1:8" customFormat="1" ht="15.75" customHeight="1">
      <c r="A352" s="94">
        <v>347</v>
      </c>
      <c r="B352" s="141" t="s">
        <v>1078</v>
      </c>
      <c r="C352" s="141" t="s">
        <v>654</v>
      </c>
      <c r="D352" s="141" t="s">
        <v>107</v>
      </c>
      <c r="E352" s="141" t="s">
        <v>110</v>
      </c>
      <c r="F352" s="142">
        <v>1</v>
      </c>
      <c r="G352" s="142">
        <v>100000</v>
      </c>
      <c r="H352" s="95">
        <f t="shared" si="5"/>
        <v>0.1875</v>
      </c>
    </row>
    <row r="353" spans="1:8" customFormat="1" ht="15.75" customHeight="1">
      <c r="A353" s="94">
        <v>348</v>
      </c>
      <c r="B353" s="141" t="s">
        <v>1078</v>
      </c>
      <c r="C353" s="141" t="s">
        <v>677</v>
      </c>
      <c r="D353" s="141" t="s">
        <v>147</v>
      </c>
      <c r="E353" s="141" t="s">
        <v>110</v>
      </c>
      <c r="F353" s="142">
        <v>1</v>
      </c>
      <c r="G353" s="142">
        <v>100000</v>
      </c>
      <c r="H353" s="95">
        <f t="shared" si="5"/>
        <v>0.1875</v>
      </c>
    </row>
    <row r="354" spans="1:8" customFormat="1" ht="15.75" customHeight="1">
      <c r="A354" s="94">
        <v>349</v>
      </c>
      <c r="B354" s="141" t="s">
        <v>1078</v>
      </c>
      <c r="C354" s="141" t="s">
        <v>746</v>
      </c>
      <c r="D354" s="141" t="s">
        <v>747</v>
      </c>
      <c r="E354" s="141" t="s">
        <v>110</v>
      </c>
      <c r="F354" s="142">
        <v>1</v>
      </c>
      <c r="G354" s="142">
        <v>100000</v>
      </c>
      <c r="H354" s="95">
        <f t="shared" si="5"/>
        <v>0.1875</v>
      </c>
    </row>
    <row r="355" spans="1:8" customFormat="1" ht="15.75" customHeight="1">
      <c r="A355" s="94">
        <v>350</v>
      </c>
      <c r="B355" s="141" t="s">
        <v>1078</v>
      </c>
      <c r="C355" s="141" t="s">
        <v>222</v>
      </c>
      <c r="D355" s="141" t="s">
        <v>100</v>
      </c>
      <c r="E355" s="141" t="s">
        <v>110</v>
      </c>
      <c r="F355" s="142">
        <v>1</v>
      </c>
      <c r="G355" s="142">
        <v>100000</v>
      </c>
      <c r="H355" s="95">
        <f t="shared" si="5"/>
        <v>0.1875</v>
      </c>
    </row>
    <row r="356" spans="1:8" customFormat="1" ht="15.75" customHeight="1">
      <c r="A356" s="94">
        <v>351</v>
      </c>
      <c r="B356" s="141" t="s">
        <v>1099</v>
      </c>
      <c r="C356" s="141" t="s">
        <v>513</v>
      </c>
      <c r="D356" s="141" t="s">
        <v>106</v>
      </c>
      <c r="E356" s="141" t="s">
        <v>110</v>
      </c>
      <c r="F356" s="142">
        <v>1</v>
      </c>
      <c r="G356" s="142">
        <v>100000</v>
      </c>
      <c r="H356" s="95">
        <f t="shared" si="5"/>
        <v>0.1875</v>
      </c>
    </row>
    <row r="357" spans="1:8" customFormat="1" ht="15.75" customHeight="1">
      <c r="A357" s="94">
        <v>352</v>
      </c>
      <c r="B357" s="141" t="s">
        <v>1104</v>
      </c>
      <c r="C357" s="141" t="s">
        <v>531</v>
      </c>
      <c r="D357" s="141" t="s">
        <v>532</v>
      </c>
      <c r="E357" s="141" t="s">
        <v>110</v>
      </c>
      <c r="F357" s="142">
        <v>1</v>
      </c>
      <c r="G357" s="142">
        <v>100000</v>
      </c>
      <c r="H357" s="95">
        <f t="shared" si="5"/>
        <v>0.1875</v>
      </c>
    </row>
    <row r="358" spans="1:8" customFormat="1" ht="15.75" customHeight="1">
      <c r="A358" s="94">
        <v>353</v>
      </c>
      <c r="B358" s="141" t="s">
        <v>1104</v>
      </c>
      <c r="C358" s="141" t="s">
        <v>603</v>
      </c>
      <c r="D358" s="141" t="s">
        <v>604</v>
      </c>
      <c r="E358" s="141" t="s">
        <v>110</v>
      </c>
      <c r="F358" s="142">
        <v>1</v>
      </c>
      <c r="G358" s="142">
        <v>100000</v>
      </c>
      <c r="H358" s="95">
        <f t="shared" si="5"/>
        <v>0.1875</v>
      </c>
    </row>
    <row r="359" spans="1:8" customFormat="1" ht="15.75" customHeight="1">
      <c r="A359" s="94">
        <v>354</v>
      </c>
      <c r="B359" s="141" t="s">
        <v>1104</v>
      </c>
      <c r="C359" s="141" t="s">
        <v>674</v>
      </c>
      <c r="D359" s="141" t="s">
        <v>675</v>
      </c>
      <c r="E359" s="141" t="s">
        <v>110</v>
      </c>
      <c r="F359" s="142">
        <v>1</v>
      </c>
      <c r="G359" s="142">
        <v>100000</v>
      </c>
      <c r="H359" s="95">
        <f t="shared" si="5"/>
        <v>0.1875</v>
      </c>
    </row>
    <row r="360" spans="1:8" customFormat="1" ht="15.75" customHeight="1">
      <c r="A360" s="94">
        <v>355</v>
      </c>
      <c r="B360" s="141" t="s">
        <v>1104</v>
      </c>
      <c r="C360" s="141" t="s">
        <v>715</v>
      </c>
      <c r="D360" s="141" t="s">
        <v>716</v>
      </c>
      <c r="E360" s="141" t="s">
        <v>110</v>
      </c>
      <c r="F360" s="142">
        <v>1</v>
      </c>
      <c r="G360" s="142">
        <v>100000</v>
      </c>
      <c r="H360" s="95">
        <f t="shared" si="5"/>
        <v>0.1875</v>
      </c>
    </row>
    <row r="361" spans="1:8" customFormat="1" ht="15.75" customHeight="1">
      <c r="A361" s="94">
        <v>356</v>
      </c>
      <c r="B361" s="141" t="s">
        <v>1104</v>
      </c>
      <c r="C361" s="141" t="s">
        <v>341</v>
      </c>
      <c r="D361" s="141" t="s">
        <v>728</v>
      </c>
      <c r="E361" s="141" t="s">
        <v>110</v>
      </c>
      <c r="F361" s="142">
        <v>1</v>
      </c>
      <c r="G361" s="142">
        <v>100000</v>
      </c>
      <c r="H361" s="95">
        <f t="shared" si="5"/>
        <v>0.1875</v>
      </c>
    </row>
    <row r="362" spans="1:8" customFormat="1" ht="15.75" customHeight="1">
      <c r="A362" s="94">
        <v>357</v>
      </c>
      <c r="B362" s="141" t="s">
        <v>1104</v>
      </c>
      <c r="C362" s="141" t="s">
        <v>1017</v>
      </c>
      <c r="D362" s="141" t="s">
        <v>98</v>
      </c>
      <c r="E362" s="141" t="s">
        <v>110</v>
      </c>
      <c r="F362" s="142">
        <v>1</v>
      </c>
      <c r="G362" s="142">
        <v>100000</v>
      </c>
      <c r="H362" s="95">
        <f t="shared" si="5"/>
        <v>0.1875</v>
      </c>
    </row>
    <row r="363" spans="1:8" customFormat="1" ht="15.75" customHeight="1">
      <c r="A363" s="94">
        <v>358</v>
      </c>
      <c r="B363" s="141" t="s">
        <v>1104</v>
      </c>
      <c r="C363" s="141" t="s">
        <v>322</v>
      </c>
      <c r="D363" s="141" t="s">
        <v>882</v>
      </c>
      <c r="E363" s="141" t="s">
        <v>110</v>
      </c>
      <c r="F363" s="142">
        <v>1</v>
      </c>
      <c r="G363" s="142">
        <v>100000</v>
      </c>
      <c r="H363" s="95">
        <f t="shared" si="5"/>
        <v>0.1875</v>
      </c>
    </row>
    <row r="364" spans="1:8" customFormat="1" ht="15.75" customHeight="1">
      <c r="A364" s="94">
        <v>359</v>
      </c>
      <c r="B364" s="141" t="s">
        <v>1104</v>
      </c>
      <c r="C364" s="141" t="s">
        <v>937</v>
      </c>
      <c r="D364" s="141" t="s">
        <v>938</v>
      </c>
      <c r="E364" s="141" t="s">
        <v>110</v>
      </c>
      <c r="F364" s="142">
        <v>1</v>
      </c>
      <c r="G364" s="142">
        <v>100000</v>
      </c>
      <c r="H364" s="95">
        <f t="shared" si="5"/>
        <v>0.1875</v>
      </c>
    </row>
    <row r="365" spans="1:8" customFormat="1" ht="15.75" customHeight="1">
      <c r="A365" s="94">
        <v>360</v>
      </c>
      <c r="B365" s="141" t="s">
        <v>1104</v>
      </c>
      <c r="C365" s="141" t="s">
        <v>961</v>
      </c>
      <c r="D365" s="141" t="s">
        <v>154</v>
      </c>
      <c r="E365" s="141" t="s">
        <v>110</v>
      </c>
      <c r="F365" s="142">
        <v>1</v>
      </c>
      <c r="G365" s="142">
        <v>100000</v>
      </c>
      <c r="H365" s="95">
        <f t="shared" si="5"/>
        <v>0.1875</v>
      </c>
    </row>
    <row r="366" spans="1:8" customFormat="1" ht="15.75" customHeight="1">
      <c r="A366" s="94">
        <v>361</v>
      </c>
      <c r="B366" s="141" t="s">
        <v>1104</v>
      </c>
      <c r="C366" s="141" t="s">
        <v>969</v>
      </c>
      <c r="D366" s="141" t="s">
        <v>108</v>
      </c>
      <c r="E366" s="141" t="s">
        <v>110</v>
      </c>
      <c r="F366" s="142">
        <v>1</v>
      </c>
      <c r="G366" s="142">
        <v>100000</v>
      </c>
      <c r="H366" s="95">
        <f t="shared" si="5"/>
        <v>0.1875</v>
      </c>
    </row>
    <row r="367" spans="1:8" customFormat="1" ht="15.75" customHeight="1">
      <c r="A367" s="94">
        <v>362</v>
      </c>
      <c r="B367" s="141" t="s">
        <v>1009</v>
      </c>
      <c r="C367" s="141" t="s">
        <v>607</v>
      </c>
      <c r="D367" s="141" t="s">
        <v>106</v>
      </c>
      <c r="E367" s="141" t="s">
        <v>149</v>
      </c>
      <c r="F367" s="142">
        <v>1</v>
      </c>
      <c r="G367" s="142">
        <v>120000</v>
      </c>
      <c r="H367" s="95">
        <f t="shared" si="5"/>
        <v>0.1875</v>
      </c>
    </row>
    <row r="368" spans="1:8" customFormat="1" ht="15.75" customHeight="1">
      <c r="A368" s="94">
        <v>363</v>
      </c>
      <c r="B368" s="141" t="s">
        <v>1009</v>
      </c>
      <c r="C368" s="141" t="s">
        <v>690</v>
      </c>
      <c r="D368" s="141" t="s">
        <v>691</v>
      </c>
      <c r="E368" s="141" t="s">
        <v>1169</v>
      </c>
      <c r="F368" s="142">
        <v>1</v>
      </c>
      <c r="G368" s="142">
        <v>262900</v>
      </c>
      <c r="H368" s="95">
        <f t="shared" si="5"/>
        <v>0.1875</v>
      </c>
    </row>
    <row r="369" spans="1:8" customFormat="1" ht="15.75" customHeight="1">
      <c r="A369" s="94">
        <v>364</v>
      </c>
      <c r="B369" s="141" t="s">
        <v>1009</v>
      </c>
      <c r="C369" s="141" t="s">
        <v>760</v>
      </c>
      <c r="D369" s="141" t="s">
        <v>761</v>
      </c>
      <c r="E369" s="141" t="s">
        <v>110</v>
      </c>
      <c r="F369" s="142">
        <v>1</v>
      </c>
      <c r="G369" s="142">
        <v>100000</v>
      </c>
      <c r="H369" s="95">
        <f t="shared" si="5"/>
        <v>0.1875</v>
      </c>
    </row>
    <row r="370" spans="1:8" customFormat="1" ht="15.75" customHeight="1">
      <c r="A370" s="94">
        <v>365</v>
      </c>
      <c r="B370" s="141" t="s">
        <v>1009</v>
      </c>
      <c r="C370" s="141" t="s">
        <v>858</v>
      </c>
      <c r="D370" s="141" t="s">
        <v>859</v>
      </c>
      <c r="E370" s="141" t="s">
        <v>110</v>
      </c>
      <c r="F370" s="142">
        <v>1</v>
      </c>
      <c r="G370" s="142">
        <v>100000</v>
      </c>
      <c r="H370" s="95">
        <f t="shared" si="5"/>
        <v>0.1875</v>
      </c>
    </row>
    <row r="371" spans="1:8" customFormat="1" ht="15.75" customHeight="1">
      <c r="A371" s="94">
        <v>366</v>
      </c>
      <c r="B371" s="141" t="s">
        <v>1061</v>
      </c>
      <c r="C371" s="141" t="s">
        <v>607</v>
      </c>
      <c r="D371" s="141" t="s">
        <v>106</v>
      </c>
      <c r="E371" s="141" t="s">
        <v>110</v>
      </c>
      <c r="F371" s="142">
        <v>1</v>
      </c>
      <c r="G371" s="142">
        <v>100000</v>
      </c>
      <c r="H371" s="95">
        <f t="shared" si="5"/>
        <v>0.1875</v>
      </c>
    </row>
    <row r="372" spans="1:8" customFormat="1" ht="15.75" customHeight="1">
      <c r="A372" s="94">
        <v>367</v>
      </c>
      <c r="B372" s="141" t="s">
        <v>1061</v>
      </c>
      <c r="C372" s="141" t="s">
        <v>654</v>
      </c>
      <c r="D372" s="141" t="s">
        <v>107</v>
      </c>
      <c r="E372" s="141" t="s">
        <v>110</v>
      </c>
      <c r="F372" s="142">
        <v>1</v>
      </c>
      <c r="G372" s="142">
        <v>100000</v>
      </c>
      <c r="H372" s="95">
        <f t="shared" si="5"/>
        <v>0.1875</v>
      </c>
    </row>
    <row r="373" spans="1:8" customFormat="1" ht="15.75" customHeight="1">
      <c r="A373" s="94">
        <v>368</v>
      </c>
      <c r="B373" s="141" t="s">
        <v>1061</v>
      </c>
      <c r="C373" s="141" t="s">
        <v>674</v>
      </c>
      <c r="D373" s="141" t="s">
        <v>675</v>
      </c>
      <c r="E373" s="141" t="s">
        <v>110</v>
      </c>
      <c r="F373" s="142">
        <v>1</v>
      </c>
      <c r="G373" s="142">
        <v>100000</v>
      </c>
      <c r="H373" s="95">
        <f t="shared" si="5"/>
        <v>0.1875</v>
      </c>
    </row>
    <row r="374" spans="1:8" customFormat="1" ht="15.75" customHeight="1">
      <c r="A374" s="94">
        <v>369</v>
      </c>
      <c r="B374" s="141" t="s">
        <v>1061</v>
      </c>
      <c r="C374" s="141" t="s">
        <v>677</v>
      </c>
      <c r="D374" s="141" t="s">
        <v>147</v>
      </c>
      <c r="E374" s="141" t="s">
        <v>110</v>
      </c>
      <c r="F374" s="142">
        <v>1</v>
      </c>
      <c r="G374" s="142">
        <v>100000</v>
      </c>
      <c r="H374" s="95">
        <f t="shared" si="5"/>
        <v>0.1875</v>
      </c>
    </row>
    <row r="375" spans="1:8" customFormat="1" ht="15.75" customHeight="1">
      <c r="A375" s="94">
        <v>370</v>
      </c>
      <c r="B375" s="141" t="s">
        <v>1061</v>
      </c>
      <c r="C375" s="141" t="s">
        <v>341</v>
      </c>
      <c r="D375" s="141" t="s">
        <v>728</v>
      </c>
      <c r="E375" s="141" t="s">
        <v>110</v>
      </c>
      <c r="F375" s="142">
        <v>1</v>
      </c>
      <c r="G375" s="142">
        <v>100000</v>
      </c>
      <c r="H375" s="95">
        <f t="shared" si="5"/>
        <v>0.1875</v>
      </c>
    </row>
    <row r="376" spans="1:8" customFormat="1" ht="15.75" customHeight="1">
      <c r="A376" s="94">
        <v>371</v>
      </c>
      <c r="B376" s="141" t="s">
        <v>1061</v>
      </c>
      <c r="C376" s="141" t="s">
        <v>222</v>
      </c>
      <c r="D376" s="141" t="s">
        <v>100</v>
      </c>
      <c r="E376" s="141" t="s">
        <v>110</v>
      </c>
      <c r="F376" s="142">
        <v>1</v>
      </c>
      <c r="G376" s="142">
        <v>100000</v>
      </c>
      <c r="H376" s="95">
        <f t="shared" ref="H376:H439" si="6">25%*75%</f>
        <v>0.1875</v>
      </c>
    </row>
    <row r="377" spans="1:8" customFormat="1" ht="15.75" customHeight="1">
      <c r="A377" s="94">
        <v>372</v>
      </c>
      <c r="B377" s="141" t="s">
        <v>1100</v>
      </c>
      <c r="C377" s="141" t="s">
        <v>513</v>
      </c>
      <c r="D377" s="141" t="s">
        <v>106</v>
      </c>
      <c r="E377" s="141" t="s">
        <v>110</v>
      </c>
      <c r="F377" s="142">
        <v>1</v>
      </c>
      <c r="G377" s="142">
        <v>100000</v>
      </c>
      <c r="H377" s="95">
        <f t="shared" si="6"/>
        <v>0.1875</v>
      </c>
    </row>
    <row r="378" spans="1:8" customFormat="1" ht="15.75" customHeight="1">
      <c r="A378" s="94">
        <v>373</v>
      </c>
      <c r="B378" s="141" t="s">
        <v>1226</v>
      </c>
      <c r="C378" s="141" t="s">
        <v>878</v>
      </c>
      <c r="D378" s="141" t="s">
        <v>879</v>
      </c>
      <c r="E378" s="141" t="s">
        <v>110</v>
      </c>
      <c r="F378" s="142">
        <v>1</v>
      </c>
      <c r="G378" s="142">
        <v>100000</v>
      </c>
      <c r="H378" s="95">
        <f t="shared" si="6"/>
        <v>0.1875</v>
      </c>
    </row>
    <row r="379" spans="1:8" customFormat="1" ht="15.75" customHeight="1">
      <c r="A379" s="94">
        <v>374</v>
      </c>
      <c r="B379" s="141" t="s">
        <v>1189</v>
      </c>
      <c r="C379" s="141" t="s">
        <v>739</v>
      </c>
      <c r="D379" s="141" t="s">
        <v>740</v>
      </c>
      <c r="E379" s="141" t="s">
        <v>110</v>
      </c>
      <c r="F379" s="142">
        <v>1</v>
      </c>
      <c r="G379" s="142">
        <v>100000</v>
      </c>
      <c r="H379" s="95">
        <f t="shared" si="6"/>
        <v>0.1875</v>
      </c>
    </row>
    <row r="380" spans="1:8" customFormat="1" ht="15.75" customHeight="1">
      <c r="A380" s="94">
        <v>375</v>
      </c>
      <c r="B380" s="141" t="s">
        <v>1029</v>
      </c>
      <c r="C380" s="141" t="s">
        <v>531</v>
      </c>
      <c r="D380" s="141" t="s">
        <v>532</v>
      </c>
      <c r="E380" s="141" t="s">
        <v>110</v>
      </c>
      <c r="F380" s="142">
        <v>1</v>
      </c>
      <c r="G380" s="142">
        <v>100000</v>
      </c>
      <c r="H380" s="95">
        <f t="shared" si="6"/>
        <v>0.1875</v>
      </c>
    </row>
    <row r="381" spans="1:8" customFormat="1" ht="15.75" customHeight="1">
      <c r="A381" s="94">
        <v>376</v>
      </c>
      <c r="B381" s="141" t="s">
        <v>1029</v>
      </c>
      <c r="C381" s="141" t="s">
        <v>535</v>
      </c>
      <c r="D381" s="141" t="s">
        <v>536</v>
      </c>
      <c r="E381" s="141" t="s">
        <v>110</v>
      </c>
      <c r="F381" s="142">
        <v>1</v>
      </c>
      <c r="G381" s="142">
        <v>100000</v>
      </c>
      <c r="H381" s="95">
        <f t="shared" si="6"/>
        <v>0.1875</v>
      </c>
    </row>
    <row r="382" spans="1:8" customFormat="1" ht="15.75" customHeight="1">
      <c r="A382" s="94">
        <v>377</v>
      </c>
      <c r="B382" s="141" t="s">
        <v>1029</v>
      </c>
      <c r="C382" s="141" t="s">
        <v>594</v>
      </c>
      <c r="D382" s="141" t="s">
        <v>131</v>
      </c>
      <c r="E382" s="141" t="s">
        <v>110</v>
      </c>
      <c r="F382" s="142">
        <v>1</v>
      </c>
      <c r="G382" s="142">
        <v>100000</v>
      </c>
      <c r="H382" s="95">
        <f t="shared" si="6"/>
        <v>0.1875</v>
      </c>
    </row>
    <row r="383" spans="1:8" customFormat="1" ht="15.75" customHeight="1">
      <c r="A383" s="94">
        <v>378</v>
      </c>
      <c r="B383" s="141" t="s">
        <v>1029</v>
      </c>
      <c r="C383" s="141" t="s">
        <v>603</v>
      </c>
      <c r="D383" s="141" t="s">
        <v>604</v>
      </c>
      <c r="E383" s="141" t="s">
        <v>110</v>
      </c>
      <c r="F383" s="142">
        <v>1</v>
      </c>
      <c r="G383" s="142">
        <v>100000</v>
      </c>
      <c r="H383" s="95">
        <f t="shared" si="6"/>
        <v>0.1875</v>
      </c>
    </row>
    <row r="384" spans="1:8" customFormat="1" ht="15.75" customHeight="1">
      <c r="A384" s="94">
        <v>379</v>
      </c>
      <c r="B384" s="141" t="s">
        <v>1029</v>
      </c>
      <c r="C384" s="141" t="s">
        <v>715</v>
      </c>
      <c r="D384" s="141" t="s">
        <v>716</v>
      </c>
      <c r="E384" s="141" t="s">
        <v>110</v>
      </c>
      <c r="F384" s="142">
        <v>1</v>
      </c>
      <c r="G384" s="142">
        <v>100000</v>
      </c>
      <c r="H384" s="95">
        <f t="shared" si="6"/>
        <v>0.1875</v>
      </c>
    </row>
    <row r="385" spans="1:8" customFormat="1" ht="15.75" customHeight="1">
      <c r="A385" s="94">
        <v>380</v>
      </c>
      <c r="B385" s="141" t="s">
        <v>1029</v>
      </c>
      <c r="C385" s="141" t="s">
        <v>869</v>
      </c>
      <c r="D385" s="141" t="s">
        <v>870</v>
      </c>
      <c r="E385" s="141" t="s">
        <v>110</v>
      </c>
      <c r="F385" s="142">
        <v>1</v>
      </c>
      <c r="G385" s="142">
        <v>100000</v>
      </c>
      <c r="H385" s="95">
        <f t="shared" si="6"/>
        <v>0.1875</v>
      </c>
    </row>
    <row r="386" spans="1:8" customFormat="1" ht="15.75" customHeight="1">
      <c r="A386" s="94">
        <v>381</v>
      </c>
      <c r="B386" s="141" t="s">
        <v>1029</v>
      </c>
      <c r="C386" s="141" t="s">
        <v>912</v>
      </c>
      <c r="D386" s="141" t="s">
        <v>123</v>
      </c>
      <c r="E386" s="141" t="s">
        <v>110</v>
      </c>
      <c r="F386" s="142">
        <v>1</v>
      </c>
      <c r="G386" s="142">
        <v>100000</v>
      </c>
      <c r="H386" s="95">
        <f t="shared" si="6"/>
        <v>0.1875</v>
      </c>
    </row>
    <row r="387" spans="1:8" customFormat="1" ht="15.75" customHeight="1">
      <c r="A387" s="94">
        <v>382</v>
      </c>
      <c r="B387" s="141" t="s">
        <v>1029</v>
      </c>
      <c r="C387" s="141" t="s">
        <v>961</v>
      </c>
      <c r="D387" s="141" t="s">
        <v>154</v>
      </c>
      <c r="E387" s="141" t="s">
        <v>110</v>
      </c>
      <c r="F387" s="142">
        <v>1</v>
      </c>
      <c r="G387" s="142">
        <v>100000</v>
      </c>
      <c r="H387" s="95">
        <f t="shared" si="6"/>
        <v>0.1875</v>
      </c>
    </row>
    <row r="388" spans="1:8" customFormat="1" ht="15.75" customHeight="1">
      <c r="A388" s="94">
        <v>383</v>
      </c>
      <c r="B388" s="141" t="s">
        <v>1029</v>
      </c>
      <c r="C388" s="141" t="s">
        <v>969</v>
      </c>
      <c r="D388" s="141" t="s">
        <v>108</v>
      </c>
      <c r="E388" s="141" t="s">
        <v>110</v>
      </c>
      <c r="F388" s="142">
        <v>1</v>
      </c>
      <c r="G388" s="142">
        <v>100000</v>
      </c>
      <c r="H388" s="95">
        <f t="shared" si="6"/>
        <v>0.1875</v>
      </c>
    </row>
    <row r="389" spans="1:8" customFormat="1" ht="15.75" customHeight="1">
      <c r="A389" s="94">
        <v>384</v>
      </c>
      <c r="B389" s="141" t="s">
        <v>1202</v>
      </c>
      <c r="C389" s="141" t="s">
        <v>775</v>
      </c>
      <c r="D389" s="141" t="s">
        <v>776</v>
      </c>
      <c r="E389" s="141" t="s">
        <v>110</v>
      </c>
      <c r="F389" s="142">
        <v>1</v>
      </c>
      <c r="G389" s="142">
        <v>100000</v>
      </c>
      <c r="H389" s="95">
        <f t="shared" si="6"/>
        <v>0.1875</v>
      </c>
    </row>
    <row r="390" spans="1:8" customFormat="1" ht="15.75" customHeight="1">
      <c r="A390" s="94">
        <v>385</v>
      </c>
      <c r="B390" s="141" t="s">
        <v>1170</v>
      </c>
      <c r="C390" s="141" t="s">
        <v>690</v>
      </c>
      <c r="D390" s="141" t="s">
        <v>691</v>
      </c>
      <c r="E390" s="141" t="s">
        <v>1169</v>
      </c>
      <c r="F390" s="142">
        <v>1</v>
      </c>
      <c r="G390" s="142">
        <v>262900</v>
      </c>
      <c r="H390" s="95">
        <f t="shared" si="6"/>
        <v>0.1875</v>
      </c>
    </row>
    <row r="391" spans="1:8" customFormat="1" ht="15.75" customHeight="1">
      <c r="A391" s="94">
        <v>386</v>
      </c>
      <c r="B391" s="141" t="s">
        <v>1170</v>
      </c>
      <c r="C391" s="141" t="s">
        <v>861</v>
      </c>
      <c r="D391" s="141" t="s">
        <v>862</v>
      </c>
      <c r="E391" s="141" t="s">
        <v>110</v>
      </c>
      <c r="F391" s="142">
        <v>1</v>
      </c>
      <c r="G391" s="142">
        <v>100000</v>
      </c>
      <c r="H391" s="95">
        <f t="shared" si="6"/>
        <v>0.1875</v>
      </c>
    </row>
    <row r="392" spans="1:8" customFormat="1" ht="15.75" customHeight="1">
      <c r="A392" s="94">
        <v>387</v>
      </c>
      <c r="B392" s="141" t="s">
        <v>1233</v>
      </c>
      <c r="C392" s="141" t="s">
        <v>902</v>
      </c>
      <c r="D392" s="141" t="s">
        <v>903</v>
      </c>
      <c r="E392" s="141" t="s">
        <v>110</v>
      </c>
      <c r="F392" s="142">
        <v>1</v>
      </c>
      <c r="G392" s="142">
        <v>100000</v>
      </c>
      <c r="H392" s="95">
        <f t="shared" si="6"/>
        <v>0.1875</v>
      </c>
    </row>
    <row r="393" spans="1:8" customFormat="1" ht="15.75" customHeight="1">
      <c r="A393" s="94">
        <v>388</v>
      </c>
      <c r="B393" s="141" t="s">
        <v>1221</v>
      </c>
      <c r="C393" s="141" t="s">
        <v>858</v>
      </c>
      <c r="D393" s="141" t="s">
        <v>859</v>
      </c>
      <c r="E393" s="141" t="s">
        <v>110</v>
      </c>
      <c r="F393" s="142">
        <v>1</v>
      </c>
      <c r="G393" s="142">
        <v>100000</v>
      </c>
      <c r="H393" s="95">
        <f t="shared" si="6"/>
        <v>0.1875</v>
      </c>
    </row>
    <row r="394" spans="1:8" customFormat="1" ht="15.75" customHeight="1">
      <c r="A394" s="94">
        <v>389</v>
      </c>
      <c r="B394" s="141" t="s">
        <v>1222</v>
      </c>
      <c r="C394" s="141" t="s">
        <v>1017</v>
      </c>
      <c r="D394" s="141" t="s">
        <v>98</v>
      </c>
      <c r="E394" s="141" t="s">
        <v>110</v>
      </c>
      <c r="F394" s="142">
        <v>1</v>
      </c>
      <c r="G394" s="142">
        <v>100000</v>
      </c>
      <c r="H394" s="95">
        <f t="shared" si="6"/>
        <v>0.1875</v>
      </c>
    </row>
    <row r="395" spans="1:8" customFormat="1" ht="15.75" customHeight="1">
      <c r="A395" s="94">
        <v>390</v>
      </c>
      <c r="B395" s="141" t="s">
        <v>1173</v>
      </c>
      <c r="C395" s="141" t="s">
        <v>245</v>
      </c>
      <c r="D395" s="141" t="s">
        <v>158</v>
      </c>
      <c r="E395" s="141" t="s">
        <v>110</v>
      </c>
      <c r="F395" s="142">
        <v>1</v>
      </c>
      <c r="G395" s="142">
        <v>100000</v>
      </c>
      <c r="H395" s="95">
        <f t="shared" si="6"/>
        <v>0.1875</v>
      </c>
    </row>
    <row r="396" spans="1:8" customFormat="1" ht="15.75" customHeight="1">
      <c r="A396" s="94">
        <v>391</v>
      </c>
      <c r="B396" s="141" t="s">
        <v>1204</v>
      </c>
      <c r="C396" s="141" t="s">
        <v>786</v>
      </c>
      <c r="D396" s="141" t="s">
        <v>787</v>
      </c>
      <c r="E396" s="141" t="s">
        <v>148</v>
      </c>
      <c r="F396" s="142">
        <v>1</v>
      </c>
      <c r="G396" s="142">
        <v>400000</v>
      </c>
      <c r="H396" s="95">
        <f t="shared" si="6"/>
        <v>0.1875</v>
      </c>
    </row>
    <row r="397" spans="1:8" customFormat="1" ht="15.75" customHeight="1">
      <c r="A397" s="94">
        <v>392</v>
      </c>
      <c r="B397" s="141" t="s">
        <v>1152</v>
      </c>
      <c r="C397" s="141" t="s">
        <v>642</v>
      </c>
      <c r="D397" s="141" t="s">
        <v>643</v>
      </c>
      <c r="E397" s="141" t="s">
        <v>148</v>
      </c>
      <c r="F397" s="142">
        <v>1</v>
      </c>
      <c r="G397" s="142">
        <v>400000</v>
      </c>
      <c r="H397" s="95">
        <f t="shared" si="6"/>
        <v>0.1875</v>
      </c>
    </row>
    <row r="398" spans="1:8" customFormat="1" ht="15.75" customHeight="1">
      <c r="A398" s="94">
        <v>393</v>
      </c>
      <c r="B398" s="141" t="s">
        <v>1163</v>
      </c>
      <c r="C398" s="141" t="s">
        <v>670</v>
      </c>
      <c r="D398" s="141" t="s">
        <v>131</v>
      </c>
      <c r="E398" s="141" t="s">
        <v>148</v>
      </c>
      <c r="F398" s="142">
        <v>1</v>
      </c>
      <c r="G398" s="142">
        <v>400000</v>
      </c>
      <c r="H398" s="95">
        <f t="shared" si="6"/>
        <v>0.1875</v>
      </c>
    </row>
    <row r="399" spans="1:8" customFormat="1" ht="15.75" customHeight="1">
      <c r="A399" s="94">
        <v>394</v>
      </c>
      <c r="B399" s="141" t="s">
        <v>1065</v>
      </c>
      <c r="C399" s="141" t="s">
        <v>674</v>
      </c>
      <c r="D399" s="141" t="s">
        <v>675</v>
      </c>
      <c r="E399" s="141" t="s">
        <v>110</v>
      </c>
      <c r="F399" s="142">
        <v>1</v>
      </c>
      <c r="G399" s="142">
        <v>100000</v>
      </c>
      <c r="H399" s="95">
        <f t="shared" si="6"/>
        <v>0.1875</v>
      </c>
    </row>
    <row r="400" spans="1:8" customFormat="1" ht="15.75" customHeight="1">
      <c r="A400" s="94">
        <v>395</v>
      </c>
      <c r="B400" s="141" t="s">
        <v>1065</v>
      </c>
      <c r="C400" s="141" t="s">
        <v>677</v>
      </c>
      <c r="D400" s="141" t="s">
        <v>147</v>
      </c>
      <c r="E400" s="141" t="s">
        <v>110</v>
      </c>
      <c r="F400" s="142">
        <v>1</v>
      </c>
      <c r="G400" s="142">
        <v>100000</v>
      </c>
      <c r="H400" s="95">
        <f t="shared" si="6"/>
        <v>0.1875</v>
      </c>
    </row>
    <row r="401" spans="1:8" customFormat="1" ht="15.75" customHeight="1">
      <c r="A401" s="94">
        <v>396</v>
      </c>
      <c r="B401" s="141" t="s">
        <v>1065</v>
      </c>
      <c r="C401" s="141" t="s">
        <v>341</v>
      </c>
      <c r="D401" s="141" t="s">
        <v>728</v>
      </c>
      <c r="E401" s="141" t="s">
        <v>110</v>
      </c>
      <c r="F401" s="142">
        <v>1</v>
      </c>
      <c r="G401" s="142">
        <v>100000</v>
      </c>
      <c r="H401" s="95">
        <f t="shared" si="6"/>
        <v>0.1875</v>
      </c>
    </row>
    <row r="402" spans="1:8" customFormat="1" ht="15.75" customHeight="1">
      <c r="A402" s="94">
        <v>397</v>
      </c>
      <c r="B402" s="141" t="s">
        <v>1065</v>
      </c>
      <c r="C402" s="141" t="s">
        <v>775</v>
      </c>
      <c r="D402" s="141" t="s">
        <v>776</v>
      </c>
      <c r="E402" s="141" t="s">
        <v>110</v>
      </c>
      <c r="F402" s="142">
        <v>1</v>
      </c>
      <c r="G402" s="142">
        <v>100000</v>
      </c>
      <c r="H402" s="95">
        <f t="shared" si="6"/>
        <v>0.1875</v>
      </c>
    </row>
    <row r="403" spans="1:8" customFormat="1" ht="15.75" customHeight="1">
      <c r="A403" s="94">
        <v>398</v>
      </c>
      <c r="B403" s="141" t="s">
        <v>1065</v>
      </c>
      <c r="C403" s="141" t="s">
        <v>902</v>
      </c>
      <c r="D403" s="141" t="s">
        <v>903</v>
      </c>
      <c r="E403" s="141" t="s">
        <v>110</v>
      </c>
      <c r="F403" s="142">
        <v>1</v>
      </c>
      <c r="G403" s="142">
        <v>100000</v>
      </c>
      <c r="H403" s="95">
        <f t="shared" si="6"/>
        <v>0.1875</v>
      </c>
    </row>
    <row r="404" spans="1:8" customFormat="1" ht="15.75" customHeight="1">
      <c r="A404" s="94">
        <v>399</v>
      </c>
      <c r="B404" s="141" t="s">
        <v>1065</v>
      </c>
      <c r="C404" s="141" t="s">
        <v>912</v>
      </c>
      <c r="D404" s="141" t="s">
        <v>123</v>
      </c>
      <c r="E404" s="141" t="s">
        <v>110</v>
      </c>
      <c r="F404" s="142">
        <v>1</v>
      </c>
      <c r="G404" s="142">
        <v>100000</v>
      </c>
      <c r="H404" s="95">
        <f t="shared" si="6"/>
        <v>0.1875</v>
      </c>
    </row>
    <row r="405" spans="1:8" customFormat="1" ht="15.75" customHeight="1">
      <c r="A405" s="94">
        <v>400</v>
      </c>
      <c r="B405" s="141" t="s">
        <v>1065</v>
      </c>
      <c r="C405" s="141" t="s">
        <v>222</v>
      </c>
      <c r="D405" s="141" t="s">
        <v>100</v>
      </c>
      <c r="E405" s="141" t="s">
        <v>110</v>
      </c>
      <c r="F405" s="142">
        <v>1</v>
      </c>
      <c r="G405" s="142">
        <v>100000</v>
      </c>
      <c r="H405" s="95">
        <f t="shared" si="6"/>
        <v>0.1875</v>
      </c>
    </row>
    <row r="406" spans="1:8" customFormat="1" ht="15.75" customHeight="1">
      <c r="A406" s="94">
        <v>401</v>
      </c>
      <c r="B406" s="141" t="s">
        <v>1108</v>
      </c>
      <c r="C406" s="141" t="s">
        <v>538</v>
      </c>
      <c r="D406" s="141" t="s">
        <v>539</v>
      </c>
      <c r="E406" s="141" t="s">
        <v>110</v>
      </c>
      <c r="F406" s="142">
        <v>1</v>
      </c>
      <c r="G406" s="142">
        <v>100000</v>
      </c>
      <c r="H406" s="95">
        <f t="shared" si="6"/>
        <v>0.1875</v>
      </c>
    </row>
    <row r="407" spans="1:8" customFormat="1" ht="15.75" customHeight="1">
      <c r="A407" s="94">
        <v>402</v>
      </c>
      <c r="B407" s="141" t="s">
        <v>1101</v>
      </c>
      <c r="C407" s="141" t="s">
        <v>513</v>
      </c>
      <c r="D407" s="141" t="s">
        <v>106</v>
      </c>
      <c r="E407" s="141" t="s">
        <v>110</v>
      </c>
      <c r="F407" s="142">
        <v>1</v>
      </c>
      <c r="G407" s="142">
        <v>100000</v>
      </c>
      <c r="H407" s="95">
        <f t="shared" si="6"/>
        <v>0.1875</v>
      </c>
    </row>
    <row r="408" spans="1:8" customFormat="1" ht="15.75" customHeight="1">
      <c r="A408" s="94">
        <v>403</v>
      </c>
      <c r="B408" s="141" t="s">
        <v>1227</v>
      </c>
      <c r="C408" s="141" t="s">
        <v>878</v>
      </c>
      <c r="D408" s="141" t="s">
        <v>879</v>
      </c>
      <c r="E408" s="141" t="s">
        <v>110</v>
      </c>
      <c r="F408" s="142">
        <v>1</v>
      </c>
      <c r="G408" s="142">
        <v>100000</v>
      </c>
      <c r="H408" s="95">
        <f t="shared" si="6"/>
        <v>0.1875</v>
      </c>
    </row>
    <row r="409" spans="1:8" customFormat="1" ht="15.75" customHeight="1">
      <c r="A409" s="94">
        <v>404</v>
      </c>
      <c r="B409" s="141" t="s">
        <v>1191</v>
      </c>
      <c r="C409" s="141" t="s">
        <v>739</v>
      </c>
      <c r="D409" s="141" t="s">
        <v>740</v>
      </c>
      <c r="E409" s="141" t="s">
        <v>110</v>
      </c>
      <c r="F409" s="142">
        <v>1</v>
      </c>
      <c r="G409" s="142">
        <v>100000</v>
      </c>
      <c r="H409" s="95">
        <f t="shared" si="6"/>
        <v>0.1875</v>
      </c>
    </row>
    <row r="410" spans="1:8" customFormat="1" ht="15.75" customHeight="1">
      <c r="A410" s="94">
        <v>405</v>
      </c>
      <c r="B410" s="141" t="s">
        <v>1105</v>
      </c>
      <c r="C410" s="141" t="s">
        <v>531</v>
      </c>
      <c r="D410" s="141" t="s">
        <v>532</v>
      </c>
      <c r="E410" s="141" t="s">
        <v>110</v>
      </c>
      <c r="F410" s="142">
        <v>1</v>
      </c>
      <c r="G410" s="142">
        <v>100000</v>
      </c>
      <c r="H410" s="95">
        <f t="shared" si="6"/>
        <v>0.1875</v>
      </c>
    </row>
    <row r="411" spans="1:8" customFormat="1" ht="15.75" customHeight="1">
      <c r="A411" s="94">
        <v>406</v>
      </c>
      <c r="B411" s="141" t="s">
        <v>1105</v>
      </c>
      <c r="C411" s="141" t="s">
        <v>535</v>
      </c>
      <c r="D411" s="141" t="s">
        <v>536</v>
      </c>
      <c r="E411" s="141" t="s">
        <v>110</v>
      </c>
      <c r="F411" s="142">
        <v>1</v>
      </c>
      <c r="G411" s="142">
        <v>100000</v>
      </c>
      <c r="H411" s="95">
        <f t="shared" si="6"/>
        <v>0.1875</v>
      </c>
    </row>
    <row r="412" spans="1:8" customFormat="1" ht="15.75" customHeight="1">
      <c r="A412" s="94">
        <v>407</v>
      </c>
      <c r="B412" s="141" t="s">
        <v>1105</v>
      </c>
      <c r="C412" s="141" t="s">
        <v>594</v>
      </c>
      <c r="D412" s="141" t="s">
        <v>131</v>
      </c>
      <c r="E412" s="141" t="s">
        <v>110</v>
      </c>
      <c r="F412" s="142">
        <v>1</v>
      </c>
      <c r="G412" s="142">
        <v>100000</v>
      </c>
      <c r="H412" s="95">
        <f t="shared" si="6"/>
        <v>0.1875</v>
      </c>
    </row>
    <row r="413" spans="1:8" customFormat="1" ht="15.75" customHeight="1">
      <c r="A413" s="94">
        <v>408</v>
      </c>
      <c r="B413" s="141" t="s">
        <v>1105</v>
      </c>
      <c r="C413" s="141" t="s">
        <v>715</v>
      </c>
      <c r="D413" s="141" t="s">
        <v>716</v>
      </c>
      <c r="E413" s="141" t="s">
        <v>110</v>
      </c>
      <c r="F413" s="142">
        <v>1</v>
      </c>
      <c r="G413" s="142">
        <v>100000</v>
      </c>
      <c r="H413" s="95">
        <f t="shared" si="6"/>
        <v>0.1875</v>
      </c>
    </row>
    <row r="414" spans="1:8" customFormat="1" ht="15.75" customHeight="1">
      <c r="A414" s="94">
        <v>409</v>
      </c>
      <c r="B414" s="141" t="s">
        <v>1105</v>
      </c>
      <c r="C414" s="141" t="s">
        <v>1006</v>
      </c>
      <c r="D414" s="141" t="s">
        <v>1007</v>
      </c>
      <c r="E414" s="141" t="s">
        <v>110</v>
      </c>
      <c r="F414" s="142">
        <v>1</v>
      </c>
      <c r="G414" s="142">
        <v>100000</v>
      </c>
      <c r="H414" s="95">
        <f t="shared" si="6"/>
        <v>0.1875</v>
      </c>
    </row>
    <row r="415" spans="1:8" customFormat="1" ht="15.75" customHeight="1">
      <c r="A415" s="94">
        <v>410</v>
      </c>
      <c r="B415" s="141" t="s">
        <v>1105</v>
      </c>
      <c r="C415" s="141" t="s">
        <v>951</v>
      </c>
      <c r="D415" s="141" t="s">
        <v>952</v>
      </c>
      <c r="E415" s="141" t="s">
        <v>110</v>
      </c>
      <c r="F415" s="142">
        <v>1</v>
      </c>
      <c r="G415" s="142">
        <v>100000</v>
      </c>
      <c r="H415" s="95">
        <f t="shared" si="6"/>
        <v>0.1875</v>
      </c>
    </row>
    <row r="416" spans="1:8" customFormat="1" ht="15.75" customHeight="1">
      <c r="A416" s="94">
        <v>411</v>
      </c>
      <c r="B416" s="141" t="s">
        <v>1105</v>
      </c>
      <c r="C416" s="141" t="s">
        <v>969</v>
      </c>
      <c r="D416" s="141" t="s">
        <v>108</v>
      </c>
      <c r="E416" s="141" t="s">
        <v>110</v>
      </c>
      <c r="F416" s="142">
        <v>1</v>
      </c>
      <c r="G416" s="142">
        <v>100000</v>
      </c>
      <c r="H416" s="95">
        <f t="shared" si="6"/>
        <v>0.1875</v>
      </c>
    </row>
    <row r="417" spans="1:8" customFormat="1" ht="15.75" customHeight="1">
      <c r="A417" s="94">
        <v>412</v>
      </c>
      <c r="B417" s="141" t="s">
        <v>1166</v>
      </c>
      <c r="C417" s="141" t="s">
        <v>690</v>
      </c>
      <c r="D417" s="141" t="s">
        <v>691</v>
      </c>
      <c r="E417" s="141" t="s">
        <v>1169</v>
      </c>
      <c r="F417" s="142">
        <v>1</v>
      </c>
      <c r="G417" s="142">
        <v>262900</v>
      </c>
      <c r="H417" s="95">
        <f t="shared" si="6"/>
        <v>0.1875</v>
      </c>
    </row>
    <row r="418" spans="1:8" customFormat="1" ht="15.75" customHeight="1">
      <c r="A418" s="94">
        <v>413</v>
      </c>
      <c r="B418" s="141" t="s">
        <v>1216</v>
      </c>
      <c r="C418" s="141" t="s">
        <v>826</v>
      </c>
      <c r="D418" s="141" t="s">
        <v>827</v>
      </c>
      <c r="E418" s="141" t="s">
        <v>1214</v>
      </c>
      <c r="F418" s="142">
        <v>1</v>
      </c>
      <c r="G418" s="142">
        <v>458200</v>
      </c>
      <c r="H418" s="95">
        <f t="shared" si="6"/>
        <v>0.1875</v>
      </c>
    </row>
    <row r="419" spans="1:8" customFormat="1" ht="15.75" customHeight="1">
      <c r="A419" s="94">
        <v>414</v>
      </c>
      <c r="B419" s="141" t="s">
        <v>1220</v>
      </c>
      <c r="C419" s="141" t="s">
        <v>858</v>
      </c>
      <c r="D419" s="141" t="s">
        <v>859</v>
      </c>
      <c r="E419" s="141" t="s">
        <v>110</v>
      </c>
      <c r="F419" s="142">
        <v>1</v>
      </c>
      <c r="G419" s="142">
        <v>100000</v>
      </c>
      <c r="H419" s="95">
        <f t="shared" si="6"/>
        <v>0.1875</v>
      </c>
    </row>
    <row r="420" spans="1:8" customFormat="1" ht="15.75" customHeight="1">
      <c r="A420" s="94">
        <v>415</v>
      </c>
      <c r="B420" s="141" t="s">
        <v>1223</v>
      </c>
      <c r="C420" s="141" t="s">
        <v>1017</v>
      </c>
      <c r="D420" s="141" t="s">
        <v>98</v>
      </c>
      <c r="E420" s="141" t="s">
        <v>110</v>
      </c>
      <c r="F420" s="142">
        <v>1</v>
      </c>
      <c r="G420" s="142">
        <v>100000</v>
      </c>
      <c r="H420" s="95">
        <f t="shared" si="6"/>
        <v>0.1875</v>
      </c>
    </row>
    <row r="421" spans="1:8" customFormat="1" ht="15.75" customHeight="1">
      <c r="A421" s="94">
        <v>416</v>
      </c>
      <c r="B421" s="141" t="s">
        <v>1107</v>
      </c>
      <c r="C421" s="141" t="s">
        <v>535</v>
      </c>
      <c r="D421" s="141" t="s">
        <v>536</v>
      </c>
      <c r="E421" s="141" t="s">
        <v>1106</v>
      </c>
      <c r="F421" s="142">
        <v>1</v>
      </c>
      <c r="G421" s="142">
        <v>250000</v>
      </c>
      <c r="H421" s="95">
        <f t="shared" si="6"/>
        <v>0.1875</v>
      </c>
    </row>
    <row r="422" spans="1:8" customFormat="1" ht="15.75" customHeight="1">
      <c r="A422" s="94">
        <v>417</v>
      </c>
      <c r="B422" s="141" t="s">
        <v>1064</v>
      </c>
      <c r="C422" s="141" t="s">
        <v>538</v>
      </c>
      <c r="D422" s="141" t="s">
        <v>539</v>
      </c>
      <c r="E422" s="141" t="s">
        <v>110</v>
      </c>
      <c r="F422" s="142">
        <v>1</v>
      </c>
      <c r="G422" s="142">
        <v>100000</v>
      </c>
      <c r="H422" s="95">
        <f t="shared" si="6"/>
        <v>0.1875</v>
      </c>
    </row>
    <row r="423" spans="1:8" customFormat="1" ht="15.75" customHeight="1">
      <c r="A423" s="94">
        <v>418</v>
      </c>
      <c r="B423" s="141" t="s">
        <v>1064</v>
      </c>
      <c r="C423" s="141" t="s">
        <v>674</v>
      </c>
      <c r="D423" s="141" t="s">
        <v>675</v>
      </c>
      <c r="E423" s="141" t="s">
        <v>110</v>
      </c>
      <c r="F423" s="142">
        <v>1</v>
      </c>
      <c r="G423" s="142">
        <v>100000</v>
      </c>
      <c r="H423" s="95">
        <f t="shared" si="6"/>
        <v>0.1875</v>
      </c>
    </row>
    <row r="424" spans="1:8" customFormat="1" ht="15.75" customHeight="1">
      <c r="A424" s="94">
        <v>419</v>
      </c>
      <c r="B424" s="141" t="s">
        <v>1064</v>
      </c>
      <c r="C424" s="141" t="s">
        <v>775</v>
      </c>
      <c r="D424" s="141" t="s">
        <v>776</v>
      </c>
      <c r="E424" s="141" t="s">
        <v>110</v>
      </c>
      <c r="F424" s="142">
        <v>1</v>
      </c>
      <c r="G424" s="142">
        <v>100000</v>
      </c>
      <c r="H424" s="95">
        <f t="shared" si="6"/>
        <v>0.1875</v>
      </c>
    </row>
    <row r="425" spans="1:8" customFormat="1" ht="15.75" customHeight="1">
      <c r="A425" s="94">
        <v>420</v>
      </c>
      <c r="B425" s="141" t="s">
        <v>1064</v>
      </c>
      <c r="C425" s="141" t="s">
        <v>912</v>
      </c>
      <c r="D425" s="141" t="s">
        <v>123</v>
      </c>
      <c r="E425" s="141" t="s">
        <v>110</v>
      </c>
      <c r="F425" s="142">
        <v>1</v>
      </c>
      <c r="G425" s="142">
        <v>100000</v>
      </c>
      <c r="H425" s="95">
        <f t="shared" si="6"/>
        <v>0.1875</v>
      </c>
    </row>
    <row r="426" spans="1:8" customFormat="1" ht="15.75" customHeight="1">
      <c r="A426" s="94">
        <v>421</v>
      </c>
      <c r="B426" s="141" t="s">
        <v>1188</v>
      </c>
      <c r="C426" s="141" t="s">
        <v>739</v>
      </c>
      <c r="D426" s="141" t="s">
        <v>740</v>
      </c>
      <c r="E426" s="141" t="s">
        <v>110</v>
      </c>
      <c r="F426" s="142">
        <v>1</v>
      </c>
      <c r="G426" s="142">
        <v>100000</v>
      </c>
      <c r="H426" s="95">
        <f t="shared" si="6"/>
        <v>0.1875</v>
      </c>
    </row>
    <row r="427" spans="1:8" customFormat="1" ht="15.75" customHeight="1">
      <c r="A427" s="94">
        <v>422</v>
      </c>
      <c r="B427" s="141" t="s">
        <v>1225</v>
      </c>
      <c r="C427" s="141" t="s">
        <v>878</v>
      </c>
      <c r="D427" s="141" t="s">
        <v>879</v>
      </c>
      <c r="E427" s="141" t="s">
        <v>110</v>
      </c>
      <c r="F427" s="142">
        <v>1</v>
      </c>
      <c r="G427" s="142">
        <v>100000</v>
      </c>
      <c r="H427" s="95">
        <f t="shared" si="6"/>
        <v>0.1875</v>
      </c>
    </row>
    <row r="428" spans="1:8" customFormat="1" ht="15.75" customHeight="1">
      <c r="A428" s="94">
        <v>423</v>
      </c>
      <c r="B428" s="141" t="s">
        <v>1206</v>
      </c>
      <c r="C428" s="141" t="s">
        <v>792</v>
      </c>
      <c r="D428" s="141" t="s">
        <v>793</v>
      </c>
      <c r="E428" s="141" t="s">
        <v>110</v>
      </c>
      <c r="F428" s="142">
        <v>1</v>
      </c>
      <c r="G428" s="142">
        <v>100000</v>
      </c>
      <c r="H428" s="95">
        <f t="shared" si="6"/>
        <v>0.1875</v>
      </c>
    </row>
    <row r="429" spans="1:8" customFormat="1" ht="15.75" customHeight="1">
      <c r="A429" s="94">
        <v>424</v>
      </c>
      <c r="B429" s="141" t="s">
        <v>522</v>
      </c>
      <c r="C429" s="141" t="s">
        <v>513</v>
      </c>
      <c r="D429" s="141" t="s">
        <v>106</v>
      </c>
      <c r="E429" s="141" t="s">
        <v>110</v>
      </c>
      <c r="F429" s="142">
        <v>1</v>
      </c>
      <c r="G429" s="142">
        <v>100000</v>
      </c>
      <c r="H429" s="95">
        <f t="shared" si="6"/>
        <v>0.1875</v>
      </c>
    </row>
    <row r="430" spans="1:8" customFormat="1" ht="15.75" customHeight="1">
      <c r="A430" s="94">
        <v>425</v>
      </c>
      <c r="B430" s="141" t="s">
        <v>522</v>
      </c>
      <c r="C430" s="141" t="s">
        <v>531</v>
      </c>
      <c r="D430" s="141" t="s">
        <v>532</v>
      </c>
      <c r="E430" s="141" t="s">
        <v>110</v>
      </c>
      <c r="F430" s="142">
        <v>1</v>
      </c>
      <c r="G430" s="142">
        <v>100000</v>
      </c>
      <c r="H430" s="95">
        <f t="shared" si="6"/>
        <v>0.1875</v>
      </c>
    </row>
    <row r="431" spans="1:8" customFormat="1" ht="15.75" customHeight="1">
      <c r="A431" s="94">
        <v>426</v>
      </c>
      <c r="B431" s="141" t="s">
        <v>522</v>
      </c>
      <c r="C431" s="141" t="s">
        <v>594</v>
      </c>
      <c r="D431" s="141" t="s">
        <v>131</v>
      </c>
      <c r="E431" s="141" t="s">
        <v>110</v>
      </c>
      <c r="F431" s="142">
        <v>1</v>
      </c>
      <c r="G431" s="142">
        <v>100000</v>
      </c>
      <c r="H431" s="95">
        <f t="shared" si="6"/>
        <v>0.1875</v>
      </c>
    </row>
    <row r="432" spans="1:8" customFormat="1" ht="15.75" customHeight="1">
      <c r="A432" s="94">
        <v>427</v>
      </c>
      <c r="B432" s="141" t="s">
        <v>522</v>
      </c>
      <c r="C432" s="141" t="s">
        <v>677</v>
      </c>
      <c r="D432" s="141" t="s">
        <v>147</v>
      </c>
      <c r="E432" s="141" t="s">
        <v>110</v>
      </c>
      <c r="F432" s="142">
        <v>1</v>
      </c>
      <c r="G432" s="142">
        <v>100000</v>
      </c>
      <c r="H432" s="95">
        <f t="shared" si="6"/>
        <v>0.1875</v>
      </c>
    </row>
    <row r="433" spans="1:8" customFormat="1" ht="15.75" customHeight="1">
      <c r="A433" s="94">
        <v>428</v>
      </c>
      <c r="B433" s="141" t="s">
        <v>522</v>
      </c>
      <c r="C433" s="141" t="s">
        <v>715</v>
      </c>
      <c r="D433" s="141" t="s">
        <v>716</v>
      </c>
      <c r="E433" s="141" t="s">
        <v>110</v>
      </c>
      <c r="F433" s="142">
        <v>1</v>
      </c>
      <c r="G433" s="142">
        <v>100000</v>
      </c>
      <c r="H433" s="95">
        <f t="shared" si="6"/>
        <v>0.1875</v>
      </c>
    </row>
    <row r="434" spans="1:8" customFormat="1" ht="15.75" customHeight="1">
      <c r="A434" s="94">
        <v>429</v>
      </c>
      <c r="B434" s="141" t="s">
        <v>522</v>
      </c>
      <c r="C434" s="141" t="s">
        <v>1006</v>
      </c>
      <c r="D434" s="141" t="s">
        <v>1007</v>
      </c>
      <c r="E434" s="141" t="s">
        <v>110</v>
      </c>
      <c r="F434" s="142">
        <v>1</v>
      </c>
      <c r="G434" s="142">
        <v>100000</v>
      </c>
      <c r="H434" s="95">
        <f t="shared" si="6"/>
        <v>0.1875</v>
      </c>
    </row>
    <row r="435" spans="1:8" customFormat="1" ht="15.75" customHeight="1">
      <c r="A435" s="94">
        <v>430</v>
      </c>
      <c r="B435" s="141" t="s">
        <v>522</v>
      </c>
      <c r="C435" s="141" t="s">
        <v>987</v>
      </c>
      <c r="D435" s="141" t="s">
        <v>128</v>
      </c>
      <c r="E435" s="141" t="s">
        <v>110</v>
      </c>
      <c r="F435" s="142">
        <v>1</v>
      </c>
      <c r="G435" s="142">
        <v>100000</v>
      </c>
      <c r="H435" s="95">
        <f t="shared" si="6"/>
        <v>0.1875</v>
      </c>
    </row>
    <row r="436" spans="1:8" customFormat="1" ht="15.75" customHeight="1">
      <c r="A436" s="94">
        <v>431</v>
      </c>
      <c r="B436" s="141" t="s">
        <v>1217</v>
      </c>
      <c r="C436" s="141" t="s">
        <v>838</v>
      </c>
      <c r="D436" s="141" t="s">
        <v>839</v>
      </c>
      <c r="E436" s="141" t="s">
        <v>110</v>
      </c>
      <c r="F436" s="142">
        <v>1</v>
      </c>
      <c r="G436" s="142">
        <v>100000</v>
      </c>
      <c r="H436" s="95">
        <f t="shared" si="6"/>
        <v>0.1875</v>
      </c>
    </row>
    <row r="437" spans="1:8" customFormat="1" ht="15.75" customHeight="1">
      <c r="A437" s="94">
        <v>432</v>
      </c>
      <c r="B437" s="141" t="s">
        <v>1138</v>
      </c>
      <c r="C437" s="141" t="s">
        <v>607</v>
      </c>
      <c r="D437" s="141" t="s">
        <v>106</v>
      </c>
      <c r="E437" s="141" t="s">
        <v>110</v>
      </c>
      <c r="F437" s="142">
        <v>1</v>
      </c>
      <c r="G437" s="142">
        <v>100000</v>
      </c>
      <c r="H437" s="95">
        <f t="shared" si="6"/>
        <v>0.1875</v>
      </c>
    </row>
    <row r="438" spans="1:8" customFormat="1" ht="15.75" customHeight="1">
      <c r="A438" s="94">
        <v>433</v>
      </c>
      <c r="B438" s="141" t="s">
        <v>1138</v>
      </c>
      <c r="C438" s="141" t="s">
        <v>826</v>
      </c>
      <c r="D438" s="141" t="s">
        <v>827</v>
      </c>
      <c r="E438" s="141" t="s">
        <v>1214</v>
      </c>
      <c r="F438" s="142">
        <v>1</v>
      </c>
      <c r="G438" s="142">
        <v>458200</v>
      </c>
      <c r="H438" s="95">
        <f t="shared" si="6"/>
        <v>0.1875</v>
      </c>
    </row>
    <row r="439" spans="1:8" customFormat="1" ht="15.75" customHeight="1">
      <c r="A439" s="94">
        <v>434</v>
      </c>
      <c r="B439" s="141" t="s">
        <v>1072</v>
      </c>
      <c r="C439" s="141" t="s">
        <v>513</v>
      </c>
      <c r="D439" s="141" t="s">
        <v>106</v>
      </c>
      <c r="E439" s="141" t="s">
        <v>110</v>
      </c>
      <c r="F439" s="142">
        <v>1</v>
      </c>
      <c r="G439" s="142">
        <v>100000</v>
      </c>
      <c r="H439" s="95">
        <f t="shared" si="6"/>
        <v>0.1875</v>
      </c>
    </row>
    <row r="440" spans="1:8" customFormat="1" ht="15.75" customHeight="1">
      <c r="A440" s="94">
        <v>435</v>
      </c>
      <c r="B440" s="141" t="s">
        <v>1072</v>
      </c>
      <c r="C440" s="141" t="s">
        <v>594</v>
      </c>
      <c r="D440" s="141" t="s">
        <v>131</v>
      </c>
      <c r="E440" s="141" t="s">
        <v>110</v>
      </c>
      <c r="F440" s="142">
        <v>1</v>
      </c>
      <c r="G440" s="142">
        <v>100000</v>
      </c>
      <c r="H440" s="95">
        <f t="shared" ref="H440:H503" si="7">25%*75%</f>
        <v>0.1875</v>
      </c>
    </row>
    <row r="441" spans="1:8" customFormat="1" ht="15.75" customHeight="1">
      <c r="A441" s="94">
        <v>436</v>
      </c>
      <c r="B441" s="141" t="s">
        <v>1072</v>
      </c>
      <c r="C441" s="141" t="s">
        <v>674</v>
      </c>
      <c r="D441" s="141" t="s">
        <v>675</v>
      </c>
      <c r="E441" s="141" t="s">
        <v>110</v>
      </c>
      <c r="F441" s="142">
        <v>1</v>
      </c>
      <c r="G441" s="142">
        <v>100000</v>
      </c>
      <c r="H441" s="95">
        <f t="shared" si="7"/>
        <v>0.1875</v>
      </c>
    </row>
    <row r="442" spans="1:8" customFormat="1" ht="15.75" customHeight="1">
      <c r="A442" s="94">
        <v>437</v>
      </c>
      <c r="B442" s="141" t="s">
        <v>1072</v>
      </c>
      <c r="C442" s="141" t="s">
        <v>245</v>
      </c>
      <c r="D442" s="141" t="s">
        <v>158</v>
      </c>
      <c r="E442" s="141" t="s">
        <v>110</v>
      </c>
      <c r="F442" s="142">
        <v>1</v>
      </c>
      <c r="G442" s="142">
        <v>100000</v>
      </c>
      <c r="H442" s="95">
        <f t="shared" si="7"/>
        <v>0.1875</v>
      </c>
    </row>
    <row r="443" spans="1:8" customFormat="1" ht="15.75" customHeight="1">
      <c r="A443" s="94">
        <v>438</v>
      </c>
      <c r="B443" s="141" t="s">
        <v>1072</v>
      </c>
      <c r="C443" s="141" t="s">
        <v>715</v>
      </c>
      <c r="D443" s="141" t="s">
        <v>716</v>
      </c>
      <c r="E443" s="141" t="s">
        <v>110</v>
      </c>
      <c r="F443" s="142">
        <v>1</v>
      </c>
      <c r="G443" s="142">
        <v>100000</v>
      </c>
      <c r="H443" s="95">
        <f t="shared" si="7"/>
        <v>0.1875</v>
      </c>
    </row>
    <row r="444" spans="1:8" customFormat="1" ht="15.75" customHeight="1">
      <c r="A444" s="94">
        <v>439</v>
      </c>
      <c r="B444" s="141" t="s">
        <v>1072</v>
      </c>
      <c r="C444" s="141" t="s">
        <v>792</v>
      </c>
      <c r="D444" s="141" t="s">
        <v>793</v>
      </c>
      <c r="E444" s="141" t="s">
        <v>110</v>
      </c>
      <c r="F444" s="142">
        <v>1</v>
      </c>
      <c r="G444" s="142">
        <v>100000</v>
      </c>
      <c r="H444" s="95">
        <f t="shared" si="7"/>
        <v>0.1875</v>
      </c>
    </row>
    <row r="445" spans="1:8" customFormat="1" ht="15.75" customHeight="1">
      <c r="A445" s="94">
        <v>440</v>
      </c>
      <c r="B445" s="141" t="s">
        <v>1072</v>
      </c>
      <c r="C445" s="141" t="s">
        <v>838</v>
      </c>
      <c r="D445" s="141" t="s">
        <v>839</v>
      </c>
      <c r="E445" s="141" t="s">
        <v>110</v>
      </c>
      <c r="F445" s="142">
        <v>1</v>
      </c>
      <c r="G445" s="142">
        <v>100000</v>
      </c>
      <c r="H445" s="95">
        <f t="shared" si="7"/>
        <v>0.1875</v>
      </c>
    </row>
    <row r="446" spans="1:8" customFormat="1" ht="15.75" customHeight="1">
      <c r="A446" s="94">
        <v>441</v>
      </c>
      <c r="B446" s="141" t="s">
        <v>1072</v>
      </c>
      <c r="C446" s="141" t="s">
        <v>850</v>
      </c>
      <c r="D446" s="141" t="s">
        <v>851</v>
      </c>
      <c r="E446" s="141" t="s">
        <v>110</v>
      </c>
      <c r="F446" s="142">
        <v>1</v>
      </c>
      <c r="G446" s="142">
        <v>100000</v>
      </c>
      <c r="H446" s="95">
        <f t="shared" si="7"/>
        <v>0.1875</v>
      </c>
    </row>
    <row r="447" spans="1:8" customFormat="1" ht="15.75" customHeight="1">
      <c r="A447" s="94">
        <v>442</v>
      </c>
      <c r="B447" s="141" t="s">
        <v>1072</v>
      </c>
      <c r="C447" s="141" t="s">
        <v>878</v>
      </c>
      <c r="D447" s="141" t="s">
        <v>879</v>
      </c>
      <c r="E447" s="141" t="s">
        <v>110</v>
      </c>
      <c r="F447" s="142">
        <v>1</v>
      </c>
      <c r="G447" s="142">
        <v>100000</v>
      </c>
      <c r="H447" s="95">
        <f t="shared" si="7"/>
        <v>0.1875</v>
      </c>
    </row>
    <row r="448" spans="1:8" customFormat="1" ht="15.75" customHeight="1">
      <c r="A448" s="94">
        <v>443</v>
      </c>
      <c r="B448" s="141" t="s">
        <v>1072</v>
      </c>
      <c r="C448" s="141" t="s">
        <v>896</v>
      </c>
      <c r="D448" s="141" t="s">
        <v>154</v>
      </c>
      <c r="E448" s="141" t="s">
        <v>110</v>
      </c>
      <c r="F448" s="142">
        <v>1</v>
      </c>
      <c r="G448" s="142">
        <v>100000</v>
      </c>
      <c r="H448" s="95">
        <f t="shared" si="7"/>
        <v>0.1875</v>
      </c>
    </row>
    <row r="449" spans="1:8" customFormat="1" ht="15.75" customHeight="1">
      <c r="A449" s="94">
        <v>444</v>
      </c>
      <c r="B449" s="141" t="s">
        <v>1072</v>
      </c>
      <c r="C449" s="141" t="s">
        <v>906</v>
      </c>
      <c r="D449" s="141" t="s">
        <v>907</v>
      </c>
      <c r="E449" s="141" t="s">
        <v>110</v>
      </c>
      <c r="F449" s="142">
        <v>1</v>
      </c>
      <c r="G449" s="142">
        <v>100000</v>
      </c>
      <c r="H449" s="95">
        <f t="shared" si="7"/>
        <v>0.1875</v>
      </c>
    </row>
    <row r="450" spans="1:8" customFormat="1" ht="15.75" customHeight="1">
      <c r="A450" s="94">
        <v>445</v>
      </c>
      <c r="B450" s="141" t="s">
        <v>1140</v>
      </c>
      <c r="C450" s="141" t="s">
        <v>607</v>
      </c>
      <c r="D450" s="141" t="s">
        <v>106</v>
      </c>
      <c r="E450" s="141" t="s">
        <v>110</v>
      </c>
      <c r="F450" s="142">
        <v>1</v>
      </c>
      <c r="G450" s="142">
        <v>100000</v>
      </c>
      <c r="H450" s="95">
        <f t="shared" si="7"/>
        <v>0.1875</v>
      </c>
    </row>
    <row r="451" spans="1:8" customFormat="1" ht="15.75" customHeight="1">
      <c r="A451" s="94">
        <v>446</v>
      </c>
      <c r="B451" s="141" t="s">
        <v>1140</v>
      </c>
      <c r="C451" s="141" t="s">
        <v>1006</v>
      </c>
      <c r="D451" s="141" t="s">
        <v>1007</v>
      </c>
      <c r="E451" s="141" t="s">
        <v>110</v>
      </c>
      <c r="F451" s="142">
        <v>1</v>
      </c>
      <c r="G451" s="142">
        <v>100000</v>
      </c>
      <c r="H451" s="95">
        <f t="shared" si="7"/>
        <v>0.1875</v>
      </c>
    </row>
    <row r="452" spans="1:8" customFormat="1" ht="15.75" customHeight="1">
      <c r="A452" s="94">
        <v>447</v>
      </c>
      <c r="B452" s="141" t="s">
        <v>1140</v>
      </c>
      <c r="C452" s="141" t="s">
        <v>826</v>
      </c>
      <c r="D452" s="141" t="s">
        <v>827</v>
      </c>
      <c r="E452" s="141" t="s">
        <v>1214</v>
      </c>
      <c r="F452" s="142">
        <v>1</v>
      </c>
      <c r="G452" s="142">
        <v>458200</v>
      </c>
      <c r="H452" s="95">
        <f t="shared" si="7"/>
        <v>0.1875</v>
      </c>
    </row>
    <row r="453" spans="1:8" customFormat="1" ht="15.75" customHeight="1">
      <c r="A453" s="94">
        <v>448</v>
      </c>
      <c r="B453" s="141" t="s">
        <v>1140</v>
      </c>
      <c r="C453" s="141" t="s">
        <v>925</v>
      </c>
      <c r="D453" s="141" t="s">
        <v>100</v>
      </c>
      <c r="E453" s="141" t="s">
        <v>110</v>
      </c>
      <c r="F453" s="142">
        <v>1</v>
      </c>
      <c r="G453" s="142">
        <v>100000</v>
      </c>
      <c r="H453" s="95">
        <f t="shared" si="7"/>
        <v>0.1875</v>
      </c>
    </row>
    <row r="454" spans="1:8" customFormat="1" ht="15.75" customHeight="1">
      <c r="A454" s="94">
        <v>449</v>
      </c>
      <c r="B454" s="141" t="s">
        <v>1140</v>
      </c>
      <c r="C454" s="141" t="s">
        <v>222</v>
      </c>
      <c r="D454" s="141" t="s">
        <v>100</v>
      </c>
      <c r="E454" s="141" t="s">
        <v>110</v>
      </c>
      <c r="F454" s="142">
        <v>1</v>
      </c>
      <c r="G454" s="142">
        <v>100000</v>
      </c>
      <c r="H454" s="95">
        <f t="shared" si="7"/>
        <v>0.1875</v>
      </c>
    </row>
    <row r="455" spans="1:8" customFormat="1" ht="15.75" customHeight="1">
      <c r="A455" s="94">
        <v>450</v>
      </c>
      <c r="B455" s="141" t="s">
        <v>1140</v>
      </c>
      <c r="C455" s="141" t="s">
        <v>987</v>
      </c>
      <c r="D455" s="141" t="s">
        <v>128</v>
      </c>
      <c r="E455" s="141" t="s">
        <v>110</v>
      </c>
      <c r="F455" s="142">
        <v>1</v>
      </c>
      <c r="G455" s="142">
        <v>100000</v>
      </c>
      <c r="H455" s="95">
        <f t="shared" si="7"/>
        <v>0.1875</v>
      </c>
    </row>
    <row r="456" spans="1:8" customFormat="1" ht="15.75" customHeight="1">
      <c r="A456" s="94">
        <v>451</v>
      </c>
      <c r="B456" s="141" t="s">
        <v>1098</v>
      </c>
      <c r="C456" s="141" t="s">
        <v>513</v>
      </c>
      <c r="D456" s="141" t="s">
        <v>106</v>
      </c>
      <c r="E456" s="141" t="s">
        <v>110</v>
      </c>
      <c r="F456" s="142">
        <v>1</v>
      </c>
      <c r="G456" s="142">
        <v>100000</v>
      </c>
      <c r="H456" s="95">
        <f t="shared" si="7"/>
        <v>0.1875</v>
      </c>
    </row>
    <row r="457" spans="1:8" customFormat="1" ht="15.75" customHeight="1">
      <c r="A457" s="94">
        <v>452</v>
      </c>
      <c r="B457" s="141" t="s">
        <v>1098</v>
      </c>
      <c r="C457" s="141" t="s">
        <v>594</v>
      </c>
      <c r="D457" s="141" t="s">
        <v>131</v>
      </c>
      <c r="E457" s="141" t="s">
        <v>110</v>
      </c>
      <c r="F457" s="142">
        <v>1</v>
      </c>
      <c r="G457" s="142">
        <v>100000</v>
      </c>
      <c r="H457" s="95">
        <f t="shared" si="7"/>
        <v>0.1875</v>
      </c>
    </row>
    <row r="458" spans="1:8" customFormat="1" ht="15.75" customHeight="1">
      <c r="A458" s="94">
        <v>453</v>
      </c>
      <c r="B458" s="141" t="s">
        <v>1098</v>
      </c>
      <c r="C458" s="141" t="s">
        <v>607</v>
      </c>
      <c r="D458" s="141" t="s">
        <v>106</v>
      </c>
      <c r="E458" s="141" t="s">
        <v>110</v>
      </c>
      <c r="F458" s="142">
        <v>1</v>
      </c>
      <c r="G458" s="142">
        <v>100000</v>
      </c>
      <c r="H458" s="95">
        <f t="shared" si="7"/>
        <v>0.1875</v>
      </c>
    </row>
    <row r="459" spans="1:8" customFormat="1" ht="15.75" customHeight="1">
      <c r="A459" s="94">
        <v>454</v>
      </c>
      <c r="B459" s="141" t="s">
        <v>1098</v>
      </c>
      <c r="C459" s="141" t="s">
        <v>674</v>
      </c>
      <c r="D459" s="141" t="s">
        <v>675</v>
      </c>
      <c r="E459" s="141" t="s">
        <v>110</v>
      </c>
      <c r="F459" s="142">
        <v>1</v>
      </c>
      <c r="G459" s="142">
        <v>100000</v>
      </c>
      <c r="H459" s="95">
        <f t="shared" si="7"/>
        <v>0.1875</v>
      </c>
    </row>
    <row r="460" spans="1:8" customFormat="1" ht="15.75" customHeight="1">
      <c r="A460" s="94">
        <v>455</v>
      </c>
      <c r="B460" s="141" t="s">
        <v>1098</v>
      </c>
      <c r="C460" s="141" t="s">
        <v>245</v>
      </c>
      <c r="D460" s="141" t="s">
        <v>158</v>
      </c>
      <c r="E460" s="141" t="s">
        <v>110</v>
      </c>
      <c r="F460" s="142">
        <v>1</v>
      </c>
      <c r="G460" s="142">
        <v>100000</v>
      </c>
      <c r="H460" s="95">
        <f t="shared" si="7"/>
        <v>0.1875</v>
      </c>
    </row>
    <row r="461" spans="1:8" customFormat="1" ht="15.75" customHeight="1">
      <c r="A461" s="94">
        <v>456</v>
      </c>
      <c r="B461" s="141" t="s">
        <v>1098</v>
      </c>
      <c r="C461" s="141" t="s">
        <v>792</v>
      </c>
      <c r="D461" s="141" t="s">
        <v>793</v>
      </c>
      <c r="E461" s="141" t="s">
        <v>110</v>
      </c>
      <c r="F461" s="142">
        <v>1</v>
      </c>
      <c r="G461" s="142">
        <v>100000</v>
      </c>
      <c r="H461" s="95">
        <f t="shared" si="7"/>
        <v>0.1875</v>
      </c>
    </row>
    <row r="462" spans="1:8" customFormat="1" ht="15.75" customHeight="1">
      <c r="A462" s="94">
        <v>457</v>
      </c>
      <c r="B462" s="141" t="s">
        <v>1098</v>
      </c>
      <c r="C462" s="141" t="s">
        <v>838</v>
      </c>
      <c r="D462" s="141" t="s">
        <v>839</v>
      </c>
      <c r="E462" s="141" t="s">
        <v>110</v>
      </c>
      <c r="F462" s="142">
        <v>1</v>
      </c>
      <c r="G462" s="142">
        <v>100000</v>
      </c>
      <c r="H462" s="95">
        <f t="shared" si="7"/>
        <v>0.1875</v>
      </c>
    </row>
    <row r="463" spans="1:8" customFormat="1" ht="15.75" customHeight="1">
      <c r="A463" s="94">
        <v>458</v>
      </c>
      <c r="B463" s="141" t="s">
        <v>1098</v>
      </c>
      <c r="C463" s="141" t="s">
        <v>896</v>
      </c>
      <c r="D463" s="141" t="s">
        <v>154</v>
      </c>
      <c r="E463" s="141" t="s">
        <v>110</v>
      </c>
      <c r="F463" s="142">
        <v>1</v>
      </c>
      <c r="G463" s="142">
        <v>100000</v>
      </c>
      <c r="H463" s="95">
        <f t="shared" si="7"/>
        <v>0.1875</v>
      </c>
    </row>
    <row r="464" spans="1:8" customFormat="1" ht="15.75" customHeight="1">
      <c r="A464" s="94">
        <v>459</v>
      </c>
      <c r="B464" s="141" t="s">
        <v>1098</v>
      </c>
      <c r="C464" s="141" t="s">
        <v>906</v>
      </c>
      <c r="D464" s="141" t="s">
        <v>907</v>
      </c>
      <c r="E464" s="141" t="s">
        <v>110</v>
      </c>
      <c r="F464" s="142">
        <v>1</v>
      </c>
      <c r="G464" s="142">
        <v>100000</v>
      </c>
      <c r="H464" s="95">
        <f t="shared" si="7"/>
        <v>0.1875</v>
      </c>
    </row>
    <row r="465" spans="1:8" customFormat="1" ht="15.75" customHeight="1">
      <c r="A465" s="94">
        <v>460</v>
      </c>
      <c r="B465" s="141" t="s">
        <v>1085</v>
      </c>
      <c r="C465" s="141" t="s">
        <v>513</v>
      </c>
      <c r="D465" s="141" t="s">
        <v>106</v>
      </c>
      <c r="E465" s="141" t="s">
        <v>110</v>
      </c>
      <c r="F465" s="142">
        <v>1</v>
      </c>
      <c r="G465" s="142">
        <v>100000</v>
      </c>
      <c r="H465" s="95">
        <f t="shared" si="7"/>
        <v>0.1875</v>
      </c>
    </row>
    <row r="466" spans="1:8" customFormat="1" ht="15.75" customHeight="1">
      <c r="A466" s="94">
        <v>461</v>
      </c>
      <c r="B466" s="141" t="s">
        <v>1085</v>
      </c>
      <c r="C466" s="141" t="s">
        <v>594</v>
      </c>
      <c r="D466" s="141" t="s">
        <v>131</v>
      </c>
      <c r="E466" s="141" t="s">
        <v>110</v>
      </c>
      <c r="F466" s="142">
        <v>1</v>
      </c>
      <c r="G466" s="142">
        <v>100000</v>
      </c>
      <c r="H466" s="95">
        <f t="shared" si="7"/>
        <v>0.1875</v>
      </c>
    </row>
    <row r="467" spans="1:8" customFormat="1" ht="15.75" customHeight="1">
      <c r="A467" s="94">
        <v>462</v>
      </c>
      <c r="B467" s="141" t="s">
        <v>1085</v>
      </c>
      <c r="C467" s="141" t="s">
        <v>715</v>
      </c>
      <c r="D467" s="141" t="s">
        <v>716</v>
      </c>
      <c r="E467" s="141" t="s">
        <v>110</v>
      </c>
      <c r="F467" s="142">
        <v>1</v>
      </c>
      <c r="G467" s="142">
        <v>100000</v>
      </c>
      <c r="H467" s="95">
        <f t="shared" si="7"/>
        <v>0.1875</v>
      </c>
    </row>
    <row r="468" spans="1:8" customFormat="1" ht="15.75" customHeight="1">
      <c r="A468" s="94">
        <v>463</v>
      </c>
      <c r="B468" s="141" t="s">
        <v>1085</v>
      </c>
      <c r="C468" s="141" t="s">
        <v>838</v>
      </c>
      <c r="D468" s="141" t="s">
        <v>839</v>
      </c>
      <c r="E468" s="141" t="s">
        <v>110</v>
      </c>
      <c r="F468" s="142">
        <v>1</v>
      </c>
      <c r="G468" s="142">
        <v>100000</v>
      </c>
      <c r="H468" s="95">
        <f t="shared" si="7"/>
        <v>0.1875</v>
      </c>
    </row>
    <row r="469" spans="1:8" customFormat="1" ht="15.75" customHeight="1">
      <c r="A469" s="94">
        <v>464</v>
      </c>
      <c r="B469" s="141" t="s">
        <v>1085</v>
      </c>
      <c r="C469" s="141" t="s">
        <v>850</v>
      </c>
      <c r="D469" s="141" t="s">
        <v>851</v>
      </c>
      <c r="E469" s="141" t="s">
        <v>110</v>
      </c>
      <c r="F469" s="142">
        <v>1</v>
      </c>
      <c r="G469" s="142">
        <v>100000</v>
      </c>
      <c r="H469" s="95">
        <f t="shared" si="7"/>
        <v>0.1875</v>
      </c>
    </row>
    <row r="470" spans="1:8" customFormat="1" ht="15.75" customHeight="1">
      <c r="A470" s="94">
        <v>465</v>
      </c>
      <c r="B470" s="141" t="s">
        <v>1085</v>
      </c>
      <c r="C470" s="141" t="s">
        <v>906</v>
      </c>
      <c r="D470" s="141" t="s">
        <v>907</v>
      </c>
      <c r="E470" s="141" t="s">
        <v>110</v>
      </c>
      <c r="F470" s="142">
        <v>1</v>
      </c>
      <c r="G470" s="142">
        <v>100000</v>
      </c>
      <c r="H470" s="95">
        <f t="shared" si="7"/>
        <v>0.1875</v>
      </c>
    </row>
    <row r="471" spans="1:8" customFormat="1" ht="15.75" customHeight="1">
      <c r="A471" s="94">
        <v>466</v>
      </c>
      <c r="B471" s="141" t="s">
        <v>1205</v>
      </c>
      <c r="C471" s="141" t="s">
        <v>1006</v>
      </c>
      <c r="D471" s="141" t="s">
        <v>1007</v>
      </c>
      <c r="E471" s="141" t="s">
        <v>110</v>
      </c>
      <c r="F471" s="142">
        <v>1</v>
      </c>
      <c r="G471" s="142">
        <v>100000</v>
      </c>
      <c r="H471" s="95">
        <f t="shared" si="7"/>
        <v>0.1875</v>
      </c>
    </row>
    <row r="472" spans="1:8" customFormat="1" ht="15.75" customHeight="1">
      <c r="A472" s="94">
        <v>467</v>
      </c>
      <c r="B472" s="141" t="s">
        <v>1205</v>
      </c>
      <c r="C472" s="141" t="s">
        <v>792</v>
      </c>
      <c r="D472" s="141" t="s">
        <v>793</v>
      </c>
      <c r="E472" s="141" t="s">
        <v>110</v>
      </c>
      <c r="F472" s="142">
        <v>1</v>
      </c>
      <c r="G472" s="142">
        <v>100000</v>
      </c>
      <c r="H472" s="95">
        <f t="shared" si="7"/>
        <v>0.1875</v>
      </c>
    </row>
    <row r="473" spans="1:8" customFormat="1" ht="15.75" customHeight="1">
      <c r="A473" s="94">
        <v>468</v>
      </c>
      <c r="B473" s="141" t="s">
        <v>1205</v>
      </c>
      <c r="C473" s="141" t="s">
        <v>878</v>
      </c>
      <c r="D473" s="141" t="s">
        <v>879</v>
      </c>
      <c r="E473" s="141" t="s">
        <v>110</v>
      </c>
      <c r="F473" s="142">
        <v>1</v>
      </c>
      <c r="G473" s="142">
        <v>100000</v>
      </c>
      <c r="H473" s="95">
        <f t="shared" si="7"/>
        <v>0.1875</v>
      </c>
    </row>
    <row r="474" spans="1:8" customFormat="1" ht="15.75" customHeight="1">
      <c r="A474" s="94">
        <v>469</v>
      </c>
      <c r="B474" s="141" t="s">
        <v>1205</v>
      </c>
      <c r="C474" s="141" t="s">
        <v>925</v>
      </c>
      <c r="D474" s="141" t="s">
        <v>100</v>
      </c>
      <c r="E474" s="141" t="s">
        <v>110</v>
      </c>
      <c r="F474" s="142">
        <v>1</v>
      </c>
      <c r="G474" s="142">
        <v>100000</v>
      </c>
      <c r="H474" s="95">
        <f t="shared" si="7"/>
        <v>0.1875</v>
      </c>
    </row>
    <row r="475" spans="1:8" customFormat="1" ht="15.75" customHeight="1">
      <c r="A475" s="94">
        <v>470</v>
      </c>
      <c r="B475" s="141" t="s">
        <v>1205</v>
      </c>
      <c r="C475" s="141" t="s">
        <v>222</v>
      </c>
      <c r="D475" s="141" t="s">
        <v>100</v>
      </c>
      <c r="E475" s="141" t="s">
        <v>110</v>
      </c>
      <c r="F475" s="142">
        <v>1</v>
      </c>
      <c r="G475" s="142">
        <v>100000</v>
      </c>
      <c r="H475" s="95">
        <f t="shared" si="7"/>
        <v>0.1875</v>
      </c>
    </row>
    <row r="476" spans="1:8" customFormat="1" ht="15.75" customHeight="1">
      <c r="A476" s="94">
        <v>471</v>
      </c>
      <c r="B476" s="141" t="s">
        <v>1205</v>
      </c>
      <c r="C476" s="141" t="s">
        <v>955</v>
      </c>
      <c r="D476" s="141" t="s">
        <v>956</v>
      </c>
      <c r="E476" s="141" t="s">
        <v>110</v>
      </c>
      <c r="F476" s="142">
        <v>1</v>
      </c>
      <c r="G476" s="142">
        <v>100000</v>
      </c>
      <c r="H476" s="95">
        <f t="shared" si="7"/>
        <v>0.1875</v>
      </c>
    </row>
    <row r="477" spans="1:8" customFormat="1" ht="15.75" customHeight="1">
      <c r="A477" s="94">
        <v>472</v>
      </c>
      <c r="B477" s="141" t="s">
        <v>1205</v>
      </c>
      <c r="C477" s="141" t="s">
        <v>987</v>
      </c>
      <c r="D477" s="141" t="s">
        <v>128</v>
      </c>
      <c r="E477" s="141" t="s">
        <v>110</v>
      </c>
      <c r="F477" s="142">
        <v>1</v>
      </c>
      <c r="G477" s="142">
        <v>100000</v>
      </c>
      <c r="H477" s="95">
        <f t="shared" si="7"/>
        <v>0.1875</v>
      </c>
    </row>
    <row r="478" spans="1:8" customFormat="1" ht="15.75" customHeight="1">
      <c r="A478" s="94">
        <v>473</v>
      </c>
      <c r="B478" s="141" t="s">
        <v>1139</v>
      </c>
      <c r="C478" s="141" t="s">
        <v>607</v>
      </c>
      <c r="D478" s="141" t="s">
        <v>106</v>
      </c>
      <c r="E478" s="141" t="s">
        <v>110</v>
      </c>
      <c r="F478" s="142">
        <v>1</v>
      </c>
      <c r="G478" s="142">
        <v>100000</v>
      </c>
      <c r="H478" s="95">
        <f t="shared" si="7"/>
        <v>0.1875</v>
      </c>
    </row>
    <row r="479" spans="1:8" customFormat="1" ht="15.75" customHeight="1">
      <c r="A479" s="94">
        <v>474</v>
      </c>
      <c r="B479" s="141" t="s">
        <v>1139</v>
      </c>
      <c r="C479" s="141" t="s">
        <v>826</v>
      </c>
      <c r="D479" s="141" t="s">
        <v>827</v>
      </c>
      <c r="E479" s="141" t="s">
        <v>1214</v>
      </c>
      <c r="F479" s="142">
        <v>1</v>
      </c>
      <c r="G479" s="142">
        <v>458200</v>
      </c>
      <c r="H479" s="95">
        <f t="shared" si="7"/>
        <v>0.1875</v>
      </c>
    </row>
    <row r="480" spans="1:8" customFormat="1" ht="15.75" customHeight="1">
      <c r="A480" s="94">
        <v>475</v>
      </c>
      <c r="B480" s="141" t="s">
        <v>1174</v>
      </c>
      <c r="C480" s="141" t="s">
        <v>245</v>
      </c>
      <c r="D480" s="141" t="s">
        <v>158</v>
      </c>
      <c r="E480" s="141" t="s">
        <v>110</v>
      </c>
      <c r="F480" s="142">
        <v>1</v>
      </c>
      <c r="G480" s="142">
        <v>100000</v>
      </c>
      <c r="H480" s="95">
        <f t="shared" si="7"/>
        <v>0.1875</v>
      </c>
    </row>
    <row r="481" spans="1:8" customFormat="1" ht="15.75" customHeight="1">
      <c r="A481" s="94">
        <v>476</v>
      </c>
      <c r="B481" s="141" t="s">
        <v>1054</v>
      </c>
      <c r="C481" s="141" t="s">
        <v>594</v>
      </c>
      <c r="D481" s="141" t="s">
        <v>131</v>
      </c>
      <c r="E481" s="141" t="s">
        <v>110</v>
      </c>
      <c r="F481" s="142">
        <v>1</v>
      </c>
      <c r="G481" s="142">
        <v>100000</v>
      </c>
      <c r="H481" s="95">
        <f t="shared" si="7"/>
        <v>0.1875</v>
      </c>
    </row>
    <row r="482" spans="1:8" customFormat="1" ht="15.75" customHeight="1">
      <c r="A482" s="94">
        <v>477</v>
      </c>
      <c r="B482" s="141" t="s">
        <v>1054</v>
      </c>
      <c r="C482" s="141" t="s">
        <v>715</v>
      </c>
      <c r="D482" s="141" t="s">
        <v>716</v>
      </c>
      <c r="E482" s="141" t="s">
        <v>110</v>
      </c>
      <c r="F482" s="142">
        <v>1</v>
      </c>
      <c r="G482" s="142">
        <v>100000</v>
      </c>
      <c r="H482" s="95">
        <f t="shared" si="7"/>
        <v>0.1875</v>
      </c>
    </row>
    <row r="483" spans="1:8" customFormat="1" ht="15.75" customHeight="1">
      <c r="A483" s="94">
        <v>478</v>
      </c>
      <c r="B483" s="141" t="s">
        <v>1054</v>
      </c>
      <c r="C483" s="141" t="s">
        <v>792</v>
      </c>
      <c r="D483" s="141" t="s">
        <v>793</v>
      </c>
      <c r="E483" s="141" t="s">
        <v>110</v>
      </c>
      <c r="F483" s="142">
        <v>1</v>
      </c>
      <c r="G483" s="142">
        <v>100000</v>
      </c>
      <c r="H483" s="95">
        <f t="shared" si="7"/>
        <v>0.1875</v>
      </c>
    </row>
    <row r="484" spans="1:8" customFormat="1" ht="15.75" customHeight="1">
      <c r="A484" s="94">
        <v>479</v>
      </c>
      <c r="B484" s="141" t="s">
        <v>1054</v>
      </c>
      <c r="C484" s="141" t="s">
        <v>925</v>
      </c>
      <c r="D484" s="141" t="s">
        <v>100</v>
      </c>
      <c r="E484" s="141" t="s">
        <v>110</v>
      </c>
      <c r="F484" s="142">
        <v>1</v>
      </c>
      <c r="G484" s="142">
        <v>100000</v>
      </c>
      <c r="H484" s="95">
        <f t="shared" si="7"/>
        <v>0.1875</v>
      </c>
    </row>
    <row r="485" spans="1:8" customFormat="1" ht="15.75" customHeight="1">
      <c r="A485" s="94">
        <v>480</v>
      </c>
      <c r="B485" s="141" t="s">
        <v>1054</v>
      </c>
      <c r="C485" s="141" t="s">
        <v>222</v>
      </c>
      <c r="D485" s="141" t="s">
        <v>100</v>
      </c>
      <c r="E485" s="141" t="s">
        <v>110</v>
      </c>
      <c r="F485" s="142">
        <v>1</v>
      </c>
      <c r="G485" s="142">
        <v>100000</v>
      </c>
      <c r="H485" s="95">
        <f t="shared" si="7"/>
        <v>0.1875</v>
      </c>
    </row>
    <row r="486" spans="1:8" customFormat="1" ht="15.75" customHeight="1">
      <c r="A486" s="94">
        <v>481</v>
      </c>
      <c r="B486" s="141" t="s">
        <v>1112</v>
      </c>
      <c r="C486" s="141" t="s">
        <v>548</v>
      </c>
      <c r="D486" s="141" t="s">
        <v>549</v>
      </c>
      <c r="E486" s="141" t="s">
        <v>110</v>
      </c>
      <c r="F486" s="142">
        <v>1</v>
      </c>
      <c r="G486" s="142">
        <v>100000</v>
      </c>
      <c r="H486" s="95">
        <f t="shared" si="7"/>
        <v>0.1875</v>
      </c>
    </row>
    <row r="487" spans="1:8" customFormat="1" ht="15.75" customHeight="1">
      <c r="A487" s="94">
        <v>482</v>
      </c>
      <c r="B487" s="141" t="s">
        <v>1164</v>
      </c>
      <c r="C487" s="141" t="s">
        <v>674</v>
      </c>
      <c r="D487" s="141" t="s">
        <v>675</v>
      </c>
      <c r="E487" s="141" t="s">
        <v>110</v>
      </c>
      <c r="F487" s="142">
        <v>1</v>
      </c>
      <c r="G487" s="142">
        <v>100000</v>
      </c>
      <c r="H487" s="95">
        <f t="shared" si="7"/>
        <v>0.1875</v>
      </c>
    </row>
    <row r="488" spans="1:8" customFormat="1" ht="15.75" customHeight="1">
      <c r="A488" s="94">
        <v>483</v>
      </c>
      <c r="B488" s="141" t="s">
        <v>1164</v>
      </c>
      <c r="C488" s="141" t="s">
        <v>706</v>
      </c>
      <c r="D488" s="141" t="s">
        <v>536</v>
      </c>
      <c r="E488" s="141" t="s">
        <v>110</v>
      </c>
      <c r="F488" s="142">
        <v>1</v>
      </c>
      <c r="G488" s="142">
        <v>100000</v>
      </c>
      <c r="H488" s="95">
        <f t="shared" si="7"/>
        <v>0.1875</v>
      </c>
    </row>
    <row r="489" spans="1:8" customFormat="1" ht="15.75" customHeight="1">
      <c r="A489" s="94">
        <v>484</v>
      </c>
      <c r="B489" s="141" t="s">
        <v>1164</v>
      </c>
      <c r="C489" s="141" t="s">
        <v>773</v>
      </c>
      <c r="D489" s="141" t="s">
        <v>102</v>
      </c>
      <c r="E489" s="141" t="s">
        <v>148</v>
      </c>
      <c r="F489" s="142">
        <v>1</v>
      </c>
      <c r="G489" s="142">
        <v>400000</v>
      </c>
      <c r="H489" s="95">
        <f t="shared" si="7"/>
        <v>0.1875</v>
      </c>
    </row>
    <row r="490" spans="1:8" customFormat="1" ht="15.75" customHeight="1">
      <c r="A490" s="94">
        <v>485</v>
      </c>
      <c r="B490" s="141" t="s">
        <v>1164</v>
      </c>
      <c r="C490" s="141" t="s">
        <v>838</v>
      </c>
      <c r="D490" s="141" t="s">
        <v>839</v>
      </c>
      <c r="E490" s="141" t="s">
        <v>110</v>
      </c>
      <c r="F490" s="142">
        <v>1</v>
      </c>
      <c r="G490" s="142">
        <v>100000</v>
      </c>
      <c r="H490" s="95">
        <f t="shared" si="7"/>
        <v>0.1875</v>
      </c>
    </row>
    <row r="491" spans="1:8" customFormat="1" ht="15.75" customHeight="1">
      <c r="A491" s="94">
        <v>486</v>
      </c>
      <c r="B491" s="141" t="s">
        <v>1164</v>
      </c>
      <c r="C491" s="141" t="s">
        <v>896</v>
      </c>
      <c r="D491" s="141" t="s">
        <v>154</v>
      </c>
      <c r="E491" s="141" t="s">
        <v>110</v>
      </c>
      <c r="F491" s="142">
        <v>1</v>
      </c>
      <c r="G491" s="142">
        <v>100000</v>
      </c>
      <c r="H491" s="95">
        <f t="shared" si="7"/>
        <v>0.1875</v>
      </c>
    </row>
    <row r="492" spans="1:8" customFormat="1" ht="15.75" customHeight="1">
      <c r="A492" s="94">
        <v>487</v>
      </c>
      <c r="B492" s="141" t="s">
        <v>1164</v>
      </c>
      <c r="C492" s="141" t="s">
        <v>929</v>
      </c>
      <c r="D492" s="141" t="s">
        <v>930</v>
      </c>
      <c r="E492" s="141" t="s">
        <v>110</v>
      </c>
      <c r="F492" s="142">
        <v>1</v>
      </c>
      <c r="G492" s="142">
        <v>100000</v>
      </c>
      <c r="H492" s="95">
        <f t="shared" si="7"/>
        <v>0.1875</v>
      </c>
    </row>
    <row r="493" spans="1:8" customFormat="1" ht="15.75" customHeight="1">
      <c r="A493" s="94">
        <v>488</v>
      </c>
      <c r="B493" s="141" t="s">
        <v>1164</v>
      </c>
      <c r="C493" s="141" t="s">
        <v>987</v>
      </c>
      <c r="D493" s="141" t="s">
        <v>128</v>
      </c>
      <c r="E493" s="141" t="s">
        <v>110</v>
      </c>
      <c r="F493" s="142">
        <v>1</v>
      </c>
      <c r="G493" s="142">
        <v>100000</v>
      </c>
      <c r="H493" s="95">
        <f t="shared" si="7"/>
        <v>0.1875</v>
      </c>
    </row>
    <row r="494" spans="1:8" customFormat="1" ht="15.75" customHeight="1">
      <c r="A494" s="94">
        <v>489</v>
      </c>
      <c r="B494" s="141" t="s">
        <v>1215</v>
      </c>
      <c r="C494" s="141" t="s">
        <v>826</v>
      </c>
      <c r="D494" s="141" t="s">
        <v>827</v>
      </c>
      <c r="E494" s="141" t="s">
        <v>1214</v>
      </c>
      <c r="F494" s="142">
        <v>1</v>
      </c>
      <c r="G494" s="142">
        <v>458200</v>
      </c>
      <c r="H494" s="95">
        <f t="shared" si="7"/>
        <v>0.1875</v>
      </c>
    </row>
    <row r="495" spans="1:8" customFormat="1" ht="15.75" customHeight="1">
      <c r="A495" s="94">
        <v>490</v>
      </c>
      <c r="B495" s="141" t="s">
        <v>1110</v>
      </c>
      <c r="C495" s="141" t="s">
        <v>542</v>
      </c>
      <c r="D495" s="141" t="s">
        <v>543</v>
      </c>
      <c r="E495" s="141" t="s">
        <v>110</v>
      </c>
      <c r="F495" s="142">
        <v>1</v>
      </c>
      <c r="G495" s="142">
        <v>100000</v>
      </c>
      <c r="H495" s="95">
        <f t="shared" si="7"/>
        <v>0.1875</v>
      </c>
    </row>
    <row r="496" spans="1:8" customFormat="1" ht="15.75" customHeight="1">
      <c r="A496" s="94">
        <v>491</v>
      </c>
      <c r="B496" s="141" t="s">
        <v>1055</v>
      </c>
      <c r="C496" s="141" t="s">
        <v>542</v>
      </c>
      <c r="D496" s="141" t="s">
        <v>543</v>
      </c>
      <c r="E496" s="141" t="s">
        <v>110</v>
      </c>
      <c r="F496" s="142">
        <v>1</v>
      </c>
      <c r="G496" s="142">
        <v>100000</v>
      </c>
      <c r="H496" s="95">
        <f t="shared" si="7"/>
        <v>0.1875</v>
      </c>
    </row>
    <row r="497" spans="1:8" customFormat="1" ht="15.75" customHeight="1">
      <c r="A497" s="94">
        <v>492</v>
      </c>
      <c r="B497" s="141" t="s">
        <v>1055</v>
      </c>
      <c r="C497" s="141" t="s">
        <v>715</v>
      </c>
      <c r="D497" s="141" t="s">
        <v>716</v>
      </c>
      <c r="E497" s="141" t="s">
        <v>110</v>
      </c>
      <c r="F497" s="142">
        <v>1</v>
      </c>
      <c r="G497" s="142">
        <v>100000</v>
      </c>
      <c r="H497" s="95">
        <f t="shared" si="7"/>
        <v>0.1875</v>
      </c>
    </row>
    <row r="498" spans="1:8" customFormat="1" ht="15.75" customHeight="1">
      <c r="A498" s="94">
        <v>493</v>
      </c>
      <c r="B498" s="141" t="s">
        <v>1055</v>
      </c>
      <c r="C498" s="141" t="s">
        <v>925</v>
      </c>
      <c r="D498" s="141" t="s">
        <v>100</v>
      </c>
      <c r="E498" s="141" t="s">
        <v>110</v>
      </c>
      <c r="F498" s="142">
        <v>1</v>
      </c>
      <c r="G498" s="142">
        <v>100000</v>
      </c>
      <c r="H498" s="95">
        <f t="shared" si="7"/>
        <v>0.1875</v>
      </c>
    </row>
    <row r="499" spans="1:8" customFormat="1" ht="15.75" customHeight="1">
      <c r="A499" s="94">
        <v>494</v>
      </c>
      <c r="B499" s="141" t="s">
        <v>1055</v>
      </c>
      <c r="C499" s="141" t="s">
        <v>222</v>
      </c>
      <c r="D499" s="141" t="s">
        <v>100</v>
      </c>
      <c r="E499" s="141" t="s">
        <v>110</v>
      </c>
      <c r="F499" s="142">
        <v>1</v>
      </c>
      <c r="G499" s="142">
        <v>100000</v>
      </c>
      <c r="H499" s="95">
        <f t="shared" si="7"/>
        <v>0.1875</v>
      </c>
    </row>
    <row r="500" spans="1:8" customFormat="1" ht="15.75" customHeight="1">
      <c r="A500" s="94">
        <v>495</v>
      </c>
      <c r="B500" s="141" t="s">
        <v>1209</v>
      </c>
      <c r="C500" s="141" t="s">
        <v>812</v>
      </c>
      <c r="D500" s="141" t="s">
        <v>813</v>
      </c>
      <c r="E500" s="141" t="s">
        <v>110</v>
      </c>
      <c r="F500" s="142">
        <v>1</v>
      </c>
      <c r="G500" s="142">
        <v>100000</v>
      </c>
      <c r="H500" s="95">
        <f t="shared" si="7"/>
        <v>0.1875</v>
      </c>
    </row>
    <row r="501" spans="1:8" customFormat="1" ht="15.75" customHeight="1">
      <c r="A501" s="94">
        <v>496</v>
      </c>
      <c r="B501" s="141" t="s">
        <v>1192</v>
      </c>
      <c r="C501" s="141" t="s">
        <v>157</v>
      </c>
      <c r="D501" s="141" t="s">
        <v>123</v>
      </c>
      <c r="E501" s="141" t="s">
        <v>110</v>
      </c>
      <c r="F501" s="142">
        <v>1</v>
      </c>
      <c r="G501" s="142">
        <v>100000</v>
      </c>
      <c r="H501" s="95">
        <f t="shared" si="7"/>
        <v>0.1875</v>
      </c>
    </row>
    <row r="502" spans="1:8" customFormat="1" ht="15.75" customHeight="1">
      <c r="A502" s="94">
        <v>497</v>
      </c>
      <c r="B502" s="141" t="s">
        <v>1114</v>
      </c>
      <c r="C502" s="141" t="s">
        <v>548</v>
      </c>
      <c r="D502" s="141" t="s">
        <v>549</v>
      </c>
      <c r="E502" s="141" t="s">
        <v>110</v>
      </c>
      <c r="F502" s="142">
        <v>1</v>
      </c>
      <c r="G502" s="142">
        <v>100000</v>
      </c>
      <c r="H502" s="95">
        <f t="shared" si="7"/>
        <v>0.1875</v>
      </c>
    </row>
    <row r="503" spans="1:8" customFormat="1" ht="15.75" customHeight="1">
      <c r="A503" s="94">
        <v>498</v>
      </c>
      <c r="B503" s="141" t="s">
        <v>1109</v>
      </c>
      <c r="C503" s="141" t="s">
        <v>579</v>
      </c>
      <c r="D503" s="141" t="s">
        <v>96</v>
      </c>
      <c r="E503" s="141" t="s">
        <v>110</v>
      </c>
      <c r="F503" s="142">
        <v>1</v>
      </c>
      <c r="G503" s="142">
        <v>100000</v>
      </c>
      <c r="H503" s="95">
        <f t="shared" si="7"/>
        <v>0.1875</v>
      </c>
    </row>
    <row r="504" spans="1:8" customFormat="1" ht="15.75" customHeight="1">
      <c r="A504" s="94">
        <v>499</v>
      </c>
      <c r="B504" s="141" t="s">
        <v>1109</v>
      </c>
      <c r="C504" s="141" t="s">
        <v>621</v>
      </c>
      <c r="D504" s="141" t="s">
        <v>622</v>
      </c>
      <c r="E504" s="141" t="s">
        <v>110</v>
      </c>
      <c r="F504" s="142">
        <v>1</v>
      </c>
      <c r="G504" s="142">
        <v>100000</v>
      </c>
      <c r="H504" s="95">
        <f t="shared" ref="H504:H567" si="8">25%*75%</f>
        <v>0.1875</v>
      </c>
    </row>
    <row r="505" spans="1:8" customFormat="1" ht="15.75" customHeight="1">
      <c r="A505" s="94">
        <v>500</v>
      </c>
      <c r="B505" s="141" t="s">
        <v>1109</v>
      </c>
      <c r="C505" s="141" t="s">
        <v>674</v>
      </c>
      <c r="D505" s="141" t="s">
        <v>675</v>
      </c>
      <c r="E505" s="141" t="s">
        <v>110</v>
      </c>
      <c r="F505" s="142">
        <v>1</v>
      </c>
      <c r="G505" s="142">
        <v>100000</v>
      </c>
      <c r="H505" s="95">
        <f t="shared" si="8"/>
        <v>0.1875</v>
      </c>
    </row>
    <row r="506" spans="1:8" customFormat="1" ht="15.75" customHeight="1">
      <c r="A506" s="94">
        <v>501</v>
      </c>
      <c r="B506" s="141" t="s">
        <v>1109</v>
      </c>
      <c r="C506" s="141" t="s">
        <v>733</v>
      </c>
      <c r="D506" s="141" t="s">
        <v>97</v>
      </c>
      <c r="E506" s="141" t="s">
        <v>110</v>
      </c>
      <c r="F506" s="142">
        <v>1</v>
      </c>
      <c r="G506" s="142">
        <v>100000</v>
      </c>
      <c r="H506" s="95">
        <f t="shared" si="8"/>
        <v>0.1875</v>
      </c>
    </row>
    <row r="507" spans="1:8" customFormat="1" ht="15.75" customHeight="1">
      <c r="A507" s="94">
        <v>502</v>
      </c>
      <c r="B507" s="141" t="s">
        <v>1109</v>
      </c>
      <c r="C507" s="141" t="s">
        <v>766</v>
      </c>
      <c r="D507" s="141" t="s">
        <v>98</v>
      </c>
      <c r="E507" s="141" t="s">
        <v>110</v>
      </c>
      <c r="F507" s="142">
        <v>1</v>
      </c>
      <c r="G507" s="142">
        <v>100000</v>
      </c>
      <c r="H507" s="95">
        <f t="shared" si="8"/>
        <v>0.1875</v>
      </c>
    </row>
    <row r="508" spans="1:8" customFormat="1" ht="15.75" customHeight="1">
      <c r="A508" s="94">
        <v>503</v>
      </c>
      <c r="B508" s="141" t="s">
        <v>1109</v>
      </c>
      <c r="C508" s="141" t="s">
        <v>817</v>
      </c>
      <c r="D508" s="141" t="s">
        <v>818</v>
      </c>
      <c r="E508" s="141" t="s">
        <v>110</v>
      </c>
      <c r="F508" s="142">
        <v>1</v>
      </c>
      <c r="G508" s="142">
        <v>100000</v>
      </c>
      <c r="H508" s="95">
        <f t="shared" si="8"/>
        <v>0.1875</v>
      </c>
    </row>
    <row r="509" spans="1:8" customFormat="1" ht="15.75" customHeight="1">
      <c r="A509" s="94">
        <v>504</v>
      </c>
      <c r="B509" s="141" t="s">
        <v>1109</v>
      </c>
      <c r="C509" s="141" t="s">
        <v>892</v>
      </c>
      <c r="D509" s="141" t="s">
        <v>893</v>
      </c>
      <c r="E509" s="141" t="s">
        <v>110</v>
      </c>
      <c r="F509" s="142">
        <v>1</v>
      </c>
      <c r="G509" s="142">
        <v>100000</v>
      </c>
      <c r="H509" s="95">
        <f t="shared" si="8"/>
        <v>0.1875</v>
      </c>
    </row>
    <row r="510" spans="1:8" customFormat="1" ht="15.75" customHeight="1">
      <c r="A510" s="94">
        <v>505</v>
      </c>
      <c r="B510" s="141" t="s">
        <v>1109</v>
      </c>
      <c r="C510" s="141" t="s">
        <v>896</v>
      </c>
      <c r="D510" s="141" t="s">
        <v>154</v>
      </c>
      <c r="E510" s="141" t="s">
        <v>110</v>
      </c>
      <c r="F510" s="142">
        <v>1</v>
      </c>
      <c r="G510" s="142">
        <v>100000</v>
      </c>
      <c r="H510" s="95">
        <f t="shared" si="8"/>
        <v>0.1875</v>
      </c>
    </row>
    <row r="511" spans="1:8" customFormat="1" ht="15.75" customHeight="1">
      <c r="A511" s="94">
        <v>506</v>
      </c>
      <c r="B511" s="141" t="s">
        <v>1109</v>
      </c>
      <c r="C511" s="141" t="s">
        <v>980</v>
      </c>
      <c r="D511" s="141" t="s">
        <v>981</v>
      </c>
      <c r="E511" s="141" t="s">
        <v>110</v>
      </c>
      <c r="F511" s="142">
        <v>1</v>
      </c>
      <c r="G511" s="142">
        <v>100000</v>
      </c>
      <c r="H511" s="95">
        <f t="shared" si="8"/>
        <v>0.1875</v>
      </c>
    </row>
    <row r="512" spans="1:8" customFormat="1" ht="15.75" customHeight="1">
      <c r="A512" s="94">
        <v>507</v>
      </c>
      <c r="B512" s="141" t="s">
        <v>1109</v>
      </c>
      <c r="C512" s="141" t="s">
        <v>987</v>
      </c>
      <c r="D512" s="141" t="s">
        <v>128</v>
      </c>
      <c r="E512" s="141" t="s">
        <v>110</v>
      </c>
      <c r="F512" s="142">
        <v>1</v>
      </c>
      <c r="G512" s="142">
        <v>100000</v>
      </c>
      <c r="H512" s="95">
        <f t="shared" si="8"/>
        <v>0.1875</v>
      </c>
    </row>
    <row r="513" spans="1:8" customFormat="1" ht="15.75" customHeight="1">
      <c r="A513" s="94">
        <v>508</v>
      </c>
      <c r="B513" s="141" t="s">
        <v>1187</v>
      </c>
      <c r="C513" s="141" t="s">
        <v>736</v>
      </c>
      <c r="D513" s="141" t="s">
        <v>737</v>
      </c>
      <c r="E513" s="141" t="s">
        <v>110</v>
      </c>
      <c r="F513" s="142">
        <v>1</v>
      </c>
      <c r="G513" s="142">
        <v>100000</v>
      </c>
      <c r="H513" s="95">
        <f t="shared" si="8"/>
        <v>0.1875</v>
      </c>
    </row>
    <row r="514" spans="1:8" customFormat="1" ht="15.75" customHeight="1">
      <c r="A514" s="94">
        <v>509</v>
      </c>
      <c r="B514" s="141" t="s">
        <v>1187</v>
      </c>
      <c r="C514" s="141" t="s">
        <v>273</v>
      </c>
      <c r="D514" s="141" t="s">
        <v>104</v>
      </c>
      <c r="E514" s="141" t="s">
        <v>110</v>
      </c>
      <c r="F514" s="142">
        <v>1</v>
      </c>
      <c r="G514" s="142">
        <v>100000</v>
      </c>
      <c r="H514" s="95">
        <f t="shared" si="8"/>
        <v>0.1875</v>
      </c>
    </row>
    <row r="515" spans="1:8" customFormat="1" ht="15.75" customHeight="1">
      <c r="A515" s="94">
        <v>510</v>
      </c>
      <c r="B515" s="141" t="s">
        <v>1252</v>
      </c>
      <c r="C515" s="141" t="s">
        <v>994</v>
      </c>
      <c r="D515" s="141" t="s">
        <v>995</v>
      </c>
      <c r="E515" s="141" t="s">
        <v>110</v>
      </c>
      <c r="F515" s="142">
        <v>1</v>
      </c>
      <c r="G515" s="142">
        <v>100000</v>
      </c>
      <c r="H515" s="95">
        <f t="shared" si="8"/>
        <v>0.1875</v>
      </c>
    </row>
    <row r="516" spans="1:8" customFormat="1" ht="15.75" customHeight="1">
      <c r="A516" s="94">
        <v>511</v>
      </c>
      <c r="B516" s="141" t="s">
        <v>1172</v>
      </c>
      <c r="C516" s="141" t="s">
        <v>245</v>
      </c>
      <c r="D516" s="141" t="s">
        <v>158</v>
      </c>
      <c r="E516" s="141" t="s">
        <v>110</v>
      </c>
      <c r="F516" s="142">
        <v>1</v>
      </c>
      <c r="G516" s="142">
        <v>100000</v>
      </c>
      <c r="H516" s="95">
        <f t="shared" si="8"/>
        <v>0.1875</v>
      </c>
    </row>
    <row r="517" spans="1:8" customFormat="1" ht="15.75" customHeight="1">
      <c r="A517" s="94">
        <v>512</v>
      </c>
      <c r="B517" s="141" t="s">
        <v>1117</v>
      </c>
      <c r="C517" s="141" t="s">
        <v>554</v>
      </c>
      <c r="D517" s="141" t="s">
        <v>555</v>
      </c>
      <c r="E517" s="141" t="s">
        <v>110</v>
      </c>
      <c r="F517" s="142">
        <v>1</v>
      </c>
      <c r="G517" s="142">
        <v>100000</v>
      </c>
      <c r="H517" s="95">
        <f t="shared" si="8"/>
        <v>0.1875</v>
      </c>
    </row>
    <row r="518" spans="1:8" customFormat="1" ht="15.75" customHeight="1">
      <c r="A518" s="94">
        <v>513</v>
      </c>
      <c r="B518" s="141" t="s">
        <v>1248</v>
      </c>
      <c r="C518" s="141" t="s">
        <v>983</v>
      </c>
      <c r="D518" s="141" t="s">
        <v>984</v>
      </c>
      <c r="E518" s="141" t="s">
        <v>110</v>
      </c>
      <c r="F518" s="142">
        <v>1</v>
      </c>
      <c r="G518" s="142">
        <v>100000</v>
      </c>
      <c r="H518" s="95">
        <f t="shared" si="8"/>
        <v>0.1875</v>
      </c>
    </row>
    <row r="519" spans="1:8" customFormat="1" ht="15.75" customHeight="1">
      <c r="A519" s="94">
        <v>514</v>
      </c>
      <c r="B519" s="141" t="s">
        <v>1058</v>
      </c>
      <c r="C519" s="141" t="s">
        <v>671</v>
      </c>
      <c r="D519" s="141" t="s">
        <v>672</v>
      </c>
      <c r="E519" s="141" t="s">
        <v>110</v>
      </c>
      <c r="F519" s="142">
        <v>1</v>
      </c>
      <c r="G519" s="142">
        <v>100000</v>
      </c>
      <c r="H519" s="95">
        <f t="shared" si="8"/>
        <v>0.1875</v>
      </c>
    </row>
    <row r="520" spans="1:8" customFormat="1" ht="15.75" customHeight="1">
      <c r="A520" s="94">
        <v>515</v>
      </c>
      <c r="B520" s="141" t="s">
        <v>1058</v>
      </c>
      <c r="C520" s="141" t="s">
        <v>674</v>
      </c>
      <c r="D520" s="141" t="s">
        <v>675</v>
      </c>
      <c r="E520" s="141" t="s">
        <v>110</v>
      </c>
      <c r="F520" s="142">
        <v>1</v>
      </c>
      <c r="G520" s="142">
        <v>100000</v>
      </c>
      <c r="H520" s="95">
        <f t="shared" si="8"/>
        <v>0.1875</v>
      </c>
    </row>
    <row r="521" spans="1:8" customFormat="1" ht="15.75" customHeight="1">
      <c r="A521" s="94">
        <v>516</v>
      </c>
      <c r="B521" s="141" t="s">
        <v>1058</v>
      </c>
      <c r="C521" s="141" t="s">
        <v>715</v>
      </c>
      <c r="D521" s="141" t="s">
        <v>716</v>
      </c>
      <c r="E521" s="141" t="s">
        <v>110</v>
      </c>
      <c r="F521" s="142">
        <v>1</v>
      </c>
      <c r="G521" s="142">
        <v>100000</v>
      </c>
      <c r="H521" s="95">
        <f t="shared" si="8"/>
        <v>0.1875</v>
      </c>
    </row>
    <row r="522" spans="1:8" customFormat="1" ht="15.75" customHeight="1">
      <c r="A522" s="94">
        <v>517</v>
      </c>
      <c r="B522" s="141" t="s">
        <v>1058</v>
      </c>
      <c r="C522" s="141" t="s">
        <v>896</v>
      </c>
      <c r="D522" s="141" t="s">
        <v>154</v>
      </c>
      <c r="E522" s="141" t="s">
        <v>110</v>
      </c>
      <c r="F522" s="142">
        <v>1</v>
      </c>
      <c r="G522" s="142">
        <v>100000</v>
      </c>
      <c r="H522" s="95">
        <f t="shared" si="8"/>
        <v>0.1875</v>
      </c>
    </row>
    <row r="523" spans="1:8" customFormat="1" ht="15.75" customHeight="1">
      <c r="A523" s="94">
        <v>518</v>
      </c>
      <c r="B523" s="141" t="s">
        <v>1058</v>
      </c>
      <c r="C523" s="141" t="s">
        <v>925</v>
      </c>
      <c r="D523" s="141" t="s">
        <v>100</v>
      </c>
      <c r="E523" s="141" t="s">
        <v>110</v>
      </c>
      <c r="F523" s="142">
        <v>1</v>
      </c>
      <c r="G523" s="142">
        <v>100000</v>
      </c>
      <c r="H523" s="95">
        <f t="shared" si="8"/>
        <v>0.1875</v>
      </c>
    </row>
    <row r="524" spans="1:8" customFormat="1" ht="15.75" customHeight="1">
      <c r="A524" s="94">
        <v>519</v>
      </c>
      <c r="B524" s="141" t="s">
        <v>1058</v>
      </c>
      <c r="C524" s="141" t="s">
        <v>222</v>
      </c>
      <c r="D524" s="141" t="s">
        <v>100</v>
      </c>
      <c r="E524" s="141" t="s">
        <v>110</v>
      </c>
      <c r="F524" s="142">
        <v>1</v>
      </c>
      <c r="G524" s="142">
        <v>100000</v>
      </c>
      <c r="H524" s="95">
        <f t="shared" si="8"/>
        <v>0.1875</v>
      </c>
    </row>
    <row r="525" spans="1:8" customFormat="1" ht="15.75" customHeight="1">
      <c r="A525" s="94">
        <v>520</v>
      </c>
      <c r="B525" s="141" t="s">
        <v>1058</v>
      </c>
      <c r="C525" s="141" t="s">
        <v>958</v>
      </c>
      <c r="D525" s="141" t="s">
        <v>959</v>
      </c>
      <c r="E525" s="141" t="s">
        <v>110</v>
      </c>
      <c r="F525" s="142">
        <v>1</v>
      </c>
      <c r="G525" s="142">
        <v>100000</v>
      </c>
      <c r="H525" s="95">
        <f t="shared" si="8"/>
        <v>0.1875</v>
      </c>
    </row>
    <row r="526" spans="1:8" customFormat="1" ht="15.75" customHeight="1">
      <c r="A526" s="94">
        <v>521</v>
      </c>
      <c r="B526" s="141" t="s">
        <v>1058</v>
      </c>
      <c r="C526" s="141" t="s">
        <v>994</v>
      </c>
      <c r="D526" s="141" t="s">
        <v>995</v>
      </c>
      <c r="E526" s="141" t="s">
        <v>110</v>
      </c>
      <c r="F526" s="142">
        <v>1</v>
      </c>
      <c r="G526" s="142">
        <v>100000</v>
      </c>
      <c r="H526" s="95">
        <f t="shared" si="8"/>
        <v>0.1875</v>
      </c>
    </row>
    <row r="527" spans="1:8" customFormat="1" ht="15.75" customHeight="1">
      <c r="A527" s="94">
        <v>522</v>
      </c>
      <c r="B527" s="141" t="s">
        <v>1230</v>
      </c>
      <c r="C527" s="141" t="s">
        <v>396</v>
      </c>
      <c r="D527" s="141" t="s">
        <v>103</v>
      </c>
      <c r="E527" s="141" t="s">
        <v>110</v>
      </c>
      <c r="F527" s="142">
        <v>1</v>
      </c>
      <c r="G527" s="142">
        <v>100000</v>
      </c>
      <c r="H527" s="95">
        <f t="shared" si="8"/>
        <v>0.1875</v>
      </c>
    </row>
    <row r="528" spans="1:8" customFormat="1" ht="15.75" customHeight="1">
      <c r="A528" s="94">
        <v>523</v>
      </c>
      <c r="B528" s="141" t="s">
        <v>1168</v>
      </c>
      <c r="C528" s="141" t="s">
        <v>682</v>
      </c>
      <c r="D528" s="141" t="s">
        <v>683</v>
      </c>
      <c r="E528" s="141" t="s">
        <v>148</v>
      </c>
      <c r="F528" s="142">
        <v>1</v>
      </c>
      <c r="G528" s="142">
        <v>400000</v>
      </c>
      <c r="H528" s="95">
        <f t="shared" si="8"/>
        <v>0.1875</v>
      </c>
    </row>
    <row r="529" spans="1:8" customFormat="1" ht="15.75" customHeight="1">
      <c r="A529" s="94">
        <v>524</v>
      </c>
      <c r="B529" s="141" t="s">
        <v>1210</v>
      </c>
      <c r="C529" s="141" t="s">
        <v>812</v>
      </c>
      <c r="D529" s="141" t="s">
        <v>813</v>
      </c>
      <c r="E529" s="141" t="s">
        <v>110</v>
      </c>
      <c r="F529" s="142">
        <v>1</v>
      </c>
      <c r="G529" s="142">
        <v>100000</v>
      </c>
      <c r="H529" s="95">
        <f t="shared" si="8"/>
        <v>0.1875</v>
      </c>
    </row>
    <row r="530" spans="1:8" customFormat="1" ht="15.75" customHeight="1">
      <c r="A530" s="94">
        <v>525</v>
      </c>
      <c r="B530" s="141" t="s">
        <v>1203</v>
      </c>
      <c r="C530" s="141" t="s">
        <v>778</v>
      </c>
      <c r="D530" s="141" t="s">
        <v>117</v>
      </c>
      <c r="E530" s="141" t="s">
        <v>110</v>
      </c>
      <c r="F530" s="142">
        <v>1</v>
      </c>
      <c r="G530" s="142">
        <v>100000</v>
      </c>
      <c r="H530" s="95">
        <f t="shared" si="8"/>
        <v>0.1875</v>
      </c>
    </row>
    <row r="531" spans="1:8" customFormat="1" ht="15.75" customHeight="1">
      <c r="A531" s="94">
        <v>526</v>
      </c>
      <c r="B531" s="141" t="s">
        <v>1149</v>
      </c>
      <c r="C531" s="141" t="s">
        <v>635</v>
      </c>
      <c r="D531" s="141" t="s">
        <v>636</v>
      </c>
      <c r="E531" s="141" t="s">
        <v>110</v>
      </c>
      <c r="F531" s="142">
        <v>1</v>
      </c>
      <c r="G531" s="142">
        <v>100000</v>
      </c>
      <c r="H531" s="95">
        <f t="shared" si="8"/>
        <v>0.1875</v>
      </c>
    </row>
    <row r="532" spans="1:8" customFormat="1" ht="15.75" customHeight="1">
      <c r="A532" s="94">
        <v>527</v>
      </c>
      <c r="B532" s="141" t="s">
        <v>1149</v>
      </c>
      <c r="C532" s="141" t="s">
        <v>766</v>
      </c>
      <c r="D532" s="141" t="s">
        <v>98</v>
      </c>
      <c r="E532" s="141" t="s">
        <v>110</v>
      </c>
      <c r="F532" s="142">
        <v>1</v>
      </c>
      <c r="G532" s="142">
        <v>100000</v>
      </c>
      <c r="H532" s="95">
        <f t="shared" si="8"/>
        <v>0.1875</v>
      </c>
    </row>
    <row r="533" spans="1:8" customFormat="1" ht="15.75" customHeight="1">
      <c r="A533" s="94">
        <v>528</v>
      </c>
      <c r="B533" s="141" t="s">
        <v>1149</v>
      </c>
      <c r="C533" s="141" t="s">
        <v>892</v>
      </c>
      <c r="D533" s="141" t="s">
        <v>893</v>
      </c>
      <c r="E533" s="141" t="s">
        <v>110</v>
      </c>
      <c r="F533" s="142">
        <v>1</v>
      </c>
      <c r="G533" s="142">
        <v>100000</v>
      </c>
      <c r="H533" s="95">
        <f t="shared" si="8"/>
        <v>0.1875</v>
      </c>
    </row>
    <row r="534" spans="1:8" customFormat="1" ht="15.75" customHeight="1">
      <c r="A534" s="94">
        <v>529</v>
      </c>
      <c r="B534" s="141" t="s">
        <v>1149</v>
      </c>
      <c r="C534" s="141" t="s">
        <v>980</v>
      </c>
      <c r="D534" s="141" t="s">
        <v>981</v>
      </c>
      <c r="E534" s="141" t="s">
        <v>110</v>
      </c>
      <c r="F534" s="142">
        <v>1</v>
      </c>
      <c r="G534" s="142">
        <v>100000</v>
      </c>
      <c r="H534" s="95">
        <f t="shared" si="8"/>
        <v>0.1875</v>
      </c>
    </row>
    <row r="535" spans="1:8" customFormat="1" ht="15.75" customHeight="1">
      <c r="A535" s="94">
        <v>530</v>
      </c>
      <c r="B535" s="141" t="s">
        <v>1150</v>
      </c>
      <c r="C535" s="141" t="s">
        <v>983</v>
      </c>
      <c r="D535" s="141" t="s">
        <v>984</v>
      </c>
      <c r="E535" s="141" t="s">
        <v>110</v>
      </c>
      <c r="F535" s="142">
        <v>1</v>
      </c>
      <c r="G535" s="142">
        <v>100000</v>
      </c>
      <c r="H535" s="95">
        <f t="shared" si="8"/>
        <v>0.1875</v>
      </c>
    </row>
    <row r="536" spans="1:8" customFormat="1" ht="15.75" customHeight="1">
      <c r="A536" s="94">
        <v>531</v>
      </c>
      <c r="B536" s="141" t="s">
        <v>1180</v>
      </c>
      <c r="C536" s="141" t="s">
        <v>702</v>
      </c>
      <c r="D536" s="141" t="s">
        <v>703</v>
      </c>
      <c r="E536" s="141" t="s">
        <v>110</v>
      </c>
      <c r="F536" s="142">
        <v>1</v>
      </c>
      <c r="G536" s="142">
        <v>100000</v>
      </c>
      <c r="H536" s="95">
        <f t="shared" si="8"/>
        <v>0.1875</v>
      </c>
    </row>
    <row r="537" spans="1:8" customFormat="1" ht="15.75" customHeight="1">
      <c r="A537" s="94">
        <v>532</v>
      </c>
      <c r="B537" s="141" t="s">
        <v>1179</v>
      </c>
      <c r="C537" s="141" t="s">
        <v>702</v>
      </c>
      <c r="D537" s="141" t="s">
        <v>703</v>
      </c>
      <c r="E537" s="141" t="s">
        <v>110</v>
      </c>
      <c r="F537" s="142">
        <v>1</v>
      </c>
      <c r="G537" s="142">
        <v>100000</v>
      </c>
      <c r="H537" s="95">
        <f t="shared" si="8"/>
        <v>0.1875</v>
      </c>
    </row>
    <row r="538" spans="1:8" customFormat="1" ht="15.75" customHeight="1">
      <c r="A538" s="94">
        <v>533</v>
      </c>
      <c r="B538" s="141" t="s">
        <v>1052</v>
      </c>
      <c r="C538" s="141" t="s">
        <v>560</v>
      </c>
      <c r="D538" s="141" t="s">
        <v>561</v>
      </c>
      <c r="E538" s="141" t="s">
        <v>110</v>
      </c>
      <c r="F538" s="142">
        <v>1</v>
      </c>
      <c r="G538" s="142">
        <v>100000</v>
      </c>
      <c r="H538" s="95">
        <f t="shared" si="8"/>
        <v>0.1875</v>
      </c>
    </row>
    <row r="539" spans="1:8" customFormat="1" ht="15.75" customHeight="1">
      <c r="A539" s="94">
        <v>534</v>
      </c>
      <c r="B539" s="141" t="s">
        <v>1052</v>
      </c>
      <c r="C539" s="141" t="s">
        <v>635</v>
      </c>
      <c r="D539" s="141" t="s">
        <v>636</v>
      </c>
      <c r="E539" s="141" t="s">
        <v>110</v>
      </c>
      <c r="F539" s="142">
        <v>1</v>
      </c>
      <c r="G539" s="142">
        <v>100000</v>
      </c>
      <c r="H539" s="95">
        <f t="shared" si="8"/>
        <v>0.1875</v>
      </c>
    </row>
    <row r="540" spans="1:8" customFormat="1" ht="15.75" customHeight="1">
      <c r="A540" s="94">
        <v>535</v>
      </c>
      <c r="B540" s="141" t="s">
        <v>1052</v>
      </c>
      <c r="C540" s="141" t="s">
        <v>671</v>
      </c>
      <c r="D540" s="141" t="s">
        <v>672</v>
      </c>
      <c r="E540" s="141" t="s">
        <v>110</v>
      </c>
      <c r="F540" s="142">
        <v>1</v>
      </c>
      <c r="G540" s="142">
        <v>100000</v>
      </c>
      <c r="H540" s="95">
        <f t="shared" si="8"/>
        <v>0.1875</v>
      </c>
    </row>
    <row r="541" spans="1:8" customFormat="1" ht="15.75" customHeight="1">
      <c r="A541" s="94">
        <v>536</v>
      </c>
      <c r="B541" s="141" t="s">
        <v>1052</v>
      </c>
      <c r="C541" s="141" t="s">
        <v>674</v>
      </c>
      <c r="D541" s="141" t="s">
        <v>675</v>
      </c>
      <c r="E541" s="141" t="s">
        <v>110</v>
      </c>
      <c r="F541" s="142">
        <v>1</v>
      </c>
      <c r="G541" s="142">
        <v>100000</v>
      </c>
      <c r="H541" s="95">
        <f t="shared" si="8"/>
        <v>0.1875</v>
      </c>
    </row>
    <row r="542" spans="1:8" customFormat="1" ht="15.75" customHeight="1">
      <c r="A542" s="94">
        <v>537</v>
      </c>
      <c r="B542" s="141" t="s">
        <v>1052</v>
      </c>
      <c r="C542" s="141" t="s">
        <v>715</v>
      </c>
      <c r="D542" s="141" t="s">
        <v>716</v>
      </c>
      <c r="E542" s="141" t="s">
        <v>110</v>
      </c>
      <c r="F542" s="142">
        <v>1</v>
      </c>
      <c r="G542" s="142">
        <v>100000</v>
      </c>
      <c r="H542" s="95">
        <f t="shared" si="8"/>
        <v>0.1875</v>
      </c>
    </row>
    <row r="543" spans="1:8" customFormat="1" ht="15.75" customHeight="1">
      <c r="A543" s="94">
        <v>538</v>
      </c>
      <c r="B543" s="141" t="s">
        <v>1052</v>
      </c>
      <c r="C543" s="141" t="s">
        <v>778</v>
      </c>
      <c r="D543" s="141" t="s">
        <v>117</v>
      </c>
      <c r="E543" s="141" t="s">
        <v>110</v>
      </c>
      <c r="F543" s="142">
        <v>1</v>
      </c>
      <c r="G543" s="142">
        <v>100000</v>
      </c>
      <c r="H543" s="95">
        <f t="shared" si="8"/>
        <v>0.1875</v>
      </c>
    </row>
    <row r="544" spans="1:8" customFormat="1" ht="15.75" customHeight="1">
      <c r="A544" s="94">
        <v>539</v>
      </c>
      <c r="B544" s="141" t="s">
        <v>1052</v>
      </c>
      <c r="C544" s="141" t="s">
        <v>222</v>
      </c>
      <c r="D544" s="141" t="s">
        <v>100</v>
      </c>
      <c r="E544" s="141" t="s">
        <v>110</v>
      </c>
      <c r="F544" s="142">
        <v>1</v>
      </c>
      <c r="G544" s="142">
        <v>100000</v>
      </c>
      <c r="H544" s="95">
        <f t="shared" si="8"/>
        <v>0.1875</v>
      </c>
    </row>
    <row r="545" spans="1:8" customFormat="1" ht="15.75" customHeight="1">
      <c r="A545" s="94">
        <v>540</v>
      </c>
      <c r="B545" s="141" t="s">
        <v>1052</v>
      </c>
      <c r="C545" s="141" t="s">
        <v>958</v>
      </c>
      <c r="D545" s="141" t="s">
        <v>959</v>
      </c>
      <c r="E545" s="141" t="s">
        <v>110</v>
      </c>
      <c r="F545" s="142">
        <v>1</v>
      </c>
      <c r="G545" s="142">
        <v>100000</v>
      </c>
      <c r="H545" s="95">
        <f t="shared" si="8"/>
        <v>0.1875</v>
      </c>
    </row>
    <row r="546" spans="1:8" customFormat="1" ht="15.75" customHeight="1">
      <c r="A546" s="94">
        <v>541</v>
      </c>
      <c r="B546" s="141" t="s">
        <v>1052</v>
      </c>
      <c r="C546" s="141" t="s">
        <v>994</v>
      </c>
      <c r="D546" s="141" t="s">
        <v>995</v>
      </c>
      <c r="E546" s="141" t="s">
        <v>110</v>
      </c>
      <c r="F546" s="142">
        <v>1</v>
      </c>
      <c r="G546" s="142">
        <v>100000</v>
      </c>
      <c r="H546" s="95">
        <f t="shared" si="8"/>
        <v>0.1875</v>
      </c>
    </row>
    <row r="547" spans="1:8" customFormat="1" ht="15.75" customHeight="1">
      <c r="A547" s="94">
        <v>542</v>
      </c>
      <c r="B547" s="141" t="s">
        <v>1181</v>
      </c>
      <c r="C547" s="141" t="s">
        <v>702</v>
      </c>
      <c r="D547" s="141" t="s">
        <v>703</v>
      </c>
      <c r="E547" s="141" t="s">
        <v>110</v>
      </c>
      <c r="F547" s="142">
        <v>1</v>
      </c>
      <c r="G547" s="142">
        <v>100000</v>
      </c>
      <c r="H547" s="95">
        <f t="shared" si="8"/>
        <v>0.1875</v>
      </c>
    </row>
    <row r="548" spans="1:8" customFormat="1" ht="15.75" customHeight="1">
      <c r="A548" s="94">
        <v>543</v>
      </c>
      <c r="B548" s="141" t="s">
        <v>1232</v>
      </c>
      <c r="C548" s="141" t="s">
        <v>396</v>
      </c>
      <c r="D548" s="141" t="s">
        <v>103</v>
      </c>
      <c r="E548" s="141" t="s">
        <v>110</v>
      </c>
      <c r="F548" s="142">
        <v>1</v>
      </c>
      <c r="G548" s="142">
        <v>100000</v>
      </c>
      <c r="H548" s="95">
        <f t="shared" si="8"/>
        <v>0.1875</v>
      </c>
    </row>
    <row r="549" spans="1:8" customFormat="1" ht="15.75" customHeight="1">
      <c r="A549" s="94">
        <v>544</v>
      </c>
      <c r="B549" s="141" t="s">
        <v>1194</v>
      </c>
      <c r="C549" s="141" t="s">
        <v>766</v>
      </c>
      <c r="D549" s="141" t="s">
        <v>98</v>
      </c>
      <c r="E549" s="141" t="s">
        <v>110</v>
      </c>
      <c r="F549" s="142">
        <v>1</v>
      </c>
      <c r="G549" s="142">
        <v>100000</v>
      </c>
      <c r="H549" s="95">
        <f t="shared" si="8"/>
        <v>0.1875</v>
      </c>
    </row>
    <row r="550" spans="1:8" customFormat="1" ht="15.75" customHeight="1">
      <c r="A550" s="94">
        <v>545</v>
      </c>
      <c r="B550" s="141" t="s">
        <v>1194</v>
      </c>
      <c r="C550" s="141" t="s">
        <v>867</v>
      </c>
      <c r="D550" s="141" t="s">
        <v>161</v>
      </c>
      <c r="E550" s="141" t="s">
        <v>110</v>
      </c>
      <c r="F550" s="142">
        <v>1</v>
      </c>
      <c r="G550" s="142">
        <v>100000</v>
      </c>
      <c r="H550" s="95">
        <f t="shared" si="8"/>
        <v>0.1875</v>
      </c>
    </row>
    <row r="551" spans="1:8" customFormat="1" ht="15.75" customHeight="1">
      <c r="A551" s="94">
        <v>546</v>
      </c>
      <c r="B551" s="141" t="s">
        <v>1194</v>
      </c>
      <c r="C551" s="141" t="s">
        <v>892</v>
      </c>
      <c r="D551" s="141" t="s">
        <v>893</v>
      </c>
      <c r="E551" s="141" t="s">
        <v>110</v>
      </c>
      <c r="F551" s="142">
        <v>1</v>
      </c>
      <c r="G551" s="142">
        <v>100000</v>
      </c>
      <c r="H551" s="95">
        <f t="shared" si="8"/>
        <v>0.1875</v>
      </c>
    </row>
    <row r="552" spans="1:8" customFormat="1" ht="15.75" customHeight="1">
      <c r="A552" s="94">
        <v>547</v>
      </c>
      <c r="B552" s="141" t="s">
        <v>1194</v>
      </c>
      <c r="C552" s="141" t="s">
        <v>976</v>
      </c>
      <c r="D552" s="141" t="s">
        <v>977</v>
      </c>
      <c r="E552" s="141" t="s">
        <v>110</v>
      </c>
      <c r="F552" s="142">
        <v>1</v>
      </c>
      <c r="G552" s="142">
        <v>100000</v>
      </c>
      <c r="H552" s="95">
        <f t="shared" si="8"/>
        <v>0.1875</v>
      </c>
    </row>
    <row r="553" spans="1:8" customFormat="1" ht="15.75" customHeight="1">
      <c r="A553" s="94">
        <v>548</v>
      </c>
      <c r="B553" s="141" t="s">
        <v>1115</v>
      </c>
      <c r="C553" s="141" t="s">
        <v>554</v>
      </c>
      <c r="D553" s="141" t="s">
        <v>555</v>
      </c>
      <c r="E553" s="141" t="s">
        <v>110</v>
      </c>
      <c r="F553" s="142">
        <v>1</v>
      </c>
      <c r="G553" s="142">
        <v>100000</v>
      </c>
      <c r="H553" s="95">
        <f t="shared" si="8"/>
        <v>0.1875</v>
      </c>
    </row>
    <row r="554" spans="1:8" customFormat="1" ht="15.75" customHeight="1">
      <c r="A554" s="94">
        <v>549</v>
      </c>
      <c r="B554" s="141" t="s">
        <v>1115</v>
      </c>
      <c r="C554" s="141" t="s">
        <v>625</v>
      </c>
      <c r="D554" s="141" t="s">
        <v>626</v>
      </c>
      <c r="E554" s="141" t="s">
        <v>110</v>
      </c>
      <c r="F554" s="142">
        <v>1</v>
      </c>
      <c r="G554" s="142">
        <v>100000</v>
      </c>
      <c r="H554" s="95">
        <f t="shared" si="8"/>
        <v>0.1875</v>
      </c>
    </row>
    <row r="555" spans="1:8" customFormat="1" ht="15.75" customHeight="1">
      <c r="A555" s="94">
        <v>550</v>
      </c>
      <c r="B555" s="141" t="s">
        <v>1115</v>
      </c>
      <c r="C555" s="141" t="s">
        <v>723</v>
      </c>
      <c r="D555" s="141" t="s">
        <v>100</v>
      </c>
      <c r="E555" s="141" t="s">
        <v>148</v>
      </c>
      <c r="F555" s="142">
        <v>1</v>
      </c>
      <c r="G555" s="142">
        <v>400000</v>
      </c>
      <c r="H555" s="95">
        <f t="shared" si="8"/>
        <v>0.1875</v>
      </c>
    </row>
    <row r="556" spans="1:8" customFormat="1" ht="15.75" customHeight="1">
      <c r="A556" s="94">
        <v>551</v>
      </c>
      <c r="B556" s="141" t="s">
        <v>1198</v>
      </c>
      <c r="C556" s="141" t="s">
        <v>769</v>
      </c>
      <c r="D556" s="141" t="s">
        <v>770</v>
      </c>
      <c r="E556" s="141" t="s">
        <v>110</v>
      </c>
      <c r="F556" s="142">
        <v>1</v>
      </c>
      <c r="G556" s="142">
        <v>100000</v>
      </c>
      <c r="H556" s="95">
        <f t="shared" si="8"/>
        <v>0.1875</v>
      </c>
    </row>
    <row r="557" spans="1:8" customFormat="1" ht="15.75" customHeight="1">
      <c r="A557" s="94">
        <v>552</v>
      </c>
      <c r="B557" s="141" t="s">
        <v>1116</v>
      </c>
      <c r="C557" s="141" t="s">
        <v>983</v>
      </c>
      <c r="D557" s="141" t="s">
        <v>984</v>
      </c>
      <c r="E557" s="141" t="s">
        <v>110</v>
      </c>
      <c r="F557" s="142">
        <v>1</v>
      </c>
      <c r="G557" s="142">
        <v>100000</v>
      </c>
      <c r="H557" s="95">
        <f t="shared" si="8"/>
        <v>0.1875</v>
      </c>
    </row>
    <row r="558" spans="1:8" customFormat="1" ht="15.75" customHeight="1">
      <c r="A558" s="94">
        <v>553</v>
      </c>
      <c r="B558" s="141" t="s">
        <v>1176</v>
      </c>
      <c r="C558" s="141" t="s">
        <v>702</v>
      </c>
      <c r="D558" s="141" t="s">
        <v>703</v>
      </c>
      <c r="E558" s="141" t="s">
        <v>110</v>
      </c>
      <c r="F558" s="142">
        <v>1</v>
      </c>
      <c r="G558" s="142">
        <v>100000</v>
      </c>
      <c r="H558" s="95">
        <f t="shared" si="8"/>
        <v>0.1875</v>
      </c>
    </row>
    <row r="559" spans="1:8" customFormat="1" ht="15.75" customHeight="1">
      <c r="A559" s="94">
        <v>554</v>
      </c>
      <c r="B559" s="141" t="s">
        <v>1196</v>
      </c>
      <c r="C559" s="141" t="s">
        <v>766</v>
      </c>
      <c r="D559" s="141" t="s">
        <v>98</v>
      </c>
      <c r="E559" s="141" t="s">
        <v>110</v>
      </c>
      <c r="F559" s="142">
        <v>1</v>
      </c>
      <c r="G559" s="142">
        <v>100000</v>
      </c>
      <c r="H559" s="95">
        <f t="shared" si="8"/>
        <v>0.1875</v>
      </c>
    </row>
    <row r="560" spans="1:8" customFormat="1" ht="15.75" customHeight="1">
      <c r="A560" s="94">
        <v>555</v>
      </c>
      <c r="B560" s="141" t="s">
        <v>1229</v>
      </c>
      <c r="C560" s="141" t="s">
        <v>896</v>
      </c>
      <c r="D560" s="141" t="s">
        <v>154</v>
      </c>
      <c r="E560" s="141" t="s">
        <v>110</v>
      </c>
      <c r="F560" s="142">
        <v>1</v>
      </c>
      <c r="G560" s="142">
        <v>100000</v>
      </c>
      <c r="H560" s="95">
        <f t="shared" si="8"/>
        <v>0.1875</v>
      </c>
    </row>
    <row r="561" spans="1:8" customFormat="1" ht="15.75" customHeight="1">
      <c r="A561" s="94">
        <v>556</v>
      </c>
      <c r="B561" s="141" t="s">
        <v>1050</v>
      </c>
      <c r="C561" s="141" t="s">
        <v>545</v>
      </c>
      <c r="D561" s="141" t="s">
        <v>546</v>
      </c>
      <c r="E561" s="141" t="s">
        <v>110</v>
      </c>
      <c r="F561" s="142">
        <v>1</v>
      </c>
      <c r="G561" s="142">
        <v>100000</v>
      </c>
      <c r="H561" s="95">
        <f t="shared" si="8"/>
        <v>0.1875</v>
      </c>
    </row>
    <row r="562" spans="1:8" customFormat="1" ht="15.75" customHeight="1">
      <c r="A562" s="94">
        <v>557</v>
      </c>
      <c r="B562" s="141" t="s">
        <v>1050</v>
      </c>
      <c r="C562" s="141" t="s">
        <v>560</v>
      </c>
      <c r="D562" s="141" t="s">
        <v>561</v>
      </c>
      <c r="E562" s="141" t="s">
        <v>110</v>
      </c>
      <c r="F562" s="142">
        <v>1</v>
      </c>
      <c r="G562" s="142">
        <v>100000</v>
      </c>
      <c r="H562" s="95">
        <f t="shared" si="8"/>
        <v>0.1875</v>
      </c>
    </row>
    <row r="563" spans="1:8" customFormat="1" ht="15.75" customHeight="1">
      <c r="A563" s="94">
        <v>558</v>
      </c>
      <c r="B563" s="141" t="s">
        <v>1050</v>
      </c>
      <c r="C563" s="141" t="s">
        <v>625</v>
      </c>
      <c r="D563" s="141" t="s">
        <v>626</v>
      </c>
      <c r="E563" s="141" t="s">
        <v>110</v>
      </c>
      <c r="F563" s="142">
        <v>1</v>
      </c>
      <c r="G563" s="142">
        <v>100000</v>
      </c>
      <c r="H563" s="95">
        <f t="shared" si="8"/>
        <v>0.1875</v>
      </c>
    </row>
    <row r="564" spans="1:8" customFormat="1" ht="15.75" customHeight="1">
      <c r="A564" s="94">
        <v>559</v>
      </c>
      <c r="B564" s="141" t="s">
        <v>1050</v>
      </c>
      <c r="C564" s="141" t="s">
        <v>633</v>
      </c>
      <c r="D564" s="141" t="s">
        <v>634</v>
      </c>
      <c r="E564" s="141" t="s">
        <v>110</v>
      </c>
      <c r="F564" s="142">
        <v>1</v>
      </c>
      <c r="G564" s="142">
        <v>100000</v>
      </c>
      <c r="H564" s="95">
        <f t="shared" si="8"/>
        <v>0.1875</v>
      </c>
    </row>
    <row r="565" spans="1:8" customFormat="1" ht="15.75" customHeight="1">
      <c r="A565" s="94">
        <v>560</v>
      </c>
      <c r="B565" s="141" t="s">
        <v>1050</v>
      </c>
      <c r="C565" s="141" t="s">
        <v>635</v>
      </c>
      <c r="D565" s="141" t="s">
        <v>636</v>
      </c>
      <c r="E565" s="141" t="s">
        <v>110</v>
      </c>
      <c r="F565" s="142">
        <v>1</v>
      </c>
      <c r="G565" s="142">
        <v>100000</v>
      </c>
      <c r="H565" s="95">
        <f t="shared" si="8"/>
        <v>0.1875</v>
      </c>
    </row>
    <row r="566" spans="1:8" customFormat="1" ht="15.75" customHeight="1">
      <c r="A566" s="94">
        <v>561</v>
      </c>
      <c r="B566" s="141" t="s">
        <v>1050</v>
      </c>
      <c r="C566" s="141" t="s">
        <v>639</v>
      </c>
      <c r="D566" s="141" t="s">
        <v>640</v>
      </c>
      <c r="E566" s="141" t="s">
        <v>110</v>
      </c>
      <c r="F566" s="142">
        <v>1</v>
      </c>
      <c r="G566" s="142">
        <v>100000</v>
      </c>
      <c r="H566" s="95">
        <f t="shared" si="8"/>
        <v>0.1875</v>
      </c>
    </row>
    <row r="567" spans="1:8" customFormat="1" ht="15.75" customHeight="1">
      <c r="A567" s="94">
        <v>562</v>
      </c>
      <c r="B567" s="141" t="s">
        <v>1050</v>
      </c>
      <c r="C567" s="141" t="s">
        <v>671</v>
      </c>
      <c r="D567" s="141" t="s">
        <v>672</v>
      </c>
      <c r="E567" s="141" t="s">
        <v>110</v>
      </c>
      <c r="F567" s="142">
        <v>1</v>
      </c>
      <c r="G567" s="142">
        <v>100000</v>
      </c>
      <c r="H567" s="95">
        <f t="shared" si="8"/>
        <v>0.1875</v>
      </c>
    </row>
    <row r="568" spans="1:8" customFormat="1" ht="15.75" customHeight="1">
      <c r="A568" s="94">
        <v>563</v>
      </c>
      <c r="B568" s="141" t="s">
        <v>1050</v>
      </c>
      <c r="C568" s="141" t="s">
        <v>702</v>
      </c>
      <c r="D568" s="141" t="s">
        <v>703</v>
      </c>
      <c r="E568" s="141" t="s">
        <v>110</v>
      </c>
      <c r="F568" s="142">
        <v>1</v>
      </c>
      <c r="G568" s="142">
        <v>100000</v>
      </c>
      <c r="H568" s="95">
        <f t="shared" ref="H568:H631" si="9">25%*75%</f>
        <v>0.1875</v>
      </c>
    </row>
    <row r="569" spans="1:8" customFormat="1" ht="15.75" customHeight="1">
      <c r="A569" s="94">
        <v>564</v>
      </c>
      <c r="B569" s="141" t="s">
        <v>1050</v>
      </c>
      <c r="C569" s="141" t="s">
        <v>197</v>
      </c>
      <c r="D569" s="141" t="s">
        <v>153</v>
      </c>
      <c r="E569" s="141" t="s">
        <v>110</v>
      </c>
      <c r="F569" s="142">
        <v>1</v>
      </c>
      <c r="G569" s="142">
        <v>100000</v>
      </c>
      <c r="H569" s="95">
        <f t="shared" si="9"/>
        <v>0.1875</v>
      </c>
    </row>
    <row r="570" spans="1:8" customFormat="1" ht="15.75" customHeight="1">
      <c r="A570" s="94">
        <v>565</v>
      </c>
      <c r="B570" s="141" t="s">
        <v>1050</v>
      </c>
      <c r="C570" s="141" t="s">
        <v>715</v>
      </c>
      <c r="D570" s="141" t="s">
        <v>716</v>
      </c>
      <c r="E570" s="141" t="s">
        <v>110</v>
      </c>
      <c r="F570" s="142">
        <v>1</v>
      </c>
      <c r="G570" s="142">
        <v>100000</v>
      </c>
      <c r="H570" s="95">
        <f t="shared" si="9"/>
        <v>0.1875</v>
      </c>
    </row>
    <row r="571" spans="1:8" customFormat="1" ht="15.75" customHeight="1">
      <c r="A571" s="94">
        <v>566</v>
      </c>
      <c r="B571" s="141" t="s">
        <v>1050</v>
      </c>
      <c r="C571" s="141" t="s">
        <v>719</v>
      </c>
      <c r="D571" s="141" t="s">
        <v>720</v>
      </c>
      <c r="E571" s="141" t="s">
        <v>110</v>
      </c>
      <c r="F571" s="142">
        <v>1</v>
      </c>
      <c r="G571" s="142">
        <v>100000</v>
      </c>
      <c r="H571" s="95">
        <f t="shared" si="9"/>
        <v>0.1875</v>
      </c>
    </row>
    <row r="572" spans="1:8" customFormat="1" ht="15.75" customHeight="1">
      <c r="A572" s="94">
        <v>567</v>
      </c>
      <c r="B572" s="141" t="s">
        <v>1050</v>
      </c>
      <c r="C572" s="141" t="s">
        <v>778</v>
      </c>
      <c r="D572" s="141" t="s">
        <v>117</v>
      </c>
      <c r="E572" s="141" t="s">
        <v>110</v>
      </c>
      <c r="F572" s="142">
        <v>1</v>
      </c>
      <c r="G572" s="142">
        <v>100000</v>
      </c>
      <c r="H572" s="95">
        <f t="shared" si="9"/>
        <v>0.1875</v>
      </c>
    </row>
    <row r="573" spans="1:8" customFormat="1" ht="15.75" customHeight="1">
      <c r="A573" s="94">
        <v>568</v>
      </c>
      <c r="B573" s="141" t="s">
        <v>1050</v>
      </c>
      <c r="C573" s="141" t="s">
        <v>892</v>
      </c>
      <c r="D573" s="141" t="s">
        <v>893</v>
      </c>
      <c r="E573" s="141" t="s">
        <v>110</v>
      </c>
      <c r="F573" s="142">
        <v>1</v>
      </c>
      <c r="G573" s="142">
        <v>100000</v>
      </c>
      <c r="H573" s="95">
        <f t="shared" si="9"/>
        <v>0.1875</v>
      </c>
    </row>
    <row r="574" spans="1:8" customFormat="1" ht="15.75" customHeight="1">
      <c r="A574" s="94">
        <v>569</v>
      </c>
      <c r="B574" s="141" t="s">
        <v>1050</v>
      </c>
      <c r="C574" s="141" t="s">
        <v>396</v>
      </c>
      <c r="D574" s="141" t="s">
        <v>103</v>
      </c>
      <c r="E574" s="141" t="s">
        <v>110</v>
      </c>
      <c r="F574" s="142">
        <v>1</v>
      </c>
      <c r="G574" s="142">
        <v>100000</v>
      </c>
      <c r="H574" s="95">
        <f t="shared" si="9"/>
        <v>0.1875</v>
      </c>
    </row>
    <row r="575" spans="1:8" customFormat="1" ht="15.75" customHeight="1">
      <c r="A575" s="94">
        <v>570</v>
      </c>
      <c r="B575" s="141" t="s">
        <v>1050</v>
      </c>
      <c r="C575" s="141" t="s">
        <v>222</v>
      </c>
      <c r="D575" s="141" t="s">
        <v>100</v>
      </c>
      <c r="E575" s="141" t="s">
        <v>110</v>
      </c>
      <c r="F575" s="142">
        <v>1</v>
      </c>
      <c r="G575" s="142">
        <v>100000</v>
      </c>
      <c r="H575" s="95">
        <f t="shared" si="9"/>
        <v>0.1875</v>
      </c>
    </row>
    <row r="576" spans="1:8" customFormat="1" ht="15.75" customHeight="1">
      <c r="A576" s="94">
        <v>571</v>
      </c>
      <c r="B576" s="141" t="s">
        <v>1050</v>
      </c>
      <c r="C576" s="141" t="s">
        <v>958</v>
      </c>
      <c r="D576" s="141" t="s">
        <v>959</v>
      </c>
      <c r="E576" s="141" t="s">
        <v>110</v>
      </c>
      <c r="F576" s="142">
        <v>1</v>
      </c>
      <c r="G576" s="142">
        <v>100000</v>
      </c>
      <c r="H576" s="95">
        <f t="shared" si="9"/>
        <v>0.1875</v>
      </c>
    </row>
    <row r="577" spans="1:8" customFormat="1" ht="15.75" customHeight="1">
      <c r="A577" s="94">
        <v>572</v>
      </c>
      <c r="B577" s="141" t="s">
        <v>1050</v>
      </c>
      <c r="C577" s="141" t="s">
        <v>976</v>
      </c>
      <c r="D577" s="141" t="s">
        <v>977</v>
      </c>
      <c r="E577" s="141" t="s">
        <v>110</v>
      </c>
      <c r="F577" s="142">
        <v>1</v>
      </c>
      <c r="G577" s="142">
        <v>100000</v>
      </c>
      <c r="H577" s="95">
        <f t="shared" si="9"/>
        <v>0.1875</v>
      </c>
    </row>
    <row r="578" spans="1:8" customFormat="1" ht="15.75" customHeight="1">
      <c r="A578" s="94">
        <v>573</v>
      </c>
      <c r="B578" s="141" t="s">
        <v>1050</v>
      </c>
      <c r="C578" s="141" t="s">
        <v>994</v>
      </c>
      <c r="D578" s="141" t="s">
        <v>995</v>
      </c>
      <c r="E578" s="141" t="s">
        <v>110</v>
      </c>
      <c r="F578" s="142">
        <v>1</v>
      </c>
      <c r="G578" s="142">
        <v>100000</v>
      </c>
      <c r="H578" s="95">
        <f t="shared" si="9"/>
        <v>0.1875</v>
      </c>
    </row>
    <row r="579" spans="1:8" customFormat="1" ht="15.75" customHeight="1">
      <c r="A579" s="94">
        <v>574</v>
      </c>
      <c r="B579" s="141" t="s">
        <v>1111</v>
      </c>
      <c r="C579" s="141" t="s">
        <v>693</v>
      </c>
      <c r="D579" s="141" t="s">
        <v>147</v>
      </c>
      <c r="E579" s="141" t="s">
        <v>110</v>
      </c>
      <c r="F579" s="142">
        <v>1</v>
      </c>
      <c r="G579" s="142">
        <v>100000</v>
      </c>
      <c r="H579" s="95">
        <f t="shared" si="9"/>
        <v>0.1875</v>
      </c>
    </row>
    <row r="580" spans="1:8" customFormat="1" ht="15.75" customHeight="1">
      <c r="A580" s="94">
        <v>575</v>
      </c>
      <c r="B580" s="141" t="s">
        <v>1111</v>
      </c>
      <c r="C580" s="141" t="s">
        <v>766</v>
      </c>
      <c r="D580" s="141" t="s">
        <v>98</v>
      </c>
      <c r="E580" s="141" t="s">
        <v>110</v>
      </c>
      <c r="F580" s="142">
        <v>1</v>
      </c>
      <c r="G580" s="142">
        <v>100000</v>
      </c>
      <c r="H580" s="95">
        <f t="shared" si="9"/>
        <v>0.1875</v>
      </c>
    </row>
    <row r="581" spans="1:8" customFormat="1" ht="15.75" customHeight="1">
      <c r="A581" s="94">
        <v>576</v>
      </c>
      <c r="B581" s="141" t="s">
        <v>1111</v>
      </c>
      <c r="C581" s="141" t="s">
        <v>867</v>
      </c>
      <c r="D581" s="141" t="s">
        <v>161</v>
      </c>
      <c r="E581" s="141" t="s">
        <v>110</v>
      </c>
      <c r="F581" s="142">
        <v>1</v>
      </c>
      <c r="G581" s="142">
        <v>100000</v>
      </c>
      <c r="H581" s="95">
        <f t="shared" si="9"/>
        <v>0.1875</v>
      </c>
    </row>
    <row r="582" spans="1:8" customFormat="1" ht="15.75" customHeight="1">
      <c r="A582" s="94">
        <v>577</v>
      </c>
      <c r="B582" s="141" t="s">
        <v>1111</v>
      </c>
      <c r="C582" s="141" t="s">
        <v>896</v>
      </c>
      <c r="D582" s="141" t="s">
        <v>154</v>
      </c>
      <c r="E582" s="141" t="s">
        <v>110</v>
      </c>
      <c r="F582" s="142">
        <v>1</v>
      </c>
      <c r="G582" s="142">
        <v>100000</v>
      </c>
      <c r="H582" s="95">
        <f t="shared" si="9"/>
        <v>0.1875</v>
      </c>
    </row>
    <row r="583" spans="1:8" customFormat="1" ht="15.75" customHeight="1">
      <c r="A583" s="94">
        <v>578</v>
      </c>
      <c r="B583" s="141" t="s">
        <v>1035</v>
      </c>
      <c r="C583" s="141" t="s">
        <v>486</v>
      </c>
      <c r="D583" s="141" t="s">
        <v>487</v>
      </c>
      <c r="E583" s="141" t="s">
        <v>110</v>
      </c>
      <c r="F583" s="142">
        <v>1</v>
      </c>
      <c r="G583" s="142">
        <v>100000</v>
      </c>
      <c r="H583" s="95">
        <f t="shared" si="9"/>
        <v>0.1875</v>
      </c>
    </row>
    <row r="584" spans="1:8" customFormat="1" ht="15.75" customHeight="1">
      <c r="A584" s="94">
        <v>579</v>
      </c>
      <c r="B584" s="141" t="s">
        <v>1035</v>
      </c>
      <c r="C584" s="141" t="s">
        <v>625</v>
      </c>
      <c r="D584" s="141" t="s">
        <v>626</v>
      </c>
      <c r="E584" s="141" t="s">
        <v>110</v>
      </c>
      <c r="F584" s="142">
        <v>1</v>
      </c>
      <c r="G584" s="142">
        <v>100000</v>
      </c>
      <c r="H584" s="95">
        <f t="shared" si="9"/>
        <v>0.1875</v>
      </c>
    </row>
    <row r="585" spans="1:8" customFormat="1" ht="15.75" customHeight="1">
      <c r="A585" s="94">
        <v>580</v>
      </c>
      <c r="B585" s="141" t="s">
        <v>1035</v>
      </c>
      <c r="C585" s="141" t="s">
        <v>633</v>
      </c>
      <c r="D585" s="141" t="s">
        <v>634</v>
      </c>
      <c r="E585" s="141" t="s">
        <v>110</v>
      </c>
      <c r="F585" s="142">
        <v>1</v>
      </c>
      <c r="G585" s="142">
        <v>100000</v>
      </c>
      <c r="H585" s="95">
        <f t="shared" si="9"/>
        <v>0.1875</v>
      </c>
    </row>
    <row r="586" spans="1:8" customFormat="1" ht="15.75" customHeight="1">
      <c r="A586" s="94">
        <v>581</v>
      </c>
      <c r="B586" s="141" t="s">
        <v>1035</v>
      </c>
      <c r="C586" s="141" t="s">
        <v>635</v>
      </c>
      <c r="D586" s="141" t="s">
        <v>636</v>
      </c>
      <c r="E586" s="141" t="s">
        <v>110</v>
      </c>
      <c r="F586" s="142">
        <v>1</v>
      </c>
      <c r="G586" s="142">
        <v>100000</v>
      </c>
      <c r="H586" s="95">
        <f t="shared" si="9"/>
        <v>0.1875</v>
      </c>
    </row>
    <row r="587" spans="1:8" customFormat="1" ht="15.75" customHeight="1">
      <c r="A587" s="94">
        <v>582</v>
      </c>
      <c r="B587" s="141" t="s">
        <v>1035</v>
      </c>
      <c r="C587" s="141" t="s">
        <v>639</v>
      </c>
      <c r="D587" s="141" t="s">
        <v>640</v>
      </c>
      <c r="E587" s="141" t="s">
        <v>110</v>
      </c>
      <c r="F587" s="142">
        <v>1</v>
      </c>
      <c r="G587" s="142">
        <v>100000</v>
      </c>
      <c r="H587" s="95">
        <f t="shared" si="9"/>
        <v>0.1875</v>
      </c>
    </row>
    <row r="588" spans="1:8" customFormat="1" ht="15.75" customHeight="1">
      <c r="A588" s="94">
        <v>583</v>
      </c>
      <c r="B588" s="141" t="s">
        <v>1035</v>
      </c>
      <c r="C588" s="141" t="s">
        <v>671</v>
      </c>
      <c r="D588" s="141" t="s">
        <v>672</v>
      </c>
      <c r="E588" s="141" t="s">
        <v>110</v>
      </c>
      <c r="F588" s="142">
        <v>1</v>
      </c>
      <c r="G588" s="142">
        <v>100000</v>
      </c>
      <c r="H588" s="95">
        <f t="shared" si="9"/>
        <v>0.1875</v>
      </c>
    </row>
    <row r="589" spans="1:8" customFormat="1" ht="15.75" customHeight="1">
      <c r="A589" s="94">
        <v>584</v>
      </c>
      <c r="B589" s="141" t="s">
        <v>1035</v>
      </c>
      <c r="C589" s="141" t="s">
        <v>702</v>
      </c>
      <c r="D589" s="141" t="s">
        <v>703</v>
      </c>
      <c r="E589" s="141" t="s">
        <v>110</v>
      </c>
      <c r="F589" s="142">
        <v>1</v>
      </c>
      <c r="G589" s="142">
        <v>100000</v>
      </c>
      <c r="H589" s="95">
        <f t="shared" si="9"/>
        <v>0.1875</v>
      </c>
    </row>
    <row r="590" spans="1:8" customFormat="1" ht="15.75" customHeight="1">
      <c r="A590" s="94">
        <v>585</v>
      </c>
      <c r="B590" s="141" t="s">
        <v>1035</v>
      </c>
      <c r="C590" s="141" t="s">
        <v>197</v>
      </c>
      <c r="D590" s="141" t="s">
        <v>153</v>
      </c>
      <c r="E590" s="141" t="s">
        <v>110</v>
      </c>
      <c r="F590" s="142">
        <v>1</v>
      </c>
      <c r="G590" s="142">
        <v>100000</v>
      </c>
      <c r="H590" s="95">
        <f t="shared" si="9"/>
        <v>0.1875</v>
      </c>
    </row>
    <row r="591" spans="1:8" customFormat="1" ht="15.75" customHeight="1">
      <c r="A591" s="94">
        <v>586</v>
      </c>
      <c r="B591" s="141" t="s">
        <v>1035</v>
      </c>
      <c r="C591" s="141" t="s">
        <v>715</v>
      </c>
      <c r="D591" s="141" t="s">
        <v>716</v>
      </c>
      <c r="E591" s="141" t="s">
        <v>110</v>
      </c>
      <c r="F591" s="142">
        <v>1</v>
      </c>
      <c r="G591" s="142">
        <v>100000</v>
      </c>
      <c r="H591" s="95">
        <f t="shared" si="9"/>
        <v>0.1875</v>
      </c>
    </row>
    <row r="592" spans="1:8" customFormat="1" ht="15.75" customHeight="1">
      <c r="A592" s="94">
        <v>587</v>
      </c>
      <c r="B592" s="141" t="s">
        <v>1035</v>
      </c>
      <c r="C592" s="141" t="s">
        <v>719</v>
      </c>
      <c r="D592" s="141" t="s">
        <v>720</v>
      </c>
      <c r="E592" s="141" t="s">
        <v>110</v>
      </c>
      <c r="F592" s="142">
        <v>1</v>
      </c>
      <c r="G592" s="142">
        <v>100000</v>
      </c>
      <c r="H592" s="95">
        <f t="shared" si="9"/>
        <v>0.1875</v>
      </c>
    </row>
    <row r="593" spans="1:8" customFormat="1" ht="15.75" customHeight="1">
      <c r="A593" s="94">
        <v>588</v>
      </c>
      <c r="B593" s="141" t="s">
        <v>1035</v>
      </c>
      <c r="C593" s="141" t="s">
        <v>238</v>
      </c>
      <c r="D593" s="141" t="s">
        <v>725</v>
      </c>
      <c r="E593" s="141" t="s">
        <v>110</v>
      </c>
      <c r="F593" s="142">
        <v>1</v>
      </c>
      <c r="G593" s="142">
        <v>100000</v>
      </c>
      <c r="H593" s="95">
        <f t="shared" si="9"/>
        <v>0.1875</v>
      </c>
    </row>
    <row r="594" spans="1:8" customFormat="1" ht="15.75" customHeight="1">
      <c r="A594" s="94">
        <v>589</v>
      </c>
      <c r="B594" s="141" t="s">
        <v>1035</v>
      </c>
      <c r="C594" s="141" t="s">
        <v>778</v>
      </c>
      <c r="D594" s="141" t="s">
        <v>117</v>
      </c>
      <c r="E594" s="141" t="s">
        <v>110</v>
      </c>
      <c r="F594" s="142">
        <v>1</v>
      </c>
      <c r="G594" s="142">
        <v>100000</v>
      </c>
      <c r="H594" s="95">
        <f t="shared" si="9"/>
        <v>0.1875</v>
      </c>
    </row>
    <row r="595" spans="1:8" customFormat="1" ht="15.75" customHeight="1">
      <c r="A595" s="94">
        <v>590</v>
      </c>
      <c r="B595" s="141" t="s">
        <v>1035</v>
      </c>
      <c r="C595" s="141" t="s">
        <v>892</v>
      </c>
      <c r="D595" s="141" t="s">
        <v>893</v>
      </c>
      <c r="E595" s="141" t="s">
        <v>110</v>
      </c>
      <c r="F595" s="142">
        <v>1</v>
      </c>
      <c r="G595" s="142">
        <v>100000</v>
      </c>
      <c r="H595" s="95">
        <f t="shared" si="9"/>
        <v>0.1875</v>
      </c>
    </row>
    <row r="596" spans="1:8" customFormat="1" ht="15.75" customHeight="1">
      <c r="A596" s="94">
        <v>591</v>
      </c>
      <c r="B596" s="141" t="s">
        <v>1035</v>
      </c>
      <c r="C596" s="141" t="s">
        <v>898</v>
      </c>
      <c r="D596" s="141" t="s">
        <v>108</v>
      </c>
      <c r="E596" s="141" t="s">
        <v>110</v>
      </c>
      <c r="F596" s="142">
        <v>1</v>
      </c>
      <c r="G596" s="142">
        <v>100000</v>
      </c>
      <c r="H596" s="95">
        <f t="shared" si="9"/>
        <v>0.1875</v>
      </c>
    </row>
    <row r="597" spans="1:8" customFormat="1" ht="15.75" customHeight="1">
      <c r="A597" s="94">
        <v>592</v>
      </c>
      <c r="B597" s="141" t="s">
        <v>1035</v>
      </c>
      <c r="C597" s="141" t="s">
        <v>396</v>
      </c>
      <c r="D597" s="141" t="s">
        <v>103</v>
      </c>
      <c r="E597" s="141" t="s">
        <v>110</v>
      </c>
      <c r="F597" s="142">
        <v>1</v>
      </c>
      <c r="G597" s="142">
        <v>100000</v>
      </c>
      <c r="H597" s="95">
        <f t="shared" si="9"/>
        <v>0.1875</v>
      </c>
    </row>
    <row r="598" spans="1:8" customFormat="1" ht="15.75" customHeight="1">
      <c r="A598" s="94">
        <v>593</v>
      </c>
      <c r="B598" s="141" t="s">
        <v>1035</v>
      </c>
      <c r="C598" s="141" t="s">
        <v>940</v>
      </c>
      <c r="D598" s="141" t="s">
        <v>97</v>
      </c>
      <c r="E598" s="141" t="s">
        <v>110</v>
      </c>
      <c r="F598" s="142">
        <v>1</v>
      </c>
      <c r="G598" s="142">
        <v>100000</v>
      </c>
      <c r="H598" s="95">
        <f t="shared" si="9"/>
        <v>0.1875</v>
      </c>
    </row>
    <row r="599" spans="1:8" customFormat="1" ht="15.75" customHeight="1">
      <c r="A599" s="94">
        <v>594</v>
      </c>
      <c r="B599" s="141" t="s">
        <v>1035</v>
      </c>
      <c r="C599" s="141" t="s">
        <v>222</v>
      </c>
      <c r="D599" s="141" t="s">
        <v>100</v>
      </c>
      <c r="E599" s="141" t="s">
        <v>110</v>
      </c>
      <c r="F599" s="142">
        <v>1</v>
      </c>
      <c r="G599" s="142">
        <v>100000</v>
      </c>
      <c r="H599" s="95">
        <f t="shared" si="9"/>
        <v>0.1875</v>
      </c>
    </row>
    <row r="600" spans="1:8" customFormat="1" ht="15.75" customHeight="1">
      <c r="A600" s="94">
        <v>595</v>
      </c>
      <c r="B600" s="141" t="s">
        <v>1035</v>
      </c>
      <c r="C600" s="141" t="s">
        <v>958</v>
      </c>
      <c r="D600" s="141" t="s">
        <v>959</v>
      </c>
      <c r="E600" s="141" t="s">
        <v>110</v>
      </c>
      <c r="F600" s="142">
        <v>1</v>
      </c>
      <c r="G600" s="142">
        <v>100000</v>
      </c>
      <c r="H600" s="95">
        <f t="shared" si="9"/>
        <v>0.1875</v>
      </c>
    </row>
    <row r="601" spans="1:8" customFormat="1" ht="15.75" customHeight="1">
      <c r="A601" s="94">
        <v>596</v>
      </c>
      <c r="B601" s="141" t="s">
        <v>1035</v>
      </c>
      <c r="C601" s="141" t="s">
        <v>976</v>
      </c>
      <c r="D601" s="141" t="s">
        <v>977</v>
      </c>
      <c r="E601" s="141" t="s">
        <v>110</v>
      </c>
      <c r="F601" s="142">
        <v>1</v>
      </c>
      <c r="G601" s="142">
        <v>100000</v>
      </c>
      <c r="H601" s="95">
        <f t="shared" si="9"/>
        <v>0.1875</v>
      </c>
    </row>
    <row r="602" spans="1:8" customFormat="1" ht="15.75" customHeight="1">
      <c r="A602" s="94">
        <v>597</v>
      </c>
      <c r="B602" s="141" t="s">
        <v>1035</v>
      </c>
      <c r="C602" s="141" t="s">
        <v>994</v>
      </c>
      <c r="D602" s="141" t="s">
        <v>995</v>
      </c>
      <c r="E602" s="141" t="s">
        <v>110</v>
      </c>
      <c r="F602" s="142">
        <v>1</v>
      </c>
      <c r="G602" s="142">
        <v>100000</v>
      </c>
      <c r="H602" s="95">
        <f t="shared" si="9"/>
        <v>0.1875</v>
      </c>
    </row>
    <row r="603" spans="1:8" customFormat="1" ht="15.75" customHeight="1">
      <c r="A603" s="94">
        <v>598</v>
      </c>
      <c r="B603" s="141" t="s">
        <v>1144</v>
      </c>
      <c r="C603" s="141" t="s">
        <v>693</v>
      </c>
      <c r="D603" s="141" t="s">
        <v>147</v>
      </c>
      <c r="E603" s="141" t="s">
        <v>110</v>
      </c>
      <c r="F603" s="142">
        <v>1</v>
      </c>
      <c r="G603" s="142">
        <v>100000</v>
      </c>
      <c r="H603" s="95">
        <f t="shared" si="9"/>
        <v>0.1875</v>
      </c>
    </row>
    <row r="604" spans="1:8" customFormat="1" ht="15.75" customHeight="1">
      <c r="A604" s="94">
        <v>599</v>
      </c>
      <c r="B604" s="141" t="s">
        <v>1144</v>
      </c>
      <c r="C604" s="141" t="s">
        <v>769</v>
      </c>
      <c r="D604" s="141" t="s">
        <v>770</v>
      </c>
      <c r="E604" s="141" t="s">
        <v>110</v>
      </c>
      <c r="F604" s="142">
        <v>1</v>
      </c>
      <c r="G604" s="142">
        <v>100000</v>
      </c>
      <c r="H604" s="95">
        <f t="shared" si="9"/>
        <v>0.1875</v>
      </c>
    </row>
    <row r="605" spans="1:8" customFormat="1" ht="15.75" customHeight="1">
      <c r="A605" s="94">
        <v>600</v>
      </c>
      <c r="B605" s="141" t="s">
        <v>1144</v>
      </c>
      <c r="C605" s="141" t="s">
        <v>896</v>
      </c>
      <c r="D605" s="141" t="s">
        <v>154</v>
      </c>
      <c r="E605" s="141" t="s">
        <v>110</v>
      </c>
      <c r="F605" s="142">
        <v>1</v>
      </c>
      <c r="G605" s="142">
        <v>100000</v>
      </c>
      <c r="H605" s="95">
        <f t="shared" si="9"/>
        <v>0.1875</v>
      </c>
    </row>
    <row r="606" spans="1:8" customFormat="1" ht="15.75" customHeight="1">
      <c r="A606" s="94">
        <v>601</v>
      </c>
      <c r="B606" s="141" t="s">
        <v>1224</v>
      </c>
      <c r="C606" s="141" t="s">
        <v>867</v>
      </c>
      <c r="D606" s="141" t="s">
        <v>161</v>
      </c>
      <c r="E606" s="141" t="s">
        <v>110</v>
      </c>
      <c r="F606" s="142">
        <v>1</v>
      </c>
      <c r="G606" s="142">
        <v>100000</v>
      </c>
      <c r="H606" s="95">
        <f t="shared" si="9"/>
        <v>0.1875</v>
      </c>
    </row>
    <row r="607" spans="1:8" customFormat="1" ht="15.75" customHeight="1">
      <c r="A607" s="94">
        <v>602</v>
      </c>
      <c r="B607" s="141" t="s">
        <v>1224</v>
      </c>
      <c r="C607" s="141" t="s">
        <v>983</v>
      </c>
      <c r="D607" s="141" t="s">
        <v>984</v>
      </c>
      <c r="E607" s="141" t="s">
        <v>110</v>
      </c>
      <c r="F607" s="142">
        <v>1</v>
      </c>
      <c r="G607" s="142">
        <v>100000</v>
      </c>
      <c r="H607" s="95">
        <f t="shared" si="9"/>
        <v>0.1875</v>
      </c>
    </row>
    <row r="608" spans="1:8" customFormat="1" ht="15.75" customHeight="1">
      <c r="A608" s="94">
        <v>603</v>
      </c>
      <c r="B608" s="141" t="s">
        <v>1171</v>
      </c>
      <c r="C608" s="141" t="s">
        <v>695</v>
      </c>
      <c r="D608" s="141" t="s">
        <v>696</v>
      </c>
      <c r="E608" s="141" t="s">
        <v>110</v>
      </c>
      <c r="F608" s="142">
        <v>1</v>
      </c>
      <c r="G608" s="142">
        <v>100000</v>
      </c>
      <c r="H608" s="95">
        <f t="shared" si="9"/>
        <v>0.1875</v>
      </c>
    </row>
    <row r="609" spans="1:8" customFormat="1" ht="15.75" customHeight="1">
      <c r="A609" s="94">
        <v>604</v>
      </c>
      <c r="B609" s="141" t="s">
        <v>1201</v>
      </c>
      <c r="C609" s="141" t="s">
        <v>769</v>
      </c>
      <c r="D609" s="141" t="s">
        <v>770</v>
      </c>
      <c r="E609" s="141" t="s">
        <v>40</v>
      </c>
      <c r="F609" s="142">
        <v>1</v>
      </c>
      <c r="G609" s="142">
        <v>101800</v>
      </c>
      <c r="H609" s="95">
        <f t="shared" si="9"/>
        <v>0.1875</v>
      </c>
    </row>
    <row r="610" spans="1:8" customFormat="1" ht="15.75" customHeight="1">
      <c r="A610" s="94">
        <v>605</v>
      </c>
      <c r="B610" s="141" t="s">
        <v>1044</v>
      </c>
      <c r="C610" s="141" t="s">
        <v>486</v>
      </c>
      <c r="D610" s="141" t="s">
        <v>487</v>
      </c>
      <c r="E610" s="141" t="s">
        <v>110</v>
      </c>
      <c r="F610" s="142">
        <v>1</v>
      </c>
      <c r="G610" s="142">
        <v>100000</v>
      </c>
      <c r="H610" s="95">
        <f t="shared" si="9"/>
        <v>0.1875</v>
      </c>
    </row>
    <row r="611" spans="1:8" customFormat="1" ht="15.75" customHeight="1">
      <c r="A611" s="94">
        <v>606</v>
      </c>
      <c r="B611" s="141" t="s">
        <v>1044</v>
      </c>
      <c r="C611" s="141" t="s">
        <v>298</v>
      </c>
      <c r="D611" s="141" t="s">
        <v>107</v>
      </c>
      <c r="E611" s="141" t="s">
        <v>110</v>
      </c>
      <c r="F611" s="142">
        <v>1</v>
      </c>
      <c r="G611" s="142">
        <v>100000</v>
      </c>
      <c r="H611" s="95">
        <f t="shared" si="9"/>
        <v>0.1875</v>
      </c>
    </row>
    <row r="612" spans="1:8" customFormat="1" ht="15.75" customHeight="1">
      <c r="A612" s="94">
        <v>607</v>
      </c>
      <c r="B612" s="141" t="s">
        <v>1044</v>
      </c>
      <c r="C612" s="141" t="s">
        <v>625</v>
      </c>
      <c r="D612" s="141" t="s">
        <v>626</v>
      </c>
      <c r="E612" s="141" t="s">
        <v>110</v>
      </c>
      <c r="F612" s="142">
        <v>1</v>
      </c>
      <c r="G612" s="142">
        <v>100000</v>
      </c>
      <c r="H612" s="95">
        <f t="shared" si="9"/>
        <v>0.1875</v>
      </c>
    </row>
    <row r="613" spans="1:8" customFormat="1" ht="15.75" customHeight="1">
      <c r="A613" s="94">
        <v>608</v>
      </c>
      <c r="B613" s="141" t="s">
        <v>1044</v>
      </c>
      <c r="C613" s="141" t="s">
        <v>633</v>
      </c>
      <c r="D613" s="141" t="s">
        <v>634</v>
      </c>
      <c r="E613" s="141" t="s">
        <v>110</v>
      </c>
      <c r="F613" s="142">
        <v>1</v>
      </c>
      <c r="G613" s="142">
        <v>100000</v>
      </c>
      <c r="H613" s="95">
        <f t="shared" si="9"/>
        <v>0.1875</v>
      </c>
    </row>
    <row r="614" spans="1:8" customFormat="1" ht="15.75" customHeight="1">
      <c r="A614" s="94">
        <v>609</v>
      </c>
      <c r="B614" s="141" t="s">
        <v>1044</v>
      </c>
      <c r="C614" s="141" t="s">
        <v>635</v>
      </c>
      <c r="D614" s="141" t="s">
        <v>636</v>
      </c>
      <c r="E614" s="141" t="s">
        <v>110</v>
      </c>
      <c r="F614" s="142">
        <v>1</v>
      </c>
      <c r="G614" s="142">
        <v>100000</v>
      </c>
      <c r="H614" s="95">
        <f t="shared" si="9"/>
        <v>0.1875</v>
      </c>
    </row>
    <row r="615" spans="1:8" customFormat="1" ht="15.75" customHeight="1">
      <c r="A615" s="94">
        <v>610</v>
      </c>
      <c r="B615" s="141" t="s">
        <v>1044</v>
      </c>
      <c r="C615" s="141" t="s">
        <v>639</v>
      </c>
      <c r="D615" s="141" t="s">
        <v>640</v>
      </c>
      <c r="E615" s="141" t="s">
        <v>110</v>
      </c>
      <c r="F615" s="142">
        <v>1</v>
      </c>
      <c r="G615" s="142">
        <v>100000</v>
      </c>
      <c r="H615" s="95">
        <f t="shared" si="9"/>
        <v>0.1875</v>
      </c>
    </row>
    <row r="616" spans="1:8" customFormat="1" ht="15.75" customHeight="1">
      <c r="A616" s="94">
        <v>611</v>
      </c>
      <c r="B616" s="141" t="s">
        <v>1044</v>
      </c>
      <c r="C616" s="141" t="s">
        <v>671</v>
      </c>
      <c r="D616" s="141" t="s">
        <v>672</v>
      </c>
      <c r="E616" s="141" t="s">
        <v>110</v>
      </c>
      <c r="F616" s="142">
        <v>1</v>
      </c>
      <c r="G616" s="142">
        <v>100000</v>
      </c>
      <c r="H616" s="95">
        <f t="shared" si="9"/>
        <v>0.1875</v>
      </c>
    </row>
    <row r="617" spans="1:8" customFormat="1" ht="15.75" customHeight="1">
      <c r="A617" s="94">
        <v>612</v>
      </c>
      <c r="B617" s="141" t="s">
        <v>1044</v>
      </c>
      <c r="C617" s="141" t="s">
        <v>702</v>
      </c>
      <c r="D617" s="141" t="s">
        <v>703</v>
      </c>
      <c r="E617" s="141" t="s">
        <v>110</v>
      </c>
      <c r="F617" s="142">
        <v>1</v>
      </c>
      <c r="G617" s="142">
        <v>100000</v>
      </c>
      <c r="H617" s="95">
        <f t="shared" si="9"/>
        <v>0.1875</v>
      </c>
    </row>
    <row r="618" spans="1:8" customFormat="1" ht="15.75" customHeight="1">
      <c r="A618" s="94">
        <v>613</v>
      </c>
      <c r="B618" s="141" t="s">
        <v>1044</v>
      </c>
      <c r="C618" s="141" t="s">
        <v>197</v>
      </c>
      <c r="D618" s="141" t="s">
        <v>153</v>
      </c>
      <c r="E618" s="141" t="s">
        <v>110</v>
      </c>
      <c r="F618" s="142">
        <v>1</v>
      </c>
      <c r="G618" s="142">
        <v>100000</v>
      </c>
      <c r="H618" s="95">
        <f t="shared" si="9"/>
        <v>0.1875</v>
      </c>
    </row>
    <row r="619" spans="1:8" customFormat="1" ht="15.75" customHeight="1">
      <c r="A619" s="94">
        <v>614</v>
      </c>
      <c r="B619" s="141" t="s">
        <v>1044</v>
      </c>
      <c r="C619" s="141" t="s">
        <v>715</v>
      </c>
      <c r="D619" s="141" t="s">
        <v>716</v>
      </c>
      <c r="E619" s="141" t="s">
        <v>110</v>
      </c>
      <c r="F619" s="142">
        <v>1</v>
      </c>
      <c r="G619" s="142">
        <v>100000</v>
      </c>
      <c r="H619" s="95">
        <f t="shared" si="9"/>
        <v>0.1875</v>
      </c>
    </row>
    <row r="620" spans="1:8" customFormat="1" ht="15.75" customHeight="1">
      <c r="A620" s="94">
        <v>615</v>
      </c>
      <c r="B620" s="141" t="s">
        <v>1044</v>
      </c>
      <c r="C620" s="141" t="s">
        <v>719</v>
      </c>
      <c r="D620" s="141" t="s">
        <v>720</v>
      </c>
      <c r="E620" s="141" t="s">
        <v>110</v>
      </c>
      <c r="F620" s="142">
        <v>1</v>
      </c>
      <c r="G620" s="142">
        <v>100000</v>
      </c>
      <c r="H620" s="95">
        <f t="shared" si="9"/>
        <v>0.1875</v>
      </c>
    </row>
    <row r="621" spans="1:8" customFormat="1" ht="15.75" customHeight="1">
      <c r="A621" s="94">
        <v>616</v>
      </c>
      <c r="B621" s="141" t="s">
        <v>1044</v>
      </c>
      <c r="C621" s="141" t="s">
        <v>238</v>
      </c>
      <c r="D621" s="141" t="s">
        <v>725</v>
      </c>
      <c r="E621" s="141" t="s">
        <v>110</v>
      </c>
      <c r="F621" s="142">
        <v>1</v>
      </c>
      <c r="G621" s="142">
        <v>100000</v>
      </c>
      <c r="H621" s="95">
        <f t="shared" si="9"/>
        <v>0.1875</v>
      </c>
    </row>
    <row r="622" spans="1:8" customFormat="1" ht="15.75" customHeight="1">
      <c r="A622" s="94">
        <v>617</v>
      </c>
      <c r="B622" s="141" t="s">
        <v>1044</v>
      </c>
      <c r="C622" s="141" t="s">
        <v>778</v>
      </c>
      <c r="D622" s="141" t="s">
        <v>117</v>
      </c>
      <c r="E622" s="141" t="s">
        <v>110</v>
      </c>
      <c r="F622" s="142">
        <v>1</v>
      </c>
      <c r="G622" s="142">
        <v>100000</v>
      </c>
      <c r="H622" s="95">
        <f t="shared" si="9"/>
        <v>0.1875</v>
      </c>
    </row>
    <row r="623" spans="1:8" customFormat="1" ht="15.75" customHeight="1">
      <c r="A623" s="94">
        <v>618</v>
      </c>
      <c r="B623" s="141" t="s">
        <v>1044</v>
      </c>
      <c r="C623" s="141" t="s">
        <v>892</v>
      </c>
      <c r="D623" s="141" t="s">
        <v>893</v>
      </c>
      <c r="E623" s="141" t="s">
        <v>110</v>
      </c>
      <c r="F623" s="142">
        <v>1</v>
      </c>
      <c r="G623" s="142">
        <v>100000</v>
      </c>
      <c r="H623" s="95">
        <f t="shared" si="9"/>
        <v>0.1875</v>
      </c>
    </row>
    <row r="624" spans="1:8" customFormat="1" ht="15.75" customHeight="1">
      <c r="A624" s="94">
        <v>619</v>
      </c>
      <c r="B624" s="141" t="s">
        <v>1044</v>
      </c>
      <c r="C624" s="141" t="s">
        <v>898</v>
      </c>
      <c r="D624" s="141" t="s">
        <v>108</v>
      </c>
      <c r="E624" s="141" t="s">
        <v>110</v>
      </c>
      <c r="F624" s="142">
        <v>1</v>
      </c>
      <c r="G624" s="142">
        <v>100000</v>
      </c>
      <c r="H624" s="95">
        <f t="shared" si="9"/>
        <v>0.1875</v>
      </c>
    </row>
    <row r="625" spans="1:8" customFormat="1" ht="15.75" customHeight="1">
      <c r="A625" s="94">
        <v>620</v>
      </c>
      <c r="B625" s="141" t="s">
        <v>1044</v>
      </c>
      <c r="C625" s="141" t="s">
        <v>396</v>
      </c>
      <c r="D625" s="141" t="s">
        <v>103</v>
      </c>
      <c r="E625" s="141" t="s">
        <v>110</v>
      </c>
      <c r="F625" s="142">
        <v>1</v>
      </c>
      <c r="G625" s="142">
        <v>100000</v>
      </c>
      <c r="H625" s="95">
        <f t="shared" si="9"/>
        <v>0.1875</v>
      </c>
    </row>
    <row r="626" spans="1:8" customFormat="1" ht="15.75" customHeight="1">
      <c r="A626" s="94">
        <v>621</v>
      </c>
      <c r="B626" s="141" t="s">
        <v>1044</v>
      </c>
      <c r="C626" s="141" t="s">
        <v>940</v>
      </c>
      <c r="D626" s="141" t="s">
        <v>97</v>
      </c>
      <c r="E626" s="141" t="s">
        <v>110</v>
      </c>
      <c r="F626" s="142">
        <v>1</v>
      </c>
      <c r="G626" s="142">
        <v>100000</v>
      </c>
      <c r="H626" s="95">
        <f t="shared" si="9"/>
        <v>0.1875</v>
      </c>
    </row>
    <row r="627" spans="1:8" customFormat="1" ht="15.75" customHeight="1">
      <c r="A627" s="94">
        <v>622</v>
      </c>
      <c r="B627" s="141" t="s">
        <v>1044</v>
      </c>
      <c r="C627" s="141" t="s">
        <v>222</v>
      </c>
      <c r="D627" s="141" t="s">
        <v>100</v>
      </c>
      <c r="E627" s="141" t="s">
        <v>110</v>
      </c>
      <c r="F627" s="142">
        <v>1</v>
      </c>
      <c r="G627" s="142">
        <v>100000</v>
      </c>
      <c r="H627" s="95">
        <f t="shared" si="9"/>
        <v>0.1875</v>
      </c>
    </row>
    <row r="628" spans="1:8" customFormat="1" ht="15.75" customHeight="1">
      <c r="A628" s="94">
        <v>623</v>
      </c>
      <c r="B628" s="141" t="s">
        <v>1044</v>
      </c>
      <c r="C628" s="141" t="s">
        <v>958</v>
      </c>
      <c r="D628" s="141" t="s">
        <v>959</v>
      </c>
      <c r="E628" s="141" t="s">
        <v>110</v>
      </c>
      <c r="F628" s="142">
        <v>1</v>
      </c>
      <c r="G628" s="142">
        <v>100000</v>
      </c>
      <c r="H628" s="95">
        <f t="shared" si="9"/>
        <v>0.1875</v>
      </c>
    </row>
    <row r="629" spans="1:8" customFormat="1" ht="15.75" customHeight="1">
      <c r="A629" s="94">
        <v>624</v>
      </c>
      <c r="B629" s="141" t="s">
        <v>1044</v>
      </c>
      <c r="C629" s="141" t="s">
        <v>976</v>
      </c>
      <c r="D629" s="141" t="s">
        <v>977</v>
      </c>
      <c r="E629" s="141" t="s">
        <v>110</v>
      </c>
      <c r="F629" s="142">
        <v>1</v>
      </c>
      <c r="G629" s="142">
        <v>100000</v>
      </c>
      <c r="H629" s="95">
        <f t="shared" si="9"/>
        <v>0.1875</v>
      </c>
    </row>
    <row r="630" spans="1:8" customFormat="1" ht="15.75" customHeight="1">
      <c r="A630" s="94">
        <v>625</v>
      </c>
      <c r="B630" s="141" t="s">
        <v>1044</v>
      </c>
      <c r="C630" s="141" t="s">
        <v>994</v>
      </c>
      <c r="D630" s="141" t="s">
        <v>995</v>
      </c>
      <c r="E630" s="141" t="s">
        <v>110</v>
      </c>
      <c r="F630" s="142">
        <v>1</v>
      </c>
      <c r="G630" s="142">
        <v>100000</v>
      </c>
      <c r="H630" s="95">
        <f t="shared" si="9"/>
        <v>0.1875</v>
      </c>
    </row>
    <row r="631" spans="1:8" customFormat="1" ht="15.75" customHeight="1">
      <c r="A631" s="94">
        <v>626</v>
      </c>
      <c r="B631" s="141" t="s">
        <v>1097</v>
      </c>
      <c r="C631" s="141" t="s">
        <v>766</v>
      </c>
      <c r="D631" s="141" t="s">
        <v>98</v>
      </c>
      <c r="E631" s="141" t="s">
        <v>110</v>
      </c>
      <c r="F631" s="142">
        <v>1</v>
      </c>
      <c r="G631" s="142">
        <v>100000</v>
      </c>
      <c r="H631" s="95">
        <f t="shared" si="9"/>
        <v>0.1875</v>
      </c>
    </row>
    <row r="632" spans="1:8" customFormat="1" ht="15.75" customHeight="1">
      <c r="A632" s="94">
        <v>627</v>
      </c>
      <c r="B632" s="141" t="s">
        <v>1097</v>
      </c>
      <c r="C632" s="141" t="s">
        <v>766</v>
      </c>
      <c r="D632" s="141" t="s">
        <v>98</v>
      </c>
      <c r="E632" s="141" t="s">
        <v>110</v>
      </c>
      <c r="F632" s="142">
        <v>1</v>
      </c>
      <c r="G632" s="142">
        <v>100000</v>
      </c>
      <c r="H632" s="95">
        <f t="shared" ref="H632:H695" si="10">25%*75%</f>
        <v>0.1875</v>
      </c>
    </row>
    <row r="633" spans="1:8" customFormat="1" ht="15.75" customHeight="1">
      <c r="A633" s="94">
        <v>628</v>
      </c>
      <c r="B633" s="141" t="s">
        <v>1097</v>
      </c>
      <c r="C633" s="141" t="s">
        <v>867</v>
      </c>
      <c r="D633" s="141" t="s">
        <v>161</v>
      </c>
      <c r="E633" s="141" t="s">
        <v>110</v>
      </c>
      <c r="F633" s="142">
        <v>1</v>
      </c>
      <c r="G633" s="142">
        <v>100000</v>
      </c>
      <c r="H633" s="95">
        <f t="shared" si="10"/>
        <v>0.1875</v>
      </c>
    </row>
    <row r="634" spans="1:8" customFormat="1" ht="15.75" customHeight="1">
      <c r="A634" s="94">
        <v>629</v>
      </c>
      <c r="B634" s="141" t="s">
        <v>1097</v>
      </c>
      <c r="C634" s="141" t="s">
        <v>896</v>
      </c>
      <c r="D634" s="141" t="s">
        <v>154</v>
      </c>
      <c r="E634" s="141" t="s">
        <v>110</v>
      </c>
      <c r="F634" s="142">
        <v>1</v>
      </c>
      <c r="G634" s="142">
        <v>100000</v>
      </c>
      <c r="H634" s="95">
        <f t="shared" si="10"/>
        <v>0.1875</v>
      </c>
    </row>
    <row r="635" spans="1:8" customFormat="1" ht="15.75" customHeight="1">
      <c r="A635" s="94">
        <v>630</v>
      </c>
      <c r="B635" s="141" t="s">
        <v>1097</v>
      </c>
      <c r="C635" s="141" t="s">
        <v>989</v>
      </c>
      <c r="D635" s="141" t="s">
        <v>94</v>
      </c>
      <c r="E635" s="141" t="s">
        <v>110</v>
      </c>
      <c r="F635" s="142">
        <v>1</v>
      </c>
      <c r="G635" s="142">
        <v>100000</v>
      </c>
      <c r="H635" s="95">
        <f t="shared" si="10"/>
        <v>0.1875</v>
      </c>
    </row>
    <row r="636" spans="1:8" customFormat="1" ht="15.75" customHeight="1">
      <c r="A636" s="94">
        <v>631</v>
      </c>
      <c r="B636" s="141" t="s">
        <v>1147</v>
      </c>
      <c r="C636" s="141" t="s">
        <v>625</v>
      </c>
      <c r="D636" s="141" t="s">
        <v>626</v>
      </c>
      <c r="E636" s="141" t="s">
        <v>110</v>
      </c>
      <c r="F636" s="142">
        <v>1</v>
      </c>
      <c r="G636" s="142">
        <v>100000</v>
      </c>
      <c r="H636" s="95">
        <f t="shared" si="10"/>
        <v>0.1875</v>
      </c>
    </row>
    <row r="637" spans="1:8" customFormat="1" ht="15.75" customHeight="1">
      <c r="A637" s="94">
        <v>632</v>
      </c>
      <c r="B637" s="141" t="s">
        <v>1146</v>
      </c>
      <c r="C637" s="141" t="s">
        <v>769</v>
      </c>
      <c r="D637" s="141" t="s">
        <v>770</v>
      </c>
      <c r="E637" s="141" t="s">
        <v>110</v>
      </c>
      <c r="F637" s="142">
        <v>1</v>
      </c>
      <c r="G637" s="142">
        <v>100000</v>
      </c>
      <c r="H637" s="95">
        <f t="shared" si="10"/>
        <v>0.1875</v>
      </c>
    </row>
    <row r="638" spans="1:8" customFormat="1" ht="15.75" customHeight="1">
      <c r="A638" s="94">
        <v>633</v>
      </c>
      <c r="B638" s="141" t="s">
        <v>1178</v>
      </c>
      <c r="C638" s="141" t="s">
        <v>983</v>
      </c>
      <c r="D638" s="141" t="s">
        <v>984</v>
      </c>
      <c r="E638" s="141" t="s">
        <v>110</v>
      </c>
      <c r="F638" s="142">
        <v>1</v>
      </c>
      <c r="G638" s="142">
        <v>100000</v>
      </c>
      <c r="H638" s="95">
        <f t="shared" si="10"/>
        <v>0.1875</v>
      </c>
    </row>
    <row r="639" spans="1:8" customFormat="1" ht="15.75" customHeight="1">
      <c r="A639" s="94">
        <v>634</v>
      </c>
      <c r="B639" s="141" t="s">
        <v>1030</v>
      </c>
      <c r="C639" s="141" t="s">
        <v>486</v>
      </c>
      <c r="D639" s="141" t="s">
        <v>487</v>
      </c>
      <c r="E639" s="141" t="s">
        <v>110</v>
      </c>
      <c r="F639" s="142">
        <v>1</v>
      </c>
      <c r="G639" s="142">
        <v>100000</v>
      </c>
      <c r="H639" s="95">
        <f t="shared" si="10"/>
        <v>0.1875</v>
      </c>
    </row>
    <row r="640" spans="1:8" customFormat="1" ht="15.75" customHeight="1">
      <c r="A640" s="94">
        <v>635</v>
      </c>
      <c r="B640" s="141" t="s">
        <v>1030</v>
      </c>
      <c r="C640" s="141" t="s">
        <v>298</v>
      </c>
      <c r="D640" s="141" t="s">
        <v>107</v>
      </c>
      <c r="E640" s="141" t="s">
        <v>110</v>
      </c>
      <c r="F640" s="142">
        <v>1</v>
      </c>
      <c r="G640" s="142">
        <v>100000</v>
      </c>
      <c r="H640" s="95">
        <f t="shared" si="10"/>
        <v>0.1875</v>
      </c>
    </row>
    <row r="641" spans="1:8" customFormat="1" ht="15.75" customHeight="1">
      <c r="A641" s="94">
        <v>636</v>
      </c>
      <c r="B641" s="141" t="s">
        <v>1030</v>
      </c>
      <c r="C641" s="141" t="s">
        <v>625</v>
      </c>
      <c r="D641" s="141" t="s">
        <v>626</v>
      </c>
      <c r="E641" s="141" t="s">
        <v>110</v>
      </c>
      <c r="F641" s="142">
        <v>1</v>
      </c>
      <c r="G641" s="142">
        <v>100000</v>
      </c>
      <c r="H641" s="95">
        <f t="shared" si="10"/>
        <v>0.1875</v>
      </c>
    </row>
    <row r="642" spans="1:8" customFormat="1" ht="15.75" customHeight="1">
      <c r="A642" s="94">
        <v>637</v>
      </c>
      <c r="B642" s="141" t="s">
        <v>1030</v>
      </c>
      <c r="C642" s="141" t="s">
        <v>633</v>
      </c>
      <c r="D642" s="141" t="s">
        <v>634</v>
      </c>
      <c r="E642" s="141" t="s">
        <v>110</v>
      </c>
      <c r="F642" s="142">
        <v>1</v>
      </c>
      <c r="G642" s="142">
        <v>100000</v>
      </c>
      <c r="H642" s="95">
        <f t="shared" si="10"/>
        <v>0.1875</v>
      </c>
    </row>
    <row r="643" spans="1:8" customFormat="1" ht="15.75" customHeight="1">
      <c r="A643" s="94">
        <v>638</v>
      </c>
      <c r="B643" s="141" t="s">
        <v>1030</v>
      </c>
      <c r="C643" s="141" t="s">
        <v>639</v>
      </c>
      <c r="D643" s="141" t="s">
        <v>640</v>
      </c>
      <c r="E643" s="141" t="s">
        <v>110</v>
      </c>
      <c r="F643" s="142">
        <v>1</v>
      </c>
      <c r="G643" s="142">
        <v>100000</v>
      </c>
      <c r="H643" s="95">
        <f t="shared" si="10"/>
        <v>0.1875</v>
      </c>
    </row>
    <row r="644" spans="1:8" customFormat="1" ht="15.75" customHeight="1">
      <c r="A644" s="94">
        <v>639</v>
      </c>
      <c r="B644" s="141" t="s">
        <v>1030</v>
      </c>
      <c r="C644" s="141" t="s">
        <v>719</v>
      </c>
      <c r="D644" s="141" t="s">
        <v>720</v>
      </c>
      <c r="E644" s="141" t="s">
        <v>110</v>
      </c>
      <c r="F644" s="142">
        <v>1</v>
      </c>
      <c r="G644" s="142">
        <v>100000</v>
      </c>
      <c r="H644" s="95">
        <f t="shared" si="10"/>
        <v>0.1875</v>
      </c>
    </row>
    <row r="645" spans="1:8" customFormat="1" ht="15.75" customHeight="1">
      <c r="A645" s="94">
        <v>640</v>
      </c>
      <c r="B645" s="141" t="s">
        <v>1030</v>
      </c>
      <c r="C645" s="141" t="s">
        <v>238</v>
      </c>
      <c r="D645" s="141" t="s">
        <v>725</v>
      </c>
      <c r="E645" s="141" t="s">
        <v>110</v>
      </c>
      <c r="F645" s="142">
        <v>1</v>
      </c>
      <c r="G645" s="142">
        <v>100000</v>
      </c>
      <c r="H645" s="95">
        <f t="shared" si="10"/>
        <v>0.1875</v>
      </c>
    </row>
    <row r="646" spans="1:8" customFormat="1" ht="15.75" customHeight="1">
      <c r="A646" s="94">
        <v>641</v>
      </c>
      <c r="B646" s="141" t="s">
        <v>1030</v>
      </c>
      <c r="C646" s="141" t="s">
        <v>896</v>
      </c>
      <c r="D646" s="141" t="s">
        <v>154</v>
      </c>
      <c r="E646" s="141" t="s">
        <v>110</v>
      </c>
      <c r="F646" s="142">
        <v>1</v>
      </c>
      <c r="G646" s="142">
        <v>100000</v>
      </c>
      <c r="H646" s="95">
        <f t="shared" si="10"/>
        <v>0.1875</v>
      </c>
    </row>
    <row r="647" spans="1:8" customFormat="1" ht="15.75" customHeight="1">
      <c r="A647" s="94">
        <v>642</v>
      </c>
      <c r="B647" s="141" t="s">
        <v>1030</v>
      </c>
      <c r="C647" s="141" t="s">
        <v>898</v>
      </c>
      <c r="D647" s="141" t="s">
        <v>108</v>
      </c>
      <c r="E647" s="141" t="s">
        <v>110</v>
      </c>
      <c r="F647" s="142">
        <v>1</v>
      </c>
      <c r="G647" s="142">
        <v>100000</v>
      </c>
      <c r="H647" s="95">
        <f t="shared" si="10"/>
        <v>0.1875</v>
      </c>
    </row>
    <row r="648" spans="1:8" customFormat="1" ht="15.75" customHeight="1">
      <c r="A648" s="94">
        <v>643</v>
      </c>
      <c r="B648" s="141" t="s">
        <v>1030</v>
      </c>
      <c r="C648" s="141" t="s">
        <v>940</v>
      </c>
      <c r="D648" s="141" t="s">
        <v>97</v>
      </c>
      <c r="E648" s="141" t="s">
        <v>110</v>
      </c>
      <c r="F648" s="142">
        <v>1</v>
      </c>
      <c r="G648" s="142">
        <v>100000</v>
      </c>
      <c r="H648" s="95">
        <f t="shared" si="10"/>
        <v>0.1875</v>
      </c>
    </row>
    <row r="649" spans="1:8" customFormat="1" ht="15.75" customHeight="1">
      <c r="A649" s="94">
        <v>644</v>
      </c>
      <c r="B649" s="141" t="s">
        <v>1030</v>
      </c>
      <c r="C649" s="141" t="s">
        <v>222</v>
      </c>
      <c r="D649" s="141" t="s">
        <v>100</v>
      </c>
      <c r="E649" s="141" t="s">
        <v>110</v>
      </c>
      <c r="F649" s="142">
        <v>1</v>
      </c>
      <c r="G649" s="142">
        <v>100000</v>
      </c>
      <c r="H649" s="95">
        <f t="shared" si="10"/>
        <v>0.1875</v>
      </c>
    </row>
    <row r="650" spans="1:8" customFormat="1" ht="15.75" customHeight="1">
      <c r="A650" s="94">
        <v>645</v>
      </c>
      <c r="B650" s="141" t="s">
        <v>1185</v>
      </c>
      <c r="C650" s="141" t="s">
        <v>236</v>
      </c>
      <c r="D650" s="141" t="s">
        <v>730</v>
      </c>
      <c r="E650" s="141" t="s">
        <v>110</v>
      </c>
      <c r="F650" s="142">
        <v>1</v>
      </c>
      <c r="G650" s="142">
        <v>100000</v>
      </c>
      <c r="H650" s="95">
        <f t="shared" si="10"/>
        <v>0.1875</v>
      </c>
    </row>
    <row r="651" spans="1:8" customFormat="1" ht="15.75" customHeight="1">
      <c r="A651" s="94">
        <v>646</v>
      </c>
      <c r="B651" s="141" t="s">
        <v>1231</v>
      </c>
      <c r="C651" s="141" t="s">
        <v>396</v>
      </c>
      <c r="D651" s="141" t="s">
        <v>103</v>
      </c>
      <c r="E651" s="141" t="s">
        <v>110</v>
      </c>
      <c r="F651" s="142">
        <v>1</v>
      </c>
      <c r="G651" s="142">
        <v>100000</v>
      </c>
      <c r="H651" s="95">
        <f t="shared" si="10"/>
        <v>0.1875</v>
      </c>
    </row>
    <row r="652" spans="1:8" customFormat="1" ht="15.75" customHeight="1">
      <c r="A652" s="94">
        <v>647</v>
      </c>
      <c r="B652" s="141" t="s">
        <v>1073</v>
      </c>
      <c r="C652" s="141" t="s">
        <v>155</v>
      </c>
      <c r="D652" s="141" t="s">
        <v>156</v>
      </c>
      <c r="E652" s="141" t="s">
        <v>110</v>
      </c>
      <c r="F652" s="142">
        <v>1</v>
      </c>
      <c r="G652" s="142">
        <v>100000</v>
      </c>
      <c r="H652" s="95">
        <f t="shared" si="10"/>
        <v>0.1875</v>
      </c>
    </row>
    <row r="653" spans="1:8" customFormat="1" ht="15.75" customHeight="1">
      <c r="A653" s="94">
        <v>648</v>
      </c>
      <c r="B653" s="141" t="s">
        <v>1073</v>
      </c>
      <c r="C653" s="141" t="s">
        <v>197</v>
      </c>
      <c r="D653" s="141" t="s">
        <v>153</v>
      </c>
      <c r="E653" s="141" t="s">
        <v>110</v>
      </c>
      <c r="F653" s="142">
        <v>1</v>
      </c>
      <c r="G653" s="142">
        <v>100000</v>
      </c>
      <c r="H653" s="95">
        <f t="shared" si="10"/>
        <v>0.1875</v>
      </c>
    </row>
    <row r="654" spans="1:8" customFormat="1" ht="15.75" customHeight="1">
      <c r="A654" s="94">
        <v>649</v>
      </c>
      <c r="B654" s="141" t="s">
        <v>1073</v>
      </c>
      <c r="C654" s="141" t="s">
        <v>766</v>
      </c>
      <c r="D654" s="141" t="s">
        <v>98</v>
      </c>
      <c r="E654" s="141" t="s">
        <v>110</v>
      </c>
      <c r="F654" s="142">
        <v>1</v>
      </c>
      <c r="G654" s="142">
        <v>100000</v>
      </c>
      <c r="H654" s="95">
        <f t="shared" si="10"/>
        <v>0.1875</v>
      </c>
    </row>
    <row r="655" spans="1:8" customFormat="1" ht="15.75" customHeight="1">
      <c r="A655" s="94">
        <v>650</v>
      </c>
      <c r="B655" s="141" t="s">
        <v>1073</v>
      </c>
      <c r="C655" s="141" t="s">
        <v>989</v>
      </c>
      <c r="D655" s="141" t="s">
        <v>94</v>
      </c>
      <c r="E655" s="141" t="s">
        <v>110</v>
      </c>
      <c r="F655" s="142">
        <v>1</v>
      </c>
      <c r="G655" s="142">
        <v>100000</v>
      </c>
      <c r="H655" s="95">
        <f t="shared" si="10"/>
        <v>0.1875</v>
      </c>
    </row>
    <row r="656" spans="1:8" customFormat="1" ht="15.75" customHeight="1">
      <c r="A656" s="94">
        <v>651</v>
      </c>
      <c r="B656" s="141" t="s">
        <v>1199</v>
      </c>
      <c r="C656" s="141" t="s">
        <v>769</v>
      </c>
      <c r="D656" s="141" t="s">
        <v>770</v>
      </c>
      <c r="E656" s="141" t="s">
        <v>110</v>
      </c>
      <c r="F656" s="142">
        <v>1</v>
      </c>
      <c r="G656" s="142">
        <v>100000</v>
      </c>
      <c r="H656" s="95">
        <f t="shared" si="10"/>
        <v>0.1875</v>
      </c>
    </row>
    <row r="657" spans="1:8" customFormat="1" ht="15.75" customHeight="1">
      <c r="A657" s="94">
        <v>652</v>
      </c>
      <c r="B657" s="141" t="s">
        <v>1249</v>
      </c>
      <c r="C657" s="141" t="s">
        <v>983</v>
      </c>
      <c r="D657" s="141" t="s">
        <v>984</v>
      </c>
      <c r="E657" s="141" t="s">
        <v>110</v>
      </c>
      <c r="F657" s="142">
        <v>1</v>
      </c>
      <c r="G657" s="142">
        <v>100000</v>
      </c>
      <c r="H657" s="95">
        <f t="shared" si="10"/>
        <v>0.1875</v>
      </c>
    </row>
    <row r="658" spans="1:8" customFormat="1" ht="15.75" customHeight="1">
      <c r="A658" s="94">
        <v>653</v>
      </c>
      <c r="B658" s="141" t="s">
        <v>1213</v>
      </c>
      <c r="C658" s="141" t="s">
        <v>1014</v>
      </c>
      <c r="D658" s="141" t="s">
        <v>1015</v>
      </c>
      <c r="E658" s="141" t="s">
        <v>110</v>
      </c>
      <c r="F658" s="142">
        <v>1</v>
      </c>
      <c r="G658" s="142">
        <v>100000</v>
      </c>
      <c r="H658" s="95">
        <f t="shared" si="10"/>
        <v>0.1875</v>
      </c>
    </row>
    <row r="659" spans="1:8" customFormat="1" ht="15.75" customHeight="1">
      <c r="A659" s="94">
        <v>654</v>
      </c>
      <c r="B659" s="141" t="s">
        <v>1157</v>
      </c>
      <c r="C659" s="141" t="s">
        <v>665</v>
      </c>
      <c r="D659" s="141" t="s">
        <v>105</v>
      </c>
      <c r="E659" s="141" t="s">
        <v>148</v>
      </c>
      <c r="F659" s="142">
        <v>1</v>
      </c>
      <c r="G659" s="142">
        <v>400000</v>
      </c>
      <c r="H659" s="95">
        <f t="shared" si="10"/>
        <v>0.1875</v>
      </c>
    </row>
    <row r="660" spans="1:8" customFormat="1" ht="15.75" customHeight="1">
      <c r="A660" s="94">
        <v>655</v>
      </c>
      <c r="B660" s="141" t="s">
        <v>1031</v>
      </c>
      <c r="C660" s="141" t="s">
        <v>693</v>
      </c>
      <c r="D660" s="141" t="s">
        <v>147</v>
      </c>
      <c r="E660" s="141" t="s">
        <v>110</v>
      </c>
      <c r="F660" s="142">
        <v>1</v>
      </c>
      <c r="G660" s="142">
        <v>100000</v>
      </c>
      <c r="H660" s="95">
        <f t="shared" si="10"/>
        <v>0.1875</v>
      </c>
    </row>
    <row r="661" spans="1:8" customFormat="1" ht="15.75" customHeight="1">
      <c r="A661" s="94">
        <v>656</v>
      </c>
      <c r="B661" s="141" t="s">
        <v>1031</v>
      </c>
      <c r="C661" s="141" t="s">
        <v>896</v>
      </c>
      <c r="D661" s="141" t="s">
        <v>154</v>
      </c>
      <c r="E661" s="141" t="s">
        <v>110</v>
      </c>
      <c r="F661" s="142">
        <v>1</v>
      </c>
      <c r="G661" s="142">
        <v>100000</v>
      </c>
      <c r="H661" s="95">
        <f t="shared" si="10"/>
        <v>0.1875</v>
      </c>
    </row>
    <row r="662" spans="1:8" customFormat="1" ht="15.75" customHeight="1">
      <c r="A662" s="94">
        <v>657</v>
      </c>
      <c r="B662" s="141" t="s">
        <v>1031</v>
      </c>
      <c r="C662" s="141" t="s">
        <v>940</v>
      </c>
      <c r="D662" s="141" t="s">
        <v>97</v>
      </c>
      <c r="E662" s="141" t="s">
        <v>110</v>
      </c>
      <c r="F662" s="142">
        <v>1</v>
      </c>
      <c r="G662" s="142">
        <v>100000</v>
      </c>
      <c r="H662" s="95">
        <f t="shared" si="10"/>
        <v>0.1875</v>
      </c>
    </row>
    <row r="663" spans="1:8" customFormat="1" ht="15.75" customHeight="1">
      <c r="A663" s="94">
        <v>658</v>
      </c>
      <c r="B663" s="141" t="s">
        <v>1031</v>
      </c>
      <c r="C663" s="141" t="s">
        <v>222</v>
      </c>
      <c r="D663" s="141" t="s">
        <v>100</v>
      </c>
      <c r="E663" s="141" t="s">
        <v>110</v>
      </c>
      <c r="F663" s="142">
        <v>1</v>
      </c>
      <c r="G663" s="142">
        <v>100000</v>
      </c>
      <c r="H663" s="95">
        <f t="shared" si="10"/>
        <v>0.1875</v>
      </c>
    </row>
    <row r="664" spans="1:8" customFormat="1" ht="15.75" customHeight="1">
      <c r="A664" s="94">
        <v>659</v>
      </c>
      <c r="B664" s="141" t="s">
        <v>1031</v>
      </c>
      <c r="C664" s="141" t="s">
        <v>948</v>
      </c>
      <c r="D664" s="141" t="s">
        <v>949</v>
      </c>
      <c r="E664" s="141" t="s">
        <v>110</v>
      </c>
      <c r="F664" s="142">
        <v>1</v>
      </c>
      <c r="G664" s="142">
        <v>100000</v>
      </c>
      <c r="H664" s="95">
        <f t="shared" si="10"/>
        <v>0.1875</v>
      </c>
    </row>
    <row r="665" spans="1:8" customFormat="1" ht="15.75" customHeight="1">
      <c r="A665" s="94">
        <v>660</v>
      </c>
      <c r="B665" s="141" t="s">
        <v>1155</v>
      </c>
      <c r="C665" s="141" t="s">
        <v>155</v>
      </c>
      <c r="D665" s="141" t="s">
        <v>156</v>
      </c>
      <c r="E665" s="141" t="s">
        <v>110</v>
      </c>
      <c r="F665" s="142">
        <v>1</v>
      </c>
      <c r="G665" s="142">
        <v>100000</v>
      </c>
      <c r="H665" s="95">
        <f t="shared" si="10"/>
        <v>0.1875</v>
      </c>
    </row>
    <row r="666" spans="1:8" customFormat="1" ht="15.75" customHeight="1">
      <c r="A666" s="94">
        <v>661</v>
      </c>
      <c r="B666" s="141" t="s">
        <v>1186</v>
      </c>
      <c r="C666" s="141" t="s">
        <v>236</v>
      </c>
      <c r="D666" s="141" t="s">
        <v>730</v>
      </c>
      <c r="E666" s="141" t="s">
        <v>110</v>
      </c>
      <c r="F666" s="142">
        <v>1</v>
      </c>
      <c r="G666" s="142">
        <v>100000</v>
      </c>
      <c r="H666" s="95">
        <f t="shared" si="10"/>
        <v>0.1875</v>
      </c>
    </row>
    <row r="667" spans="1:8" customFormat="1" ht="15.75" customHeight="1">
      <c r="A667" s="94">
        <v>662</v>
      </c>
      <c r="B667" s="141" t="s">
        <v>1200</v>
      </c>
      <c r="C667" s="141" t="s">
        <v>769</v>
      </c>
      <c r="D667" s="141" t="s">
        <v>770</v>
      </c>
      <c r="E667" s="141" t="s">
        <v>110</v>
      </c>
      <c r="F667" s="142">
        <v>1</v>
      </c>
      <c r="G667" s="142">
        <v>100000</v>
      </c>
      <c r="H667" s="95">
        <f t="shared" si="10"/>
        <v>0.1875</v>
      </c>
    </row>
    <row r="668" spans="1:8" customFormat="1" ht="15.75" customHeight="1">
      <c r="A668" s="94">
        <v>663</v>
      </c>
      <c r="B668" s="141" t="s">
        <v>1092</v>
      </c>
      <c r="C668" s="141" t="s">
        <v>486</v>
      </c>
      <c r="D668" s="141" t="s">
        <v>487</v>
      </c>
      <c r="E668" s="141" t="s">
        <v>110</v>
      </c>
      <c r="F668" s="142">
        <v>1</v>
      </c>
      <c r="G668" s="142">
        <v>100000</v>
      </c>
      <c r="H668" s="95">
        <f t="shared" si="10"/>
        <v>0.1875</v>
      </c>
    </row>
    <row r="669" spans="1:8" customFormat="1" ht="15.75" customHeight="1">
      <c r="A669" s="94">
        <v>664</v>
      </c>
      <c r="B669" s="141" t="s">
        <v>1092</v>
      </c>
      <c r="C669" s="141" t="s">
        <v>499</v>
      </c>
      <c r="D669" s="141" t="s">
        <v>104</v>
      </c>
      <c r="E669" s="141" t="s">
        <v>110</v>
      </c>
      <c r="F669" s="142">
        <v>1</v>
      </c>
      <c r="G669" s="142">
        <v>100000</v>
      </c>
      <c r="H669" s="95">
        <f t="shared" si="10"/>
        <v>0.1875</v>
      </c>
    </row>
    <row r="670" spans="1:8" customFormat="1" ht="15.75" customHeight="1">
      <c r="A670" s="94">
        <v>665</v>
      </c>
      <c r="B670" s="141" t="s">
        <v>1092</v>
      </c>
      <c r="C670" s="141" t="s">
        <v>197</v>
      </c>
      <c r="D670" s="141" t="s">
        <v>153</v>
      </c>
      <c r="E670" s="141" t="s">
        <v>110</v>
      </c>
      <c r="F670" s="142">
        <v>1</v>
      </c>
      <c r="G670" s="142">
        <v>100000</v>
      </c>
      <c r="H670" s="95">
        <f t="shared" si="10"/>
        <v>0.1875</v>
      </c>
    </row>
    <row r="671" spans="1:8" customFormat="1" ht="15.75" customHeight="1">
      <c r="A671" s="94">
        <v>666</v>
      </c>
      <c r="B671" s="141" t="s">
        <v>1092</v>
      </c>
      <c r="C671" s="141" t="s">
        <v>712</v>
      </c>
      <c r="D671" s="141" t="s">
        <v>101</v>
      </c>
      <c r="E671" s="141" t="s">
        <v>110</v>
      </c>
      <c r="F671" s="142">
        <v>1</v>
      </c>
      <c r="G671" s="142">
        <v>100000</v>
      </c>
      <c r="H671" s="95">
        <f t="shared" si="10"/>
        <v>0.1875</v>
      </c>
    </row>
    <row r="672" spans="1:8" customFormat="1" ht="15.75" customHeight="1">
      <c r="A672" s="94">
        <v>667</v>
      </c>
      <c r="B672" s="141" t="s">
        <v>1143</v>
      </c>
      <c r="C672" s="141" t="s">
        <v>625</v>
      </c>
      <c r="D672" s="141" t="s">
        <v>626</v>
      </c>
      <c r="E672" s="141" t="s">
        <v>110</v>
      </c>
      <c r="F672" s="142">
        <v>1</v>
      </c>
      <c r="G672" s="142">
        <v>100000</v>
      </c>
      <c r="H672" s="95">
        <f t="shared" si="10"/>
        <v>0.1875</v>
      </c>
    </row>
    <row r="673" spans="1:8" customFormat="1" ht="15.75" customHeight="1">
      <c r="A673" s="94">
        <v>668</v>
      </c>
      <c r="B673" s="141" t="s">
        <v>1143</v>
      </c>
      <c r="C673" s="141" t="s">
        <v>847</v>
      </c>
      <c r="D673" s="141" t="s">
        <v>848</v>
      </c>
      <c r="E673" s="141" t="s">
        <v>110</v>
      </c>
      <c r="F673" s="142">
        <v>1</v>
      </c>
      <c r="G673" s="142">
        <v>100000</v>
      </c>
      <c r="H673" s="95">
        <f t="shared" si="10"/>
        <v>0.1875</v>
      </c>
    </row>
    <row r="674" spans="1:8" customFormat="1" ht="15.75" customHeight="1">
      <c r="A674" s="94">
        <v>669</v>
      </c>
      <c r="B674" s="141" t="s">
        <v>1183</v>
      </c>
      <c r="C674" s="141" t="s">
        <v>709</v>
      </c>
      <c r="D674" s="141" t="s">
        <v>710</v>
      </c>
      <c r="E674" s="141" t="s">
        <v>110</v>
      </c>
      <c r="F674" s="142">
        <v>1</v>
      </c>
      <c r="G674" s="142">
        <v>100000</v>
      </c>
      <c r="H674" s="95">
        <f t="shared" si="10"/>
        <v>0.1875</v>
      </c>
    </row>
    <row r="675" spans="1:8" customFormat="1" ht="15.75" customHeight="1">
      <c r="A675" s="94">
        <v>670</v>
      </c>
      <c r="B675" s="141" t="s">
        <v>1234</v>
      </c>
      <c r="C675" s="141" t="s">
        <v>917</v>
      </c>
      <c r="D675" s="141" t="s">
        <v>918</v>
      </c>
      <c r="E675" s="141" t="s">
        <v>110</v>
      </c>
      <c r="F675" s="142">
        <v>1</v>
      </c>
      <c r="G675" s="142">
        <v>100000</v>
      </c>
      <c r="H675" s="95">
        <f t="shared" si="10"/>
        <v>0.1875</v>
      </c>
    </row>
    <row r="676" spans="1:8" customFormat="1" ht="15.75" customHeight="1">
      <c r="A676" s="94">
        <v>671</v>
      </c>
      <c r="B676" s="141" t="s">
        <v>1096</v>
      </c>
      <c r="C676" s="141" t="s">
        <v>914</v>
      </c>
      <c r="D676" s="141" t="s">
        <v>915</v>
      </c>
      <c r="E676" s="141" t="s">
        <v>110</v>
      </c>
      <c r="F676" s="142">
        <v>1</v>
      </c>
      <c r="G676" s="142">
        <v>100000</v>
      </c>
      <c r="H676" s="95">
        <f t="shared" si="10"/>
        <v>0.1875</v>
      </c>
    </row>
    <row r="677" spans="1:8" customFormat="1" ht="15.75" customHeight="1">
      <c r="A677" s="94">
        <v>672</v>
      </c>
      <c r="B677" s="141" t="s">
        <v>1047</v>
      </c>
      <c r="C677" s="141" t="s">
        <v>486</v>
      </c>
      <c r="D677" s="141" t="s">
        <v>487</v>
      </c>
      <c r="E677" s="141" t="s">
        <v>110</v>
      </c>
      <c r="F677" s="142">
        <v>1</v>
      </c>
      <c r="G677" s="142">
        <v>100000</v>
      </c>
      <c r="H677" s="95">
        <f t="shared" si="10"/>
        <v>0.1875</v>
      </c>
    </row>
    <row r="678" spans="1:8" customFormat="1" ht="15.75" customHeight="1">
      <c r="A678" s="94">
        <v>673</v>
      </c>
      <c r="B678" s="141" t="s">
        <v>1047</v>
      </c>
      <c r="C678" s="141" t="s">
        <v>693</v>
      </c>
      <c r="D678" s="141" t="s">
        <v>147</v>
      </c>
      <c r="E678" s="141" t="s">
        <v>110</v>
      </c>
      <c r="F678" s="142">
        <v>1</v>
      </c>
      <c r="G678" s="142">
        <v>100000</v>
      </c>
      <c r="H678" s="95">
        <f t="shared" si="10"/>
        <v>0.1875</v>
      </c>
    </row>
    <row r="679" spans="1:8" customFormat="1" ht="15.75" customHeight="1">
      <c r="A679" s="94">
        <v>674</v>
      </c>
      <c r="B679" s="141" t="s">
        <v>1047</v>
      </c>
      <c r="C679" s="141" t="s">
        <v>896</v>
      </c>
      <c r="D679" s="141" t="s">
        <v>154</v>
      </c>
      <c r="E679" s="141" t="s">
        <v>110</v>
      </c>
      <c r="F679" s="142">
        <v>1</v>
      </c>
      <c r="G679" s="142">
        <v>100000</v>
      </c>
      <c r="H679" s="95">
        <f t="shared" si="10"/>
        <v>0.1875</v>
      </c>
    </row>
    <row r="680" spans="1:8" customFormat="1" ht="15.75" customHeight="1">
      <c r="A680" s="94">
        <v>675</v>
      </c>
      <c r="B680" s="141" t="s">
        <v>1047</v>
      </c>
      <c r="C680" s="141" t="s">
        <v>914</v>
      </c>
      <c r="D680" s="141" t="s">
        <v>915</v>
      </c>
      <c r="E680" s="141" t="s">
        <v>110</v>
      </c>
      <c r="F680" s="142">
        <v>1</v>
      </c>
      <c r="G680" s="142">
        <v>100000</v>
      </c>
      <c r="H680" s="95">
        <f t="shared" si="10"/>
        <v>0.1875</v>
      </c>
    </row>
    <row r="681" spans="1:8" customFormat="1" ht="15.75" customHeight="1">
      <c r="A681" s="94">
        <v>676</v>
      </c>
      <c r="B681" s="141" t="s">
        <v>1047</v>
      </c>
      <c r="C681" s="141" t="s">
        <v>917</v>
      </c>
      <c r="D681" s="141" t="s">
        <v>918</v>
      </c>
      <c r="E681" s="141" t="s">
        <v>110</v>
      </c>
      <c r="F681" s="142">
        <v>1</v>
      </c>
      <c r="G681" s="142">
        <v>100000</v>
      </c>
      <c r="H681" s="95">
        <f t="shared" si="10"/>
        <v>0.1875</v>
      </c>
    </row>
    <row r="682" spans="1:8" customFormat="1" ht="15.75" customHeight="1">
      <c r="A682" s="94">
        <v>677</v>
      </c>
      <c r="B682" s="141" t="s">
        <v>1047</v>
      </c>
      <c r="C682" s="141" t="s">
        <v>940</v>
      </c>
      <c r="D682" s="141" t="s">
        <v>97</v>
      </c>
      <c r="E682" s="141" t="s">
        <v>110</v>
      </c>
      <c r="F682" s="142">
        <v>1</v>
      </c>
      <c r="G682" s="142">
        <v>100000</v>
      </c>
      <c r="H682" s="95">
        <f t="shared" si="10"/>
        <v>0.1875</v>
      </c>
    </row>
    <row r="683" spans="1:8" customFormat="1" ht="15.75" customHeight="1">
      <c r="A683" s="94">
        <v>678</v>
      </c>
      <c r="B683" s="141" t="s">
        <v>1047</v>
      </c>
      <c r="C683" s="141" t="s">
        <v>222</v>
      </c>
      <c r="D683" s="141" t="s">
        <v>100</v>
      </c>
      <c r="E683" s="141" t="s">
        <v>110</v>
      </c>
      <c r="F683" s="142">
        <v>1</v>
      </c>
      <c r="G683" s="142">
        <v>100000</v>
      </c>
      <c r="H683" s="95">
        <f t="shared" si="10"/>
        <v>0.1875</v>
      </c>
    </row>
    <row r="684" spans="1:8" customFormat="1" ht="15.75" customHeight="1">
      <c r="A684" s="94">
        <v>679</v>
      </c>
      <c r="B684" s="141" t="s">
        <v>1047</v>
      </c>
      <c r="C684" s="141" t="s">
        <v>948</v>
      </c>
      <c r="D684" s="141" t="s">
        <v>949</v>
      </c>
      <c r="E684" s="141" t="s">
        <v>110</v>
      </c>
      <c r="F684" s="142">
        <v>1</v>
      </c>
      <c r="G684" s="142">
        <v>100000</v>
      </c>
      <c r="H684" s="95">
        <f t="shared" si="10"/>
        <v>0.1875</v>
      </c>
    </row>
    <row r="685" spans="1:8" customFormat="1" ht="15.75" customHeight="1">
      <c r="A685" s="94">
        <v>680</v>
      </c>
      <c r="B685" s="141" t="s">
        <v>1197</v>
      </c>
      <c r="C685" s="141" t="s">
        <v>769</v>
      </c>
      <c r="D685" s="141" t="s">
        <v>770</v>
      </c>
      <c r="E685" s="141" t="s">
        <v>110</v>
      </c>
      <c r="F685" s="142">
        <v>1</v>
      </c>
      <c r="G685" s="142">
        <v>100000</v>
      </c>
      <c r="H685" s="95">
        <f t="shared" si="10"/>
        <v>0.1875</v>
      </c>
    </row>
    <row r="686" spans="1:8" customFormat="1" ht="15.75" customHeight="1">
      <c r="A686" s="94">
        <v>681</v>
      </c>
      <c r="B686" s="141" t="s">
        <v>1095</v>
      </c>
      <c r="C686" s="141" t="s">
        <v>499</v>
      </c>
      <c r="D686" s="141" t="s">
        <v>104</v>
      </c>
      <c r="E686" s="141" t="s">
        <v>110</v>
      </c>
      <c r="F686" s="142">
        <v>1</v>
      </c>
      <c r="G686" s="142">
        <v>100000</v>
      </c>
      <c r="H686" s="95">
        <f t="shared" si="10"/>
        <v>0.1875</v>
      </c>
    </row>
    <row r="687" spans="1:8" customFormat="1" ht="15.75" customHeight="1">
      <c r="A687" s="94">
        <v>682</v>
      </c>
      <c r="B687" s="141" t="s">
        <v>1095</v>
      </c>
      <c r="C687" s="141" t="s">
        <v>709</v>
      </c>
      <c r="D687" s="141" t="s">
        <v>710</v>
      </c>
      <c r="E687" s="141" t="s">
        <v>110</v>
      </c>
      <c r="F687" s="142">
        <v>1</v>
      </c>
      <c r="G687" s="142">
        <v>100000</v>
      </c>
      <c r="H687" s="95">
        <f t="shared" si="10"/>
        <v>0.1875</v>
      </c>
    </row>
    <row r="688" spans="1:8" customFormat="1" ht="15.75" customHeight="1">
      <c r="A688" s="94">
        <v>683</v>
      </c>
      <c r="B688" s="141" t="s">
        <v>1095</v>
      </c>
      <c r="C688" s="141" t="s">
        <v>712</v>
      </c>
      <c r="D688" s="141" t="s">
        <v>101</v>
      </c>
      <c r="E688" s="141" t="s">
        <v>110</v>
      </c>
      <c r="F688" s="142">
        <v>1</v>
      </c>
      <c r="G688" s="142">
        <v>100000</v>
      </c>
      <c r="H688" s="95">
        <f t="shared" si="10"/>
        <v>0.1875</v>
      </c>
    </row>
    <row r="689" spans="1:8" customFormat="1" ht="15.75" customHeight="1">
      <c r="A689" s="94">
        <v>684</v>
      </c>
      <c r="B689" s="141" t="s">
        <v>1095</v>
      </c>
      <c r="C689" s="141" t="s">
        <v>752</v>
      </c>
      <c r="D689" s="141" t="s">
        <v>117</v>
      </c>
      <c r="E689" s="141" t="s">
        <v>110</v>
      </c>
      <c r="F689" s="142">
        <v>1</v>
      </c>
      <c r="G689" s="142">
        <v>100000</v>
      </c>
      <c r="H689" s="95">
        <f t="shared" si="10"/>
        <v>0.1875</v>
      </c>
    </row>
    <row r="690" spans="1:8" customFormat="1" ht="15.75" customHeight="1">
      <c r="A690" s="94">
        <v>685</v>
      </c>
      <c r="B690" s="141" t="s">
        <v>1095</v>
      </c>
      <c r="C690" s="141" t="s">
        <v>803</v>
      </c>
      <c r="D690" s="141" t="s">
        <v>804</v>
      </c>
      <c r="E690" s="141" t="s">
        <v>110</v>
      </c>
      <c r="F690" s="142">
        <v>1</v>
      </c>
      <c r="G690" s="142">
        <v>100000</v>
      </c>
      <c r="H690" s="95">
        <f t="shared" si="10"/>
        <v>0.1875</v>
      </c>
    </row>
    <row r="691" spans="1:8" customFormat="1" ht="15.75" customHeight="1">
      <c r="A691" s="94">
        <v>686</v>
      </c>
      <c r="B691" s="141" t="s">
        <v>1095</v>
      </c>
      <c r="C691" s="141" t="s">
        <v>910</v>
      </c>
      <c r="D691" s="141" t="s">
        <v>911</v>
      </c>
      <c r="E691" s="141" t="s">
        <v>110</v>
      </c>
      <c r="F691" s="142">
        <v>1</v>
      </c>
      <c r="G691" s="142">
        <v>100000</v>
      </c>
      <c r="H691" s="95">
        <f t="shared" si="10"/>
        <v>0.1875</v>
      </c>
    </row>
    <row r="692" spans="1:8" customFormat="1" ht="15.75" customHeight="1">
      <c r="A692" s="94">
        <v>687</v>
      </c>
      <c r="B692" s="141" t="s">
        <v>1145</v>
      </c>
      <c r="C692" s="141" t="s">
        <v>625</v>
      </c>
      <c r="D692" s="141" t="s">
        <v>626</v>
      </c>
      <c r="E692" s="141" t="s">
        <v>110</v>
      </c>
      <c r="F692" s="142">
        <v>1</v>
      </c>
      <c r="G692" s="142">
        <v>100000</v>
      </c>
      <c r="H692" s="95">
        <f t="shared" si="10"/>
        <v>0.1875</v>
      </c>
    </row>
    <row r="693" spans="1:8" customFormat="1" ht="15.75" customHeight="1">
      <c r="A693" s="94">
        <v>688</v>
      </c>
      <c r="B693" s="141" t="s">
        <v>1145</v>
      </c>
      <c r="C693" s="141" t="s">
        <v>847</v>
      </c>
      <c r="D693" s="141" t="s">
        <v>848</v>
      </c>
      <c r="E693" s="141" t="s">
        <v>110</v>
      </c>
      <c r="F693" s="142">
        <v>1</v>
      </c>
      <c r="G693" s="142">
        <v>100000</v>
      </c>
      <c r="H693" s="95">
        <f t="shared" si="10"/>
        <v>0.1875</v>
      </c>
    </row>
    <row r="694" spans="1:8" customFormat="1" ht="15.75" customHeight="1">
      <c r="A694" s="94">
        <v>689</v>
      </c>
      <c r="B694" s="141" t="s">
        <v>758</v>
      </c>
      <c r="C694" s="141" t="s">
        <v>693</v>
      </c>
      <c r="D694" s="141" t="s">
        <v>147</v>
      </c>
      <c r="E694" s="141" t="s">
        <v>110</v>
      </c>
      <c r="F694" s="142">
        <v>1</v>
      </c>
      <c r="G694" s="142">
        <v>100000</v>
      </c>
      <c r="H694" s="95">
        <f t="shared" si="10"/>
        <v>0.1875</v>
      </c>
    </row>
    <row r="695" spans="1:8" customFormat="1" ht="15.75" customHeight="1">
      <c r="A695" s="94">
        <v>690</v>
      </c>
      <c r="B695" s="141" t="s">
        <v>758</v>
      </c>
      <c r="C695" s="141" t="s">
        <v>769</v>
      </c>
      <c r="D695" s="141" t="s">
        <v>770</v>
      </c>
      <c r="E695" s="141" t="s">
        <v>40</v>
      </c>
      <c r="F695" s="142">
        <v>1</v>
      </c>
      <c r="G695" s="142">
        <v>101800</v>
      </c>
      <c r="H695" s="95">
        <f t="shared" si="10"/>
        <v>0.1875</v>
      </c>
    </row>
    <row r="696" spans="1:8" customFormat="1" ht="15.75" customHeight="1">
      <c r="A696" s="94">
        <v>691</v>
      </c>
      <c r="B696" s="141" t="s">
        <v>758</v>
      </c>
      <c r="C696" s="141" t="s">
        <v>843</v>
      </c>
      <c r="D696" s="141" t="s">
        <v>844</v>
      </c>
      <c r="E696" s="141" t="s">
        <v>110</v>
      </c>
      <c r="F696" s="142">
        <v>1</v>
      </c>
      <c r="G696" s="142">
        <v>100000</v>
      </c>
      <c r="H696" s="95">
        <f t="shared" ref="H696:H759" si="11">25%*75%</f>
        <v>0.1875</v>
      </c>
    </row>
    <row r="697" spans="1:8" customFormat="1" ht="15.75" customHeight="1">
      <c r="A697" s="94">
        <v>692</v>
      </c>
      <c r="B697" s="141" t="s">
        <v>758</v>
      </c>
      <c r="C697" s="141" t="s">
        <v>896</v>
      </c>
      <c r="D697" s="141" t="s">
        <v>154</v>
      </c>
      <c r="E697" s="141" t="s">
        <v>110</v>
      </c>
      <c r="F697" s="142">
        <v>1</v>
      </c>
      <c r="G697" s="142">
        <v>100000</v>
      </c>
      <c r="H697" s="95">
        <f t="shared" si="11"/>
        <v>0.1875</v>
      </c>
    </row>
    <row r="698" spans="1:8" customFormat="1" ht="15.75" customHeight="1">
      <c r="A698" s="94">
        <v>693</v>
      </c>
      <c r="B698" s="141" t="s">
        <v>758</v>
      </c>
      <c r="C698" s="141" t="s">
        <v>914</v>
      </c>
      <c r="D698" s="141" t="s">
        <v>915</v>
      </c>
      <c r="E698" s="141" t="s">
        <v>110</v>
      </c>
      <c r="F698" s="142">
        <v>1</v>
      </c>
      <c r="G698" s="142">
        <v>100000</v>
      </c>
      <c r="H698" s="95">
        <f t="shared" si="11"/>
        <v>0.1875</v>
      </c>
    </row>
    <row r="699" spans="1:8" customFormat="1" ht="15.75" customHeight="1">
      <c r="A699" s="94">
        <v>694</v>
      </c>
      <c r="B699" s="141" t="s">
        <v>758</v>
      </c>
      <c r="C699" s="141" t="s">
        <v>917</v>
      </c>
      <c r="D699" s="141" t="s">
        <v>918</v>
      </c>
      <c r="E699" s="141" t="s">
        <v>110</v>
      </c>
      <c r="F699" s="142">
        <v>1</v>
      </c>
      <c r="G699" s="142">
        <v>100000</v>
      </c>
      <c r="H699" s="95">
        <f t="shared" si="11"/>
        <v>0.1875</v>
      </c>
    </row>
    <row r="700" spans="1:8" customFormat="1" ht="15.75" customHeight="1">
      <c r="A700" s="94">
        <v>695</v>
      </c>
      <c r="B700" s="141" t="s">
        <v>758</v>
      </c>
      <c r="C700" s="141" t="s">
        <v>940</v>
      </c>
      <c r="D700" s="141" t="s">
        <v>97</v>
      </c>
      <c r="E700" s="141" t="s">
        <v>110</v>
      </c>
      <c r="F700" s="142">
        <v>1</v>
      </c>
      <c r="G700" s="142">
        <v>100000</v>
      </c>
      <c r="H700" s="95">
        <f t="shared" si="11"/>
        <v>0.1875</v>
      </c>
    </row>
    <row r="701" spans="1:8" customFormat="1" ht="15.75" customHeight="1">
      <c r="A701" s="94">
        <v>696</v>
      </c>
      <c r="B701" s="141" t="s">
        <v>758</v>
      </c>
      <c r="C701" s="141" t="s">
        <v>222</v>
      </c>
      <c r="D701" s="141" t="s">
        <v>100</v>
      </c>
      <c r="E701" s="141" t="s">
        <v>110</v>
      </c>
      <c r="F701" s="142">
        <v>1</v>
      </c>
      <c r="G701" s="142">
        <v>100000</v>
      </c>
      <c r="H701" s="95">
        <f t="shared" si="11"/>
        <v>0.1875</v>
      </c>
    </row>
    <row r="702" spans="1:8" customFormat="1" ht="15.75" customHeight="1">
      <c r="A702" s="94">
        <v>697</v>
      </c>
      <c r="B702" s="141" t="s">
        <v>758</v>
      </c>
      <c r="C702" s="141" t="s">
        <v>948</v>
      </c>
      <c r="D702" s="141" t="s">
        <v>949</v>
      </c>
      <c r="E702" s="141" t="s">
        <v>110</v>
      </c>
      <c r="F702" s="142">
        <v>1</v>
      </c>
      <c r="G702" s="142">
        <v>100000</v>
      </c>
      <c r="H702" s="95">
        <f t="shared" si="11"/>
        <v>0.1875</v>
      </c>
    </row>
    <row r="703" spans="1:8" customFormat="1" ht="15.75" customHeight="1">
      <c r="A703" s="94">
        <v>698</v>
      </c>
      <c r="B703" s="141" t="s">
        <v>1219</v>
      </c>
      <c r="C703" s="141" t="s">
        <v>854</v>
      </c>
      <c r="D703" s="141" t="s">
        <v>855</v>
      </c>
      <c r="E703" s="141" t="s">
        <v>110</v>
      </c>
      <c r="F703" s="142">
        <v>1</v>
      </c>
      <c r="G703" s="142">
        <v>100000</v>
      </c>
      <c r="H703" s="95">
        <f t="shared" si="11"/>
        <v>0.1875</v>
      </c>
    </row>
    <row r="704" spans="1:8" customFormat="1" ht="15.75" customHeight="1">
      <c r="A704" s="94">
        <v>699</v>
      </c>
      <c r="B704" s="141" t="s">
        <v>1094</v>
      </c>
      <c r="C704" s="141" t="s">
        <v>499</v>
      </c>
      <c r="D704" s="141" t="s">
        <v>104</v>
      </c>
      <c r="E704" s="141" t="s">
        <v>110</v>
      </c>
      <c r="F704" s="142">
        <v>1</v>
      </c>
      <c r="G704" s="142">
        <v>100000</v>
      </c>
      <c r="H704" s="95">
        <f t="shared" si="11"/>
        <v>0.1875</v>
      </c>
    </row>
    <row r="705" spans="1:8" customFormat="1" ht="15.75" customHeight="1">
      <c r="A705" s="94">
        <v>700</v>
      </c>
      <c r="B705" s="141" t="s">
        <v>1094</v>
      </c>
      <c r="C705" s="141" t="s">
        <v>155</v>
      </c>
      <c r="D705" s="141" t="s">
        <v>156</v>
      </c>
      <c r="E705" s="141" t="s">
        <v>110</v>
      </c>
      <c r="F705" s="142">
        <v>1</v>
      </c>
      <c r="G705" s="142">
        <v>100000</v>
      </c>
      <c r="H705" s="95">
        <f t="shared" si="11"/>
        <v>0.1875</v>
      </c>
    </row>
    <row r="706" spans="1:8" customFormat="1" ht="15.75" customHeight="1">
      <c r="A706" s="94">
        <v>701</v>
      </c>
      <c r="B706" s="141" t="s">
        <v>1094</v>
      </c>
      <c r="C706" s="141" t="s">
        <v>709</v>
      </c>
      <c r="D706" s="141" t="s">
        <v>710</v>
      </c>
      <c r="E706" s="141" t="s">
        <v>110</v>
      </c>
      <c r="F706" s="142">
        <v>1</v>
      </c>
      <c r="G706" s="142">
        <v>100000</v>
      </c>
      <c r="H706" s="95">
        <f t="shared" si="11"/>
        <v>0.1875</v>
      </c>
    </row>
    <row r="707" spans="1:8" customFormat="1" ht="15.75" customHeight="1">
      <c r="A707" s="94">
        <v>702</v>
      </c>
      <c r="B707" s="141" t="s">
        <v>1094</v>
      </c>
      <c r="C707" s="141" t="s">
        <v>712</v>
      </c>
      <c r="D707" s="141" t="s">
        <v>101</v>
      </c>
      <c r="E707" s="141" t="s">
        <v>110</v>
      </c>
      <c r="F707" s="142">
        <v>1</v>
      </c>
      <c r="G707" s="142">
        <v>100000</v>
      </c>
      <c r="H707" s="95">
        <f t="shared" si="11"/>
        <v>0.1875</v>
      </c>
    </row>
    <row r="708" spans="1:8" customFormat="1" ht="15.75" customHeight="1">
      <c r="A708" s="94">
        <v>703</v>
      </c>
      <c r="B708" s="141" t="s">
        <v>1094</v>
      </c>
      <c r="C708" s="141" t="s">
        <v>752</v>
      </c>
      <c r="D708" s="141" t="s">
        <v>117</v>
      </c>
      <c r="E708" s="141" t="s">
        <v>110</v>
      </c>
      <c r="F708" s="142">
        <v>1</v>
      </c>
      <c r="G708" s="142">
        <v>100000</v>
      </c>
      <c r="H708" s="95">
        <f t="shared" si="11"/>
        <v>0.1875</v>
      </c>
    </row>
    <row r="709" spans="1:8" customFormat="1" ht="15.75" customHeight="1">
      <c r="A709" s="94">
        <v>704</v>
      </c>
      <c r="B709" s="141" t="s">
        <v>1094</v>
      </c>
      <c r="C709" s="141" t="s">
        <v>803</v>
      </c>
      <c r="D709" s="141" t="s">
        <v>804</v>
      </c>
      <c r="E709" s="141" t="s">
        <v>110</v>
      </c>
      <c r="F709" s="142">
        <v>1</v>
      </c>
      <c r="G709" s="142">
        <v>100000</v>
      </c>
      <c r="H709" s="95">
        <f t="shared" si="11"/>
        <v>0.1875</v>
      </c>
    </row>
    <row r="710" spans="1:8" customFormat="1" ht="15.75" customHeight="1">
      <c r="A710" s="94">
        <v>705</v>
      </c>
      <c r="B710" s="141" t="s">
        <v>1094</v>
      </c>
      <c r="C710" s="141" t="s">
        <v>910</v>
      </c>
      <c r="D710" s="141" t="s">
        <v>911</v>
      </c>
      <c r="E710" s="141" t="s">
        <v>110</v>
      </c>
      <c r="F710" s="142">
        <v>1</v>
      </c>
      <c r="G710" s="142">
        <v>100000</v>
      </c>
      <c r="H710" s="95">
        <f t="shared" si="11"/>
        <v>0.1875</v>
      </c>
    </row>
    <row r="711" spans="1:8" customFormat="1" ht="15.75" customHeight="1">
      <c r="A711" s="94">
        <v>706</v>
      </c>
      <c r="B711" s="141" t="s">
        <v>1182</v>
      </c>
      <c r="C711" s="141" t="s">
        <v>847</v>
      </c>
      <c r="D711" s="141" t="s">
        <v>848</v>
      </c>
      <c r="E711" s="141" t="s">
        <v>110</v>
      </c>
      <c r="F711" s="142">
        <v>1</v>
      </c>
      <c r="G711" s="142">
        <v>100000</v>
      </c>
      <c r="H711" s="95">
        <f t="shared" si="11"/>
        <v>0.1875</v>
      </c>
    </row>
    <row r="712" spans="1:8" customFormat="1" ht="15.75" customHeight="1">
      <c r="A712" s="94">
        <v>707</v>
      </c>
      <c r="B712" s="141" t="s">
        <v>1113</v>
      </c>
      <c r="C712" s="141" t="s">
        <v>548</v>
      </c>
      <c r="D712" s="141" t="s">
        <v>549</v>
      </c>
      <c r="E712" s="141" t="s">
        <v>110</v>
      </c>
      <c r="F712" s="142">
        <v>1</v>
      </c>
      <c r="G712" s="142">
        <v>100000</v>
      </c>
      <c r="H712" s="95">
        <f t="shared" si="11"/>
        <v>0.1875</v>
      </c>
    </row>
    <row r="713" spans="1:8" customFormat="1" ht="15.75" customHeight="1">
      <c r="A713" s="94">
        <v>708</v>
      </c>
      <c r="B713" s="141" t="s">
        <v>1212</v>
      </c>
      <c r="C713" s="141" t="s">
        <v>821</v>
      </c>
      <c r="D713" s="141" t="s">
        <v>167</v>
      </c>
      <c r="E713" s="141" t="s">
        <v>110</v>
      </c>
      <c r="F713" s="142">
        <v>1</v>
      </c>
      <c r="G713" s="142">
        <v>100000</v>
      </c>
      <c r="H713" s="95">
        <f t="shared" si="11"/>
        <v>0.1875</v>
      </c>
    </row>
    <row r="714" spans="1:8" customFormat="1" ht="15.75" customHeight="1">
      <c r="A714" s="94">
        <v>709</v>
      </c>
      <c r="B714" s="141" t="s">
        <v>756</v>
      </c>
      <c r="C714" s="141" t="s">
        <v>548</v>
      </c>
      <c r="D714" s="141" t="s">
        <v>549</v>
      </c>
      <c r="E714" s="141" t="s">
        <v>110</v>
      </c>
      <c r="F714" s="142">
        <v>1</v>
      </c>
      <c r="G714" s="142">
        <v>100000</v>
      </c>
      <c r="H714" s="95">
        <f t="shared" si="11"/>
        <v>0.1875</v>
      </c>
    </row>
    <row r="715" spans="1:8" customFormat="1" ht="15.75" customHeight="1">
      <c r="A715" s="94">
        <v>710</v>
      </c>
      <c r="B715" s="141" t="s">
        <v>756</v>
      </c>
      <c r="C715" s="141" t="s">
        <v>781</v>
      </c>
      <c r="D715" s="141" t="s">
        <v>782</v>
      </c>
      <c r="E715" s="141" t="s">
        <v>110</v>
      </c>
      <c r="F715" s="142">
        <v>1</v>
      </c>
      <c r="G715" s="142">
        <v>100000</v>
      </c>
      <c r="H715" s="95">
        <f t="shared" si="11"/>
        <v>0.1875</v>
      </c>
    </row>
    <row r="716" spans="1:8" customFormat="1" ht="15.75" customHeight="1">
      <c r="A716" s="94">
        <v>711</v>
      </c>
      <c r="B716" s="141" t="s">
        <v>756</v>
      </c>
      <c r="C716" s="141" t="s">
        <v>896</v>
      </c>
      <c r="D716" s="141" t="s">
        <v>154</v>
      </c>
      <c r="E716" s="141" t="s">
        <v>110</v>
      </c>
      <c r="F716" s="142">
        <v>1</v>
      </c>
      <c r="G716" s="142">
        <v>100000</v>
      </c>
      <c r="H716" s="95">
        <f t="shared" si="11"/>
        <v>0.1875</v>
      </c>
    </row>
    <row r="717" spans="1:8" customFormat="1" ht="15.75" customHeight="1">
      <c r="A717" s="94">
        <v>712</v>
      </c>
      <c r="B717" s="141" t="s">
        <v>756</v>
      </c>
      <c r="C717" s="141" t="s">
        <v>917</v>
      </c>
      <c r="D717" s="141" t="s">
        <v>918</v>
      </c>
      <c r="E717" s="141" t="s">
        <v>110</v>
      </c>
      <c r="F717" s="142">
        <v>1</v>
      </c>
      <c r="G717" s="142">
        <v>100000</v>
      </c>
      <c r="H717" s="95">
        <f t="shared" si="11"/>
        <v>0.1875</v>
      </c>
    </row>
    <row r="718" spans="1:8" customFormat="1" ht="15.75" customHeight="1">
      <c r="A718" s="94">
        <v>713</v>
      </c>
      <c r="B718" s="141" t="s">
        <v>756</v>
      </c>
      <c r="C718" s="141" t="s">
        <v>940</v>
      </c>
      <c r="D718" s="141" t="s">
        <v>97</v>
      </c>
      <c r="E718" s="141" t="s">
        <v>110</v>
      </c>
      <c r="F718" s="142">
        <v>1</v>
      </c>
      <c r="G718" s="142">
        <v>100000</v>
      </c>
      <c r="H718" s="95">
        <f t="shared" si="11"/>
        <v>0.1875</v>
      </c>
    </row>
    <row r="719" spans="1:8" customFormat="1" ht="15.75" customHeight="1">
      <c r="A719" s="94">
        <v>714</v>
      </c>
      <c r="B719" s="141" t="s">
        <v>756</v>
      </c>
      <c r="C719" s="141" t="s">
        <v>222</v>
      </c>
      <c r="D719" s="141" t="s">
        <v>100</v>
      </c>
      <c r="E719" s="141" t="s">
        <v>110</v>
      </c>
      <c r="F719" s="142">
        <v>1</v>
      </c>
      <c r="G719" s="142">
        <v>100000</v>
      </c>
      <c r="H719" s="95">
        <f t="shared" si="11"/>
        <v>0.1875</v>
      </c>
    </row>
    <row r="720" spans="1:8" customFormat="1" ht="15.75" customHeight="1">
      <c r="A720" s="94">
        <v>715</v>
      </c>
      <c r="B720" s="141" t="s">
        <v>1153</v>
      </c>
      <c r="C720" s="141" t="s">
        <v>155</v>
      </c>
      <c r="D720" s="141" t="s">
        <v>156</v>
      </c>
      <c r="E720" s="141" t="s">
        <v>110</v>
      </c>
      <c r="F720" s="142">
        <v>1</v>
      </c>
      <c r="G720" s="142">
        <v>100000</v>
      </c>
      <c r="H720" s="95">
        <f t="shared" si="11"/>
        <v>0.1875</v>
      </c>
    </row>
    <row r="721" spans="1:8" customFormat="1" ht="15.75" customHeight="1">
      <c r="A721" s="94">
        <v>716</v>
      </c>
      <c r="B721" s="141" t="s">
        <v>1090</v>
      </c>
      <c r="C721" s="141" t="s">
        <v>486</v>
      </c>
      <c r="D721" s="141" t="s">
        <v>487</v>
      </c>
      <c r="E721" s="141" t="s">
        <v>110</v>
      </c>
      <c r="F721" s="142">
        <v>1</v>
      </c>
      <c r="G721" s="142">
        <v>100000</v>
      </c>
      <c r="H721" s="95">
        <f t="shared" si="11"/>
        <v>0.1875</v>
      </c>
    </row>
    <row r="722" spans="1:8" customFormat="1" ht="15.75" customHeight="1">
      <c r="A722" s="94">
        <v>717</v>
      </c>
      <c r="B722" s="141" t="s">
        <v>1090</v>
      </c>
      <c r="C722" s="141" t="s">
        <v>499</v>
      </c>
      <c r="D722" s="141" t="s">
        <v>104</v>
      </c>
      <c r="E722" s="141" t="s">
        <v>110</v>
      </c>
      <c r="F722" s="142">
        <v>1</v>
      </c>
      <c r="G722" s="142">
        <v>100000</v>
      </c>
      <c r="H722" s="95">
        <f t="shared" si="11"/>
        <v>0.1875</v>
      </c>
    </row>
    <row r="723" spans="1:8" customFormat="1" ht="15.75" customHeight="1">
      <c r="A723" s="94">
        <v>718</v>
      </c>
      <c r="B723" s="141" t="s">
        <v>1090</v>
      </c>
      <c r="C723" s="141" t="s">
        <v>752</v>
      </c>
      <c r="D723" s="141" t="s">
        <v>117</v>
      </c>
      <c r="E723" s="141" t="s">
        <v>110</v>
      </c>
      <c r="F723" s="142">
        <v>1</v>
      </c>
      <c r="G723" s="142">
        <v>100000</v>
      </c>
      <c r="H723" s="95">
        <f t="shared" si="11"/>
        <v>0.1875</v>
      </c>
    </row>
    <row r="724" spans="1:8" customFormat="1" ht="15.75" customHeight="1">
      <c r="A724" s="94">
        <v>719</v>
      </c>
      <c r="B724" s="141" t="s">
        <v>1090</v>
      </c>
      <c r="C724" s="141" t="s">
        <v>803</v>
      </c>
      <c r="D724" s="141" t="s">
        <v>804</v>
      </c>
      <c r="E724" s="141" t="s">
        <v>110</v>
      </c>
      <c r="F724" s="142">
        <v>1</v>
      </c>
      <c r="G724" s="142">
        <v>100000</v>
      </c>
      <c r="H724" s="95">
        <f t="shared" si="11"/>
        <v>0.1875</v>
      </c>
    </row>
    <row r="725" spans="1:8" customFormat="1" ht="15.75" customHeight="1">
      <c r="A725" s="94">
        <v>720</v>
      </c>
      <c r="B725" s="141" t="s">
        <v>1090</v>
      </c>
      <c r="C725" s="141" t="s">
        <v>910</v>
      </c>
      <c r="D725" s="141" t="s">
        <v>911</v>
      </c>
      <c r="E725" s="141" t="s">
        <v>110</v>
      </c>
      <c r="F725" s="142">
        <v>1</v>
      </c>
      <c r="G725" s="142">
        <v>100000</v>
      </c>
      <c r="H725" s="95">
        <f t="shared" si="11"/>
        <v>0.1875</v>
      </c>
    </row>
    <row r="726" spans="1:8" customFormat="1" ht="15.75" customHeight="1">
      <c r="A726" s="94">
        <v>721</v>
      </c>
      <c r="B726" s="141" t="s">
        <v>1130</v>
      </c>
      <c r="C726" s="141" t="s">
        <v>586</v>
      </c>
      <c r="D726" s="141" t="s">
        <v>141</v>
      </c>
      <c r="E726" s="141" t="s">
        <v>110</v>
      </c>
      <c r="F726" s="142">
        <v>1</v>
      </c>
      <c r="G726" s="142">
        <v>100000</v>
      </c>
      <c r="H726" s="95">
        <f t="shared" si="11"/>
        <v>0.1875</v>
      </c>
    </row>
    <row r="727" spans="1:8" customFormat="1" ht="15.75" customHeight="1">
      <c r="A727" s="94">
        <v>722</v>
      </c>
      <c r="B727" s="141" t="s">
        <v>1130</v>
      </c>
      <c r="C727" s="141" t="s">
        <v>847</v>
      </c>
      <c r="D727" s="141" t="s">
        <v>848</v>
      </c>
      <c r="E727" s="141" t="s">
        <v>110</v>
      </c>
      <c r="F727" s="142">
        <v>1</v>
      </c>
      <c r="G727" s="142">
        <v>100000</v>
      </c>
      <c r="H727" s="95">
        <f t="shared" si="11"/>
        <v>0.1875</v>
      </c>
    </row>
    <row r="728" spans="1:8" customFormat="1" ht="15.75" customHeight="1">
      <c r="A728" s="94">
        <v>723</v>
      </c>
      <c r="B728" s="141" t="s">
        <v>1235</v>
      </c>
      <c r="C728" s="141" t="s">
        <v>933</v>
      </c>
      <c r="D728" s="141" t="s">
        <v>934</v>
      </c>
      <c r="E728" s="141" t="s">
        <v>110</v>
      </c>
      <c r="F728" s="142">
        <v>1</v>
      </c>
      <c r="G728" s="142">
        <v>100000</v>
      </c>
      <c r="H728" s="95">
        <f t="shared" si="11"/>
        <v>0.1875</v>
      </c>
    </row>
    <row r="729" spans="1:8" customFormat="1" ht="15.75" customHeight="1">
      <c r="A729" s="94">
        <v>724</v>
      </c>
      <c r="B729" s="141" t="s">
        <v>1235</v>
      </c>
      <c r="C729" s="141" t="s">
        <v>933</v>
      </c>
      <c r="D729" s="141" t="s">
        <v>934</v>
      </c>
      <c r="E729" s="141" t="s">
        <v>110</v>
      </c>
      <c r="F729" s="142">
        <v>1</v>
      </c>
      <c r="G729" s="142">
        <v>100000</v>
      </c>
      <c r="H729" s="95">
        <f t="shared" si="11"/>
        <v>0.1875</v>
      </c>
    </row>
    <row r="730" spans="1:8" customFormat="1" ht="15.75" customHeight="1">
      <c r="A730" s="94">
        <v>725</v>
      </c>
      <c r="B730" s="141" t="s">
        <v>1091</v>
      </c>
      <c r="C730" s="141" t="s">
        <v>803</v>
      </c>
      <c r="D730" s="141" t="s">
        <v>804</v>
      </c>
      <c r="E730" s="141" t="s">
        <v>110</v>
      </c>
      <c r="F730" s="142">
        <v>1</v>
      </c>
      <c r="G730" s="142">
        <v>100000</v>
      </c>
      <c r="H730" s="95">
        <f t="shared" si="11"/>
        <v>0.1875</v>
      </c>
    </row>
    <row r="731" spans="1:8" customFormat="1" ht="15.75" customHeight="1">
      <c r="A731" s="94">
        <v>726</v>
      </c>
      <c r="B731" s="141" t="s">
        <v>1211</v>
      </c>
      <c r="C731" s="141" t="s">
        <v>821</v>
      </c>
      <c r="D731" s="141" t="s">
        <v>167</v>
      </c>
      <c r="E731" s="141" t="s">
        <v>110</v>
      </c>
      <c r="F731" s="142">
        <v>1</v>
      </c>
      <c r="G731" s="142">
        <v>100000</v>
      </c>
      <c r="H731" s="95">
        <f t="shared" si="11"/>
        <v>0.1875</v>
      </c>
    </row>
    <row r="732" spans="1:8" customFormat="1" ht="15.75" customHeight="1">
      <c r="A732" s="94">
        <v>727</v>
      </c>
      <c r="B732" s="141" t="s">
        <v>1102</v>
      </c>
      <c r="C732" s="141" t="s">
        <v>454</v>
      </c>
      <c r="D732" s="141" t="s">
        <v>528</v>
      </c>
      <c r="E732" s="141" t="s">
        <v>110</v>
      </c>
      <c r="F732" s="142">
        <v>1</v>
      </c>
      <c r="G732" s="142">
        <v>100000</v>
      </c>
      <c r="H732" s="95">
        <f t="shared" si="11"/>
        <v>0.1875</v>
      </c>
    </row>
    <row r="733" spans="1:8" customFormat="1" ht="15.75" customHeight="1">
      <c r="A733" s="94">
        <v>728</v>
      </c>
      <c r="B733" s="141" t="s">
        <v>1133</v>
      </c>
      <c r="C733" s="141" t="s">
        <v>591</v>
      </c>
      <c r="D733" s="141" t="s">
        <v>592</v>
      </c>
      <c r="E733" s="141" t="s">
        <v>40</v>
      </c>
      <c r="F733" s="142">
        <v>1</v>
      </c>
      <c r="G733" s="142">
        <v>101800</v>
      </c>
      <c r="H733" s="95">
        <f t="shared" si="11"/>
        <v>0.1875</v>
      </c>
    </row>
    <row r="734" spans="1:8" customFormat="1" ht="15.75" customHeight="1">
      <c r="A734" s="94">
        <v>729</v>
      </c>
      <c r="B734" s="141" t="s">
        <v>1208</v>
      </c>
      <c r="C734" s="141" t="s">
        <v>807</v>
      </c>
      <c r="D734" s="141" t="s">
        <v>96</v>
      </c>
      <c r="E734" s="141" t="s">
        <v>110</v>
      </c>
      <c r="F734" s="142">
        <v>1</v>
      </c>
      <c r="G734" s="142">
        <v>100000</v>
      </c>
      <c r="H734" s="95">
        <f t="shared" si="11"/>
        <v>0.1875</v>
      </c>
    </row>
    <row r="735" spans="1:8" customFormat="1" ht="15.75" customHeight="1">
      <c r="A735" s="94">
        <v>730</v>
      </c>
      <c r="B735" s="141" t="s">
        <v>755</v>
      </c>
      <c r="C735" s="141" t="s">
        <v>486</v>
      </c>
      <c r="D735" s="141" t="s">
        <v>487</v>
      </c>
      <c r="E735" s="141" t="s">
        <v>110</v>
      </c>
      <c r="F735" s="142">
        <v>1</v>
      </c>
      <c r="G735" s="142">
        <v>100000</v>
      </c>
      <c r="H735" s="95">
        <f t="shared" si="11"/>
        <v>0.1875</v>
      </c>
    </row>
    <row r="736" spans="1:8" customFormat="1" ht="15.75" customHeight="1">
      <c r="A736" s="94">
        <v>731</v>
      </c>
      <c r="B736" s="141" t="s">
        <v>755</v>
      </c>
      <c r="C736" s="141" t="s">
        <v>586</v>
      </c>
      <c r="D736" s="141" t="s">
        <v>141</v>
      </c>
      <c r="E736" s="141" t="s">
        <v>110</v>
      </c>
      <c r="F736" s="142">
        <v>1</v>
      </c>
      <c r="G736" s="142">
        <v>100000</v>
      </c>
      <c r="H736" s="95">
        <f t="shared" si="11"/>
        <v>0.1875</v>
      </c>
    </row>
    <row r="737" spans="1:8" customFormat="1" ht="15.75" customHeight="1">
      <c r="A737" s="94">
        <v>732</v>
      </c>
      <c r="B737" s="141" t="s">
        <v>755</v>
      </c>
      <c r="C737" s="141" t="s">
        <v>155</v>
      </c>
      <c r="D737" s="141" t="s">
        <v>156</v>
      </c>
      <c r="E737" s="141" t="s">
        <v>110</v>
      </c>
      <c r="F737" s="142">
        <v>1</v>
      </c>
      <c r="G737" s="142">
        <v>100000</v>
      </c>
      <c r="H737" s="95">
        <f t="shared" si="11"/>
        <v>0.1875</v>
      </c>
    </row>
    <row r="738" spans="1:8" customFormat="1" ht="15.75" customHeight="1">
      <c r="A738" s="94">
        <v>733</v>
      </c>
      <c r="B738" s="141" t="s">
        <v>755</v>
      </c>
      <c r="C738" s="141" t="s">
        <v>251</v>
      </c>
      <c r="D738" s="141" t="s">
        <v>668</v>
      </c>
      <c r="E738" s="141" t="s">
        <v>110</v>
      </c>
      <c r="F738" s="142">
        <v>1</v>
      </c>
      <c r="G738" s="142">
        <v>100000</v>
      </c>
      <c r="H738" s="95">
        <f t="shared" si="11"/>
        <v>0.1875</v>
      </c>
    </row>
    <row r="739" spans="1:8" customFormat="1" ht="15.75" customHeight="1">
      <c r="A739" s="94">
        <v>734</v>
      </c>
      <c r="B739" s="141" t="s">
        <v>755</v>
      </c>
      <c r="C739" s="141" t="s">
        <v>781</v>
      </c>
      <c r="D739" s="141" t="s">
        <v>782</v>
      </c>
      <c r="E739" s="141" t="s">
        <v>110</v>
      </c>
      <c r="F739" s="142">
        <v>1</v>
      </c>
      <c r="G739" s="142">
        <v>100000</v>
      </c>
      <c r="H739" s="95">
        <f t="shared" si="11"/>
        <v>0.1875</v>
      </c>
    </row>
    <row r="740" spans="1:8" customFormat="1" ht="15.75" customHeight="1">
      <c r="A740" s="94">
        <v>735</v>
      </c>
      <c r="B740" s="141" t="s">
        <v>755</v>
      </c>
      <c r="C740" s="141" t="s">
        <v>821</v>
      </c>
      <c r="D740" s="141" t="s">
        <v>167</v>
      </c>
      <c r="E740" s="141" t="s">
        <v>110</v>
      </c>
      <c r="F740" s="142">
        <v>1</v>
      </c>
      <c r="G740" s="142">
        <v>100000</v>
      </c>
      <c r="H740" s="95">
        <f t="shared" si="11"/>
        <v>0.1875</v>
      </c>
    </row>
    <row r="741" spans="1:8" customFormat="1" ht="15.75" customHeight="1">
      <c r="A741" s="94">
        <v>736</v>
      </c>
      <c r="B741" s="141" t="s">
        <v>755</v>
      </c>
      <c r="C741" s="141" t="s">
        <v>847</v>
      </c>
      <c r="D741" s="141" t="s">
        <v>848</v>
      </c>
      <c r="E741" s="141" t="s">
        <v>110</v>
      </c>
      <c r="F741" s="142">
        <v>1</v>
      </c>
      <c r="G741" s="142">
        <v>100000</v>
      </c>
      <c r="H741" s="95">
        <f t="shared" si="11"/>
        <v>0.1875</v>
      </c>
    </row>
    <row r="742" spans="1:8" customFormat="1" ht="15.75" customHeight="1">
      <c r="A742" s="94">
        <v>737</v>
      </c>
      <c r="B742" s="141" t="s">
        <v>755</v>
      </c>
      <c r="C742" s="141" t="s">
        <v>896</v>
      </c>
      <c r="D742" s="141" t="s">
        <v>154</v>
      </c>
      <c r="E742" s="141" t="s">
        <v>110</v>
      </c>
      <c r="F742" s="142">
        <v>1</v>
      </c>
      <c r="G742" s="142">
        <v>100000</v>
      </c>
      <c r="H742" s="95">
        <f t="shared" si="11"/>
        <v>0.1875</v>
      </c>
    </row>
    <row r="743" spans="1:8" customFormat="1" ht="15.75" customHeight="1">
      <c r="A743" s="94">
        <v>738</v>
      </c>
      <c r="B743" s="141" t="s">
        <v>755</v>
      </c>
      <c r="C743" s="141" t="s">
        <v>910</v>
      </c>
      <c r="D743" s="141" t="s">
        <v>911</v>
      </c>
      <c r="E743" s="141" t="s">
        <v>110</v>
      </c>
      <c r="F743" s="142">
        <v>1</v>
      </c>
      <c r="G743" s="142">
        <v>100000</v>
      </c>
      <c r="H743" s="95">
        <f t="shared" si="11"/>
        <v>0.1875</v>
      </c>
    </row>
    <row r="744" spans="1:8" customFormat="1" ht="15.75" customHeight="1">
      <c r="A744" s="94">
        <v>739</v>
      </c>
      <c r="B744" s="141" t="s">
        <v>755</v>
      </c>
      <c r="C744" s="141" t="s">
        <v>222</v>
      </c>
      <c r="D744" s="141" t="s">
        <v>100</v>
      </c>
      <c r="E744" s="141" t="s">
        <v>110</v>
      </c>
      <c r="F744" s="142">
        <v>1</v>
      </c>
      <c r="G744" s="142">
        <v>100000</v>
      </c>
      <c r="H744" s="95">
        <f t="shared" si="11"/>
        <v>0.1875</v>
      </c>
    </row>
    <row r="745" spans="1:8" customFormat="1" ht="15.75" customHeight="1">
      <c r="A745" s="94">
        <v>740</v>
      </c>
      <c r="B745" s="141" t="s">
        <v>681</v>
      </c>
      <c r="C745" s="141" t="s">
        <v>499</v>
      </c>
      <c r="D745" s="141" t="s">
        <v>104</v>
      </c>
      <c r="E745" s="141" t="s">
        <v>110</v>
      </c>
      <c r="F745" s="142">
        <v>1</v>
      </c>
      <c r="G745" s="142">
        <v>100000</v>
      </c>
      <c r="H745" s="95">
        <f t="shared" si="11"/>
        <v>0.1875</v>
      </c>
    </row>
    <row r="746" spans="1:8" customFormat="1" ht="15.75" customHeight="1">
      <c r="A746" s="94">
        <v>741</v>
      </c>
      <c r="B746" s="141" t="s">
        <v>681</v>
      </c>
      <c r="C746" s="141" t="s">
        <v>454</v>
      </c>
      <c r="D746" s="141" t="s">
        <v>528</v>
      </c>
      <c r="E746" s="141" t="s">
        <v>110</v>
      </c>
      <c r="F746" s="142">
        <v>1</v>
      </c>
      <c r="G746" s="142">
        <v>100000</v>
      </c>
      <c r="H746" s="95">
        <f t="shared" si="11"/>
        <v>0.1875</v>
      </c>
    </row>
    <row r="747" spans="1:8" customFormat="1" ht="15.75" customHeight="1">
      <c r="A747" s="94">
        <v>742</v>
      </c>
      <c r="B747" s="141" t="s">
        <v>681</v>
      </c>
      <c r="C747" s="141" t="s">
        <v>613</v>
      </c>
      <c r="D747" s="141" t="s">
        <v>614</v>
      </c>
      <c r="E747" s="141" t="s">
        <v>110</v>
      </c>
      <c r="F747" s="142">
        <v>1</v>
      </c>
      <c r="G747" s="142">
        <v>100000</v>
      </c>
      <c r="H747" s="95">
        <f t="shared" si="11"/>
        <v>0.1875</v>
      </c>
    </row>
    <row r="748" spans="1:8" customFormat="1" ht="15.75" customHeight="1">
      <c r="A748" s="94">
        <v>743</v>
      </c>
      <c r="B748" s="141" t="s">
        <v>681</v>
      </c>
      <c r="C748" s="141" t="s">
        <v>752</v>
      </c>
      <c r="D748" s="141" t="s">
        <v>117</v>
      </c>
      <c r="E748" s="141" t="s">
        <v>148</v>
      </c>
      <c r="F748" s="142">
        <v>1</v>
      </c>
      <c r="G748" s="142">
        <v>400000</v>
      </c>
      <c r="H748" s="95">
        <f t="shared" si="11"/>
        <v>0.1875</v>
      </c>
    </row>
    <row r="749" spans="1:8" customFormat="1" ht="15.75" customHeight="1">
      <c r="A749" s="94">
        <v>744</v>
      </c>
      <c r="B749" s="141" t="s">
        <v>681</v>
      </c>
      <c r="C749" s="141" t="s">
        <v>807</v>
      </c>
      <c r="D749" s="141" t="s">
        <v>96</v>
      </c>
      <c r="E749" s="141" t="s">
        <v>110</v>
      </c>
      <c r="F749" s="142">
        <v>1</v>
      </c>
      <c r="G749" s="142">
        <v>100000</v>
      </c>
      <c r="H749" s="95">
        <f t="shared" si="11"/>
        <v>0.1875</v>
      </c>
    </row>
    <row r="750" spans="1:8" customFormat="1" ht="15.75" customHeight="1">
      <c r="A750" s="94">
        <v>745</v>
      </c>
      <c r="B750" s="141" t="s">
        <v>681</v>
      </c>
      <c r="C750" s="141" t="s">
        <v>933</v>
      </c>
      <c r="D750" s="141" t="s">
        <v>934</v>
      </c>
      <c r="E750" s="141" t="s">
        <v>110</v>
      </c>
      <c r="F750" s="142">
        <v>1</v>
      </c>
      <c r="G750" s="142">
        <v>100000</v>
      </c>
      <c r="H750" s="95">
        <f t="shared" si="11"/>
        <v>0.1875</v>
      </c>
    </row>
    <row r="751" spans="1:8" customFormat="1" ht="15.75" customHeight="1">
      <c r="A751" s="94">
        <v>746</v>
      </c>
      <c r="B751" s="141" t="s">
        <v>681</v>
      </c>
      <c r="C751" s="141" t="s">
        <v>971</v>
      </c>
      <c r="D751" s="141" t="s">
        <v>107</v>
      </c>
      <c r="E751" s="141" t="s">
        <v>110</v>
      </c>
      <c r="F751" s="142">
        <v>1</v>
      </c>
      <c r="G751" s="142">
        <v>100000</v>
      </c>
      <c r="H751" s="95">
        <f t="shared" si="11"/>
        <v>0.1875</v>
      </c>
    </row>
    <row r="752" spans="1:8" customFormat="1" ht="15.75" customHeight="1">
      <c r="A752" s="94">
        <v>747</v>
      </c>
      <c r="B752" s="141" t="s">
        <v>754</v>
      </c>
      <c r="C752" s="141" t="s">
        <v>486</v>
      </c>
      <c r="D752" s="141" t="s">
        <v>487</v>
      </c>
      <c r="E752" s="141" t="s">
        <v>110</v>
      </c>
      <c r="F752" s="142">
        <v>1</v>
      </c>
      <c r="G752" s="142">
        <v>100000</v>
      </c>
      <c r="H752" s="95">
        <f t="shared" si="11"/>
        <v>0.1875</v>
      </c>
    </row>
    <row r="753" spans="1:8" customFormat="1" ht="15.75" customHeight="1">
      <c r="A753" s="94">
        <v>748</v>
      </c>
      <c r="B753" s="141" t="s">
        <v>754</v>
      </c>
      <c r="C753" s="141" t="s">
        <v>586</v>
      </c>
      <c r="D753" s="141" t="s">
        <v>141</v>
      </c>
      <c r="E753" s="141" t="s">
        <v>110</v>
      </c>
      <c r="F753" s="142">
        <v>1</v>
      </c>
      <c r="G753" s="142">
        <v>100000</v>
      </c>
      <c r="H753" s="95">
        <f t="shared" si="11"/>
        <v>0.1875</v>
      </c>
    </row>
    <row r="754" spans="1:8" customFormat="1" ht="15.75" customHeight="1">
      <c r="A754" s="94">
        <v>749</v>
      </c>
      <c r="B754" s="141" t="s">
        <v>754</v>
      </c>
      <c r="C754" s="141" t="s">
        <v>752</v>
      </c>
      <c r="D754" s="141" t="s">
        <v>117</v>
      </c>
      <c r="E754" s="141" t="s">
        <v>110</v>
      </c>
      <c r="F754" s="142">
        <v>1</v>
      </c>
      <c r="G754" s="142">
        <v>100000</v>
      </c>
      <c r="H754" s="95">
        <f t="shared" si="11"/>
        <v>0.1875</v>
      </c>
    </row>
    <row r="755" spans="1:8" customFormat="1" ht="15.75" customHeight="1">
      <c r="A755" s="94">
        <v>750</v>
      </c>
      <c r="B755" s="141" t="s">
        <v>754</v>
      </c>
      <c r="C755" s="141" t="s">
        <v>781</v>
      </c>
      <c r="D755" s="141" t="s">
        <v>782</v>
      </c>
      <c r="E755" s="141" t="s">
        <v>110</v>
      </c>
      <c r="F755" s="142">
        <v>1</v>
      </c>
      <c r="G755" s="142">
        <v>100000</v>
      </c>
      <c r="H755" s="95">
        <f t="shared" si="11"/>
        <v>0.1875</v>
      </c>
    </row>
    <row r="756" spans="1:8" customFormat="1" ht="15.75" customHeight="1">
      <c r="A756" s="94">
        <v>751</v>
      </c>
      <c r="B756" s="141" t="s">
        <v>754</v>
      </c>
      <c r="C756" s="141" t="s">
        <v>803</v>
      </c>
      <c r="D756" s="141" t="s">
        <v>804</v>
      </c>
      <c r="E756" s="141" t="s">
        <v>110</v>
      </c>
      <c r="F756" s="142">
        <v>1</v>
      </c>
      <c r="G756" s="142">
        <v>100000</v>
      </c>
      <c r="H756" s="95">
        <f t="shared" si="11"/>
        <v>0.1875</v>
      </c>
    </row>
    <row r="757" spans="1:8" customFormat="1" ht="15.75" customHeight="1">
      <c r="A757" s="94">
        <v>752</v>
      </c>
      <c r="B757" s="141" t="s">
        <v>754</v>
      </c>
      <c r="C757" s="141" t="s">
        <v>821</v>
      </c>
      <c r="D757" s="141" t="s">
        <v>167</v>
      </c>
      <c r="E757" s="141" t="s">
        <v>110</v>
      </c>
      <c r="F757" s="142">
        <v>1</v>
      </c>
      <c r="G757" s="142">
        <v>100000</v>
      </c>
      <c r="H757" s="95">
        <f t="shared" si="11"/>
        <v>0.1875</v>
      </c>
    </row>
    <row r="758" spans="1:8" customFormat="1" ht="15.75" customHeight="1">
      <c r="A758" s="94">
        <v>753</v>
      </c>
      <c r="B758" s="141" t="s">
        <v>754</v>
      </c>
      <c r="C758" s="141" t="s">
        <v>847</v>
      </c>
      <c r="D758" s="141" t="s">
        <v>848</v>
      </c>
      <c r="E758" s="141" t="s">
        <v>110</v>
      </c>
      <c r="F758" s="142">
        <v>1</v>
      </c>
      <c r="G758" s="142">
        <v>100000</v>
      </c>
      <c r="H758" s="95">
        <f t="shared" si="11"/>
        <v>0.1875</v>
      </c>
    </row>
    <row r="759" spans="1:8" customFormat="1" ht="15.75" customHeight="1">
      <c r="A759" s="94">
        <v>754</v>
      </c>
      <c r="B759" s="141" t="s">
        <v>754</v>
      </c>
      <c r="C759" s="141" t="s">
        <v>896</v>
      </c>
      <c r="D759" s="141" t="s">
        <v>154</v>
      </c>
      <c r="E759" s="141" t="s">
        <v>110</v>
      </c>
      <c r="F759" s="142">
        <v>1</v>
      </c>
      <c r="G759" s="142">
        <v>100000</v>
      </c>
      <c r="H759" s="95">
        <f t="shared" si="11"/>
        <v>0.1875</v>
      </c>
    </row>
    <row r="760" spans="1:8" customFormat="1" ht="15.75" customHeight="1">
      <c r="A760" s="94">
        <v>755</v>
      </c>
      <c r="B760" s="141" t="s">
        <v>754</v>
      </c>
      <c r="C760" s="141" t="s">
        <v>910</v>
      </c>
      <c r="D760" s="141" t="s">
        <v>911</v>
      </c>
      <c r="E760" s="141" t="s">
        <v>110</v>
      </c>
      <c r="F760" s="142">
        <v>1</v>
      </c>
      <c r="G760" s="142">
        <v>100000</v>
      </c>
      <c r="H760" s="95">
        <f t="shared" ref="H760:H823" si="12">25%*75%</f>
        <v>0.1875</v>
      </c>
    </row>
    <row r="761" spans="1:8" customFormat="1" ht="15.75" customHeight="1">
      <c r="A761" s="94">
        <v>756</v>
      </c>
      <c r="B761" s="141" t="s">
        <v>754</v>
      </c>
      <c r="C761" s="141" t="s">
        <v>940</v>
      </c>
      <c r="D761" s="141" t="s">
        <v>97</v>
      </c>
      <c r="E761" s="141" t="s">
        <v>110</v>
      </c>
      <c r="F761" s="142">
        <v>1</v>
      </c>
      <c r="G761" s="142">
        <v>100000</v>
      </c>
      <c r="H761" s="95">
        <f t="shared" si="12"/>
        <v>0.1875</v>
      </c>
    </row>
    <row r="762" spans="1:8" customFormat="1" ht="15.75" customHeight="1">
      <c r="A762" s="94">
        <v>757</v>
      </c>
      <c r="B762" s="141" t="s">
        <v>754</v>
      </c>
      <c r="C762" s="141" t="s">
        <v>222</v>
      </c>
      <c r="D762" s="141" t="s">
        <v>100</v>
      </c>
      <c r="E762" s="141" t="s">
        <v>110</v>
      </c>
      <c r="F762" s="142">
        <v>1</v>
      </c>
      <c r="G762" s="142">
        <v>100000</v>
      </c>
      <c r="H762" s="95">
        <f t="shared" si="12"/>
        <v>0.1875</v>
      </c>
    </row>
    <row r="763" spans="1:8" customFormat="1" ht="15.75" customHeight="1">
      <c r="A763" s="94">
        <v>758</v>
      </c>
      <c r="B763" s="141" t="s">
        <v>1156</v>
      </c>
      <c r="C763" s="141" t="s">
        <v>155</v>
      </c>
      <c r="D763" s="141" t="s">
        <v>156</v>
      </c>
      <c r="E763" s="141" t="s">
        <v>110</v>
      </c>
      <c r="F763" s="142">
        <v>1</v>
      </c>
      <c r="G763" s="142">
        <v>100000</v>
      </c>
      <c r="H763" s="95">
        <f t="shared" si="12"/>
        <v>0.1875</v>
      </c>
    </row>
    <row r="764" spans="1:8" customFormat="1" ht="15.75" customHeight="1">
      <c r="A764" s="94">
        <v>759</v>
      </c>
      <c r="B764" s="141" t="s">
        <v>1161</v>
      </c>
      <c r="C764" s="141" t="s">
        <v>251</v>
      </c>
      <c r="D764" s="141" t="s">
        <v>668</v>
      </c>
      <c r="E764" s="141" t="s">
        <v>110</v>
      </c>
      <c r="F764" s="142">
        <v>1</v>
      </c>
      <c r="G764" s="142">
        <v>100000</v>
      </c>
      <c r="H764" s="95">
        <f t="shared" si="12"/>
        <v>0.1875</v>
      </c>
    </row>
    <row r="765" spans="1:8" customFormat="1" ht="15.75" customHeight="1">
      <c r="A765" s="94">
        <v>760</v>
      </c>
      <c r="B765" s="141" t="s">
        <v>1093</v>
      </c>
      <c r="C765" s="141" t="s">
        <v>499</v>
      </c>
      <c r="D765" s="141" t="s">
        <v>104</v>
      </c>
      <c r="E765" s="141" t="s">
        <v>110</v>
      </c>
      <c r="F765" s="142">
        <v>1</v>
      </c>
      <c r="G765" s="142">
        <v>100000</v>
      </c>
      <c r="H765" s="95">
        <f t="shared" si="12"/>
        <v>0.1875</v>
      </c>
    </row>
    <row r="766" spans="1:8" customFormat="1" ht="15.75" customHeight="1">
      <c r="A766" s="94">
        <v>761</v>
      </c>
      <c r="B766" s="141" t="s">
        <v>1093</v>
      </c>
      <c r="C766" s="141" t="s">
        <v>454</v>
      </c>
      <c r="D766" s="141" t="s">
        <v>528</v>
      </c>
      <c r="E766" s="141" t="s">
        <v>110</v>
      </c>
      <c r="F766" s="142">
        <v>1</v>
      </c>
      <c r="G766" s="142">
        <v>100000</v>
      </c>
      <c r="H766" s="95">
        <f t="shared" si="12"/>
        <v>0.1875</v>
      </c>
    </row>
    <row r="767" spans="1:8" customFormat="1" ht="15.75" customHeight="1">
      <c r="A767" s="94">
        <v>762</v>
      </c>
      <c r="B767" s="141" t="s">
        <v>1093</v>
      </c>
      <c r="C767" s="141" t="s">
        <v>581</v>
      </c>
      <c r="D767" s="141" t="s">
        <v>582</v>
      </c>
      <c r="E767" s="141" t="s">
        <v>110</v>
      </c>
      <c r="F767" s="142">
        <v>1</v>
      </c>
      <c r="G767" s="142">
        <v>100000</v>
      </c>
      <c r="H767" s="95">
        <f t="shared" si="12"/>
        <v>0.1875</v>
      </c>
    </row>
    <row r="768" spans="1:8" customFormat="1" ht="15.75" customHeight="1">
      <c r="A768" s="94">
        <v>763</v>
      </c>
      <c r="B768" s="141" t="s">
        <v>1237</v>
      </c>
      <c r="C768" s="141" t="s">
        <v>933</v>
      </c>
      <c r="D768" s="141" t="s">
        <v>934</v>
      </c>
      <c r="E768" s="141" t="s">
        <v>110</v>
      </c>
      <c r="F768" s="142">
        <v>1</v>
      </c>
      <c r="G768" s="142">
        <v>100000</v>
      </c>
      <c r="H768" s="95">
        <f t="shared" si="12"/>
        <v>0.1875</v>
      </c>
    </row>
    <row r="769" spans="1:8" customFormat="1" ht="15.75" customHeight="1">
      <c r="A769" s="94">
        <v>764</v>
      </c>
      <c r="B769" s="141" t="s">
        <v>1246</v>
      </c>
      <c r="C769" s="141" t="s">
        <v>971</v>
      </c>
      <c r="D769" s="141" t="s">
        <v>107</v>
      </c>
      <c r="E769" s="141" t="s">
        <v>110</v>
      </c>
      <c r="F769" s="142">
        <v>1</v>
      </c>
      <c r="G769" s="142">
        <v>100000</v>
      </c>
      <c r="H769" s="95">
        <f t="shared" si="12"/>
        <v>0.1875</v>
      </c>
    </row>
    <row r="770" spans="1:8" customFormat="1" ht="15.75" customHeight="1">
      <c r="A770" s="94">
        <v>765</v>
      </c>
      <c r="B770" s="141" t="s">
        <v>1142</v>
      </c>
      <c r="C770" s="141" t="s">
        <v>613</v>
      </c>
      <c r="D770" s="141" t="s">
        <v>614</v>
      </c>
      <c r="E770" s="141" t="s">
        <v>110</v>
      </c>
      <c r="F770" s="142">
        <v>1</v>
      </c>
      <c r="G770" s="142">
        <v>100000</v>
      </c>
      <c r="H770" s="95">
        <f t="shared" si="12"/>
        <v>0.1875</v>
      </c>
    </row>
    <row r="771" spans="1:8" customFormat="1" ht="15.75" customHeight="1">
      <c r="A771" s="94">
        <v>766</v>
      </c>
      <c r="B771" s="141" t="s">
        <v>1167</v>
      </c>
      <c r="C771" s="141" t="s">
        <v>680</v>
      </c>
      <c r="D771" s="141" t="s">
        <v>136</v>
      </c>
      <c r="E771" s="141" t="s">
        <v>110</v>
      </c>
      <c r="F771" s="142">
        <v>1</v>
      </c>
      <c r="G771" s="142">
        <v>100000</v>
      </c>
      <c r="H771" s="95">
        <f t="shared" si="12"/>
        <v>0.1875</v>
      </c>
    </row>
    <row r="772" spans="1:8" customFormat="1" ht="15.75" customHeight="1">
      <c r="A772" s="94">
        <v>767</v>
      </c>
      <c r="B772" s="141" t="s">
        <v>759</v>
      </c>
      <c r="C772" s="141" t="s">
        <v>486</v>
      </c>
      <c r="D772" s="141" t="s">
        <v>487</v>
      </c>
      <c r="E772" s="141" t="s">
        <v>110</v>
      </c>
      <c r="F772" s="142">
        <v>1</v>
      </c>
      <c r="G772" s="142">
        <v>100000</v>
      </c>
      <c r="H772" s="95">
        <f t="shared" si="12"/>
        <v>0.1875</v>
      </c>
    </row>
    <row r="773" spans="1:8" customFormat="1" ht="15.75" customHeight="1">
      <c r="A773" s="94">
        <v>768</v>
      </c>
      <c r="B773" s="141" t="s">
        <v>759</v>
      </c>
      <c r="C773" s="141" t="s">
        <v>586</v>
      </c>
      <c r="D773" s="141" t="s">
        <v>141</v>
      </c>
      <c r="E773" s="141" t="s">
        <v>110</v>
      </c>
      <c r="F773" s="142">
        <v>1</v>
      </c>
      <c r="G773" s="142">
        <v>100000</v>
      </c>
      <c r="H773" s="95">
        <f t="shared" si="12"/>
        <v>0.1875</v>
      </c>
    </row>
    <row r="774" spans="1:8" customFormat="1" ht="15.75" customHeight="1">
      <c r="A774" s="94">
        <v>769</v>
      </c>
      <c r="B774" s="141" t="s">
        <v>759</v>
      </c>
      <c r="C774" s="141" t="s">
        <v>613</v>
      </c>
      <c r="D774" s="141" t="s">
        <v>614</v>
      </c>
      <c r="E774" s="141" t="s">
        <v>110</v>
      </c>
      <c r="F774" s="142">
        <v>1</v>
      </c>
      <c r="G774" s="142">
        <v>100000</v>
      </c>
      <c r="H774" s="95">
        <f t="shared" si="12"/>
        <v>0.1875</v>
      </c>
    </row>
    <row r="775" spans="1:8" customFormat="1" ht="15.75" customHeight="1">
      <c r="A775" s="94">
        <v>770</v>
      </c>
      <c r="B775" s="141" t="s">
        <v>759</v>
      </c>
      <c r="C775" s="141" t="s">
        <v>680</v>
      </c>
      <c r="D775" s="141" t="s">
        <v>136</v>
      </c>
      <c r="E775" s="141" t="s">
        <v>110</v>
      </c>
      <c r="F775" s="142">
        <v>1</v>
      </c>
      <c r="G775" s="142">
        <v>100000</v>
      </c>
      <c r="H775" s="95">
        <f t="shared" si="12"/>
        <v>0.1875</v>
      </c>
    </row>
    <row r="776" spans="1:8" customFormat="1" ht="15.75" customHeight="1">
      <c r="A776" s="94">
        <v>771</v>
      </c>
      <c r="B776" s="141" t="s">
        <v>759</v>
      </c>
      <c r="C776" s="141" t="s">
        <v>752</v>
      </c>
      <c r="D776" s="141" t="s">
        <v>117</v>
      </c>
      <c r="E776" s="141" t="s">
        <v>110</v>
      </c>
      <c r="F776" s="142">
        <v>1</v>
      </c>
      <c r="G776" s="142">
        <v>100000</v>
      </c>
      <c r="H776" s="95">
        <f t="shared" si="12"/>
        <v>0.1875</v>
      </c>
    </row>
    <row r="777" spans="1:8" customFormat="1" ht="15.75" customHeight="1">
      <c r="A777" s="94">
        <v>772</v>
      </c>
      <c r="B777" s="141" t="s">
        <v>759</v>
      </c>
      <c r="C777" s="141" t="s">
        <v>940</v>
      </c>
      <c r="D777" s="141" t="s">
        <v>97</v>
      </c>
      <c r="E777" s="141" t="s">
        <v>110</v>
      </c>
      <c r="F777" s="142">
        <v>1</v>
      </c>
      <c r="G777" s="142">
        <v>100000</v>
      </c>
      <c r="H777" s="95">
        <f t="shared" si="12"/>
        <v>0.1875</v>
      </c>
    </row>
    <row r="778" spans="1:8" customFormat="1" ht="15.75" customHeight="1">
      <c r="A778" s="94">
        <v>773</v>
      </c>
      <c r="B778" s="141" t="s">
        <v>1162</v>
      </c>
      <c r="C778" s="141" t="s">
        <v>251</v>
      </c>
      <c r="D778" s="141" t="s">
        <v>668</v>
      </c>
      <c r="E778" s="141" t="s">
        <v>110</v>
      </c>
      <c r="F778" s="142">
        <v>1</v>
      </c>
      <c r="G778" s="142">
        <v>100000</v>
      </c>
      <c r="H778" s="95">
        <f t="shared" si="12"/>
        <v>0.1875</v>
      </c>
    </row>
    <row r="779" spans="1:8" customFormat="1" ht="15.75" customHeight="1">
      <c r="A779" s="94">
        <v>774</v>
      </c>
      <c r="B779" s="141" t="s">
        <v>1238</v>
      </c>
      <c r="C779" s="141" t="s">
        <v>933</v>
      </c>
      <c r="D779" s="141" t="s">
        <v>934</v>
      </c>
      <c r="E779" s="141" t="s">
        <v>110</v>
      </c>
      <c r="F779" s="142">
        <v>1</v>
      </c>
      <c r="G779" s="142">
        <v>100000</v>
      </c>
      <c r="H779" s="95">
        <f t="shared" si="12"/>
        <v>0.1875</v>
      </c>
    </row>
    <row r="780" spans="1:8" customFormat="1" ht="15.75" customHeight="1">
      <c r="A780" s="94">
        <v>775</v>
      </c>
      <c r="B780" s="141" t="s">
        <v>1129</v>
      </c>
      <c r="C780" s="141" t="s">
        <v>581</v>
      </c>
      <c r="D780" s="141" t="s">
        <v>582</v>
      </c>
      <c r="E780" s="141" t="s">
        <v>110</v>
      </c>
      <c r="F780" s="142">
        <v>1</v>
      </c>
      <c r="G780" s="142">
        <v>100000</v>
      </c>
      <c r="H780" s="95">
        <f t="shared" si="12"/>
        <v>0.1875</v>
      </c>
    </row>
    <row r="781" spans="1:8" customFormat="1" ht="15.75" customHeight="1">
      <c r="A781" s="94">
        <v>776</v>
      </c>
      <c r="B781" s="141" t="s">
        <v>1129</v>
      </c>
      <c r="C781" s="141" t="s">
        <v>807</v>
      </c>
      <c r="D781" s="141" t="s">
        <v>96</v>
      </c>
      <c r="E781" s="141" t="s">
        <v>110</v>
      </c>
      <c r="F781" s="142">
        <v>1</v>
      </c>
      <c r="G781" s="142">
        <v>100000</v>
      </c>
      <c r="H781" s="95">
        <f t="shared" si="12"/>
        <v>0.1875</v>
      </c>
    </row>
    <row r="782" spans="1:8" customFormat="1" ht="15.75" customHeight="1">
      <c r="A782" s="94">
        <v>777</v>
      </c>
      <c r="B782" s="141" t="s">
        <v>1218</v>
      </c>
      <c r="C782" s="141" t="s">
        <v>847</v>
      </c>
      <c r="D782" s="141" t="s">
        <v>848</v>
      </c>
      <c r="E782" s="141" t="s">
        <v>110</v>
      </c>
      <c r="F782" s="142">
        <v>1</v>
      </c>
      <c r="G782" s="142">
        <v>100000</v>
      </c>
      <c r="H782" s="95">
        <f t="shared" si="12"/>
        <v>0.1875</v>
      </c>
    </row>
    <row r="783" spans="1:8" customFormat="1" ht="15.75" customHeight="1">
      <c r="A783" s="94">
        <v>778</v>
      </c>
      <c r="B783" s="141" t="s">
        <v>1218</v>
      </c>
      <c r="C783" s="141" t="s">
        <v>971</v>
      </c>
      <c r="D783" s="141" t="s">
        <v>107</v>
      </c>
      <c r="E783" s="141" t="s">
        <v>110</v>
      </c>
      <c r="F783" s="142">
        <v>1</v>
      </c>
      <c r="G783" s="142">
        <v>100000</v>
      </c>
      <c r="H783" s="95">
        <f t="shared" si="12"/>
        <v>0.1875</v>
      </c>
    </row>
    <row r="784" spans="1:8" customFormat="1" ht="15.75" customHeight="1">
      <c r="A784" s="94">
        <v>779</v>
      </c>
      <c r="B784" s="141" t="s">
        <v>967</v>
      </c>
      <c r="C784" s="141" t="s">
        <v>884</v>
      </c>
      <c r="D784" s="141" t="s">
        <v>885</v>
      </c>
      <c r="E784" s="141" t="s">
        <v>110</v>
      </c>
      <c r="F784" s="142">
        <v>1</v>
      </c>
      <c r="G784" s="142">
        <v>100000</v>
      </c>
      <c r="H784" s="95">
        <f t="shared" si="12"/>
        <v>0.1875</v>
      </c>
    </row>
    <row r="785" spans="1:8" customFormat="1" ht="15.75" customHeight="1">
      <c r="A785" s="94">
        <v>780</v>
      </c>
      <c r="B785" s="141" t="s">
        <v>1253</v>
      </c>
      <c r="C785" s="141" t="s">
        <v>800</v>
      </c>
      <c r="D785" s="141" t="s">
        <v>801</v>
      </c>
      <c r="E785" s="141" t="s">
        <v>40</v>
      </c>
      <c r="F785" s="142">
        <v>1</v>
      </c>
      <c r="G785" s="142">
        <v>101800</v>
      </c>
      <c r="H785" s="95">
        <f t="shared" si="12"/>
        <v>0.1875</v>
      </c>
    </row>
    <row r="786" spans="1:8" customFormat="1" ht="15.75" customHeight="1">
      <c r="A786" s="94">
        <v>781</v>
      </c>
      <c r="B786" s="141" t="s">
        <v>1071</v>
      </c>
      <c r="C786" s="141" t="s">
        <v>613</v>
      </c>
      <c r="D786" s="141" t="s">
        <v>614</v>
      </c>
      <c r="E786" s="141" t="s">
        <v>110</v>
      </c>
      <c r="F786" s="142">
        <v>1</v>
      </c>
      <c r="G786" s="142">
        <v>100000</v>
      </c>
      <c r="H786" s="95">
        <f t="shared" si="12"/>
        <v>0.1875</v>
      </c>
    </row>
    <row r="787" spans="1:8" customFormat="1" ht="15.75" customHeight="1">
      <c r="A787" s="94">
        <v>782</v>
      </c>
      <c r="B787" s="141" t="s">
        <v>1071</v>
      </c>
      <c r="C787" s="141" t="s">
        <v>680</v>
      </c>
      <c r="D787" s="141" t="s">
        <v>136</v>
      </c>
      <c r="E787" s="141" t="s">
        <v>110</v>
      </c>
      <c r="F787" s="142">
        <v>1</v>
      </c>
      <c r="G787" s="142">
        <v>100000</v>
      </c>
      <c r="H787" s="95">
        <f t="shared" si="12"/>
        <v>0.1875</v>
      </c>
    </row>
    <row r="788" spans="1:8" customFormat="1" ht="15.75" customHeight="1">
      <c r="A788" s="94">
        <v>783</v>
      </c>
      <c r="B788" s="141" t="s">
        <v>1071</v>
      </c>
      <c r="C788" s="141" t="s">
        <v>752</v>
      </c>
      <c r="D788" s="141" t="s">
        <v>117</v>
      </c>
      <c r="E788" s="141" t="s">
        <v>110</v>
      </c>
      <c r="F788" s="142">
        <v>1</v>
      </c>
      <c r="G788" s="142">
        <v>100000</v>
      </c>
      <c r="H788" s="95">
        <f t="shared" si="12"/>
        <v>0.1875</v>
      </c>
    </row>
    <row r="789" spans="1:8" customFormat="1" ht="15.75" customHeight="1">
      <c r="A789" s="94">
        <v>784</v>
      </c>
      <c r="B789" s="141" t="s">
        <v>1071</v>
      </c>
      <c r="C789" s="141" t="s">
        <v>807</v>
      </c>
      <c r="D789" s="141" t="s">
        <v>96</v>
      </c>
      <c r="E789" s="141" t="s">
        <v>110</v>
      </c>
      <c r="F789" s="142">
        <v>1</v>
      </c>
      <c r="G789" s="142">
        <v>100000</v>
      </c>
      <c r="H789" s="95">
        <f t="shared" si="12"/>
        <v>0.1875</v>
      </c>
    </row>
    <row r="790" spans="1:8" customFormat="1" ht="15.75" customHeight="1">
      <c r="A790" s="94">
        <v>785</v>
      </c>
      <c r="B790" s="141" t="s">
        <v>1122</v>
      </c>
      <c r="C790" s="141" t="s">
        <v>563</v>
      </c>
      <c r="D790" s="141" t="s">
        <v>98</v>
      </c>
      <c r="E790" s="141" t="s">
        <v>110</v>
      </c>
      <c r="F790" s="142">
        <v>1</v>
      </c>
      <c r="G790" s="142">
        <v>100000</v>
      </c>
      <c r="H790" s="95">
        <f t="shared" si="12"/>
        <v>0.1875</v>
      </c>
    </row>
    <row r="791" spans="1:8" customFormat="1" ht="15.75" customHeight="1">
      <c r="A791" s="94">
        <v>786</v>
      </c>
      <c r="B791" s="141" t="s">
        <v>1122</v>
      </c>
      <c r="C791" s="141" t="s">
        <v>581</v>
      </c>
      <c r="D791" s="141" t="s">
        <v>582</v>
      </c>
      <c r="E791" s="141" t="s">
        <v>110</v>
      </c>
      <c r="F791" s="142">
        <v>1</v>
      </c>
      <c r="G791" s="142">
        <v>100000</v>
      </c>
      <c r="H791" s="95">
        <f t="shared" si="12"/>
        <v>0.1875</v>
      </c>
    </row>
    <row r="792" spans="1:8" customFormat="1" ht="15.75" customHeight="1">
      <c r="A792" s="94">
        <v>787</v>
      </c>
      <c r="B792" s="141" t="s">
        <v>1122</v>
      </c>
      <c r="C792" s="141" t="s">
        <v>611</v>
      </c>
      <c r="D792" s="141" t="s">
        <v>96</v>
      </c>
      <c r="E792" s="141" t="s">
        <v>110</v>
      </c>
      <c r="F792" s="142">
        <v>1</v>
      </c>
      <c r="G792" s="142">
        <v>100000</v>
      </c>
      <c r="H792" s="95">
        <f t="shared" si="12"/>
        <v>0.1875</v>
      </c>
    </row>
    <row r="793" spans="1:8" customFormat="1" ht="15.75" customHeight="1">
      <c r="A793" s="94">
        <v>788</v>
      </c>
      <c r="B793" s="141" t="s">
        <v>1122</v>
      </c>
      <c r="C793" s="141" t="s">
        <v>809</v>
      </c>
      <c r="D793" s="141" t="s">
        <v>810</v>
      </c>
      <c r="E793" s="141" t="s">
        <v>110</v>
      </c>
      <c r="F793" s="142">
        <v>1</v>
      </c>
      <c r="G793" s="142">
        <v>100000</v>
      </c>
      <c r="H793" s="95">
        <f t="shared" si="12"/>
        <v>0.1875</v>
      </c>
    </row>
    <row r="794" spans="1:8" customFormat="1" ht="15.75" customHeight="1">
      <c r="A794" s="94">
        <v>789</v>
      </c>
      <c r="B794" s="141" t="s">
        <v>1122</v>
      </c>
      <c r="C794" s="141" t="s">
        <v>884</v>
      </c>
      <c r="D794" s="141" t="s">
        <v>885</v>
      </c>
      <c r="E794" s="141" t="s">
        <v>110</v>
      </c>
      <c r="F794" s="142">
        <v>1</v>
      </c>
      <c r="G794" s="142">
        <v>100000</v>
      </c>
      <c r="H794" s="95">
        <f t="shared" si="12"/>
        <v>0.1875</v>
      </c>
    </row>
    <row r="795" spans="1:8" customFormat="1" ht="15.75" customHeight="1">
      <c r="A795" s="94">
        <v>790</v>
      </c>
      <c r="B795" s="141" t="s">
        <v>1247</v>
      </c>
      <c r="C795" s="141" t="s">
        <v>971</v>
      </c>
      <c r="D795" s="141" t="s">
        <v>107</v>
      </c>
      <c r="E795" s="141" t="s">
        <v>110</v>
      </c>
      <c r="F795" s="142">
        <v>1</v>
      </c>
      <c r="G795" s="142">
        <v>100000</v>
      </c>
      <c r="H795" s="95">
        <f t="shared" si="12"/>
        <v>0.1875</v>
      </c>
    </row>
    <row r="796" spans="1:8" customFormat="1" ht="15.75" customHeight="1">
      <c r="A796" s="94">
        <v>791</v>
      </c>
      <c r="B796" s="141" t="s">
        <v>875</v>
      </c>
      <c r="C796" s="141" t="s">
        <v>588</v>
      </c>
      <c r="D796" s="141" t="s">
        <v>589</v>
      </c>
      <c r="E796" s="141" t="s">
        <v>110</v>
      </c>
      <c r="F796" s="142">
        <v>1</v>
      </c>
      <c r="G796" s="142">
        <v>100000</v>
      </c>
      <c r="H796" s="95">
        <f t="shared" si="12"/>
        <v>0.1875</v>
      </c>
    </row>
    <row r="797" spans="1:8" customFormat="1" ht="15.75" customHeight="1">
      <c r="A797" s="94">
        <v>792</v>
      </c>
      <c r="B797" s="141" t="s">
        <v>875</v>
      </c>
      <c r="C797" s="141" t="s">
        <v>251</v>
      </c>
      <c r="D797" s="141" t="s">
        <v>668</v>
      </c>
      <c r="E797" s="141" t="s">
        <v>110</v>
      </c>
      <c r="F797" s="142">
        <v>1</v>
      </c>
      <c r="G797" s="142">
        <v>100000</v>
      </c>
      <c r="H797" s="95">
        <f t="shared" si="12"/>
        <v>0.1875</v>
      </c>
    </row>
    <row r="798" spans="1:8" customFormat="1" ht="15.75" customHeight="1">
      <c r="A798" s="94">
        <v>793</v>
      </c>
      <c r="B798" s="141" t="s">
        <v>875</v>
      </c>
      <c r="C798" s="141" t="s">
        <v>800</v>
      </c>
      <c r="D798" s="141" t="s">
        <v>801</v>
      </c>
      <c r="E798" s="141" t="s">
        <v>110</v>
      </c>
      <c r="F798" s="142">
        <v>1</v>
      </c>
      <c r="G798" s="142">
        <v>100000</v>
      </c>
      <c r="H798" s="95">
        <f t="shared" si="12"/>
        <v>0.1875</v>
      </c>
    </row>
    <row r="799" spans="1:8" customFormat="1" ht="15.75" customHeight="1">
      <c r="A799" s="94">
        <v>794</v>
      </c>
      <c r="B799" s="141" t="s">
        <v>875</v>
      </c>
      <c r="C799" s="141" t="s">
        <v>933</v>
      </c>
      <c r="D799" s="141" t="s">
        <v>934</v>
      </c>
      <c r="E799" s="141" t="s">
        <v>110</v>
      </c>
      <c r="F799" s="142">
        <v>1</v>
      </c>
      <c r="G799" s="142">
        <v>100000</v>
      </c>
      <c r="H799" s="95">
        <f t="shared" si="12"/>
        <v>0.1875</v>
      </c>
    </row>
    <row r="800" spans="1:8" customFormat="1" ht="15.75" customHeight="1">
      <c r="A800" s="94">
        <v>795</v>
      </c>
      <c r="B800" s="141" t="s">
        <v>1068</v>
      </c>
      <c r="C800" s="141" t="s">
        <v>613</v>
      </c>
      <c r="D800" s="141" t="s">
        <v>614</v>
      </c>
      <c r="E800" s="141" t="s">
        <v>110</v>
      </c>
      <c r="F800" s="142">
        <v>1</v>
      </c>
      <c r="G800" s="142">
        <v>100000</v>
      </c>
      <c r="H800" s="95">
        <f t="shared" si="12"/>
        <v>0.1875</v>
      </c>
    </row>
    <row r="801" spans="1:8" customFormat="1" ht="15.75" customHeight="1">
      <c r="A801" s="94">
        <v>796</v>
      </c>
      <c r="B801" s="141" t="s">
        <v>1068</v>
      </c>
      <c r="C801" s="141" t="s">
        <v>680</v>
      </c>
      <c r="D801" s="141" t="s">
        <v>136</v>
      </c>
      <c r="E801" s="141" t="s">
        <v>110</v>
      </c>
      <c r="F801" s="142">
        <v>1</v>
      </c>
      <c r="G801" s="142">
        <v>100000</v>
      </c>
      <c r="H801" s="95">
        <f t="shared" si="12"/>
        <v>0.1875</v>
      </c>
    </row>
    <row r="802" spans="1:8" customFormat="1" ht="15.75" customHeight="1">
      <c r="A802" s="94">
        <v>797</v>
      </c>
      <c r="B802" s="141" t="s">
        <v>1068</v>
      </c>
      <c r="C802" s="141" t="s">
        <v>807</v>
      </c>
      <c r="D802" s="141" t="s">
        <v>96</v>
      </c>
      <c r="E802" s="141" t="s">
        <v>110</v>
      </c>
      <c r="F802" s="142">
        <v>1</v>
      </c>
      <c r="G802" s="142">
        <v>100000</v>
      </c>
      <c r="H802" s="95">
        <f t="shared" si="12"/>
        <v>0.1875</v>
      </c>
    </row>
    <row r="803" spans="1:8" customFormat="1" ht="15.75" customHeight="1">
      <c r="A803" s="94">
        <v>798</v>
      </c>
      <c r="B803" s="141" t="s">
        <v>1160</v>
      </c>
      <c r="C803" s="141" t="s">
        <v>251</v>
      </c>
      <c r="D803" s="141" t="s">
        <v>668</v>
      </c>
      <c r="E803" s="141" t="s">
        <v>110</v>
      </c>
      <c r="F803" s="142">
        <v>1</v>
      </c>
      <c r="G803" s="142">
        <v>100000</v>
      </c>
      <c r="H803" s="95">
        <f t="shared" si="12"/>
        <v>0.1875</v>
      </c>
    </row>
    <row r="804" spans="1:8" customFormat="1" ht="15.75" customHeight="1">
      <c r="A804" s="94">
        <v>799</v>
      </c>
      <c r="B804" s="141" t="s">
        <v>1123</v>
      </c>
      <c r="C804" s="141" t="s">
        <v>563</v>
      </c>
      <c r="D804" s="141" t="s">
        <v>98</v>
      </c>
      <c r="E804" s="141" t="s">
        <v>110</v>
      </c>
      <c r="F804" s="142">
        <v>1</v>
      </c>
      <c r="G804" s="142">
        <v>100000</v>
      </c>
      <c r="H804" s="95">
        <f t="shared" si="12"/>
        <v>0.1875</v>
      </c>
    </row>
    <row r="805" spans="1:8" customFormat="1" ht="15.75" customHeight="1">
      <c r="A805" s="94">
        <v>800</v>
      </c>
      <c r="B805" s="141" t="s">
        <v>1123</v>
      </c>
      <c r="C805" s="141" t="s">
        <v>581</v>
      </c>
      <c r="D805" s="141" t="s">
        <v>582</v>
      </c>
      <c r="E805" s="141" t="s">
        <v>110</v>
      </c>
      <c r="F805" s="142">
        <v>1</v>
      </c>
      <c r="G805" s="142">
        <v>100000</v>
      </c>
      <c r="H805" s="95">
        <f t="shared" si="12"/>
        <v>0.1875</v>
      </c>
    </row>
    <row r="806" spans="1:8" customFormat="1" ht="15.75" customHeight="1">
      <c r="A806" s="94">
        <v>801</v>
      </c>
      <c r="B806" s="141" t="s">
        <v>1123</v>
      </c>
      <c r="C806" s="141" t="s">
        <v>591</v>
      </c>
      <c r="D806" s="141" t="s">
        <v>592</v>
      </c>
      <c r="E806" s="141" t="s">
        <v>110</v>
      </c>
      <c r="F806" s="142">
        <v>1</v>
      </c>
      <c r="G806" s="142">
        <v>100000</v>
      </c>
      <c r="H806" s="95">
        <f t="shared" si="12"/>
        <v>0.1875</v>
      </c>
    </row>
    <row r="807" spans="1:8" customFormat="1" ht="15.75" customHeight="1">
      <c r="A807" s="94">
        <v>802</v>
      </c>
      <c r="B807" s="141" t="s">
        <v>1123</v>
      </c>
      <c r="C807" s="141" t="s">
        <v>596</v>
      </c>
      <c r="D807" s="141" t="s">
        <v>597</v>
      </c>
      <c r="E807" s="141" t="s">
        <v>110</v>
      </c>
      <c r="F807" s="142">
        <v>1</v>
      </c>
      <c r="G807" s="142">
        <v>100000</v>
      </c>
      <c r="H807" s="95">
        <f t="shared" si="12"/>
        <v>0.1875</v>
      </c>
    </row>
    <row r="808" spans="1:8" customFormat="1" ht="15.75" customHeight="1">
      <c r="A808" s="94">
        <v>803</v>
      </c>
      <c r="B808" s="141" t="s">
        <v>1123</v>
      </c>
      <c r="C808" s="141" t="s">
        <v>611</v>
      </c>
      <c r="D808" s="141" t="s">
        <v>96</v>
      </c>
      <c r="E808" s="141" t="s">
        <v>110</v>
      </c>
      <c r="F808" s="142">
        <v>1</v>
      </c>
      <c r="G808" s="142">
        <v>100000</v>
      </c>
      <c r="H808" s="95">
        <f t="shared" si="12"/>
        <v>0.1875</v>
      </c>
    </row>
    <row r="809" spans="1:8" customFormat="1" ht="15.75" customHeight="1">
      <c r="A809" s="94">
        <v>804</v>
      </c>
      <c r="B809" s="141" t="s">
        <v>1123</v>
      </c>
      <c r="C809" s="141" t="s">
        <v>809</v>
      </c>
      <c r="D809" s="141" t="s">
        <v>810</v>
      </c>
      <c r="E809" s="141" t="s">
        <v>110</v>
      </c>
      <c r="F809" s="142">
        <v>1</v>
      </c>
      <c r="G809" s="142">
        <v>100000</v>
      </c>
      <c r="H809" s="95">
        <f t="shared" si="12"/>
        <v>0.1875</v>
      </c>
    </row>
    <row r="810" spans="1:8" customFormat="1" ht="15.75" customHeight="1">
      <c r="A810" s="94">
        <v>805</v>
      </c>
      <c r="B810" s="141" t="s">
        <v>1123</v>
      </c>
      <c r="C810" s="141" t="s">
        <v>837</v>
      </c>
      <c r="D810" s="141" t="s">
        <v>117</v>
      </c>
      <c r="E810" s="141" t="s">
        <v>110</v>
      </c>
      <c r="F810" s="142">
        <v>1</v>
      </c>
      <c r="G810" s="142">
        <v>100000</v>
      </c>
      <c r="H810" s="95">
        <f t="shared" si="12"/>
        <v>0.1875</v>
      </c>
    </row>
    <row r="811" spans="1:8" customFormat="1" ht="15.75" customHeight="1">
      <c r="A811" s="94">
        <v>806</v>
      </c>
      <c r="B811" s="141" t="s">
        <v>1123</v>
      </c>
      <c r="C811" s="141" t="s">
        <v>873</v>
      </c>
      <c r="D811" s="141" t="s">
        <v>874</v>
      </c>
      <c r="E811" s="141" t="s">
        <v>148</v>
      </c>
      <c r="F811" s="142">
        <v>1</v>
      </c>
      <c r="G811" s="142">
        <v>400000</v>
      </c>
      <c r="H811" s="95">
        <f t="shared" si="12"/>
        <v>0.1875</v>
      </c>
    </row>
    <row r="812" spans="1:8" customFormat="1" ht="15.75" customHeight="1">
      <c r="A812" s="94">
        <v>807</v>
      </c>
      <c r="B812" s="141" t="s">
        <v>1123</v>
      </c>
      <c r="C812" s="141" t="s">
        <v>933</v>
      </c>
      <c r="D812" s="141" t="s">
        <v>934</v>
      </c>
      <c r="E812" s="141" t="s">
        <v>110</v>
      </c>
      <c r="F812" s="142">
        <v>1</v>
      </c>
      <c r="G812" s="142">
        <v>100000</v>
      </c>
      <c r="H812" s="95">
        <f t="shared" si="12"/>
        <v>0.1875</v>
      </c>
    </row>
    <row r="813" spans="1:8" customFormat="1" ht="15.75" customHeight="1">
      <c r="A813" s="94">
        <v>808</v>
      </c>
      <c r="B813" s="141" t="s">
        <v>1123</v>
      </c>
      <c r="C813" s="141" t="s">
        <v>964</v>
      </c>
      <c r="D813" s="141" t="s">
        <v>965</v>
      </c>
      <c r="E813" s="141" t="s">
        <v>110</v>
      </c>
      <c r="F813" s="142">
        <v>1</v>
      </c>
      <c r="G813" s="142">
        <v>100000</v>
      </c>
      <c r="H813" s="95">
        <f t="shared" si="12"/>
        <v>0.1875</v>
      </c>
    </row>
    <row r="814" spans="1:8" customFormat="1" ht="15.75" customHeight="1">
      <c r="A814" s="94">
        <v>809</v>
      </c>
      <c r="B814" s="141" t="s">
        <v>1131</v>
      </c>
      <c r="C814" s="141" t="s">
        <v>588</v>
      </c>
      <c r="D814" s="141" t="s">
        <v>589</v>
      </c>
      <c r="E814" s="141" t="s">
        <v>110</v>
      </c>
      <c r="F814" s="142">
        <v>1</v>
      </c>
      <c r="G814" s="142">
        <v>100000</v>
      </c>
      <c r="H814" s="95">
        <f t="shared" si="12"/>
        <v>0.1875</v>
      </c>
    </row>
    <row r="815" spans="1:8" customFormat="1" ht="15.75" customHeight="1">
      <c r="A815" s="94">
        <v>810</v>
      </c>
      <c r="B815" s="141" t="s">
        <v>1207</v>
      </c>
      <c r="C815" s="141" t="s">
        <v>800</v>
      </c>
      <c r="D815" s="141" t="s">
        <v>801</v>
      </c>
      <c r="E815" s="141" t="s">
        <v>110</v>
      </c>
      <c r="F815" s="142">
        <v>1</v>
      </c>
      <c r="G815" s="142">
        <v>100000</v>
      </c>
      <c r="H815" s="95">
        <f t="shared" si="12"/>
        <v>0.1875</v>
      </c>
    </row>
    <row r="816" spans="1:8" customFormat="1" ht="15.75" customHeight="1">
      <c r="A816" s="94">
        <v>811</v>
      </c>
      <c r="B816" s="141" t="s">
        <v>1070</v>
      </c>
      <c r="C816" s="141" t="s">
        <v>613</v>
      </c>
      <c r="D816" s="141" t="s">
        <v>614</v>
      </c>
      <c r="E816" s="141" t="s">
        <v>110</v>
      </c>
      <c r="F816" s="142">
        <v>1</v>
      </c>
      <c r="G816" s="142">
        <v>100000</v>
      </c>
      <c r="H816" s="95">
        <f t="shared" si="12"/>
        <v>0.1875</v>
      </c>
    </row>
    <row r="817" spans="1:8" customFormat="1" ht="15.75" customHeight="1">
      <c r="A817" s="94">
        <v>812</v>
      </c>
      <c r="B817" s="141" t="s">
        <v>1236</v>
      </c>
      <c r="C817" s="141" t="s">
        <v>933</v>
      </c>
      <c r="D817" s="141" t="s">
        <v>934</v>
      </c>
      <c r="E817" s="141" t="s">
        <v>110</v>
      </c>
      <c r="F817" s="142">
        <v>1</v>
      </c>
      <c r="G817" s="142">
        <v>100000</v>
      </c>
      <c r="H817" s="95">
        <f t="shared" si="12"/>
        <v>0.1875</v>
      </c>
    </row>
    <row r="818" spans="1:8" customFormat="1" ht="15.75" customHeight="1">
      <c r="A818" s="94">
        <v>813</v>
      </c>
      <c r="B818" s="141" t="s">
        <v>1159</v>
      </c>
      <c r="C818" s="141" t="s">
        <v>251</v>
      </c>
      <c r="D818" s="141" t="s">
        <v>668</v>
      </c>
      <c r="E818" s="141" t="s">
        <v>110</v>
      </c>
      <c r="F818" s="142">
        <v>1</v>
      </c>
      <c r="G818" s="142">
        <v>100000</v>
      </c>
      <c r="H818" s="95">
        <f t="shared" si="12"/>
        <v>0.1875</v>
      </c>
    </row>
    <row r="819" spans="1:8" customFormat="1" ht="15.75" customHeight="1">
      <c r="A819" s="94">
        <v>814</v>
      </c>
      <c r="B819" s="141" t="s">
        <v>1124</v>
      </c>
      <c r="C819" s="141" t="s">
        <v>563</v>
      </c>
      <c r="D819" s="141" t="s">
        <v>98</v>
      </c>
      <c r="E819" s="141" t="s">
        <v>110</v>
      </c>
      <c r="F819" s="142">
        <v>1</v>
      </c>
      <c r="G819" s="142">
        <v>100000</v>
      </c>
      <c r="H819" s="95">
        <f t="shared" si="12"/>
        <v>0.1875</v>
      </c>
    </row>
    <row r="820" spans="1:8" customFormat="1" ht="15.75" customHeight="1">
      <c r="A820" s="94">
        <v>815</v>
      </c>
      <c r="B820" s="141" t="s">
        <v>1124</v>
      </c>
      <c r="C820" s="141" t="s">
        <v>581</v>
      </c>
      <c r="D820" s="141" t="s">
        <v>582</v>
      </c>
      <c r="E820" s="141" t="s">
        <v>110</v>
      </c>
      <c r="F820" s="142">
        <v>1</v>
      </c>
      <c r="G820" s="142">
        <v>100000</v>
      </c>
      <c r="H820" s="95">
        <f t="shared" si="12"/>
        <v>0.1875</v>
      </c>
    </row>
    <row r="821" spans="1:8" customFormat="1" ht="15.75" customHeight="1">
      <c r="A821" s="94">
        <v>816</v>
      </c>
      <c r="B821" s="141" t="s">
        <v>1124</v>
      </c>
      <c r="C821" s="141" t="s">
        <v>596</v>
      </c>
      <c r="D821" s="141" t="s">
        <v>597</v>
      </c>
      <c r="E821" s="141" t="s">
        <v>110</v>
      </c>
      <c r="F821" s="142">
        <v>1</v>
      </c>
      <c r="G821" s="142">
        <v>100000</v>
      </c>
      <c r="H821" s="95">
        <f t="shared" si="12"/>
        <v>0.1875</v>
      </c>
    </row>
    <row r="822" spans="1:8" customFormat="1" ht="15.75" customHeight="1">
      <c r="A822" s="94">
        <v>817</v>
      </c>
      <c r="B822" s="141" t="s">
        <v>1124</v>
      </c>
      <c r="C822" s="141" t="s">
        <v>611</v>
      </c>
      <c r="D822" s="141" t="s">
        <v>96</v>
      </c>
      <c r="E822" s="141" t="s">
        <v>110</v>
      </c>
      <c r="F822" s="142">
        <v>1</v>
      </c>
      <c r="G822" s="142">
        <v>100000</v>
      </c>
      <c r="H822" s="95">
        <f t="shared" si="12"/>
        <v>0.1875</v>
      </c>
    </row>
    <row r="823" spans="1:8" customFormat="1" ht="15.75" customHeight="1">
      <c r="A823" s="94">
        <v>818</v>
      </c>
      <c r="B823" s="141" t="s">
        <v>1124</v>
      </c>
      <c r="C823" s="141" t="s">
        <v>800</v>
      </c>
      <c r="D823" s="141" t="s">
        <v>801</v>
      </c>
      <c r="E823" s="141" t="s">
        <v>110</v>
      </c>
      <c r="F823" s="142">
        <v>1</v>
      </c>
      <c r="G823" s="142">
        <v>100000</v>
      </c>
      <c r="H823" s="95">
        <f t="shared" si="12"/>
        <v>0.1875</v>
      </c>
    </row>
    <row r="824" spans="1:8" customFormat="1" ht="15.75" customHeight="1">
      <c r="A824" s="94">
        <v>819</v>
      </c>
      <c r="B824" s="141" t="s">
        <v>1124</v>
      </c>
      <c r="C824" s="141" t="s">
        <v>809</v>
      </c>
      <c r="D824" s="141" t="s">
        <v>810</v>
      </c>
      <c r="E824" s="141" t="s">
        <v>110</v>
      </c>
      <c r="F824" s="142">
        <v>1</v>
      </c>
      <c r="G824" s="142">
        <v>100000</v>
      </c>
      <c r="H824" s="95">
        <f t="shared" ref="H824:H887" si="13">25%*75%</f>
        <v>0.1875</v>
      </c>
    </row>
    <row r="825" spans="1:8" customFormat="1" ht="15.75" customHeight="1">
      <c r="A825" s="94">
        <v>820</v>
      </c>
      <c r="B825" s="141" t="s">
        <v>1135</v>
      </c>
      <c r="C825" s="141" t="s">
        <v>596</v>
      </c>
      <c r="D825" s="141" t="s">
        <v>597</v>
      </c>
      <c r="E825" s="141" t="s">
        <v>110</v>
      </c>
      <c r="F825" s="142">
        <v>1</v>
      </c>
      <c r="G825" s="142">
        <v>100000</v>
      </c>
      <c r="H825" s="95">
        <f t="shared" si="13"/>
        <v>0.1875</v>
      </c>
    </row>
    <row r="826" spans="1:8" customFormat="1" ht="15.75" customHeight="1">
      <c r="A826" s="94">
        <v>821</v>
      </c>
      <c r="B826" s="141" t="s">
        <v>1136</v>
      </c>
      <c r="C826" s="141" t="s">
        <v>596</v>
      </c>
      <c r="D826" s="141" t="s">
        <v>597</v>
      </c>
      <c r="E826" s="141" t="s">
        <v>110</v>
      </c>
      <c r="F826" s="142">
        <v>1</v>
      </c>
      <c r="G826" s="142">
        <v>100000</v>
      </c>
      <c r="H826" s="95">
        <f t="shared" si="13"/>
        <v>0.1875</v>
      </c>
    </row>
    <row r="827" spans="1:8" customFormat="1" ht="15.75" customHeight="1">
      <c r="A827" s="94">
        <v>822</v>
      </c>
      <c r="B827" s="141" t="s">
        <v>1125</v>
      </c>
      <c r="C827" s="141" t="s">
        <v>563</v>
      </c>
      <c r="D827" s="141" t="s">
        <v>98</v>
      </c>
      <c r="E827" s="141" t="s">
        <v>110</v>
      </c>
      <c r="F827" s="142">
        <v>1</v>
      </c>
      <c r="G827" s="142">
        <v>100000</v>
      </c>
      <c r="H827" s="95">
        <f t="shared" si="13"/>
        <v>0.1875</v>
      </c>
    </row>
    <row r="828" spans="1:8" customFormat="1" ht="15.75" customHeight="1">
      <c r="A828" s="94">
        <v>823</v>
      </c>
      <c r="B828" s="141" t="s">
        <v>1134</v>
      </c>
      <c r="C828" s="141" t="s">
        <v>596</v>
      </c>
      <c r="D828" s="141" t="s">
        <v>597</v>
      </c>
      <c r="E828" s="141" t="s">
        <v>110</v>
      </c>
      <c r="F828" s="142">
        <v>1</v>
      </c>
      <c r="G828" s="142">
        <v>100000</v>
      </c>
      <c r="H828" s="95">
        <f t="shared" si="13"/>
        <v>0.1875</v>
      </c>
    </row>
    <row r="829" spans="1:8" customFormat="1" ht="15.75" customHeight="1">
      <c r="A829" s="94">
        <v>824</v>
      </c>
      <c r="B829" s="141" t="s">
        <v>1127</v>
      </c>
      <c r="C829" s="141" t="s">
        <v>563</v>
      </c>
      <c r="D829" s="141" t="s">
        <v>98</v>
      </c>
      <c r="E829" s="141" t="s">
        <v>1126</v>
      </c>
      <c r="F829" s="142">
        <v>1</v>
      </c>
      <c r="G829" s="142">
        <v>150000</v>
      </c>
      <c r="H829" s="95">
        <f t="shared" si="13"/>
        <v>0.1875</v>
      </c>
    </row>
    <row r="830" spans="1:8" customFormat="1" ht="15.75" customHeight="1">
      <c r="A830" s="94">
        <v>825</v>
      </c>
      <c r="B830" s="141" t="s">
        <v>1642</v>
      </c>
      <c r="C830" s="141" t="s">
        <v>1640</v>
      </c>
      <c r="D830" s="141" t="s">
        <v>159</v>
      </c>
      <c r="E830" s="141" t="s">
        <v>1641</v>
      </c>
      <c r="F830" s="142">
        <v>1</v>
      </c>
      <c r="G830" s="142">
        <v>89500</v>
      </c>
      <c r="H830" s="95">
        <f t="shared" si="13"/>
        <v>0.1875</v>
      </c>
    </row>
    <row r="831" spans="1:8" customFormat="1" ht="15.75" customHeight="1">
      <c r="A831" s="94">
        <v>826</v>
      </c>
      <c r="B831" s="141" t="s">
        <v>1491</v>
      </c>
      <c r="C831" s="141" t="s">
        <v>231</v>
      </c>
      <c r="D831" s="141" t="s">
        <v>103</v>
      </c>
      <c r="E831" s="141" t="s">
        <v>38</v>
      </c>
      <c r="F831" s="142">
        <v>1</v>
      </c>
      <c r="G831" s="142">
        <v>40300</v>
      </c>
      <c r="H831" s="95">
        <f t="shared" si="13"/>
        <v>0.1875</v>
      </c>
    </row>
    <row r="832" spans="1:8" customFormat="1" ht="15.75" customHeight="1">
      <c r="A832" s="94">
        <v>827</v>
      </c>
      <c r="B832" s="141" t="s">
        <v>1391</v>
      </c>
      <c r="C832" s="141" t="s">
        <v>254</v>
      </c>
      <c r="D832" s="141" t="s">
        <v>255</v>
      </c>
      <c r="E832" s="141" t="s">
        <v>39</v>
      </c>
      <c r="F832" s="142">
        <v>1</v>
      </c>
      <c r="G832" s="142">
        <v>40300</v>
      </c>
      <c r="H832" s="95">
        <f t="shared" si="13"/>
        <v>0.1875</v>
      </c>
    </row>
    <row r="833" spans="1:8" customFormat="1" ht="15.75" customHeight="1">
      <c r="A833" s="94">
        <v>828</v>
      </c>
      <c r="B833" s="141" t="s">
        <v>1658</v>
      </c>
      <c r="C833" s="141" t="s">
        <v>1656</v>
      </c>
      <c r="D833" s="141" t="s">
        <v>1657</v>
      </c>
      <c r="E833" s="141" t="s">
        <v>121</v>
      </c>
      <c r="F833" s="142">
        <v>1</v>
      </c>
      <c r="G833" s="142">
        <v>372700</v>
      </c>
      <c r="H833" s="95">
        <f t="shared" si="13"/>
        <v>0.1875</v>
      </c>
    </row>
    <row r="834" spans="1:8" customFormat="1" ht="15.75" customHeight="1">
      <c r="A834" s="94">
        <v>829</v>
      </c>
      <c r="B834" s="141" t="s">
        <v>1705</v>
      </c>
      <c r="C834" s="141" t="s">
        <v>1594</v>
      </c>
      <c r="D834" s="141" t="s">
        <v>1595</v>
      </c>
      <c r="E834" s="141" t="s">
        <v>1700</v>
      </c>
      <c r="F834" s="142">
        <v>1</v>
      </c>
      <c r="G834" s="142">
        <v>434600</v>
      </c>
      <c r="H834" s="95">
        <f t="shared" si="13"/>
        <v>0.1875</v>
      </c>
    </row>
    <row r="835" spans="1:8" customFormat="1" ht="15.75" customHeight="1">
      <c r="A835" s="94">
        <v>830</v>
      </c>
      <c r="B835" s="141" t="s">
        <v>1714</v>
      </c>
      <c r="C835" s="141" t="s">
        <v>1572</v>
      </c>
      <c r="D835" s="141" t="s">
        <v>107</v>
      </c>
      <c r="E835" s="141" t="s">
        <v>121</v>
      </c>
      <c r="F835" s="142">
        <v>1</v>
      </c>
      <c r="G835" s="142">
        <v>372700</v>
      </c>
      <c r="H835" s="95">
        <f t="shared" si="13"/>
        <v>0.1875</v>
      </c>
    </row>
    <row r="836" spans="1:8" customFormat="1" ht="15.75" customHeight="1">
      <c r="A836" s="94">
        <v>831</v>
      </c>
      <c r="B836" s="141" t="s">
        <v>1662</v>
      </c>
      <c r="C836" s="141" t="s">
        <v>1659</v>
      </c>
      <c r="D836" s="141" t="s">
        <v>1660</v>
      </c>
      <c r="E836" s="141" t="s">
        <v>1661</v>
      </c>
      <c r="F836" s="142">
        <v>1</v>
      </c>
      <c r="G836" s="142">
        <v>400000</v>
      </c>
      <c r="H836" s="95">
        <f t="shared" si="13"/>
        <v>0.1875</v>
      </c>
    </row>
    <row r="837" spans="1:8" customFormat="1" ht="15.75" customHeight="1">
      <c r="A837" s="94">
        <v>832</v>
      </c>
      <c r="B837" s="141" t="s">
        <v>1318</v>
      </c>
      <c r="C837" s="141" t="s">
        <v>253</v>
      </c>
      <c r="D837" s="141" t="s">
        <v>212</v>
      </c>
      <c r="E837" s="141" t="s">
        <v>110</v>
      </c>
      <c r="F837" s="142">
        <v>1</v>
      </c>
      <c r="G837" s="142">
        <v>64300</v>
      </c>
      <c r="H837" s="95">
        <f t="shared" si="13"/>
        <v>0.1875</v>
      </c>
    </row>
    <row r="838" spans="1:8" customFormat="1" ht="15.75" customHeight="1">
      <c r="A838" s="94">
        <v>833</v>
      </c>
      <c r="B838" s="141" t="s">
        <v>1701</v>
      </c>
      <c r="C838" s="141" t="s">
        <v>1588</v>
      </c>
      <c r="D838" s="141" t="s">
        <v>1589</v>
      </c>
      <c r="E838" s="141" t="s">
        <v>1700</v>
      </c>
      <c r="F838" s="142">
        <v>1</v>
      </c>
      <c r="G838" s="142">
        <v>434600</v>
      </c>
      <c r="H838" s="95">
        <f t="shared" si="13"/>
        <v>0.1875</v>
      </c>
    </row>
    <row r="839" spans="1:8" customFormat="1" ht="15.75" customHeight="1">
      <c r="A839" s="94">
        <v>834</v>
      </c>
      <c r="B839" s="141" t="s">
        <v>1299</v>
      </c>
      <c r="C839" s="141" t="s">
        <v>277</v>
      </c>
      <c r="D839" s="141" t="s">
        <v>278</v>
      </c>
      <c r="E839" s="141" t="s">
        <v>110</v>
      </c>
      <c r="F839" s="142">
        <v>1</v>
      </c>
      <c r="G839" s="142">
        <v>100000</v>
      </c>
      <c r="H839" s="95">
        <f t="shared" si="13"/>
        <v>0.1875</v>
      </c>
    </row>
    <row r="840" spans="1:8" customFormat="1" ht="15.75" customHeight="1">
      <c r="A840" s="94">
        <v>835</v>
      </c>
      <c r="B840" s="141" t="s">
        <v>1576</v>
      </c>
      <c r="C840" s="141" t="s">
        <v>1575</v>
      </c>
      <c r="D840" s="141" t="s">
        <v>94</v>
      </c>
      <c r="E840" s="141" t="s">
        <v>121</v>
      </c>
      <c r="F840" s="142">
        <v>1</v>
      </c>
      <c r="G840" s="142">
        <v>372700</v>
      </c>
      <c r="H840" s="95">
        <f t="shared" si="13"/>
        <v>0.1875</v>
      </c>
    </row>
    <row r="841" spans="1:8" customFormat="1" ht="15.75" customHeight="1">
      <c r="A841" s="94">
        <v>836</v>
      </c>
      <c r="B841" s="141" t="s">
        <v>1587</v>
      </c>
      <c r="C841" s="141" t="s">
        <v>1585</v>
      </c>
      <c r="D841" s="141" t="s">
        <v>1542</v>
      </c>
      <c r="E841" s="141" t="s">
        <v>121</v>
      </c>
      <c r="F841" s="142">
        <v>1</v>
      </c>
      <c r="G841" s="142">
        <v>372700</v>
      </c>
      <c r="H841" s="95">
        <f t="shared" si="13"/>
        <v>0.1875</v>
      </c>
    </row>
    <row r="842" spans="1:8" customFormat="1" ht="15.75" customHeight="1">
      <c r="A842" s="94">
        <v>837</v>
      </c>
      <c r="B842" s="141" t="s">
        <v>1678</v>
      </c>
      <c r="C842" s="141" t="s">
        <v>1676</v>
      </c>
      <c r="D842" s="141" t="s">
        <v>1677</v>
      </c>
      <c r="E842" s="141" t="s">
        <v>56</v>
      </c>
      <c r="F842" s="142">
        <v>1</v>
      </c>
      <c r="G842" s="142">
        <v>257000</v>
      </c>
      <c r="H842" s="95">
        <f t="shared" si="13"/>
        <v>0.1875</v>
      </c>
    </row>
    <row r="843" spans="1:8" customFormat="1" ht="15.75" customHeight="1">
      <c r="A843" s="94">
        <v>838</v>
      </c>
      <c r="B843" s="141" t="s">
        <v>1385</v>
      </c>
      <c r="C843" s="141" t="s">
        <v>1383</v>
      </c>
      <c r="D843" s="141" t="s">
        <v>1384</v>
      </c>
      <c r="E843" s="141" t="s">
        <v>91</v>
      </c>
      <c r="F843" s="142">
        <v>1</v>
      </c>
      <c r="G843" s="142">
        <v>384000</v>
      </c>
      <c r="H843" s="95">
        <f t="shared" si="13"/>
        <v>0.1875</v>
      </c>
    </row>
    <row r="844" spans="1:8" customFormat="1" ht="15.75" customHeight="1">
      <c r="A844" s="94">
        <v>839</v>
      </c>
      <c r="B844" s="141" t="s">
        <v>1251</v>
      </c>
      <c r="C844" s="141" t="s">
        <v>1513</v>
      </c>
      <c r="D844" s="141" t="s">
        <v>1514</v>
      </c>
      <c r="E844" s="141" t="s">
        <v>151</v>
      </c>
      <c r="F844" s="142">
        <v>1</v>
      </c>
      <c r="G844" s="142">
        <v>300000</v>
      </c>
      <c r="H844" s="95">
        <f t="shared" si="13"/>
        <v>0.1875</v>
      </c>
    </row>
    <row r="845" spans="1:8" customFormat="1" ht="15.75" customHeight="1">
      <c r="A845" s="94">
        <v>840</v>
      </c>
      <c r="B845" s="141" t="s">
        <v>1429</v>
      </c>
      <c r="C845" s="141" t="s">
        <v>293</v>
      </c>
      <c r="D845" s="141" t="s">
        <v>294</v>
      </c>
      <c r="E845" s="141" t="s">
        <v>55</v>
      </c>
      <c r="F845" s="142">
        <v>1</v>
      </c>
      <c r="G845" s="142">
        <v>126700</v>
      </c>
      <c r="H845" s="95">
        <f t="shared" si="13"/>
        <v>0.1875</v>
      </c>
    </row>
    <row r="846" spans="1:8" customFormat="1" ht="15.75" customHeight="1">
      <c r="A846" s="94">
        <v>841</v>
      </c>
      <c r="B846" s="141" t="s">
        <v>1254</v>
      </c>
      <c r="C846" s="141" t="s">
        <v>298</v>
      </c>
      <c r="D846" s="141" t="s">
        <v>107</v>
      </c>
      <c r="E846" s="141" t="s">
        <v>110</v>
      </c>
      <c r="F846" s="142">
        <v>1</v>
      </c>
      <c r="G846" s="142">
        <v>100000</v>
      </c>
      <c r="H846" s="95">
        <f t="shared" si="13"/>
        <v>0.1875</v>
      </c>
    </row>
    <row r="847" spans="1:8" customFormat="1" ht="15.75" customHeight="1">
      <c r="A847" s="94">
        <v>842</v>
      </c>
      <c r="B847" s="141" t="s">
        <v>1636</v>
      </c>
      <c r="C847" s="141" t="s">
        <v>1634</v>
      </c>
      <c r="D847" s="141" t="s">
        <v>1635</v>
      </c>
      <c r="E847" s="141" t="s">
        <v>91</v>
      </c>
      <c r="F847" s="142">
        <v>1</v>
      </c>
      <c r="G847" s="142">
        <v>104400</v>
      </c>
      <c r="H847" s="95">
        <f t="shared" si="13"/>
        <v>0.1875</v>
      </c>
    </row>
    <row r="848" spans="1:8" customFormat="1" ht="15.75" customHeight="1">
      <c r="A848" s="94">
        <v>843</v>
      </c>
      <c r="B848" s="141" t="s">
        <v>1320</v>
      </c>
      <c r="C848" s="141" t="s">
        <v>248</v>
      </c>
      <c r="D848" s="141" t="s">
        <v>249</v>
      </c>
      <c r="E848" s="141" t="s">
        <v>110</v>
      </c>
      <c r="F848" s="142">
        <v>1</v>
      </c>
      <c r="G848" s="142">
        <v>64300</v>
      </c>
      <c r="H848" s="95">
        <f t="shared" si="13"/>
        <v>0.1875</v>
      </c>
    </row>
    <row r="849" spans="1:8" customFormat="1" ht="15.75" customHeight="1">
      <c r="A849" s="94">
        <v>844</v>
      </c>
      <c r="B849" s="141" t="s">
        <v>1709</v>
      </c>
      <c r="C849" s="141" t="s">
        <v>1419</v>
      </c>
      <c r="D849" s="141" t="s">
        <v>1420</v>
      </c>
      <c r="E849" s="141" t="s">
        <v>116</v>
      </c>
      <c r="F849" s="142">
        <v>1</v>
      </c>
      <c r="G849" s="142">
        <v>372700</v>
      </c>
      <c r="H849" s="95">
        <f t="shared" si="13"/>
        <v>0.1875</v>
      </c>
    </row>
    <row r="850" spans="1:8" customFormat="1" ht="15.75" customHeight="1">
      <c r="A850" s="94">
        <v>845</v>
      </c>
      <c r="B850" s="141" t="s">
        <v>1357</v>
      </c>
      <c r="C850" s="141" t="s">
        <v>1356</v>
      </c>
      <c r="D850" s="141" t="s">
        <v>104</v>
      </c>
      <c r="E850" s="141" t="s">
        <v>34</v>
      </c>
      <c r="F850" s="142">
        <v>1</v>
      </c>
      <c r="G850" s="142">
        <v>384000</v>
      </c>
      <c r="H850" s="95">
        <f t="shared" si="13"/>
        <v>0.1875</v>
      </c>
    </row>
    <row r="851" spans="1:8" customFormat="1" ht="15.75" customHeight="1">
      <c r="A851" s="94">
        <v>846</v>
      </c>
      <c r="B851" s="141" t="s">
        <v>1326</v>
      </c>
      <c r="C851" s="141" t="s">
        <v>239</v>
      </c>
      <c r="D851" s="141" t="s">
        <v>106</v>
      </c>
      <c r="E851" s="141" t="s">
        <v>110</v>
      </c>
      <c r="F851" s="142">
        <v>1</v>
      </c>
      <c r="G851" s="142">
        <v>64300</v>
      </c>
      <c r="H851" s="95">
        <f t="shared" si="13"/>
        <v>0.1875</v>
      </c>
    </row>
    <row r="852" spans="1:8" customFormat="1" ht="15.75" customHeight="1">
      <c r="A852" s="94">
        <v>847</v>
      </c>
      <c r="B852" s="141" t="s">
        <v>1331</v>
      </c>
      <c r="C852" s="141" t="s">
        <v>232</v>
      </c>
      <c r="D852" s="141" t="s">
        <v>233</v>
      </c>
      <c r="E852" s="141" t="s">
        <v>110</v>
      </c>
      <c r="F852" s="142">
        <v>1</v>
      </c>
      <c r="G852" s="142">
        <v>64300</v>
      </c>
      <c r="H852" s="95">
        <f t="shared" si="13"/>
        <v>0.1875</v>
      </c>
    </row>
    <row r="853" spans="1:8" customFormat="1" ht="15.75" customHeight="1">
      <c r="A853" s="94">
        <v>848</v>
      </c>
      <c r="B853" s="141" t="s">
        <v>1331</v>
      </c>
      <c r="C853" s="141" t="s">
        <v>237</v>
      </c>
      <c r="D853" s="141" t="s">
        <v>106</v>
      </c>
      <c r="E853" s="141" t="s">
        <v>38</v>
      </c>
      <c r="F853" s="142">
        <v>1</v>
      </c>
      <c r="G853" s="142">
        <v>40300</v>
      </c>
      <c r="H853" s="95">
        <f t="shared" si="13"/>
        <v>0.1875</v>
      </c>
    </row>
    <row r="854" spans="1:8" customFormat="1" ht="15.75" customHeight="1">
      <c r="A854" s="94">
        <v>849</v>
      </c>
      <c r="B854" s="141" t="s">
        <v>1436</v>
      </c>
      <c r="C854" s="141" t="s">
        <v>243</v>
      </c>
      <c r="D854" s="141" t="s">
        <v>244</v>
      </c>
      <c r="E854" s="141" t="s">
        <v>38</v>
      </c>
      <c r="F854" s="142">
        <v>1</v>
      </c>
      <c r="G854" s="142">
        <v>40300</v>
      </c>
      <c r="H854" s="95">
        <f t="shared" si="13"/>
        <v>0.1875</v>
      </c>
    </row>
    <row r="855" spans="1:8" customFormat="1" ht="15.75" customHeight="1">
      <c r="A855" s="94">
        <v>850</v>
      </c>
      <c r="B855" s="141" t="s">
        <v>1295</v>
      </c>
      <c r="C855" s="141" t="s">
        <v>220</v>
      </c>
      <c r="D855" s="141" t="s">
        <v>221</v>
      </c>
      <c r="E855" s="141" t="s">
        <v>110</v>
      </c>
      <c r="F855" s="142">
        <v>1</v>
      </c>
      <c r="G855" s="142">
        <v>100000</v>
      </c>
      <c r="H855" s="95">
        <f t="shared" si="13"/>
        <v>0.1875</v>
      </c>
    </row>
    <row r="856" spans="1:8" customFormat="1" ht="15.75" customHeight="1">
      <c r="A856" s="94">
        <v>851</v>
      </c>
      <c r="B856" s="141" t="s">
        <v>1512</v>
      </c>
      <c r="C856" s="141" t="s">
        <v>1510</v>
      </c>
      <c r="D856" s="141" t="s">
        <v>1511</v>
      </c>
      <c r="E856" s="141" t="s">
        <v>92</v>
      </c>
      <c r="F856" s="142">
        <v>1</v>
      </c>
      <c r="G856" s="142">
        <v>547000</v>
      </c>
      <c r="H856" s="95">
        <f t="shared" si="13"/>
        <v>0.1875</v>
      </c>
    </row>
    <row r="857" spans="1:8" customFormat="1" ht="15.75" customHeight="1">
      <c r="A857" s="94">
        <v>852</v>
      </c>
      <c r="B857" s="141" t="s">
        <v>1190</v>
      </c>
      <c r="C857" s="141" t="s">
        <v>1637</v>
      </c>
      <c r="D857" s="141" t="s">
        <v>1638</v>
      </c>
      <c r="E857" s="141" t="s">
        <v>142</v>
      </c>
      <c r="F857" s="142">
        <v>1</v>
      </c>
      <c r="G857" s="142">
        <v>129600</v>
      </c>
      <c r="H857" s="95">
        <f t="shared" si="13"/>
        <v>0.1875</v>
      </c>
    </row>
    <row r="858" spans="1:8" customFormat="1" ht="15.75" customHeight="1">
      <c r="A858" s="94">
        <v>853</v>
      </c>
      <c r="B858" s="141" t="s">
        <v>1615</v>
      </c>
      <c r="C858" s="141" t="s">
        <v>1613</v>
      </c>
      <c r="D858" s="141" t="s">
        <v>1614</v>
      </c>
      <c r="E858" s="141" t="s">
        <v>142</v>
      </c>
      <c r="F858" s="142">
        <v>1</v>
      </c>
      <c r="G858" s="142">
        <v>129600</v>
      </c>
      <c r="H858" s="95">
        <f t="shared" si="13"/>
        <v>0.1875</v>
      </c>
    </row>
    <row r="859" spans="1:8" customFormat="1" ht="15.75" customHeight="1">
      <c r="A859" s="94">
        <v>854</v>
      </c>
      <c r="B859" s="141" t="s">
        <v>1540</v>
      </c>
      <c r="C859" s="141" t="s">
        <v>226</v>
      </c>
      <c r="D859" s="141" t="s">
        <v>227</v>
      </c>
      <c r="E859" s="141" t="s">
        <v>38</v>
      </c>
      <c r="F859" s="142">
        <v>1</v>
      </c>
      <c r="G859" s="142">
        <v>40300</v>
      </c>
      <c r="H859" s="95">
        <f t="shared" si="13"/>
        <v>0.1875</v>
      </c>
    </row>
    <row r="860" spans="1:8" customFormat="1" ht="15.75" customHeight="1">
      <c r="A860" s="94">
        <v>855</v>
      </c>
      <c r="B860" s="141" t="s">
        <v>1290</v>
      </c>
      <c r="C860" s="141" t="s">
        <v>169</v>
      </c>
      <c r="D860" s="141" t="s">
        <v>123</v>
      </c>
      <c r="E860" s="141" t="s">
        <v>110</v>
      </c>
      <c r="F860" s="142">
        <v>1</v>
      </c>
      <c r="G860" s="142">
        <v>100000</v>
      </c>
      <c r="H860" s="95">
        <f t="shared" si="13"/>
        <v>0.1875</v>
      </c>
    </row>
    <row r="861" spans="1:8" customFormat="1" ht="15.75" customHeight="1">
      <c r="A861" s="94">
        <v>856</v>
      </c>
      <c r="B861" s="141" t="s">
        <v>1548</v>
      </c>
      <c r="C861" s="141" t="s">
        <v>1546</v>
      </c>
      <c r="D861" s="141" t="s">
        <v>1547</v>
      </c>
      <c r="E861" s="141" t="s">
        <v>112</v>
      </c>
      <c r="F861" s="142">
        <v>1</v>
      </c>
      <c r="G861" s="142">
        <v>300000</v>
      </c>
      <c r="H861" s="95">
        <f t="shared" si="13"/>
        <v>0.1875</v>
      </c>
    </row>
    <row r="862" spans="1:8" customFormat="1" ht="15.75" customHeight="1">
      <c r="A862" s="94">
        <v>857</v>
      </c>
      <c r="B862" s="141" t="s">
        <v>1646</v>
      </c>
      <c r="C862" s="141" t="s">
        <v>1644</v>
      </c>
      <c r="D862" s="141" t="s">
        <v>1645</v>
      </c>
      <c r="E862" s="141" t="s">
        <v>39</v>
      </c>
      <c r="F862" s="142">
        <v>1</v>
      </c>
      <c r="G862" s="142">
        <v>40300</v>
      </c>
      <c r="H862" s="95">
        <f t="shared" si="13"/>
        <v>0.1875</v>
      </c>
    </row>
    <row r="863" spans="1:8" customFormat="1" ht="15.75" customHeight="1">
      <c r="A863" s="94">
        <v>858</v>
      </c>
      <c r="B863" s="141" t="s">
        <v>1550</v>
      </c>
      <c r="C863" s="141" t="s">
        <v>170</v>
      </c>
      <c r="D863" s="141" t="s">
        <v>171</v>
      </c>
      <c r="E863" s="141" t="s">
        <v>1549</v>
      </c>
      <c r="F863" s="142">
        <v>1</v>
      </c>
      <c r="G863" s="142">
        <v>150000</v>
      </c>
      <c r="H863" s="95">
        <f t="shared" si="13"/>
        <v>0.1875</v>
      </c>
    </row>
    <row r="864" spans="1:8" customFormat="1" ht="15.75" customHeight="1">
      <c r="A864" s="94">
        <v>859</v>
      </c>
      <c r="B864" s="141" t="s">
        <v>1490</v>
      </c>
      <c r="C864" s="141" t="s">
        <v>198</v>
      </c>
      <c r="D864" s="141" t="s">
        <v>132</v>
      </c>
      <c r="E864" s="141" t="s">
        <v>112</v>
      </c>
      <c r="F864" s="142">
        <v>1</v>
      </c>
      <c r="G864" s="142">
        <v>300000</v>
      </c>
      <c r="H864" s="95">
        <f t="shared" si="13"/>
        <v>0.1875</v>
      </c>
    </row>
    <row r="865" spans="1:8" customFormat="1" ht="15.75" customHeight="1">
      <c r="A865" s="94">
        <v>860</v>
      </c>
      <c r="B865" s="141" t="s">
        <v>1365</v>
      </c>
      <c r="C865" s="141" t="s">
        <v>1363</v>
      </c>
      <c r="D865" s="141" t="s">
        <v>1364</v>
      </c>
      <c r="E865" s="141" t="s">
        <v>119</v>
      </c>
      <c r="F865" s="142">
        <v>1</v>
      </c>
      <c r="G865" s="142">
        <v>500000</v>
      </c>
      <c r="H865" s="95">
        <f t="shared" si="13"/>
        <v>0.1875</v>
      </c>
    </row>
    <row r="866" spans="1:8" customFormat="1" ht="15.75" customHeight="1">
      <c r="A866" s="94">
        <v>861</v>
      </c>
      <c r="B866" s="141" t="s">
        <v>1625</v>
      </c>
      <c r="C866" s="141" t="s">
        <v>1623</v>
      </c>
      <c r="D866" s="141" t="s">
        <v>1624</v>
      </c>
      <c r="E866" s="141" t="s">
        <v>34</v>
      </c>
      <c r="F866" s="142">
        <v>1</v>
      </c>
      <c r="G866" s="142">
        <v>104400</v>
      </c>
      <c r="H866" s="95">
        <f t="shared" si="13"/>
        <v>0.1875</v>
      </c>
    </row>
    <row r="867" spans="1:8" customFormat="1" ht="15.75" customHeight="1">
      <c r="A867" s="94">
        <v>862</v>
      </c>
      <c r="B867" s="141" t="s">
        <v>1574</v>
      </c>
      <c r="C867" s="141" t="s">
        <v>187</v>
      </c>
      <c r="D867" s="141" t="s">
        <v>136</v>
      </c>
      <c r="E867" s="141" t="s">
        <v>39</v>
      </c>
      <c r="F867" s="142">
        <v>1</v>
      </c>
      <c r="G867" s="142">
        <v>40300</v>
      </c>
      <c r="H867" s="95">
        <f t="shared" si="13"/>
        <v>0.1875</v>
      </c>
    </row>
    <row r="868" spans="1:8" customFormat="1" ht="15.75" customHeight="1">
      <c r="A868" s="94">
        <v>863</v>
      </c>
      <c r="B868" s="141" t="s">
        <v>1560</v>
      </c>
      <c r="C868" s="141" t="s">
        <v>1557</v>
      </c>
      <c r="D868" s="141" t="s">
        <v>1558</v>
      </c>
      <c r="E868" s="141" t="s">
        <v>56</v>
      </c>
      <c r="F868" s="142">
        <v>1</v>
      </c>
      <c r="G868" s="142">
        <v>400000</v>
      </c>
      <c r="H868" s="95">
        <f t="shared" si="13"/>
        <v>0.1875</v>
      </c>
    </row>
    <row r="869" spans="1:8" customFormat="1" ht="15.75" customHeight="1">
      <c r="A869" s="94">
        <v>864</v>
      </c>
      <c r="B869" s="141" t="s">
        <v>1622</v>
      </c>
      <c r="C869" s="141" t="s">
        <v>157</v>
      </c>
      <c r="D869" s="141" t="s">
        <v>105</v>
      </c>
      <c r="E869" s="141" t="s">
        <v>38</v>
      </c>
      <c r="F869" s="142">
        <v>1</v>
      </c>
      <c r="G869" s="142">
        <v>40300</v>
      </c>
      <c r="H869" s="95">
        <f t="shared" si="13"/>
        <v>0.1875</v>
      </c>
    </row>
    <row r="870" spans="1:8" customFormat="1" ht="15.75" customHeight="1">
      <c r="A870" s="94">
        <v>865</v>
      </c>
      <c r="B870" s="141" t="s">
        <v>1675</v>
      </c>
      <c r="C870" s="141" t="s">
        <v>1673</v>
      </c>
      <c r="D870" s="141" t="s">
        <v>1674</v>
      </c>
      <c r="E870" s="141" t="s">
        <v>56</v>
      </c>
      <c r="F870" s="142">
        <v>1</v>
      </c>
      <c r="G870" s="142">
        <v>257000</v>
      </c>
      <c r="H870" s="95">
        <f t="shared" si="13"/>
        <v>0.1875</v>
      </c>
    </row>
    <row r="871" spans="1:8" customFormat="1" ht="15.75" customHeight="1">
      <c r="A871" s="94">
        <v>866</v>
      </c>
      <c r="B871" s="141" t="s">
        <v>1414</v>
      </c>
      <c r="C871" s="141" t="s">
        <v>251</v>
      </c>
      <c r="D871" s="141" t="s">
        <v>129</v>
      </c>
      <c r="E871" s="141" t="s">
        <v>115</v>
      </c>
      <c r="F871" s="142">
        <v>1</v>
      </c>
      <c r="G871" s="142">
        <v>372700</v>
      </c>
      <c r="H871" s="95">
        <f t="shared" si="13"/>
        <v>0.1875</v>
      </c>
    </row>
    <row r="872" spans="1:8" customFormat="1" ht="15.75" customHeight="1">
      <c r="A872" s="94">
        <v>867</v>
      </c>
      <c r="B872" s="141" t="s">
        <v>1704</v>
      </c>
      <c r="C872" s="141" t="s">
        <v>1702</v>
      </c>
      <c r="D872" s="141" t="s">
        <v>1703</v>
      </c>
      <c r="E872" s="141" t="s">
        <v>116</v>
      </c>
      <c r="F872" s="142">
        <v>1</v>
      </c>
      <c r="G872" s="142">
        <v>500000</v>
      </c>
      <c r="H872" s="95">
        <f t="shared" si="13"/>
        <v>0.1875</v>
      </c>
    </row>
    <row r="873" spans="1:8" customFormat="1" ht="15.75" customHeight="1">
      <c r="A873" s="94">
        <v>868</v>
      </c>
      <c r="B873" s="141" t="s">
        <v>1261</v>
      </c>
      <c r="C873" s="141" t="s">
        <v>1259</v>
      </c>
      <c r="D873" s="141" t="s">
        <v>1260</v>
      </c>
      <c r="E873" s="141" t="s">
        <v>110</v>
      </c>
      <c r="F873" s="142">
        <v>1</v>
      </c>
      <c r="G873" s="142">
        <v>64300</v>
      </c>
      <c r="H873" s="95">
        <f t="shared" si="13"/>
        <v>0.1875</v>
      </c>
    </row>
    <row r="874" spans="1:8" customFormat="1" ht="15.75" customHeight="1">
      <c r="A874" s="94">
        <v>869</v>
      </c>
      <c r="B874" s="141" t="s">
        <v>1639</v>
      </c>
      <c r="C874" s="141" t="s">
        <v>225</v>
      </c>
      <c r="D874" s="141" t="s">
        <v>102</v>
      </c>
      <c r="E874" s="141" t="s">
        <v>38</v>
      </c>
      <c r="F874" s="142">
        <v>1</v>
      </c>
      <c r="G874" s="142">
        <v>40300</v>
      </c>
      <c r="H874" s="95">
        <f t="shared" si="13"/>
        <v>0.1875</v>
      </c>
    </row>
    <row r="875" spans="1:8" customFormat="1" ht="15.75" customHeight="1">
      <c r="A875" s="94">
        <v>870</v>
      </c>
      <c r="B875" s="141" t="s">
        <v>1551</v>
      </c>
      <c r="C875" s="141" t="s">
        <v>214</v>
      </c>
      <c r="D875" s="141" t="s">
        <v>102</v>
      </c>
      <c r="E875" s="141" t="s">
        <v>38</v>
      </c>
      <c r="F875" s="142">
        <v>1</v>
      </c>
      <c r="G875" s="142">
        <v>40300</v>
      </c>
      <c r="H875" s="95">
        <f t="shared" si="13"/>
        <v>0.1875</v>
      </c>
    </row>
    <row r="876" spans="1:8" customFormat="1" ht="15.75" customHeight="1">
      <c r="A876" s="94">
        <v>871</v>
      </c>
      <c r="B876" s="141" t="s">
        <v>1412</v>
      </c>
      <c r="C876" s="141" t="s">
        <v>667</v>
      </c>
      <c r="D876" s="141" t="s">
        <v>128</v>
      </c>
      <c r="E876" s="141" t="s">
        <v>38</v>
      </c>
      <c r="F876" s="142">
        <v>1</v>
      </c>
      <c r="G876" s="142">
        <v>100000</v>
      </c>
      <c r="H876" s="95">
        <f t="shared" si="13"/>
        <v>0.1875</v>
      </c>
    </row>
    <row r="877" spans="1:8" customFormat="1" ht="15.75" customHeight="1">
      <c r="A877" s="94">
        <v>872</v>
      </c>
      <c r="B877" s="141" t="s">
        <v>853</v>
      </c>
      <c r="C877" s="141" t="s">
        <v>1479</v>
      </c>
      <c r="D877" s="141" t="s">
        <v>1480</v>
      </c>
      <c r="E877" s="141" t="s">
        <v>38</v>
      </c>
      <c r="F877" s="142">
        <v>1</v>
      </c>
      <c r="G877" s="142">
        <v>40300</v>
      </c>
      <c r="H877" s="95">
        <f t="shared" si="13"/>
        <v>0.1875</v>
      </c>
    </row>
    <row r="878" spans="1:8" customFormat="1" ht="15.75" customHeight="1">
      <c r="A878" s="94">
        <v>873</v>
      </c>
      <c r="B878" s="141" t="s">
        <v>1165</v>
      </c>
      <c r="C878" s="141" t="s">
        <v>1596</v>
      </c>
      <c r="D878" s="141" t="s">
        <v>101</v>
      </c>
      <c r="E878" s="141" t="s">
        <v>55</v>
      </c>
      <c r="F878" s="142">
        <v>1</v>
      </c>
      <c r="G878" s="142">
        <v>418000</v>
      </c>
      <c r="H878" s="95">
        <f t="shared" si="13"/>
        <v>0.1875</v>
      </c>
    </row>
    <row r="879" spans="1:8" customFormat="1" ht="15.75" customHeight="1">
      <c r="A879" s="94">
        <v>874</v>
      </c>
      <c r="B879" s="141" t="s">
        <v>1453</v>
      </c>
      <c r="C879" s="141" t="s">
        <v>1452</v>
      </c>
      <c r="D879" s="141" t="s">
        <v>105</v>
      </c>
      <c r="E879" s="141" t="s">
        <v>55</v>
      </c>
      <c r="F879" s="142">
        <v>1</v>
      </c>
      <c r="G879" s="142">
        <v>126700</v>
      </c>
      <c r="H879" s="95">
        <f t="shared" si="13"/>
        <v>0.1875</v>
      </c>
    </row>
    <row r="880" spans="1:8" customFormat="1" ht="15.75" customHeight="1">
      <c r="A880" s="94">
        <v>875</v>
      </c>
      <c r="B880" s="141" t="s">
        <v>1465</v>
      </c>
      <c r="C880" s="141" t="s">
        <v>733</v>
      </c>
      <c r="D880" s="141" t="s">
        <v>106</v>
      </c>
      <c r="E880" s="141" t="s">
        <v>55</v>
      </c>
      <c r="F880" s="142">
        <v>1</v>
      </c>
      <c r="G880" s="142">
        <v>418000</v>
      </c>
      <c r="H880" s="95">
        <f t="shared" si="13"/>
        <v>0.1875</v>
      </c>
    </row>
    <row r="881" spans="1:8" customFormat="1" ht="15.75" customHeight="1">
      <c r="A881" s="94">
        <v>876</v>
      </c>
      <c r="B881" s="141" t="s">
        <v>1437</v>
      </c>
      <c r="C881" s="141" t="s">
        <v>241</v>
      </c>
      <c r="D881" s="141" t="s">
        <v>242</v>
      </c>
      <c r="E881" s="141" t="s">
        <v>38</v>
      </c>
      <c r="F881" s="142">
        <v>1</v>
      </c>
      <c r="G881" s="142">
        <v>100000</v>
      </c>
      <c r="H881" s="95">
        <f t="shared" si="13"/>
        <v>0.1875</v>
      </c>
    </row>
    <row r="882" spans="1:8" customFormat="1" ht="15.75" customHeight="1">
      <c r="A882" s="94">
        <v>877</v>
      </c>
      <c r="B882" s="141" t="s">
        <v>1468</v>
      </c>
      <c r="C882" s="141" t="s">
        <v>157</v>
      </c>
      <c r="D882" s="141" t="s">
        <v>292</v>
      </c>
      <c r="E882" s="141" t="s">
        <v>38</v>
      </c>
      <c r="F882" s="142">
        <v>1</v>
      </c>
      <c r="G882" s="142">
        <v>40300</v>
      </c>
      <c r="H882" s="95">
        <f t="shared" si="13"/>
        <v>0.1875</v>
      </c>
    </row>
    <row r="883" spans="1:8" customFormat="1" ht="15.75" customHeight="1">
      <c r="A883" s="94">
        <v>878</v>
      </c>
      <c r="B883" s="141" t="s">
        <v>1665</v>
      </c>
      <c r="C883" s="141" t="s">
        <v>1663</v>
      </c>
      <c r="D883" s="141" t="s">
        <v>1664</v>
      </c>
      <c r="E883" s="141" t="s">
        <v>121</v>
      </c>
      <c r="F883" s="142">
        <v>1</v>
      </c>
      <c r="G883" s="142">
        <v>372700</v>
      </c>
      <c r="H883" s="95">
        <f t="shared" si="13"/>
        <v>0.1875</v>
      </c>
    </row>
    <row r="884" spans="1:8" customFormat="1" ht="15.75" customHeight="1">
      <c r="A884" s="94">
        <v>879</v>
      </c>
      <c r="B884" s="141" t="s">
        <v>1672</v>
      </c>
      <c r="C884" s="141" t="s">
        <v>1670</v>
      </c>
      <c r="D884" s="141" t="s">
        <v>1671</v>
      </c>
      <c r="E884" s="141" t="s">
        <v>116</v>
      </c>
      <c r="F884" s="142">
        <v>1</v>
      </c>
      <c r="G884" s="142">
        <v>372700</v>
      </c>
      <c r="H884" s="95">
        <f t="shared" si="13"/>
        <v>0.1875</v>
      </c>
    </row>
    <row r="885" spans="1:8" customFormat="1" ht="15.75" customHeight="1">
      <c r="A885" s="94">
        <v>880</v>
      </c>
      <c r="B885" s="141" t="s">
        <v>1711</v>
      </c>
      <c r="C885" s="141" t="s">
        <v>166</v>
      </c>
      <c r="D885" s="141" t="s">
        <v>1710</v>
      </c>
      <c r="E885" s="141" t="s">
        <v>115</v>
      </c>
      <c r="F885" s="142">
        <v>1</v>
      </c>
      <c r="G885" s="142">
        <v>372700</v>
      </c>
      <c r="H885" s="95">
        <f t="shared" si="13"/>
        <v>0.1875</v>
      </c>
    </row>
    <row r="886" spans="1:8" customFormat="1" ht="15.75" customHeight="1">
      <c r="A886" s="94">
        <v>881</v>
      </c>
      <c r="B886" s="141" t="s">
        <v>1712</v>
      </c>
      <c r="C886" s="141" t="s">
        <v>166</v>
      </c>
      <c r="D886" s="141" t="s">
        <v>1710</v>
      </c>
      <c r="E886" s="141" t="s">
        <v>115</v>
      </c>
      <c r="F886" s="142">
        <v>1</v>
      </c>
      <c r="G886" s="142">
        <v>372700</v>
      </c>
      <c r="H886" s="95">
        <f t="shared" si="13"/>
        <v>0.1875</v>
      </c>
    </row>
    <row r="887" spans="1:8" customFormat="1" ht="15.75" customHeight="1">
      <c r="A887" s="94">
        <v>882</v>
      </c>
      <c r="B887" s="141" t="s">
        <v>1691</v>
      </c>
      <c r="C887" s="141" t="s">
        <v>1689</v>
      </c>
      <c r="D887" s="141" t="s">
        <v>1690</v>
      </c>
      <c r="E887" s="141" t="s">
        <v>56</v>
      </c>
      <c r="F887" s="142">
        <v>1</v>
      </c>
      <c r="G887" s="142">
        <v>257000</v>
      </c>
      <c r="H887" s="95">
        <f t="shared" si="13"/>
        <v>0.1875</v>
      </c>
    </row>
    <row r="888" spans="1:8" customFormat="1" ht="15.75" customHeight="1">
      <c r="A888" s="94">
        <v>883</v>
      </c>
      <c r="B888" s="141" t="s">
        <v>1297</v>
      </c>
      <c r="C888" s="141" t="s">
        <v>322</v>
      </c>
      <c r="D888" s="141" t="s">
        <v>882</v>
      </c>
      <c r="E888" s="141" t="s">
        <v>110</v>
      </c>
      <c r="F888" s="142">
        <v>1</v>
      </c>
      <c r="G888" s="142">
        <v>64300</v>
      </c>
      <c r="H888" s="95">
        <f t="shared" ref="H888:H951" si="14">25%*75%</f>
        <v>0.1875</v>
      </c>
    </row>
    <row r="889" spans="1:8" customFormat="1" ht="15.75" customHeight="1">
      <c r="A889" s="94">
        <v>884</v>
      </c>
      <c r="B889" s="141" t="s">
        <v>1283</v>
      </c>
      <c r="C889" s="141" t="s">
        <v>746</v>
      </c>
      <c r="D889" s="141" t="s">
        <v>747</v>
      </c>
      <c r="E889" s="141" t="s">
        <v>110</v>
      </c>
      <c r="F889" s="142">
        <v>1</v>
      </c>
      <c r="G889" s="142">
        <v>100000</v>
      </c>
      <c r="H889" s="95">
        <f t="shared" si="14"/>
        <v>0.1875</v>
      </c>
    </row>
    <row r="890" spans="1:8" customFormat="1" ht="15.75" customHeight="1">
      <c r="A890" s="94">
        <v>885</v>
      </c>
      <c r="B890" s="141" t="s">
        <v>1631</v>
      </c>
      <c r="C890" s="141" t="s">
        <v>1629</v>
      </c>
      <c r="D890" s="141" t="s">
        <v>132</v>
      </c>
      <c r="E890" s="141" t="s">
        <v>1630</v>
      </c>
      <c r="F890" s="142">
        <v>1</v>
      </c>
      <c r="G890" s="142">
        <v>148700</v>
      </c>
      <c r="H890" s="95">
        <f t="shared" si="14"/>
        <v>0.1875</v>
      </c>
    </row>
    <row r="891" spans="1:8" customFormat="1" ht="15.75" customHeight="1">
      <c r="A891" s="94">
        <v>886</v>
      </c>
      <c r="B891" s="141" t="s">
        <v>1294</v>
      </c>
      <c r="C891" s="141" t="s">
        <v>1292</v>
      </c>
      <c r="D891" s="141" t="s">
        <v>1293</v>
      </c>
      <c r="E891" s="141" t="s">
        <v>110</v>
      </c>
      <c r="F891" s="142">
        <v>1</v>
      </c>
      <c r="G891" s="142">
        <v>64300</v>
      </c>
      <c r="H891" s="95">
        <f t="shared" si="14"/>
        <v>0.1875</v>
      </c>
    </row>
    <row r="892" spans="1:8" customFormat="1" ht="15.75" customHeight="1">
      <c r="A892" s="94">
        <v>887</v>
      </c>
      <c r="B892" s="141" t="s">
        <v>1446</v>
      </c>
      <c r="C892" s="141" t="s">
        <v>1444</v>
      </c>
      <c r="D892" s="141" t="s">
        <v>1445</v>
      </c>
      <c r="E892" s="141" t="s">
        <v>297</v>
      </c>
      <c r="F892" s="142">
        <v>1</v>
      </c>
      <c r="G892" s="142">
        <v>171900</v>
      </c>
      <c r="H892" s="95">
        <f t="shared" si="14"/>
        <v>0.1875</v>
      </c>
    </row>
    <row r="893" spans="1:8" customFormat="1" ht="15.75" customHeight="1">
      <c r="A893" s="94">
        <v>888</v>
      </c>
      <c r="B893" s="141" t="s">
        <v>520</v>
      </c>
      <c r="C893" s="141" t="s">
        <v>224</v>
      </c>
      <c r="D893" s="141" t="s">
        <v>108</v>
      </c>
      <c r="E893" s="141" t="s">
        <v>110</v>
      </c>
      <c r="F893" s="142">
        <v>1</v>
      </c>
      <c r="G893" s="142">
        <v>64300</v>
      </c>
      <c r="H893" s="95">
        <f t="shared" si="14"/>
        <v>0.1875</v>
      </c>
    </row>
    <row r="894" spans="1:8" customFormat="1" ht="15.75" customHeight="1">
      <c r="A894" s="94">
        <v>889</v>
      </c>
      <c r="B894" s="141" t="s">
        <v>1504</v>
      </c>
      <c r="C894" s="141" t="s">
        <v>1503</v>
      </c>
      <c r="D894" s="141" t="s">
        <v>874</v>
      </c>
      <c r="E894" s="141" t="s">
        <v>55</v>
      </c>
      <c r="F894" s="142">
        <v>1</v>
      </c>
      <c r="G894" s="142">
        <v>126700</v>
      </c>
      <c r="H894" s="95">
        <f t="shared" si="14"/>
        <v>0.1875</v>
      </c>
    </row>
    <row r="895" spans="1:8" customFormat="1" ht="15.75" customHeight="1">
      <c r="A895" s="94">
        <v>890</v>
      </c>
      <c r="B895" s="141" t="s">
        <v>510</v>
      </c>
      <c r="C895" s="141" t="s">
        <v>1536</v>
      </c>
      <c r="D895" s="141" t="s">
        <v>106</v>
      </c>
      <c r="E895" s="141" t="s">
        <v>91</v>
      </c>
      <c r="F895" s="142">
        <v>1</v>
      </c>
      <c r="G895" s="142">
        <v>384000</v>
      </c>
      <c r="H895" s="95">
        <f t="shared" si="14"/>
        <v>0.1875</v>
      </c>
    </row>
    <row r="896" spans="1:8" customFormat="1" ht="15.75" customHeight="1">
      <c r="A896" s="94">
        <v>891</v>
      </c>
      <c r="B896" s="141" t="s">
        <v>1317</v>
      </c>
      <c r="C896" s="141" t="s">
        <v>1316</v>
      </c>
      <c r="D896" s="141" t="s">
        <v>105</v>
      </c>
      <c r="E896" s="141" t="s">
        <v>110</v>
      </c>
      <c r="F896" s="142">
        <v>1</v>
      </c>
      <c r="G896" s="142">
        <v>64300</v>
      </c>
      <c r="H896" s="95">
        <f t="shared" si="14"/>
        <v>0.1875</v>
      </c>
    </row>
    <row r="897" spans="1:8" customFormat="1" ht="15.75" customHeight="1">
      <c r="A897" s="94">
        <v>892</v>
      </c>
      <c r="B897" s="141" t="s">
        <v>647</v>
      </c>
      <c r="C897" s="141" t="s">
        <v>1497</v>
      </c>
      <c r="D897" s="141" t="s">
        <v>1498</v>
      </c>
      <c r="E897" s="141" t="s">
        <v>55</v>
      </c>
      <c r="F897" s="142">
        <v>1</v>
      </c>
      <c r="G897" s="142">
        <v>418000</v>
      </c>
      <c r="H897" s="95">
        <f t="shared" si="14"/>
        <v>0.1875</v>
      </c>
    </row>
    <row r="898" spans="1:8" customFormat="1" ht="15.75" customHeight="1">
      <c r="A898" s="94">
        <v>893</v>
      </c>
      <c r="B898" s="141" t="s">
        <v>1401</v>
      </c>
      <c r="C898" s="141" t="s">
        <v>1399</v>
      </c>
      <c r="D898" s="141" t="s">
        <v>1400</v>
      </c>
      <c r="E898" s="141" t="s">
        <v>291</v>
      </c>
      <c r="F898" s="142">
        <v>1</v>
      </c>
      <c r="G898" s="142">
        <v>300000</v>
      </c>
      <c r="H898" s="95">
        <f t="shared" si="14"/>
        <v>0.1875</v>
      </c>
    </row>
    <row r="899" spans="1:8" customFormat="1" ht="15.75" customHeight="1">
      <c r="A899" s="94">
        <v>894</v>
      </c>
      <c r="B899" s="141" t="s">
        <v>1425</v>
      </c>
      <c r="C899" s="141" t="s">
        <v>1423</v>
      </c>
      <c r="D899" s="141" t="s">
        <v>129</v>
      </c>
      <c r="E899" s="141" t="s">
        <v>1424</v>
      </c>
      <c r="F899" s="142">
        <v>1</v>
      </c>
      <c r="G899" s="142">
        <v>500000</v>
      </c>
      <c r="H899" s="95">
        <f t="shared" si="14"/>
        <v>0.1875</v>
      </c>
    </row>
    <row r="900" spans="1:8" customFormat="1" ht="15.75" customHeight="1">
      <c r="A900" s="94">
        <v>895</v>
      </c>
      <c r="B900" s="141" t="s">
        <v>1005</v>
      </c>
      <c r="C900" s="141" t="s">
        <v>1594</v>
      </c>
      <c r="D900" s="141" t="s">
        <v>1595</v>
      </c>
      <c r="E900" s="141" t="s">
        <v>113</v>
      </c>
      <c r="F900" s="142">
        <v>1</v>
      </c>
      <c r="G900" s="142">
        <v>100000</v>
      </c>
      <c r="H900" s="95">
        <f t="shared" si="14"/>
        <v>0.1875</v>
      </c>
    </row>
    <row r="901" spans="1:8" customFormat="1" ht="15.75" customHeight="1">
      <c r="A901" s="94">
        <v>896</v>
      </c>
      <c r="B901" s="141" t="s">
        <v>1565</v>
      </c>
      <c r="C901" s="141" t="s">
        <v>1564</v>
      </c>
      <c r="D901" s="141" t="s">
        <v>152</v>
      </c>
      <c r="E901" s="141" t="s">
        <v>114</v>
      </c>
      <c r="F901" s="142">
        <v>1</v>
      </c>
      <c r="G901" s="142">
        <v>200000</v>
      </c>
      <c r="H901" s="95">
        <f t="shared" si="14"/>
        <v>0.1875</v>
      </c>
    </row>
    <row r="902" spans="1:8" customFormat="1" ht="15.75" customHeight="1">
      <c r="A902" s="94">
        <v>897</v>
      </c>
      <c r="B902" s="141" t="s">
        <v>1267</v>
      </c>
      <c r="C902" s="141" t="s">
        <v>571</v>
      </c>
      <c r="D902" s="141" t="s">
        <v>572</v>
      </c>
      <c r="E902" s="141" t="s">
        <v>110</v>
      </c>
      <c r="F902" s="142">
        <v>1</v>
      </c>
      <c r="G902" s="142">
        <v>64300</v>
      </c>
      <c r="H902" s="95">
        <f t="shared" si="14"/>
        <v>0.1875</v>
      </c>
    </row>
    <row r="903" spans="1:8" customFormat="1" ht="15.75" customHeight="1">
      <c r="A903" s="94">
        <v>898</v>
      </c>
      <c r="B903" s="141" t="s">
        <v>815</v>
      </c>
      <c r="C903" s="141" t="s">
        <v>699</v>
      </c>
      <c r="D903" s="141" t="s">
        <v>105</v>
      </c>
      <c r="E903" s="141" t="s">
        <v>110</v>
      </c>
      <c r="F903" s="142">
        <v>1</v>
      </c>
      <c r="G903" s="142">
        <v>64300</v>
      </c>
      <c r="H903" s="95">
        <f t="shared" si="14"/>
        <v>0.1875</v>
      </c>
    </row>
    <row r="904" spans="1:8" customFormat="1" ht="15.75" customHeight="1">
      <c r="A904" s="94">
        <v>899</v>
      </c>
      <c r="B904" s="141" t="s">
        <v>1448</v>
      </c>
      <c r="C904" s="141" t="s">
        <v>1505</v>
      </c>
      <c r="D904" s="141" t="s">
        <v>128</v>
      </c>
      <c r="E904" s="141" t="s">
        <v>140</v>
      </c>
      <c r="F904" s="142">
        <v>1</v>
      </c>
      <c r="G904" s="142">
        <v>500000</v>
      </c>
      <c r="H904" s="95">
        <f t="shared" si="14"/>
        <v>0.1875</v>
      </c>
    </row>
    <row r="905" spans="1:8" customFormat="1" ht="15.75" customHeight="1">
      <c r="A905" s="94">
        <v>900</v>
      </c>
      <c r="B905" s="141" t="s">
        <v>1268</v>
      </c>
      <c r="C905" s="141" t="s">
        <v>1348</v>
      </c>
      <c r="D905" s="141" t="s">
        <v>117</v>
      </c>
      <c r="E905" s="141" t="s">
        <v>55</v>
      </c>
      <c r="F905" s="142">
        <v>1</v>
      </c>
      <c r="G905" s="142">
        <v>418000</v>
      </c>
      <c r="H905" s="95">
        <f t="shared" si="14"/>
        <v>0.1875</v>
      </c>
    </row>
    <row r="906" spans="1:8" customFormat="1" ht="15.75" customHeight="1">
      <c r="A906" s="94">
        <v>901</v>
      </c>
      <c r="B906" s="141" t="s">
        <v>1324</v>
      </c>
      <c r="C906" s="141" t="s">
        <v>246</v>
      </c>
      <c r="D906" s="141" t="s">
        <v>247</v>
      </c>
      <c r="E906" s="141" t="s">
        <v>110</v>
      </c>
      <c r="F906" s="142">
        <v>1</v>
      </c>
      <c r="G906" s="142">
        <v>64300</v>
      </c>
      <c r="H906" s="95">
        <f t="shared" si="14"/>
        <v>0.1875</v>
      </c>
    </row>
    <row r="907" spans="1:8" customFormat="1" ht="15.75" customHeight="1">
      <c r="A907" s="94">
        <v>902</v>
      </c>
      <c r="B907" s="141" t="s">
        <v>721</v>
      </c>
      <c r="C907" s="141" t="s">
        <v>248</v>
      </c>
      <c r="D907" s="141" t="s">
        <v>249</v>
      </c>
      <c r="E907" s="141" t="s">
        <v>110</v>
      </c>
      <c r="F907" s="142">
        <v>1</v>
      </c>
      <c r="G907" s="142">
        <v>64300</v>
      </c>
      <c r="H907" s="95">
        <f t="shared" si="14"/>
        <v>0.1875</v>
      </c>
    </row>
    <row r="908" spans="1:8" customFormat="1" ht="15.75" customHeight="1">
      <c r="A908" s="94">
        <v>903</v>
      </c>
      <c r="B908" s="141" t="s">
        <v>553</v>
      </c>
      <c r="C908" s="141" t="s">
        <v>311</v>
      </c>
      <c r="D908" s="141" t="s">
        <v>600</v>
      </c>
      <c r="E908" s="141" t="s">
        <v>110</v>
      </c>
      <c r="F908" s="142">
        <v>1</v>
      </c>
      <c r="G908" s="142">
        <v>64300</v>
      </c>
      <c r="H908" s="95">
        <f t="shared" si="14"/>
        <v>0.1875</v>
      </c>
    </row>
    <row r="909" spans="1:8" customFormat="1" ht="15.75" customHeight="1">
      <c r="A909" s="94">
        <v>904</v>
      </c>
      <c r="B909" s="141" t="s">
        <v>1334</v>
      </c>
      <c r="C909" s="141" t="s">
        <v>1017</v>
      </c>
      <c r="D909" s="141" t="s">
        <v>98</v>
      </c>
      <c r="E909" s="141" t="s">
        <v>110</v>
      </c>
      <c r="F909" s="142">
        <v>1</v>
      </c>
      <c r="G909" s="142">
        <v>64300</v>
      </c>
      <c r="H909" s="95">
        <f t="shared" si="14"/>
        <v>0.1875</v>
      </c>
    </row>
    <row r="910" spans="1:8" customFormat="1" ht="15.75" customHeight="1">
      <c r="A910" s="94">
        <v>905</v>
      </c>
      <c r="B910" s="141" t="s">
        <v>580</v>
      </c>
      <c r="C910" s="141" t="s">
        <v>1395</v>
      </c>
      <c r="D910" s="141" t="s">
        <v>158</v>
      </c>
      <c r="E910" s="141" t="s">
        <v>112</v>
      </c>
      <c r="F910" s="142">
        <v>1</v>
      </c>
      <c r="G910" s="142">
        <v>300000</v>
      </c>
      <c r="H910" s="95">
        <f t="shared" si="14"/>
        <v>0.1875</v>
      </c>
    </row>
    <row r="911" spans="1:8" customFormat="1" ht="15.75" customHeight="1">
      <c r="A911" s="94">
        <v>906</v>
      </c>
      <c r="B911" s="141" t="s">
        <v>1422</v>
      </c>
      <c r="C911" s="141" t="s">
        <v>295</v>
      </c>
      <c r="D911" s="141" t="s">
        <v>296</v>
      </c>
      <c r="E911" s="141" t="s">
        <v>113</v>
      </c>
      <c r="F911" s="142">
        <v>1</v>
      </c>
      <c r="G911" s="142">
        <v>100000</v>
      </c>
      <c r="H911" s="95">
        <f t="shared" si="14"/>
        <v>0.1875</v>
      </c>
    </row>
    <row r="912" spans="1:8" customFormat="1" ht="15.75" customHeight="1">
      <c r="A912" s="94">
        <v>907</v>
      </c>
      <c r="B912" s="141" t="s">
        <v>1264</v>
      </c>
      <c r="C912" s="141" t="s">
        <v>1262</v>
      </c>
      <c r="D912" s="141" t="s">
        <v>1263</v>
      </c>
      <c r="E912" s="141" t="s">
        <v>110</v>
      </c>
      <c r="F912" s="142">
        <v>1</v>
      </c>
      <c r="G912" s="142">
        <v>64300</v>
      </c>
      <c r="H912" s="95">
        <f t="shared" si="14"/>
        <v>0.1875</v>
      </c>
    </row>
    <row r="913" spans="1:8" customFormat="1" ht="15.75" customHeight="1">
      <c r="A913" s="94">
        <v>908</v>
      </c>
      <c r="B913" s="141" t="s">
        <v>1440</v>
      </c>
      <c r="C913" s="141" t="s">
        <v>1438</v>
      </c>
      <c r="D913" s="141" t="s">
        <v>1439</v>
      </c>
      <c r="E913" s="141" t="s">
        <v>150</v>
      </c>
      <c r="F913" s="142">
        <v>1</v>
      </c>
      <c r="G913" s="142">
        <v>400000</v>
      </c>
      <c r="H913" s="95">
        <f t="shared" si="14"/>
        <v>0.1875</v>
      </c>
    </row>
    <row r="914" spans="1:8" customFormat="1" ht="15.75" customHeight="1">
      <c r="A914" s="94">
        <v>909</v>
      </c>
      <c r="B914" s="141" t="s">
        <v>1604</v>
      </c>
      <c r="C914" s="141" t="s">
        <v>1603</v>
      </c>
      <c r="D914" s="141" t="s">
        <v>97</v>
      </c>
      <c r="E914" s="141" t="s">
        <v>38</v>
      </c>
      <c r="F914" s="142">
        <v>1</v>
      </c>
      <c r="G914" s="142">
        <v>40300</v>
      </c>
      <c r="H914" s="95">
        <f t="shared" si="14"/>
        <v>0.1875</v>
      </c>
    </row>
    <row r="915" spans="1:8" customFormat="1" ht="15.75" customHeight="1">
      <c r="A915" s="94">
        <v>910</v>
      </c>
      <c r="B915" s="141" t="s">
        <v>1573</v>
      </c>
      <c r="C915" s="141" t="s">
        <v>1572</v>
      </c>
      <c r="D915" s="141" t="s">
        <v>107</v>
      </c>
      <c r="E915" s="141" t="s">
        <v>1361</v>
      </c>
      <c r="F915" s="142">
        <v>1</v>
      </c>
      <c r="G915" s="142">
        <v>400000</v>
      </c>
      <c r="H915" s="95">
        <f t="shared" si="14"/>
        <v>0.1875</v>
      </c>
    </row>
    <row r="916" spans="1:8" customFormat="1" ht="15.75" customHeight="1">
      <c r="A916" s="94">
        <v>911</v>
      </c>
      <c r="B916" s="141" t="s">
        <v>1432</v>
      </c>
      <c r="C916" s="141" t="s">
        <v>1430</v>
      </c>
      <c r="D916" s="141" t="s">
        <v>1431</v>
      </c>
      <c r="E916" s="141" t="s">
        <v>55</v>
      </c>
      <c r="F916" s="142">
        <v>1</v>
      </c>
      <c r="G916" s="142">
        <v>418000</v>
      </c>
      <c r="H916" s="95">
        <f t="shared" si="14"/>
        <v>0.1875</v>
      </c>
    </row>
    <row r="917" spans="1:8" customFormat="1" ht="15.75" customHeight="1">
      <c r="A917" s="94">
        <v>912</v>
      </c>
      <c r="B917" s="141" t="s">
        <v>1372</v>
      </c>
      <c r="C917" s="141" t="s">
        <v>557</v>
      </c>
      <c r="D917" s="141" t="s">
        <v>103</v>
      </c>
      <c r="E917" s="141" t="s">
        <v>38</v>
      </c>
      <c r="F917" s="142">
        <v>1</v>
      </c>
      <c r="G917" s="142">
        <v>40300</v>
      </c>
      <c r="H917" s="95">
        <f t="shared" si="14"/>
        <v>0.1875</v>
      </c>
    </row>
    <row r="918" spans="1:8" customFormat="1" ht="15.75" customHeight="1">
      <c r="A918" s="94">
        <v>913</v>
      </c>
      <c r="B918" s="141" t="s">
        <v>1633</v>
      </c>
      <c r="C918" s="141" t="s">
        <v>223</v>
      </c>
      <c r="D918" s="141" t="s">
        <v>117</v>
      </c>
      <c r="E918" s="141" t="s">
        <v>38</v>
      </c>
      <c r="F918" s="142">
        <v>1</v>
      </c>
      <c r="G918" s="142">
        <v>40300</v>
      </c>
      <c r="H918" s="95">
        <f t="shared" si="14"/>
        <v>0.1875</v>
      </c>
    </row>
    <row r="919" spans="1:8" customFormat="1" ht="15.75" customHeight="1">
      <c r="A919" s="94">
        <v>914</v>
      </c>
      <c r="B919" s="141" t="s">
        <v>922</v>
      </c>
      <c r="C919" s="141" t="s">
        <v>250</v>
      </c>
      <c r="D919" s="141" t="s">
        <v>96</v>
      </c>
      <c r="E919" s="141" t="s">
        <v>110</v>
      </c>
      <c r="F919" s="142">
        <v>1</v>
      </c>
      <c r="G919" s="142">
        <v>64300</v>
      </c>
      <c r="H919" s="95">
        <f t="shared" si="14"/>
        <v>0.1875</v>
      </c>
    </row>
    <row r="920" spans="1:8" customFormat="1" ht="15.75" customHeight="1">
      <c r="A920" s="94">
        <v>915</v>
      </c>
      <c r="B920" s="141" t="s">
        <v>1495</v>
      </c>
      <c r="C920" s="141" t="s">
        <v>1493</v>
      </c>
      <c r="D920" s="141" t="s">
        <v>1494</v>
      </c>
      <c r="E920" s="141" t="s">
        <v>55</v>
      </c>
      <c r="F920" s="142">
        <v>1</v>
      </c>
      <c r="G920" s="142">
        <v>418000</v>
      </c>
      <c r="H920" s="95">
        <f t="shared" si="14"/>
        <v>0.1875</v>
      </c>
    </row>
    <row r="921" spans="1:8" customFormat="1" ht="15.75" customHeight="1">
      <c r="A921" s="94">
        <v>916</v>
      </c>
      <c r="B921" s="141" t="s">
        <v>1335</v>
      </c>
      <c r="C921" s="141" t="s">
        <v>889</v>
      </c>
      <c r="D921" s="141" t="s">
        <v>890</v>
      </c>
      <c r="E921" s="141" t="s">
        <v>110</v>
      </c>
      <c r="F921" s="142">
        <v>1</v>
      </c>
      <c r="G921" s="142">
        <v>64300</v>
      </c>
      <c r="H921" s="95">
        <f t="shared" si="14"/>
        <v>0.1875</v>
      </c>
    </row>
    <row r="922" spans="1:8" customFormat="1" ht="15.75" customHeight="1">
      <c r="A922" s="94">
        <v>917</v>
      </c>
      <c r="B922" s="141" t="s">
        <v>1323</v>
      </c>
      <c r="C922" s="141" t="s">
        <v>1321</v>
      </c>
      <c r="D922" s="141" t="s">
        <v>1322</v>
      </c>
      <c r="E922" s="141" t="s">
        <v>110</v>
      </c>
      <c r="F922" s="142">
        <v>1</v>
      </c>
      <c r="G922" s="142">
        <v>64300</v>
      </c>
      <c r="H922" s="95">
        <f t="shared" si="14"/>
        <v>0.1875</v>
      </c>
    </row>
    <row r="923" spans="1:8" customFormat="1" ht="15.75" customHeight="1">
      <c r="A923" s="94">
        <v>918</v>
      </c>
      <c r="B923" s="141" t="s">
        <v>1341</v>
      </c>
      <c r="C923" s="141" t="s">
        <v>961</v>
      </c>
      <c r="D923" s="141" t="s">
        <v>154</v>
      </c>
      <c r="E923" s="141" t="s">
        <v>110</v>
      </c>
      <c r="F923" s="142">
        <v>1</v>
      </c>
      <c r="G923" s="142">
        <v>64300</v>
      </c>
      <c r="H923" s="95">
        <f t="shared" si="14"/>
        <v>0.1875</v>
      </c>
    </row>
    <row r="924" spans="1:8" customFormat="1" ht="15.75" customHeight="1">
      <c r="A924" s="94">
        <v>919</v>
      </c>
      <c r="B924" s="141" t="s">
        <v>1534</v>
      </c>
      <c r="C924" s="141" t="s">
        <v>1532</v>
      </c>
      <c r="D924" s="141" t="s">
        <v>1533</v>
      </c>
      <c r="E924" s="141" t="s">
        <v>121</v>
      </c>
      <c r="F924" s="142">
        <v>1</v>
      </c>
      <c r="G924" s="142">
        <v>372700</v>
      </c>
      <c r="H924" s="95">
        <f t="shared" si="14"/>
        <v>0.1875</v>
      </c>
    </row>
    <row r="925" spans="1:8" customFormat="1" ht="15.75" customHeight="1">
      <c r="A925" s="94">
        <v>920</v>
      </c>
      <c r="B925" s="141" t="s">
        <v>1496</v>
      </c>
      <c r="C925" s="141" t="s">
        <v>289</v>
      </c>
      <c r="D925" s="141" t="s">
        <v>290</v>
      </c>
      <c r="E925" s="141" t="s">
        <v>113</v>
      </c>
      <c r="F925" s="142">
        <v>1</v>
      </c>
      <c r="G925" s="142">
        <v>100000</v>
      </c>
      <c r="H925" s="95">
        <f t="shared" si="14"/>
        <v>0.1875</v>
      </c>
    </row>
    <row r="926" spans="1:8" customFormat="1" ht="15.75" customHeight="1">
      <c r="A926" s="94">
        <v>921</v>
      </c>
      <c r="B926" s="141" t="s">
        <v>1473</v>
      </c>
      <c r="C926" s="141" t="s">
        <v>760</v>
      </c>
      <c r="D926" s="141" t="s">
        <v>761</v>
      </c>
      <c r="E926" s="141" t="s">
        <v>38</v>
      </c>
      <c r="F926" s="142">
        <v>1</v>
      </c>
      <c r="G926" s="142">
        <v>40300</v>
      </c>
      <c r="H926" s="95">
        <f t="shared" si="14"/>
        <v>0.1875</v>
      </c>
    </row>
    <row r="927" spans="1:8" customFormat="1" ht="15.75" customHeight="1">
      <c r="A927" s="94">
        <v>922</v>
      </c>
      <c r="B927" s="141" t="s">
        <v>1713</v>
      </c>
      <c r="C927" s="141" t="s">
        <v>196</v>
      </c>
      <c r="D927" s="141" t="s">
        <v>98</v>
      </c>
      <c r="E927" s="141" t="s">
        <v>56</v>
      </c>
      <c r="F927" s="142">
        <v>1</v>
      </c>
      <c r="G927" s="142">
        <v>257000</v>
      </c>
      <c r="H927" s="95">
        <f t="shared" si="14"/>
        <v>0.1875</v>
      </c>
    </row>
    <row r="928" spans="1:8" customFormat="1" ht="15.75" customHeight="1">
      <c r="A928" s="94">
        <v>923</v>
      </c>
      <c r="B928" s="141" t="s">
        <v>1684</v>
      </c>
      <c r="C928" s="141" t="s">
        <v>1517</v>
      </c>
      <c r="D928" s="141" t="s">
        <v>1518</v>
      </c>
      <c r="E928" s="141" t="s">
        <v>56</v>
      </c>
      <c r="F928" s="142">
        <v>1</v>
      </c>
      <c r="G928" s="142">
        <v>257000</v>
      </c>
      <c r="H928" s="95">
        <f t="shared" si="14"/>
        <v>0.1875</v>
      </c>
    </row>
    <row r="929" spans="1:8" customFormat="1" ht="15.75" customHeight="1">
      <c r="A929" s="94">
        <v>924</v>
      </c>
      <c r="B929" s="141" t="s">
        <v>1455</v>
      </c>
      <c r="C929" s="141" t="s">
        <v>1454</v>
      </c>
      <c r="D929" s="141" t="s">
        <v>96</v>
      </c>
      <c r="E929" s="141" t="s">
        <v>55</v>
      </c>
      <c r="F929" s="142">
        <v>1</v>
      </c>
      <c r="G929" s="142">
        <v>418000</v>
      </c>
      <c r="H929" s="95">
        <f t="shared" si="14"/>
        <v>0.1875</v>
      </c>
    </row>
    <row r="930" spans="1:8" customFormat="1" ht="15.75" customHeight="1">
      <c r="A930" s="94">
        <v>925</v>
      </c>
      <c r="B930" s="141" t="s">
        <v>1621</v>
      </c>
      <c r="C930" s="141" t="s">
        <v>1619</v>
      </c>
      <c r="D930" s="141" t="s">
        <v>1620</v>
      </c>
      <c r="E930" s="141" t="s">
        <v>140</v>
      </c>
      <c r="F930" s="142">
        <v>1</v>
      </c>
      <c r="G930" s="142">
        <v>194700</v>
      </c>
      <c r="H930" s="95">
        <f t="shared" si="14"/>
        <v>0.1875</v>
      </c>
    </row>
    <row r="931" spans="1:8" customFormat="1" ht="15.75" customHeight="1">
      <c r="A931" s="94">
        <v>926</v>
      </c>
      <c r="B931" s="141" t="s">
        <v>1128</v>
      </c>
      <c r="C931" s="141" t="s">
        <v>1314</v>
      </c>
      <c r="D931" s="141" t="s">
        <v>104</v>
      </c>
      <c r="E931" s="141" t="s">
        <v>55</v>
      </c>
      <c r="F931" s="142">
        <v>1</v>
      </c>
      <c r="G931" s="142">
        <v>126700</v>
      </c>
      <c r="H931" s="95">
        <f t="shared" si="14"/>
        <v>0.1875</v>
      </c>
    </row>
    <row r="932" spans="1:8" customFormat="1" ht="15.75" customHeight="1">
      <c r="A932" s="94">
        <v>927</v>
      </c>
      <c r="B932" s="141" t="s">
        <v>1195</v>
      </c>
      <c r="C932" s="141" t="s">
        <v>1459</v>
      </c>
      <c r="D932" s="141" t="s">
        <v>1460</v>
      </c>
      <c r="E932" s="141" t="s">
        <v>112</v>
      </c>
      <c r="F932" s="142">
        <v>1</v>
      </c>
      <c r="G932" s="142">
        <v>300000</v>
      </c>
      <c r="H932" s="95">
        <f t="shared" si="14"/>
        <v>0.1875</v>
      </c>
    </row>
    <row r="933" spans="1:8" customFormat="1" ht="15.75" customHeight="1">
      <c r="A933" s="94">
        <v>928</v>
      </c>
      <c r="B933" s="141" t="s">
        <v>1342</v>
      </c>
      <c r="C933" s="141" t="s">
        <v>969</v>
      </c>
      <c r="D933" s="141" t="s">
        <v>108</v>
      </c>
      <c r="E933" s="141" t="s">
        <v>110</v>
      </c>
      <c r="F933" s="142">
        <v>1</v>
      </c>
      <c r="G933" s="142">
        <v>64300</v>
      </c>
      <c r="H933" s="95">
        <f t="shared" si="14"/>
        <v>0.1875</v>
      </c>
    </row>
    <row r="934" spans="1:8" customFormat="1" ht="15.75" customHeight="1">
      <c r="A934" s="94">
        <v>929</v>
      </c>
      <c r="B934" s="141" t="s">
        <v>1472</v>
      </c>
      <c r="C934" s="141" t="s">
        <v>752</v>
      </c>
      <c r="D934" s="141" t="s">
        <v>106</v>
      </c>
      <c r="E934" s="141" t="s">
        <v>291</v>
      </c>
      <c r="F934" s="142">
        <v>1</v>
      </c>
      <c r="G934" s="142">
        <v>300000</v>
      </c>
      <c r="H934" s="95">
        <f t="shared" si="14"/>
        <v>0.1875</v>
      </c>
    </row>
    <row r="935" spans="1:8" customFormat="1" ht="15.75" customHeight="1">
      <c r="A935" s="94">
        <v>930</v>
      </c>
      <c r="B935" s="141" t="s">
        <v>1388</v>
      </c>
      <c r="C935" s="141" t="s">
        <v>1271</v>
      </c>
      <c r="D935" s="141" t="s">
        <v>1272</v>
      </c>
      <c r="E935" s="141" t="s">
        <v>140</v>
      </c>
      <c r="F935" s="142">
        <v>1</v>
      </c>
      <c r="G935" s="142">
        <v>500000</v>
      </c>
      <c r="H935" s="95">
        <f t="shared" si="14"/>
        <v>0.1875</v>
      </c>
    </row>
    <row r="936" spans="1:8" customFormat="1" ht="15.75" customHeight="1">
      <c r="A936" s="94">
        <v>931</v>
      </c>
      <c r="B936" s="141" t="s">
        <v>577</v>
      </c>
      <c r="C936" s="141" t="s">
        <v>1584</v>
      </c>
      <c r="D936" s="141" t="s">
        <v>136</v>
      </c>
      <c r="E936" s="141" t="s">
        <v>91</v>
      </c>
      <c r="F936" s="142">
        <v>1</v>
      </c>
      <c r="G936" s="142">
        <v>104400</v>
      </c>
      <c r="H936" s="95">
        <f t="shared" si="14"/>
        <v>0.1875</v>
      </c>
    </row>
    <row r="937" spans="1:8" customFormat="1" ht="15.75" customHeight="1">
      <c r="A937" s="94">
        <v>932</v>
      </c>
      <c r="B937" s="141" t="s">
        <v>1593</v>
      </c>
      <c r="C937" s="141" t="s">
        <v>1591</v>
      </c>
      <c r="D937" s="141" t="s">
        <v>1592</v>
      </c>
      <c r="E937" s="141" t="s">
        <v>39</v>
      </c>
      <c r="F937" s="142">
        <v>1</v>
      </c>
      <c r="G937" s="142">
        <v>100000</v>
      </c>
      <c r="H937" s="95">
        <f t="shared" si="14"/>
        <v>0.1875</v>
      </c>
    </row>
    <row r="938" spans="1:8" customFormat="1" ht="15.75" customHeight="1">
      <c r="A938" s="94">
        <v>933</v>
      </c>
      <c r="B938" s="141" t="s">
        <v>1362</v>
      </c>
      <c r="C938" s="141" t="s">
        <v>1358</v>
      </c>
      <c r="D938" s="141" t="s">
        <v>1359</v>
      </c>
      <c r="E938" s="141" t="s">
        <v>1361</v>
      </c>
      <c r="F938" s="142">
        <v>1</v>
      </c>
      <c r="G938" s="142">
        <v>400000</v>
      </c>
      <c r="H938" s="95">
        <f t="shared" si="14"/>
        <v>0.1875</v>
      </c>
    </row>
    <row r="939" spans="1:8" customFormat="1" ht="15.75" customHeight="1">
      <c r="A939" s="94">
        <v>934</v>
      </c>
      <c r="B939" s="141" t="s">
        <v>1332</v>
      </c>
      <c r="C939" s="141" t="s">
        <v>823</v>
      </c>
      <c r="D939" s="141" t="s">
        <v>824</v>
      </c>
      <c r="E939" s="141" t="s">
        <v>110</v>
      </c>
      <c r="F939" s="142">
        <v>1</v>
      </c>
      <c r="G939" s="142">
        <v>64300</v>
      </c>
      <c r="H939" s="95">
        <f t="shared" si="14"/>
        <v>0.1875</v>
      </c>
    </row>
    <row r="940" spans="1:8" customFormat="1" ht="15.75" customHeight="1">
      <c r="A940" s="94">
        <v>935</v>
      </c>
      <c r="B940" s="141" t="s">
        <v>1698</v>
      </c>
      <c r="C940" s="141" t="s">
        <v>1696</v>
      </c>
      <c r="D940" s="141" t="s">
        <v>1697</v>
      </c>
      <c r="E940" s="141" t="s">
        <v>111</v>
      </c>
      <c r="F940" s="142">
        <v>1</v>
      </c>
      <c r="G940" s="142">
        <v>200000</v>
      </c>
      <c r="H940" s="95">
        <f t="shared" si="14"/>
        <v>0.1875</v>
      </c>
    </row>
    <row r="941" spans="1:8" customFormat="1" ht="15.75" customHeight="1">
      <c r="A941" s="94">
        <v>936</v>
      </c>
      <c r="B941" s="141" t="s">
        <v>1699</v>
      </c>
      <c r="C941" s="141" t="s">
        <v>1696</v>
      </c>
      <c r="D941" s="141" t="s">
        <v>1697</v>
      </c>
      <c r="E941" s="141" t="s">
        <v>56</v>
      </c>
      <c r="F941" s="142">
        <v>1</v>
      </c>
      <c r="G941" s="142">
        <v>257000</v>
      </c>
      <c r="H941" s="95">
        <f t="shared" si="14"/>
        <v>0.1875</v>
      </c>
    </row>
    <row r="942" spans="1:8" customFormat="1" ht="15.75" customHeight="1">
      <c r="A942" s="94">
        <v>937</v>
      </c>
      <c r="B942" s="141" t="s">
        <v>1699</v>
      </c>
      <c r="C942" s="141" t="s">
        <v>1696</v>
      </c>
      <c r="D942" s="141" t="s">
        <v>1697</v>
      </c>
      <c r="E942" s="141" t="s">
        <v>1687</v>
      </c>
      <c r="F942" s="142">
        <v>1</v>
      </c>
      <c r="G942" s="142">
        <v>257000</v>
      </c>
      <c r="H942" s="95">
        <f t="shared" si="14"/>
        <v>0.1875</v>
      </c>
    </row>
    <row r="943" spans="1:8" customFormat="1" ht="15.75" customHeight="1">
      <c r="A943" s="94">
        <v>938</v>
      </c>
      <c r="B943" s="141" t="s">
        <v>1669</v>
      </c>
      <c r="C943" s="141" t="s">
        <v>1667</v>
      </c>
      <c r="D943" s="141" t="s">
        <v>1668</v>
      </c>
      <c r="E943" s="141" t="s">
        <v>116</v>
      </c>
      <c r="F943" s="142">
        <v>1</v>
      </c>
      <c r="G943" s="142">
        <v>372700</v>
      </c>
      <c r="H943" s="95">
        <f t="shared" si="14"/>
        <v>0.1875</v>
      </c>
    </row>
    <row r="944" spans="1:8" customFormat="1" ht="15.75" customHeight="1">
      <c r="A944" s="94">
        <v>939</v>
      </c>
      <c r="B944" s="141" t="s">
        <v>1522</v>
      </c>
      <c r="C944" s="141" t="s">
        <v>1520</v>
      </c>
      <c r="D944" s="141" t="s">
        <v>101</v>
      </c>
      <c r="E944" s="141" t="s">
        <v>1521</v>
      </c>
      <c r="F944" s="142">
        <v>1</v>
      </c>
      <c r="G944" s="142">
        <v>167000</v>
      </c>
      <c r="H944" s="95">
        <f t="shared" si="14"/>
        <v>0.1875</v>
      </c>
    </row>
    <row r="945" spans="1:8" customFormat="1" ht="15.75" customHeight="1">
      <c r="A945" s="94">
        <v>940</v>
      </c>
      <c r="B945" s="141" t="s">
        <v>1390</v>
      </c>
      <c r="C945" s="141" t="s">
        <v>1389</v>
      </c>
      <c r="D945" s="141" t="s">
        <v>125</v>
      </c>
      <c r="E945" s="141" t="s">
        <v>34</v>
      </c>
      <c r="F945" s="142">
        <v>1</v>
      </c>
      <c r="G945" s="142">
        <v>384000</v>
      </c>
      <c r="H945" s="95">
        <f t="shared" si="14"/>
        <v>0.1875</v>
      </c>
    </row>
    <row r="946" spans="1:8" customFormat="1" ht="15.75" customHeight="1">
      <c r="A946" s="94">
        <v>941</v>
      </c>
      <c r="B946" s="141" t="s">
        <v>1483</v>
      </c>
      <c r="C946" s="141" t="s">
        <v>1481</v>
      </c>
      <c r="D946" s="141" t="s">
        <v>1482</v>
      </c>
      <c r="E946" s="141" t="s">
        <v>114</v>
      </c>
      <c r="F946" s="142">
        <v>1</v>
      </c>
      <c r="G946" s="142">
        <v>200000</v>
      </c>
      <c r="H946" s="95">
        <f t="shared" si="14"/>
        <v>0.1875</v>
      </c>
    </row>
    <row r="947" spans="1:8" customFormat="1" ht="15.75" customHeight="1">
      <c r="A947" s="94">
        <v>942</v>
      </c>
      <c r="B947" s="141" t="s">
        <v>1343</v>
      </c>
      <c r="C947" s="141" t="s">
        <v>987</v>
      </c>
      <c r="D947" s="141" t="s">
        <v>128</v>
      </c>
      <c r="E947" s="141" t="s">
        <v>110</v>
      </c>
      <c r="F947" s="142">
        <v>1</v>
      </c>
      <c r="G947" s="142">
        <v>64300</v>
      </c>
      <c r="H947" s="95">
        <f t="shared" si="14"/>
        <v>0.1875</v>
      </c>
    </row>
    <row r="948" spans="1:8" customFormat="1" ht="15.75" customHeight="1">
      <c r="A948" s="94">
        <v>943</v>
      </c>
      <c r="B948" s="141" t="s">
        <v>1568</v>
      </c>
      <c r="C948" s="141" t="s">
        <v>1567</v>
      </c>
      <c r="D948" s="141" t="s">
        <v>97</v>
      </c>
      <c r="E948" s="141" t="s">
        <v>291</v>
      </c>
      <c r="F948" s="142">
        <v>1</v>
      </c>
      <c r="G948" s="142">
        <v>300000</v>
      </c>
      <c r="H948" s="95">
        <f t="shared" si="14"/>
        <v>0.1875</v>
      </c>
    </row>
    <row r="949" spans="1:8" customFormat="1" ht="15.75" customHeight="1">
      <c r="A949" s="94">
        <v>944</v>
      </c>
      <c r="B949" s="141" t="s">
        <v>1255</v>
      </c>
      <c r="C949" s="141" t="s">
        <v>257</v>
      </c>
      <c r="D949" s="141" t="s">
        <v>258</v>
      </c>
      <c r="E949" s="141" t="s">
        <v>110</v>
      </c>
      <c r="F949" s="142">
        <v>1</v>
      </c>
      <c r="G949" s="142">
        <v>64300</v>
      </c>
      <c r="H949" s="95">
        <f t="shared" si="14"/>
        <v>0.1875</v>
      </c>
    </row>
    <row r="950" spans="1:8" customFormat="1" ht="15.75" customHeight="1">
      <c r="A950" s="94">
        <v>945</v>
      </c>
      <c r="B950" s="141" t="s">
        <v>1590</v>
      </c>
      <c r="C950" s="141" t="s">
        <v>1588</v>
      </c>
      <c r="D950" s="141" t="s">
        <v>1589</v>
      </c>
      <c r="E950" s="141" t="s">
        <v>113</v>
      </c>
      <c r="F950" s="142">
        <v>1</v>
      </c>
      <c r="G950" s="142">
        <v>100000</v>
      </c>
      <c r="H950" s="95">
        <f t="shared" si="14"/>
        <v>0.1875</v>
      </c>
    </row>
    <row r="951" spans="1:8" customFormat="1" ht="15.75" customHeight="1">
      <c r="A951" s="94">
        <v>946</v>
      </c>
      <c r="B951" s="141" t="s">
        <v>1355</v>
      </c>
      <c r="C951" s="141" t="s">
        <v>1352</v>
      </c>
      <c r="D951" s="141" t="s">
        <v>1353</v>
      </c>
      <c r="E951" s="141" t="s">
        <v>1354</v>
      </c>
      <c r="F951" s="142">
        <v>1</v>
      </c>
      <c r="G951" s="142">
        <v>300000</v>
      </c>
      <c r="H951" s="95">
        <f t="shared" si="14"/>
        <v>0.1875</v>
      </c>
    </row>
    <row r="952" spans="1:8" customFormat="1" ht="15.75" customHeight="1">
      <c r="A952" s="94">
        <v>947</v>
      </c>
      <c r="B952" s="141" t="s">
        <v>1375</v>
      </c>
      <c r="C952" s="141" t="s">
        <v>1373</v>
      </c>
      <c r="D952" s="141" t="s">
        <v>1374</v>
      </c>
      <c r="E952" s="141" t="s">
        <v>1361</v>
      </c>
      <c r="F952" s="142">
        <v>1</v>
      </c>
      <c r="G952" s="142">
        <v>400000</v>
      </c>
      <c r="H952" s="95">
        <f t="shared" ref="H952:H1015" si="15">25%*75%</f>
        <v>0.1875</v>
      </c>
    </row>
    <row r="953" spans="1:8" customFormat="1" ht="15.75" customHeight="1">
      <c r="A953" s="94">
        <v>948</v>
      </c>
      <c r="B953" s="141" t="s">
        <v>1571</v>
      </c>
      <c r="C953" s="141" t="s">
        <v>1569</v>
      </c>
      <c r="D953" s="141" t="s">
        <v>1570</v>
      </c>
      <c r="E953" s="141" t="s">
        <v>1361</v>
      </c>
      <c r="F953" s="142">
        <v>1</v>
      </c>
      <c r="G953" s="142">
        <v>400000</v>
      </c>
      <c r="H953" s="95">
        <f t="shared" si="15"/>
        <v>0.1875</v>
      </c>
    </row>
    <row r="954" spans="1:8" customFormat="1" ht="15.75" customHeight="1">
      <c r="A954" s="94">
        <v>949</v>
      </c>
      <c r="B954" s="141" t="s">
        <v>1556</v>
      </c>
      <c r="C954" s="141" t="s">
        <v>1555</v>
      </c>
      <c r="D954" s="141" t="s">
        <v>108</v>
      </c>
      <c r="E954" s="141" t="s">
        <v>150</v>
      </c>
      <c r="F954" s="142">
        <v>1</v>
      </c>
      <c r="G954" s="142">
        <v>257000</v>
      </c>
      <c r="H954" s="95">
        <f t="shared" si="15"/>
        <v>0.1875</v>
      </c>
    </row>
    <row r="955" spans="1:8" customFormat="1" ht="15.75" customHeight="1">
      <c r="A955" s="94">
        <v>950</v>
      </c>
      <c r="B955" s="141" t="s">
        <v>1530</v>
      </c>
      <c r="C955" s="141" t="s">
        <v>1529</v>
      </c>
      <c r="D955" s="141" t="s">
        <v>129</v>
      </c>
      <c r="E955" s="141" t="s">
        <v>55</v>
      </c>
      <c r="F955" s="142">
        <v>1</v>
      </c>
      <c r="G955" s="142">
        <v>418000</v>
      </c>
      <c r="H955" s="95">
        <f t="shared" si="15"/>
        <v>0.1875</v>
      </c>
    </row>
    <row r="956" spans="1:8" customFormat="1" ht="15.75" customHeight="1">
      <c r="A956" s="94">
        <v>951</v>
      </c>
      <c r="B956" s="141" t="s">
        <v>1649</v>
      </c>
      <c r="C956" s="141" t="s">
        <v>1647</v>
      </c>
      <c r="D956" s="141" t="s">
        <v>1648</v>
      </c>
      <c r="E956" s="141" t="s">
        <v>55</v>
      </c>
      <c r="F956" s="142">
        <v>1</v>
      </c>
      <c r="G956" s="142">
        <v>126700</v>
      </c>
      <c r="H956" s="95">
        <f t="shared" si="15"/>
        <v>0.1875</v>
      </c>
    </row>
    <row r="957" spans="1:8" customFormat="1" ht="15.75" customHeight="1">
      <c r="A957" s="94">
        <v>952</v>
      </c>
      <c r="B957" s="141" t="s">
        <v>1492</v>
      </c>
      <c r="C957" s="141" t="s">
        <v>1006</v>
      </c>
      <c r="D957" s="141" t="s">
        <v>1007</v>
      </c>
      <c r="E957" s="141" t="s">
        <v>38</v>
      </c>
      <c r="F957" s="142">
        <v>1</v>
      </c>
      <c r="G957" s="142">
        <v>100000</v>
      </c>
      <c r="H957" s="95">
        <f t="shared" si="15"/>
        <v>0.1875</v>
      </c>
    </row>
    <row r="958" spans="1:8" customFormat="1" ht="15.75" customHeight="1">
      <c r="A958" s="94">
        <v>953</v>
      </c>
      <c r="B958" s="141" t="s">
        <v>1492</v>
      </c>
      <c r="C958" s="141" t="s">
        <v>1006</v>
      </c>
      <c r="D958" s="141" t="s">
        <v>1007</v>
      </c>
      <c r="E958" s="141" t="s">
        <v>121</v>
      </c>
      <c r="F958" s="142">
        <v>1</v>
      </c>
      <c r="G958" s="142">
        <v>600000</v>
      </c>
      <c r="H958" s="95">
        <f t="shared" si="15"/>
        <v>0.1875</v>
      </c>
    </row>
    <row r="959" spans="1:8" customFormat="1" ht="15.75" customHeight="1">
      <c r="A959" s="94">
        <v>954</v>
      </c>
      <c r="B959" s="141" t="s">
        <v>1471</v>
      </c>
      <c r="C959" s="141" t="s">
        <v>1469</v>
      </c>
      <c r="D959" s="141" t="s">
        <v>1470</v>
      </c>
      <c r="E959" s="141" t="s">
        <v>113</v>
      </c>
      <c r="F959" s="142">
        <v>1</v>
      </c>
      <c r="G959" s="142">
        <v>100000</v>
      </c>
      <c r="H959" s="95">
        <f t="shared" si="15"/>
        <v>0.1875</v>
      </c>
    </row>
    <row r="960" spans="1:8" customFormat="1" ht="15.75" customHeight="1">
      <c r="A960" s="94">
        <v>955</v>
      </c>
      <c r="B960" s="141" t="s">
        <v>1151</v>
      </c>
      <c r="C960" s="141" t="s">
        <v>607</v>
      </c>
      <c r="D960" s="141" t="s">
        <v>106</v>
      </c>
      <c r="E960" s="141" t="s">
        <v>38</v>
      </c>
      <c r="F960" s="142">
        <v>1</v>
      </c>
      <c r="G960" s="142">
        <v>40300</v>
      </c>
      <c r="H960" s="95">
        <f t="shared" si="15"/>
        <v>0.1875</v>
      </c>
    </row>
    <row r="961" spans="1:8" customFormat="1" ht="15.75" customHeight="1">
      <c r="A961" s="94">
        <v>956</v>
      </c>
      <c r="B961" s="141" t="s">
        <v>1273</v>
      </c>
      <c r="C961" s="141" t="s">
        <v>1271</v>
      </c>
      <c r="D961" s="141" t="s">
        <v>1272</v>
      </c>
      <c r="E961" s="141" t="s">
        <v>110</v>
      </c>
      <c r="F961" s="142">
        <v>1</v>
      </c>
      <c r="G961" s="142">
        <v>100000</v>
      </c>
      <c r="H961" s="95">
        <f t="shared" si="15"/>
        <v>0.1875</v>
      </c>
    </row>
    <row r="962" spans="1:8" customFormat="1" ht="15.75" customHeight="1">
      <c r="A962" s="94">
        <v>957</v>
      </c>
      <c r="B962" s="141" t="s">
        <v>1340</v>
      </c>
      <c r="C962" s="141" t="s">
        <v>1338</v>
      </c>
      <c r="D962" s="141" t="s">
        <v>1339</v>
      </c>
      <c r="E962" s="141" t="s">
        <v>110</v>
      </c>
      <c r="F962" s="142">
        <v>1</v>
      </c>
      <c r="G962" s="142">
        <v>64300</v>
      </c>
      <c r="H962" s="95">
        <f t="shared" si="15"/>
        <v>0.1875</v>
      </c>
    </row>
    <row r="963" spans="1:8" customFormat="1" ht="15.75" customHeight="1">
      <c r="A963" s="94">
        <v>958</v>
      </c>
      <c r="B963" s="141" t="s">
        <v>1184</v>
      </c>
      <c r="C963" s="141" t="s">
        <v>1311</v>
      </c>
      <c r="D963" s="141" t="s">
        <v>1312</v>
      </c>
      <c r="E963" s="141" t="s">
        <v>55</v>
      </c>
      <c r="F963" s="142">
        <v>1</v>
      </c>
      <c r="G963" s="142">
        <v>418000</v>
      </c>
      <c r="H963" s="95">
        <f t="shared" si="15"/>
        <v>0.1875</v>
      </c>
    </row>
    <row r="964" spans="1:8" customFormat="1" ht="15.75" customHeight="1">
      <c r="A964" s="94">
        <v>959</v>
      </c>
      <c r="B964" s="141" t="s">
        <v>1336</v>
      </c>
      <c r="C964" s="141" t="s">
        <v>920</v>
      </c>
      <c r="D964" s="141" t="s">
        <v>921</v>
      </c>
      <c r="E964" s="141" t="s">
        <v>110</v>
      </c>
      <c r="F964" s="142">
        <v>1</v>
      </c>
      <c r="G964" s="142">
        <v>64300</v>
      </c>
      <c r="H964" s="95">
        <f t="shared" si="15"/>
        <v>0.1875</v>
      </c>
    </row>
    <row r="965" spans="1:8" customFormat="1" ht="15.75" customHeight="1">
      <c r="A965" s="94">
        <v>960</v>
      </c>
      <c r="B965" s="141" t="s">
        <v>1333</v>
      </c>
      <c r="C965" s="141" t="s">
        <v>858</v>
      </c>
      <c r="D965" s="141" t="s">
        <v>859</v>
      </c>
      <c r="E965" s="141" t="s">
        <v>110</v>
      </c>
      <c r="F965" s="142">
        <v>1</v>
      </c>
      <c r="G965" s="142">
        <v>64300</v>
      </c>
      <c r="H965" s="95">
        <f t="shared" si="15"/>
        <v>0.1875</v>
      </c>
    </row>
    <row r="966" spans="1:8" customFormat="1" ht="15.75" customHeight="1">
      <c r="A966" s="94">
        <v>961</v>
      </c>
      <c r="B966" s="141" t="s">
        <v>1302</v>
      </c>
      <c r="C966" s="141" t="s">
        <v>951</v>
      </c>
      <c r="D966" s="141" t="s">
        <v>952</v>
      </c>
      <c r="E966" s="141" t="s">
        <v>149</v>
      </c>
      <c r="F966" s="142">
        <v>1</v>
      </c>
      <c r="G966" s="142">
        <v>120000</v>
      </c>
      <c r="H966" s="95">
        <f t="shared" si="15"/>
        <v>0.1875</v>
      </c>
    </row>
    <row r="967" spans="1:8" customFormat="1" ht="15.75" customHeight="1">
      <c r="A967" s="94">
        <v>962</v>
      </c>
      <c r="B967" s="141" t="s">
        <v>1563</v>
      </c>
      <c r="C967" s="141" t="s">
        <v>1562</v>
      </c>
      <c r="D967" s="141" t="s">
        <v>107</v>
      </c>
      <c r="E967" s="141" t="s">
        <v>150</v>
      </c>
      <c r="F967" s="142">
        <v>1</v>
      </c>
      <c r="G967" s="142">
        <v>400000</v>
      </c>
      <c r="H967" s="95">
        <f t="shared" si="15"/>
        <v>0.1875</v>
      </c>
    </row>
    <row r="968" spans="1:8" customFormat="1" ht="15.75" customHeight="1">
      <c r="A968" s="94">
        <v>963</v>
      </c>
      <c r="B968" s="141" t="s">
        <v>999</v>
      </c>
      <c r="C968" s="141" t="s">
        <v>245</v>
      </c>
      <c r="D968" s="141" t="s">
        <v>158</v>
      </c>
      <c r="E968" s="141" t="s">
        <v>38</v>
      </c>
      <c r="F968" s="142">
        <v>1</v>
      </c>
      <c r="G968" s="142">
        <v>40300</v>
      </c>
      <c r="H968" s="95">
        <f t="shared" si="15"/>
        <v>0.1875</v>
      </c>
    </row>
    <row r="969" spans="1:8" customFormat="1" ht="15.75" customHeight="1">
      <c r="A969" s="94">
        <v>964</v>
      </c>
      <c r="B969" s="141" t="s">
        <v>1289</v>
      </c>
      <c r="C969" s="141" t="s">
        <v>1287</v>
      </c>
      <c r="D969" s="141" t="s">
        <v>1288</v>
      </c>
      <c r="E969" s="141" t="s">
        <v>110</v>
      </c>
      <c r="F969" s="142">
        <v>1</v>
      </c>
      <c r="G969" s="142">
        <v>64300</v>
      </c>
      <c r="H969" s="95">
        <f t="shared" si="15"/>
        <v>0.1875</v>
      </c>
    </row>
    <row r="970" spans="1:8" customFormat="1" ht="15.75" customHeight="1">
      <c r="A970" s="94">
        <v>965</v>
      </c>
      <c r="B970" s="141" t="s">
        <v>1688</v>
      </c>
      <c r="C970" s="141" t="s">
        <v>1685</v>
      </c>
      <c r="D970" s="141" t="s">
        <v>1686</v>
      </c>
      <c r="E970" s="141" t="s">
        <v>1687</v>
      </c>
      <c r="F970" s="142">
        <v>1</v>
      </c>
      <c r="G970" s="142">
        <v>257000</v>
      </c>
      <c r="H970" s="95">
        <f t="shared" si="15"/>
        <v>0.1875</v>
      </c>
    </row>
    <row r="971" spans="1:8" customFormat="1" ht="15.75" customHeight="1">
      <c r="A971" s="94">
        <v>966</v>
      </c>
      <c r="B971" s="141" t="s">
        <v>1688</v>
      </c>
      <c r="C971" s="141" t="s">
        <v>1685</v>
      </c>
      <c r="D971" s="141" t="s">
        <v>1686</v>
      </c>
      <c r="E971" s="141" t="s">
        <v>116</v>
      </c>
      <c r="F971" s="142">
        <v>1</v>
      </c>
      <c r="G971" s="142">
        <v>372700</v>
      </c>
      <c r="H971" s="95">
        <f t="shared" si="15"/>
        <v>0.1875</v>
      </c>
    </row>
    <row r="972" spans="1:8" customFormat="1" ht="15.75" customHeight="1">
      <c r="A972" s="94">
        <v>967</v>
      </c>
      <c r="B972" s="141" t="s">
        <v>1243</v>
      </c>
      <c r="C972" s="141" t="s">
        <v>1566</v>
      </c>
      <c r="D972" s="141" t="s">
        <v>108</v>
      </c>
      <c r="E972" s="141" t="s">
        <v>38</v>
      </c>
      <c r="F972" s="142">
        <v>1</v>
      </c>
      <c r="G972" s="142">
        <v>100000</v>
      </c>
      <c r="H972" s="95">
        <f t="shared" si="15"/>
        <v>0.1875</v>
      </c>
    </row>
    <row r="973" spans="1:8" customFormat="1" ht="15.75" customHeight="1">
      <c r="A973" s="94">
        <v>968</v>
      </c>
      <c r="B973" s="141" t="s">
        <v>784</v>
      </c>
      <c r="C973" s="141" t="s">
        <v>1316</v>
      </c>
      <c r="D973" s="141" t="s">
        <v>105</v>
      </c>
      <c r="E973" s="141" t="s">
        <v>110</v>
      </c>
      <c r="F973" s="142">
        <v>1</v>
      </c>
      <c r="G973" s="142">
        <v>64300</v>
      </c>
      <c r="H973" s="95">
        <f t="shared" si="15"/>
        <v>0.1875</v>
      </c>
    </row>
    <row r="974" spans="1:8" customFormat="1" ht="15.75" customHeight="1">
      <c r="A974" s="94">
        <v>969</v>
      </c>
      <c r="B974" s="141" t="s">
        <v>1579</v>
      </c>
      <c r="C974" s="141" t="s">
        <v>1577</v>
      </c>
      <c r="D974" s="141" t="s">
        <v>1578</v>
      </c>
      <c r="E974" s="141" t="s">
        <v>291</v>
      </c>
      <c r="F974" s="142">
        <v>1</v>
      </c>
      <c r="G974" s="142">
        <v>300000</v>
      </c>
      <c r="H974" s="95">
        <f t="shared" si="15"/>
        <v>0.1875</v>
      </c>
    </row>
    <row r="975" spans="1:8" customFormat="1" ht="15.75" customHeight="1">
      <c r="A975" s="94">
        <v>970</v>
      </c>
      <c r="B975" s="141" t="s">
        <v>1394</v>
      </c>
      <c r="C975" s="141" t="s">
        <v>1392</v>
      </c>
      <c r="D975" s="141" t="s">
        <v>1393</v>
      </c>
      <c r="E975" s="141" t="s">
        <v>38</v>
      </c>
      <c r="F975" s="142">
        <v>1</v>
      </c>
      <c r="G975" s="142">
        <v>100000</v>
      </c>
      <c r="H975" s="95">
        <f t="shared" si="15"/>
        <v>0.1875</v>
      </c>
    </row>
    <row r="976" spans="1:8" customFormat="1" ht="15.75" customHeight="1">
      <c r="A976" s="94">
        <v>971</v>
      </c>
      <c r="B976" s="141" t="s">
        <v>1296</v>
      </c>
      <c r="C976" s="141" t="s">
        <v>878</v>
      </c>
      <c r="D976" s="141" t="s">
        <v>879</v>
      </c>
      <c r="E976" s="141" t="s">
        <v>110</v>
      </c>
      <c r="F976" s="142">
        <v>1</v>
      </c>
      <c r="G976" s="142">
        <v>64300</v>
      </c>
      <c r="H976" s="95">
        <f t="shared" si="15"/>
        <v>0.1875</v>
      </c>
    </row>
    <row r="977" spans="1:8" customFormat="1" ht="15.75" customHeight="1">
      <c r="A977" s="94">
        <v>972</v>
      </c>
      <c r="B977" s="141" t="s">
        <v>1599</v>
      </c>
      <c r="C977" s="141" t="s">
        <v>1597</v>
      </c>
      <c r="D977" s="141" t="s">
        <v>1598</v>
      </c>
      <c r="E977" s="141" t="s">
        <v>119</v>
      </c>
      <c r="F977" s="142">
        <v>1</v>
      </c>
      <c r="G977" s="142">
        <v>500000</v>
      </c>
      <c r="H977" s="95">
        <f t="shared" si="15"/>
        <v>0.1875</v>
      </c>
    </row>
    <row r="978" spans="1:8" customFormat="1" ht="15.75" customHeight="1">
      <c r="A978" s="94">
        <v>973</v>
      </c>
      <c r="B978" s="141" t="s">
        <v>1284</v>
      </c>
      <c r="C978" s="141" t="s">
        <v>775</v>
      </c>
      <c r="D978" s="141" t="s">
        <v>776</v>
      </c>
      <c r="E978" s="141" t="s">
        <v>110</v>
      </c>
      <c r="F978" s="142">
        <v>1</v>
      </c>
      <c r="G978" s="142">
        <v>100000</v>
      </c>
      <c r="H978" s="95">
        <f t="shared" si="15"/>
        <v>0.1875</v>
      </c>
    </row>
    <row r="979" spans="1:8" customFormat="1" ht="15.75" customHeight="1">
      <c r="A979" s="94">
        <v>974</v>
      </c>
      <c r="B979" s="141" t="s">
        <v>857</v>
      </c>
      <c r="C979" s="141" t="s">
        <v>1457</v>
      </c>
      <c r="D979" s="141" t="s">
        <v>129</v>
      </c>
      <c r="E979" s="141" t="s">
        <v>113</v>
      </c>
      <c r="F979" s="142">
        <v>1</v>
      </c>
      <c r="G979" s="142">
        <v>100000</v>
      </c>
      <c r="H979" s="95">
        <f t="shared" si="15"/>
        <v>0.1875</v>
      </c>
    </row>
    <row r="980" spans="1:8" customFormat="1" ht="15.75" customHeight="1">
      <c r="A980" s="94">
        <v>975</v>
      </c>
      <c r="B980" s="141" t="s">
        <v>1405</v>
      </c>
      <c r="C980" s="141" t="s">
        <v>1403</v>
      </c>
      <c r="D980" s="141" t="s">
        <v>1404</v>
      </c>
      <c r="E980" s="141" t="s">
        <v>55</v>
      </c>
      <c r="F980" s="142">
        <v>1</v>
      </c>
      <c r="G980" s="142">
        <v>126700</v>
      </c>
      <c r="H980" s="95">
        <f t="shared" si="15"/>
        <v>0.1875</v>
      </c>
    </row>
    <row r="981" spans="1:8" customFormat="1" ht="15.75" customHeight="1">
      <c r="A981" s="94">
        <v>976</v>
      </c>
      <c r="B981" s="141" t="s">
        <v>1463</v>
      </c>
      <c r="C981" s="141" t="s">
        <v>1461</v>
      </c>
      <c r="D981" s="141" t="s">
        <v>1462</v>
      </c>
      <c r="E981" s="141" t="s">
        <v>55</v>
      </c>
      <c r="F981" s="142">
        <v>1</v>
      </c>
      <c r="G981" s="142">
        <v>418000</v>
      </c>
      <c r="H981" s="95">
        <f t="shared" si="15"/>
        <v>0.1875</v>
      </c>
    </row>
    <row r="982" spans="1:8" customFormat="1" ht="15.75" customHeight="1">
      <c r="A982" s="94">
        <v>977</v>
      </c>
      <c r="B982" s="141" t="s">
        <v>1435</v>
      </c>
      <c r="C982" s="141" t="s">
        <v>1433</v>
      </c>
      <c r="D982" s="141" t="s">
        <v>1434</v>
      </c>
      <c r="E982" s="141" t="s">
        <v>288</v>
      </c>
      <c r="F982" s="142">
        <v>1</v>
      </c>
      <c r="G982" s="142">
        <v>300000</v>
      </c>
      <c r="H982" s="95">
        <f t="shared" si="15"/>
        <v>0.1875</v>
      </c>
    </row>
    <row r="983" spans="1:8" customFormat="1" ht="15.75" customHeight="1">
      <c r="A983" s="94">
        <v>978</v>
      </c>
      <c r="B983" s="141" t="s">
        <v>1398</v>
      </c>
      <c r="C983" s="141" t="s">
        <v>1396</v>
      </c>
      <c r="D983" s="141" t="s">
        <v>1397</v>
      </c>
      <c r="E983" s="141" t="s">
        <v>168</v>
      </c>
      <c r="F983" s="142">
        <v>1</v>
      </c>
      <c r="G983" s="196">
        <v>104400</v>
      </c>
      <c r="H983" s="95">
        <f t="shared" si="15"/>
        <v>0.1875</v>
      </c>
    </row>
    <row r="984" spans="1:8" customFormat="1" ht="15.75" customHeight="1">
      <c r="A984" s="94">
        <v>979</v>
      </c>
      <c r="B984" s="141" t="s">
        <v>1509</v>
      </c>
      <c r="C984" s="141" t="s">
        <v>1506</v>
      </c>
      <c r="D984" s="141" t="s">
        <v>1507</v>
      </c>
      <c r="E984" s="141" t="s">
        <v>1508</v>
      </c>
      <c r="F984" s="142">
        <v>1</v>
      </c>
      <c r="G984" s="196">
        <v>129600</v>
      </c>
      <c r="H984" s="95">
        <f t="shared" si="15"/>
        <v>0.1875</v>
      </c>
    </row>
    <row r="985" spans="1:8" customFormat="1" ht="15.75" customHeight="1">
      <c r="A985" s="94">
        <v>980</v>
      </c>
      <c r="B985" s="141" t="s">
        <v>1489</v>
      </c>
      <c r="C985" s="141" t="s">
        <v>1487</v>
      </c>
      <c r="D985" s="141" t="s">
        <v>1488</v>
      </c>
      <c r="E985" s="141" t="s">
        <v>140</v>
      </c>
      <c r="F985" s="142">
        <v>1</v>
      </c>
      <c r="G985" s="196">
        <v>500000</v>
      </c>
      <c r="H985" s="95">
        <f t="shared" si="15"/>
        <v>0.1875</v>
      </c>
    </row>
    <row r="986" spans="1:8" customFormat="1" ht="15.75" customHeight="1">
      <c r="A986" s="94">
        <v>981</v>
      </c>
      <c r="B986" s="141" t="s">
        <v>1301</v>
      </c>
      <c r="C986" s="141" t="s">
        <v>929</v>
      </c>
      <c r="D986" s="141" t="s">
        <v>930</v>
      </c>
      <c r="E986" s="141" t="s">
        <v>110</v>
      </c>
      <c r="F986" s="142">
        <v>1</v>
      </c>
      <c r="G986" s="196">
        <v>64300</v>
      </c>
      <c r="H986" s="95">
        <f t="shared" si="15"/>
        <v>0.1875</v>
      </c>
    </row>
    <row r="987" spans="1:8" customFormat="1" ht="15.75" customHeight="1">
      <c r="A987" s="94">
        <v>982</v>
      </c>
      <c r="B987" s="141" t="s">
        <v>1315</v>
      </c>
      <c r="C987" s="141" t="s">
        <v>1314</v>
      </c>
      <c r="D987" s="141" t="s">
        <v>104</v>
      </c>
      <c r="E987" s="141" t="s">
        <v>110</v>
      </c>
      <c r="F987" s="142">
        <v>1</v>
      </c>
      <c r="G987" s="196">
        <v>64300</v>
      </c>
      <c r="H987" s="95">
        <f t="shared" si="15"/>
        <v>0.1875</v>
      </c>
    </row>
    <row r="988" spans="1:8" customFormat="1" ht="15.75" customHeight="1">
      <c r="A988" s="94">
        <v>983</v>
      </c>
      <c r="B988" s="141" t="s">
        <v>1049</v>
      </c>
      <c r="C988" s="141" t="s">
        <v>1541</v>
      </c>
      <c r="D988" s="141" t="s">
        <v>1542</v>
      </c>
      <c r="E988" s="141" t="s">
        <v>291</v>
      </c>
      <c r="F988" s="142">
        <v>1</v>
      </c>
      <c r="G988" s="196">
        <v>300000</v>
      </c>
      <c r="H988" s="95">
        <f t="shared" si="15"/>
        <v>0.1875</v>
      </c>
    </row>
    <row r="989" spans="1:8" customFormat="1" ht="15.75" customHeight="1">
      <c r="A989" s="94">
        <v>984</v>
      </c>
      <c r="B989" s="141" t="s">
        <v>1694</v>
      </c>
      <c r="C989" s="141" t="s">
        <v>1692</v>
      </c>
      <c r="D989" s="141" t="s">
        <v>1693</v>
      </c>
      <c r="E989" s="141" t="s">
        <v>56</v>
      </c>
      <c r="F989" s="142">
        <v>1</v>
      </c>
      <c r="G989" s="196">
        <v>400000</v>
      </c>
      <c r="H989" s="95">
        <f t="shared" si="15"/>
        <v>0.1875</v>
      </c>
    </row>
    <row r="990" spans="1:8" customFormat="1" ht="15.75" customHeight="1">
      <c r="A990" s="94">
        <v>985</v>
      </c>
      <c r="B990" s="141" t="s">
        <v>1387</v>
      </c>
      <c r="C990" s="141" t="s">
        <v>1386</v>
      </c>
      <c r="D990" s="141" t="s">
        <v>106</v>
      </c>
      <c r="E990" s="141" t="s">
        <v>112</v>
      </c>
      <c r="F990" s="142">
        <v>1</v>
      </c>
      <c r="G990" s="196">
        <v>300000</v>
      </c>
      <c r="H990" s="95">
        <f t="shared" si="15"/>
        <v>0.1875</v>
      </c>
    </row>
    <row r="991" spans="1:8" customFormat="1" ht="15.75" customHeight="1">
      <c r="A991" s="94">
        <v>986</v>
      </c>
      <c r="B991" s="141" t="s">
        <v>1329</v>
      </c>
      <c r="C991" s="141" t="s">
        <v>157</v>
      </c>
      <c r="D991" s="141" t="s">
        <v>1328</v>
      </c>
      <c r="E991" s="141" t="s">
        <v>110</v>
      </c>
      <c r="F991" s="142">
        <v>1</v>
      </c>
      <c r="G991" s="196">
        <v>64300</v>
      </c>
      <c r="H991" s="95">
        <f t="shared" si="15"/>
        <v>0.1875</v>
      </c>
    </row>
    <row r="992" spans="1:8" customFormat="1" ht="15.75" customHeight="1">
      <c r="A992" s="94">
        <v>987</v>
      </c>
      <c r="B992" s="141" t="s">
        <v>1628</v>
      </c>
      <c r="C992" s="141" t="s">
        <v>1626</v>
      </c>
      <c r="D992" s="141" t="s">
        <v>1627</v>
      </c>
      <c r="E992" s="141" t="s">
        <v>91</v>
      </c>
      <c r="F992" s="142">
        <v>1</v>
      </c>
      <c r="G992" s="196">
        <v>104400</v>
      </c>
      <c r="H992" s="95">
        <f t="shared" si="15"/>
        <v>0.1875</v>
      </c>
    </row>
    <row r="993" spans="1:8" customFormat="1" ht="15.75" customHeight="1">
      <c r="A993" s="94">
        <v>988</v>
      </c>
      <c r="B993" s="141" t="s">
        <v>1330</v>
      </c>
      <c r="C993" s="141" t="s">
        <v>838</v>
      </c>
      <c r="D993" s="141" t="s">
        <v>839</v>
      </c>
      <c r="E993" s="141" t="s">
        <v>39</v>
      </c>
      <c r="F993" s="142">
        <v>1</v>
      </c>
      <c r="G993" s="196">
        <v>40300</v>
      </c>
      <c r="H993" s="95">
        <f t="shared" si="15"/>
        <v>0.1875</v>
      </c>
    </row>
    <row r="994" spans="1:8" customFormat="1" ht="15.75" customHeight="1">
      <c r="A994" s="94">
        <v>989</v>
      </c>
      <c r="B994" s="141" t="s">
        <v>1413</v>
      </c>
      <c r="C994" s="141" t="s">
        <v>251</v>
      </c>
      <c r="D994" s="141" t="s">
        <v>106</v>
      </c>
      <c r="E994" s="141" t="s">
        <v>34</v>
      </c>
      <c r="F994" s="142">
        <v>1</v>
      </c>
      <c r="G994" s="196">
        <v>384000</v>
      </c>
      <c r="H994" s="95">
        <f t="shared" si="15"/>
        <v>0.1875</v>
      </c>
    </row>
    <row r="995" spans="1:8" customFormat="1" ht="15.75" customHeight="1">
      <c r="A995" s="94">
        <v>990</v>
      </c>
      <c r="B995" s="141" t="s">
        <v>1351</v>
      </c>
      <c r="C995" s="141" t="s">
        <v>1349</v>
      </c>
      <c r="D995" s="141" t="s">
        <v>1350</v>
      </c>
      <c r="E995" s="141" t="s">
        <v>55</v>
      </c>
      <c r="F995" s="142">
        <v>1</v>
      </c>
      <c r="G995" s="196">
        <v>418000</v>
      </c>
      <c r="H995" s="95">
        <f t="shared" si="15"/>
        <v>0.1875</v>
      </c>
    </row>
    <row r="996" spans="1:8" customFormat="1" ht="15.75" customHeight="1">
      <c r="A996" s="94">
        <v>991</v>
      </c>
      <c r="B996" s="141" t="s">
        <v>1583</v>
      </c>
      <c r="C996" s="141" t="s">
        <v>1581</v>
      </c>
      <c r="D996" s="141" t="s">
        <v>1582</v>
      </c>
      <c r="E996" s="141" t="s">
        <v>55</v>
      </c>
      <c r="F996" s="142">
        <v>1</v>
      </c>
      <c r="G996" s="196">
        <v>418000</v>
      </c>
      <c r="H996" s="95">
        <f t="shared" si="15"/>
        <v>0.1875</v>
      </c>
    </row>
    <row r="997" spans="1:8" customFormat="1" ht="15.75" customHeight="1">
      <c r="A997" s="94">
        <v>992</v>
      </c>
      <c r="B997" s="141" t="s">
        <v>1368</v>
      </c>
      <c r="C997" s="141" t="s">
        <v>1366</v>
      </c>
      <c r="D997" s="141" t="s">
        <v>1367</v>
      </c>
      <c r="E997" s="141" t="s">
        <v>34</v>
      </c>
      <c r="F997" s="142">
        <v>1</v>
      </c>
      <c r="G997" s="196">
        <v>384000</v>
      </c>
      <c r="H997" s="95">
        <f t="shared" si="15"/>
        <v>0.1875</v>
      </c>
    </row>
    <row r="998" spans="1:8" customFormat="1" ht="15.75" customHeight="1">
      <c r="A998" s="94">
        <v>993</v>
      </c>
      <c r="B998" s="141" t="s">
        <v>1258</v>
      </c>
      <c r="C998" s="141" t="s">
        <v>1256</v>
      </c>
      <c r="D998" s="141" t="s">
        <v>1257</v>
      </c>
      <c r="E998" s="141" t="s">
        <v>110</v>
      </c>
      <c r="F998" s="142">
        <v>1</v>
      </c>
      <c r="G998" s="196">
        <v>100000</v>
      </c>
      <c r="H998" s="95">
        <f t="shared" si="15"/>
        <v>0.1875</v>
      </c>
    </row>
    <row r="999" spans="1:8" customFormat="1" ht="15.75" customHeight="1">
      <c r="A999" s="94">
        <v>994</v>
      </c>
      <c r="B999" s="141" t="s">
        <v>1285</v>
      </c>
      <c r="C999" s="141" t="s">
        <v>792</v>
      </c>
      <c r="D999" s="141" t="s">
        <v>793</v>
      </c>
      <c r="E999" s="141" t="s">
        <v>149</v>
      </c>
      <c r="F999" s="142">
        <v>1</v>
      </c>
      <c r="G999" s="196">
        <v>120000</v>
      </c>
      <c r="H999" s="95">
        <f t="shared" si="15"/>
        <v>0.1875</v>
      </c>
    </row>
    <row r="1000" spans="1:8" customFormat="1" ht="15.75" customHeight="1">
      <c r="A1000" s="94">
        <v>995</v>
      </c>
      <c r="B1000" s="141" t="s">
        <v>1379</v>
      </c>
      <c r="C1000" s="141" t="s">
        <v>1376</v>
      </c>
      <c r="D1000" s="141" t="s">
        <v>1377</v>
      </c>
      <c r="E1000" s="141" t="s">
        <v>1378</v>
      </c>
      <c r="F1000" s="142">
        <v>1</v>
      </c>
      <c r="G1000" s="196">
        <v>400000</v>
      </c>
      <c r="H1000" s="95">
        <f t="shared" si="15"/>
        <v>0.1875</v>
      </c>
    </row>
    <row r="1001" spans="1:8" customFormat="1" ht="15.75" customHeight="1">
      <c r="A1001" s="94">
        <v>996</v>
      </c>
      <c r="B1001" s="141" t="s">
        <v>1580</v>
      </c>
      <c r="C1001" s="141" t="s">
        <v>1303</v>
      </c>
      <c r="D1001" s="141" t="s">
        <v>1304</v>
      </c>
      <c r="E1001" s="141" t="s">
        <v>55</v>
      </c>
      <c r="F1001" s="142">
        <v>1</v>
      </c>
      <c r="G1001" s="196">
        <v>418000</v>
      </c>
      <c r="H1001" s="95">
        <f t="shared" si="15"/>
        <v>0.1875</v>
      </c>
    </row>
    <row r="1002" spans="1:8" customFormat="1" ht="15.75" customHeight="1">
      <c r="A1002" s="94">
        <v>997</v>
      </c>
      <c r="B1002" s="141" t="s">
        <v>1154</v>
      </c>
      <c r="C1002" s="141" t="s">
        <v>812</v>
      </c>
      <c r="D1002" s="141" t="s">
        <v>813</v>
      </c>
      <c r="E1002" s="141" t="s">
        <v>38</v>
      </c>
      <c r="F1002" s="142">
        <v>1</v>
      </c>
      <c r="G1002" s="196">
        <v>40300</v>
      </c>
      <c r="H1002" s="95">
        <f t="shared" si="15"/>
        <v>0.1875</v>
      </c>
    </row>
    <row r="1003" spans="1:8" customFormat="1" ht="15.75" customHeight="1">
      <c r="A1003" s="94">
        <v>998</v>
      </c>
      <c r="B1003" s="141" t="s">
        <v>1486</v>
      </c>
      <c r="C1003" s="141" t="s">
        <v>1515</v>
      </c>
      <c r="D1003" s="141" t="s">
        <v>1516</v>
      </c>
      <c r="E1003" s="141" t="s">
        <v>151</v>
      </c>
      <c r="F1003" s="142">
        <v>1</v>
      </c>
      <c r="G1003" s="196">
        <v>300000</v>
      </c>
      <c r="H1003" s="95">
        <f t="shared" si="15"/>
        <v>0.1875</v>
      </c>
    </row>
    <row r="1004" spans="1:8" customFormat="1" ht="15.75" customHeight="1">
      <c r="A1004" s="94">
        <v>999</v>
      </c>
      <c r="B1004" s="141" t="s">
        <v>1535</v>
      </c>
      <c r="C1004" s="141" t="s">
        <v>850</v>
      </c>
      <c r="D1004" s="141" t="s">
        <v>851</v>
      </c>
      <c r="E1004" s="141" t="s">
        <v>38</v>
      </c>
      <c r="F1004" s="142">
        <v>1</v>
      </c>
      <c r="G1004" s="196">
        <v>100000</v>
      </c>
      <c r="H1004" s="95">
        <f t="shared" si="15"/>
        <v>0.1875</v>
      </c>
    </row>
    <row r="1005" spans="1:8" customFormat="1" ht="15.75" customHeight="1">
      <c r="A1005" s="94">
        <v>1000</v>
      </c>
      <c r="B1005" s="141" t="s">
        <v>1525</v>
      </c>
      <c r="C1005" s="141" t="s">
        <v>1523</v>
      </c>
      <c r="D1005" s="141" t="s">
        <v>1524</v>
      </c>
      <c r="E1005" s="141" t="s">
        <v>55</v>
      </c>
      <c r="F1005" s="142">
        <v>1</v>
      </c>
      <c r="G1005" s="196">
        <v>418000</v>
      </c>
      <c r="H1005" s="95">
        <f t="shared" si="15"/>
        <v>0.1875</v>
      </c>
    </row>
    <row r="1006" spans="1:8" customFormat="1" ht="15.75" customHeight="1">
      <c r="A1006" s="94">
        <v>1001</v>
      </c>
      <c r="B1006" s="141" t="s">
        <v>1519</v>
      </c>
      <c r="C1006" s="141" t="s">
        <v>1517</v>
      </c>
      <c r="D1006" s="141" t="s">
        <v>1518</v>
      </c>
      <c r="E1006" s="141" t="s">
        <v>56</v>
      </c>
      <c r="F1006" s="142">
        <v>1</v>
      </c>
      <c r="G1006" s="196">
        <v>257000</v>
      </c>
      <c r="H1006" s="95">
        <f t="shared" si="15"/>
        <v>0.1875</v>
      </c>
    </row>
    <row r="1007" spans="1:8" customFormat="1" ht="15.75" customHeight="1">
      <c r="A1007" s="94">
        <v>1002</v>
      </c>
      <c r="B1007" s="141" t="s">
        <v>1485</v>
      </c>
      <c r="C1007" s="141" t="s">
        <v>196</v>
      </c>
      <c r="D1007" s="141" t="s">
        <v>98</v>
      </c>
      <c r="E1007" s="141" t="s">
        <v>38</v>
      </c>
      <c r="F1007" s="142">
        <v>1</v>
      </c>
      <c r="G1007" s="196">
        <v>40300</v>
      </c>
      <c r="H1007" s="95">
        <f t="shared" si="15"/>
        <v>0.1875</v>
      </c>
    </row>
    <row r="1008" spans="1:8" customFormat="1" ht="15.75" customHeight="1">
      <c r="A1008" s="94">
        <v>1003</v>
      </c>
      <c r="B1008" s="141" t="s">
        <v>1467</v>
      </c>
      <c r="C1008" s="141" t="s">
        <v>157</v>
      </c>
      <c r="D1008" s="141" t="s">
        <v>123</v>
      </c>
      <c r="E1008" s="141" t="s">
        <v>38</v>
      </c>
      <c r="F1008" s="142">
        <v>1</v>
      </c>
      <c r="G1008" s="196">
        <v>100000</v>
      </c>
      <c r="H1008" s="95">
        <f t="shared" si="15"/>
        <v>0.1875</v>
      </c>
    </row>
    <row r="1009" spans="1:8" customFormat="1" ht="15.75" customHeight="1">
      <c r="A1009" s="94">
        <v>1004</v>
      </c>
      <c r="B1009" s="141" t="s">
        <v>1347</v>
      </c>
      <c r="C1009" s="141" t="s">
        <v>298</v>
      </c>
      <c r="D1009" s="141" t="s">
        <v>107</v>
      </c>
      <c r="E1009" s="141" t="s">
        <v>55</v>
      </c>
      <c r="F1009" s="142">
        <v>1</v>
      </c>
      <c r="G1009" s="196">
        <v>418000</v>
      </c>
      <c r="H1009" s="95">
        <f t="shared" si="15"/>
        <v>0.1875</v>
      </c>
    </row>
    <row r="1010" spans="1:8" customFormat="1" ht="15.75" customHeight="1">
      <c r="A1010" s="94">
        <v>1005</v>
      </c>
      <c r="B1010" s="141" t="s">
        <v>1411</v>
      </c>
      <c r="C1010" s="141" t="s">
        <v>1409</v>
      </c>
      <c r="D1010" s="141" t="s">
        <v>1410</v>
      </c>
      <c r="E1010" s="141" t="s">
        <v>113</v>
      </c>
      <c r="F1010" s="142">
        <v>1</v>
      </c>
      <c r="G1010" s="196">
        <v>100000</v>
      </c>
      <c r="H1010" s="95">
        <f t="shared" si="15"/>
        <v>0.1875</v>
      </c>
    </row>
    <row r="1011" spans="1:8" customFormat="1" ht="15.75" customHeight="1">
      <c r="A1011" s="94">
        <v>1006</v>
      </c>
      <c r="B1011" s="141" t="s">
        <v>1650</v>
      </c>
      <c r="C1011" s="141" t="s">
        <v>194</v>
      </c>
      <c r="D1011" s="141" t="s">
        <v>195</v>
      </c>
      <c r="E1011" s="141" t="s">
        <v>91</v>
      </c>
      <c r="F1011" s="142">
        <v>1</v>
      </c>
      <c r="G1011" s="196">
        <v>104400</v>
      </c>
      <c r="H1011" s="95">
        <f t="shared" si="15"/>
        <v>0.1875</v>
      </c>
    </row>
    <row r="1012" spans="1:8" customFormat="1" ht="15.75" customHeight="1">
      <c r="A1012" s="94">
        <v>1007</v>
      </c>
      <c r="B1012" s="141" t="s">
        <v>1666</v>
      </c>
      <c r="C1012" s="141" t="s">
        <v>581</v>
      </c>
      <c r="D1012" s="141" t="s">
        <v>582</v>
      </c>
      <c r="E1012" s="141" t="s">
        <v>111</v>
      </c>
      <c r="F1012" s="142">
        <v>1</v>
      </c>
      <c r="G1012" s="196">
        <v>200000</v>
      </c>
      <c r="H1012" s="95">
        <f t="shared" si="15"/>
        <v>0.1875</v>
      </c>
    </row>
    <row r="1013" spans="1:8" customFormat="1" ht="15.75" customHeight="1">
      <c r="A1013" s="94">
        <v>1008</v>
      </c>
      <c r="B1013" s="141" t="s">
        <v>1554</v>
      </c>
      <c r="C1013" s="141" t="s">
        <v>1552</v>
      </c>
      <c r="D1013" s="141" t="s">
        <v>1553</v>
      </c>
      <c r="E1013" s="141" t="s">
        <v>119</v>
      </c>
      <c r="F1013" s="142">
        <v>1</v>
      </c>
      <c r="G1013" s="196">
        <v>500000</v>
      </c>
      <c r="H1013" s="95">
        <f t="shared" si="15"/>
        <v>0.1875</v>
      </c>
    </row>
    <row r="1014" spans="1:8" customFormat="1" ht="15.75" customHeight="1">
      <c r="A1014" s="94">
        <v>1009</v>
      </c>
      <c r="B1014" s="141" t="s">
        <v>1545</v>
      </c>
      <c r="C1014" s="141" t="s">
        <v>1543</v>
      </c>
      <c r="D1014" s="141" t="s">
        <v>1544</v>
      </c>
      <c r="E1014" s="141" t="s">
        <v>55</v>
      </c>
      <c r="F1014" s="142">
        <v>1</v>
      </c>
      <c r="G1014" s="196">
        <v>418000</v>
      </c>
      <c r="H1014" s="95">
        <f t="shared" si="15"/>
        <v>0.1875</v>
      </c>
    </row>
    <row r="1015" spans="1:8" customFormat="1" ht="15.75" customHeight="1">
      <c r="A1015" s="94">
        <v>1010</v>
      </c>
      <c r="B1015" s="141" t="s">
        <v>1683</v>
      </c>
      <c r="C1015" s="141" t="s">
        <v>1682</v>
      </c>
      <c r="D1015" s="141" t="s">
        <v>117</v>
      </c>
      <c r="E1015" s="141" t="s">
        <v>111</v>
      </c>
      <c r="F1015" s="142">
        <v>1</v>
      </c>
      <c r="G1015" s="196">
        <v>200000</v>
      </c>
      <c r="H1015" s="95">
        <f t="shared" si="15"/>
        <v>0.1875</v>
      </c>
    </row>
    <row r="1016" spans="1:8" customFormat="1" ht="15.75" customHeight="1">
      <c r="A1016" s="94">
        <v>1011</v>
      </c>
      <c r="B1016" s="141" t="s">
        <v>1681</v>
      </c>
      <c r="C1016" s="141" t="s">
        <v>1679</v>
      </c>
      <c r="D1016" s="141" t="s">
        <v>1680</v>
      </c>
      <c r="E1016" s="141" t="s">
        <v>111</v>
      </c>
      <c r="F1016" s="142">
        <v>1</v>
      </c>
      <c r="G1016" s="196">
        <v>200000</v>
      </c>
      <c r="H1016" s="95">
        <f t="shared" ref="H1016:H1079" si="16">25%*75%</f>
        <v>0.1875</v>
      </c>
    </row>
    <row r="1017" spans="1:8" customFormat="1" ht="15.75" customHeight="1">
      <c r="A1017" s="94">
        <v>1012</v>
      </c>
      <c r="B1017" s="141" t="s">
        <v>1093</v>
      </c>
      <c r="C1017" s="141" t="s">
        <v>611</v>
      </c>
      <c r="D1017" s="141" t="s">
        <v>96</v>
      </c>
      <c r="E1017" s="141" t="s">
        <v>121</v>
      </c>
      <c r="F1017" s="142">
        <v>1</v>
      </c>
      <c r="G1017" s="196">
        <v>600000</v>
      </c>
      <c r="H1017" s="95">
        <f t="shared" si="16"/>
        <v>0.1875</v>
      </c>
    </row>
    <row r="1018" spans="1:8" customFormat="1" ht="15.75" customHeight="1">
      <c r="A1018" s="94">
        <v>1013</v>
      </c>
      <c r="B1018" s="141" t="s">
        <v>1307</v>
      </c>
      <c r="C1018" s="141" t="s">
        <v>983</v>
      </c>
      <c r="D1018" s="141" t="s">
        <v>984</v>
      </c>
      <c r="E1018" s="141" t="s">
        <v>110</v>
      </c>
      <c r="F1018" s="142">
        <v>1</v>
      </c>
      <c r="G1018" s="196">
        <v>64300</v>
      </c>
      <c r="H1018" s="95">
        <f t="shared" si="16"/>
        <v>0.1875</v>
      </c>
    </row>
    <row r="1019" spans="1:8" customFormat="1" ht="15.75" customHeight="1">
      <c r="A1019" s="94">
        <v>1014</v>
      </c>
      <c r="B1019" s="141" t="s">
        <v>1319</v>
      </c>
      <c r="C1019" s="141" t="s">
        <v>671</v>
      </c>
      <c r="D1019" s="141" t="s">
        <v>672</v>
      </c>
      <c r="E1019" s="141" t="s">
        <v>110</v>
      </c>
      <c r="F1019" s="142">
        <v>1</v>
      </c>
      <c r="G1019" s="196">
        <v>64300</v>
      </c>
      <c r="H1019" s="95">
        <f t="shared" si="16"/>
        <v>0.1875</v>
      </c>
    </row>
    <row r="1020" spans="1:8" customFormat="1" ht="15.75" customHeight="1">
      <c r="A1020" s="94">
        <v>1015</v>
      </c>
      <c r="B1020" s="141" t="s">
        <v>1274</v>
      </c>
      <c r="C1020" s="141" t="s">
        <v>635</v>
      </c>
      <c r="D1020" s="141" t="s">
        <v>147</v>
      </c>
      <c r="E1020" s="141" t="s">
        <v>110</v>
      </c>
      <c r="F1020" s="142">
        <v>1</v>
      </c>
      <c r="G1020" s="196">
        <v>100000</v>
      </c>
      <c r="H1020" s="95">
        <f t="shared" si="16"/>
        <v>0.1875</v>
      </c>
    </row>
    <row r="1021" spans="1:8" customFormat="1" ht="15.75" customHeight="1">
      <c r="A1021" s="94">
        <v>1016</v>
      </c>
      <c r="B1021" s="141" t="s">
        <v>1586</v>
      </c>
      <c r="C1021" s="141" t="s">
        <v>1585</v>
      </c>
      <c r="D1021" s="141" t="s">
        <v>1542</v>
      </c>
      <c r="E1021" s="141" t="s">
        <v>113</v>
      </c>
      <c r="F1021" s="142">
        <v>1</v>
      </c>
      <c r="G1021" s="196">
        <v>100000</v>
      </c>
      <c r="H1021" s="95">
        <f t="shared" si="16"/>
        <v>0.1875</v>
      </c>
    </row>
    <row r="1022" spans="1:8" customFormat="1" ht="15.75" customHeight="1">
      <c r="A1022" s="94">
        <v>1017</v>
      </c>
      <c r="B1022" s="141" t="s">
        <v>1266</v>
      </c>
      <c r="C1022" s="141" t="s">
        <v>554</v>
      </c>
      <c r="D1022" s="141" t="s">
        <v>555</v>
      </c>
      <c r="E1022" s="141" t="s">
        <v>110</v>
      </c>
      <c r="F1022" s="142">
        <v>1</v>
      </c>
      <c r="G1022" s="196">
        <v>100000</v>
      </c>
      <c r="H1022" s="95">
        <f t="shared" si="16"/>
        <v>0.1875</v>
      </c>
    </row>
    <row r="1023" spans="1:8" customFormat="1" ht="15.75" customHeight="1">
      <c r="A1023" s="94">
        <v>1018</v>
      </c>
      <c r="B1023" s="141" t="s">
        <v>1281</v>
      </c>
      <c r="C1023" s="141" t="s">
        <v>736</v>
      </c>
      <c r="D1023" s="141" t="s">
        <v>737</v>
      </c>
      <c r="E1023" s="141" t="s">
        <v>110</v>
      </c>
      <c r="F1023" s="142">
        <v>1</v>
      </c>
      <c r="G1023" s="196">
        <v>64300</v>
      </c>
      <c r="H1023" s="95">
        <f t="shared" si="16"/>
        <v>0.1875</v>
      </c>
    </row>
    <row r="1024" spans="1:8" customFormat="1" ht="15.75" customHeight="1">
      <c r="A1024" s="94">
        <v>1019</v>
      </c>
      <c r="B1024" s="141" t="s">
        <v>1382</v>
      </c>
      <c r="C1024" s="141" t="s">
        <v>1380</v>
      </c>
      <c r="D1024" s="141" t="s">
        <v>1381</v>
      </c>
      <c r="E1024" s="141" t="s">
        <v>34</v>
      </c>
      <c r="F1024" s="142">
        <v>1</v>
      </c>
      <c r="G1024" s="196">
        <v>384000</v>
      </c>
      <c r="H1024" s="95">
        <f t="shared" si="16"/>
        <v>0.1875</v>
      </c>
    </row>
    <row r="1025" spans="1:8" customFormat="1" ht="15.75" customHeight="1">
      <c r="A1025" s="94">
        <v>1020</v>
      </c>
      <c r="B1025" s="141" t="s">
        <v>1632</v>
      </c>
      <c r="C1025" s="141" t="s">
        <v>800</v>
      </c>
      <c r="D1025" s="141" t="s">
        <v>801</v>
      </c>
      <c r="E1025" s="141" t="s">
        <v>142</v>
      </c>
      <c r="F1025" s="142">
        <v>1</v>
      </c>
      <c r="G1025" s="196">
        <v>129600</v>
      </c>
      <c r="H1025" s="95">
        <f t="shared" si="16"/>
        <v>0.1875</v>
      </c>
    </row>
    <row r="1026" spans="1:8" customFormat="1" ht="15.75" customHeight="1">
      <c r="A1026" s="94">
        <v>1021</v>
      </c>
      <c r="B1026" s="141" t="s">
        <v>1270</v>
      </c>
      <c r="C1026" s="141" t="s">
        <v>633</v>
      </c>
      <c r="D1026" s="141" t="s">
        <v>634</v>
      </c>
      <c r="E1026" s="141" t="s">
        <v>110</v>
      </c>
      <c r="F1026" s="142">
        <v>1</v>
      </c>
      <c r="G1026" s="196">
        <v>64300</v>
      </c>
      <c r="H1026" s="95">
        <f t="shared" si="16"/>
        <v>0.1875</v>
      </c>
    </row>
    <row r="1027" spans="1:8" customFormat="1" ht="15.75" customHeight="1">
      <c r="A1027" s="94">
        <v>1022</v>
      </c>
      <c r="B1027" s="141" t="s">
        <v>1337</v>
      </c>
      <c r="C1027" s="141" t="s">
        <v>936</v>
      </c>
      <c r="D1027" s="141" t="s">
        <v>199</v>
      </c>
      <c r="E1027" s="141" t="s">
        <v>110</v>
      </c>
      <c r="F1027" s="142">
        <v>1</v>
      </c>
      <c r="G1027" s="196">
        <v>64300</v>
      </c>
      <c r="H1027" s="95">
        <f t="shared" si="16"/>
        <v>0.1875</v>
      </c>
    </row>
    <row r="1028" spans="1:8" customFormat="1" ht="15.75" customHeight="1">
      <c r="A1028" s="94">
        <v>1023</v>
      </c>
      <c r="B1028" s="141" t="s">
        <v>1269</v>
      </c>
      <c r="C1028" s="141" t="s">
        <v>579</v>
      </c>
      <c r="D1028" s="141" t="s">
        <v>96</v>
      </c>
      <c r="E1028" s="141" t="s">
        <v>110</v>
      </c>
      <c r="F1028" s="142">
        <v>1</v>
      </c>
      <c r="G1028" s="196">
        <v>64300</v>
      </c>
      <c r="H1028" s="95">
        <f t="shared" si="16"/>
        <v>0.1875</v>
      </c>
    </row>
    <row r="1029" spans="1:8" customFormat="1" ht="15.75" customHeight="1">
      <c r="A1029" s="94">
        <v>1024</v>
      </c>
      <c r="B1029" s="141" t="s">
        <v>1428</v>
      </c>
      <c r="C1029" s="141" t="s">
        <v>1426</v>
      </c>
      <c r="D1029" s="141" t="s">
        <v>1427</v>
      </c>
      <c r="E1029" s="141" t="s">
        <v>116</v>
      </c>
      <c r="F1029" s="142">
        <v>1</v>
      </c>
      <c r="G1029" s="196">
        <v>500000</v>
      </c>
      <c r="H1029" s="95">
        <f t="shared" si="16"/>
        <v>0.1875</v>
      </c>
    </row>
    <row r="1030" spans="1:8" customFormat="1" ht="15.75" customHeight="1">
      <c r="A1030" s="94">
        <v>1025</v>
      </c>
      <c r="B1030" s="141" t="s">
        <v>1415</v>
      </c>
      <c r="C1030" s="141" t="s">
        <v>674</v>
      </c>
      <c r="D1030" s="141" t="s">
        <v>675</v>
      </c>
      <c r="E1030" s="141" t="s">
        <v>55</v>
      </c>
      <c r="F1030" s="142">
        <v>1</v>
      </c>
      <c r="G1030" s="196">
        <v>126700</v>
      </c>
      <c r="H1030" s="95">
        <f t="shared" si="16"/>
        <v>0.1875</v>
      </c>
    </row>
    <row r="1031" spans="1:8" customFormat="1" ht="15.75" customHeight="1">
      <c r="A1031" s="94">
        <v>1026</v>
      </c>
      <c r="B1031" s="141" t="s">
        <v>1310</v>
      </c>
      <c r="C1031" s="141" t="s">
        <v>989</v>
      </c>
      <c r="D1031" s="141" t="s">
        <v>94</v>
      </c>
      <c r="E1031" s="141" t="s">
        <v>110</v>
      </c>
      <c r="F1031" s="142">
        <v>1</v>
      </c>
      <c r="G1031" s="196">
        <v>100000</v>
      </c>
      <c r="H1031" s="95">
        <f t="shared" si="16"/>
        <v>0.1875</v>
      </c>
    </row>
    <row r="1032" spans="1:8" customFormat="1" ht="15.75" customHeight="1">
      <c r="A1032" s="94">
        <v>1027</v>
      </c>
      <c r="B1032" s="141" t="s">
        <v>1280</v>
      </c>
      <c r="C1032" s="141" t="s">
        <v>719</v>
      </c>
      <c r="D1032" s="141" t="s">
        <v>720</v>
      </c>
      <c r="E1032" s="141" t="s">
        <v>110</v>
      </c>
      <c r="F1032" s="142">
        <v>1</v>
      </c>
      <c r="G1032" s="196">
        <v>64300</v>
      </c>
      <c r="H1032" s="95">
        <f t="shared" si="16"/>
        <v>0.1875</v>
      </c>
    </row>
    <row r="1033" spans="1:8" customFormat="1" ht="15.75" customHeight="1">
      <c r="A1033" s="94">
        <v>1028</v>
      </c>
      <c r="B1033" s="141" t="s">
        <v>1559</v>
      </c>
      <c r="C1033" s="141" t="s">
        <v>1557</v>
      </c>
      <c r="D1033" s="141" t="s">
        <v>1558</v>
      </c>
      <c r="E1033" s="141" t="s">
        <v>113</v>
      </c>
      <c r="F1033" s="142">
        <v>1</v>
      </c>
      <c r="G1033" s="196">
        <v>100000</v>
      </c>
      <c r="H1033" s="95">
        <f t="shared" si="16"/>
        <v>0.1875</v>
      </c>
    </row>
    <row r="1034" spans="1:8" customFormat="1" ht="15.75" customHeight="1">
      <c r="A1034" s="94">
        <v>1029</v>
      </c>
      <c r="B1034" s="141" t="s">
        <v>1313</v>
      </c>
      <c r="C1034" s="141" t="s">
        <v>1311</v>
      </c>
      <c r="D1034" s="141" t="s">
        <v>1312</v>
      </c>
      <c r="E1034" s="141" t="s">
        <v>110</v>
      </c>
      <c r="F1034" s="142">
        <v>1</v>
      </c>
      <c r="G1034" s="196">
        <v>64300</v>
      </c>
      <c r="H1034" s="95">
        <f t="shared" si="16"/>
        <v>0.1875</v>
      </c>
    </row>
    <row r="1035" spans="1:8" customFormat="1" ht="15.75" customHeight="1">
      <c r="A1035" s="94">
        <v>1030</v>
      </c>
      <c r="B1035" s="141" t="s">
        <v>1655</v>
      </c>
      <c r="C1035" s="141" t="s">
        <v>1654</v>
      </c>
      <c r="D1035" s="141" t="s">
        <v>135</v>
      </c>
      <c r="E1035" s="141" t="s">
        <v>116</v>
      </c>
      <c r="F1035" s="142">
        <v>1</v>
      </c>
      <c r="G1035" s="196">
        <v>372700</v>
      </c>
      <c r="H1035" s="95">
        <f t="shared" si="16"/>
        <v>0.1875</v>
      </c>
    </row>
    <row r="1036" spans="1:8" customFormat="1" ht="15.75" customHeight="1">
      <c r="A1036" s="94">
        <v>1031</v>
      </c>
      <c r="B1036" s="141" t="s">
        <v>1408</v>
      </c>
      <c r="C1036" s="141" t="s">
        <v>1407</v>
      </c>
      <c r="D1036" s="141" t="s">
        <v>152</v>
      </c>
      <c r="E1036" s="141" t="s">
        <v>168</v>
      </c>
      <c r="F1036" s="142">
        <v>1</v>
      </c>
      <c r="G1036" s="196">
        <v>384000</v>
      </c>
      <c r="H1036" s="95">
        <f t="shared" si="16"/>
        <v>0.1875</v>
      </c>
    </row>
    <row r="1037" spans="1:8" customFormat="1" ht="15.75" customHeight="1">
      <c r="A1037" s="94">
        <v>1032</v>
      </c>
      <c r="B1037" s="141" t="s">
        <v>1477</v>
      </c>
      <c r="C1037" s="141" t="s">
        <v>1474</v>
      </c>
      <c r="D1037" s="141" t="s">
        <v>1475</v>
      </c>
      <c r="E1037" s="141" t="s">
        <v>1476</v>
      </c>
      <c r="F1037" s="142">
        <v>1</v>
      </c>
      <c r="G1037" s="196">
        <v>104400</v>
      </c>
      <c r="H1037" s="95">
        <f t="shared" si="16"/>
        <v>0.1875</v>
      </c>
    </row>
    <row r="1038" spans="1:8" customFormat="1" ht="15.75" customHeight="1">
      <c r="A1038" s="94">
        <v>1033</v>
      </c>
      <c r="B1038" s="141" t="s">
        <v>1478</v>
      </c>
      <c r="C1038" s="141" t="s">
        <v>1474</v>
      </c>
      <c r="D1038" s="141" t="s">
        <v>1475</v>
      </c>
      <c r="E1038" s="141" t="s">
        <v>1476</v>
      </c>
      <c r="F1038" s="142">
        <v>1</v>
      </c>
      <c r="G1038" s="196">
        <v>104400</v>
      </c>
      <c r="H1038" s="95">
        <f t="shared" si="16"/>
        <v>0.1875</v>
      </c>
    </row>
    <row r="1039" spans="1:8" customFormat="1" ht="15.75" customHeight="1">
      <c r="A1039" s="94">
        <v>1034</v>
      </c>
      <c r="B1039" s="141" t="s">
        <v>1346</v>
      </c>
      <c r="C1039" s="141" t="s">
        <v>1344</v>
      </c>
      <c r="D1039" s="141" t="s">
        <v>1345</v>
      </c>
      <c r="E1039" s="141" t="s">
        <v>112</v>
      </c>
      <c r="F1039" s="142">
        <v>1</v>
      </c>
      <c r="G1039" s="196">
        <v>300000</v>
      </c>
      <c r="H1039" s="95">
        <f t="shared" si="16"/>
        <v>0.1875</v>
      </c>
    </row>
    <row r="1040" spans="1:8" customFormat="1" ht="15.75" customHeight="1">
      <c r="A1040" s="94">
        <v>1035</v>
      </c>
      <c r="B1040" s="141" t="s">
        <v>1278</v>
      </c>
      <c r="C1040" s="141" t="s">
        <v>702</v>
      </c>
      <c r="D1040" s="141" t="s">
        <v>703</v>
      </c>
      <c r="E1040" s="141" t="s">
        <v>110</v>
      </c>
      <c r="F1040" s="142">
        <v>1</v>
      </c>
      <c r="G1040" s="196">
        <v>100000</v>
      </c>
      <c r="H1040" s="95">
        <f t="shared" si="16"/>
        <v>0.1875</v>
      </c>
    </row>
    <row r="1041" spans="1:8" customFormat="1" ht="15.75" customHeight="1">
      <c r="A1041" s="94">
        <v>1036</v>
      </c>
      <c r="B1041" s="141" t="s">
        <v>1443</v>
      </c>
      <c r="C1041" s="141" t="s">
        <v>1441</v>
      </c>
      <c r="D1041" s="141" t="s">
        <v>1442</v>
      </c>
      <c r="E1041" s="141" t="s">
        <v>113</v>
      </c>
      <c r="F1041" s="142">
        <v>1</v>
      </c>
      <c r="G1041" s="196">
        <v>100000</v>
      </c>
      <c r="H1041" s="95">
        <f t="shared" si="16"/>
        <v>0.1875</v>
      </c>
    </row>
    <row r="1042" spans="1:8" customFormat="1" ht="15.75" customHeight="1">
      <c r="A1042" s="94">
        <v>1037</v>
      </c>
      <c r="B1042" s="141" t="s">
        <v>1418</v>
      </c>
      <c r="C1042" s="141" t="s">
        <v>1416</v>
      </c>
      <c r="D1042" s="141" t="s">
        <v>1417</v>
      </c>
      <c r="E1042" s="141" t="s">
        <v>34</v>
      </c>
      <c r="F1042" s="142">
        <v>1</v>
      </c>
      <c r="G1042" s="196">
        <v>384000</v>
      </c>
      <c r="H1042" s="95">
        <f t="shared" si="16"/>
        <v>0.1875</v>
      </c>
    </row>
    <row r="1043" spans="1:8" customFormat="1" ht="15.75" customHeight="1">
      <c r="A1043" s="94">
        <v>1038</v>
      </c>
      <c r="B1043" s="141" t="s">
        <v>1501</v>
      </c>
      <c r="C1043" s="141" t="s">
        <v>1499</v>
      </c>
      <c r="D1043" s="141" t="s">
        <v>1500</v>
      </c>
      <c r="E1043" s="141" t="s">
        <v>34</v>
      </c>
      <c r="F1043" s="142">
        <v>1</v>
      </c>
      <c r="G1043" s="196">
        <v>384000</v>
      </c>
      <c r="H1043" s="95">
        <f t="shared" si="16"/>
        <v>0.1875</v>
      </c>
    </row>
    <row r="1044" spans="1:8" customFormat="1" ht="15.75" customHeight="1">
      <c r="A1044" s="94">
        <v>1039</v>
      </c>
      <c r="B1044" s="141" t="s">
        <v>1502</v>
      </c>
      <c r="C1044" s="141" t="s">
        <v>1499</v>
      </c>
      <c r="D1044" s="141" t="s">
        <v>1500</v>
      </c>
      <c r="E1044" s="141" t="s">
        <v>34</v>
      </c>
      <c r="F1044" s="142">
        <v>1</v>
      </c>
      <c r="G1044" s="196">
        <v>384000</v>
      </c>
      <c r="H1044" s="95">
        <f t="shared" si="16"/>
        <v>0.1875</v>
      </c>
    </row>
    <row r="1045" spans="1:8" customFormat="1" ht="15.75" customHeight="1">
      <c r="A1045" s="94">
        <v>1040</v>
      </c>
      <c r="B1045" s="141" t="s">
        <v>1282</v>
      </c>
      <c r="C1045" s="141" t="s">
        <v>234</v>
      </c>
      <c r="D1045" s="141" t="s">
        <v>235</v>
      </c>
      <c r="E1045" s="141" t="s">
        <v>110</v>
      </c>
      <c r="F1045" s="142">
        <v>1</v>
      </c>
      <c r="G1045" s="196">
        <v>64300</v>
      </c>
      <c r="H1045" s="95">
        <f t="shared" si="16"/>
        <v>0.1875</v>
      </c>
    </row>
    <row r="1046" spans="1:8" customFormat="1" ht="15.75" customHeight="1">
      <c r="A1046" s="94">
        <v>1041</v>
      </c>
      <c r="B1046" s="141" t="s">
        <v>1539</v>
      </c>
      <c r="C1046" s="141" t="s">
        <v>1537</v>
      </c>
      <c r="D1046" s="141" t="s">
        <v>1538</v>
      </c>
      <c r="E1046" s="141" t="s">
        <v>55</v>
      </c>
      <c r="F1046" s="142">
        <v>1</v>
      </c>
      <c r="G1046" s="196">
        <v>418000</v>
      </c>
      <c r="H1046" s="95">
        <f t="shared" si="16"/>
        <v>0.1875</v>
      </c>
    </row>
    <row r="1047" spans="1:8" customFormat="1" ht="15.75" customHeight="1">
      <c r="A1047" s="94">
        <v>1042</v>
      </c>
      <c r="B1047" s="141" t="s">
        <v>1602</v>
      </c>
      <c r="C1047" s="141" t="s">
        <v>1600</v>
      </c>
      <c r="D1047" s="141" t="s">
        <v>1601</v>
      </c>
      <c r="E1047" s="141" t="s">
        <v>55</v>
      </c>
      <c r="F1047" s="142">
        <v>1</v>
      </c>
      <c r="G1047" s="196">
        <v>126700</v>
      </c>
      <c r="H1047" s="95">
        <f t="shared" si="16"/>
        <v>0.1875</v>
      </c>
    </row>
    <row r="1048" spans="1:8" customFormat="1" ht="15.75" customHeight="1">
      <c r="A1048" s="94">
        <v>1043</v>
      </c>
      <c r="B1048" s="141" t="s">
        <v>1528</v>
      </c>
      <c r="C1048" s="141" t="s">
        <v>1526</v>
      </c>
      <c r="D1048" s="141" t="s">
        <v>1527</v>
      </c>
      <c r="E1048" s="141" t="s">
        <v>114</v>
      </c>
      <c r="F1048" s="142">
        <v>1</v>
      </c>
      <c r="G1048" s="196">
        <v>200000</v>
      </c>
      <c r="H1048" s="95">
        <f t="shared" si="16"/>
        <v>0.1875</v>
      </c>
    </row>
    <row r="1049" spans="1:8" customFormat="1" ht="15.75" customHeight="1">
      <c r="A1049" s="94">
        <v>1044</v>
      </c>
      <c r="B1049" s="141" t="s">
        <v>1277</v>
      </c>
      <c r="C1049" s="141" t="s">
        <v>1275</v>
      </c>
      <c r="D1049" s="141" t="s">
        <v>1276</v>
      </c>
      <c r="E1049" s="141" t="s">
        <v>110</v>
      </c>
      <c r="F1049" s="142">
        <v>1</v>
      </c>
      <c r="G1049" s="196">
        <v>100000</v>
      </c>
      <c r="H1049" s="95">
        <f t="shared" si="16"/>
        <v>0.1875</v>
      </c>
    </row>
    <row r="1050" spans="1:8" customFormat="1" ht="15.75" customHeight="1">
      <c r="A1050" s="94">
        <v>1045</v>
      </c>
      <c r="B1050" s="141" t="s">
        <v>1456</v>
      </c>
      <c r="C1050" s="141" t="s">
        <v>197</v>
      </c>
      <c r="D1050" s="141" t="s">
        <v>153</v>
      </c>
      <c r="E1050" s="141" t="s">
        <v>39</v>
      </c>
      <c r="F1050" s="142">
        <v>1</v>
      </c>
      <c r="G1050" s="196">
        <v>40300</v>
      </c>
      <c r="H1050" s="95">
        <f t="shared" si="16"/>
        <v>0.1875</v>
      </c>
    </row>
    <row r="1051" spans="1:8" customFormat="1" ht="15.75" customHeight="1">
      <c r="A1051" s="94">
        <v>1046</v>
      </c>
      <c r="B1051" s="141" t="s">
        <v>1132</v>
      </c>
      <c r="C1051" s="141" t="s">
        <v>778</v>
      </c>
      <c r="D1051" s="141" t="s">
        <v>117</v>
      </c>
      <c r="E1051" s="141" t="s">
        <v>39</v>
      </c>
      <c r="F1051" s="142">
        <v>1</v>
      </c>
      <c r="G1051" s="196">
        <v>100000</v>
      </c>
      <c r="H1051" s="95">
        <f t="shared" si="16"/>
        <v>0.1875</v>
      </c>
    </row>
    <row r="1052" spans="1:8" customFormat="1" ht="15.75" customHeight="1">
      <c r="A1052" s="94">
        <v>1047</v>
      </c>
      <c r="B1052" s="141" t="s">
        <v>1464</v>
      </c>
      <c r="C1052" s="141" t="s">
        <v>236</v>
      </c>
      <c r="D1052" s="141" t="s">
        <v>730</v>
      </c>
      <c r="E1052" s="141" t="s">
        <v>39</v>
      </c>
      <c r="F1052" s="142">
        <v>1</v>
      </c>
      <c r="G1052" s="196">
        <v>40300</v>
      </c>
      <c r="H1052" s="95">
        <f t="shared" si="16"/>
        <v>0.1875</v>
      </c>
    </row>
    <row r="1053" spans="1:8" customFormat="1" ht="15.75" customHeight="1">
      <c r="A1053" s="94">
        <v>1048</v>
      </c>
      <c r="B1053" s="141" t="s">
        <v>1402</v>
      </c>
      <c r="C1053" s="141" t="s">
        <v>625</v>
      </c>
      <c r="D1053" s="141" t="s">
        <v>626</v>
      </c>
      <c r="E1053" s="141" t="s">
        <v>39</v>
      </c>
      <c r="F1053" s="142">
        <v>1</v>
      </c>
      <c r="G1053" s="196">
        <v>40300</v>
      </c>
      <c r="H1053" s="95">
        <f t="shared" si="16"/>
        <v>0.1875</v>
      </c>
    </row>
    <row r="1054" spans="1:8" customFormat="1" ht="15.75" customHeight="1">
      <c r="A1054" s="94">
        <v>1049</v>
      </c>
      <c r="B1054" s="141" t="s">
        <v>1306</v>
      </c>
      <c r="C1054" s="141" t="s">
        <v>976</v>
      </c>
      <c r="D1054" s="141" t="s">
        <v>977</v>
      </c>
      <c r="E1054" s="141" t="s">
        <v>149</v>
      </c>
      <c r="F1054" s="142">
        <v>1</v>
      </c>
      <c r="G1054" s="196">
        <v>120000</v>
      </c>
      <c r="H1054" s="95">
        <f t="shared" si="16"/>
        <v>0.1875</v>
      </c>
    </row>
    <row r="1055" spans="1:8" customFormat="1" ht="15.75" customHeight="1">
      <c r="A1055" s="94">
        <v>1050</v>
      </c>
      <c r="B1055" s="141" t="s">
        <v>1643</v>
      </c>
      <c r="C1055" s="141" t="s">
        <v>396</v>
      </c>
      <c r="D1055" s="141" t="s">
        <v>103</v>
      </c>
      <c r="E1055" s="141" t="s">
        <v>39</v>
      </c>
      <c r="F1055" s="142">
        <v>1</v>
      </c>
      <c r="G1055" s="196">
        <v>40300</v>
      </c>
      <c r="H1055" s="95">
        <f t="shared" si="16"/>
        <v>0.1875</v>
      </c>
    </row>
    <row r="1056" spans="1:8" customFormat="1" ht="15.75" customHeight="1">
      <c r="A1056" s="94">
        <v>1051</v>
      </c>
      <c r="B1056" s="141" t="s">
        <v>1360</v>
      </c>
      <c r="C1056" s="141" t="s">
        <v>1358</v>
      </c>
      <c r="D1056" s="141" t="s">
        <v>1359</v>
      </c>
      <c r="E1056" s="141" t="s">
        <v>113</v>
      </c>
      <c r="F1056" s="142">
        <v>1</v>
      </c>
      <c r="G1056" s="196">
        <v>100000</v>
      </c>
      <c r="H1056" s="95">
        <f t="shared" si="16"/>
        <v>0.1875</v>
      </c>
    </row>
    <row r="1057" spans="1:8" customFormat="1" ht="15.75" customHeight="1">
      <c r="A1057" s="94">
        <v>1052</v>
      </c>
      <c r="B1057" s="141" t="s">
        <v>1300</v>
      </c>
      <c r="C1057" s="141" t="s">
        <v>914</v>
      </c>
      <c r="D1057" s="141" t="s">
        <v>915</v>
      </c>
      <c r="E1057" s="141" t="s">
        <v>149</v>
      </c>
      <c r="F1057" s="142">
        <v>1</v>
      </c>
      <c r="G1057" s="196">
        <v>120000</v>
      </c>
      <c r="H1057" s="95">
        <f t="shared" si="16"/>
        <v>0.1875</v>
      </c>
    </row>
    <row r="1058" spans="1:8" customFormat="1" ht="15.75" customHeight="1">
      <c r="A1058" s="94">
        <v>1053</v>
      </c>
      <c r="B1058" s="141" t="s">
        <v>1607</v>
      </c>
      <c r="C1058" s="141" t="s">
        <v>1605</v>
      </c>
      <c r="D1058" s="141" t="s">
        <v>1606</v>
      </c>
      <c r="E1058" s="141" t="s">
        <v>34</v>
      </c>
      <c r="F1058" s="142">
        <v>1</v>
      </c>
      <c r="G1058" s="196">
        <v>104400</v>
      </c>
      <c r="H1058" s="95">
        <f t="shared" si="16"/>
        <v>0.1875</v>
      </c>
    </row>
    <row r="1059" spans="1:8" customFormat="1" ht="15.75" customHeight="1">
      <c r="A1059" s="94">
        <v>1054</v>
      </c>
      <c r="B1059" s="141" t="s">
        <v>1561</v>
      </c>
      <c r="C1059" s="141" t="s">
        <v>917</v>
      </c>
      <c r="D1059" s="141" t="s">
        <v>918</v>
      </c>
      <c r="E1059" s="141" t="s">
        <v>39</v>
      </c>
      <c r="F1059" s="142">
        <v>1</v>
      </c>
      <c r="G1059" s="196">
        <v>40300</v>
      </c>
      <c r="H1059" s="95">
        <f t="shared" si="16"/>
        <v>0.1875</v>
      </c>
    </row>
    <row r="1060" spans="1:8" customFormat="1" ht="15.75" customHeight="1">
      <c r="A1060" s="94">
        <v>1055</v>
      </c>
      <c r="B1060" s="141" t="s">
        <v>1458</v>
      </c>
      <c r="C1060" s="141" t="s">
        <v>715</v>
      </c>
      <c r="D1060" s="141" t="s">
        <v>716</v>
      </c>
      <c r="E1060" s="141" t="s">
        <v>39</v>
      </c>
      <c r="F1060" s="142">
        <v>1</v>
      </c>
      <c r="G1060" s="196">
        <v>40300</v>
      </c>
      <c r="H1060" s="95">
        <f t="shared" si="16"/>
        <v>0.1875</v>
      </c>
    </row>
    <row r="1061" spans="1:8" customFormat="1" ht="15.75" customHeight="1">
      <c r="A1061" s="94">
        <v>1056</v>
      </c>
      <c r="B1061" s="141" t="s">
        <v>1653</v>
      </c>
      <c r="C1061" s="141" t="s">
        <v>994</v>
      </c>
      <c r="D1061" s="141" t="s">
        <v>995</v>
      </c>
      <c r="E1061" s="141" t="s">
        <v>39</v>
      </c>
      <c r="F1061" s="142">
        <v>1</v>
      </c>
      <c r="G1061" s="196">
        <v>40300</v>
      </c>
      <c r="H1061" s="95">
        <f t="shared" si="16"/>
        <v>0.1875</v>
      </c>
    </row>
    <row r="1062" spans="1:8" customFormat="1" ht="15.75" customHeight="1">
      <c r="A1062" s="94">
        <v>1057</v>
      </c>
      <c r="B1062" s="141" t="s">
        <v>1484</v>
      </c>
      <c r="C1062" s="141" t="s">
        <v>196</v>
      </c>
      <c r="D1062" s="141" t="s">
        <v>98</v>
      </c>
      <c r="E1062" s="141" t="s">
        <v>55</v>
      </c>
      <c r="F1062" s="142">
        <v>1</v>
      </c>
      <c r="G1062" s="196">
        <v>418000</v>
      </c>
      <c r="H1062" s="95">
        <f t="shared" si="16"/>
        <v>0.1875</v>
      </c>
    </row>
    <row r="1063" spans="1:8" customFormat="1" ht="15.75" customHeight="1">
      <c r="A1063" s="94">
        <v>1058</v>
      </c>
      <c r="B1063" s="141" t="s">
        <v>1466</v>
      </c>
      <c r="C1063" s="141" t="s">
        <v>739</v>
      </c>
      <c r="D1063" s="141" t="s">
        <v>740</v>
      </c>
      <c r="E1063" s="141" t="s">
        <v>113</v>
      </c>
      <c r="F1063" s="142">
        <v>1</v>
      </c>
      <c r="G1063" s="196">
        <v>100000</v>
      </c>
      <c r="H1063" s="95">
        <f t="shared" si="16"/>
        <v>0.1875</v>
      </c>
    </row>
    <row r="1064" spans="1:8" customFormat="1" ht="15.75" customHeight="1">
      <c r="A1064" s="94">
        <v>1059</v>
      </c>
      <c r="B1064" s="141" t="s">
        <v>1618</v>
      </c>
      <c r="C1064" s="141" t="s">
        <v>1616</v>
      </c>
      <c r="D1064" s="141" t="s">
        <v>1617</v>
      </c>
      <c r="E1064" s="141" t="s">
        <v>91</v>
      </c>
      <c r="F1064" s="142">
        <v>1</v>
      </c>
      <c r="G1064" s="196">
        <v>104400</v>
      </c>
      <c r="H1064" s="95">
        <f t="shared" si="16"/>
        <v>0.1875</v>
      </c>
    </row>
    <row r="1065" spans="1:8" customFormat="1" ht="15.75" customHeight="1">
      <c r="A1065" s="94">
        <v>1060</v>
      </c>
      <c r="B1065" s="141" t="s">
        <v>1305</v>
      </c>
      <c r="C1065" s="141" t="s">
        <v>1303</v>
      </c>
      <c r="D1065" s="141" t="s">
        <v>1304</v>
      </c>
      <c r="E1065" s="141" t="s">
        <v>110</v>
      </c>
      <c r="F1065" s="142">
        <v>1</v>
      </c>
      <c r="G1065" s="196">
        <v>100000</v>
      </c>
      <c r="H1065" s="95">
        <f t="shared" si="16"/>
        <v>0.1875</v>
      </c>
    </row>
    <row r="1066" spans="1:8" customFormat="1" ht="15.75" customHeight="1">
      <c r="A1066" s="94">
        <v>1061</v>
      </c>
      <c r="B1066" s="141" t="s">
        <v>1708</v>
      </c>
      <c r="C1066" s="141" t="s">
        <v>1706</v>
      </c>
      <c r="D1066" s="141" t="s">
        <v>1707</v>
      </c>
      <c r="E1066" s="141" t="s">
        <v>116</v>
      </c>
      <c r="F1066" s="142">
        <v>1</v>
      </c>
      <c r="G1066" s="196">
        <v>372700</v>
      </c>
      <c r="H1066" s="95">
        <f t="shared" si="16"/>
        <v>0.1875</v>
      </c>
    </row>
    <row r="1067" spans="1:8" customFormat="1" ht="15.75" customHeight="1">
      <c r="A1067" s="94">
        <v>1062</v>
      </c>
      <c r="B1067" s="141" t="s">
        <v>1286</v>
      </c>
      <c r="C1067" s="141" t="s">
        <v>821</v>
      </c>
      <c r="D1067" s="141" t="s">
        <v>167</v>
      </c>
      <c r="E1067" s="141" t="s">
        <v>149</v>
      </c>
      <c r="F1067" s="142">
        <v>1</v>
      </c>
      <c r="G1067" s="196">
        <v>120000</v>
      </c>
      <c r="H1067" s="95">
        <f t="shared" si="16"/>
        <v>0.1875</v>
      </c>
    </row>
    <row r="1068" spans="1:8" customFormat="1" ht="15.75" customHeight="1">
      <c r="A1068" s="94">
        <v>1063</v>
      </c>
      <c r="B1068" s="141" t="s">
        <v>1298</v>
      </c>
      <c r="C1068" s="141" t="s">
        <v>892</v>
      </c>
      <c r="D1068" s="141" t="s">
        <v>893</v>
      </c>
      <c r="E1068" s="141" t="s">
        <v>149</v>
      </c>
      <c r="F1068" s="142">
        <v>1</v>
      </c>
      <c r="G1068" s="196">
        <v>120000</v>
      </c>
      <c r="H1068" s="95">
        <f t="shared" si="16"/>
        <v>0.1875</v>
      </c>
    </row>
    <row r="1069" spans="1:8" customFormat="1" ht="15.75" customHeight="1">
      <c r="A1069" s="94">
        <v>1064</v>
      </c>
      <c r="B1069" s="141" t="s">
        <v>1421</v>
      </c>
      <c r="C1069" s="141" t="s">
        <v>1419</v>
      </c>
      <c r="D1069" s="141" t="s">
        <v>1420</v>
      </c>
      <c r="E1069" s="141" t="s">
        <v>113</v>
      </c>
      <c r="F1069" s="142">
        <v>1</v>
      </c>
      <c r="G1069" s="196">
        <v>100000</v>
      </c>
      <c r="H1069" s="95">
        <f t="shared" si="16"/>
        <v>0.1875</v>
      </c>
    </row>
    <row r="1070" spans="1:8" customFormat="1" ht="15.75" customHeight="1">
      <c r="A1070" s="94">
        <v>1065</v>
      </c>
      <c r="B1070" s="141" t="s">
        <v>1531</v>
      </c>
      <c r="C1070" s="141" t="s">
        <v>229</v>
      </c>
      <c r="D1070" s="141" t="s">
        <v>230</v>
      </c>
      <c r="E1070" s="141" t="s">
        <v>113</v>
      </c>
      <c r="F1070" s="142">
        <v>1</v>
      </c>
      <c r="G1070" s="196">
        <v>100000</v>
      </c>
      <c r="H1070" s="95">
        <f t="shared" si="16"/>
        <v>0.1875</v>
      </c>
    </row>
    <row r="1071" spans="1:8" customFormat="1" ht="15.75" customHeight="1">
      <c r="A1071" s="94">
        <v>1066</v>
      </c>
      <c r="B1071" s="141" t="s">
        <v>1652</v>
      </c>
      <c r="C1071" s="141" t="s">
        <v>1651</v>
      </c>
      <c r="D1071" s="141" t="s">
        <v>159</v>
      </c>
      <c r="E1071" s="141" t="s">
        <v>55</v>
      </c>
      <c r="F1071" s="142">
        <v>1</v>
      </c>
      <c r="G1071" s="196">
        <v>126700</v>
      </c>
      <c r="H1071" s="95">
        <f t="shared" si="16"/>
        <v>0.1875</v>
      </c>
    </row>
    <row r="1072" spans="1:8" customFormat="1" ht="15.75" customHeight="1">
      <c r="A1072" s="94">
        <v>1067</v>
      </c>
      <c r="B1072" s="141" t="s">
        <v>1279</v>
      </c>
      <c r="C1072" s="141" t="s">
        <v>709</v>
      </c>
      <c r="D1072" s="141" t="s">
        <v>710</v>
      </c>
      <c r="E1072" s="141" t="s">
        <v>110</v>
      </c>
      <c r="F1072" s="142">
        <v>1</v>
      </c>
      <c r="G1072" s="196">
        <v>64300</v>
      </c>
      <c r="H1072" s="95">
        <f t="shared" si="16"/>
        <v>0.1875</v>
      </c>
    </row>
    <row r="1073" spans="1:8" customFormat="1" ht="15.75" customHeight="1">
      <c r="A1073" s="94">
        <v>1068</v>
      </c>
      <c r="B1073" s="141" t="s">
        <v>1291</v>
      </c>
      <c r="C1073" s="141" t="s">
        <v>854</v>
      </c>
      <c r="D1073" s="141" t="s">
        <v>855</v>
      </c>
      <c r="E1073" s="141" t="s">
        <v>110</v>
      </c>
      <c r="F1073" s="142">
        <v>1</v>
      </c>
      <c r="G1073" s="196">
        <v>64300</v>
      </c>
      <c r="H1073" s="95">
        <f t="shared" si="16"/>
        <v>0.1875</v>
      </c>
    </row>
    <row r="1074" spans="1:8" customFormat="1" ht="15.75" customHeight="1">
      <c r="A1074" s="94">
        <v>1069</v>
      </c>
      <c r="B1074" s="141" t="s">
        <v>1327</v>
      </c>
      <c r="C1074" s="141" t="s">
        <v>712</v>
      </c>
      <c r="D1074" s="141" t="s">
        <v>101</v>
      </c>
      <c r="E1074" s="141" t="s">
        <v>110</v>
      </c>
      <c r="F1074" s="142">
        <v>1</v>
      </c>
      <c r="G1074" s="196">
        <v>64300</v>
      </c>
      <c r="H1074" s="95">
        <f t="shared" si="16"/>
        <v>0.1875</v>
      </c>
    </row>
    <row r="1075" spans="1:8" customFormat="1" ht="15.75" customHeight="1">
      <c r="A1075" s="94">
        <v>1070</v>
      </c>
      <c r="B1075" s="141" t="s">
        <v>1612</v>
      </c>
      <c r="C1075" s="141" t="s">
        <v>1610</v>
      </c>
      <c r="D1075" s="141" t="s">
        <v>1611</v>
      </c>
      <c r="E1075" s="141" t="s">
        <v>34</v>
      </c>
      <c r="F1075" s="142">
        <v>1</v>
      </c>
      <c r="G1075" s="196">
        <v>104400</v>
      </c>
      <c r="H1075" s="95">
        <f t="shared" si="16"/>
        <v>0.1875</v>
      </c>
    </row>
    <row r="1076" spans="1:8" customFormat="1" ht="15.75" customHeight="1">
      <c r="A1076" s="94">
        <v>1071</v>
      </c>
      <c r="B1076" s="141" t="s">
        <v>1371</v>
      </c>
      <c r="C1076" s="141" t="s">
        <v>1369</v>
      </c>
      <c r="D1076" s="141" t="s">
        <v>1370</v>
      </c>
      <c r="E1076" s="141" t="s">
        <v>119</v>
      </c>
      <c r="F1076" s="142">
        <v>1</v>
      </c>
      <c r="G1076" s="196">
        <v>500000</v>
      </c>
      <c r="H1076" s="95">
        <f t="shared" si="16"/>
        <v>0.1875</v>
      </c>
    </row>
    <row r="1077" spans="1:8" customFormat="1" ht="15.75" customHeight="1">
      <c r="A1077" s="94">
        <v>1072</v>
      </c>
      <c r="B1077" s="141" t="s">
        <v>1609</v>
      </c>
      <c r="C1077" s="141" t="s">
        <v>1608</v>
      </c>
      <c r="D1077" s="141" t="s">
        <v>117</v>
      </c>
      <c r="E1077" s="141" t="s">
        <v>34</v>
      </c>
      <c r="F1077" s="142">
        <v>1</v>
      </c>
      <c r="G1077" s="196">
        <v>104400</v>
      </c>
      <c r="H1077" s="95">
        <f t="shared" si="16"/>
        <v>0.1875</v>
      </c>
    </row>
    <row r="1078" spans="1:8" customFormat="1" ht="15.75" customHeight="1">
      <c r="A1078" s="94">
        <v>1073</v>
      </c>
      <c r="B1078" s="141" t="s">
        <v>1265</v>
      </c>
      <c r="C1078" s="141" t="s">
        <v>545</v>
      </c>
      <c r="D1078" s="141" t="s">
        <v>546</v>
      </c>
      <c r="E1078" s="141" t="s">
        <v>110</v>
      </c>
      <c r="F1078" s="142">
        <v>1</v>
      </c>
      <c r="G1078" s="196">
        <v>64300</v>
      </c>
      <c r="H1078" s="95">
        <f t="shared" si="16"/>
        <v>0.1875</v>
      </c>
    </row>
    <row r="1079" spans="1:8" customFormat="1" ht="15.75" customHeight="1">
      <c r="A1079" s="94">
        <v>1074</v>
      </c>
      <c r="B1079" s="141" t="s">
        <v>1451</v>
      </c>
      <c r="C1079" s="141" t="s">
        <v>1449</v>
      </c>
      <c r="D1079" s="141" t="s">
        <v>1450</v>
      </c>
      <c r="E1079" s="141" t="s">
        <v>142</v>
      </c>
      <c r="F1079" s="142">
        <v>1</v>
      </c>
      <c r="G1079" s="196">
        <v>400000</v>
      </c>
      <c r="H1079" s="95">
        <f t="shared" si="16"/>
        <v>0.1875</v>
      </c>
    </row>
    <row r="1080" spans="1:8" customFormat="1" ht="15.75" customHeight="1">
      <c r="A1080" s="94">
        <v>1075</v>
      </c>
      <c r="B1080" s="141" t="s">
        <v>1309</v>
      </c>
      <c r="C1080" s="141" t="s">
        <v>1308</v>
      </c>
      <c r="D1080" s="141" t="s">
        <v>118</v>
      </c>
      <c r="E1080" s="141" t="s">
        <v>110</v>
      </c>
      <c r="F1080" s="142">
        <v>1</v>
      </c>
      <c r="G1080" s="196">
        <v>100000</v>
      </c>
      <c r="H1080" s="95">
        <f t="shared" ref="H1080:H1143" si="17">25%*75%</f>
        <v>0.1875</v>
      </c>
    </row>
    <row r="1081" spans="1:8" customFormat="1" ht="15.75" customHeight="1">
      <c r="A1081" s="94">
        <v>1076</v>
      </c>
      <c r="B1081" s="141" t="s">
        <v>1695</v>
      </c>
      <c r="C1081" s="141" t="s">
        <v>1692</v>
      </c>
      <c r="D1081" s="141" t="s">
        <v>1693</v>
      </c>
      <c r="E1081" s="141" t="s">
        <v>56</v>
      </c>
      <c r="F1081" s="142">
        <v>1</v>
      </c>
      <c r="G1081" s="196">
        <v>400000</v>
      </c>
      <c r="H1081" s="95">
        <f t="shared" si="17"/>
        <v>0.1875</v>
      </c>
    </row>
    <row r="1082" spans="1:8" customFormat="1" ht="15.75" hidden="1" customHeight="1">
      <c r="A1082" s="94">
        <v>1077</v>
      </c>
      <c r="B1082" s="141"/>
      <c r="C1082" s="141"/>
      <c r="D1082" s="141"/>
      <c r="E1082" s="141"/>
      <c r="F1082" s="142"/>
      <c r="G1082" s="196"/>
      <c r="H1082" s="95">
        <f t="shared" si="17"/>
        <v>0.1875</v>
      </c>
    </row>
    <row r="1083" spans="1:8" customFormat="1" ht="15.75" hidden="1" customHeight="1">
      <c r="A1083" s="94">
        <v>1078</v>
      </c>
      <c r="B1083" s="141"/>
      <c r="C1083" s="141"/>
      <c r="D1083" s="141"/>
      <c r="E1083" s="141"/>
      <c r="F1083" s="142"/>
      <c r="G1083" s="196"/>
      <c r="H1083" s="95">
        <f t="shared" si="17"/>
        <v>0.1875</v>
      </c>
    </row>
    <row r="1084" spans="1:8" customFormat="1" ht="15.75" hidden="1" customHeight="1">
      <c r="A1084" s="94">
        <v>1079</v>
      </c>
      <c r="B1084" s="141"/>
      <c r="C1084" s="141"/>
      <c r="D1084" s="141"/>
      <c r="E1084" s="141"/>
      <c r="F1084" s="142"/>
      <c r="G1084" s="196"/>
      <c r="H1084" s="95">
        <f t="shared" si="17"/>
        <v>0.1875</v>
      </c>
    </row>
    <row r="1085" spans="1:8" customFormat="1" ht="15.75" hidden="1" customHeight="1">
      <c r="A1085" s="94">
        <v>1080</v>
      </c>
      <c r="B1085" s="141"/>
      <c r="C1085" s="141"/>
      <c r="D1085" s="141"/>
      <c r="E1085" s="141"/>
      <c r="F1085" s="142"/>
      <c r="G1085" s="196"/>
      <c r="H1085" s="95">
        <f t="shared" si="17"/>
        <v>0.1875</v>
      </c>
    </row>
    <row r="1086" spans="1:8" customFormat="1" ht="15.75" hidden="1" customHeight="1">
      <c r="A1086" s="94">
        <v>1081</v>
      </c>
      <c r="B1086" s="141"/>
      <c r="C1086" s="141"/>
      <c r="D1086" s="141"/>
      <c r="E1086" s="141"/>
      <c r="F1086" s="142"/>
      <c r="G1086" s="196"/>
      <c r="H1086" s="95">
        <f t="shared" si="17"/>
        <v>0.1875</v>
      </c>
    </row>
    <row r="1087" spans="1:8" customFormat="1" ht="15.75" hidden="1" customHeight="1">
      <c r="A1087" s="94">
        <v>1082</v>
      </c>
      <c r="B1087" s="141"/>
      <c r="C1087" s="141"/>
      <c r="D1087" s="141"/>
      <c r="E1087" s="141"/>
      <c r="F1087" s="142"/>
      <c r="G1087" s="196"/>
      <c r="H1087" s="95">
        <f t="shared" si="17"/>
        <v>0.1875</v>
      </c>
    </row>
    <row r="1088" spans="1:8" customFormat="1" ht="15.75" hidden="1" customHeight="1">
      <c r="A1088" s="94">
        <v>1083</v>
      </c>
      <c r="B1088" s="141"/>
      <c r="C1088" s="141"/>
      <c r="D1088" s="141"/>
      <c r="E1088" s="141"/>
      <c r="F1088" s="142"/>
      <c r="G1088" s="196"/>
      <c r="H1088" s="95">
        <f t="shared" si="17"/>
        <v>0.1875</v>
      </c>
    </row>
    <row r="1089" spans="1:8" customFormat="1" ht="15.75" hidden="1" customHeight="1">
      <c r="A1089" s="94">
        <v>1084</v>
      </c>
      <c r="B1089" s="141"/>
      <c r="C1089" s="141"/>
      <c r="D1089" s="141"/>
      <c r="E1089" s="141"/>
      <c r="F1089" s="142"/>
      <c r="G1089" s="196"/>
      <c r="H1089" s="95">
        <f t="shared" si="17"/>
        <v>0.1875</v>
      </c>
    </row>
    <row r="1090" spans="1:8" customFormat="1" ht="15.75" hidden="1" customHeight="1">
      <c r="A1090" s="94">
        <v>1085</v>
      </c>
      <c r="B1090" s="141"/>
      <c r="C1090" s="141"/>
      <c r="D1090" s="141"/>
      <c r="E1090" s="141"/>
      <c r="F1090" s="142"/>
      <c r="G1090" s="196"/>
      <c r="H1090" s="95">
        <f t="shared" si="17"/>
        <v>0.1875</v>
      </c>
    </row>
    <row r="1091" spans="1:8" customFormat="1" ht="15.75" hidden="1" customHeight="1">
      <c r="A1091" s="94">
        <v>1086</v>
      </c>
      <c r="B1091" s="141"/>
      <c r="C1091" s="141"/>
      <c r="D1091" s="141"/>
      <c r="E1091" s="141"/>
      <c r="F1091" s="142"/>
      <c r="G1091" s="196"/>
      <c r="H1091" s="95">
        <f t="shared" si="17"/>
        <v>0.1875</v>
      </c>
    </row>
    <row r="1092" spans="1:8" customFormat="1" ht="15.75" hidden="1" customHeight="1">
      <c r="A1092" s="94">
        <v>1087</v>
      </c>
      <c r="B1092" s="141"/>
      <c r="C1092" s="141"/>
      <c r="D1092" s="141"/>
      <c r="E1092" s="141"/>
      <c r="F1092" s="142"/>
      <c r="G1092" s="196"/>
      <c r="H1092" s="95">
        <f t="shared" si="17"/>
        <v>0.1875</v>
      </c>
    </row>
    <row r="1093" spans="1:8" customFormat="1" ht="15.75" hidden="1" customHeight="1">
      <c r="A1093" s="94">
        <v>1088</v>
      </c>
      <c r="B1093" s="141"/>
      <c r="C1093" s="141"/>
      <c r="D1093" s="141"/>
      <c r="E1093" s="141"/>
      <c r="F1093" s="142"/>
      <c r="G1093" s="196"/>
      <c r="H1093" s="95">
        <f t="shared" si="17"/>
        <v>0.1875</v>
      </c>
    </row>
    <row r="1094" spans="1:8" customFormat="1" ht="15.75" hidden="1" customHeight="1">
      <c r="A1094" s="94">
        <v>1089</v>
      </c>
      <c r="B1094" s="141"/>
      <c r="C1094" s="141"/>
      <c r="D1094" s="141"/>
      <c r="E1094" s="141"/>
      <c r="F1094" s="142"/>
      <c r="G1094" s="196"/>
      <c r="H1094" s="95">
        <f t="shared" si="17"/>
        <v>0.1875</v>
      </c>
    </row>
    <row r="1095" spans="1:8" customFormat="1" ht="15.75" hidden="1" customHeight="1">
      <c r="A1095" s="94">
        <v>1090</v>
      </c>
      <c r="B1095" s="141"/>
      <c r="C1095" s="141"/>
      <c r="D1095" s="141"/>
      <c r="E1095" s="141"/>
      <c r="F1095" s="142"/>
      <c r="G1095" s="196"/>
      <c r="H1095" s="95">
        <f t="shared" si="17"/>
        <v>0.1875</v>
      </c>
    </row>
    <row r="1096" spans="1:8" customFormat="1" ht="15.75" hidden="1" customHeight="1">
      <c r="A1096" s="94">
        <v>1091</v>
      </c>
      <c r="B1096" s="141"/>
      <c r="C1096" s="141"/>
      <c r="D1096" s="141"/>
      <c r="E1096" s="141"/>
      <c r="F1096" s="142"/>
      <c r="G1096" s="196"/>
      <c r="H1096" s="95">
        <f t="shared" si="17"/>
        <v>0.1875</v>
      </c>
    </row>
    <row r="1097" spans="1:8" customFormat="1" ht="15.75" hidden="1" customHeight="1">
      <c r="A1097" s="94">
        <v>1092</v>
      </c>
      <c r="B1097" s="141"/>
      <c r="C1097" s="141"/>
      <c r="D1097" s="141"/>
      <c r="E1097" s="141"/>
      <c r="F1097" s="142"/>
      <c r="G1097" s="196"/>
      <c r="H1097" s="95">
        <f t="shared" si="17"/>
        <v>0.1875</v>
      </c>
    </row>
    <row r="1098" spans="1:8" customFormat="1" ht="15.75" hidden="1" customHeight="1">
      <c r="A1098" s="94">
        <v>1093</v>
      </c>
      <c r="B1098" s="141"/>
      <c r="C1098" s="141"/>
      <c r="D1098" s="141"/>
      <c r="E1098" s="141"/>
      <c r="F1098" s="142"/>
      <c r="G1098" s="196"/>
      <c r="H1098" s="95">
        <f t="shared" si="17"/>
        <v>0.1875</v>
      </c>
    </row>
    <row r="1099" spans="1:8" customFormat="1" ht="15.75" hidden="1" customHeight="1">
      <c r="A1099" s="94">
        <v>1094</v>
      </c>
      <c r="B1099" s="141"/>
      <c r="C1099" s="141"/>
      <c r="D1099" s="141"/>
      <c r="E1099" s="141"/>
      <c r="F1099" s="142"/>
      <c r="G1099" s="196"/>
      <c r="H1099" s="95">
        <f t="shared" si="17"/>
        <v>0.1875</v>
      </c>
    </row>
    <row r="1100" spans="1:8" customFormat="1" ht="15.75" hidden="1" customHeight="1">
      <c r="A1100" s="94">
        <v>1095</v>
      </c>
      <c r="B1100" s="141"/>
      <c r="C1100" s="141"/>
      <c r="D1100" s="141"/>
      <c r="E1100" s="141"/>
      <c r="F1100" s="142"/>
      <c r="G1100" s="196"/>
      <c r="H1100" s="95">
        <f t="shared" si="17"/>
        <v>0.1875</v>
      </c>
    </row>
    <row r="1101" spans="1:8" customFormat="1" ht="15.75" hidden="1" customHeight="1">
      <c r="A1101" s="94">
        <v>1096</v>
      </c>
      <c r="B1101" s="141"/>
      <c r="C1101" s="141"/>
      <c r="D1101" s="141"/>
      <c r="E1101" s="141"/>
      <c r="F1101" s="142"/>
      <c r="G1101" s="196"/>
      <c r="H1101" s="95">
        <f t="shared" si="17"/>
        <v>0.1875</v>
      </c>
    </row>
    <row r="1102" spans="1:8" customFormat="1" ht="15.75" hidden="1" customHeight="1">
      <c r="A1102" s="94">
        <v>1097</v>
      </c>
      <c r="B1102" s="141"/>
      <c r="C1102" s="141"/>
      <c r="D1102" s="141"/>
      <c r="E1102" s="141"/>
      <c r="F1102" s="142"/>
      <c r="G1102" s="196"/>
      <c r="H1102" s="95">
        <f t="shared" si="17"/>
        <v>0.1875</v>
      </c>
    </row>
    <row r="1103" spans="1:8" customFormat="1" ht="15.75" hidden="1" customHeight="1">
      <c r="A1103" s="94">
        <v>1098</v>
      </c>
      <c r="B1103" s="141"/>
      <c r="C1103" s="141"/>
      <c r="D1103" s="141"/>
      <c r="E1103" s="141"/>
      <c r="F1103" s="142"/>
      <c r="G1103" s="196"/>
      <c r="H1103" s="95">
        <f t="shared" si="17"/>
        <v>0.1875</v>
      </c>
    </row>
    <row r="1104" spans="1:8" customFormat="1" ht="15.75" hidden="1" customHeight="1">
      <c r="A1104" s="94">
        <v>1099</v>
      </c>
      <c r="B1104" s="141"/>
      <c r="C1104" s="141"/>
      <c r="D1104" s="141"/>
      <c r="E1104" s="141"/>
      <c r="F1104" s="142"/>
      <c r="G1104" s="196"/>
      <c r="H1104" s="95">
        <f t="shared" si="17"/>
        <v>0.1875</v>
      </c>
    </row>
    <row r="1105" spans="1:8" customFormat="1" ht="15.75" hidden="1" customHeight="1">
      <c r="A1105" s="94">
        <v>1100</v>
      </c>
      <c r="B1105" s="141"/>
      <c r="C1105" s="141"/>
      <c r="D1105" s="141"/>
      <c r="E1105" s="141"/>
      <c r="F1105" s="142"/>
      <c r="G1105" s="196"/>
      <c r="H1105" s="95">
        <f t="shared" si="17"/>
        <v>0.1875</v>
      </c>
    </row>
    <row r="1106" spans="1:8" customFormat="1" ht="15.75" hidden="1" customHeight="1">
      <c r="A1106" s="94">
        <v>1101</v>
      </c>
      <c r="B1106" s="141"/>
      <c r="C1106" s="141"/>
      <c r="D1106" s="141"/>
      <c r="E1106" s="141"/>
      <c r="F1106" s="142"/>
      <c r="G1106" s="196"/>
      <c r="H1106" s="95">
        <f t="shared" si="17"/>
        <v>0.1875</v>
      </c>
    </row>
    <row r="1107" spans="1:8" customFormat="1" ht="15.75" hidden="1" customHeight="1">
      <c r="A1107" s="94">
        <v>1102</v>
      </c>
      <c r="B1107" s="141"/>
      <c r="C1107" s="141"/>
      <c r="D1107" s="141"/>
      <c r="E1107" s="141"/>
      <c r="F1107" s="142"/>
      <c r="G1107" s="196"/>
      <c r="H1107" s="95">
        <f t="shared" si="17"/>
        <v>0.1875</v>
      </c>
    </row>
    <row r="1108" spans="1:8" customFormat="1" ht="15.75" hidden="1" customHeight="1">
      <c r="A1108" s="94">
        <v>1103</v>
      </c>
      <c r="B1108" s="141"/>
      <c r="C1108" s="141"/>
      <c r="D1108" s="141"/>
      <c r="E1108" s="141"/>
      <c r="F1108" s="142"/>
      <c r="G1108" s="196"/>
      <c r="H1108" s="95">
        <f t="shared" si="17"/>
        <v>0.1875</v>
      </c>
    </row>
    <row r="1109" spans="1:8" customFormat="1" ht="15.75" hidden="1" customHeight="1">
      <c r="A1109" s="94">
        <v>1104</v>
      </c>
      <c r="B1109" s="141"/>
      <c r="C1109" s="141"/>
      <c r="D1109" s="141"/>
      <c r="E1109" s="141"/>
      <c r="F1109" s="142"/>
      <c r="G1109" s="196"/>
      <c r="H1109" s="95">
        <f t="shared" si="17"/>
        <v>0.1875</v>
      </c>
    </row>
    <row r="1110" spans="1:8" customFormat="1" ht="15.75" hidden="1" customHeight="1">
      <c r="A1110" s="94">
        <v>1105</v>
      </c>
      <c r="B1110" s="141"/>
      <c r="C1110" s="141"/>
      <c r="D1110" s="141"/>
      <c r="E1110" s="141"/>
      <c r="F1110" s="142"/>
      <c r="G1110" s="196"/>
      <c r="H1110" s="95">
        <f t="shared" si="17"/>
        <v>0.1875</v>
      </c>
    </row>
    <row r="1111" spans="1:8" customFormat="1" ht="15.75" hidden="1" customHeight="1">
      <c r="A1111" s="94">
        <v>1106</v>
      </c>
      <c r="B1111" s="141"/>
      <c r="C1111" s="141"/>
      <c r="D1111" s="141"/>
      <c r="E1111" s="141"/>
      <c r="F1111" s="142"/>
      <c r="G1111" s="196"/>
      <c r="H1111" s="95">
        <f t="shared" si="17"/>
        <v>0.1875</v>
      </c>
    </row>
    <row r="1112" spans="1:8" customFormat="1" ht="15.75" hidden="1" customHeight="1">
      <c r="A1112" s="94">
        <v>1107</v>
      </c>
      <c r="B1112" s="141"/>
      <c r="C1112" s="141"/>
      <c r="D1112" s="141"/>
      <c r="E1112" s="141"/>
      <c r="F1112" s="142"/>
      <c r="G1112" s="196"/>
      <c r="H1112" s="95">
        <f t="shared" si="17"/>
        <v>0.1875</v>
      </c>
    </row>
    <row r="1113" spans="1:8" customFormat="1" ht="15.75" hidden="1" customHeight="1">
      <c r="A1113" s="94">
        <v>1108</v>
      </c>
      <c r="B1113" s="141"/>
      <c r="C1113" s="141"/>
      <c r="D1113" s="141"/>
      <c r="E1113" s="141"/>
      <c r="F1113" s="142"/>
      <c r="G1113" s="196"/>
      <c r="H1113" s="95">
        <f t="shared" si="17"/>
        <v>0.1875</v>
      </c>
    </row>
    <row r="1114" spans="1:8" customFormat="1" ht="15.75" hidden="1" customHeight="1">
      <c r="A1114" s="94">
        <v>1109</v>
      </c>
      <c r="B1114" s="141"/>
      <c r="C1114" s="141"/>
      <c r="D1114" s="141"/>
      <c r="E1114" s="141"/>
      <c r="F1114" s="142"/>
      <c r="G1114" s="196"/>
      <c r="H1114" s="95">
        <f t="shared" si="17"/>
        <v>0.1875</v>
      </c>
    </row>
    <row r="1115" spans="1:8" customFormat="1" ht="15.75" hidden="1" customHeight="1">
      <c r="A1115" s="94">
        <v>1110</v>
      </c>
      <c r="B1115" s="141"/>
      <c r="C1115" s="141"/>
      <c r="D1115" s="141"/>
      <c r="E1115" s="141"/>
      <c r="F1115" s="142"/>
      <c r="G1115" s="196"/>
      <c r="H1115" s="95">
        <f t="shared" si="17"/>
        <v>0.1875</v>
      </c>
    </row>
    <row r="1116" spans="1:8" customFormat="1" ht="15.75" hidden="1" customHeight="1">
      <c r="A1116" s="94">
        <v>1111</v>
      </c>
      <c r="B1116" s="141"/>
      <c r="C1116" s="141"/>
      <c r="D1116" s="141"/>
      <c r="E1116" s="141"/>
      <c r="F1116" s="142"/>
      <c r="G1116" s="196"/>
      <c r="H1116" s="95">
        <f t="shared" si="17"/>
        <v>0.1875</v>
      </c>
    </row>
    <row r="1117" spans="1:8" customFormat="1" ht="15.75" hidden="1" customHeight="1">
      <c r="A1117" s="94">
        <v>1112</v>
      </c>
      <c r="B1117" s="141"/>
      <c r="C1117" s="141"/>
      <c r="D1117" s="141"/>
      <c r="E1117" s="141"/>
      <c r="F1117" s="142"/>
      <c r="G1117" s="196"/>
      <c r="H1117" s="95">
        <f t="shared" si="17"/>
        <v>0.1875</v>
      </c>
    </row>
    <row r="1118" spans="1:8" customFormat="1" ht="15.75" hidden="1" customHeight="1">
      <c r="A1118" s="94">
        <v>1113</v>
      </c>
      <c r="B1118" s="141"/>
      <c r="C1118" s="141"/>
      <c r="D1118" s="141"/>
      <c r="E1118" s="141"/>
      <c r="F1118" s="142"/>
      <c r="G1118" s="196"/>
      <c r="H1118" s="95">
        <f t="shared" si="17"/>
        <v>0.1875</v>
      </c>
    </row>
    <row r="1119" spans="1:8" customFormat="1" ht="15.75" hidden="1" customHeight="1">
      <c r="A1119" s="94">
        <v>1114</v>
      </c>
      <c r="B1119" s="141"/>
      <c r="C1119" s="141"/>
      <c r="D1119" s="141"/>
      <c r="E1119" s="141"/>
      <c r="F1119" s="142"/>
      <c r="G1119" s="196"/>
      <c r="H1119" s="95">
        <f t="shared" si="17"/>
        <v>0.1875</v>
      </c>
    </row>
    <row r="1120" spans="1:8" customFormat="1" ht="15.75" hidden="1" customHeight="1">
      <c r="A1120" s="94">
        <v>1115</v>
      </c>
      <c r="B1120" s="141"/>
      <c r="C1120" s="141"/>
      <c r="D1120" s="141"/>
      <c r="E1120" s="141"/>
      <c r="F1120" s="142"/>
      <c r="G1120" s="196"/>
      <c r="H1120" s="95">
        <f t="shared" si="17"/>
        <v>0.1875</v>
      </c>
    </row>
    <row r="1121" spans="1:8" customFormat="1" ht="15.75" hidden="1" customHeight="1">
      <c r="A1121" s="94">
        <v>1116</v>
      </c>
      <c r="B1121" s="141"/>
      <c r="C1121" s="141"/>
      <c r="D1121" s="141"/>
      <c r="E1121" s="141"/>
      <c r="F1121" s="142"/>
      <c r="G1121" s="196"/>
      <c r="H1121" s="95">
        <f t="shared" si="17"/>
        <v>0.1875</v>
      </c>
    </row>
    <row r="1122" spans="1:8" customFormat="1" ht="15.75" hidden="1" customHeight="1">
      <c r="A1122" s="94">
        <v>1117</v>
      </c>
      <c r="B1122" s="141"/>
      <c r="C1122" s="141"/>
      <c r="D1122" s="141"/>
      <c r="E1122" s="141"/>
      <c r="F1122" s="142"/>
      <c r="G1122" s="196"/>
      <c r="H1122" s="95">
        <f t="shared" si="17"/>
        <v>0.1875</v>
      </c>
    </row>
    <row r="1123" spans="1:8" customFormat="1" ht="15.75" hidden="1" customHeight="1">
      <c r="A1123" s="94">
        <v>1118</v>
      </c>
      <c r="B1123" s="141"/>
      <c r="C1123" s="141"/>
      <c r="D1123" s="141"/>
      <c r="E1123" s="141"/>
      <c r="F1123" s="142"/>
      <c r="G1123" s="196"/>
      <c r="H1123" s="95">
        <f t="shared" si="17"/>
        <v>0.1875</v>
      </c>
    </row>
    <row r="1124" spans="1:8" customFormat="1" ht="15.75" hidden="1" customHeight="1">
      <c r="A1124" s="94">
        <v>1119</v>
      </c>
      <c r="B1124" s="141"/>
      <c r="C1124" s="141"/>
      <c r="D1124" s="141"/>
      <c r="E1124" s="141"/>
      <c r="F1124" s="142"/>
      <c r="G1124" s="196"/>
      <c r="H1124" s="95">
        <f t="shared" si="17"/>
        <v>0.1875</v>
      </c>
    </row>
    <row r="1125" spans="1:8" customFormat="1" ht="15.75" hidden="1" customHeight="1">
      <c r="A1125" s="94">
        <v>1120</v>
      </c>
      <c r="B1125" s="141"/>
      <c r="C1125" s="141"/>
      <c r="D1125" s="141"/>
      <c r="E1125" s="141"/>
      <c r="F1125" s="142"/>
      <c r="G1125" s="196"/>
      <c r="H1125" s="95">
        <f t="shared" si="17"/>
        <v>0.1875</v>
      </c>
    </row>
    <row r="1126" spans="1:8" customFormat="1" ht="15.75" hidden="1" customHeight="1">
      <c r="A1126" s="94">
        <v>1121</v>
      </c>
      <c r="B1126" s="141"/>
      <c r="C1126" s="141"/>
      <c r="D1126" s="141"/>
      <c r="E1126" s="141"/>
      <c r="F1126" s="142"/>
      <c r="G1126" s="196"/>
      <c r="H1126" s="95">
        <f t="shared" si="17"/>
        <v>0.1875</v>
      </c>
    </row>
    <row r="1127" spans="1:8" customFormat="1" ht="15.75" hidden="1" customHeight="1">
      <c r="A1127" s="94">
        <v>1122</v>
      </c>
      <c r="B1127" s="141"/>
      <c r="C1127" s="141"/>
      <c r="D1127" s="141"/>
      <c r="E1127" s="141"/>
      <c r="F1127" s="142"/>
      <c r="G1127" s="196"/>
      <c r="H1127" s="95">
        <f t="shared" si="17"/>
        <v>0.1875</v>
      </c>
    </row>
    <row r="1128" spans="1:8" customFormat="1" ht="15.75" hidden="1" customHeight="1">
      <c r="A1128" s="94">
        <v>1123</v>
      </c>
      <c r="B1128" s="141"/>
      <c r="C1128" s="141"/>
      <c r="D1128" s="141"/>
      <c r="E1128" s="141"/>
      <c r="F1128" s="142"/>
      <c r="G1128" s="196"/>
      <c r="H1128" s="95">
        <f t="shared" si="17"/>
        <v>0.1875</v>
      </c>
    </row>
    <row r="1129" spans="1:8" customFormat="1" ht="15.75" hidden="1" customHeight="1">
      <c r="A1129" s="94">
        <v>1124</v>
      </c>
      <c r="B1129" s="141"/>
      <c r="C1129" s="141"/>
      <c r="D1129" s="141"/>
      <c r="E1129" s="141"/>
      <c r="F1129" s="142"/>
      <c r="G1129" s="196"/>
      <c r="H1129" s="95">
        <f t="shared" si="17"/>
        <v>0.1875</v>
      </c>
    </row>
    <row r="1130" spans="1:8" customFormat="1" ht="15.75" hidden="1" customHeight="1">
      <c r="A1130" s="94">
        <v>1125</v>
      </c>
      <c r="B1130" s="141"/>
      <c r="C1130" s="141"/>
      <c r="D1130" s="141"/>
      <c r="E1130" s="141"/>
      <c r="F1130" s="142"/>
      <c r="G1130" s="196"/>
      <c r="H1130" s="95">
        <f t="shared" si="17"/>
        <v>0.1875</v>
      </c>
    </row>
    <row r="1131" spans="1:8" customFormat="1" ht="15.75" hidden="1" customHeight="1">
      <c r="A1131" s="94">
        <v>1126</v>
      </c>
      <c r="B1131" s="141"/>
      <c r="C1131" s="141"/>
      <c r="D1131" s="141"/>
      <c r="E1131" s="141"/>
      <c r="F1131" s="142"/>
      <c r="G1131" s="196"/>
      <c r="H1131" s="95">
        <f t="shared" si="17"/>
        <v>0.1875</v>
      </c>
    </row>
    <row r="1132" spans="1:8" customFormat="1" ht="15.75" hidden="1" customHeight="1">
      <c r="A1132" s="94">
        <v>1127</v>
      </c>
      <c r="B1132" s="141"/>
      <c r="C1132" s="141"/>
      <c r="D1132" s="141"/>
      <c r="E1132" s="141"/>
      <c r="F1132" s="142"/>
      <c r="G1132" s="196"/>
      <c r="H1132" s="95">
        <f t="shared" si="17"/>
        <v>0.1875</v>
      </c>
    </row>
    <row r="1133" spans="1:8" customFormat="1" ht="15.75" hidden="1" customHeight="1">
      <c r="A1133" s="94">
        <v>1128</v>
      </c>
      <c r="B1133" s="141"/>
      <c r="C1133" s="141"/>
      <c r="D1133" s="141"/>
      <c r="E1133" s="141"/>
      <c r="F1133" s="142"/>
      <c r="G1133" s="196"/>
      <c r="H1133" s="95">
        <f t="shared" si="17"/>
        <v>0.1875</v>
      </c>
    </row>
    <row r="1134" spans="1:8" customFormat="1" ht="15.75" hidden="1" customHeight="1">
      <c r="A1134" s="94">
        <v>1129</v>
      </c>
      <c r="B1134" s="141"/>
      <c r="C1134" s="141"/>
      <c r="D1134" s="141"/>
      <c r="E1134" s="141"/>
      <c r="F1134" s="142"/>
      <c r="G1134" s="196"/>
      <c r="H1134" s="95">
        <f t="shared" si="17"/>
        <v>0.1875</v>
      </c>
    </row>
    <row r="1135" spans="1:8" customFormat="1" ht="15.75" hidden="1" customHeight="1">
      <c r="A1135" s="94">
        <v>1130</v>
      </c>
      <c r="B1135" s="141"/>
      <c r="C1135" s="141"/>
      <c r="D1135" s="141"/>
      <c r="E1135" s="141"/>
      <c r="F1135" s="142"/>
      <c r="G1135" s="196"/>
      <c r="H1135" s="95">
        <f t="shared" si="17"/>
        <v>0.1875</v>
      </c>
    </row>
    <row r="1136" spans="1:8" customFormat="1" ht="15.75" hidden="1" customHeight="1">
      <c r="A1136" s="94">
        <v>1131</v>
      </c>
      <c r="B1136" s="141"/>
      <c r="C1136" s="141"/>
      <c r="D1136" s="141"/>
      <c r="E1136" s="141"/>
      <c r="F1136" s="142"/>
      <c r="G1136" s="196"/>
      <c r="H1136" s="95">
        <f t="shared" si="17"/>
        <v>0.1875</v>
      </c>
    </row>
    <row r="1137" spans="1:8" customFormat="1" ht="15.75" hidden="1" customHeight="1">
      <c r="A1137" s="94">
        <v>1132</v>
      </c>
      <c r="B1137" s="141"/>
      <c r="C1137" s="141"/>
      <c r="D1137" s="141"/>
      <c r="E1137" s="141"/>
      <c r="F1137" s="142"/>
      <c r="G1137" s="196"/>
      <c r="H1137" s="95">
        <f t="shared" si="17"/>
        <v>0.1875</v>
      </c>
    </row>
    <row r="1138" spans="1:8" customFormat="1" ht="15.75" hidden="1" customHeight="1">
      <c r="A1138" s="94">
        <v>1133</v>
      </c>
      <c r="B1138" s="141"/>
      <c r="C1138" s="141"/>
      <c r="D1138" s="141"/>
      <c r="E1138" s="141"/>
      <c r="F1138" s="142"/>
      <c r="G1138" s="196"/>
      <c r="H1138" s="95">
        <f t="shared" si="17"/>
        <v>0.1875</v>
      </c>
    </row>
    <row r="1139" spans="1:8" customFormat="1" ht="15.75" hidden="1" customHeight="1">
      <c r="A1139" s="94">
        <v>1134</v>
      </c>
      <c r="B1139" s="141"/>
      <c r="C1139" s="141"/>
      <c r="D1139" s="141"/>
      <c r="E1139" s="141"/>
      <c r="F1139" s="142"/>
      <c r="G1139" s="196"/>
      <c r="H1139" s="95">
        <f t="shared" si="17"/>
        <v>0.1875</v>
      </c>
    </row>
    <row r="1140" spans="1:8" customFormat="1" ht="15.75" hidden="1" customHeight="1">
      <c r="A1140" s="94">
        <v>1135</v>
      </c>
      <c r="B1140" s="141"/>
      <c r="C1140" s="141"/>
      <c r="D1140" s="141"/>
      <c r="E1140" s="141"/>
      <c r="F1140" s="142"/>
      <c r="G1140" s="196"/>
      <c r="H1140" s="95">
        <f t="shared" si="17"/>
        <v>0.1875</v>
      </c>
    </row>
    <row r="1141" spans="1:8" customFormat="1" ht="15.75" hidden="1" customHeight="1">
      <c r="A1141" s="94">
        <v>1136</v>
      </c>
      <c r="B1141" s="141"/>
      <c r="C1141" s="141"/>
      <c r="D1141" s="141"/>
      <c r="E1141" s="141"/>
      <c r="F1141" s="142"/>
      <c r="G1141" s="196"/>
      <c r="H1141" s="95">
        <f t="shared" si="17"/>
        <v>0.1875</v>
      </c>
    </row>
    <row r="1142" spans="1:8" customFormat="1" ht="15.75" hidden="1" customHeight="1">
      <c r="A1142" s="94">
        <v>1137</v>
      </c>
      <c r="B1142" s="141"/>
      <c r="C1142" s="141"/>
      <c r="D1142" s="141"/>
      <c r="E1142" s="141"/>
      <c r="F1142" s="142"/>
      <c r="G1142" s="196"/>
      <c r="H1142" s="95">
        <f t="shared" si="17"/>
        <v>0.1875</v>
      </c>
    </row>
    <row r="1143" spans="1:8" customFormat="1" ht="15.75" hidden="1" customHeight="1">
      <c r="A1143" s="94">
        <v>1138</v>
      </c>
      <c r="B1143" s="141"/>
      <c r="C1143" s="141"/>
      <c r="D1143" s="141"/>
      <c r="E1143" s="141"/>
      <c r="F1143" s="142"/>
      <c r="G1143" s="196"/>
      <c r="H1143" s="95">
        <f t="shared" si="17"/>
        <v>0.1875</v>
      </c>
    </row>
    <row r="1144" spans="1:8" customFormat="1" ht="15.75" hidden="1" customHeight="1">
      <c r="A1144" s="94">
        <v>1139</v>
      </c>
      <c r="B1144" s="141"/>
      <c r="C1144" s="141"/>
      <c r="D1144" s="141"/>
      <c r="E1144" s="141"/>
      <c r="F1144" s="142"/>
      <c r="G1144" s="196"/>
      <c r="H1144" s="95">
        <f t="shared" ref="H1144:H1170" si="18">25%*75%</f>
        <v>0.1875</v>
      </c>
    </row>
    <row r="1145" spans="1:8" customFormat="1" ht="15.75" hidden="1" customHeight="1">
      <c r="A1145" s="94"/>
      <c r="B1145" s="141"/>
      <c r="C1145" s="141"/>
      <c r="D1145" s="141"/>
      <c r="E1145" s="141"/>
      <c r="F1145" s="142"/>
      <c r="G1145" s="196"/>
      <c r="H1145" s="95">
        <f t="shared" si="18"/>
        <v>0.1875</v>
      </c>
    </row>
    <row r="1146" spans="1:8" customFormat="1" ht="15.75" hidden="1" customHeight="1">
      <c r="A1146" s="94"/>
      <c r="B1146" s="141"/>
      <c r="C1146" s="141"/>
      <c r="D1146" s="141"/>
      <c r="E1146" s="141"/>
      <c r="F1146" s="142"/>
      <c r="G1146" s="196"/>
      <c r="H1146" s="95">
        <f t="shared" si="18"/>
        <v>0.1875</v>
      </c>
    </row>
    <row r="1147" spans="1:8" customFormat="1" ht="15.75" hidden="1" customHeight="1">
      <c r="A1147" s="94"/>
      <c r="B1147" s="141"/>
      <c r="C1147" s="141"/>
      <c r="D1147" s="141"/>
      <c r="E1147" s="141"/>
      <c r="F1147" s="142"/>
      <c r="G1147" s="196"/>
      <c r="H1147" s="95">
        <f t="shared" si="18"/>
        <v>0.1875</v>
      </c>
    </row>
    <row r="1148" spans="1:8" customFormat="1" ht="15.75" hidden="1" customHeight="1">
      <c r="A1148" s="94"/>
      <c r="B1148" s="141"/>
      <c r="C1148" s="141"/>
      <c r="D1148" s="141"/>
      <c r="E1148" s="141"/>
      <c r="F1148" s="142"/>
      <c r="G1148" s="196"/>
      <c r="H1148" s="95">
        <f t="shared" si="18"/>
        <v>0.1875</v>
      </c>
    </row>
    <row r="1149" spans="1:8" customFormat="1" ht="15.75" hidden="1" customHeight="1">
      <c r="A1149" s="94"/>
      <c r="B1149" s="141"/>
      <c r="C1149" s="141"/>
      <c r="D1149" s="141"/>
      <c r="E1149" s="141"/>
      <c r="F1149" s="142"/>
      <c r="G1149" s="196"/>
      <c r="H1149" s="95">
        <f t="shared" si="18"/>
        <v>0.1875</v>
      </c>
    </row>
    <row r="1150" spans="1:8" customFormat="1" ht="15.75" hidden="1" customHeight="1">
      <c r="A1150" s="94"/>
      <c r="B1150" s="141"/>
      <c r="C1150" s="141"/>
      <c r="D1150" s="141"/>
      <c r="E1150" s="141"/>
      <c r="F1150" s="142"/>
      <c r="G1150" s="196"/>
      <c r="H1150" s="95">
        <f t="shared" si="18"/>
        <v>0.1875</v>
      </c>
    </row>
    <row r="1151" spans="1:8" customFormat="1" ht="15.75" hidden="1" customHeight="1">
      <c r="A1151" s="94"/>
      <c r="B1151" s="141"/>
      <c r="C1151" s="141"/>
      <c r="D1151" s="141"/>
      <c r="E1151" s="141"/>
      <c r="F1151" s="142"/>
      <c r="G1151" s="196"/>
      <c r="H1151" s="95">
        <f t="shared" si="18"/>
        <v>0.1875</v>
      </c>
    </row>
    <row r="1152" spans="1:8" customFormat="1" ht="15.75" hidden="1" customHeight="1">
      <c r="A1152" s="94"/>
      <c r="B1152" s="141"/>
      <c r="C1152" s="141"/>
      <c r="D1152" s="141"/>
      <c r="E1152" s="141"/>
      <c r="F1152" s="142"/>
      <c r="G1152" s="196"/>
      <c r="H1152" s="95">
        <f t="shared" si="18"/>
        <v>0.1875</v>
      </c>
    </row>
    <row r="1153" spans="1:8" customFormat="1" ht="15.75" hidden="1" customHeight="1">
      <c r="A1153" s="94"/>
      <c r="B1153" s="141"/>
      <c r="C1153" s="141"/>
      <c r="D1153" s="141"/>
      <c r="E1153" s="141"/>
      <c r="F1153" s="142"/>
      <c r="G1153" s="196"/>
      <c r="H1153" s="95">
        <f t="shared" si="18"/>
        <v>0.1875</v>
      </c>
    </row>
    <row r="1154" spans="1:8" customFormat="1" ht="15.75" hidden="1" customHeight="1">
      <c r="A1154" s="94"/>
      <c r="B1154" s="141"/>
      <c r="C1154" s="141"/>
      <c r="D1154" s="141"/>
      <c r="E1154" s="141"/>
      <c r="F1154" s="142"/>
      <c r="G1154" s="196"/>
      <c r="H1154" s="95">
        <f t="shared" si="18"/>
        <v>0.1875</v>
      </c>
    </row>
    <row r="1155" spans="1:8" customFormat="1" ht="15.75" hidden="1" customHeight="1">
      <c r="A1155" s="94"/>
      <c r="B1155" s="141"/>
      <c r="C1155" s="141"/>
      <c r="D1155" s="141"/>
      <c r="E1155" s="141"/>
      <c r="F1155" s="142"/>
      <c r="G1155" s="196"/>
      <c r="H1155" s="95">
        <f t="shared" si="18"/>
        <v>0.1875</v>
      </c>
    </row>
    <row r="1156" spans="1:8" customFormat="1" ht="15.75" hidden="1" customHeight="1">
      <c r="A1156" s="94"/>
      <c r="B1156" s="141"/>
      <c r="C1156" s="141"/>
      <c r="D1156" s="141"/>
      <c r="E1156" s="141"/>
      <c r="F1156" s="142"/>
      <c r="G1156" s="196"/>
      <c r="H1156" s="95">
        <f t="shared" si="18"/>
        <v>0.1875</v>
      </c>
    </row>
    <row r="1157" spans="1:8" customFormat="1" ht="15.75" hidden="1" customHeight="1">
      <c r="A1157" s="94"/>
      <c r="B1157" s="141"/>
      <c r="C1157" s="141"/>
      <c r="D1157" s="141"/>
      <c r="E1157" s="141"/>
      <c r="F1157" s="142"/>
      <c r="G1157" s="196"/>
      <c r="H1157" s="95">
        <f t="shared" si="18"/>
        <v>0.1875</v>
      </c>
    </row>
    <row r="1158" spans="1:8" customFormat="1" ht="15.75" hidden="1" customHeight="1">
      <c r="A1158" s="94"/>
      <c r="B1158" s="141"/>
      <c r="C1158" s="141"/>
      <c r="D1158" s="141"/>
      <c r="E1158" s="141"/>
      <c r="F1158" s="142"/>
      <c r="G1158" s="196"/>
      <c r="H1158" s="95">
        <f t="shared" si="18"/>
        <v>0.1875</v>
      </c>
    </row>
    <row r="1159" spans="1:8" customFormat="1" ht="15.75" hidden="1" customHeight="1">
      <c r="A1159" s="94"/>
      <c r="B1159" s="141"/>
      <c r="C1159" s="141"/>
      <c r="D1159" s="141"/>
      <c r="E1159" s="141"/>
      <c r="F1159" s="142"/>
      <c r="G1159" s="196"/>
      <c r="H1159" s="95">
        <f t="shared" si="18"/>
        <v>0.1875</v>
      </c>
    </row>
    <row r="1160" spans="1:8" customFormat="1" ht="15.75" hidden="1" customHeight="1">
      <c r="A1160" s="94"/>
      <c r="B1160" s="141"/>
      <c r="C1160" s="141"/>
      <c r="D1160" s="141"/>
      <c r="E1160" s="141"/>
      <c r="F1160" s="142"/>
      <c r="G1160" s="196"/>
      <c r="H1160" s="95">
        <f t="shared" si="18"/>
        <v>0.1875</v>
      </c>
    </row>
    <row r="1161" spans="1:8" customFormat="1" ht="15.75" hidden="1" customHeight="1">
      <c r="A1161" s="94"/>
      <c r="B1161" s="141"/>
      <c r="C1161" s="141"/>
      <c r="D1161" s="141"/>
      <c r="E1161" s="141"/>
      <c r="F1161" s="142"/>
      <c r="G1161" s="196"/>
      <c r="H1161" s="95">
        <f t="shared" si="18"/>
        <v>0.1875</v>
      </c>
    </row>
    <row r="1162" spans="1:8" customFormat="1" ht="15.75" hidden="1" customHeight="1">
      <c r="A1162" s="94"/>
      <c r="B1162" s="141"/>
      <c r="C1162" s="141"/>
      <c r="D1162" s="141"/>
      <c r="E1162" s="141"/>
      <c r="F1162" s="142"/>
      <c r="G1162" s="196"/>
      <c r="H1162" s="95">
        <f t="shared" si="18"/>
        <v>0.1875</v>
      </c>
    </row>
    <row r="1163" spans="1:8" customFormat="1" ht="15.75" hidden="1" customHeight="1">
      <c r="A1163" s="94"/>
      <c r="B1163" s="141"/>
      <c r="C1163" s="141"/>
      <c r="D1163" s="141"/>
      <c r="E1163" s="141"/>
      <c r="F1163" s="142"/>
      <c r="G1163" s="196"/>
      <c r="H1163" s="95">
        <f t="shared" si="18"/>
        <v>0.1875</v>
      </c>
    </row>
    <row r="1164" spans="1:8" customFormat="1" ht="15.75" hidden="1" customHeight="1">
      <c r="A1164" s="94"/>
      <c r="B1164" s="141"/>
      <c r="C1164" s="141"/>
      <c r="D1164" s="141"/>
      <c r="E1164" s="141"/>
      <c r="F1164" s="142"/>
      <c r="G1164" s="196"/>
      <c r="H1164" s="95">
        <f t="shared" si="18"/>
        <v>0.1875</v>
      </c>
    </row>
    <row r="1165" spans="1:8" customFormat="1" ht="15.75" hidden="1" customHeight="1">
      <c r="A1165" s="94"/>
      <c r="B1165" s="141"/>
      <c r="C1165" s="141"/>
      <c r="D1165" s="141"/>
      <c r="E1165" s="141"/>
      <c r="F1165" s="142"/>
      <c r="G1165" s="196"/>
      <c r="H1165" s="95">
        <f t="shared" si="18"/>
        <v>0.1875</v>
      </c>
    </row>
    <row r="1166" spans="1:8" customFormat="1" ht="15.75" hidden="1" customHeight="1">
      <c r="A1166" s="94"/>
      <c r="B1166" s="141"/>
      <c r="C1166" s="141"/>
      <c r="D1166" s="141"/>
      <c r="E1166" s="141"/>
      <c r="F1166" s="142"/>
      <c r="G1166" s="196"/>
      <c r="H1166" s="95">
        <f t="shared" si="18"/>
        <v>0.1875</v>
      </c>
    </row>
    <row r="1167" spans="1:8" customFormat="1" ht="15.75" hidden="1" customHeight="1">
      <c r="A1167" s="94"/>
      <c r="B1167" s="141"/>
      <c r="C1167" s="141"/>
      <c r="D1167" s="141"/>
      <c r="E1167" s="141"/>
      <c r="F1167" s="142"/>
      <c r="G1167" s="196"/>
      <c r="H1167" s="95">
        <f t="shared" si="18"/>
        <v>0.1875</v>
      </c>
    </row>
    <row r="1168" spans="1:8" customFormat="1" ht="15.75" customHeight="1">
      <c r="A1168" s="94"/>
      <c r="B1168" s="141"/>
      <c r="C1168" s="141"/>
      <c r="D1168" s="141"/>
      <c r="E1168" s="141"/>
      <c r="F1168" s="142"/>
      <c r="G1168" s="196"/>
      <c r="H1168" s="95">
        <f t="shared" si="18"/>
        <v>0.1875</v>
      </c>
    </row>
    <row r="1169" spans="1:11" s="21" customFormat="1" ht="15.75" customHeight="1">
      <c r="A1169" s="94"/>
      <c r="B1169" s="141"/>
      <c r="C1169" s="141"/>
      <c r="D1169" s="141"/>
      <c r="E1169" s="141"/>
      <c r="F1169" s="142"/>
      <c r="G1169" s="142"/>
      <c r="H1169" s="95">
        <f t="shared" si="18"/>
        <v>0.1875</v>
      </c>
      <c r="I1169" s="37"/>
    </row>
    <row r="1170" spans="1:11" s="21" customFormat="1">
      <c r="A1170" s="94"/>
      <c r="B1170" s="96"/>
      <c r="C1170" s="97" t="s">
        <v>18</v>
      </c>
      <c r="D1170" s="98"/>
      <c r="E1170" s="97"/>
      <c r="F1170" s="99">
        <f>SUM(F6:F1169)</f>
        <v>1076</v>
      </c>
      <c r="G1170" s="99">
        <f>SUM(G6:G1169)</f>
        <v>121085700</v>
      </c>
      <c r="H1170" s="95">
        <f t="shared" si="18"/>
        <v>0.1875</v>
      </c>
      <c r="J1170" s="38"/>
    </row>
    <row r="1171" spans="1:11" ht="18.75" customHeight="1">
      <c r="A1171" s="94"/>
      <c r="B1171" s="58"/>
      <c r="C1171" s="59"/>
      <c r="D1171" s="60"/>
      <c r="E1171" s="209" t="s">
        <v>300</v>
      </c>
      <c r="F1171" s="209"/>
      <c r="G1171" s="209"/>
      <c r="H1171" s="209"/>
      <c r="I1171" s="23"/>
      <c r="J1171" s="30"/>
    </row>
    <row r="1172" spans="1:11" ht="15.75">
      <c r="A1172" s="200" t="s">
        <v>13</v>
      </c>
      <c r="B1172" s="200"/>
      <c r="C1172" s="200"/>
      <c r="D1172" s="62"/>
      <c r="E1172" s="211" t="s">
        <v>33</v>
      </c>
      <c r="F1172" s="211"/>
      <c r="G1172" s="211"/>
      <c r="H1172" s="211"/>
      <c r="I1172" s="15"/>
    </row>
    <row r="1173" spans="1:11" ht="18.75">
      <c r="A1173" s="61"/>
      <c r="B1173" s="61"/>
      <c r="C1173" s="61"/>
      <c r="D1173" s="62"/>
      <c r="E1173" s="63"/>
      <c r="F1173" s="64"/>
      <c r="G1173" s="64"/>
      <c r="H1173" s="65"/>
      <c r="I1173" s="17"/>
      <c r="J1173" s="30"/>
    </row>
    <row r="1174" spans="1:11" ht="18.75">
      <c r="A1174" s="61"/>
      <c r="B1174" s="61"/>
      <c r="C1174" s="61"/>
      <c r="D1174" s="62"/>
      <c r="E1174" s="63"/>
      <c r="F1174" s="140"/>
      <c r="G1174" s="64"/>
      <c r="H1174" s="65"/>
      <c r="I1174" s="17"/>
      <c r="J1174" s="30"/>
    </row>
    <row r="1175" spans="1:11" ht="18.75">
      <c r="A1175" s="58"/>
      <c r="B1175" s="58"/>
      <c r="C1175" s="66"/>
      <c r="D1175" s="67"/>
      <c r="E1175" s="68"/>
      <c r="F1175" s="57"/>
      <c r="G1175" s="64"/>
      <c r="H1175" s="64"/>
      <c r="I1175" s="17"/>
      <c r="J1175" s="30"/>
    </row>
    <row r="1176" spans="1:11" ht="15.75">
      <c r="A1176" s="197" t="s">
        <v>23</v>
      </c>
      <c r="B1176" s="197"/>
      <c r="C1176" s="197"/>
      <c r="D1176" s="67"/>
      <c r="E1176" s="210" t="s">
        <v>30</v>
      </c>
      <c r="F1176" s="210"/>
      <c r="G1176" s="210"/>
      <c r="H1176" s="210"/>
      <c r="I1176" s="24"/>
      <c r="K1176" s="21"/>
    </row>
    <row r="1177" spans="1:11" ht="15">
      <c r="A1177" s="58"/>
      <c r="B1177" s="58"/>
      <c r="C1177" s="66"/>
      <c r="D1177" s="67"/>
      <c r="E1177" s="69"/>
      <c r="F1177" s="61"/>
      <c r="G1177" s="70"/>
      <c r="H1177" s="66"/>
    </row>
    <row r="1178" spans="1:11">
      <c r="D1178" s="10"/>
      <c r="E1178" s="25"/>
      <c r="F1178" s="143"/>
      <c r="G1178" s="30"/>
      <c r="H1178" s="30"/>
    </row>
    <row r="1179" spans="1:11">
      <c r="D1179" s="10"/>
      <c r="E1179" s="25"/>
      <c r="F1179" s="143"/>
      <c r="G1179" s="30"/>
    </row>
    <row r="1180" spans="1:11">
      <c r="D1180" s="10"/>
      <c r="E1180" s="25"/>
      <c r="F1180" s="39"/>
      <c r="G1180" s="30"/>
    </row>
    <row r="1181" spans="1:11">
      <c r="D1181" s="10"/>
      <c r="E1181" s="25"/>
      <c r="F1181" s="39"/>
      <c r="G1181" s="30"/>
    </row>
    <row r="1182" spans="1:11">
      <c r="D1182" s="10"/>
      <c r="E1182" s="25"/>
      <c r="F1182" s="39"/>
      <c r="G1182" s="8"/>
    </row>
    <row r="1183" spans="1:11">
      <c r="D1183" s="10"/>
      <c r="E1183" s="25"/>
      <c r="F1183" s="39"/>
      <c r="G1183" s="8"/>
    </row>
    <row r="1184" spans="1:11">
      <c r="D1184" s="10"/>
      <c r="E1184" s="25"/>
      <c r="F1184" s="39"/>
      <c r="G1184" s="8"/>
    </row>
    <row r="1185" spans="1:9">
      <c r="D1185" s="10"/>
      <c r="E1185" s="25"/>
      <c r="F1185" s="39"/>
      <c r="G1185" s="8"/>
    </row>
    <row r="1186" spans="1:9">
      <c r="D1186" s="10"/>
      <c r="E1186" s="25"/>
      <c r="F1186" s="39"/>
      <c r="G1186" s="8"/>
    </row>
    <row r="1187" spans="1:9">
      <c r="D1187" s="10"/>
      <c r="E1187" s="25"/>
      <c r="F1187" s="39"/>
      <c r="G1187" s="8"/>
    </row>
    <row r="1188" spans="1:9">
      <c r="D1188" s="10"/>
      <c r="E1188" s="25"/>
      <c r="F1188" s="39"/>
      <c r="G1188" s="8"/>
    </row>
    <row r="1189" spans="1:9" s="21" customFormat="1" ht="15.75" customHeight="1">
      <c r="A1189" s="94"/>
      <c r="B1189" s="106"/>
      <c r="C1189" s="106"/>
      <c r="D1189" s="105"/>
      <c r="E1189" s="106"/>
      <c r="F1189" s="108"/>
      <c r="G1189" s="107"/>
      <c r="H1189" s="95"/>
      <c r="I1189" s="37"/>
    </row>
    <row r="1190" spans="1:9" s="21" customFormat="1" ht="15.75" customHeight="1">
      <c r="A1190" s="94"/>
      <c r="B1190" s="106"/>
      <c r="C1190" s="106"/>
      <c r="D1190" s="105"/>
      <c r="E1190" s="106"/>
      <c r="F1190" s="108"/>
      <c r="G1190" s="107"/>
      <c r="H1190" s="95"/>
      <c r="I1190" s="37"/>
    </row>
    <row r="1191" spans="1:9" s="21" customFormat="1" ht="15.75" customHeight="1">
      <c r="A1191" s="94"/>
      <c r="B1191" s="106"/>
      <c r="C1191" s="106"/>
      <c r="D1191" s="105"/>
      <c r="E1191" s="106"/>
      <c r="F1191" s="108"/>
      <c r="G1191" s="107"/>
      <c r="H1191" s="95"/>
      <c r="I1191" s="37"/>
    </row>
    <row r="1192" spans="1:9" s="21" customFormat="1" ht="15.75" customHeight="1">
      <c r="A1192" s="94"/>
      <c r="B1192" s="106"/>
      <c r="C1192" s="106"/>
      <c r="D1192" s="105"/>
      <c r="E1192" s="106"/>
      <c r="F1192" s="108"/>
      <c r="G1192" s="107"/>
      <c r="H1192" s="95"/>
      <c r="I1192" s="37"/>
    </row>
    <row r="1193" spans="1:9" s="21" customFormat="1" ht="15.75" customHeight="1">
      <c r="A1193" s="94"/>
      <c r="B1193" s="106"/>
      <c r="C1193" s="106"/>
      <c r="D1193" s="105"/>
      <c r="E1193" s="106"/>
      <c r="F1193" s="108"/>
      <c r="G1193" s="107"/>
      <c r="H1193" s="95"/>
      <c r="I1193" s="37"/>
    </row>
    <row r="1194" spans="1:9" s="21" customFormat="1" ht="15.75" customHeight="1">
      <c r="A1194" s="94"/>
      <c r="B1194" s="106"/>
      <c r="C1194" s="106"/>
      <c r="D1194" s="105"/>
      <c r="E1194" s="106"/>
      <c r="F1194" s="108"/>
      <c r="G1194" s="107"/>
      <c r="H1194" s="95"/>
      <c r="I1194" s="37"/>
    </row>
    <row r="1195" spans="1:9" s="21" customFormat="1" ht="15.75" customHeight="1">
      <c r="A1195" s="94"/>
      <c r="B1195" s="106"/>
      <c r="C1195" s="106"/>
      <c r="D1195" s="105"/>
      <c r="E1195" s="106"/>
      <c r="F1195" s="108"/>
      <c r="G1195" s="107"/>
      <c r="H1195" s="95"/>
      <c r="I1195" s="37"/>
    </row>
    <row r="1196" spans="1:9" s="21" customFormat="1" ht="15.75" customHeight="1">
      <c r="A1196" s="94"/>
      <c r="B1196" s="106"/>
      <c r="C1196" s="106"/>
      <c r="D1196" s="105"/>
      <c r="E1196" s="106"/>
      <c r="F1196" s="108"/>
      <c r="G1196" s="107"/>
      <c r="H1196" s="95"/>
      <c r="I1196" s="37"/>
    </row>
    <row r="1197" spans="1:9" s="21" customFormat="1" ht="15.75" customHeight="1">
      <c r="A1197" s="94"/>
      <c r="B1197" s="106"/>
      <c r="C1197" s="106"/>
      <c r="D1197" s="105"/>
      <c r="E1197" s="106"/>
      <c r="F1197" s="108"/>
      <c r="G1197" s="107"/>
      <c r="H1197" s="95"/>
      <c r="I1197" s="37"/>
    </row>
    <row r="1198" spans="1:9" s="21" customFormat="1" ht="15.75" customHeight="1">
      <c r="A1198" s="94"/>
      <c r="B1198" s="106"/>
      <c r="C1198" s="106"/>
      <c r="D1198" s="105"/>
      <c r="E1198" s="106"/>
      <c r="F1198" s="108"/>
      <c r="G1198" s="107"/>
      <c r="H1198" s="95"/>
      <c r="I1198" s="37"/>
    </row>
    <row r="1199" spans="1:9" s="21" customFormat="1" ht="15.75" customHeight="1">
      <c r="A1199" s="94"/>
      <c r="B1199" s="106"/>
      <c r="C1199" s="106"/>
      <c r="D1199" s="105"/>
      <c r="E1199" s="106"/>
      <c r="F1199" s="108"/>
      <c r="G1199" s="107"/>
      <c r="H1199" s="95"/>
      <c r="I1199" s="37"/>
    </row>
    <row r="1200" spans="1:9" s="21" customFormat="1" ht="15.75" customHeight="1">
      <c r="A1200" s="94"/>
      <c r="B1200" s="106"/>
      <c r="C1200" s="106"/>
      <c r="D1200" s="105"/>
      <c r="E1200" s="106"/>
      <c r="F1200" s="108"/>
      <c r="G1200" s="107"/>
      <c r="H1200" s="95"/>
      <c r="I1200" s="37"/>
    </row>
    <row r="1201" spans="1:9" s="21" customFormat="1" ht="15.75" customHeight="1">
      <c r="A1201" s="94"/>
      <c r="B1201" s="106"/>
      <c r="C1201" s="106"/>
      <c r="D1201" s="105"/>
      <c r="E1201" s="106"/>
      <c r="F1201" s="108"/>
      <c r="G1201" s="107"/>
      <c r="H1201" s="95"/>
      <c r="I1201" s="37"/>
    </row>
    <row r="1202" spans="1:9" s="21" customFormat="1" ht="15.75" customHeight="1">
      <c r="A1202" s="94"/>
      <c r="B1202" s="106"/>
      <c r="C1202" s="106"/>
      <c r="D1202" s="105"/>
      <c r="E1202" s="106"/>
      <c r="F1202" s="108"/>
      <c r="G1202" s="107"/>
      <c r="H1202" s="95"/>
      <c r="I1202" s="37"/>
    </row>
    <row r="1203" spans="1:9" s="21" customFormat="1" ht="15.75" customHeight="1">
      <c r="A1203" s="94"/>
      <c r="B1203" s="106"/>
      <c r="C1203" s="106"/>
      <c r="D1203" s="105"/>
      <c r="E1203" s="106"/>
      <c r="F1203" s="108"/>
      <c r="G1203" s="107"/>
      <c r="H1203" s="95"/>
      <c r="I1203" s="37"/>
    </row>
    <row r="1204" spans="1:9" s="21" customFormat="1" ht="15.75" customHeight="1">
      <c r="A1204" s="94"/>
      <c r="B1204" s="106"/>
      <c r="C1204" s="106"/>
      <c r="D1204" s="105"/>
      <c r="E1204" s="106"/>
      <c r="F1204" s="108"/>
      <c r="G1204" s="107"/>
      <c r="H1204" s="95"/>
      <c r="I1204" s="37"/>
    </row>
    <row r="1205" spans="1:9" s="21" customFormat="1" ht="15.75" customHeight="1">
      <c r="A1205" s="94"/>
      <c r="B1205" s="106"/>
      <c r="C1205" s="106"/>
      <c r="D1205" s="105"/>
      <c r="E1205" s="106"/>
      <c r="F1205" s="108"/>
      <c r="G1205" s="107"/>
      <c r="H1205" s="95"/>
      <c r="I1205" s="37"/>
    </row>
    <row r="1206" spans="1:9" s="21" customFormat="1" ht="15.75" customHeight="1">
      <c r="A1206" s="94"/>
      <c r="B1206" s="106"/>
      <c r="C1206" s="106"/>
      <c r="D1206" s="105"/>
      <c r="E1206" s="106"/>
      <c r="F1206" s="108"/>
      <c r="G1206" s="107"/>
      <c r="H1206" s="95"/>
      <c r="I1206" s="37"/>
    </row>
    <row r="1207" spans="1:9" s="21" customFormat="1" ht="15.75" customHeight="1">
      <c r="A1207" s="94"/>
      <c r="B1207" s="106"/>
      <c r="C1207" s="106"/>
      <c r="D1207" s="105"/>
      <c r="E1207" s="106"/>
      <c r="F1207" s="108"/>
      <c r="G1207" s="107"/>
      <c r="H1207" s="95"/>
      <c r="I1207" s="37"/>
    </row>
    <row r="1208" spans="1:9" s="21" customFormat="1" ht="15.75" customHeight="1">
      <c r="A1208" s="94"/>
      <c r="B1208" s="106"/>
      <c r="C1208" s="106"/>
      <c r="D1208" s="105"/>
      <c r="E1208" s="106"/>
      <c r="F1208" s="108"/>
      <c r="G1208" s="107"/>
      <c r="H1208" s="95"/>
      <c r="I1208" s="37"/>
    </row>
    <row r="1209" spans="1:9" s="21" customFormat="1" ht="15.75" customHeight="1">
      <c r="A1209" s="94"/>
      <c r="B1209" s="106"/>
      <c r="C1209" s="106"/>
      <c r="D1209" s="105"/>
      <c r="E1209" s="106"/>
      <c r="F1209" s="108"/>
      <c r="G1209" s="107"/>
      <c r="H1209" s="95"/>
      <c r="I1209" s="37"/>
    </row>
    <row r="1210" spans="1:9">
      <c r="D1210" s="10"/>
      <c r="E1210" s="25"/>
      <c r="F1210" s="39"/>
      <c r="G1210" s="8"/>
    </row>
    <row r="1211" spans="1:9">
      <c r="D1211" s="10"/>
      <c r="E1211" s="25"/>
      <c r="F1211" s="39"/>
      <c r="G1211" s="8"/>
    </row>
    <row r="1212" spans="1:9">
      <c r="D1212" s="10"/>
      <c r="E1212" s="25"/>
      <c r="F1212" s="39"/>
      <c r="G1212" s="8"/>
    </row>
    <row r="1213" spans="1:9">
      <c r="D1213" s="10"/>
      <c r="E1213" s="25"/>
      <c r="F1213" s="39"/>
      <c r="G1213" s="8"/>
    </row>
    <row r="1214" spans="1:9">
      <c r="D1214" s="10"/>
      <c r="E1214" s="25"/>
      <c r="F1214" s="39"/>
      <c r="G1214" s="8"/>
    </row>
    <row r="1215" spans="1:9">
      <c r="D1215" s="10"/>
      <c r="E1215" s="25"/>
      <c r="F1215" s="39"/>
      <c r="G1215" s="8"/>
    </row>
    <row r="1216" spans="1:9">
      <c r="D1216" s="10"/>
      <c r="E1216" s="25"/>
      <c r="F1216" s="39"/>
      <c r="G1216" s="8"/>
    </row>
    <row r="1217" spans="4:7">
      <c r="D1217" s="10"/>
      <c r="E1217" s="25"/>
      <c r="F1217" s="39"/>
      <c r="G1217" s="8"/>
    </row>
    <row r="1218" spans="4:7">
      <c r="D1218" s="10"/>
      <c r="E1218" s="25"/>
      <c r="F1218" s="39"/>
      <c r="G1218" s="8"/>
    </row>
    <row r="1219" spans="4:7">
      <c r="D1219" s="10"/>
      <c r="E1219" s="25"/>
      <c r="F1219" s="39"/>
      <c r="G1219" s="8"/>
    </row>
    <row r="1220" spans="4:7">
      <c r="D1220" s="10"/>
      <c r="E1220" s="25"/>
      <c r="F1220" s="39"/>
      <c r="G1220" s="8"/>
    </row>
    <row r="1221" spans="4:7">
      <c r="D1221" s="10"/>
      <c r="E1221" s="25"/>
      <c r="F1221" s="39"/>
      <c r="G1221" s="8"/>
    </row>
    <row r="1222" spans="4:7">
      <c r="D1222" s="10"/>
      <c r="E1222" s="25"/>
      <c r="F1222" s="39"/>
      <c r="G1222" s="8"/>
    </row>
    <row r="1223" spans="4:7">
      <c r="D1223" s="10"/>
      <c r="E1223" s="25"/>
      <c r="F1223" s="39"/>
      <c r="G1223" s="8"/>
    </row>
    <row r="1224" spans="4:7">
      <c r="D1224" s="10"/>
      <c r="E1224" s="25"/>
      <c r="F1224" s="39"/>
      <c r="G1224" s="8"/>
    </row>
    <row r="1225" spans="4:7">
      <c r="D1225" s="10"/>
      <c r="E1225" s="25"/>
      <c r="F1225" s="39"/>
      <c r="G1225" s="8"/>
    </row>
    <row r="1226" spans="4:7">
      <c r="D1226" s="10"/>
      <c r="E1226" s="25"/>
      <c r="F1226" s="39"/>
      <c r="G1226" s="8"/>
    </row>
    <row r="1227" spans="4:7">
      <c r="D1227" s="10"/>
      <c r="E1227" s="25"/>
      <c r="F1227" s="39"/>
      <c r="G1227" s="8"/>
    </row>
    <row r="1228" spans="4:7">
      <c r="D1228" s="10"/>
      <c r="E1228" s="25"/>
      <c r="F1228" s="39"/>
      <c r="G1228" s="8"/>
    </row>
    <row r="1229" spans="4:7">
      <c r="D1229" s="10"/>
      <c r="E1229" s="25"/>
      <c r="F1229" s="39"/>
      <c r="G1229" s="8"/>
    </row>
    <row r="1230" spans="4:7">
      <c r="D1230" s="10"/>
      <c r="E1230" s="25"/>
      <c r="F1230" s="39"/>
      <c r="G1230" s="8"/>
    </row>
    <row r="1231" spans="4:7">
      <c r="D1231" s="10"/>
      <c r="E1231" s="25"/>
      <c r="F1231" s="39"/>
      <c r="G1231" s="8"/>
    </row>
    <row r="1232" spans="4:7">
      <c r="D1232" s="10"/>
      <c r="E1232" s="25"/>
      <c r="F1232" s="39"/>
      <c r="G1232" s="8"/>
    </row>
    <row r="1233" spans="4:7">
      <c r="D1233" s="10"/>
      <c r="E1233" s="25"/>
      <c r="F1233" s="39"/>
      <c r="G1233" s="8"/>
    </row>
    <row r="1234" spans="4:7">
      <c r="D1234" s="10"/>
      <c r="E1234" s="25"/>
      <c r="F1234" s="39"/>
      <c r="G1234" s="8"/>
    </row>
    <row r="1235" spans="4:7">
      <c r="D1235" s="10"/>
      <c r="E1235" s="25"/>
      <c r="F1235" s="39"/>
      <c r="G1235" s="8"/>
    </row>
    <row r="1236" spans="4:7">
      <c r="D1236" s="10"/>
      <c r="E1236" s="25"/>
      <c r="F1236" s="39"/>
      <c r="G1236" s="8"/>
    </row>
    <row r="1237" spans="4:7">
      <c r="D1237" s="10"/>
      <c r="E1237" s="25"/>
      <c r="F1237" s="39"/>
      <c r="G1237" s="8"/>
    </row>
    <row r="1238" spans="4:7">
      <c r="D1238" s="10"/>
      <c r="E1238" s="25"/>
      <c r="F1238" s="39"/>
      <c r="G1238" s="8"/>
    </row>
    <row r="1239" spans="4:7">
      <c r="D1239" s="10"/>
      <c r="E1239" s="25"/>
      <c r="F1239" s="39"/>
      <c r="G1239" s="8"/>
    </row>
    <row r="1240" spans="4:7">
      <c r="D1240" s="10"/>
      <c r="E1240" s="25"/>
      <c r="F1240" s="39"/>
      <c r="G1240" s="8"/>
    </row>
    <row r="1241" spans="4:7">
      <c r="D1241" s="10"/>
      <c r="E1241" s="25"/>
      <c r="F1241" s="39"/>
      <c r="G1241" s="8"/>
    </row>
    <row r="1242" spans="4:7">
      <c r="D1242" s="10"/>
      <c r="E1242" s="25"/>
      <c r="F1242" s="39"/>
      <c r="G1242" s="8"/>
    </row>
    <row r="1243" spans="4:7">
      <c r="D1243" s="10"/>
      <c r="E1243" s="25"/>
      <c r="F1243" s="39"/>
      <c r="G1243" s="8"/>
    </row>
    <row r="1244" spans="4:7">
      <c r="D1244" s="10"/>
      <c r="E1244" s="25"/>
      <c r="F1244" s="39"/>
      <c r="G1244" s="8"/>
    </row>
    <row r="1245" spans="4:7">
      <c r="D1245" s="10"/>
      <c r="E1245" s="25"/>
      <c r="F1245" s="39"/>
      <c r="G1245" s="8"/>
    </row>
    <row r="1246" spans="4:7">
      <c r="D1246" s="10"/>
      <c r="E1246" s="25"/>
      <c r="F1246" s="39"/>
      <c r="G1246" s="8"/>
    </row>
    <row r="1247" spans="4:7">
      <c r="D1247" s="10"/>
      <c r="E1247" s="25"/>
      <c r="F1247" s="39"/>
      <c r="G1247" s="8"/>
    </row>
    <row r="1248" spans="4:7">
      <c r="D1248" s="10"/>
      <c r="E1248" s="25"/>
      <c r="F1248" s="39"/>
      <c r="G1248" s="8"/>
    </row>
    <row r="1249" spans="4:7">
      <c r="D1249" s="10"/>
      <c r="E1249" s="25"/>
      <c r="F1249" s="39"/>
      <c r="G1249" s="8"/>
    </row>
    <row r="1250" spans="4:7">
      <c r="D1250" s="10"/>
      <c r="E1250" s="25"/>
      <c r="F1250" s="39"/>
      <c r="G1250" s="8"/>
    </row>
    <row r="1251" spans="4:7">
      <c r="D1251" s="10"/>
      <c r="E1251" s="25"/>
      <c r="F1251" s="39"/>
      <c r="G1251" s="8"/>
    </row>
    <row r="1252" spans="4:7">
      <c r="D1252" s="10"/>
      <c r="E1252" s="25"/>
      <c r="F1252" s="39"/>
      <c r="G1252" s="8"/>
    </row>
    <row r="1253" spans="4:7">
      <c r="D1253" s="10"/>
      <c r="E1253" s="25"/>
      <c r="F1253" s="39"/>
      <c r="G1253" s="8"/>
    </row>
    <row r="1254" spans="4:7">
      <c r="D1254" s="10"/>
      <c r="E1254" s="25"/>
      <c r="F1254" s="39"/>
      <c r="G1254" s="8"/>
    </row>
    <row r="1255" spans="4:7">
      <c r="D1255" s="10"/>
      <c r="E1255" s="25"/>
      <c r="F1255" s="39"/>
      <c r="G1255" s="8"/>
    </row>
    <row r="1256" spans="4:7">
      <c r="D1256" s="10"/>
      <c r="E1256" s="25"/>
      <c r="F1256" s="39"/>
      <c r="G1256" s="8"/>
    </row>
    <row r="1257" spans="4:7">
      <c r="D1257" s="10"/>
      <c r="E1257" s="25"/>
      <c r="F1257" s="39"/>
      <c r="G1257" s="8"/>
    </row>
    <row r="1258" spans="4:7">
      <c r="D1258" s="10"/>
      <c r="E1258" s="25"/>
      <c r="F1258" s="39"/>
      <c r="G1258" s="8"/>
    </row>
    <row r="1259" spans="4:7">
      <c r="D1259" s="10"/>
      <c r="E1259" s="25"/>
      <c r="F1259" s="39"/>
      <c r="G1259" s="8"/>
    </row>
    <row r="1260" spans="4:7">
      <c r="D1260" s="10"/>
      <c r="E1260" s="25"/>
      <c r="F1260" s="39"/>
      <c r="G1260" s="8"/>
    </row>
    <row r="1261" spans="4:7">
      <c r="D1261" s="10"/>
      <c r="E1261" s="25"/>
      <c r="F1261" s="39"/>
      <c r="G1261" s="8"/>
    </row>
    <row r="1262" spans="4:7">
      <c r="D1262" s="10"/>
      <c r="E1262" s="25"/>
      <c r="F1262" s="39"/>
      <c r="G1262" s="8"/>
    </row>
    <row r="1263" spans="4:7">
      <c r="D1263" s="10"/>
      <c r="E1263" s="25"/>
      <c r="F1263" s="39"/>
      <c r="G1263" s="8"/>
    </row>
    <row r="1264" spans="4:7">
      <c r="D1264" s="10"/>
      <c r="E1264" s="25"/>
      <c r="F1264" s="39"/>
      <c r="G1264" s="8"/>
    </row>
    <row r="1265" spans="4:7">
      <c r="D1265" s="10"/>
      <c r="E1265" s="25"/>
      <c r="F1265" s="39"/>
      <c r="G1265" s="8"/>
    </row>
    <row r="1266" spans="4:7">
      <c r="D1266" s="10"/>
      <c r="E1266" s="25"/>
      <c r="F1266" s="39"/>
      <c r="G1266" s="8"/>
    </row>
    <row r="1267" spans="4:7">
      <c r="D1267" s="10"/>
      <c r="E1267" s="25"/>
      <c r="F1267" s="39"/>
      <c r="G1267" s="8"/>
    </row>
    <row r="1268" spans="4:7">
      <c r="D1268" s="10"/>
      <c r="E1268" s="25"/>
      <c r="F1268" s="39"/>
      <c r="G1268" s="8"/>
    </row>
    <row r="1269" spans="4:7">
      <c r="D1269" s="10"/>
      <c r="E1269" s="25"/>
      <c r="F1269" s="39"/>
      <c r="G1269" s="8"/>
    </row>
    <row r="1270" spans="4:7">
      <c r="D1270" s="10"/>
      <c r="E1270" s="25"/>
      <c r="F1270" s="39"/>
      <c r="G1270" s="8"/>
    </row>
    <row r="1271" spans="4:7">
      <c r="D1271" s="10"/>
      <c r="E1271" s="25"/>
      <c r="F1271" s="39"/>
      <c r="G1271" s="8"/>
    </row>
    <row r="1272" spans="4:7">
      <c r="D1272" s="10"/>
      <c r="E1272" s="25"/>
      <c r="F1272" s="39"/>
      <c r="G1272" s="8"/>
    </row>
    <row r="1273" spans="4:7">
      <c r="D1273" s="10"/>
      <c r="E1273" s="25"/>
      <c r="F1273" s="39"/>
      <c r="G1273" s="8"/>
    </row>
    <row r="1274" spans="4:7">
      <c r="D1274" s="10"/>
      <c r="E1274" s="25"/>
      <c r="F1274" s="39"/>
      <c r="G1274" s="8"/>
    </row>
    <row r="1275" spans="4:7">
      <c r="D1275" s="10"/>
      <c r="E1275" s="25"/>
      <c r="F1275" s="39"/>
      <c r="G1275" s="8"/>
    </row>
    <row r="1276" spans="4:7">
      <c r="D1276" s="10"/>
      <c r="E1276" s="25"/>
      <c r="F1276" s="39"/>
      <c r="G1276" s="8"/>
    </row>
    <row r="1277" spans="4:7">
      <c r="D1277" s="10"/>
      <c r="E1277" s="25"/>
      <c r="F1277" s="39"/>
      <c r="G1277" s="8"/>
    </row>
    <row r="1278" spans="4:7">
      <c r="D1278" s="10"/>
      <c r="E1278" s="25"/>
      <c r="F1278" s="39"/>
      <c r="G1278" s="8"/>
    </row>
    <row r="1279" spans="4:7">
      <c r="D1279" s="10"/>
      <c r="E1279" s="25"/>
      <c r="F1279" s="39"/>
      <c r="G1279" s="8"/>
    </row>
    <row r="1280" spans="4:7">
      <c r="D1280" s="10"/>
      <c r="E1280" s="25"/>
      <c r="F1280" s="39"/>
      <c r="G1280" s="8"/>
    </row>
    <row r="1281" spans="4:7">
      <c r="D1281" s="10"/>
      <c r="E1281" s="25"/>
      <c r="F1281" s="39"/>
      <c r="G1281" s="8"/>
    </row>
    <row r="1282" spans="4:7">
      <c r="D1282" s="10"/>
      <c r="E1282" s="25"/>
      <c r="F1282" s="39"/>
      <c r="G1282" s="8"/>
    </row>
    <row r="1283" spans="4:7">
      <c r="D1283" s="10"/>
      <c r="E1283" s="25"/>
      <c r="F1283" s="39"/>
      <c r="G1283" s="8"/>
    </row>
    <row r="1284" spans="4:7">
      <c r="D1284" s="10"/>
      <c r="E1284" s="25"/>
      <c r="F1284" s="39"/>
      <c r="G1284" s="8"/>
    </row>
    <row r="1285" spans="4:7">
      <c r="D1285" s="10"/>
      <c r="E1285" s="25"/>
      <c r="F1285" s="39"/>
      <c r="G1285" s="8"/>
    </row>
    <row r="1286" spans="4:7">
      <c r="D1286" s="10"/>
      <c r="E1286" s="25"/>
      <c r="F1286" s="39"/>
      <c r="G1286" s="8"/>
    </row>
    <row r="1287" spans="4:7">
      <c r="D1287" s="10"/>
      <c r="E1287" s="25"/>
      <c r="F1287" s="39"/>
      <c r="G1287" s="8"/>
    </row>
    <row r="1288" spans="4:7">
      <c r="D1288" s="10"/>
      <c r="E1288" s="25"/>
      <c r="F1288" s="39"/>
      <c r="G1288" s="8"/>
    </row>
    <row r="1289" spans="4:7">
      <c r="D1289" s="10"/>
      <c r="E1289" s="25"/>
      <c r="F1289" s="39"/>
      <c r="G1289" s="8"/>
    </row>
    <row r="1290" spans="4:7">
      <c r="D1290" s="10"/>
      <c r="E1290" s="25"/>
      <c r="F1290" s="39"/>
      <c r="G1290" s="8"/>
    </row>
    <row r="1291" spans="4:7">
      <c r="D1291" s="10"/>
      <c r="E1291" s="25"/>
      <c r="F1291" s="39"/>
      <c r="G1291" s="8"/>
    </row>
    <row r="1292" spans="4:7">
      <c r="D1292" s="10"/>
      <c r="E1292" s="25"/>
      <c r="F1292" s="39"/>
      <c r="G1292" s="8"/>
    </row>
    <row r="1293" spans="4:7">
      <c r="D1293" s="10"/>
      <c r="E1293" s="25"/>
      <c r="F1293" s="39"/>
      <c r="G1293" s="8"/>
    </row>
    <row r="1294" spans="4:7">
      <c r="D1294" s="10"/>
      <c r="E1294" s="25"/>
      <c r="F1294" s="39"/>
      <c r="G1294" s="8"/>
    </row>
    <row r="1295" spans="4:7">
      <c r="D1295" s="10"/>
      <c r="E1295" s="25"/>
      <c r="F1295" s="39"/>
      <c r="G1295" s="8"/>
    </row>
    <row r="1296" spans="4:7">
      <c r="D1296" s="10"/>
      <c r="E1296" s="25"/>
      <c r="F1296" s="39"/>
      <c r="G1296" s="8"/>
    </row>
    <row r="1297" spans="4:7">
      <c r="D1297" s="10"/>
      <c r="E1297" s="25"/>
      <c r="F1297" s="39"/>
      <c r="G1297" s="8"/>
    </row>
    <row r="1298" spans="4:7">
      <c r="D1298" s="10"/>
      <c r="E1298" s="25"/>
      <c r="F1298" s="39"/>
      <c r="G1298" s="8"/>
    </row>
    <row r="1299" spans="4:7">
      <c r="D1299" s="10"/>
      <c r="E1299" s="25"/>
      <c r="F1299" s="39"/>
      <c r="G1299" s="8"/>
    </row>
    <row r="1300" spans="4:7">
      <c r="D1300" s="10"/>
      <c r="E1300" s="25"/>
      <c r="F1300" s="39"/>
      <c r="G1300" s="8"/>
    </row>
    <row r="1301" spans="4:7">
      <c r="D1301" s="10"/>
      <c r="E1301" s="25"/>
      <c r="F1301" s="39"/>
      <c r="G1301" s="8"/>
    </row>
    <row r="1302" spans="4:7">
      <c r="D1302" s="10"/>
      <c r="E1302" s="25"/>
      <c r="F1302" s="39"/>
      <c r="G1302" s="8"/>
    </row>
    <row r="1303" spans="4:7">
      <c r="D1303" s="10"/>
      <c r="E1303" s="25"/>
      <c r="F1303" s="39"/>
      <c r="G1303" s="8"/>
    </row>
    <row r="1304" spans="4:7">
      <c r="D1304" s="10"/>
      <c r="E1304" s="25"/>
      <c r="F1304" s="39"/>
      <c r="G1304" s="8"/>
    </row>
    <row r="1305" spans="4:7">
      <c r="D1305" s="10"/>
      <c r="E1305" s="25"/>
      <c r="F1305" s="39"/>
      <c r="G1305" s="8"/>
    </row>
    <row r="1306" spans="4:7">
      <c r="D1306" s="10"/>
      <c r="E1306" s="25"/>
      <c r="F1306" s="39"/>
      <c r="G1306" s="8"/>
    </row>
    <row r="1307" spans="4:7">
      <c r="D1307" s="10"/>
      <c r="E1307" s="25"/>
      <c r="F1307" s="39"/>
      <c r="G1307" s="8"/>
    </row>
    <row r="1308" spans="4:7">
      <c r="D1308" s="10"/>
      <c r="E1308" s="25"/>
      <c r="F1308" s="39"/>
      <c r="G1308" s="8"/>
    </row>
    <row r="1309" spans="4:7">
      <c r="D1309" s="10"/>
      <c r="E1309" s="25"/>
      <c r="F1309" s="39"/>
      <c r="G1309" s="8"/>
    </row>
    <row r="1310" spans="4:7">
      <c r="D1310" s="10"/>
      <c r="E1310" s="25"/>
      <c r="F1310" s="39"/>
      <c r="G1310" s="8"/>
    </row>
    <row r="1311" spans="4:7">
      <c r="D1311" s="10"/>
      <c r="E1311" s="25"/>
      <c r="F1311" s="39"/>
      <c r="G1311" s="8"/>
    </row>
    <row r="1312" spans="4:7">
      <c r="D1312" s="10"/>
      <c r="E1312" s="25"/>
      <c r="F1312" s="39"/>
      <c r="G1312" s="8"/>
    </row>
    <row r="1313" spans="4:7">
      <c r="D1313" s="10"/>
      <c r="E1313" s="25"/>
      <c r="F1313" s="39"/>
      <c r="G1313" s="8"/>
    </row>
    <row r="1314" spans="4:7">
      <c r="D1314" s="10"/>
      <c r="E1314" s="25"/>
      <c r="F1314" s="39"/>
      <c r="G1314" s="8"/>
    </row>
    <row r="1315" spans="4:7">
      <c r="D1315" s="10"/>
      <c r="E1315" s="25"/>
      <c r="F1315" s="39"/>
      <c r="G1315" s="8"/>
    </row>
    <row r="1316" spans="4:7">
      <c r="D1316" s="10"/>
      <c r="E1316" s="25"/>
      <c r="F1316" s="39"/>
      <c r="G1316" s="8"/>
    </row>
    <row r="1317" spans="4:7">
      <c r="D1317" s="10"/>
      <c r="E1317" s="25"/>
      <c r="F1317" s="39"/>
      <c r="G1317" s="8"/>
    </row>
    <row r="1318" spans="4:7">
      <c r="D1318" s="10"/>
      <c r="E1318" s="25"/>
      <c r="F1318" s="39"/>
      <c r="G1318" s="8"/>
    </row>
    <row r="1319" spans="4:7">
      <c r="D1319" s="10"/>
      <c r="E1319" s="25"/>
      <c r="F1319" s="39"/>
      <c r="G1319" s="8"/>
    </row>
    <row r="1320" spans="4:7">
      <c r="D1320" s="10"/>
      <c r="E1320" s="25"/>
      <c r="F1320" s="39"/>
      <c r="G1320" s="8"/>
    </row>
    <row r="1321" spans="4:7">
      <c r="D1321" s="10"/>
      <c r="E1321" s="25"/>
      <c r="F1321" s="39"/>
      <c r="G1321" s="8"/>
    </row>
    <row r="1322" spans="4:7">
      <c r="D1322" s="10"/>
      <c r="E1322" s="25"/>
      <c r="F1322" s="39"/>
      <c r="G1322" s="8"/>
    </row>
    <row r="1323" spans="4:7">
      <c r="D1323" s="10"/>
      <c r="E1323" s="25"/>
      <c r="F1323" s="39"/>
      <c r="G1323" s="8"/>
    </row>
    <row r="1324" spans="4:7">
      <c r="D1324" s="10"/>
      <c r="E1324" s="25"/>
      <c r="F1324" s="39"/>
      <c r="G1324" s="8"/>
    </row>
    <row r="1325" spans="4:7">
      <c r="D1325" s="10"/>
      <c r="E1325" s="25"/>
      <c r="F1325" s="39"/>
      <c r="G1325" s="8"/>
    </row>
    <row r="1326" spans="4:7">
      <c r="D1326" s="10"/>
      <c r="E1326" s="25"/>
      <c r="F1326" s="39"/>
      <c r="G1326" s="8"/>
    </row>
    <row r="1327" spans="4:7">
      <c r="D1327" s="10"/>
      <c r="E1327" s="25"/>
      <c r="F1327" s="39"/>
      <c r="G1327" s="8"/>
    </row>
    <row r="1328" spans="4:7">
      <c r="D1328" s="10"/>
      <c r="E1328" s="25"/>
      <c r="F1328" s="39"/>
      <c r="G1328" s="8"/>
    </row>
    <row r="1329" spans="4:7">
      <c r="D1329" s="10"/>
      <c r="E1329" s="25"/>
      <c r="F1329" s="39"/>
      <c r="G1329" s="8"/>
    </row>
    <row r="1330" spans="4:7">
      <c r="D1330" s="10"/>
      <c r="E1330" s="25"/>
      <c r="F1330" s="39"/>
      <c r="G1330" s="8"/>
    </row>
    <row r="1331" spans="4:7">
      <c r="D1331" s="10"/>
      <c r="E1331" s="25"/>
      <c r="F1331" s="39"/>
      <c r="G1331" s="8"/>
    </row>
    <row r="1332" spans="4:7">
      <c r="D1332" s="10"/>
      <c r="E1332" s="25"/>
      <c r="F1332" s="39"/>
      <c r="G1332" s="8"/>
    </row>
    <row r="1333" spans="4:7">
      <c r="D1333" s="10"/>
      <c r="E1333" s="25"/>
      <c r="F1333" s="39"/>
      <c r="G1333" s="8"/>
    </row>
    <row r="1334" spans="4:7">
      <c r="D1334" s="10"/>
      <c r="E1334" s="25"/>
      <c r="F1334" s="39"/>
      <c r="G1334" s="8"/>
    </row>
    <row r="1335" spans="4:7">
      <c r="D1335" s="10"/>
      <c r="E1335" s="25"/>
      <c r="F1335" s="39"/>
      <c r="G1335" s="8"/>
    </row>
    <row r="1336" spans="4:7">
      <c r="D1336" s="10"/>
      <c r="E1336" s="25"/>
      <c r="F1336" s="39"/>
      <c r="G1336" s="8"/>
    </row>
    <row r="1337" spans="4:7">
      <c r="D1337" s="10"/>
      <c r="E1337" s="25"/>
      <c r="F1337" s="39"/>
      <c r="G1337" s="8"/>
    </row>
    <row r="1338" spans="4:7">
      <c r="D1338" s="10"/>
      <c r="E1338" s="25"/>
      <c r="F1338" s="39"/>
      <c r="G1338" s="8"/>
    </row>
    <row r="1339" spans="4:7">
      <c r="D1339" s="10"/>
      <c r="E1339" s="25"/>
      <c r="F1339" s="39"/>
      <c r="G1339" s="8"/>
    </row>
    <row r="1340" spans="4:7">
      <c r="D1340" s="10"/>
      <c r="E1340" s="25"/>
      <c r="F1340" s="39"/>
      <c r="G1340" s="8"/>
    </row>
    <row r="1341" spans="4:7">
      <c r="D1341" s="10"/>
      <c r="E1341" s="25"/>
      <c r="F1341" s="39"/>
      <c r="G1341" s="8"/>
    </row>
    <row r="1342" spans="4:7">
      <c r="D1342" s="10"/>
      <c r="E1342" s="25"/>
      <c r="F1342" s="39"/>
      <c r="G1342" s="8"/>
    </row>
    <row r="1343" spans="4:7">
      <c r="D1343" s="10"/>
      <c r="E1343" s="25"/>
      <c r="F1343" s="39"/>
      <c r="G1343" s="8"/>
    </row>
    <row r="1344" spans="4:7">
      <c r="D1344" s="10"/>
      <c r="E1344" s="25"/>
      <c r="F1344" s="39"/>
      <c r="G1344" s="8"/>
    </row>
    <row r="1345" spans="4:7">
      <c r="D1345" s="10"/>
      <c r="E1345" s="25"/>
      <c r="F1345" s="39"/>
      <c r="G1345" s="8"/>
    </row>
    <row r="1346" spans="4:7">
      <c r="D1346" s="10"/>
      <c r="E1346" s="25"/>
      <c r="F1346" s="39"/>
      <c r="G1346" s="8"/>
    </row>
    <row r="1347" spans="4:7">
      <c r="D1347" s="10"/>
      <c r="E1347" s="25"/>
      <c r="F1347" s="39"/>
      <c r="G1347" s="8"/>
    </row>
    <row r="1348" spans="4:7">
      <c r="D1348" s="10"/>
      <c r="E1348" s="25"/>
      <c r="F1348" s="39"/>
      <c r="G1348" s="8"/>
    </row>
    <row r="1349" spans="4:7">
      <c r="D1349" s="10"/>
      <c r="E1349" s="25"/>
      <c r="F1349" s="39"/>
      <c r="G1349" s="8"/>
    </row>
    <row r="1350" spans="4:7">
      <c r="D1350" s="10"/>
      <c r="E1350" s="25"/>
      <c r="F1350" s="39"/>
      <c r="G1350" s="8"/>
    </row>
    <row r="1351" spans="4:7">
      <c r="D1351" s="10"/>
      <c r="E1351" s="25"/>
      <c r="F1351" s="39"/>
      <c r="G1351" s="8"/>
    </row>
    <row r="1352" spans="4:7">
      <c r="D1352" s="10"/>
      <c r="E1352" s="25"/>
      <c r="F1352" s="39"/>
      <c r="G1352" s="8"/>
    </row>
    <row r="1353" spans="4:7">
      <c r="D1353" s="10"/>
      <c r="E1353" s="25"/>
      <c r="F1353" s="39"/>
      <c r="G1353" s="8"/>
    </row>
    <row r="1354" spans="4:7">
      <c r="D1354" s="10"/>
      <c r="E1354" s="25"/>
      <c r="F1354" s="39"/>
      <c r="G1354" s="8"/>
    </row>
    <row r="1355" spans="4:7">
      <c r="D1355" s="10"/>
      <c r="E1355" s="25"/>
      <c r="F1355" s="39"/>
      <c r="G1355" s="8"/>
    </row>
    <row r="1356" spans="4:7">
      <c r="D1356" s="10"/>
      <c r="E1356" s="25"/>
      <c r="F1356" s="39"/>
      <c r="G1356" s="8"/>
    </row>
    <row r="1357" spans="4:7">
      <c r="D1357" s="10"/>
      <c r="E1357" s="25"/>
      <c r="F1357" s="39"/>
      <c r="G1357" s="8"/>
    </row>
    <row r="1358" spans="4:7">
      <c r="D1358" s="10"/>
      <c r="E1358" s="25"/>
      <c r="F1358" s="39"/>
      <c r="G1358" s="8"/>
    </row>
    <row r="1359" spans="4:7">
      <c r="D1359" s="10"/>
      <c r="E1359" s="25"/>
      <c r="F1359" s="39"/>
      <c r="G1359" s="8"/>
    </row>
    <row r="1360" spans="4:7">
      <c r="D1360" s="10"/>
      <c r="E1360" s="25"/>
      <c r="F1360" s="39"/>
      <c r="G1360" s="8"/>
    </row>
    <row r="1361" spans="4:7">
      <c r="D1361" s="10"/>
      <c r="E1361" s="25"/>
      <c r="F1361" s="39"/>
      <c r="G1361" s="8"/>
    </row>
    <row r="1362" spans="4:7">
      <c r="D1362" s="10"/>
      <c r="E1362" s="25"/>
      <c r="F1362" s="39"/>
      <c r="G1362" s="8"/>
    </row>
  </sheetData>
  <autoFilter ref="A5:H1172" xr:uid="{00000000-0009-0000-0000-000007000000}"/>
  <sortState xmlns:xlrd2="http://schemas.microsoft.com/office/spreadsheetml/2017/richdata2" ref="B6:G198">
    <sortCondition ref="B6:B198"/>
  </sortState>
  <mergeCells count="7">
    <mergeCell ref="A1176:C1176"/>
    <mergeCell ref="E1171:H1171"/>
    <mergeCell ref="E1176:H1176"/>
    <mergeCell ref="A3:H3"/>
    <mergeCell ref="A4:H4"/>
    <mergeCell ref="A1172:C1172"/>
    <mergeCell ref="E1172:H1172"/>
  </mergeCells>
  <pageMargins left="0.4375" right="0.39583333333333331" top="0.36" bottom="0.2" header="0.45" footer="0.22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</sheetPr>
  <dimension ref="A1:L61"/>
  <sheetViews>
    <sheetView zoomScaleNormal="100" workbookViewId="0">
      <pane xSplit="7" ySplit="6" topLeftCell="H34" activePane="bottomRight" state="frozen"/>
      <selection activeCell="I38" sqref="I38"/>
      <selection pane="topRight" activeCell="I38" sqref="I38"/>
      <selection pane="bottomLeft" activeCell="I38" sqref="I38"/>
      <selection pane="bottomRight" activeCell="A65" sqref="A65:XFD101"/>
    </sheetView>
  </sheetViews>
  <sheetFormatPr defaultColWidth="4.7109375" defaultRowHeight="15"/>
  <cols>
    <col min="1" max="1" width="4.7109375" style="22" customWidth="1"/>
    <col min="2" max="2" width="8.5703125" style="22" customWidth="1"/>
    <col min="3" max="3" width="24.140625" style="40" customWidth="1"/>
    <col min="4" max="4" width="9.85546875" style="42" customWidth="1"/>
    <col min="5" max="5" width="36.28515625" style="40" customWidth="1"/>
    <col min="6" max="6" width="7.7109375" style="40" customWidth="1"/>
    <col min="7" max="7" width="14.140625" style="56" bestFit="1" customWidth="1"/>
    <col min="8" max="8" width="8.28515625" style="39" bestFit="1" customWidth="1"/>
    <col min="9" max="9" width="12.85546875" style="53" bestFit="1" customWidth="1"/>
    <col min="10" max="10" width="9.5703125" style="22" customWidth="1"/>
    <col min="11" max="11" width="8.5703125" style="22" customWidth="1"/>
    <col min="12" max="12" width="10.140625" style="22" customWidth="1"/>
    <col min="13" max="13" width="9.140625" style="12" customWidth="1"/>
    <col min="14" max="14" width="19.85546875" style="12" customWidth="1"/>
    <col min="15" max="17" width="9.140625" style="12" customWidth="1"/>
    <col min="18" max="18" width="15.85546875" style="12" customWidth="1"/>
    <col min="19" max="249" width="9.140625" style="12" customWidth="1"/>
    <col min="250" max="250" width="5.140625" style="12" customWidth="1"/>
    <col min="251" max="251" width="4.7109375" style="12" customWidth="1"/>
    <col min="252" max="252" width="7.42578125" style="12" customWidth="1"/>
    <col min="253" max="254" width="23.85546875" style="12" customWidth="1"/>
    <col min="255" max="255" width="10.140625" style="12" customWidth="1"/>
    <col min="256" max="256" width="5.85546875" style="12" customWidth="1"/>
    <col min="257" max="257" width="4.7109375" style="12" customWidth="1"/>
    <col min="258" max="258" width="4.85546875" style="12" customWidth="1"/>
    <col min="259" max="259" width="16.140625" style="12" customWidth="1"/>
    <col min="260" max="260" width="9.7109375" style="12" customWidth="1"/>
    <col min="261" max="261" width="14.5703125" style="12" customWidth="1"/>
    <col min="262" max="262" width="10.7109375" style="12" customWidth="1"/>
    <col min="263" max="263" width="8.85546875" style="12" customWidth="1"/>
    <col min="264" max="264" width="11" style="12" customWidth="1"/>
    <col min="265" max="265" width="5.28515625" style="12" customWidth="1"/>
    <col min="266" max="266" width="10.28515625" style="12" customWidth="1"/>
    <col min="267" max="267" width="10.140625" style="12" customWidth="1"/>
    <col min="268" max="505" width="9.140625" style="12" customWidth="1"/>
    <col min="506" max="506" width="5.140625" style="12" customWidth="1"/>
    <col min="507" max="507" width="4.7109375" style="12" customWidth="1"/>
    <col min="508" max="508" width="7.42578125" style="12" customWidth="1"/>
    <col min="509" max="510" width="23.85546875" style="12" customWidth="1"/>
    <col min="511" max="511" width="10.140625" style="12" customWidth="1"/>
    <col min="512" max="512" width="5.85546875" style="12" customWidth="1"/>
    <col min="513" max="513" width="4.7109375" style="12" customWidth="1"/>
    <col min="514" max="514" width="4.85546875" style="12" customWidth="1"/>
    <col min="515" max="515" width="16.140625" style="12" customWidth="1"/>
    <col min="516" max="516" width="9.7109375" style="12" customWidth="1"/>
    <col min="517" max="517" width="14.5703125" style="12" customWidth="1"/>
    <col min="518" max="518" width="10.7109375" style="12" customWidth="1"/>
    <col min="519" max="519" width="8.85546875" style="12" customWidth="1"/>
    <col min="520" max="520" width="11" style="12" customWidth="1"/>
    <col min="521" max="521" width="5.28515625" style="12" customWidth="1"/>
    <col min="522" max="522" width="10.28515625" style="12" customWidth="1"/>
    <col min="523" max="523" width="10.140625" style="12" customWidth="1"/>
    <col min="524" max="761" width="9.140625" style="12" customWidth="1"/>
    <col min="762" max="762" width="5.140625" style="12" customWidth="1"/>
    <col min="763" max="763" width="4.7109375" style="12" customWidth="1"/>
    <col min="764" max="764" width="7.42578125" style="12" customWidth="1"/>
    <col min="765" max="766" width="23.85546875" style="12" customWidth="1"/>
    <col min="767" max="767" width="10.140625" style="12" customWidth="1"/>
    <col min="768" max="768" width="5.85546875" style="12" customWidth="1"/>
    <col min="769" max="769" width="4.7109375" style="12" customWidth="1"/>
    <col min="770" max="770" width="4.85546875" style="12" customWidth="1"/>
    <col min="771" max="771" width="16.140625" style="12" customWidth="1"/>
    <col min="772" max="772" width="9.7109375" style="12" customWidth="1"/>
    <col min="773" max="773" width="14.5703125" style="12" customWidth="1"/>
    <col min="774" max="774" width="10.7109375" style="12" customWidth="1"/>
    <col min="775" max="775" width="8.85546875" style="12" customWidth="1"/>
    <col min="776" max="776" width="11" style="12" customWidth="1"/>
    <col min="777" max="777" width="5.28515625" style="12" customWidth="1"/>
    <col min="778" max="778" width="10.28515625" style="12" customWidth="1"/>
    <col min="779" max="779" width="10.140625" style="12" customWidth="1"/>
    <col min="780" max="1017" width="9.140625" style="12" customWidth="1"/>
    <col min="1018" max="1018" width="5.140625" style="12" customWidth="1"/>
    <col min="1019" max="1019" width="4.7109375" style="12" customWidth="1"/>
    <col min="1020" max="1020" width="7.42578125" style="12" customWidth="1"/>
    <col min="1021" max="1022" width="23.85546875" style="12" customWidth="1"/>
    <col min="1023" max="1023" width="10.140625" style="12" customWidth="1"/>
    <col min="1024" max="1024" width="5.85546875" style="12" customWidth="1"/>
    <col min="1025" max="1025" width="4.7109375" style="12" customWidth="1"/>
    <col min="1026" max="1026" width="4.85546875" style="12" customWidth="1"/>
    <col min="1027" max="1027" width="16.140625" style="12" customWidth="1"/>
    <col min="1028" max="1028" width="9.7109375" style="12" customWidth="1"/>
    <col min="1029" max="1029" width="14.5703125" style="12" customWidth="1"/>
    <col min="1030" max="1030" width="10.7109375" style="12" customWidth="1"/>
    <col min="1031" max="1031" width="8.85546875" style="12" customWidth="1"/>
    <col min="1032" max="1032" width="11" style="12" customWidth="1"/>
    <col min="1033" max="1033" width="5.28515625" style="12" customWidth="1"/>
    <col min="1034" max="1034" width="10.28515625" style="12" customWidth="1"/>
    <col min="1035" max="1035" width="10.140625" style="12" customWidth="1"/>
    <col min="1036" max="1273" width="9.140625" style="12" customWidth="1"/>
    <col min="1274" max="1274" width="5.140625" style="12" customWidth="1"/>
    <col min="1275" max="1275" width="4.7109375" style="12" customWidth="1"/>
    <col min="1276" max="1276" width="7.42578125" style="12" customWidth="1"/>
    <col min="1277" max="1278" width="23.85546875" style="12" customWidth="1"/>
    <col min="1279" max="1279" width="10.140625" style="12" customWidth="1"/>
    <col min="1280" max="1280" width="5.85546875" style="12" customWidth="1"/>
    <col min="1281" max="1281" width="4.7109375" style="12" customWidth="1"/>
    <col min="1282" max="1282" width="4.85546875" style="12" customWidth="1"/>
    <col min="1283" max="1283" width="16.140625" style="12" customWidth="1"/>
    <col min="1284" max="1284" width="9.7109375" style="12" customWidth="1"/>
    <col min="1285" max="1285" width="14.5703125" style="12" customWidth="1"/>
    <col min="1286" max="1286" width="10.7109375" style="12" customWidth="1"/>
    <col min="1287" max="1287" width="8.85546875" style="12" customWidth="1"/>
    <col min="1288" max="1288" width="11" style="12" customWidth="1"/>
    <col min="1289" max="1289" width="5.28515625" style="12" customWidth="1"/>
    <col min="1290" max="1290" width="10.28515625" style="12" customWidth="1"/>
    <col min="1291" max="1291" width="10.140625" style="12" customWidth="1"/>
    <col min="1292" max="1529" width="9.140625" style="12" customWidth="1"/>
    <col min="1530" max="1530" width="5.140625" style="12" customWidth="1"/>
    <col min="1531" max="1531" width="4.7109375" style="12" customWidth="1"/>
    <col min="1532" max="1532" width="7.42578125" style="12" customWidth="1"/>
    <col min="1533" max="1534" width="23.85546875" style="12" customWidth="1"/>
    <col min="1535" max="1535" width="10.140625" style="12" customWidth="1"/>
    <col min="1536" max="1536" width="5.85546875" style="12" customWidth="1"/>
    <col min="1537" max="1537" width="4.7109375" style="12" customWidth="1"/>
    <col min="1538" max="1538" width="4.85546875" style="12" customWidth="1"/>
    <col min="1539" max="1539" width="16.140625" style="12" customWidth="1"/>
    <col min="1540" max="1540" width="9.7109375" style="12" customWidth="1"/>
    <col min="1541" max="1541" width="14.5703125" style="12" customWidth="1"/>
    <col min="1542" max="1542" width="10.7109375" style="12" customWidth="1"/>
    <col min="1543" max="1543" width="8.85546875" style="12" customWidth="1"/>
    <col min="1544" max="1544" width="11" style="12" customWidth="1"/>
    <col min="1545" max="1545" width="5.28515625" style="12" customWidth="1"/>
    <col min="1546" max="1546" width="10.28515625" style="12" customWidth="1"/>
    <col min="1547" max="1547" width="10.140625" style="12" customWidth="1"/>
    <col min="1548" max="1785" width="9.140625" style="12" customWidth="1"/>
    <col min="1786" max="1786" width="5.140625" style="12" customWidth="1"/>
    <col min="1787" max="1787" width="4.7109375" style="12" customWidth="1"/>
    <col min="1788" max="1788" width="7.42578125" style="12" customWidth="1"/>
    <col min="1789" max="1790" width="23.85546875" style="12" customWidth="1"/>
    <col min="1791" max="1791" width="10.140625" style="12" customWidth="1"/>
    <col min="1792" max="1792" width="5.85546875" style="12" customWidth="1"/>
    <col min="1793" max="1793" width="4.7109375" style="12" customWidth="1"/>
    <col min="1794" max="1794" width="4.85546875" style="12" customWidth="1"/>
    <col min="1795" max="1795" width="16.140625" style="12" customWidth="1"/>
    <col min="1796" max="1796" width="9.7109375" style="12" customWidth="1"/>
    <col min="1797" max="1797" width="14.5703125" style="12" customWidth="1"/>
    <col min="1798" max="1798" width="10.7109375" style="12" customWidth="1"/>
    <col min="1799" max="1799" width="8.85546875" style="12" customWidth="1"/>
    <col min="1800" max="1800" width="11" style="12" customWidth="1"/>
    <col min="1801" max="1801" width="5.28515625" style="12" customWidth="1"/>
    <col min="1802" max="1802" width="10.28515625" style="12" customWidth="1"/>
    <col min="1803" max="1803" width="10.140625" style="12" customWidth="1"/>
    <col min="1804" max="2041" width="9.140625" style="12" customWidth="1"/>
    <col min="2042" max="2042" width="5.140625" style="12" customWidth="1"/>
    <col min="2043" max="2043" width="4.7109375" style="12" customWidth="1"/>
    <col min="2044" max="2044" width="7.42578125" style="12" customWidth="1"/>
    <col min="2045" max="2046" width="23.85546875" style="12" customWidth="1"/>
    <col min="2047" max="2047" width="10.140625" style="12" customWidth="1"/>
    <col min="2048" max="2048" width="5.85546875" style="12" customWidth="1"/>
    <col min="2049" max="2049" width="4.7109375" style="12" customWidth="1"/>
    <col min="2050" max="2050" width="4.85546875" style="12" customWidth="1"/>
    <col min="2051" max="2051" width="16.140625" style="12" customWidth="1"/>
    <col min="2052" max="2052" width="9.7109375" style="12" customWidth="1"/>
    <col min="2053" max="2053" width="14.5703125" style="12" customWidth="1"/>
    <col min="2054" max="2054" width="10.7109375" style="12" customWidth="1"/>
    <col min="2055" max="2055" width="8.85546875" style="12" customWidth="1"/>
    <col min="2056" max="2056" width="11" style="12" customWidth="1"/>
    <col min="2057" max="2057" width="5.28515625" style="12" customWidth="1"/>
    <col min="2058" max="2058" width="10.28515625" style="12" customWidth="1"/>
    <col min="2059" max="2059" width="10.140625" style="12" customWidth="1"/>
    <col min="2060" max="2297" width="9.140625" style="12" customWidth="1"/>
    <col min="2298" max="2298" width="5.140625" style="12" customWidth="1"/>
    <col min="2299" max="2299" width="4.7109375" style="12" customWidth="1"/>
    <col min="2300" max="2300" width="7.42578125" style="12" customWidth="1"/>
    <col min="2301" max="2302" width="23.85546875" style="12" customWidth="1"/>
    <col min="2303" max="2303" width="10.140625" style="12" customWidth="1"/>
    <col min="2304" max="2304" width="5.85546875" style="12" customWidth="1"/>
    <col min="2305" max="2305" width="4.7109375" style="12" customWidth="1"/>
    <col min="2306" max="2306" width="4.85546875" style="12" customWidth="1"/>
    <col min="2307" max="2307" width="16.140625" style="12" customWidth="1"/>
    <col min="2308" max="2308" width="9.7109375" style="12" customWidth="1"/>
    <col min="2309" max="2309" width="14.5703125" style="12" customWidth="1"/>
    <col min="2310" max="2310" width="10.7109375" style="12" customWidth="1"/>
    <col min="2311" max="2311" width="8.85546875" style="12" customWidth="1"/>
    <col min="2312" max="2312" width="11" style="12" customWidth="1"/>
    <col min="2313" max="2313" width="5.28515625" style="12" customWidth="1"/>
    <col min="2314" max="2314" width="10.28515625" style="12" customWidth="1"/>
    <col min="2315" max="2315" width="10.140625" style="12" customWidth="1"/>
    <col min="2316" max="2553" width="9.140625" style="12" customWidth="1"/>
    <col min="2554" max="2554" width="5.140625" style="12" customWidth="1"/>
    <col min="2555" max="2555" width="4.7109375" style="12" customWidth="1"/>
    <col min="2556" max="2556" width="7.42578125" style="12" customWidth="1"/>
    <col min="2557" max="2558" width="23.85546875" style="12" customWidth="1"/>
    <col min="2559" max="2559" width="10.140625" style="12" customWidth="1"/>
    <col min="2560" max="2560" width="5.85546875" style="12" customWidth="1"/>
    <col min="2561" max="2561" width="4.7109375" style="12" customWidth="1"/>
    <col min="2562" max="2562" width="4.85546875" style="12" customWidth="1"/>
    <col min="2563" max="2563" width="16.140625" style="12" customWidth="1"/>
    <col min="2564" max="2564" width="9.7109375" style="12" customWidth="1"/>
    <col min="2565" max="2565" width="14.5703125" style="12" customWidth="1"/>
    <col min="2566" max="2566" width="10.7109375" style="12" customWidth="1"/>
    <col min="2567" max="2567" width="8.85546875" style="12" customWidth="1"/>
    <col min="2568" max="2568" width="11" style="12" customWidth="1"/>
    <col min="2569" max="2569" width="5.28515625" style="12" customWidth="1"/>
    <col min="2570" max="2570" width="10.28515625" style="12" customWidth="1"/>
    <col min="2571" max="2571" width="10.140625" style="12" customWidth="1"/>
    <col min="2572" max="2809" width="9.140625" style="12" customWidth="1"/>
    <col min="2810" max="2810" width="5.140625" style="12" customWidth="1"/>
    <col min="2811" max="2811" width="4.7109375" style="12" customWidth="1"/>
    <col min="2812" max="2812" width="7.42578125" style="12" customWidth="1"/>
    <col min="2813" max="2814" width="23.85546875" style="12" customWidth="1"/>
    <col min="2815" max="2815" width="10.140625" style="12" customWidth="1"/>
    <col min="2816" max="2816" width="5.85546875" style="12" customWidth="1"/>
    <col min="2817" max="2817" width="4.7109375" style="12" customWidth="1"/>
    <col min="2818" max="2818" width="4.85546875" style="12" customWidth="1"/>
    <col min="2819" max="2819" width="16.140625" style="12" customWidth="1"/>
    <col min="2820" max="2820" width="9.7109375" style="12" customWidth="1"/>
    <col min="2821" max="2821" width="14.5703125" style="12" customWidth="1"/>
    <col min="2822" max="2822" width="10.7109375" style="12" customWidth="1"/>
    <col min="2823" max="2823" width="8.85546875" style="12" customWidth="1"/>
    <col min="2824" max="2824" width="11" style="12" customWidth="1"/>
    <col min="2825" max="2825" width="5.28515625" style="12" customWidth="1"/>
    <col min="2826" max="2826" width="10.28515625" style="12" customWidth="1"/>
    <col min="2827" max="2827" width="10.140625" style="12" customWidth="1"/>
    <col min="2828" max="3065" width="9.140625" style="12" customWidth="1"/>
    <col min="3066" max="3066" width="5.140625" style="12" customWidth="1"/>
    <col min="3067" max="3067" width="4.7109375" style="12" customWidth="1"/>
    <col min="3068" max="3068" width="7.42578125" style="12" customWidth="1"/>
    <col min="3069" max="3070" width="23.85546875" style="12" customWidth="1"/>
    <col min="3071" max="3071" width="10.140625" style="12" customWidth="1"/>
    <col min="3072" max="3072" width="5.85546875" style="12" customWidth="1"/>
    <col min="3073" max="3073" width="4.7109375" style="12" customWidth="1"/>
    <col min="3074" max="3074" width="4.85546875" style="12" customWidth="1"/>
    <col min="3075" max="3075" width="16.140625" style="12" customWidth="1"/>
    <col min="3076" max="3076" width="9.7109375" style="12" customWidth="1"/>
    <col min="3077" max="3077" width="14.5703125" style="12" customWidth="1"/>
    <col min="3078" max="3078" width="10.7109375" style="12" customWidth="1"/>
    <col min="3079" max="3079" width="8.85546875" style="12" customWidth="1"/>
    <col min="3080" max="3080" width="11" style="12" customWidth="1"/>
    <col min="3081" max="3081" width="5.28515625" style="12" customWidth="1"/>
    <col min="3082" max="3082" width="10.28515625" style="12" customWidth="1"/>
    <col min="3083" max="3083" width="10.140625" style="12" customWidth="1"/>
    <col min="3084" max="3321" width="9.140625" style="12" customWidth="1"/>
    <col min="3322" max="3322" width="5.140625" style="12" customWidth="1"/>
    <col min="3323" max="3323" width="4.7109375" style="12" customWidth="1"/>
    <col min="3324" max="3324" width="7.42578125" style="12" customWidth="1"/>
    <col min="3325" max="3326" width="23.85546875" style="12" customWidth="1"/>
    <col min="3327" max="3327" width="10.140625" style="12" customWidth="1"/>
    <col min="3328" max="3328" width="5.85546875" style="12" customWidth="1"/>
    <col min="3329" max="3329" width="4.7109375" style="12" customWidth="1"/>
    <col min="3330" max="3330" width="4.85546875" style="12" customWidth="1"/>
    <col min="3331" max="3331" width="16.140625" style="12" customWidth="1"/>
    <col min="3332" max="3332" width="9.7109375" style="12" customWidth="1"/>
    <col min="3333" max="3333" width="14.5703125" style="12" customWidth="1"/>
    <col min="3334" max="3334" width="10.7109375" style="12" customWidth="1"/>
    <col min="3335" max="3335" width="8.85546875" style="12" customWidth="1"/>
    <col min="3336" max="3336" width="11" style="12" customWidth="1"/>
    <col min="3337" max="3337" width="5.28515625" style="12" customWidth="1"/>
    <col min="3338" max="3338" width="10.28515625" style="12" customWidth="1"/>
    <col min="3339" max="3339" width="10.140625" style="12" customWidth="1"/>
    <col min="3340" max="3577" width="9.140625" style="12" customWidth="1"/>
    <col min="3578" max="3578" width="5.140625" style="12" customWidth="1"/>
    <col min="3579" max="3579" width="4.7109375" style="12" customWidth="1"/>
    <col min="3580" max="3580" width="7.42578125" style="12" customWidth="1"/>
    <col min="3581" max="3582" width="23.85546875" style="12" customWidth="1"/>
    <col min="3583" max="3583" width="10.140625" style="12" customWidth="1"/>
    <col min="3584" max="3584" width="5.85546875" style="12" customWidth="1"/>
    <col min="3585" max="3585" width="4.7109375" style="12" customWidth="1"/>
    <col min="3586" max="3586" width="4.85546875" style="12" customWidth="1"/>
    <col min="3587" max="3587" width="16.140625" style="12" customWidth="1"/>
    <col min="3588" max="3588" width="9.7109375" style="12" customWidth="1"/>
    <col min="3589" max="3589" width="14.5703125" style="12" customWidth="1"/>
    <col min="3590" max="3590" width="10.7109375" style="12" customWidth="1"/>
    <col min="3591" max="3591" width="8.85546875" style="12" customWidth="1"/>
    <col min="3592" max="3592" width="11" style="12" customWidth="1"/>
    <col min="3593" max="3593" width="5.28515625" style="12" customWidth="1"/>
    <col min="3594" max="3594" width="10.28515625" style="12" customWidth="1"/>
    <col min="3595" max="3595" width="10.140625" style="12" customWidth="1"/>
    <col min="3596" max="3833" width="9.140625" style="12" customWidth="1"/>
    <col min="3834" max="3834" width="5.140625" style="12" customWidth="1"/>
    <col min="3835" max="3835" width="4.7109375" style="12" customWidth="1"/>
    <col min="3836" max="3836" width="7.42578125" style="12" customWidth="1"/>
    <col min="3837" max="3838" width="23.85546875" style="12" customWidth="1"/>
    <col min="3839" max="3839" width="10.140625" style="12" customWidth="1"/>
    <col min="3840" max="3840" width="5.85546875" style="12" customWidth="1"/>
    <col min="3841" max="3841" width="4.7109375" style="12" customWidth="1"/>
    <col min="3842" max="3842" width="4.85546875" style="12" customWidth="1"/>
    <col min="3843" max="3843" width="16.140625" style="12" customWidth="1"/>
    <col min="3844" max="3844" width="9.7109375" style="12" customWidth="1"/>
    <col min="3845" max="3845" width="14.5703125" style="12" customWidth="1"/>
    <col min="3846" max="3846" width="10.7109375" style="12" customWidth="1"/>
    <col min="3847" max="3847" width="8.85546875" style="12" customWidth="1"/>
    <col min="3848" max="3848" width="11" style="12" customWidth="1"/>
    <col min="3849" max="3849" width="5.28515625" style="12" customWidth="1"/>
    <col min="3850" max="3850" width="10.28515625" style="12" customWidth="1"/>
    <col min="3851" max="3851" width="10.140625" style="12" customWidth="1"/>
    <col min="3852" max="4089" width="9.140625" style="12" customWidth="1"/>
    <col min="4090" max="4090" width="5.140625" style="12" customWidth="1"/>
    <col min="4091" max="4091" width="4.7109375" style="12" customWidth="1"/>
    <col min="4092" max="4092" width="7.42578125" style="12" customWidth="1"/>
    <col min="4093" max="4094" width="23.85546875" style="12" customWidth="1"/>
    <col min="4095" max="4095" width="10.140625" style="12" customWidth="1"/>
    <col min="4096" max="4096" width="5.85546875" style="12" customWidth="1"/>
    <col min="4097" max="4097" width="4.7109375" style="12" customWidth="1"/>
    <col min="4098" max="4098" width="4.85546875" style="12" customWidth="1"/>
    <col min="4099" max="4099" width="16.140625" style="12" customWidth="1"/>
    <col min="4100" max="4100" width="9.7109375" style="12" customWidth="1"/>
    <col min="4101" max="4101" width="14.5703125" style="12" customWidth="1"/>
    <col min="4102" max="4102" width="10.7109375" style="12" customWidth="1"/>
    <col min="4103" max="4103" width="8.85546875" style="12" customWidth="1"/>
    <col min="4104" max="4104" width="11" style="12" customWidth="1"/>
    <col min="4105" max="4105" width="5.28515625" style="12" customWidth="1"/>
    <col min="4106" max="4106" width="10.28515625" style="12" customWidth="1"/>
    <col min="4107" max="4107" width="10.140625" style="12" customWidth="1"/>
    <col min="4108" max="4345" width="9.140625" style="12" customWidth="1"/>
    <col min="4346" max="4346" width="5.140625" style="12" customWidth="1"/>
    <col min="4347" max="4347" width="4.7109375" style="12" customWidth="1"/>
    <col min="4348" max="4348" width="7.42578125" style="12" customWidth="1"/>
    <col min="4349" max="4350" width="23.85546875" style="12" customWidth="1"/>
    <col min="4351" max="4351" width="10.140625" style="12" customWidth="1"/>
    <col min="4352" max="4352" width="5.85546875" style="12" customWidth="1"/>
    <col min="4353" max="4353" width="4.7109375" style="12" customWidth="1"/>
    <col min="4354" max="4354" width="4.85546875" style="12" customWidth="1"/>
    <col min="4355" max="4355" width="16.140625" style="12" customWidth="1"/>
    <col min="4356" max="4356" width="9.7109375" style="12" customWidth="1"/>
    <col min="4357" max="4357" width="14.5703125" style="12" customWidth="1"/>
    <col min="4358" max="4358" width="10.7109375" style="12" customWidth="1"/>
    <col min="4359" max="4359" width="8.85546875" style="12" customWidth="1"/>
    <col min="4360" max="4360" width="11" style="12" customWidth="1"/>
    <col min="4361" max="4361" width="5.28515625" style="12" customWidth="1"/>
    <col min="4362" max="4362" width="10.28515625" style="12" customWidth="1"/>
    <col min="4363" max="4363" width="10.140625" style="12" customWidth="1"/>
    <col min="4364" max="4601" width="9.140625" style="12" customWidth="1"/>
    <col min="4602" max="4602" width="5.140625" style="12" customWidth="1"/>
    <col min="4603" max="4603" width="4.7109375" style="12" customWidth="1"/>
    <col min="4604" max="4604" width="7.42578125" style="12" customWidth="1"/>
    <col min="4605" max="4606" width="23.85546875" style="12" customWidth="1"/>
    <col min="4607" max="4607" width="10.140625" style="12" customWidth="1"/>
    <col min="4608" max="4608" width="5.85546875" style="12" customWidth="1"/>
    <col min="4609" max="4609" width="4.7109375" style="12" customWidth="1"/>
    <col min="4610" max="4610" width="4.85546875" style="12" customWidth="1"/>
    <col min="4611" max="4611" width="16.140625" style="12" customWidth="1"/>
    <col min="4612" max="4612" width="9.7109375" style="12" customWidth="1"/>
    <col min="4613" max="4613" width="14.5703125" style="12" customWidth="1"/>
    <col min="4614" max="4614" width="10.7109375" style="12" customWidth="1"/>
    <col min="4615" max="4615" width="8.85546875" style="12" customWidth="1"/>
    <col min="4616" max="4616" width="11" style="12" customWidth="1"/>
    <col min="4617" max="4617" width="5.28515625" style="12" customWidth="1"/>
    <col min="4618" max="4618" width="10.28515625" style="12" customWidth="1"/>
    <col min="4619" max="4619" width="10.140625" style="12" customWidth="1"/>
    <col min="4620" max="4857" width="9.140625" style="12" customWidth="1"/>
    <col min="4858" max="4858" width="5.140625" style="12" customWidth="1"/>
    <col min="4859" max="4859" width="4.7109375" style="12" customWidth="1"/>
    <col min="4860" max="4860" width="7.42578125" style="12" customWidth="1"/>
    <col min="4861" max="4862" width="23.85546875" style="12" customWidth="1"/>
    <col min="4863" max="4863" width="10.140625" style="12" customWidth="1"/>
    <col min="4864" max="4864" width="5.85546875" style="12" customWidth="1"/>
    <col min="4865" max="4865" width="4.7109375" style="12" customWidth="1"/>
    <col min="4866" max="4866" width="4.85546875" style="12" customWidth="1"/>
    <col min="4867" max="4867" width="16.140625" style="12" customWidth="1"/>
    <col min="4868" max="4868" width="9.7109375" style="12" customWidth="1"/>
    <col min="4869" max="4869" width="14.5703125" style="12" customWidth="1"/>
    <col min="4870" max="4870" width="10.7109375" style="12" customWidth="1"/>
    <col min="4871" max="4871" width="8.85546875" style="12" customWidth="1"/>
    <col min="4872" max="4872" width="11" style="12" customWidth="1"/>
    <col min="4873" max="4873" width="5.28515625" style="12" customWidth="1"/>
    <col min="4874" max="4874" width="10.28515625" style="12" customWidth="1"/>
    <col min="4875" max="4875" width="10.140625" style="12" customWidth="1"/>
    <col min="4876" max="5113" width="9.140625" style="12" customWidth="1"/>
    <col min="5114" max="5114" width="5.140625" style="12" customWidth="1"/>
    <col min="5115" max="5115" width="4.7109375" style="12" customWidth="1"/>
    <col min="5116" max="5116" width="7.42578125" style="12" customWidth="1"/>
    <col min="5117" max="5118" width="23.85546875" style="12" customWidth="1"/>
    <col min="5119" max="5119" width="10.140625" style="12" customWidth="1"/>
    <col min="5120" max="5120" width="5.85546875" style="12" customWidth="1"/>
    <col min="5121" max="5121" width="4.7109375" style="12" customWidth="1"/>
    <col min="5122" max="5122" width="4.85546875" style="12" customWidth="1"/>
    <col min="5123" max="5123" width="16.140625" style="12" customWidth="1"/>
    <col min="5124" max="5124" width="9.7109375" style="12" customWidth="1"/>
    <col min="5125" max="5125" width="14.5703125" style="12" customWidth="1"/>
    <col min="5126" max="5126" width="10.7109375" style="12" customWidth="1"/>
    <col min="5127" max="5127" width="8.85546875" style="12" customWidth="1"/>
    <col min="5128" max="5128" width="11" style="12" customWidth="1"/>
    <col min="5129" max="5129" width="5.28515625" style="12" customWidth="1"/>
    <col min="5130" max="5130" width="10.28515625" style="12" customWidth="1"/>
    <col min="5131" max="5131" width="10.140625" style="12" customWidth="1"/>
    <col min="5132" max="5369" width="9.140625" style="12" customWidth="1"/>
    <col min="5370" max="5370" width="5.140625" style="12" customWidth="1"/>
    <col min="5371" max="5371" width="4.7109375" style="12" customWidth="1"/>
    <col min="5372" max="5372" width="7.42578125" style="12" customWidth="1"/>
    <col min="5373" max="5374" width="23.85546875" style="12" customWidth="1"/>
    <col min="5375" max="5375" width="10.140625" style="12" customWidth="1"/>
    <col min="5376" max="5376" width="5.85546875" style="12" customWidth="1"/>
    <col min="5377" max="5377" width="4.7109375" style="12" customWidth="1"/>
    <col min="5378" max="5378" width="4.85546875" style="12" customWidth="1"/>
    <col min="5379" max="5379" width="16.140625" style="12" customWidth="1"/>
    <col min="5380" max="5380" width="9.7109375" style="12" customWidth="1"/>
    <col min="5381" max="5381" width="14.5703125" style="12" customWidth="1"/>
    <col min="5382" max="5382" width="10.7109375" style="12" customWidth="1"/>
    <col min="5383" max="5383" width="8.85546875" style="12" customWidth="1"/>
    <col min="5384" max="5384" width="11" style="12" customWidth="1"/>
    <col min="5385" max="5385" width="5.28515625" style="12" customWidth="1"/>
    <col min="5386" max="5386" width="10.28515625" style="12" customWidth="1"/>
    <col min="5387" max="5387" width="10.140625" style="12" customWidth="1"/>
    <col min="5388" max="5625" width="9.140625" style="12" customWidth="1"/>
    <col min="5626" max="5626" width="5.140625" style="12" customWidth="1"/>
    <col min="5627" max="5627" width="4.7109375" style="12" customWidth="1"/>
    <col min="5628" max="5628" width="7.42578125" style="12" customWidth="1"/>
    <col min="5629" max="5630" width="23.85546875" style="12" customWidth="1"/>
    <col min="5631" max="5631" width="10.140625" style="12" customWidth="1"/>
    <col min="5632" max="5632" width="5.85546875" style="12" customWidth="1"/>
    <col min="5633" max="5633" width="4.7109375" style="12" customWidth="1"/>
    <col min="5634" max="5634" width="4.85546875" style="12" customWidth="1"/>
    <col min="5635" max="5635" width="16.140625" style="12" customWidth="1"/>
    <col min="5636" max="5636" width="9.7109375" style="12" customWidth="1"/>
    <col min="5637" max="5637" width="14.5703125" style="12" customWidth="1"/>
    <col min="5638" max="5638" width="10.7109375" style="12" customWidth="1"/>
    <col min="5639" max="5639" width="8.85546875" style="12" customWidth="1"/>
    <col min="5640" max="5640" width="11" style="12" customWidth="1"/>
    <col min="5641" max="5641" width="5.28515625" style="12" customWidth="1"/>
    <col min="5642" max="5642" width="10.28515625" style="12" customWidth="1"/>
    <col min="5643" max="5643" width="10.140625" style="12" customWidth="1"/>
    <col min="5644" max="5881" width="9.140625" style="12" customWidth="1"/>
    <col min="5882" max="5882" width="5.140625" style="12" customWidth="1"/>
    <col min="5883" max="5883" width="4.7109375" style="12" customWidth="1"/>
    <col min="5884" max="5884" width="7.42578125" style="12" customWidth="1"/>
    <col min="5885" max="5886" width="23.85546875" style="12" customWidth="1"/>
    <col min="5887" max="5887" width="10.140625" style="12" customWidth="1"/>
    <col min="5888" max="5888" width="5.85546875" style="12" customWidth="1"/>
    <col min="5889" max="5889" width="4.7109375" style="12" customWidth="1"/>
    <col min="5890" max="5890" width="4.85546875" style="12" customWidth="1"/>
    <col min="5891" max="5891" width="16.140625" style="12" customWidth="1"/>
    <col min="5892" max="5892" width="9.7109375" style="12" customWidth="1"/>
    <col min="5893" max="5893" width="14.5703125" style="12" customWidth="1"/>
    <col min="5894" max="5894" width="10.7109375" style="12" customWidth="1"/>
    <col min="5895" max="5895" width="8.85546875" style="12" customWidth="1"/>
    <col min="5896" max="5896" width="11" style="12" customWidth="1"/>
    <col min="5897" max="5897" width="5.28515625" style="12" customWidth="1"/>
    <col min="5898" max="5898" width="10.28515625" style="12" customWidth="1"/>
    <col min="5899" max="5899" width="10.140625" style="12" customWidth="1"/>
    <col min="5900" max="6137" width="9.140625" style="12" customWidth="1"/>
    <col min="6138" max="6138" width="5.140625" style="12" customWidth="1"/>
    <col min="6139" max="6139" width="4.7109375" style="12" customWidth="1"/>
    <col min="6140" max="6140" width="7.42578125" style="12" customWidth="1"/>
    <col min="6141" max="6142" width="23.85546875" style="12" customWidth="1"/>
    <col min="6143" max="6143" width="10.140625" style="12" customWidth="1"/>
    <col min="6144" max="6144" width="5.85546875" style="12" customWidth="1"/>
    <col min="6145" max="6145" width="4.7109375" style="12" customWidth="1"/>
    <col min="6146" max="6146" width="4.85546875" style="12" customWidth="1"/>
    <col min="6147" max="6147" width="16.140625" style="12" customWidth="1"/>
    <col min="6148" max="6148" width="9.7109375" style="12" customWidth="1"/>
    <col min="6149" max="6149" width="14.5703125" style="12" customWidth="1"/>
    <col min="6150" max="6150" width="10.7109375" style="12" customWidth="1"/>
    <col min="6151" max="6151" width="8.85546875" style="12" customWidth="1"/>
    <col min="6152" max="6152" width="11" style="12" customWidth="1"/>
    <col min="6153" max="6153" width="5.28515625" style="12" customWidth="1"/>
    <col min="6154" max="6154" width="10.28515625" style="12" customWidth="1"/>
    <col min="6155" max="6155" width="10.140625" style="12" customWidth="1"/>
    <col min="6156" max="6393" width="9.140625" style="12" customWidth="1"/>
    <col min="6394" max="6394" width="5.140625" style="12" customWidth="1"/>
    <col min="6395" max="6395" width="4.7109375" style="12" customWidth="1"/>
    <col min="6396" max="6396" width="7.42578125" style="12" customWidth="1"/>
    <col min="6397" max="6398" width="23.85546875" style="12" customWidth="1"/>
    <col min="6399" max="6399" width="10.140625" style="12" customWidth="1"/>
    <col min="6400" max="6400" width="5.85546875" style="12" customWidth="1"/>
    <col min="6401" max="6401" width="4.7109375" style="12" customWidth="1"/>
    <col min="6402" max="6402" width="4.85546875" style="12" customWidth="1"/>
    <col min="6403" max="6403" width="16.140625" style="12" customWidth="1"/>
    <col min="6404" max="6404" width="9.7109375" style="12" customWidth="1"/>
    <col min="6405" max="6405" width="14.5703125" style="12" customWidth="1"/>
    <col min="6406" max="6406" width="10.7109375" style="12" customWidth="1"/>
    <col min="6407" max="6407" width="8.85546875" style="12" customWidth="1"/>
    <col min="6408" max="6408" width="11" style="12" customWidth="1"/>
    <col min="6409" max="6409" width="5.28515625" style="12" customWidth="1"/>
    <col min="6410" max="6410" width="10.28515625" style="12" customWidth="1"/>
    <col min="6411" max="6411" width="10.140625" style="12" customWidth="1"/>
    <col min="6412" max="6649" width="9.140625" style="12" customWidth="1"/>
    <col min="6650" max="6650" width="5.140625" style="12" customWidth="1"/>
    <col min="6651" max="6651" width="4.7109375" style="12" customWidth="1"/>
    <col min="6652" max="6652" width="7.42578125" style="12" customWidth="1"/>
    <col min="6653" max="6654" width="23.85546875" style="12" customWidth="1"/>
    <col min="6655" max="6655" width="10.140625" style="12" customWidth="1"/>
    <col min="6656" max="6656" width="5.85546875" style="12" customWidth="1"/>
    <col min="6657" max="6657" width="4.7109375" style="12" customWidth="1"/>
    <col min="6658" max="6658" width="4.85546875" style="12" customWidth="1"/>
    <col min="6659" max="6659" width="16.140625" style="12" customWidth="1"/>
    <col min="6660" max="6660" width="9.7109375" style="12" customWidth="1"/>
    <col min="6661" max="6661" width="14.5703125" style="12" customWidth="1"/>
    <col min="6662" max="6662" width="10.7109375" style="12" customWidth="1"/>
    <col min="6663" max="6663" width="8.85546875" style="12" customWidth="1"/>
    <col min="6664" max="6664" width="11" style="12" customWidth="1"/>
    <col min="6665" max="6665" width="5.28515625" style="12" customWidth="1"/>
    <col min="6666" max="6666" width="10.28515625" style="12" customWidth="1"/>
    <col min="6667" max="6667" width="10.140625" style="12" customWidth="1"/>
    <col min="6668" max="6905" width="9.140625" style="12" customWidth="1"/>
    <col min="6906" max="6906" width="5.140625" style="12" customWidth="1"/>
    <col min="6907" max="6907" width="4.7109375" style="12" customWidth="1"/>
    <col min="6908" max="6908" width="7.42578125" style="12" customWidth="1"/>
    <col min="6909" max="6910" width="23.85546875" style="12" customWidth="1"/>
    <col min="6911" max="6911" width="10.140625" style="12" customWidth="1"/>
    <col min="6912" max="6912" width="5.85546875" style="12" customWidth="1"/>
    <col min="6913" max="6913" width="4.7109375" style="12" customWidth="1"/>
    <col min="6914" max="6914" width="4.85546875" style="12" customWidth="1"/>
    <col min="6915" max="6915" width="16.140625" style="12" customWidth="1"/>
    <col min="6916" max="6916" width="9.7109375" style="12" customWidth="1"/>
    <col min="6917" max="6917" width="14.5703125" style="12" customWidth="1"/>
    <col min="6918" max="6918" width="10.7109375" style="12" customWidth="1"/>
    <col min="6919" max="6919" width="8.85546875" style="12" customWidth="1"/>
    <col min="6920" max="6920" width="11" style="12" customWidth="1"/>
    <col min="6921" max="6921" width="5.28515625" style="12" customWidth="1"/>
    <col min="6922" max="6922" width="10.28515625" style="12" customWidth="1"/>
    <col min="6923" max="6923" width="10.140625" style="12" customWidth="1"/>
    <col min="6924" max="7161" width="9.140625" style="12" customWidth="1"/>
    <col min="7162" max="7162" width="5.140625" style="12" customWidth="1"/>
    <col min="7163" max="7163" width="4.7109375" style="12" customWidth="1"/>
    <col min="7164" max="7164" width="7.42578125" style="12" customWidth="1"/>
    <col min="7165" max="7166" width="23.85546875" style="12" customWidth="1"/>
    <col min="7167" max="7167" width="10.140625" style="12" customWidth="1"/>
    <col min="7168" max="7168" width="5.85546875" style="12" customWidth="1"/>
    <col min="7169" max="7169" width="4.7109375" style="12" customWidth="1"/>
    <col min="7170" max="7170" width="4.85546875" style="12" customWidth="1"/>
    <col min="7171" max="7171" width="16.140625" style="12" customWidth="1"/>
    <col min="7172" max="7172" width="9.7109375" style="12" customWidth="1"/>
    <col min="7173" max="7173" width="14.5703125" style="12" customWidth="1"/>
    <col min="7174" max="7174" width="10.7109375" style="12" customWidth="1"/>
    <col min="7175" max="7175" width="8.85546875" style="12" customWidth="1"/>
    <col min="7176" max="7176" width="11" style="12" customWidth="1"/>
    <col min="7177" max="7177" width="5.28515625" style="12" customWidth="1"/>
    <col min="7178" max="7178" width="10.28515625" style="12" customWidth="1"/>
    <col min="7179" max="7179" width="10.140625" style="12" customWidth="1"/>
    <col min="7180" max="7417" width="9.140625" style="12" customWidth="1"/>
    <col min="7418" max="7418" width="5.140625" style="12" customWidth="1"/>
    <col min="7419" max="7419" width="4.7109375" style="12" customWidth="1"/>
    <col min="7420" max="7420" width="7.42578125" style="12" customWidth="1"/>
    <col min="7421" max="7422" width="23.85546875" style="12" customWidth="1"/>
    <col min="7423" max="7423" width="10.140625" style="12" customWidth="1"/>
    <col min="7424" max="7424" width="5.85546875" style="12" customWidth="1"/>
    <col min="7425" max="7425" width="4.7109375" style="12" customWidth="1"/>
    <col min="7426" max="7426" width="4.85546875" style="12" customWidth="1"/>
    <col min="7427" max="7427" width="16.140625" style="12" customWidth="1"/>
    <col min="7428" max="7428" width="9.7109375" style="12" customWidth="1"/>
    <col min="7429" max="7429" width="14.5703125" style="12" customWidth="1"/>
    <col min="7430" max="7430" width="10.7109375" style="12" customWidth="1"/>
    <col min="7431" max="7431" width="8.85546875" style="12" customWidth="1"/>
    <col min="7432" max="7432" width="11" style="12" customWidth="1"/>
    <col min="7433" max="7433" width="5.28515625" style="12" customWidth="1"/>
    <col min="7434" max="7434" width="10.28515625" style="12" customWidth="1"/>
    <col min="7435" max="7435" width="10.140625" style="12" customWidth="1"/>
    <col min="7436" max="7673" width="9.140625" style="12" customWidth="1"/>
    <col min="7674" max="7674" width="5.140625" style="12" customWidth="1"/>
    <col min="7675" max="7675" width="4.7109375" style="12" customWidth="1"/>
    <col min="7676" max="7676" width="7.42578125" style="12" customWidth="1"/>
    <col min="7677" max="7678" width="23.85546875" style="12" customWidth="1"/>
    <col min="7679" max="7679" width="10.140625" style="12" customWidth="1"/>
    <col min="7680" max="7680" width="5.85546875" style="12" customWidth="1"/>
    <col min="7681" max="7681" width="4.7109375" style="12" customWidth="1"/>
    <col min="7682" max="7682" width="4.85546875" style="12" customWidth="1"/>
    <col min="7683" max="7683" width="16.140625" style="12" customWidth="1"/>
    <col min="7684" max="7684" width="9.7109375" style="12" customWidth="1"/>
    <col min="7685" max="7685" width="14.5703125" style="12" customWidth="1"/>
    <col min="7686" max="7686" width="10.7109375" style="12" customWidth="1"/>
    <col min="7687" max="7687" width="8.85546875" style="12" customWidth="1"/>
    <col min="7688" max="7688" width="11" style="12" customWidth="1"/>
    <col min="7689" max="7689" width="5.28515625" style="12" customWidth="1"/>
    <col min="7690" max="7690" width="10.28515625" style="12" customWidth="1"/>
    <col min="7691" max="7691" width="10.140625" style="12" customWidth="1"/>
    <col min="7692" max="7929" width="9.140625" style="12" customWidth="1"/>
    <col min="7930" max="7930" width="5.140625" style="12" customWidth="1"/>
    <col min="7931" max="7931" width="4.7109375" style="12" customWidth="1"/>
    <col min="7932" max="7932" width="7.42578125" style="12" customWidth="1"/>
    <col min="7933" max="7934" width="23.85546875" style="12" customWidth="1"/>
    <col min="7935" max="7935" width="10.140625" style="12" customWidth="1"/>
    <col min="7936" max="7936" width="5.85546875" style="12" customWidth="1"/>
    <col min="7937" max="7937" width="4.7109375" style="12" customWidth="1"/>
    <col min="7938" max="7938" width="4.85546875" style="12" customWidth="1"/>
    <col min="7939" max="7939" width="16.140625" style="12" customWidth="1"/>
    <col min="7940" max="7940" width="9.7109375" style="12" customWidth="1"/>
    <col min="7941" max="7941" width="14.5703125" style="12" customWidth="1"/>
    <col min="7942" max="7942" width="10.7109375" style="12" customWidth="1"/>
    <col min="7943" max="7943" width="8.85546875" style="12" customWidth="1"/>
    <col min="7944" max="7944" width="11" style="12" customWidth="1"/>
    <col min="7945" max="7945" width="5.28515625" style="12" customWidth="1"/>
    <col min="7946" max="7946" width="10.28515625" style="12" customWidth="1"/>
    <col min="7947" max="7947" width="10.140625" style="12" customWidth="1"/>
    <col min="7948" max="8185" width="9.140625" style="12" customWidth="1"/>
    <col min="8186" max="8186" width="5.140625" style="12" customWidth="1"/>
    <col min="8187" max="8187" width="4.7109375" style="12" customWidth="1"/>
    <col min="8188" max="8188" width="7.42578125" style="12" customWidth="1"/>
    <col min="8189" max="8190" width="23.85546875" style="12" customWidth="1"/>
    <col min="8191" max="8191" width="10.140625" style="12" customWidth="1"/>
    <col min="8192" max="8192" width="5.85546875" style="12" customWidth="1"/>
    <col min="8193" max="8193" width="4.7109375" style="12" customWidth="1"/>
    <col min="8194" max="8194" width="4.85546875" style="12" customWidth="1"/>
    <col min="8195" max="8195" width="16.140625" style="12" customWidth="1"/>
    <col min="8196" max="8196" width="9.7109375" style="12" customWidth="1"/>
    <col min="8197" max="8197" width="14.5703125" style="12" customWidth="1"/>
    <col min="8198" max="8198" width="10.7109375" style="12" customWidth="1"/>
    <col min="8199" max="8199" width="8.85546875" style="12" customWidth="1"/>
    <col min="8200" max="8200" width="11" style="12" customWidth="1"/>
    <col min="8201" max="8201" width="5.28515625" style="12" customWidth="1"/>
    <col min="8202" max="8202" width="10.28515625" style="12" customWidth="1"/>
    <col min="8203" max="8203" width="10.140625" style="12" customWidth="1"/>
    <col min="8204" max="8441" width="9.140625" style="12" customWidth="1"/>
    <col min="8442" max="8442" width="5.140625" style="12" customWidth="1"/>
    <col min="8443" max="8443" width="4.7109375" style="12" customWidth="1"/>
    <col min="8444" max="8444" width="7.42578125" style="12" customWidth="1"/>
    <col min="8445" max="8446" width="23.85546875" style="12" customWidth="1"/>
    <col min="8447" max="8447" width="10.140625" style="12" customWidth="1"/>
    <col min="8448" max="8448" width="5.85546875" style="12" customWidth="1"/>
    <col min="8449" max="8449" width="4.7109375" style="12" customWidth="1"/>
    <col min="8450" max="8450" width="4.85546875" style="12" customWidth="1"/>
    <col min="8451" max="8451" width="16.140625" style="12" customWidth="1"/>
    <col min="8452" max="8452" width="9.7109375" style="12" customWidth="1"/>
    <col min="8453" max="8453" width="14.5703125" style="12" customWidth="1"/>
    <col min="8454" max="8454" width="10.7109375" style="12" customWidth="1"/>
    <col min="8455" max="8455" width="8.85546875" style="12" customWidth="1"/>
    <col min="8456" max="8456" width="11" style="12" customWidth="1"/>
    <col min="8457" max="8457" width="5.28515625" style="12" customWidth="1"/>
    <col min="8458" max="8458" width="10.28515625" style="12" customWidth="1"/>
    <col min="8459" max="8459" width="10.140625" style="12" customWidth="1"/>
    <col min="8460" max="8697" width="9.140625" style="12" customWidth="1"/>
    <col min="8698" max="8698" width="5.140625" style="12" customWidth="1"/>
    <col min="8699" max="8699" width="4.7109375" style="12" customWidth="1"/>
    <col min="8700" max="8700" width="7.42578125" style="12" customWidth="1"/>
    <col min="8701" max="8702" width="23.85546875" style="12" customWidth="1"/>
    <col min="8703" max="8703" width="10.140625" style="12" customWidth="1"/>
    <col min="8704" max="8704" width="5.85546875" style="12" customWidth="1"/>
    <col min="8705" max="8705" width="4.7109375" style="12" customWidth="1"/>
    <col min="8706" max="8706" width="4.85546875" style="12" customWidth="1"/>
    <col min="8707" max="8707" width="16.140625" style="12" customWidth="1"/>
    <col min="8708" max="8708" width="9.7109375" style="12" customWidth="1"/>
    <col min="8709" max="8709" width="14.5703125" style="12" customWidth="1"/>
    <col min="8710" max="8710" width="10.7109375" style="12" customWidth="1"/>
    <col min="8711" max="8711" width="8.85546875" style="12" customWidth="1"/>
    <col min="8712" max="8712" width="11" style="12" customWidth="1"/>
    <col min="8713" max="8713" width="5.28515625" style="12" customWidth="1"/>
    <col min="8714" max="8714" width="10.28515625" style="12" customWidth="1"/>
    <col min="8715" max="8715" width="10.140625" style="12" customWidth="1"/>
    <col min="8716" max="8953" width="9.140625" style="12" customWidth="1"/>
    <col min="8954" max="8954" width="5.140625" style="12" customWidth="1"/>
    <col min="8955" max="8955" width="4.7109375" style="12" customWidth="1"/>
    <col min="8956" max="8956" width="7.42578125" style="12" customWidth="1"/>
    <col min="8957" max="8958" width="23.85546875" style="12" customWidth="1"/>
    <col min="8959" max="8959" width="10.140625" style="12" customWidth="1"/>
    <col min="8960" max="8960" width="5.85546875" style="12" customWidth="1"/>
    <col min="8961" max="8961" width="4.7109375" style="12" customWidth="1"/>
    <col min="8962" max="8962" width="4.85546875" style="12" customWidth="1"/>
    <col min="8963" max="8963" width="16.140625" style="12" customWidth="1"/>
    <col min="8964" max="8964" width="9.7109375" style="12" customWidth="1"/>
    <col min="8965" max="8965" width="14.5703125" style="12" customWidth="1"/>
    <col min="8966" max="8966" width="10.7109375" style="12" customWidth="1"/>
    <col min="8967" max="8967" width="8.85546875" style="12" customWidth="1"/>
    <col min="8968" max="8968" width="11" style="12" customWidth="1"/>
    <col min="8969" max="8969" width="5.28515625" style="12" customWidth="1"/>
    <col min="8970" max="8970" width="10.28515625" style="12" customWidth="1"/>
    <col min="8971" max="8971" width="10.140625" style="12" customWidth="1"/>
    <col min="8972" max="9209" width="9.140625" style="12" customWidth="1"/>
    <col min="9210" max="9210" width="5.140625" style="12" customWidth="1"/>
    <col min="9211" max="9211" width="4.7109375" style="12" customWidth="1"/>
    <col min="9212" max="9212" width="7.42578125" style="12" customWidth="1"/>
    <col min="9213" max="9214" width="23.85546875" style="12" customWidth="1"/>
    <col min="9215" max="9215" width="10.140625" style="12" customWidth="1"/>
    <col min="9216" max="9216" width="5.85546875" style="12" customWidth="1"/>
    <col min="9217" max="9217" width="4.7109375" style="12" customWidth="1"/>
    <col min="9218" max="9218" width="4.85546875" style="12" customWidth="1"/>
    <col min="9219" max="9219" width="16.140625" style="12" customWidth="1"/>
    <col min="9220" max="9220" width="9.7109375" style="12" customWidth="1"/>
    <col min="9221" max="9221" width="14.5703125" style="12" customWidth="1"/>
    <col min="9222" max="9222" width="10.7109375" style="12" customWidth="1"/>
    <col min="9223" max="9223" width="8.85546875" style="12" customWidth="1"/>
    <col min="9224" max="9224" width="11" style="12" customWidth="1"/>
    <col min="9225" max="9225" width="5.28515625" style="12" customWidth="1"/>
    <col min="9226" max="9226" width="10.28515625" style="12" customWidth="1"/>
    <col min="9227" max="9227" width="10.140625" style="12" customWidth="1"/>
    <col min="9228" max="9465" width="9.140625" style="12" customWidth="1"/>
    <col min="9466" max="9466" width="5.140625" style="12" customWidth="1"/>
    <col min="9467" max="9467" width="4.7109375" style="12" customWidth="1"/>
    <col min="9468" max="9468" width="7.42578125" style="12" customWidth="1"/>
    <col min="9469" max="9470" width="23.85546875" style="12" customWidth="1"/>
    <col min="9471" max="9471" width="10.140625" style="12" customWidth="1"/>
    <col min="9472" max="9472" width="5.85546875" style="12" customWidth="1"/>
    <col min="9473" max="9473" width="4.7109375" style="12" customWidth="1"/>
    <col min="9474" max="9474" width="4.85546875" style="12" customWidth="1"/>
    <col min="9475" max="9475" width="16.140625" style="12" customWidth="1"/>
    <col min="9476" max="9476" width="9.7109375" style="12" customWidth="1"/>
    <col min="9477" max="9477" width="14.5703125" style="12" customWidth="1"/>
    <col min="9478" max="9478" width="10.7109375" style="12" customWidth="1"/>
    <col min="9479" max="9479" width="8.85546875" style="12" customWidth="1"/>
    <col min="9480" max="9480" width="11" style="12" customWidth="1"/>
    <col min="9481" max="9481" width="5.28515625" style="12" customWidth="1"/>
    <col min="9482" max="9482" width="10.28515625" style="12" customWidth="1"/>
    <col min="9483" max="9483" width="10.140625" style="12" customWidth="1"/>
    <col min="9484" max="9721" width="9.140625" style="12" customWidth="1"/>
    <col min="9722" max="9722" width="5.140625" style="12" customWidth="1"/>
    <col min="9723" max="9723" width="4.7109375" style="12" customWidth="1"/>
    <col min="9724" max="9724" width="7.42578125" style="12" customWidth="1"/>
    <col min="9725" max="9726" width="23.85546875" style="12" customWidth="1"/>
    <col min="9727" max="9727" width="10.140625" style="12" customWidth="1"/>
    <col min="9728" max="9728" width="5.85546875" style="12" customWidth="1"/>
    <col min="9729" max="9729" width="4.7109375" style="12" customWidth="1"/>
    <col min="9730" max="9730" width="4.85546875" style="12" customWidth="1"/>
    <col min="9731" max="9731" width="16.140625" style="12" customWidth="1"/>
    <col min="9732" max="9732" width="9.7109375" style="12" customWidth="1"/>
    <col min="9733" max="9733" width="14.5703125" style="12" customWidth="1"/>
    <col min="9734" max="9734" width="10.7109375" style="12" customWidth="1"/>
    <col min="9735" max="9735" width="8.85546875" style="12" customWidth="1"/>
    <col min="9736" max="9736" width="11" style="12" customWidth="1"/>
    <col min="9737" max="9737" width="5.28515625" style="12" customWidth="1"/>
    <col min="9738" max="9738" width="10.28515625" style="12" customWidth="1"/>
    <col min="9739" max="9739" width="10.140625" style="12" customWidth="1"/>
    <col min="9740" max="9977" width="9.140625" style="12" customWidth="1"/>
    <col min="9978" max="9978" width="5.140625" style="12" customWidth="1"/>
    <col min="9979" max="9979" width="4.7109375" style="12" customWidth="1"/>
    <col min="9980" max="9980" width="7.42578125" style="12" customWidth="1"/>
    <col min="9981" max="9982" width="23.85546875" style="12" customWidth="1"/>
    <col min="9983" max="9983" width="10.140625" style="12" customWidth="1"/>
    <col min="9984" max="9984" width="5.85546875" style="12" customWidth="1"/>
    <col min="9985" max="9985" width="4.7109375" style="12" customWidth="1"/>
    <col min="9986" max="9986" width="4.85546875" style="12" customWidth="1"/>
    <col min="9987" max="9987" width="16.140625" style="12" customWidth="1"/>
    <col min="9988" max="9988" width="9.7109375" style="12" customWidth="1"/>
    <col min="9989" max="9989" width="14.5703125" style="12" customWidth="1"/>
    <col min="9990" max="9990" width="10.7109375" style="12" customWidth="1"/>
    <col min="9991" max="9991" width="8.85546875" style="12" customWidth="1"/>
    <col min="9992" max="9992" width="11" style="12" customWidth="1"/>
    <col min="9993" max="9993" width="5.28515625" style="12" customWidth="1"/>
    <col min="9994" max="9994" width="10.28515625" style="12" customWidth="1"/>
    <col min="9995" max="9995" width="10.140625" style="12" customWidth="1"/>
    <col min="9996" max="10233" width="9.140625" style="12" customWidth="1"/>
    <col min="10234" max="10234" width="5.140625" style="12" customWidth="1"/>
    <col min="10235" max="10235" width="4.7109375" style="12" customWidth="1"/>
    <col min="10236" max="10236" width="7.42578125" style="12" customWidth="1"/>
    <col min="10237" max="10238" width="23.85546875" style="12" customWidth="1"/>
    <col min="10239" max="10239" width="10.140625" style="12" customWidth="1"/>
    <col min="10240" max="10240" width="5.85546875" style="12" customWidth="1"/>
    <col min="10241" max="10241" width="4.7109375" style="12" customWidth="1"/>
    <col min="10242" max="10242" width="4.85546875" style="12" customWidth="1"/>
    <col min="10243" max="10243" width="16.140625" style="12" customWidth="1"/>
    <col min="10244" max="10244" width="9.7109375" style="12" customWidth="1"/>
    <col min="10245" max="10245" width="14.5703125" style="12" customWidth="1"/>
    <col min="10246" max="10246" width="10.7109375" style="12" customWidth="1"/>
    <col min="10247" max="10247" width="8.85546875" style="12" customWidth="1"/>
    <col min="10248" max="10248" width="11" style="12" customWidth="1"/>
    <col min="10249" max="10249" width="5.28515625" style="12" customWidth="1"/>
    <col min="10250" max="10250" width="10.28515625" style="12" customWidth="1"/>
    <col min="10251" max="10251" width="10.140625" style="12" customWidth="1"/>
    <col min="10252" max="10489" width="9.140625" style="12" customWidth="1"/>
    <col min="10490" max="10490" width="5.140625" style="12" customWidth="1"/>
    <col min="10491" max="10491" width="4.7109375" style="12" customWidth="1"/>
    <col min="10492" max="10492" width="7.42578125" style="12" customWidth="1"/>
    <col min="10493" max="10494" width="23.85546875" style="12" customWidth="1"/>
    <col min="10495" max="10495" width="10.140625" style="12" customWidth="1"/>
    <col min="10496" max="10496" width="5.85546875" style="12" customWidth="1"/>
    <col min="10497" max="10497" width="4.7109375" style="12" customWidth="1"/>
    <col min="10498" max="10498" width="4.85546875" style="12" customWidth="1"/>
    <col min="10499" max="10499" width="16.140625" style="12" customWidth="1"/>
    <col min="10500" max="10500" width="9.7109375" style="12" customWidth="1"/>
    <col min="10501" max="10501" width="14.5703125" style="12" customWidth="1"/>
    <col min="10502" max="10502" width="10.7109375" style="12" customWidth="1"/>
    <col min="10503" max="10503" width="8.85546875" style="12" customWidth="1"/>
    <col min="10504" max="10504" width="11" style="12" customWidth="1"/>
    <col min="10505" max="10505" width="5.28515625" style="12" customWidth="1"/>
    <col min="10506" max="10506" width="10.28515625" style="12" customWidth="1"/>
    <col min="10507" max="10507" width="10.140625" style="12" customWidth="1"/>
    <col min="10508" max="10745" width="9.140625" style="12" customWidth="1"/>
    <col min="10746" max="10746" width="5.140625" style="12" customWidth="1"/>
    <col min="10747" max="10747" width="4.7109375" style="12" customWidth="1"/>
    <col min="10748" max="10748" width="7.42578125" style="12" customWidth="1"/>
    <col min="10749" max="10750" width="23.85546875" style="12" customWidth="1"/>
    <col min="10751" max="10751" width="10.140625" style="12" customWidth="1"/>
    <col min="10752" max="10752" width="5.85546875" style="12" customWidth="1"/>
    <col min="10753" max="10753" width="4.7109375" style="12" customWidth="1"/>
    <col min="10754" max="10754" width="4.85546875" style="12" customWidth="1"/>
    <col min="10755" max="10755" width="16.140625" style="12" customWidth="1"/>
    <col min="10756" max="10756" width="9.7109375" style="12" customWidth="1"/>
    <col min="10757" max="10757" width="14.5703125" style="12" customWidth="1"/>
    <col min="10758" max="10758" width="10.7109375" style="12" customWidth="1"/>
    <col min="10759" max="10759" width="8.85546875" style="12" customWidth="1"/>
    <col min="10760" max="10760" width="11" style="12" customWidth="1"/>
    <col min="10761" max="10761" width="5.28515625" style="12" customWidth="1"/>
    <col min="10762" max="10762" width="10.28515625" style="12" customWidth="1"/>
    <col min="10763" max="10763" width="10.140625" style="12" customWidth="1"/>
    <col min="10764" max="11001" width="9.140625" style="12" customWidth="1"/>
    <col min="11002" max="11002" width="5.140625" style="12" customWidth="1"/>
    <col min="11003" max="11003" width="4.7109375" style="12" customWidth="1"/>
    <col min="11004" max="11004" width="7.42578125" style="12" customWidth="1"/>
    <col min="11005" max="11006" width="23.85546875" style="12" customWidth="1"/>
    <col min="11007" max="11007" width="10.140625" style="12" customWidth="1"/>
    <col min="11008" max="11008" width="5.85546875" style="12" customWidth="1"/>
    <col min="11009" max="11009" width="4.7109375" style="12" customWidth="1"/>
    <col min="11010" max="11010" width="4.85546875" style="12" customWidth="1"/>
    <col min="11011" max="11011" width="16.140625" style="12" customWidth="1"/>
    <col min="11012" max="11012" width="9.7109375" style="12" customWidth="1"/>
    <col min="11013" max="11013" width="14.5703125" style="12" customWidth="1"/>
    <col min="11014" max="11014" width="10.7109375" style="12" customWidth="1"/>
    <col min="11015" max="11015" width="8.85546875" style="12" customWidth="1"/>
    <col min="11016" max="11016" width="11" style="12" customWidth="1"/>
    <col min="11017" max="11017" width="5.28515625" style="12" customWidth="1"/>
    <col min="11018" max="11018" width="10.28515625" style="12" customWidth="1"/>
    <col min="11019" max="11019" width="10.140625" style="12" customWidth="1"/>
    <col min="11020" max="11257" width="9.140625" style="12" customWidth="1"/>
    <col min="11258" max="11258" width="5.140625" style="12" customWidth="1"/>
    <col min="11259" max="11259" width="4.7109375" style="12" customWidth="1"/>
    <col min="11260" max="11260" width="7.42578125" style="12" customWidth="1"/>
    <col min="11261" max="11262" width="23.85546875" style="12" customWidth="1"/>
    <col min="11263" max="11263" width="10.140625" style="12" customWidth="1"/>
    <col min="11264" max="11264" width="5.85546875" style="12" customWidth="1"/>
    <col min="11265" max="11265" width="4.7109375" style="12" customWidth="1"/>
    <col min="11266" max="11266" width="4.85546875" style="12" customWidth="1"/>
    <col min="11267" max="11267" width="16.140625" style="12" customWidth="1"/>
    <col min="11268" max="11268" width="9.7109375" style="12" customWidth="1"/>
    <col min="11269" max="11269" width="14.5703125" style="12" customWidth="1"/>
    <col min="11270" max="11270" width="10.7109375" style="12" customWidth="1"/>
    <col min="11271" max="11271" width="8.85546875" style="12" customWidth="1"/>
    <col min="11272" max="11272" width="11" style="12" customWidth="1"/>
    <col min="11273" max="11273" width="5.28515625" style="12" customWidth="1"/>
    <col min="11274" max="11274" width="10.28515625" style="12" customWidth="1"/>
    <col min="11275" max="11275" width="10.140625" style="12" customWidth="1"/>
    <col min="11276" max="11513" width="9.140625" style="12" customWidth="1"/>
    <col min="11514" max="11514" width="5.140625" style="12" customWidth="1"/>
    <col min="11515" max="11515" width="4.7109375" style="12" customWidth="1"/>
    <col min="11516" max="11516" width="7.42578125" style="12" customWidth="1"/>
    <col min="11517" max="11518" width="23.85546875" style="12" customWidth="1"/>
    <col min="11519" max="11519" width="10.140625" style="12" customWidth="1"/>
    <col min="11520" max="11520" width="5.85546875" style="12" customWidth="1"/>
    <col min="11521" max="11521" width="4.7109375" style="12" customWidth="1"/>
    <col min="11522" max="11522" width="4.85546875" style="12" customWidth="1"/>
    <col min="11523" max="11523" width="16.140625" style="12" customWidth="1"/>
    <col min="11524" max="11524" width="9.7109375" style="12" customWidth="1"/>
    <col min="11525" max="11525" width="14.5703125" style="12" customWidth="1"/>
    <col min="11526" max="11526" width="10.7109375" style="12" customWidth="1"/>
    <col min="11527" max="11527" width="8.85546875" style="12" customWidth="1"/>
    <col min="11528" max="11528" width="11" style="12" customWidth="1"/>
    <col min="11529" max="11529" width="5.28515625" style="12" customWidth="1"/>
    <col min="11530" max="11530" width="10.28515625" style="12" customWidth="1"/>
    <col min="11531" max="11531" width="10.140625" style="12" customWidth="1"/>
    <col min="11532" max="11769" width="9.140625" style="12" customWidth="1"/>
    <col min="11770" max="11770" width="5.140625" style="12" customWidth="1"/>
    <col min="11771" max="11771" width="4.7109375" style="12" customWidth="1"/>
    <col min="11772" max="11772" width="7.42578125" style="12" customWidth="1"/>
    <col min="11773" max="11774" width="23.85546875" style="12" customWidth="1"/>
    <col min="11775" max="11775" width="10.140625" style="12" customWidth="1"/>
    <col min="11776" max="11776" width="5.85546875" style="12" customWidth="1"/>
    <col min="11777" max="11777" width="4.7109375" style="12" customWidth="1"/>
    <col min="11778" max="11778" width="4.85546875" style="12" customWidth="1"/>
    <col min="11779" max="11779" width="16.140625" style="12" customWidth="1"/>
    <col min="11780" max="11780" width="9.7109375" style="12" customWidth="1"/>
    <col min="11781" max="11781" width="14.5703125" style="12" customWidth="1"/>
    <col min="11782" max="11782" width="10.7109375" style="12" customWidth="1"/>
    <col min="11783" max="11783" width="8.85546875" style="12" customWidth="1"/>
    <col min="11784" max="11784" width="11" style="12" customWidth="1"/>
    <col min="11785" max="11785" width="5.28515625" style="12" customWidth="1"/>
    <col min="11786" max="11786" width="10.28515625" style="12" customWidth="1"/>
    <col min="11787" max="11787" width="10.140625" style="12" customWidth="1"/>
    <col min="11788" max="12025" width="9.140625" style="12" customWidth="1"/>
    <col min="12026" max="12026" width="5.140625" style="12" customWidth="1"/>
    <col min="12027" max="12027" width="4.7109375" style="12" customWidth="1"/>
    <col min="12028" max="12028" width="7.42578125" style="12" customWidth="1"/>
    <col min="12029" max="12030" width="23.85546875" style="12" customWidth="1"/>
    <col min="12031" max="12031" width="10.140625" style="12" customWidth="1"/>
    <col min="12032" max="12032" width="5.85546875" style="12" customWidth="1"/>
    <col min="12033" max="12033" width="4.7109375" style="12" customWidth="1"/>
    <col min="12034" max="12034" width="4.85546875" style="12" customWidth="1"/>
    <col min="12035" max="12035" width="16.140625" style="12" customWidth="1"/>
    <col min="12036" max="12036" width="9.7109375" style="12" customWidth="1"/>
    <col min="12037" max="12037" width="14.5703125" style="12" customWidth="1"/>
    <col min="12038" max="12038" width="10.7109375" style="12" customWidth="1"/>
    <col min="12039" max="12039" width="8.85546875" style="12" customWidth="1"/>
    <col min="12040" max="12040" width="11" style="12" customWidth="1"/>
    <col min="12041" max="12041" width="5.28515625" style="12" customWidth="1"/>
    <col min="12042" max="12042" width="10.28515625" style="12" customWidth="1"/>
    <col min="12043" max="12043" width="10.140625" style="12" customWidth="1"/>
    <col min="12044" max="12281" width="9.140625" style="12" customWidth="1"/>
    <col min="12282" max="12282" width="5.140625" style="12" customWidth="1"/>
    <col min="12283" max="12283" width="4.7109375" style="12" customWidth="1"/>
    <col min="12284" max="12284" width="7.42578125" style="12" customWidth="1"/>
    <col min="12285" max="12286" width="23.85546875" style="12" customWidth="1"/>
    <col min="12287" max="12287" width="10.140625" style="12" customWidth="1"/>
    <col min="12288" max="12288" width="5.85546875" style="12" customWidth="1"/>
    <col min="12289" max="12289" width="4.7109375" style="12" customWidth="1"/>
    <col min="12290" max="12290" width="4.85546875" style="12" customWidth="1"/>
    <col min="12291" max="12291" width="16.140625" style="12" customWidth="1"/>
    <col min="12292" max="12292" width="9.7109375" style="12" customWidth="1"/>
    <col min="12293" max="12293" width="14.5703125" style="12" customWidth="1"/>
    <col min="12294" max="12294" width="10.7109375" style="12" customWidth="1"/>
    <col min="12295" max="12295" width="8.85546875" style="12" customWidth="1"/>
    <col min="12296" max="12296" width="11" style="12" customWidth="1"/>
    <col min="12297" max="12297" width="5.28515625" style="12" customWidth="1"/>
    <col min="12298" max="12298" width="10.28515625" style="12" customWidth="1"/>
    <col min="12299" max="12299" width="10.140625" style="12" customWidth="1"/>
    <col min="12300" max="12537" width="9.140625" style="12" customWidth="1"/>
    <col min="12538" max="12538" width="5.140625" style="12" customWidth="1"/>
    <col min="12539" max="12539" width="4.7109375" style="12" customWidth="1"/>
    <col min="12540" max="12540" width="7.42578125" style="12" customWidth="1"/>
    <col min="12541" max="12542" width="23.85546875" style="12" customWidth="1"/>
    <col min="12543" max="12543" width="10.140625" style="12" customWidth="1"/>
    <col min="12544" max="12544" width="5.85546875" style="12" customWidth="1"/>
    <col min="12545" max="12545" width="4.7109375" style="12" customWidth="1"/>
    <col min="12546" max="12546" width="4.85546875" style="12" customWidth="1"/>
    <col min="12547" max="12547" width="16.140625" style="12" customWidth="1"/>
    <col min="12548" max="12548" width="9.7109375" style="12" customWidth="1"/>
    <col min="12549" max="12549" width="14.5703125" style="12" customWidth="1"/>
    <col min="12550" max="12550" width="10.7109375" style="12" customWidth="1"/>
    <col min="12551" max="12551" width="8.85546875" style="12" customWidth="1"/>
    <col min="12552" max="12552" width="11" style="12" customWidth="1"/>
    <col min="12553" max="12553" width="5.28515625" style="12" customWidth="1"/>
    <col min="12554" max="12554" width="10.28515625" style="12" customWidth="1"/>
    <col min="12555" max="12555" width="10.140625" style="12" customWidth="1"/>
    <col min="12556" max="12793" width="9.140625" style="12" customWidth="1"/>
    <col min="12794" max="12794" width="5.140625" style="12" customWidth="1"/>
    <col min="12795" max="12795" width="4.7109375" style="12" customWidth="1"/>
    <col min="12796" max="12796" width="7.42578125" style="12" customWidth="1"/>
    <col min="12797" max="12798" width="23.85546875" style="12" customWidth="1"/>
    <col min="12799" max="12799" width="10.140625" style="12" customWidth="1"/>
    <col min="12800" max="12800" width="5.85546875" style="12" customWidth="1"/>
    <col min="12801" max="12801" width="4.7109375" style="12" customWidth="1"/>
    <col min="12802" max="12802" width="4.85546875" style="12" customWidth="1"/>
    <col min="12803" max="12803" width="16.140625" style="12" customWidth="1"/>
    <col min="12804" max="12804" width="9.7109375" style="12" customWidth="1"/>
    <col min="12805" max="12805" width="14.5703125" style="12" customWidth="1"/>
    <col min="12806" max="12806" width="10.7109375" style="12" customWidth="1"/>
    <col min="12807" max="12807" width="8.85546875" style="12" customWidth="1"/>
    <col min="12808" max="12808" width="11" style="12" customWidth="1"/>
    <col min="12809" max="12809" width="5.28515625" style="12" customWidth="1"/>
    <col min="12810" max="12810" width="10.28515625" style="12" customWidth="1"/>
    <col min="12811" max="12811" width="10.140625" style="12" customWidth="1"/>
    <col min="12812" max="13049" width="9.140625" style="12" customWidth="1"/>
    <col min="13050" max="13050" width="5.140625" style="12" customWidth="1"/>
    <col min="13051" max="13051" width="4.7109375" style="12" customWidth="1"/>
    <col min="13052" max="13052" width="7.42578125" style="12" customWidth="1"/>
    <col min="13053" max="13054" width="23.85546875" style="12" customWidth="1"/>
    <col min="13055" max="13055" width="10.140625" style="12" customWidth="1"/>
    <col min="13056" max="13056" width="5.85546875" style="12" customWidth="1"/>
    <col min="13057" max="13057" width="4.7109375" style="12" customWidth="1"/>
    <col min="13058" max="13058" width="4.85546875" style="12" customWidth="1"/>
    <col min="13059" max="13059" width="16.140625" style="12" customWidth="1"/>
    <col min="13060" max="13060" width="9.7109375" style="12" customWidth="1"/>
    <col min="13061" max="13061" width="14.5703125" style="12" customWidth="1"/>
    <col min="13062" max="13062" width="10.7109375" style="12" customWidth="1"/>
    <col min="13063" max="13063" width="8.85546875" style="12" customWidth="1"/>
    <col min="13064" max="13064" width="11" style="12" customWidth="1"/>
    <col min="13065" max="13065" width="5.28515625" style="12" customWidth="1"/>
    <col min="13066" max="13066" width="10.28515625" style="12" customWidth="1"/>
    <col min="13067" max="13067" width="10.140625" style="12" customWidth="1"/>
    <col min="13068" max="13305" width="9.140625" style="12" customWidth="1"/>
    <col min="13306" max="13306" width="5.140625" style="12" customWidth="1"/>
    <col min="13307" max="13307" width="4.7109375" style="12" customWidth="1"/>
    <col min="13308" max="13308" width="7.42578125" style="12" customWidth="1"/>
    <col min="13309" max="13310" width="23.85546875" style="12" customWidth="1"/>
    <col min="13311" max="13311" width="10.140625" style="12" customWidth="1"/>
    <col min="13312" max="13312" width="5.85546875" style="12" customWidth="1"/>
    <col min="13313" max="13313" width="4.7109375" style="12" customWidth="1"/>
    <col min="13314" max="13314" width="4.85546875" style="12" customWidth="1"/>
    <col min="13315" max="13315" width="16.140625" style="12" customWidth="1"/>
    <col min="13316" max="13316" width="9.7109375" style="12" customWidth="1"/>
    <col min="13317" max="13317" width="14.5703125" style="12" customWidth="1"/>
    <col min="13318" max="13318" width="10.7109375" style="12" customWidth="1"/>
    <col min="13319" max="13319" width="8.85546875" style="12" customWidth="1"/>
    <col min="13320" max="13320" width="11" style="12" customWidth="1"/>
    <col min="13321" max="13321" width="5.28515625" style="12" customWidth="1"/>
    <col min="13322" max="13322" width="10.28515625" style="12" customWidth="1"/>
    <col min="13323" max="13323" width="10.140625" style="12" customWidth="1"/>
    <col min="13324" max="13561" width="9.140625" style="12" customWidth="1"/>
    <col min="13562" max="13562" width="5.140625" style="12" customWidth="1"/>
    <col min="13563" max="13563" width="4.7109375" style="12" customWidth="1"/>
    <col min="13564" max="13564" width="7.42578125" style="12" customWidth="1"/>
    <col min="13565" max="13566" width="23.85546875" style="12" customWidth="1"/>
    <col min="13567" max="13567" width="10.140625" style="12" customWidth="1"/>
    <col min="13568" max="13568" width="5.85546875" style="12" customWidth="1"/>
    <col min="13569" max="13569" width="4.7109375" style="12" customWidth="1"/>
    <col min="13570" max="13570" width="4.85546875" style="12" customWidth="1"/>
    <col min="13571" max="13571" width="16.140625" style="12" customWidth="1"/>
    <col min="13572" max="13572" width="9.7109375" style="12" customWidth="1"/>
    <col min="13573" max="13573" width="14.5703125" style="12" customWidth="1"/>
    <col min="13574" max="13574" width="10.7109375" style="12" customWidth="1"/>
    <col min="13575" max="13575" width="8.85546875" style="12" customWidth="1"/>
    <col min="13576" max="13576" width="11" style="12" customWidth="1"/>
    <col min="13577" max="13577" width="5.28515625" style="12" customWidth="1"/>
    <col min="13578" max="13578" width="10.28515625" style="12" customWidth="1"/>
    <col min="13579" max="13579" width="10.140625" style="12" customWidth="1"/>
    <col min="13580" max="13817" width="9.140625" style="12" customWidth="1"/>
    <col min="13818" max="13818" width="5.140625" style="12" customWidth="1"/>
    <col min="13819" max="13819" width="4.7109375" style="12" customWidth="1"/>
    <col min="13820" max="13820" width="7.42578125" style="12" customWidth="1"/>
    <col min="13821" max="13822" width="23.85546875" style="12" customWidth="1"/>
    <col min="13823" max="13823" width="10.140625" style="12" customWidth="1"/>
    <col min="13824" max="13824" width="5.85546875" style="12" customWidth="1"/>
    <col min="13825" max="13825" width="4.7109375" style="12" customWidth="1"/>
    <col min="13826" max="13826" width="4.85546875" style="12" customWidth="1"/>
    <col min="13827" max="13827" width="16.140625" style="12" customWidth="1"/>
    <col min="13828" max="13828" width="9.7109375" style="12" customWidth="1"/>
    <col min="13829" max="13829" width="14.5703125" style="12" customWidth="1"/>
    <col min="13830" max="13830" width="10.7109375" style="12" customWidth="1"/>
    <col min="13831" max="13831" width="8.85546875" style="12" customWidth="1"/>
    <col min="13832" max="13832" width="11" style="12" customWidth="1"/>
    <col min="13833" max="13833" width="5.28515625" style="12" customWidth="1"/>
    <col min="13834" max="13834" width="10.28515625" style="12" customWidth="1"/>
    <col min="13835" max="13835" width="10.140625" style="12" customWidth="1"/>
    <col min="13836" max="14073" width="9.140625" style="12" customWidth="1"/>
    <col min="14074" max="14074" width="5.140625" style="12" customWidth="1"/>
    <col min="14075" max="14075" width="4.7109375" style="12" customWidth="1"/>
    <col min="14076" max="14076" width="7.42578125" style="12" customWidth="1"/>
    <col min="14077" max="14078" width="23.85546875" style="12" customWidth="1"/>
    <col min="14079" max="14079" width="10.140625" style="12" customWidth="1"/>
    <col min="14080" max="14080" width="5.85546875" style="12" customWidth="1"/>
    <col min="14081" max="14081" width="4.7109375" style="12" customWidth="1"/>
    <col min="14082" max="14082" width="4.85546875" style="12" customWidth="1"/>
    <col min="14083" max="14083" width="16.140625" style="12" customWidth="1"/>
    <col min="14084" max="14084" width="9.7109375" style="12" customWidth="1"/>
    <col min="14085" max="14085" width="14.5703125" style="12" customWidth="1"/>
    <col min="14086" max="14086" width="10.7109375" style="12" customWidth="1"/>
    <col min="14087" max="14087" width="8.85546875" style="12" customWidth="1"/>
    <col min="14088" max="14088" width="11" style="12" customWidth="1"/>
    <col min="14089" max="14089" width="5.28515625" style="12" customWidth="1"/>
    <col min="14090" max="14090" width="10.28515625" style="12" customWidth="1"/>
    <col min="14091" max="14091" width="10.140625" style="12" customWidth="1"/>
    <col min="14092" max="14329" width="9.140625" style="12" customWidth="1"/>
    <col min="14330" max="14330" width="5.140625" style="12" customWidth="1"/>
    <col min="14331" max="14331" width="4.7109375" style="12" customWidth="1"/>
    <col min="14332" max="14332" width="7.42578125" style="12" customWidth="1"/>
    <col min="14333" max="14334" width="23.85546875" style="12" customWidth="1"/>
    <col min="14335" max="14335" width="10.140625" style="12" customWidth="1"/>
    <col min="14336" max="14336" width="5.85546875" style="12" customWidth="1"/>
    <col min="14337" max="14337" width="4.7109375" style="12" customWidth="1"/>
    <col min="14338" max="14338" width="4.85546875" style="12" customWidth="1"/>
    <col min="14339" max="14339" width="16.140625" style="12" customWidth="1"/>
    <col min="14340" max="14340" width="9.7109375" style="12" customWidth="1"/>
    <col min="14341" max="14341" width="14.5703125" style="12" customWidth="1"/>
    <col min="14342" max="14342" width="10.7109375" style="12" customWidth="1"/>
    <col min="14343" max="14343" width="8.85546875" style="12" customWidth="1"/>
    <col min="14344" max="14344" width="11" style="12" customWidth="1"/>
    <col min="14345" max="14345" width="5.28515625" style="12" customWidth="1"/>
    <col min="14346" max="14346" width="10.28515625" style="12" customWidth="1"/>
    <col min="14347" max="14347" width="10.140625" style="12" customWidth="1"/>
    <col min="14348" max="14585" width="9.140625" style="12" customWidth="1"/>
    <col min="14586" max="14586" width="5.140625" style="12" customWidth="1"/>
    <col min="14587" max="14587" width="4.7109375" style="12" customWidth="1"/>
    <col min="14588" max="14588" width="7.42578125" style="12" customWidth="1"/>
    <col min="14589" max="14590" width="23.85546875" style="12" customWidth="1"/>
    <col min="14591" max="14591" width="10.140625" style="12" customWidth="1"/>
    <col min="14592" max="14592" width="5.85546875" style="12" customWidth="1"/>
    <col min="14593" max="14593" width="4.7109375" style="12" customWidth="1"/>
    <col min="14594" max="14594" width="4.85546875" style="12" customWidth="1"/>
    <col min="14595" max="14595" width="16.140625" style="12" customWidth="1"/>
    <col min="14596" max="14596" width="9.7109375" style="12" customWidth="1"/>
    <col min="14597" max="14597" width="14.5703125" style="12" customWidth="1"/>
    <col min="14598" max="14598" width="10.7109375" style="12" customWidth="1"/>
    <col min="14599" max="14599" width="8.85546875" style="12" customWidth="1"/>
    <col min="14600" max="14600" width="11" style="12" customWidth="1"/>
    <col min="14601" max="14601" width="5.28515625" style="12" customWidth="1"/>
    <col min="14602" max="14602" width="10.28515625" style="12" customWidth="1"/>
    <col min="14603" max="14603" width="10.140625" style="12" customWidth="1"/>
    <col min="14604" max="14841" width="9.140625" style="12" customWidth="1"/>
    <col min="14842" max="14842" width="5.140625" style="12" customWidth="1"/>
    <col min="14843" max="14843" width="4.7109375" style="12" customWidth="1"/>
    <col min="14844" max="14844" width="7.42578125" style="12" customWidth="1"/>
    <col min="14845" max="14846" width="23.85546875" style="12" customWidth="1"/>
    <col min="14847" max="14847" width="10.140625" style="12" customWidth="1"/>
    <col min="14848" max="14848" width="5.85546875" style="12" customWidth="1"/>
    <col min="14849" max="14849" width="4.7109375" style="12" customWidth="1"/>
    <col min="14850" max="14850" width="4.85546875" style="12" customWidth="1"/>
    <col min="14851" max="14851" width="16.140625" style="12" customWidth="1"/>
    <col min="14852" max="14852" width="9.7109375" style="12" customWidth="1"/>
    <col min="14853" max="14853" width="14.5703125" style="12" customWidth="1"/>
    <col min="14854" max="14854" width="10.7109375" style="12" customWidth="1"/>
    <col min="14855" max="14855" width="8.85546875" style="12" customWidth="1"/>
    <col min="14856" max="14856" width="11" style="12" customWidth="1"/>
    <col min="14857" max="14857" width="5.28515625" style="12" customWidth="1"/>
    <col min="14858" max="14858" width="10.28515625" style="12" customWidth="1"/>
    <col min="14859" max="14859" width="10.140625" style="12" customWidth="1"/>
    <col min="14860" max="15097" width="9.140625" style="12" customWidth="1"/>
    <col min="15098" max="15098" width="5.140625" style="12" customWidth="1"/>
    <col min="15099" max="15099" width="4.7109375" style="12" customWidth="1"/>
    <col min="15100" max="15100" width="7.42578125" style="12" customWidth="1"/>
    <col min="15101" max="15102" width="23.85546875" style="12" customWidth="1"/>
    <col min="15103" max="15103" width="10.140625" style="12" customWidth="1"/>
    <col min="15104" max="15104" width="5.85546875" style="12" customWidth="1"/>
    <col min="15105" max="15105" width="4.7109375" style="12" customWidth="1"/>
    <col min="15106" max="15106" width="4.85546875" style="12" customWidth="1"/>
    <col min="15107" max="15107" width="16.140625" style="12" customWidth="1"/>
    <col min="15108" max="15108" width="9.7109375" style="12" customWidth="1"/>
    <col min="15109" max="15109" width="14.5703125" style="12" customWidth="1"/>
    <col min="15110" max="15110" width="10.7109375" style="12" customWidth="1"/>
    <col min="15111" max="15111" width="8.85546875" style="12" customWidth="1"/>
    <col min="15112" max="15112" width="11" style="12" customWidth="1"/>
    <col min="15113" max="15113" width="5.28515625" style="12" customWidth="1"/>
    <col min="15114" max="15114" width="10.28515625" style="12" customWidth="1"/>
    <col min="15115" max="15115" width="10.140625" style="12" customWidth="1"/>
    <col min="15116" max="15353" width="9.140625" style="12" customWidth="1"/>
    <col min="15354" max="15354" width="5.140625" style="12" customWidth="1"/>
    <col min="15355" max="15355" width="4.7109375" style="12" customWidth="1"/>
    <col min="15356" max="15356" width="7.42578125" style="12" customWidth="1"/>
    <col min="15357" max="15358" width="23.85546875" style="12" customWidth="1"/>
    <col min="15359" max="15359" width="10.140625" style="12" customWidth="1"/>
    <col min="15360" max="15360" width="5.85546875" style="12" customWidth="1"/>
    <col min="15361" max="15361" width="4.7109375" style="12" customWidth="1"/>
    <col min="15362" max="15362" width="4.85546875" style="12" customWidth="1"/>
    <col min="15363" max="15363" width="16.140625" style="12" customWidth="1"/>
    <col min="15364" max="15364" width="9.7109375" style="12" customWidth="1"/>
    <col min="15365" max="15365" width="14.5703125" style="12" customWidth="1"/>
    <col min="15366" max="15366" width="10.7109375" style="12" customWidth="1"/>
    <col min="15367" max="15367" width="8.85546875" style="12" customWidth="1"/>
    <col min="15368" max="15368" width="11" style="12" customWidth="1"/>
    <col min="15369" max="15369" width="5.28515625" style="12" customWidth="1"/>
    <col min="15370" max="15370" width="10.28515625" style="12" customWidth="1"/>
    <col min="15371" max="15371" width="10.140625" style="12" customWidth="1"/>
    <col min="15372" max="15609" width="9.140625" style="12" customWidth="1"/>
    <col min="15610" max="15610" width="5.140625" style="12" customWidth="1"/>
    <col min="15611" max="15611" width="4.7109375" style="12" customWidth="1"/>
    <col min="15612" max="15612" width="7.42578125" style="12" customWidth="1"/>
    <col min="15613" max="15614" width="23.85546875" style="12" customWidth="1"/>
    <col min="15615" max="15615" width="10.140625" style="12" customWidth="1"/>
    <col min="15616" max="15616" width="5.85546875" style="12" customWidth="1"/>
    <col min="15617" max="15617" width="4.7109375" style="12" customWidth="1"/>
    <col min="15618" max="15618" width="4.85546875" style="12" customWidth="1"/>
    <col min="15619" max="15619" width="16.140625" style="12" customWidth="1"/>
    <col min="15620" max="15620" width="9.7109375" style="12" customWidth="1"/>
    <col min="15621" max="15621" width="14.5703125" style="12" customWidth="1"/>
    <col min="15622" max="15622" width="10.7109375" style="12" customWidth="1"/>
    <col min="15623" max="15623" width="8.85546875" style="12" customWidth="1"/>
    <col min="15624" max="15624" width="11" style="12" customWidth="1"/>
    <col min="15625" max="15625" width="5.28515625" style="12" customWidth="1"/>
    <col min="15626" max="15626" width="10.28515625" style="12" customWidth="1"/>
    <col min="15627" max="15627" width="10.140625" style="12" customWidth="1"/>
    <col min="15628" max="15865" width="9.140625" style="12" customWidth="1"/>
    <col min="15866" max="15866" width="5.140625" style="12" customWidth="1"/>
    <col min="15867" max="15867" width="4.7109375" style="12" customWidth="1"/>
    <col min="15868" max="15868" width="7.42578125" style="12" customWidth="1"/>
    <col min="15869" max="15870" width="23.85546875" style="12" customWidth="1"/>
    <col min="15871" max="15871" width="10.140625" style="12" customWidth="1"/>
    <col min="15872" max="15872" width="5.85546875" style="12" customWidth="1"/>
    <col min="15873" max="15873" width="4.7109375" style="12" customWidth="1"/>
    <col min="15874" max="15874" width="4.85546875" style="12" customWidth="1"/>
    <col min="15875" max="15875" width="16.140625" style="12" customWidth="1"/>
    <col min="15876" max="15876" width="9.7109375" style="12" customWidth="1"/>
    <col min="15877" max="15877" width="14.5703125" style="12" customWidth="1"/>
    <col min="15878" max="15878" width="10.7109375" style="12" customWidth="1"/>
    <col min="15879" max="15879" width="8.85546875" style="12" customWidth="1"/>
    <col min="15880" max="15880" width="11" style="12" customWidth="1"/>
    <col min="15881" max="15881" width="5.28515625" style="12" customWidth="1"/>
    <col min="15882" max="15882" width="10.28515625" style="12" customWidth="1"/>
    <col min="15883" max="15883" width="10.140625" style="12" customWidth="1"/>
    <col min="15884" max="16121" width="9.140625" style="12" customWidth="1"/>
    <col min="16122" max="16122" width="5.140625" style="12" customWidth="1"/>
    <col min="16123" max="16123" width="4.7109375" style="12" customWidth="1"/>
    <col min="16124" max="16124" width="7.42578125" style="12" customWidth="1"/>
    <col min="16125" max="16126" width="23.85546875" style="12" customWidth="1"/>
    <col min="16127" max="16127" width="10.140625" style="12" customWidth="1"/>
    <col min="16128" max="16128" width="5.85546875" style="12" customWidth="1"/>
    <col min="16129" max="16129" width="4.7109375" style="12" customWidth="1"/>
    <col min="16130" max="16130" width="4.85546875" style="12" customWidth="1"/>
    <col min="16131" max="16131" width="16.140625" style="12" customWidth="1"/>
    <col min="16132" max="16132" width="9.7109375" style="12" customWidth="1"/>
    <col min="16133" max="16133" width="14.5703125" style="12" customWidth="1"/>
    <col min="16134" max="16134" width="10.7109375" style="12" customWidth="1"/>
    <col min="16135" max="16135" width="8.85546875" style="12" customWidth="1"/>
    <col min="16136" max="16136" width="11" style="12" customWidth="1"/>
    <col min="16137" max="16137" width="5.28515625" style="12" customWidth="1"/>
    <col min="16138" max="16138" width="10.28515625" style="12" customWidth="1"/>
    <col min="16139" max="16139" width="10.140625" style="12" customWidth="1"/>
    <col min="16140" max="16377" width="9.140625" style="12" customWidth="1"/>
    <col min="16378" max="16384" width="5.140625" style="12" customWidth="1"/>
  </cols>
  <sheetData>
    <row r="1" spans="1:12" ht="15.75">
      <c r="A1" s="212" t="s">
        <v>0</v>
      </c>
      <c r="B1" s="212"/>
      <c r="C1" s="212"/>
      <c r="D1" s="212"/>
      <c r="K1" s="43"/>
    </row>
    <row r="2" spans="1:12" ht="15.75">
      <c r="A2" s="213" t="s">
        <v>28</v>
      </c>
      <c r="B2" s="213"/>
      <c r="C2" s="213"/>
      <c r="D2" s="213"/>
      <c r="G2" s="57"/>
      <c r="K2" s="43"/>
    </row>
    <row r="3" spans="1:12" ht="20.25">
      <c r="A3" s="214" t="s">
        <v>14</v>
      </c>
      <c r="B3" s="214"/>
      <c r="C3" s="214"/>
      <c r="D3" s="214"/>
      <c r="E3" s="214"/>
      <c r="F3" s="214"/>
      <c r="G3" s="214"/>
      <c r="H3" s="214"/>
      <c r="I3" s="214"/>
      <c r="J3" s="214"/>
      <c r="K3" s="214"/>
      <c r="L3" s="214"/>
    </row>
    <row r="4" spans="1:12" ht="15.75">
      <c r="A4" s="215" t="str">
        <f>phauthuat!A4</f>
        <v>THÁNG 8/2026</v>
      </c>
      <c r="B4" s="216"/>
      <c r="C4" s="216"/>
      <c r="D4" s="216"/>
      <c r="E4" s="216"/>
      <c r="F4" s="216"/>
      <c r="G4" s="216"/>
      <c r="H4" s="216"/>
      <c r="I4" s="216"/>
      <c r="J4" s="216"/>
      <c r="K4" s="216"/>
      <c r="L4" s="216"/>
    </row>
    <row r="5" spans="1:12">
      <c r="I5" s="54"/>
      <c r="K5" s="43"/>
    </row>
    <row r="6" spans="1:12" ht="18" customHeight="1">
      <c r="A6" s="31" t="s">
        <v>2</v>
      </c>
      <c r="B6" s="32" t="s">
        <v>485</v>
      </c>
      <c r="C6" s="34" t="s">
        <v>481</v>
      </c>
      <c r="D6" s="33" t="s">
        <v>482</v>
      </c>
      <c r="E6" s="34" t="s">
        <v>483</v>
      </c>
      <c r="F6" s="34" t="s">
        <v>484</v>
      </c>
      <c r="G6" s="32" t="s">
        <v>49</v>
      </c>
      <c r="H6" s="72" t="s">
        <v>25</v>
      </c>
      <c r="I6" s="32" t="s">
        <v>26</v>
      </c>
      <c r="J6" s="32" t="s">
        <v>27</v>
      </c>
      <c r="K6" s="35" t="s">
        <v>26</v>
      </c>
      <c r="L6" s="32" t="s">
        <v>20</v>
      </c>
    </row>
    <row r="7" spans="1:12" s="22" customFormat="1">
      <c r="A7" s="44">
        <v>1</v>
      </c>
      <c r="B7" s="165" t="s">
        <v>1715</v>
      </c>
      <c r="C7" s="155" t="s">
        <v>744</v>
      </c>
      <c r="D7" s="166" t="s">
        <v>130</v>
      </c>
      <c r="E7" s="168" t="s">
        <v>54</v>
      </c>
      <c r="F7" s="22">
        <v>1</v>
      </c>
      <c r="G7" s="107">
        <v>1349400</v>
      </c>
      <c r="H7" s="73"/>
      <c r="I7" s="45">
        <f t="shared" ref="I7:I53" si="0">L7-K7</f>
        <v>269880</v>
      </c>
      <c r="J7" s="46" t="s">
        <v>21</v>
      </c>
      <c r="K7" s="45">
        <f t="shared" ref="K7:K53" si="1">G7*0.05</f>
        <v>67470</v>
      </c>
      <c r="L7" s="45">
        <f t="shared" ref="L7:L53" si="2">IF(H7="NGUYỆN",G7*25%*75%,IF(H7="TOẢN",G7*25%*75%,IF(H7="TÂN",G7*25%*75%,G7*0.25)))</f>
        <v>337350</v>
      </c>
    </row>
    <row r="8" spans="1:12" s="22" customFormat="1">
      <c r="A8" s="44">
        <v>2</v>
      </c>
      <c r="B8" s="104" t="s">
        <v>1767</v>
      </c>
      <c r="C8" s="105" t="s">
        <v>1292</v>
      </c>
      <c r="D8" s="105" t="s">
        <v>1293</v>
      </c>
      <c r="E8" s="105" t="s">
        <v>54</v>
      </c>
      <c r="F8" s="105">
        <v>1</v>
      </c>
      <c r="G8" s="107">
        <v>4000000</v>
      </c>
      <c r="H8" s="73"/>
      <c r="I8" s="45">
        <f t="shared" si="0"/>
        <v>800000</v>
      </c>
      <c r="J8" s="46" t="s">
        <v>21</v>
      </c>
      <c r="K8" s="45">
        <f t="shared" si="1"/>
        <v>200000</v>
      </c>
      <c r="L8" s="45">
        <f t="shared" si="2"/>
        <v>1000000</v>
      </c>
    </row>
    <row r="9" spans="1:12" s="22" customFormat="1">
      <c r="A9" s="44">
        <v>3</v>
      </c>
      <c r="B9" s="104" t="s">
        <v>1241</v>
      </c>
      <c r="C9" s="105" t="s">
        <v>1262</v>
      </c>
      <c r="D9" s="105" t="s">
        <v>1263</v>
      </c>
      <c r="E9" s="105" t="s">
        <v>54</v>
      </c>
      <c r="F9" s="105">
        <v>1</v>
      </c>
      <c r="G9" s="107">
        <v>4000000</v>
      </c>
      <c r="H9" s="73"/>
      <c r="I9" s="45">
        <f t="shared" si="0"/>
        <v>800000</v>
      </c>
      <c r="J9" s="46" t="s">
        <v>21</v>
      </c>
      <c r="K9" s="45">
        <f t="shared" si="1"/>
        <v>200000</v>
      </c>
      <c r="L9" s="45">
        <f t="shared" si="2"/>
        <v>1000000</v>
      </c>
    </row>
    <row r="10" spans="1:12" s="22" customFormat="1">
      <c r="A10" s="44">
        <v>4</v>
      </c>
      <c r="B10" s="104" t="s">
        <v>1729</v>
      </c>
      <c r="C10" s="105" t="s">
        <v>1727</v>
      </c>
      <c r="D10" s="105" t="s">
        <v>1728</v>
      </c>
      <c r="E10" s="105" t="s">
        <v>54</v>
      </c>
      <c r="F10" s="105">
        <v>1</v>
      </c>
      <c r="G10" s="107">
        <v>4000000</v>
      </c>
      <c r="H10" s="74"/>
      <c r="I10" s="45">
        <f t="shared" si="0"/>
        <v>800000</v>
      </c>
      <c r="J10" s="46" t="s">
        <v>21</v>
      </c>
      <c r="K10" s="45">
        <f t="shared" si="1"/>
        <v>200000</v>
      </c>
      <c r="L10" s="45">
        <f t="shared" si="2"/>
        <v>1000000</v>
      </c>
    </row>
    <row r="11" spans="1:12" s="22" customFormat="1">
      <c r="A11" s="44">
        <v>5</v>
      </c>
      <c r="B11" s="103" t="s">
        <v>1776</v>
      </c>
      <c r="C11" s="103" t="s">
        <v>1775</v>
      </c>
      <c r="D11" s="103" t="s">
        <v>109</v>
      </c>
      <c r="E11" s="49" t="s">
        <v>54</v>
      </c>
      <c r="F11" s="49">
        <v>1</v>
      </c>
      <c r="G11" s="107">
        <v>4000000</v>
      </c>
      <c r="H11" s="73"/>
      <c r="I11" s="45">
        <f t="shared" si="0"/>
        <v>800000</v>
      </c>
      <c r="J11" s="46" t="s">
        <v>21</v>
      </c>
      <c r="K11" s="45">
        <f t="shared" si="1"/>
        <v>200000</v>
      </c>
      <c r="L11" s="45">
        <f t="shared" si="2"/>
        <v>1000000</v>
      </c>
    </row>
    <row r="12" spans="1:12" s="22" customFormat="1" ht="25.5">
      <c r="A12" s="44">
        <v>6</v>
      </c>
      <c r="B12" s="104" t="s">
        <v>1721</v>
      </c>
      <c r="C12" s="105" t="s">
        <v>1603</v>
      </c>
      <c r="D12" s="105" t="s">
        <v>97</v>
      </c>
      <c r="E12" s="105" t="s">
        <v>122</v>
      </c>
      <c r="F12" s="105">
        <v>1</v>
      </c>
      <c r="G12" s="107">
        <v>1000000</v>
      </c>
      <c r="H12" s="73"/>
      <c r="I12" s="45">
        <f t="shared" si="0"/>
        <v>200000</v>
      </c>
      <c r="J12" s="46" t="s">
        <v>21</v>
      </c>
      <c r="K12" s="45">
        <f t="shared" si="1"/>
        <v>50000</v>
      </c>
      <c r="L12" s="45">
        <f t="shared" si="2"/>
        <v>250000</v>
      </c>
    </row>
    <row r="13" spans="1:12" s="22" customFormat="1" ht="25.5">
      <c r="A13" s="44">
        <v>7</v>
      </c>
      <c r="B13" s="104" t="s">
        <v>1773</v>
      </c>
      <c r="C13" s="105" t="s">
        <v>1772</v>
      </c>
      <c r="D13" s="105" t="s">
        <v>97</v>
      </c>
      <c r="E13" s="105" t="s">
        <v>122</v>
      </c>
      <c r="F13" s="105">
        <v>1</v>
      </c>
      <c r="G13" s="107">
        <v>1000000</v>
      </c>
      <c r="H13" s="73"/>
      <c r="I13" s="45">
        <f t="shared" si="0"/>
        <v>200000</v>
      </c>
      <c r="J13" s="46" t="s">
        <v>21</v>
      </c>
      <c r="K13" s="45">
        <f t="shared" si="1"/>
        <v>50000</v>
      </c>
      <c r="L13" s="45">
        <f t="shared" si="2"/>
        <v>250000</v>
      </c>
    </row>
    <row r="14" spans="1:12" s="22" customFormat="1" ht="16.5" customHeight="1">
      <c r="A14" s="44">
        <v>8</v>
      </c>
      <c r="B14" s="104" t="s">
        <v>1758</v>
      </c>
      <c r="C14" s="105" t="s">
        <v>1756</v>
      </c>
      <c r="D14" s="105" t="s">
        <v>1757</v>
      </c>
      <c r="E14" s="105" t="s">
        <v>54</v>
      </c>
      <c r="F14" s="105">
        <v>1</v>
      </c>
      <c r="G14" s="107">
        <v>4000000</v>
      </c>
      <c r="H14" s="74"/>
      <c r="I14" s="45">
        <f t="shared" si="0"/>
        <v>800000</v>
      </c>
      <c r="J14" s="46" t="s">
        <v>21</v>
      </c>
      <c r="K14" s="45">
        <f t="shared" si="1"/>
        <v>200000</v>
      </c>
      <c r="L14" s="45">
        <f t="shared" si="2"/>
        <v>1000000</v>
      </c>
    </row>
    <row r="15" spans="1:12" s="22" customFormat="1" ht="25.5">
      <c r="A15" s="44">
        <v>9</v>
      </c>
      <c r="B15" s="104" t="s">
        <v>1717</v>
      </c>
      <c r="C15" s="105" t="s">
        <v>535</v>
      </c>
      <c r="D15" s="105" t="s">
        <v>536</v>
      </c>
      <c r="E15" s="105" t="s">
        <v>1716</v>
      </c>
      <c r="F15" s="105">
        <v>1</v>
      </c>
      <c r="G15" s="107">
        <v>2497500</v>
      </c>
      <c r="H15" s="74"/>
      <c r="I15" s="45">
        <f t="shared" si="0"/>
        <v>499500</v>
      </c>
      <c r="J15" s="46" t="s">
        <v>21</v>
      </c>
      <c r="K15" s="45">
        <f t="shared" si="1"/>
        <v>124875</v>
      </c>
      <c r="L15" s="45">
        <f t="shared" si="2"/>
        <v>624375</v>
      </c>
    </row>
    <row r="16" spans="1:12" s="22" customFormat="1">
      <c r="A16" s="44">
        <v>10</v>
      </c>
      <c r="B16" s="104" t="s">
        <v>1726</v>
      </c>
      <c r="C16" s="105" t="s">
        <v>1725</v>
      </c>
      <c r="D16" s="105" t="s">
        <v>118</v>
      </c>
      <c r="E16" s="105" t="s">
        <v>54</v>
      </c>
      <c r="F16" s="105">
        <v>1</v>
      </c>
      <c r="G16" s="107">
        <v>4000000</v>
      </c>
      <c r="H16" s="74"/>
      <c r="I16" s="45">
        <f t="shared" si="0"/>
        <v>800000</v>
      </c>
      <c r="J16" s="46" t="s">
        <v>21</v>
      </c>
      <c r="K16" s="45">
        <f t="shared" si="1"/>
        <v>200000</v>
      </c>
      <c r="L16" s="45">
        <f t="shared" si="2"/>
        <v>1000000</v>
      </c>
    </row>
    <row r="17" spans="1:12" s="22" customFormat="1" ht="25.5">
      <c r="A17" s="44">
        <v>11</v>
      </c>
      <c r="B17" s="104" t="s">
        <v>1325</v>
      </c>
      <c r="C17" s="105" t="s">
        <v>1770</v>
      </c>
      <c r="D17" s="105" t="s">
        <v>1771</v>
      </c>
      <c r="E17" s="105" t="s">
        <v>124</v>
      </c>
      <c r="F17" s="105">
        <v>1</v>
      </c>
      <c r="G17" s="107">
        <v>1500000</v>
      </c>
      <c r="H17" s="74"/>
      <c r="I17" s="45">
        <f t="shared" si="0"/>
        <v>300000</v>
      </c>
      <c r="J17" s="46" t="s">
        <v>21</v>
      </c>
      <c r="K17" s="45">
        <f t="shared" si="1"/>
        <v>75000</v>
      </c>
      <c r="L17" s="45">
        <f t="shared" si="2"/>
        <v>375000</v>
      </c>
    </row>
    <row r="18" spans="1:12" s="22" customFormat="1" ht="18" customHeight="1">
      <c r="A18" s="44">
        <v>12</v>
      </c>
      <c r="B18" s="103" t="s">
        <v>1447</v>
      </c>
      <c r="C18" s="103" t="s">
        <v>1754</v>
      </c>
      <c r="D18" s="103" t="s">
        <v>1755</v>
      </c>
      <c r="E18" s="49" t="s">
        <v>122</v>
      </c>
      <c r="F18" s="49">
        <v>1</v>
      </c>
      <c r="G18" s="107">
        <v>1000000</v>
      </c>
      <c r="H18" s="74"/>
      <c r="I18" s="45">
        <f t="shared" si="0"/>
        <v>200000</v>
      </c>
      <c r="J18" s="46" t="s">
        <v>21</v>
      </c>
      <c r="K18" s="45">
        <f t="shared" si="1"/>
        <v>50000</v>
      </c>
      <c r="L18" s="45">
        <f t="shared" si="2"/>
        <v>250000</v>
      </c>
    </row>
    <row r="19" spans="1:12" s="22" customFormat="1">
      <c r="A19" s="44">
        <v>13</v>
      </c>
      <c r="B19" s="104" t="s">
        <v>1769</v>
      </c>
      <c r="C19" s="104" t="s">
        <v>1768</v>
      </c>
      <c r="D19" s="104" t="s">
        <v>101</v>
      </c>
      <c r="E19" s="105" t="s">
        <v>54</v>
      </c>
      <c r="F19" s="105">
        <v>1</v>
      </c>
      <c r="G19" s="107">
        <v>4000000</v>
      </c>
      <c r="H19" s="74"/>
      <c r="I19" s="45"/>
      <c r="J19" s="46"/>
      <c r="K19" s="45"/>
      <c r="L19" s="45"/>
    </row>
    <row r="20" spans="1:12" s="22" customFormat="1" ht="25.5">
      <c r="A20" s="44">
        <v>14</v>
      </c>
      <c r="B20" s="104" t="s">
        <v>1745</v>
      </c>
      <c r="C20" s="105" t="s">
        <v>1743</v>
      </c>
      <c r="D20" s="105" t="s">
        <v>1744</v>
      </c>
      <c r="E20" s="105" t="s">
        <v>122</v>
      </c>
      <c r="F20" s="105">
        <v>1</v>
      </c>
      <c r="G20" s="107">
        <v>1000000</v>
      </c>
      <c r="H20" s="74"/>
      <c r="I20" s="45"/>
      <c r="J20" s="46"/>
      <c r="K20" s="45"/>
      <c r="L20" s="45"/>
    </row>
    <row r="21" spans="1:12" s="22" customFormat="1" ht="25.5">
      <c r="A21" s="44">
        <v>15</v>
      </c>
      <c r="B21" s="104" t="s">
        <v>1732</v>
      </c>
      <c r="C21" s="105" t="s">
        <v>1730</v>
      </c>
      <c r="D21" s="105" t="s">
        <v>1731</v>
      </c>
      <c r="E21" s="105" t="s">
        <v>122</v>
      </c>
      <c r="F21" s="105">
        <v>1</v>
      </c>
      <c r="G21" s="107">
        <v>1000000</v>
      </c>
      <c r="H21" s="76"/>
      <c r="I21" s="45"/>
      <c r="J21" s="46"/>
      <c r="K21" s="45"/>
      <c r="L21" s="45"/>
    </row>
    <row r="22" spans="1:12" s="22" customFormat="1" ht="25.5">
      <c r="A22" s="44">
        <v>16</v>
      </c>
      <c r="B22" s="103" t="s">
        <v>1748</v>
      </c>
      <c r="C22" s="103" t="s">
        <v>1746</v>
      </c>
      <c r="D22" s="103" t="s">
        <v>1747</v>
      </c>
      <c r="E22" s="49" t="s">
        <v>122</v>
      </c>
      <c r="F22" s="49">
        <v>1</v>
      </c>
      <c r="G22" s="107">
        <v>1000000</v>
      </c>
      <c r="H22" s="75"/>
      <c r="I22" s="45"/>
      <c r="J22" s="46"/>
      <c r="K22" s="45"/>
      <c r="L22" s="45"/>
    </row>
    <row r="23" spans="1:12" s="22" customFormat="1">
      <c r="A23" s="44">
        <v>17</v>
      </c>
      <c r="B23" s="104" t="s">
        <v>1774</v>
      </c>
      <c r="C23" s="105" t="s">
        <v>1566</v>
      </c>
      <c r="D23" s="105" t="s">
        <v>108</v>
      </c>
      <c r="E23" s="105" t="s">
        <v>54</v>
      </c>
      <c r="F23" s="105">
        <v>1</v>
      </c>
      <c r="G23" s="107">
        <v>4000000</v>
      </c>
      <c r="H23" s="76"/>
      <c r="I23" s="45"/>
      <c r="J23" s="46"/>
      <c r="K23" s="45"/>
      <c r="L23" s="45"/>
    </row>
    <row r="24" spans="1:12" s="22" customFormat="1" ht="25.5">
      <c r="A24" s="44">
        <v>18</v>
      </c>
      <c r="B24" s="104" t="s">
        <v>1753</v>
      </c>
      <c r="C24" s="105" t="s">
        <v>1751</v>
      </c>
      <c r="D24" s="105" t="s">
        <v>1752</v>
      </c>
      <c r="E24" s="105" t="s">
        <v>122</v>
      </c>
      <c r="F24" s="105">
        <v>1</v>
      </c>
      <c r="G24" s="107">
        <v>1000000</v>
      </c>
      <c r="H24" s="76"/>
      <c r="I24" s="45"/>
      <c r="J24" s="46"/>
      <c r="K24" s="45"/>
      <c r="L24" s="45"/>
    </row>
    <row r="25" spans="1:12" s="22" customFormat="1" ht="25.5">
      <c r="A25" s="44">
        <v>19</v>
      </c>
      <c r="B25" s="104" t="s">
        <v>1720</v>
      </c>
      <c r="C25" s="105" t="s">
        <v>1718</v>
      </c>
      <c r="D25" s="105" t="s">
        <v>1719</v>
      </c>
      <c r="E25" s="105" t="s">
        <v>134</v>
      </c>
      <c r="F25" s="105">
        <v>1</v>
      </c>
      <c r="G25" s="107">
        <v>3184700</v>
      </c>
      <c r="H25" s="76"/>
      <c r="I25" s="45"/>
      <c r="J25" s="46"/>
      <c r="K25" s="45"/>
      <c r="L25" s="45"/>
    </row>
    <row r="26" spans="1:12" s="22" customFormat="1">
      <c r="A26" s="44">
        <v>20</v>
      </c>
      <c r="B26" s="104" t="s">
        <v>1724</v>
      </c>
      <c r="C26" s="105" t="s">
        <v>1722</v>
      </c>
      <c r="D26" s="105" t="s">
        <v>1723</v>
      </c>
      <c r="E26" s="105" t="s">
        <v>193</v>
      </c>
      <c r="F26" s="105">
        <v>1</v>
      </c>
      <c r="G26" s="107">
        <v>3000000</v>
      </c>
      <c r="H26" s="76"/>
      <c r="I26" s="45"/>
      <c r="J26" s="46"/>
      <c r="K26" s="45"/>
      <c r="L26" s="45"/>
    </row>
    <row r="27" spans="1:12" s="22" customFormat="1">
      <c r="A27" s="44">
        <v>21</v>
      </c>
      <c r="B27" s="103" t="s">
        <v>1390</v>
      </c>
      <c r="C27" s="103" t="s">
        <v>1784</v>
      </c>
      <c r="D27" s="103" t="s">
        <v>106</v>
      </c>
      <c r="E27" s="49" t="s">
        <v>54</v>
      </c>
      <c r="F27" s="49">
        <v>1</v>
      </c>
      <c r="G27" s="107">
        <v>4000000</v>
      </c>
      <c r="H27" s="76"/>
      <c r="I27" s="45"/>
      <c r="J27" s="46"/>
      <c r="K27" s="45"/>
      <c r="L27" s="45"/>
    </row>
    <row r="28" spans="1:12" s="22" customFormat="1" ht="25.5">
      <c r="A28" s="44">
        <v>22</v>
      </c>
      <c r="B28" s="104" t="s">
        <v>1177</v>
      </c>
      <c r="C28" s="105" t="s">
        <v>1763</v>
      </c>
      <c r="D28" s="105" t="s">
        <v>123</v>
      </c>
      <c r="E28" s="105" t="s">
        <v>124</v>
      </c>
      <c r="F28" s="105">
        <v>1</v>
      </c>
      <c r="G28" s="107">
        <v>1500000</v>
      </c>
      <c r="H28" s="76"/>
      <c r="I28" s="45"/>
      <c r="J28" s="46"/>
      <c r="K28" s="45"/>
      <c r="L28" s="45"/>
    </row>
    <row r="29" spans="1:12" s="22" customFormat="1">
      <c r="A29" s="44">
        <v>23</v>
      </c>
      <c r="B29" s="104" t="s">
        <v>1148</v>
      </c>
      <c r="C29" s="105" t="s">
        <v>1779</v>
      </c>
      <c r="D29" s="105" t="s">
        <v>1780</v>
      </c>
      <c r="E29" s="105" t="s">
        <v>54</v>
      </c>
      <c r="F29" s="105">
        <v>1</v>
      </c>
      <c r="G29" s="107">
        <v>4000000</v>
      </c>
      <c r="H29" s="76"/>
      <c r="I29" s="45"/>
      <c r="J29" s="46"/>
      <c r="K29" s="45"/>
      <c r="L29" s="45"/>
    </row>
    <row r="30" spans="1:12" s="22" customFormat="1">
      <c r="A30" s="44">
        <v>24</v>
      </c>
      <c r="B30" s="104" t="s">
        <v>1766</v>
      </c>
      <c r="C30" s="105" t="s">
        <v>1764</v>
      </c>
      <c r="D30" s="105" t="s">
        <v>1765</v>
      </c>
      <c r="E30" s="105" t="s">
        <v>54</v>
      </c>
      <c r="F30" s="105">
        <v>1</v>
      </c>
      <c r="G30" s="107">
        <v>4000000</v>
      </c>
      <c r="H30" s="76"/>
      <c r="I30" s="45"/>
      <c r="J30" s="46"/>
      <c r="K30" s="45"/>
      <c r="L30" s="45"/>
    </row>
    <row r="31" spans="1:12" s="22" customFormat="1" ht="25.5">
      <c r="A31" s="44">
        <v>25</v>
      </c>
      <c r="B31" s="104" t="s">
        <v>1734</v>
      </c>
      <c r="C31" s="105" t="s">
        <v>1733</v>
      </c>
      <c r="D31" s="105" t="s">
        <v>108</v>
      </c>
      <c r="E31" s="105" t="s">
        <v>122</v>
      </c>
      <c r="F31" s="105">
        <v>1</v>
      </c>
      <c r="G31" s="107">
        <v>1000000</v>
      </c>
      <c r="H31" s="76"/>
      <c r="I31" s="45"/>
      <c r="J31" s="46"/>
      <c r="K31" s="45"/>
      <c r="L31" s="45"/>
    </row>
    <row r="32" spans="1:12" s="22" customFormat="1">
      <c r="A32" s="44">
        <v>26</v>
      </c>
      <c r="B32" s="104" t="s">
        <v>1406</v>
      </c>
      <c r="C32" s="105" t="s">
        <v>1762</v>
      </c>
      <c r="D32" s="105" t="s">
        <v>98</v>
      </c>
      <c r="E32" s="105" t="s">
        <v>54</v>
      </c>
      <c r="F32" s="105">
        <v>1</v>
      </c>
      <c r="G32" s="107">
        <v>4000000</v>
      </c>
      <c r="H32" s="76"/>
      <c r="I32" s="45"/>
      <c r="J32" s="46"/>
      <c r="K32" s="45"/>
      <c r="L32" s="45"/>
    </row>
    <row r="33" spans="1:12" s="22" customFormat="1">
      <c r="A33" s="44">
        <v>27</v>
      </c>
      <c r="B33" s="104" t="s">
        <v>1736</v>
      </c>
      <c r="C33" s="105" t="s">
        <v>1735</v>
      </c>
      <c r="D33" s="105" t="s">
        <v>106</v>
      </c>
      <c r="E33" s="105" t="s">
        <v>54</v>
      </c>
      <c r="F33" s="105">
        <v>1</v>
      </c>
      <c r="G33" s="107">
        <v>4000000</v>
      </c>
      <c r="H33" s="76"/>
      <c r="I33" s="45"/>
      <c r="J33" s="46"/>
      <c r="K33" s="45"/>
      <c r="L33" s="45"/>
    </row>
    <row r="34" spans="1:12" s="22" customFormat="1" ht="25.5">
      <c r="A34" s="44">
        <v>28</v>
      </c>
      <c r="B34" s="104" t="s">
        <v>1778</v>
      </c>
      <c r="C34" s="105" t="s">
        <v>1777</v>
      </c>
      <c r="D34" s="105" t="s">
        <v>106</v>
      </c>
      <c r="E34" s="105" t="s">
        <v>122</v>
      </c>
      <c r="F34" s="105">
        <v>1</v>
      </c>
      <c r="G34" s="107">
        <v>1000000</v>
      </c>
      <c r="H34" s="76"/>
      <c r="I34" s="45"/>
      <c r="J34" s="46"/>
      <c r="K34" s="45"/>
      <c r="L34" s="45"/>
    </row>
    <row r="35" spans="1:12" s="22" customFormat="1">
      <c r="A35" s="44">
        <v>29</v>
      </c>
      <c r="B35" s="104" t="s">
        <v>1750</v>
      </c>
      <c r="C35" s="105" t="s">
        <v>1749</v>
      </c>
      <c r="D35" s="105" t="s">
        <v>95</v>
      </c>
      <c r="E35" s="105" t="s">
        <v>54</v>
      </c>
      <c r="F35" s="105">
        <v>1</v>
      </c>
      <c r="G35" s="107">
        <v>4000000</v>
      </c>
      <c r="H35" s="76"/>
      <c r="I35" s="45"/>
      <c r="J35" s="46"/>
      <c r="K35" s="45"/>
      <c r="L35" s="45"/>
    </row>
    <row r="36" spans="1:12" s="22" customFormat="1" ht="25.5">
      <c r="A36" s="44">
        <v>30</v>
      </c>
      <c r="B36" s="104" t="s">
        <v>1739</v>
      </c>
      <c r="C36" s="105" t="s">
        <v>1737</v>
      </c>
      <c r="D36" s="105" t="s">
        <v>1738</v>
      </c>
      <c r="E36" s="105" t="s">
        <v>122</v>
      </c>
      <c r="F36" s="105">
        <v>1</v>
      </c>
      <c r="G36" s="107">
        <v>1000000</v>
      </c>
      <c r="H36" s="76"/>
      <c r="I36" s="45"/>
      <c r="J36" s="46"/>
      <c r="K36" s="45"/>
      <c r="L36" s="45"/>
    </row>
    <row r="37" spans="1:12" s="22" customFormat="1">
      <c r="A37" s="44">
        <v>31</v>
      </c>
      <c r="B37" s="104" t="s">
        <v>1742</v>
      </c>
      <c r="C37" s="105" t="s">
        <v>1740</v>
      </c>
      <c r="D37" s="105" t="s">
        <v>1741</v>
      </c>
      <c r="E37" s="105" t="s">
        <v>54</v>
      </c>
      <c r="F37" s="105">
        <v>1</v>
      </c>
      <c r="G37" s="107">
        <v>4000000</v>
      </c>
      <c r="H37" s="76"/>
      <c r="I37" s="45"/>
      <c r="J37" s="46"/>
      <c r="K37" s="45"/>
      <c r="L37" s="45"/>
    </row>
    <row r="38" spans="1:12" s="22" customFormat="1" ht="25.5">
      <c r="A38" s="44">
        <v>32</v>
      </c>
      <c r="B38" s="104" t="s">
        <v>1761</v>
      </c>
      <c r="C38" s="105" t="s">
        <v>1759</v>
      </c>
      <c r="D38" s="105" t="s">
        <v>1760</v>
      </c>
      <c r="E38" s="105" t="s">
        <v>122</v>
      </c>
      <c r="F38" s="105">
        <v>1</v>
      </c>
      <c r="G38" s="107">
        <v>1000000</v>
      </c>
      <c r="H38" s="76"/>
      <c r="I38" s="45"/>
      <c r="J38" s="46"/>
      <c r="K38" s="45"/>
      <c r="L38" s="45"/>
    </row>
    <row r="39" spans="1:12" s="22" customFormat="1">
      <c r="A39" s="44">
        <v>33</v>
      </c>
      <c r="B39" s="104" t="s">
        <v>1783</v>
      </c>
      <c r="C39" s="105" t="s">
        <v>1781</v>
      </c>
      <c r="D39" s="105" t="s">
        <v>1782</v>
      </c>
      <c r="E39" s="105" t="s">
        <v>54</v>
      </c>
      <c r="F39" s="105">
        <v>1</v>
      </c>
      <c r="G39" s="107">
        <v>4000000</v>
      </c>
      <c r="H39" s="76"/>
      <c r="I39" s="45"/>
      <c r="J39" s="46"/>
      <c r="K39" s="45"/>
      <c r="L39" s="45"/>
    </row>
    <row r="40" spans="1:12" s="22" customFormat="1">
      <c r="A40" s="44"/>
      <c r="B40" s="104"/>
      <c r="C40" s="105"/>
      <c r="D40" s="105"/>
      <c r="E40" s="105"/>
      <c r="F40" s="105"/>
      <c r="G40" s="107"/>
      <c r="H40" s="76"/>
      <c r="I40" s="45"/>
      <c r="J40" s="46"/>
      <c r="K40" s="45"/>
      <c r="L40" s="45"/>
    </row>
    <row r="41" spans="1:12" s="22" customFormat="1">
      <c r="A41" s="44"/>
      <c r="B41" s="104"/>
      <c r="C41" s="105"/>
      <c r="D41" s="105"/>
      <c r="E41" s="105"/>
      <c r="F41" s="105"/>
      <c r="G41" s="107"/>
      <c r="H41" s="76"/>
      <c r="I41" s="45"/>
      <c r="J41" s="46"/>
      <c r="K41" s="45"/>
      <c r="L41" s="45"/>
    </row>
    <row r="42" spans="1:12" s="22" customFormat="1">
      <c r="A42" s="44"/>
      <c r="B42" s="104"/>
      <c r="C42" s="105"/>
      <c r="D42" s="105"/>
      <c r="E42" s="105"/>
      <c r="F42" s="105"/>
      <c r="G42" s="107"/>
      <c r="H42" s="76"/>
      <c r="I42" s="45"/>
      <c r="J42" s="46"/>
      <c r="K42" s="45"/>
      <c r="L42" s="45"/>
    </row>
    <row r="43" spans="1:12" s="22" customFormat="1">
      <c r="A43" s="44"/>
      <c r="B43" s="104"/>
      <c r="C43" s="105"/>
      <c r="D43" s="105"/>
      <c r="E43" s="105"/>
      <c r="F43" s="105"/>
      <c r="G43" s="107"/>
      <c r="H43" s="76"/>
      <c r="I43" s="45"/>
      <c r="J43" s="46"/>
      <c r="K43" s="45"/>
      <c r="L43" s="45"/>
    </row>
    <row r="44" spans="1:12" s="22" customFormat="1">
      <c r="A44" s="44"/>
      <c r="B44" s="104"/>
      <c r="C44" s="105"/>
      <c r="D44" s="105"/>
      <c r="E44" s="105"/>
      <c r="F44" s="105"/>
      <c r="G44" s="107"/>
      <c r="H44" s="76"/>
      <c r="I44" s="45"/>
      <c r="J44" s="46"/>
      <c r="K44" s="45"/>
      <c r="L44" s="45"/>
    </row>
    <row r="45" spans="1:12" s="22" customFormat="1">
      <c r="A45" s="44"/>
      <c r="B45" s="104"/>
      <c r="C45" s="105"/>
      <c r="D45" s="105"/>
      <c r="E45" s="105"/>
      <c r="F45" s="105"/>
      <c r="G45" s="107"/>
      <c r="H45" s="76"/>
      <c r="I45" s="45"/>
      <c r="J45" s="46"/>
      <c r="K45" s="45"/>
      <c r="L45" s="45"/>
    </row>
    <row r="46" spans="1:12" s="22" customFormat="1">
      <c r="A46" s="44"/>
      <c r="B46" s="104"/>
      <c r="C46" s="105"/>
      <c r="D46" s="105"/>
      <c r="E46" s="105"/>
      <c r="F46" s="105"/>
      <c r="G46" s="107"/>
      <c r="H46" s="76"/>
      <c r="I46" s="45"/>
      <c r="J46" s="46"/>
      <c r="K46" s="45"/>
      <c r="L46" s="45"/>
    </row>
    <row r="47" spans="1:12" s="22" customFormat="1">
      <c r="A47" s="44"/>
      <c r="B47" s="104"/>
      <c r="C47" s="105"/>
      <c r="D47" s="105"/>
      <c r="E47" s="105"/>
      <c r="F47" s="105"/>
      <c r="G47" s="107"/>
      <c r="H47" s="76"/>
      <c r="I47" s="45"/>
      <c r="J47" s="46"/>
      <c r="K47" s="45"/>
      <c r="L47" s="45"/>
    </row>
    <row r="48" spans="1:12" s="22" customFormat="1">
      <c r="A48" s="44"/>
      <c r="B48" s="104"/>
      <c r="C48" s="105"/>
      <c r="D48" s="105"/>
      <c r="E48" s="105"/>
      <c r="F48" s="105"/>
      <c r="G48" s="107"/>
      <c r="H48" s="76"/>
      <c r="I48" s="45"/>
      <c r="J48" s="46"/>
      <c r="K48" s="45"/>
      <c r="L48" s="45"/>
    </row>
    <row r="49" spans="1:12" s="22" customFormat="1">
      <c r="A49" s="44"/>
      <c r="B49" s="104"/>
      <c r="C49" s="105"/>
      <c r="D49" s="105"/>
      <c r="E49" s="105"/>
      <c r="F49" s="105"/>
      <c r="G49" s="107"/>
      <c r="H49" s="76"/>
      <c r="I49" s="45"/>
      <c r="J49" s="46"/>
      <c r="K49" s="45"/>
      <c r="L49" s="45"/>
    </row>
    <row r="50" spans="1:12" s="22" customFormat="1">
      <c r="A50" s="44"/>
      <c r="B50" s="104"/>
      <c r="C50" s="105"/>
      <c r="D50" s="105"/>
      <c r="E50" s="105"/>
      <c r="F50" s="105"/>
      <c r="G50" s="107"/>
      <c r="H50" s="76"/>
      <c r="I50" s="45"/>
      <c r="J50" s="46"/>
      <c r="K50" s="45"/>
      <c r="L50" s="45"/>
    </row>
    <row r="51" spans="1:12" s="22" customFormat="1">
      <c r="A51" s="44"/>
      <c r="B51" s="104"/>
      <c r="C51" s="105"/>
      <c r="D51" s="105"/>
      <c r="E51" s="105"/>
      <c r="F51" s="105"/>
      <c r="G51" s="107"/>
      <c r="H51" s="76"/>
      <c r="I51" s="45"/>
      <c r="J51" s="46"/>
      <c r="K51" s="45"/>
      <c r="L51" s="45"/>
    </row>
    <row r="52" spans="1:12" s="22" customFormat="1">
      <c r="A52" s="44"/>
      <c r="B52" s="104"/>
      <c r="C52" s="105"/>
      <c r="D52" s="105"/>
      <c r="E52" s="105"/>
      <c r="F52" s="105"/>
      <c r="G52" s="107"/>
      <c r="H52" s="76"/>
      <c r="I52" s="45"/>
      <c r="J52" s="46"/>
      <c r="K52" s="45"/>
      <c r="L52" s="45"/>
    </row>
    <row r="53" spans="1:12" s="22" customFormat="1">
      <c r="A53" s="44"/>
      <c r="B53" s="104"/>
      <c r="C53" s="104"/>
      <c r="D53" s="104"/>
      <c r="E53" s="105"/>
      <c r="F53" s="105"/>
      <c r="G53" s="55"/>
      <c r="H53" s="75"/>
      <c r="I53" s="45">
        <f t="shared" si="0"/>
        <v>0</v>
      </c>
      <c r="J53" s="46"/>
      <c r="K53" s="45">
        <f t="shared" si="1"/>
        <v>0</v>
      </c>
      <c r="L53" s="45">
        <f t="shared" si="2"/>
        <v>0</v>
      </c>
    </row>
    <row r="54" spans="1:12" s="22" customFormat="1">
      <c r="A54" s="77"/>
      <c r="B54" s="194"/>
      <c r="C54" s="47" t="s">
        <v>18</v>
      </c>
      <c r="D54" s="78"/>
      <c r="E54" s="79"/>
      <c r="F54" s="48">
        <f>SUM(F7:F53)</f>
        <v>33</v>
      </c>
      <c r="G54" s="48">
        <f>SUM(G7:G53)</f>
        <v>88031600</v>
      </c>
      <c r="H54" s="71"/>
      <c r="I54" s="48">
        <f>SUM(I7:I53)</f>
        <v>6469380</v>
      </c>
      <c r="J54" s="48"/>
      <c r="K54" s="48">
        <f>SUM(K7:K53)</f>
        <v>1617345</v>
      </c>
      <c r="L54" s="48">
        <f>SUM(L7:L53)</f>
        <v>8086725</v>
      </c>
    </row>
    <row r="55" spans="1:12" ht="16.5">
      <c r="A55" s="80"/>
      <c r="B55" s="195"/>
      <c r="C55" s="81"/>
      <c r="D55" s="82"/>
      <c r="E55" s="81"/>
      <c r="F55" s="81"/>
      <c r="G55" s="83"/>
      <c r="H55" s="218" t="s">
        <v>301</v>
      </c>
      <c r="I55" s="218"/>
      <c r="J55" s="218"/>
      <c r="K55" s="218"/>
      <c r="L55" s="218"/>
    </row>
    <row r="56" spans="1:12" ht="18.75" customHeight="1">
      <c r="A56" s="219" t="s">
        <v>13</v>
      </c>
      <c r="B56" s="219"/>
      <c r="C56" s="219"/>
      <c r="D56" s="84"/>
      <c r="E56" s="85"/>
      <c r="F56" s="85"/>
      <c r="G56" s="86"/>
      <c r="H56" s="218" t="s">
        <v>32</v>
      </c>
      <c r="I56" s="218"/>
      <c r="J56" s="218"/>
      <c r="K56" s="218"/>
      <c r="L56" s="218"/>
    </row>
    <row r="57" spans="1:12" ht="16.5">
      <c r="A57" s="80"/>
      <c r="B57" s="80"/>
      <c r="C57" s="87"/>
      <c r="D57" s="88"/>
      <c r="E57" s="87"/>
      <c r="F57" s="87"/>
      <c r="G57" s="86"/>
      <c r="H57" s="90"/>
      <c r="I57" s="80"/>
      <c r="J57" s="80"/>
      <c r="K57" s="80"/>
      <c r="L57" s="91"/>
    </row>
    <row r="58" spans="1:12" ht="16.5">
      <c r="A58" s="80"/>
      <c r="B58" s="80"/>
      <c r="C58" s="87"/>
      <c r="D58" s="88"/>
      <c r="E58" s="87"/>
      <c r="F58" s="87"/>
      <c r="G58" s="89"/>
      <c r="H58" s="90"/>
      <c r="I58" s="80"/>
      <c r="J58" s="80"/>
      <c r="K58" s="80"/>
      <c r="L58" s="91"/>
    </row>
    <row r="59" spans="1:12" ht="21" customHeight="1">
      <c r="A59" s="80"/>
      <c r="B59" s="80"/>
      <c r="C59" s="87"/>
      <c r="D59" s="92"/>
      <c r="E59" s="87"/>
      <c r="F59" s="87"/>
      <c r="G59" s="86"/>
      <c r="H59" s="90"/>
      <c r="I59" s="80"/>
      <c r="J59" s="80"/>
      <c r="K59" s="80"/>
      <c r="L59" s="93"/>
    </row>
    <row r="60" spans="1:12" ht="16.5">
      <c r="A60" s="217" t="s">
        <v>23</v>
      </c>
      <c r="B60" s="217"/>
      <c r="C60" s="217"/>
      <c r="D60" s="92"/>
      <c r="E60" s="87"/>
      <c r="F60" s="87"/>
      <c r="G60" s="86"/>
      <c r="H60" s="220" t="s">
        <v>31</v>
      </c>
      <c r="I60" s="220"/>
      <c r="J60" s="220"/>
      <c r="K60" s="220"/>
      <c r="L60" s="220"/>
    </row>
    <row r="61" spans="1:12" ht="16.5">
      <c r="A61" s="80"/>
      <c r="B61" s="80"/>
      <c r="C61" s="87"/>
      <c r="D61" s="92"/>
      <c r="E61" s="87"/>
      <c r="F61" s="87"/>
      <c r="G61" s="89"/>
      <c r="H61" s="90"/>
      <c r="I61" s="80"/>
      <c r="J61" s="80"/>
      <c r="K61" s="80"/>
      <c r="L61" s="80"/>
    </row>
  </sheetData>
  <autoFilter ref="A6:XEX56" xr:uid="{00000000-0009-0000-0000-000009000000}"/>
  <mergeCells count="9">
    <mergeCell ref="A1:D1"/>
    <mergeCell ref="A2:D2"/>
    <mergeCell ref="A3:L3"/>
    <mergeCell ref="A4:L4"/>
    <mergeCell ref="A60:C60"/>
    <mergeCell ref="H55:L55"/>
    <mergeCell ref="A56:C56"/>
    <mergeCell ref="H60:L60"/>
    <mergeCell ref="H56:L56"/>
  </mergeCells>
  <phoneticPr fontId="0" type="noConversion"/>
  <pageMargins left="0.47831632653061223" right="0.39328231292517007" top="0.38" bottom="0.39" header="0.54" footer="0.61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8E11B-65BB-4178-958B-1D7D71B70DFE}">
  <sheetPr>
    <tabColor rgb="FFFFFF00"/>
  </sheetPr>
  <dimension ref="A1:IE1249"/>
  <sheetViews>
    <sheetView workbookViewId="0">
      <pane xSplit="5" ySplit="8" topLeftCell="F1203" activePane="bottomRight" state="frozen"/>
      <selection pane="topRight" activeCell="F1" sqref="F1"/>
      <selection pane="bottomLeft" activeCell="A9" sqref="A9"/>
      <selection pane="bottomRight" activeCell="E1214" sqref="E1214"/>
    </sheetView>
  </sheetViews>
  <sheetFormatPr defaultRowHeight="12.75"/>
  <cols>
    <col min="1" max="1" width="6.28515625" customWidth="1"/>
    <col min="2" max="2" width="10.7109375" customWidth="1"/>
    <col min="3" max="3" width="22.7109375" customWidth="1"/>
    <col min="4" max="4" width="8" customWidth="1"/>
    <col min="5" max="5" width="32.28515625" customWidth="1"/>
    <col min="6" max="6" width="6.85546875" customWidth="1"/>
    <col min="7" max="7" width="13.28515625" customWidth="1"/>
  </cols>
  <sheetData>
    <row r="1" spans="1:10" ht="16.5">
      <c r="A1" s="109" t="s">
        <v>42</v>
      </c>
      <c r="C1" s="109"/>
      <c r="D1" s="109"/>
      <c r="E1" s="109"/>
      <c r="F1" s="110"/>
    </row>
    <row r="2" spans="1:10">
      <c r="A2" s="110"/>
      <c r="B2" s="110"/>
      <c r="C2" s="110"/>
      <c r="D2" s="110"/>
      <c r="E2" s="110"/>
      <c r="F2" s="110"/>
    </row>
    <row r="3" spans="1:10" ht="18.75">
      <c r="A3" s="221" t="s">
        <v>53</v>
      </c>
      <c r="B3" s="221"/>
      <c r="C3" s="221"/>
      <c r="D3" s="221"/>
      <c r="E3" s="221"/>
      <c r="F3" s="221"/>
      <c r="G3" s="221"/>
      <c r="H3" s="111"/>
      <c r="I3" s="111"/>
      <c r="J3" s="111"/>
    </row>
    <row r="4" spans="1:10" ht="16.5">
      <c r="A4" s="222" t="str">
        <f>phauthuat!A4</f>
        <v>THÁNG 8/2026</v>
      </c>
      <c r="B4" s="222"/>
      <c r="C4" s="222"/>
      <c r="D4" s="222"/>
      <c r="E4" s="222"/>
      <c r="F4" s="222"/>
      <c r="G4" s="222"/>
      <c r="H4" s="109"/>
      <c r="I4" s="109"/>
      <c r="J4" s="109"/>
    </row>
    <row r="5" spans="1:10">
      <c r="A5" s="110"/>
      <c r="B5" s="110"/>
      <c r="C5" s="110"/>
      <c r="D5" s="110"/>
      <c r="E5" s="110"/>
      <c r="F5" s="112" t="s">
        <v>43</v>
      </c>
      <c r="G5" s="115">
        <f>IF((D7-D6)&gt;0,D7-D6,0)</f>
        <v>0</v>
      </c>
    </row>
    <row r="6" spans="1:10">
      <c r="A6" s="113" t="s">
        <v>52</v>
      </c>
      <c r="C6" s="113"/>
      <c r="D6" s="114">
        <f>40*31</f>
        <v>1240</v>
      </c>
      <c r="E6" s="113"/>
      <c r="F6" s="112" t="s">
        <v>44</v>
      </c>
      <c r="G6" s="115">
        <f>IF(D7-D6*0.8&gt;0,(D7-D6*0.8)-G5,0)</f>
        <v>24</v>
      </c>
    </row>
    <row r="7" spans="1:10">
      <c r="A7" s="113" t="s">
        <v>45</v>
      </c>
      <c r="C7" s="113"/>
      <c r="D7" s="116">
        <f>F1203</f>
        <v>1016</v>
      </c>
      <c r="E7" s="113"/>
      <c r="F7" s="112" t="s">
        <v>46</v>
      </c>
      <c r="G7" s="223">
        <f>D7/D6*100%</f>
        <v>0.8193548387096774</v>
      </c>
      <c r="H7" s="187"/>
    </row>
    <row r="8" spans="1:10" ht="15.75">
      <c r="A8" s="117" t="s">
        <v>2</v>
      </c>
      <c r="B8" s="117" t="s">
        <v>9</v>
      </c>
      <c r="C8" s="117" t="s">
        <v>12</v>
      </c>
      <c r="D8" s="117" t="s">
        <v>3</v>
      </c>
      <c r="E8" s="117" t="s">
        <v>47</v>
      </c>
      <c r="F8" s="118" t="s">
        <v>48</v>
      </c>
      <c r="G8" s="118" t="s">
        <v>49</v>
      </c>
    </row>
    <row r="9" spans="1:10" ht="15.75">
      <c r="A9" s="119">
        <v>1</v>
      </c>
      <c r="B9" s="119" t="s">
        <v>608</v>
      </c>
      <c r="C9" s="119" t="s">
        <v>607</v>
      </c>
      <c r="D9" s="119" t="s">
        <v>106</v>
      </c>
      <c r="E9" s="119" t="s">
        <v>87</v>
      </c>
      <c r="F9" s="120">
        <v>1</v>
      </c>
      <c r="G9" s="120">
        <v>222300</v>
      </c>
    </row>
    <row r="10" spans="1:10" ht="15.75">
      <c r="A10" s="119">
        <v>2</v>
      </c>
      <c r="B10" s="119" t="s">
        <v>203</v>
      </c>
      <c r="C10" s="119" t="s">
        <v>607</v>
      </c>
      <c r="D10" s="119" t="s">
        <v>106</v>
      </c>
      <c r="E10" s="119" t="s">
        <v>87</v>
      </c>
      <c r="F10" s="120">
        <v>1</v>
      </c>
      <c r="G10" s="120">
        <v>222300</v>
      </c>
    </row>
    <row r="11" spans="1:10" ht="15.75">
      <c r="A11" s="119">
        <v>3</v>
      </c>
      <c r="B11" s="119" t="s">
        <v>204</v>
      </c>
      <c r="C11" s="119" t="s">
        <v>607</v>
      </c>
      <c r="D11" s="119" t="s">
        <v>106</v>
      </c>
      <c r="E11" s="119" t="s">
        <v>87</v>
      </c>
      <c r="F11" s="120">
        <v>1</v>
      </c>
      <c r="G11" s="120">
        <v>222300</v>
      </c>
    </row>
    <row r="12" spans="1:10" ht="15.75">
      <c r="A12" s="119">
        <v>4</v>
      </c>
      <c r="B12" s="119" t="s">
        <v>678</v>
      </c>
      <c r="C12" s="119" t="s">
        <v>677</v>
      </c>
      <c r="D12" s="119" t="s">
        <v>147</v>
      </c>
      <c r="E12" s="119" t="s">
        <v>87</v>
      </c>
      <c r="F12" s="120">
        <v>1</v>
      </c>
      <c r="G12" s="120">
        <v>222300</v>
      </c>
    </row>
    <row r="13" spans="1:10" ht="15.75">
      <c r="A13" s="119">
        <v>5</v>
      </c>
      <c r="B13" s="119" t="s">
        <v>200</v>
      </c>
      <c r="C13" s="119" t="s">
        <v>607</v>
      </c>
      <c r="D13" s="119" t="s">
        <v>106</v>
      </c>
      <c r="E13" s="119" t="s">
        <v>87</v>
      </c>
      <c r="F13" s="120">
        <v>1</v>
      </c>
      <c r="G13" s="120">
        <v>222300</v>
      </c>
    </row>
    <row r="14" spans="1:10" ht="15.75">
      <c r="A14" s="119">
        <v>6</v>
      </c>
      <c r="B14" s="119" t="s">
        <v>200</v>
      </c>
      <c r="C14" s="119" t="s">
        <v>677</v>
      </c>
      <c r="D14" s="119" t="s">
        <v>147</v>
      </c>
      <c r="E14" s="119" t="s">
        <v>87</v>
      </c>
      <c r="F14" s="120">
        <v>1</v>
      </c>
      <c r="G14" s="120">
        <v>222300</v>
      </c>
    </row>
    <row r="15" spans="1:10" ht="15.75">
      <c r="A15" s="119">
        <v>7</v>
      </c>
      <c r="B15" s="119" t="s">
        <v>202</v>
      </c>
      <c r="C15" s="119" t="s">
        <v>607</v>
      </c>
      <c r="D15" s="119" t="s">
        <v>106</v>
      </c>
      <c r="E15" s="119" t="s">
        <v>87</v>
      </c>
      <c r="F15" s="120">
        <v>1</v>
      </c>
      <c r="G15" s="120">
        <v>222300</v>
      </c>
    </row>
    <row r="16" spans="1:10" ht="15.75">
      <c r="A16" s="119">
        <v>8</v>
      </c>
      <c r="B16" s="119" t="s">
        <v>202</v>
      </c>
      <c r="C16" s="119" t="s">
        <v>677</v>
      </c>
      <c r="D16" s="119" t="s">
        <v>147</v>
      </c>
      <c r="E16" s="119" t="s">
        <v>87</v>
      </c>
      <c r="F16" s="120">
        <v>1</v>
      </c>
      <c r="G16" s="120">
        <v>222300</v>
      </c>
    </row>
    <row r="17" spans="1:7" ht="15.75">
      <c r="A17" s="119">
        <v>9</v>
      </c>
      <c r="B17" s="119" t="s">
        <v>962</v>
      </c>
      <c r="C17" s="119" t="s">
        <v>961</v>
      </c>
      <c r="D17" s="119" t="s">
        <v>154</v>
      </c>
      <c r="E17" s="119" t="s">
        <v>87</v>
      </c>
      <c r="F17" s="120">
        <v>1</v>
      </c>
      <c r="G17" s="120">
        <v>222300</v>
      </c>
    </row>
    <row r="18" spans="1:7" ht="15.75">
      <c r="A18" s="119">
        <v>10</v>
      </c>
      <c r="B18" s="119" t="s">
        <v>201</v>
      </c>
      <c r="C18" s="119" t="s">
        <v>607</v>
      </c>
      <c r="D18" s="119" t="s">
        <v>106</v>
      </c>
      <c r="E18" s="119" t="s">
        <v>87</v>
      </c>
      <c r="F18" s="120">
        <v>1</v>
      </c>
      <c r="G18" s="120">
        <v>222300</v>
      </c>
    </row>
    <row r="19" spans="1:7" ht="15.75">
      <c r="A19" s="119">
        <v>11</v>
      </c>
      <c r="B19" s="119" t="s">
        <v>201</v>
      </c>
      <c r="C19" s="119" t="s">
        <v>677</v>
      </c>
      <c r="D19" s="119" t="s">
        <v>147</v>
      </c>
      <c r="E19" s="119" t="s">
        <v>87</v>
      </c>
      <c r="F19" s="120">
        <v>1</v>
      </c>
      <c r="G19" s="120">
        <v>222300</v>
      </c>
    </row>
    <row r="20" spans="1:7" ht="15.75">
      <c r="A20" s="119">
        <v>12</v>
      </c>
      <c r="B20" s="119" t="s">
        <v>201</v>
      </c>
      <c r="C20" s="119" t="s">
        <v>961</v>
      </c>
      <c r="D20" s="119" t="s">
        <v>154</v>
      </c>
      <c r="E20" s="119" t="s">
        <v>87</v>
      </c>
      <c r="F20" s="120">
        <v>1</v>
      </c>
      <c r="G20" s="120">
        <v>222300</v>
      </c>
    </row>
    <row r="21" spans="1:7" ht="15.75">
      <c r="A21" s="119">
        <v>13</v>
      </c>
      <c r="B21" s="119" t="s">
        <v>877</v>
      </c>
      <c r="C21" s="119" t="s">
        <v>876</v>
      </c>
      <c r="D21" s="119" t="s">
        <v>108</v>
      </c>
      <c r="E21" s="119" t="s">
        <v>87</v>
      </c>
      <c r="F21" s="120">
        <v>1</v>
      </c>
      <c r="G21" s="120">
        <v>222300</v>
      </c>
    </row>
    <row r="22" spans="1:7" ht="15.75">
      <c r="A22" s="119">
        <v>14</v>
      </c>
      <c r="B22" s="119" t="s">
        <v>213</v>
      </c>
      <c r="C22" s="119" t="s">
        <v>876</v>
      </c>
      <c r="D22" s="119" t="s">
        <v>108</v>
      </c>
      <c r="E22" s="119" t="s">
        <v>87</v>
      </c>
      <c r="F22" s="120">
        <v>1</v>
      </c>
      <c r="G22" s="120">
        <v>222300</v>
      </c>
    </row>
    <row r="23" spans="1:7" ht="15.75">
      <c r="A23" s="119">
        <v>15</v>
      </c>
      <c r="B23" s="119" t="s">
        <v>213</v>
      </c>
      <c r="C23" s="119" t="s">
        <v>961</v>
      </c>
      <c r="D23" s="119" t="s">
        <v>154</v>
      </c>
      <c r="E23" s="119" t="s">
        <v>87</v>
      </c>
      <c r="F23" s="120">
        <v>1</v>
      </c>
      <c r="G23" s="120">
        <v>222300</v>
      </c>
    </row>
    <row r="24" spans="1:7" ht="15.75">
      <c r="A24" s="119">
        <v>16</v>
      </c>
      <c r="B24" s="119" t="s">
        <v>610</v>
      </c>
      <c r="C24" s="119" t="s">
        <v>607</v>
      </c>
      <c r="D24" s="119" t="s">
        <v>106</v>
      </c>
      <c r="E24" s="119" t="s">
        <v>89</v>
      </c>
      <c r="F24" s="120">
        <v>1</v>
      </c>
      <c r="G24" s="120">
        <v>341800</v>
      </c>
    </row>
    <row r="25" spans="1:7" ht="15.75">
      <c r="A25" s="119">
        <v>17</v>
      </c>
      <c r="B25" s="119" t="s">
        <v>679</v>
      </c>
      <c r="C25" s="119" t="s">
        <v>677</v>
      </c>
      <c r="D25" s="119" t="s">
        <v>147</v>
      </c>
      <c r="E25" s="119" t="s">
        <v>89</v>
      </c>
      <c r="F25" s="120">
        <v>1</v>
      </c>
      <c r="G25" s="120">
        <v>341800</v>
      </c>
    </row>
    <row r="26" spans="1:7" ht="15.75">
      <c r="A26" s="119">
        <v>18</v>
      </c>
      <c r="B26" s="119" t="s">
        <v>206</v>
      </c>
      <c r="C26" s="119" t="s">
        <v>607</v>
      </c>
      <c r="D26" s="119" t="s">
        <v>106</v>
      </c>
      <c r="E26" s="119" t="s">
        <v>89</v>
      </c>
      <c r="F26" s="120">
        <v>1</v>
      </c>
      <c r="G26" s="120">
        <v>341800</v>
      </c>
    </row>
    <row r="27" spans="1:7" ht="15.75">
      <c r="A27" s="119">
        <v>19</v>
      </c>
      <c r="B27" s="119" t="s">
        <v>206</v>
      </c>
      <c r="C27" s="119" t="s">
        <v>677</v>
      </c>
      <c r="D27" s="119" t="s">
        <v>147</v>
      </c>
      <c r="E27" s="119" t="s">
        <v>89</v>
      </c>
      <c r="F27" s="120">
        <v>1</v>
      </c>
      <c r="G27" s="120">
        <v>341800</v>
      </c>
    </row>
    <row r="28" spans="1:7" ht="15.75">
      <c r="A28" s="119">
        <v>20</v>
      </c>
      <c r="B28" s="119" t="s">
        <v>206</v>
      </c>
      <c r="C28" s="119" t="s">
        <v>876</v>
      </c>
      <c r="D28" s="119" t="s">
        <v>108</v>
      </c>
      <c r="E28" s="119" t="s">
        <v>87</v>
      </c>
      <c r="F28" s="120">
        <v>1</v>
      </c>
      <c r="G28" s="120">
        <v>222300</v>
      </c>
    </row>
    <row r="29" spans="1:7" ht="15.75">
      <c r="A29" s="119">
        <v>21</v>
      </c>
      <c r="B29" s="119" t="s">
        <v>206</v>
      </c>
      <c r="C29" s="119" t="s">
        <v>961</v>
      </c>
      <c r="D29" s="119" t="s">
        <v>154</v>
      </c>
      <c r="E29" s="119" t="s">
        <v>87</v>
      </c>
      <c r="F29" s="120">
        <v>1</v>
      </c>
      <c r="G29" s="120">
        <v>222300</v>
      </c>
    </row>
    <row r="30" spans="1:7" ht="15.75">
      <c r="A30" s="119">
        <v>22</v>
      </c>
      <c r="B30" s="119" t="s">
        <v>1018</v>
      </c>
      <c r="C30" s="119" t="s">
        <v>1017</v>
      </c>
      <c r="D30" s="119" t="s">
        <v>98</v>
      </c>
      <c r="E30" s="119" t="s">
        <v>87</v>
      </c>
      <c r="F30" s="120">
        <v>1</v>
      </c>
      <c r="G30" s="120">
        <v>222300</v>
      </c>
    </row>
    <row r="31" spans="1:7" ht="15.75">
      <c r="A31" s="119">
        <v>23</v>
      </c>
      <c r="B31" s="119" t="s">
        <v>208</v>
      </c>
      <c r="C31" s="119" t="s">
        <v>607</v>
      </c>
      <c r="D31" s="119" t="s">
        <v>106</v>
      </c>
      <c r="E31" s="119" t="s">
        <v>89</v>
      </c>
      <c r="F31" s="120">
        <v>1</v>
      </c>
      <c r="G31" s="120">
        <v>341800</v>
      </c>
    </row>
    <row r="32" spans="1:7" ht="15.75">
      <c r="A32" s="119">
        <v>24</v>
      </c>
      <c r="B32" s="119" t="s">
        <v>208</v>
      </c>
      <c r="C32" s="119" t="s">
        <v>677</v>
      </c>
      <c r="D32" s="119" t="s">
        <v>147</v>
      </c>
      <c r="E32" s="119" t="s">
        <v>89</v>
      </c>
      <c r="F32" s="120">
        <v>1</v>
      </c>
      <c r="G32" s="120">
        <v>341800</v>
      </c>
    </row>
    <row r="33" spans="1:7" ht="15.75">
      <c r="A33" s="119">
        <v>25</v>
      </c>
      <c r="B33" s="119" t="s">
        <v>208</v>
      </c>
      <c r="C33" s="119" t="s">
        <v>876</v>
      </c>
      <c r="D33" s="119" t="s">
        <v>108</v>
      </c>
      <c r="E33" s="119" t="s">
        <v>87</v>
      </c>
      <c r="F33" s="120">
        <v>1</v>
      </c>
      <c r="G33" s="120">
        <v>222300</v>
      </c>
    </row>
    <row r="34" spans="1:7" ht="15.75">
      <c r="A34" s="119">
        <v>26</v>
      </c>
      <c r="B34" s="119" t="s">
        <v>208</v>
      </c>
      <c r="C34" s="119" t="s">
        <v>961</v>
      </c>
      <c r="D34" s="119" t="s">
        <v>154</v>
      </c>
      <c r="E34" s="119" t="s">
        <v>87</v>
      </c>
      <c r="F34" s="120">
        <v>1</v>
      </c>
      <c r="G34" s="120">
        <v>222300</v>
      </c>
    </row>
    <row r="35" spans="1:7" ht="15.75">
      <c r="A35" s="119">
        <v>27</v>
      </c>
      <c r="B35" s="119" t="s">
        <v>208</v>
      </c>
      <c r="C35" s="119" t="s">
        <v>1017</v>
      </c>
      <c r="D35" s="119" t="s">
        <v>98</v>
      </c>
      <c r="E35" s="119" t="s">
        <v>87</v>
      </c>
      <c r="F35" s="120">
        <v>1</v>
      </c>
      <c r="G35" s="120">
        <v>222300</v>
      </c>
    </row>
    <row r="36" spans="1:7" ht="15.75">
      <c r="A36" s="119">
        <v>28</v>
      </c>
      <c r="B36" s="119" t="s">
        <v>211</v>
      </c>
      <c r="C36" s="119" t="s">
        <v>607</v>
      </c>
      <c r="D36" s="119" t="s">
        <v>106</v>
      </c>
      <c r="E36" s="119" t="s">
        <v>89</v>
      </c>
      <c r="F36" s="120">
        <v>1</v>
      </c>
      <c r="G36" s="120">
        <v>341800</v>
      </c>
    </row>
    <row r="37" spans="1:7" ht="15.75">
      <c r="A37" s="119">
        <v>29</v>
      </c>
      <c r="B37" s="119" t="s">
        <v>211</v>
      </c>
      <c r="C37" s="119" t="s">
        <v>677</v>
      </c>
      <c r="D37" s="119" t="s">
        <v>147</v>
      </c>
      <c r="E37" s="119" t="s">
        <v>89</v>
      </c>
      <c r="F37" s="120">
        <v>1</v>
      </c>
      <c r="G37" s="120">
        <v>341800</v>
      </c>
    </row>
    <row r="38" spans="1:7" ht="15.75">
      <c r="A38" s="119">
        <v>30</v>
      </c>
      <c r="B38" s="119" t="s">
        <v>211</v>
      </c>
      <c r="C38" s="119" t="s">
        <v>876</v>
      </c>
      <c r="D38" s="119" t="s">
        <v>108</v>
      </c>
      <c r="E38" s="119" t="s">
        <v>87</v>
      </c>
      <c r="F38" s="120">
        <v>1</v>
      </c>
      <c r="G38" s="120">
        <v>222300</v>
      </c>
    </row>
    <row r="39" spans="1:7" ht="15.75">
      <c r="A39" s="119">
        <v>31</v>
      </c>
      <c r="B39" s="119" t="s">
        <v>211</v>
      </c>
      <c r="C39" s="119" t="s">
        <v>961</v>
      </c>
      <c r="D39" s="119" t="s">
        <v>154</v>
      </c>
      <c r="E39" s="119" t="s">
        <v>87</v>
      </c>
      <c r="F39" s="120">
        <v>1</v>
      </c>
      <c r="G39" s="120">
        <v>222300</v>
      </c>
    </row>
    <row r="40" spans="1:7" ht="15.75">
      <c r="A40" s="119">
        <v>32</v>
      </c>
      <c r="B40" s="119" t="s">
        <v>211</v>
      </c>
      <c r="C40" s="119" t="s">
        <v>739</v>
      </c>
      <c r="D40" s="119" t="s">
        <v>252</v>
      </c>
      <c r="E40" s="119" t="s">
        <v>90</v>
      </c>
      <c r="F40" s="120">
        <v>1</v>
      </c>
      <c r="G40" s="120">
        <v>269200</v>
      </c>
    </row>
    <row r="41" spans="1:7" ht="15.75">
      <c r="A41" s="119">
        <v>33</v>
      </c>
      <c r="B41" s="119" t="s">
        <v>211</v>
      </c>
      <c r="C41" s="119" t="s">
        <v>1017</v>
      </c>
      <c r="D41" s="119" t="s">
        <v>98</v>
      </c>
      <c r="E41" s="119" t="s">
        <v>87</v>
      </c>
      <c r="F41" s="120">
        <v>1</v>
      </c>
      <c r="G41" s="120">
        <v>222300</v>
      </c>
    </row>
    <row r="42" spans="1:7" ht="15.75">
      <c r="A42" s="119">
        <v>34</v>
      </c>
      <c r="B42" s="119" t="s">
        <v>791</v>
      </c>
      <c r="C42" s="119" t="s">
        <v>789</v>
      </c>
      <c r="D42" s="119" t="s">
        <v>790</v>
      </c>
      <c r="E42" s="119" t="s">
        <v>87</v>
      </c>
      <c r="F42" s="120">
        <v>1</v>
      </c>
      <c r="G42" s="120">
        <v>222300</v>
      </c>
    </row>
    <row r="43" spans="1:7" ht="15.75">
      <c r="A43" s="119">
        <v>35</v>
      </c>
      <c r="B43" s="119" t="s">
        <v>700</v>
      </c>
      <c r="C43" s="119" t="s">
        <v>699</v>
      </c>
      <c r="D43" s="119" t="s">
        <v>105</v>
      </c>
      <c r="E43" s="119" t="s">
        <v>87</v>
      </c>
      <c r="F43" s="120">
        <v>1</v>
      </c>
      <c r="G43" s="120">
        <v>222300</v>
      </c>
    </row>
    <row r="44" spans="1:7" ht="15.75">
      <c r="A44" s="119">
        <v>36</v>
      </c>
      <c r="B44" s="119" t="s">
        <v>205</v>
      </c>
      <c r="C44" s="119" t="s">
        <v>607</v>
      </c>
      <c r="D44" s="119" t="s">
        <v>106</v>
      </c>
      <c r="E44" s="119" t="s">
        <v>89</v>
      </c>
      <c r="F44" s="120">
        <v>1</v>
      </c>
      <c r="G44" s="120">
        <v>341800</v>
      </c>
    </row>
    <row r="45" spans="1:7" ht="15.75">
      <c r="A45" s="119">
        <v>37</v>
      </c>
      <c r="B45" s="119" t="s">
        <v>205</v>
      </c>
      <c r="C45" s="119" t="s">
        <v>677</v>
      </c>
      <c r="D45" s="119" t="s">
        <v>147</v>
      </c>
      <c r="E45" s="119" t="s">
        <v>89</v>
      </c>
      <c r="F45" s="120">
        <v>1</v>
      </c>
      <c r="G45" s="120">
        <v>341800</v>
      </c>
    </row>
    <row r="46" spans="1:7" ht="15.75">
      <c r="A46" s="119">
        <v>38</v>
      </c>
      <c r="B46" s="119" t="s">
        <v>205</v>
      </c>
      <c r="C46" s="119" t="s">
        <v>699</v>
      </c>
      <c r="D46" s="119" t="s">
        <v>105</v>
      </c>
      <c r="E46" s="119" t="s">
        <v>87</v>
      </c>
      <c r="F46" s="120">
        <v>1</v>
      </c>
      <c r="G46" s="120">
        <v>222300</v>
      </c>
    </row>
    <row r="47" spans="1:7" ht="15.75">
      <c r="A47" s="119">
        <v>39</v>
      </c>
      <c r="B47" s="119" t="s">
        <v>205</v>
      </c>
      <c r="C47" s="119" t="s">
        <v>739</v>
      </c>
      <c r="D47" s="119" t="s">
        <v>252</v>
      </c>
      <c r="E47" s="119" t="s">
        <v>90</v>
      </c>
      <c r="F47" s="120">
        <v>1</v>
      </c>
      <c r="G47" s="120">
        <v>269200</v>
      </c>
    </row>
    <row r="48" spans="1:7" ht="15.75">
      <c r="A48" s="119">
        <v>40</v>
      </c>
      <c r="B48" s="119" t="s">
        <v>205</v>
      </c>
      <c r="C48" s="119" t="s">
        <v>789</v>
      </c>
      <c r="D48" s="119" t="s">
        <v>790</v>
      </c>
      <c r="E48" s="119" t="s">
        <v>87</v>
      </c>
      <c r="F48" s="120">
        <v>1</v>
      </c>
      <c r="G48" s="120">
        <v>222300</v>
      </c>
    </row>
    <row r="49" spans="1:7" ht="15.75">
      <c r="A49" s="119">
        <v>41</v>
      </c>
      <c r="B49" s="119" t="s">
        <v>205</v>
      </c>
      <c r="C49" s="119" t="s">
        <v>876</v>
      </c>
      <c r="D49" s="119" t="s">
        <v>108</v>
      </c>
      <c r="E49" s="119" t="s">
        <v>87</v>
      </c>
      <c r="F49" s="120">
        <v>1</v>
      </c>
      <c r="G49" s="120">
        <v>222300</v>
      </c>
    </row>
    <row r="50" spans="1:7" ht="15.75">
      <c r="A50" s="119">
        <v>42</v>
      </c>
      <c r="B50" s="119" t="s">
        <v>205</v>
      </c>
      <c r="C50" s="119" t="s">
        <v>961</v>
      </c>
      <c r="D50" s="119" t="s">
        <v>154</v>
      </c>
      <c r="E50" s="119" t="s">
        <v>87</v>
      </c>
      <c r="F50" s="120">
        <v>1</v>
      </c>
      <c r="G50" s="120">
        <v>222300</v>
      </c>
    </row>
    <row r="51" spans="1:7" ht="15.75">
      <c r="A51" s="119">
        <v>43</v>
      </c>
      <c r="B51" s="119" t="s">
        <v>205</v>
      </c>
      <c r="C51" s="119" t="s">
        <v>1017</v>
      </c>
      <c r="D51" s="119" t="s">
        <v>98</v>
      </c>
      <c r="E51" s="119" t="s">
        <v>87</v>
      </c>
      <c r="F51" s="120">
        <v>1</v>
      </c>
      <c r="G51" s="120">
        <v>222300</v>
      </c>
    </row>
    <row r="52" spans="1:7" ht="15.75">
      <c r="A52" s="119">
        <v>44</v>
      </c>
      <c r="B52" s="119" t="s">
        <v>209</v>
      </c>
      <c r="C52" s="119" t="s">
        <v>607</v>
      </c>
      <c r="D52" s="119" t="s">
        <v>106</v>
      </c>
      <c r="E52" s="119" t="s">
        <v>89</v>
      </c>
      <c r="F52" s="120">
        <v>1</v>
      </c>
      <c r="G52" s="120">
        <v>341800</v>
      </c>
    </row>
    <row r="53" spans="1:7" ht="15.75">
      <c r="A53" s="119">
        <v>45</v>
      </c>
      <c r="B53" s="119" t="s">
        <v>209</v>
      </c>
      <c r="C53" s="119" t="s">
        <v>677</v>
      </c>
      <c r="D53" s="119" t="s">
        <v>147</v>
      </c>
      <c r="E53" s="119" t="s">
        <v>89</v>
      </c>
      <c r="F53" s="120">
        <v>1</v>
      </c>
      <c r="G53" s="120">
        <v>341800</v>
      </c>
    </row>
    <row r="54" spans="1:7" ht="15.75">
      <c r="A54" s="119">
        <v>46</v>
      </c>
      <c r="B54" s="119" t="s">
        <v>209</v>
      </c>
      <c r="C54" s="119" t="s">
        <v>699</v>
      </c>
      <c r="D54" s="119" t="s">
        <v>105</v>
      </c>
      <c r="E54" s="119" t="s">
        <v>87</v>
      </c>
      <c r="F54" s="120">
        <v>1</v>
      </c>
      <c r="G54" s="120">
        <v>222300</v>
      </c>
    </row>
    <row r="55" spans="1:7" ht="15.75">
      <c r="A55" s="119">
        <v>47</v>
      </c>
      <c r="B55" s="119" t="s">
        <v>209</v>
      </c>
      <c r="C55" s="119" t="s">
        <v>739</v>
      </c>
      <c r="D55" s="119" t="s">
        <v>252</v>
      </c>
      <c r="E55" s="119" t="s">
        <v>90</v>
      </c>
      <c r="F55" s="120">
        <v>1</v>
      </c>
      <c r="G55" s="120">
        <v>269200</v>
      </c>
    </row>
    <row r="56" spans="1:7" ht="15.75">
      <c r="A56" s="119">
        <v>48</v>
      </c>
      <c r="B56" s="119" t="s">
        <v>209</v>
      </c>
      <c r="C56" s="119" t="s">
        <v>789</v>
      </c>
      <c r="D56" s="119" t="s">
        <v>790</v>
      </c>
      <c r="E56" s="119" t="s">
        <v>87</v>
      </c>
      <c r="F56" s="120">
        <v>1</v>
      </c>
      <c r="G56" s="120">
        <v>222300</v>
      </c>
    </row>
    <row r="57" spans="1:7" ht="15.75">
      <c r="A57" s="119">
        <v>49</v>
      </c>
      <c r="B57" s="119" t="s">
        <v>209</v>
      </c>
      <c r="C57" s="119" t="s">
        <v>876</v>
      </c>
      <c r="D57" s="119" t="s">
        <v>108</v>
      </c>
      <c r="E57" s="119" t="s">
        <v>87</v>
      </c>
      <c r="F57" s="120">
        <v>1</v>
      </c>
      <c r="G57" s="120">
        <v>222300</v>
      </c>
    </row>
    <row r="58" spans="1:7" ht="15.75">
      <c r="A58" s="119">
        <v>50</v>
      </c>
      <c r="B58" s="119" t="s">
        <v>209</v>
      </c>
      <c r="C58" s="119" t="s">
        <v>961</v>
      </c>
      <c r="D58" s="119" t="s">
        <v>154</v>
      </c>
      <c r="E58" s="119" t="s">
        <v>87</v>
      </c>
      <c r="F58" s="120">
        <v>1</v>
      </c>
      <c r="G58" s="120">
        <v>222300</v>
      </c>
    </row>
    <row r="59" spans="1:7" ht="15.75">
      <c r="A59" s="119">
        <v>51</v>
      </c>
      <c r="B59" s="119" t="s">
        <v>209</v>
      </c>
      <c r="C59" s="119" t="s">
        <v>1017</v>
      </c>
      <c r="D59" s="119" t="s">
        <v>98</v>
      </c>
      <c r="E59" s="119" t="s">
        <v>87</v>
      </c>
      <c r="F59" s="120">
        <v>1</v>
      </c>
      <c r="G59" s="120">
        <v>222300</v>
      </c>
    </row>
    <row r="60" spans="1:7" ht="15.75">
      <c r="A60" s="119">
        <v>52</v>
      </c>
      <c r="B60" s="119" t="s">
        <v>210</v>
      </c>
      <c r="C60" s="119" t="s">
        <v>876</v>
      </c>
      <c r="D60" s="119" t="s">
        <v>108</v>
      </c>
      <c r="E60" s="119" t="s">
        <v>87</v>
      </c>
      <c r="F60" s="120">
        <v>1</v>
      </c>
      <c r="G60" s="120">
        <v>222300</v>
      </c>
    </row>
    <row r="61" spans="1:7" ht="15.75">
      <c r="A61" s="119">
        <v>53</v>
      </c>
      <c r="B61" s="119" t="s">
        <v>207</v>
      </c>
      <c r="C61" s="119" t="s">
        <v>607</v>
      </c>
      <c r="D61" s="119" t="s">
        <v>106</v>
      </c>
      <c r="E61" s="119" t="s">
        <v>89</v>
      </c>
      <c r="F61" s="120">
        <v>1</v>
      </c>
      <c r="G61" s="120">
        <v>341800</v>
      </c>
    </row>
    <row r="62" spans="1:7" ht="15.75">
      <c r="A62" s="119">
        <v>54</v>
      </c>
      <c r="B62" s="119" t="s">
        <v>207</v>
      </c>
      <c r="C62" s="119" t="s">
        <v>677</v>
      </c>
      <c r="D62" s="119" t="s">
        <v>147</v>
      </c>
      <c r="E62" s="119" t="s">
        <v>89</v>
      </c>
      <c r="F62" s="120">
        <v>1</v>
      </c>
      <c r="G62" s="120">
        <v>341800</v>
      </c>
    </row>
    <row r="63" spans="1:7" ht="15.75">
      <c r="A63" s="119">
        <v>55</v>
      </c>
      <c r="B63" s="119" t="s">
        <v>207</v>
      </c>
      <c r="C63" s="119" t="s">
        <v>699</v>
      </c>
      <c r="D63" s="119" t="s">
        <v>105</v>
      </c>
      <c r="E63" s="119" t="s">
        <v>87</v>
      </c>
      <c r="F63" s="120">
        <v>1</v>
      </c>
      <c r="G63" s="120">
        <v>222300</v>
      </c>
    </row>
    <row r="64" spans="1:7" ht="15.75">
      <c r="A64" s="119">
        <v>56</v>
      </c>
      <c r="B64" s="119" t="s">
        <v>207</v>
      </c>
      <c r="C64" s="119" t="s">
        <v>739</v>
      </c>
      <c r="D64" s="119" t="s">
        <v>252</v>
      </c>
      <c r="E64" s="119" t="s">
        <v>90</v>
      </c>
      <c r="F64" s="120">
        <v>1</v>
      </c>
      <c r="G64" s="120">
        <v>269200</v>
      </c>
    </row>
    <row r="65" spans="1:7" ht="15.75">
      <c r="A65" s="119">
        <v>57</v>
      </c>
      <c r="B65" s="119" t="s">
        <v>207</v>
      </c>
      <c r="C65" s="119" t="s">
        <v>789</v>
      </c>
      <c r="D65" s="119" t="s">
        <v>790</v>
      </c>
      <c r="E65" s="119" t="s">
        <v>87</v>
      </c>
      <c r="F65" s="120">
        <v>1</v>
      </c>
      <c r="G65" s="120">
        <v>222300</v>
      </c>
    </row>
    <row r="66" spans="1:7" ht="15.75">
      <c r="A66" s="119">
        <v>58</v>
      </c>
      <c r="B66" s="119" t="s">
        <v>207</v>
      </c>
      <c r="C66" s="119" t="s">
        <v>961</v>
      </c>
      <c r="D66" s="119" t="s">
        <v>154</v>
      </c>
      <c r="E66" s="119" t="s">
        <v>87</v>
      </c>
      <c r="F66" s="120">
        <v>1</v>
      </c>
      <c r="G66" s="120">
        <v>222300</v>
      </c>
    </row>
    <row r="67" spans="1:7" ht="15.75">
      <c r="A67" s="119">
        <v>59</v>
      </c>
      <c r="B67" s="119" t="s">
        <v>748</v>
      </c>
      <c r="C67" s="119" t="s">
        <v>746</v>
      </c>
      <c r="D67" s="119" t="s">
        <v>747</v>
      </c>
      <c r="E67" s="119" t="s">
        <v>87</v>
      </c>
      <c r="F67" s="120">
        <v>1</v>
      </c>
      <c r="G67" s="120">
        <v>222300</v>
      </c>
    </row>
    <row r="68" spans="1:7" ht="15.75">
      <c r="A68" s="119">
        <v>60</v>
      </c>
      <c r="B68" s="119" t="s">
        <v>602</v>
      </c>
      <c r="C68" s="119" t="s">
        <v>311</v>
      </c>
      <c r="D68" s="119" t="s">
        <v>600</v>
      </c>
      <c r="E68" s="119" t="s">
        <v>87</v>
      </c>
      <c r="F68" s="120">
        <v>1</v>
      </c>
      <c r="G68" s="120">
        <v>222300</v>
      </c>
    </row>
    <row r="69" spans="1:7" ht="15.75">
      <c r="A69" s="119">
        <v>61</v>
      </c>
      <c r="B69" s="119" t="s">
        <v>745</v>
      </c>
      <c r="C69" s="119" t="s">
        <v>744</v>
      </c>
      <c r="D69" s="119" t="s">
        <v>130</v>
      </c>
      <c r="E69" s="119" t="s">
        <v>87</v>
      </c>
      <c r="F69" s="120">
        <v>1</v>
      </c>
      <c r="G69" s="120">
        <v>222300</v>
      </c>
    </row>
    <row r="70" spans="1:7" ht="15.75">
      <c r="A70" s="119">
        <v>62</v>
      </c>
      <c r="B70" s="119" t="s">
        <v>1020</v>
      </c>
      <c r="C70" s="119" t="s">
        <v>1017</v>
      </c>
      <c r="D70" s="119" t="s">
        <v>98</v>
      </c>
      <c r="E70" s="119" t="s">
        <v>89</v>
      </c>
      <c r="F70" s="120">
        <v>1</v>
      </c>
      <c r="G70" s="120">
        <v>341800</v>
      </c>
    </row>
    <row r="71" spans="1:7" ht="15.75">
      <c r="A71" s="119">
        <v>63</v>
      </c>
      <c r="B71" s="119" t="s">
        <v>942</v>
      </c>
      <c r="C71" s="119" t="s">
        <v>222</v>
      </c>
      <c r="D71" s="119" t="s">
        <v>100</v>
      </c>
      <c r="E71" s="119" t="s">
        <v>87</v>
      </c>
      <c r="F71" s="120">
        <v>1</v>
      </c>
      <c r="G71" s="120">
        <v>222300</v>
      </c>
    </row>
    <row r="72" spans="1:7" ht="15.75">
      <c r="A72" s="119">
        <v>64</v>
      </c>
      <c r="B72" s="119" t="s">
        <v>215</v>
      </c>
      <c r="C72" s="119" t="s">
        <v>311</v>
      </c>
      <c r="D72" s="119" t="s">
        <v>600</v>
      </c>
      <c r="E72" s="119" t="s">
        <v>87</v>
      </c>
      <c r="F72" s="120">
        <v>1</v>
      </c>
      <c r="G72" s="120">
        <v>222300</v>
      </c>
    </row>
    <row r="73" spans="1:7" ht="15.75">
      <c r="A73" s="119">
        <v>65</v>
      </c>
      <c r="B73" s="119" t="s">
        <v>215</v>
      </c>
      <c r="C73" s="119" t="s">
        <v>607</v>
      </c>
      <c r="D73" s="119" t="s">
        <v>106</v>
      </c>
      <c r="E73" s="119" t="s">
        <v>89</v>
      </c>
      <c r="F73" s="120">
        <v>1</v>
      </c>
      <c r="G73" s="120">
        <v>341800</v>
      </c>
    </row>
    <row r="74" spans="1:7" ht="15.75">
      <c r="A74" s="119">
        <v>66</v>
      </c>
      <c r="B74" s="119" t="s">
        <v>215</v>
      </c>
      <c r="C74" s="119" t="s">
        <v>667</v>
      </c>
      <c r="D74" s="119" t="s">
        <v>128</v>
      </c>
      <c r="E74" s="119" t="s">
        <v>87</v>
      </c>
      <c r="F74" s="120">
        <v>1</v>
      </c>
      <c r="G74" s="120">
        <v>222300</v>
      </c>
    </row>
    <row r="75" spans="1:7" ht="15.75">
      <c r="A75" s="119">
        <v>67</v>
      </c>
      <c r="B75" s="119" t="s">
        <v>215</v>
      </c>
      <c r="C75" s="119" t="s">
        <v>677</v>
      </c>
      <c r="D75" s="119" t="s">
        <v>147</v>
      </c>
      <c r="E75" s="119" t="s">
        <v>89</v>
      </c>
      <c r="F75" s="120">
        <v>1</v>
      </c>
      <c r="G75" s="120">
        <v>341800</v>
      </c>
    </row>
    <row r="76" spans="1:7" ht="15.75">
      <c r="A76" s="119">
        <v>68</v>
      </c>
      <c r="B76" s="119" t="s">
        <v>215</v>
      </c>
      <c r="C76" s="119" t="s">
        <v>699</v>
      </c>
      <c r="D76" s="119" t="s">
        <v>105</v>
      </c>
      <c r="E76" s="119" t="s">
        <v>87</v>
      </c>
      <c r="F76" s="120">
        <v>1</v>
      </c>
      <c r="G76" s="120">
        <v>222300</v>
      </c>
    </row>
    <row r="77" spans="1:7" ht="15.75">
      <c r="A77" s="119">
        <v>69</v>
      </c>
      <c r="B77" s="119" t="s">
        <v>215</v>
      </c>
      <c r="C77" s="119" t="s">
        <v>739</v>
      </c>
      <c r="D77" s="119" t="s">
        <v>252</v>
      </c>
      <c r="E77" s="119" t="s">
        <v>90</v>
      </c>
      <c r="F77" s="120">
        <v>1</v>
      </c>
      <c r="G77" s="120">
        <v>269200</v>
      </c>
    </row>
    <row r="78" spans="1:7" ht="15.75">
      <c r="A78" s="119">
        <v>70</v>
      </c>
      <c r="B78" s="119" t="s">
        <v>215</v>
      </c>
      <c r="C78" s="119" t="s">
        <v>744</v>
      </c>
      <c r="D78" s="119" t="s">
        <v>130</v>
      </c>
      <c r="E78" s="119" t="s">
        <v>87</v>
      </c>
      <c r="F78" s="120">
        <v>1</v>
      </c>
      <c r="G78" s="120">
        <v>222300</v>
      </c>
    </row>
    <row r="79" spans="1:7" ht="15.75">
      <c r="A79" s="119">
        <v>71</v>
      </c>
      <c r="B79" s="119" t="s">
        <v>215</v>
      </c>
      <c r="C79" s="119" t="s">
        <v>746</v>
      </c>
      <c r="D79" s="119" t="s">
        <v>747</v>
      </c>
      <c r="E79" s="119" t="s">
        <v>87</v>
      </c>
      <c r="F79" s="120">
        <v>1</v>
      </c>
      <c r="G79" s="120">
        <v>222300</v>
      </c>
    </row>
    <row r="80" spans="1:7" ht="15.75">
      <c r="A80" s="119">
        <v>72</v>
      </c>
      <c r="B80" s="119" t="s">
        <v>215</v>
      </c>
      <c r="C80" s="119" t="s">
        <v>789</v>
      </c>
      <c r="D80" s="119" t="s">
        <v>790</v>
      </c>
      <c r="E80" s="119" t="s">
        <v>87</v>
      </c>
      <c r="F80" s="120">
        <v>1</v>
      </c>
      <c r="G80" s="120">
        <v>222300</v>
      </c>
    </row>
    <row r="81" spans="1:7" ht="15.75">
      <c r="A81" s="119">
        <v>73</v>
      </c>
      <c r="B81" s="119" t="s">
        <v>215</v>
      </c>
      <c r="C81" s="119" t="s">
        <v>838</v>
      </c>
      <c r="D81" s="119" t="s">
        <v>839</v>
      </c>
      <c r="E81" s="119" t="s">
        <v>87</v>
      </c>
      <c r="F81" s="120">
        <v>1</v>
      </c>
      <c r="G81" s="120">
        <v>222300</v>
      </c>
    </row>
    <row r="82" spans="1:7" ht="15.75">
      <c r="A82" s="119">
        <v>74</v>
      </c>
      <c r="B82" s="119" t="s">
        <v>215</v>
      </c>
      <c r="C82" s="119" t="s">
        <v>876</v>
      </c>
      <c r="D82" s="119" t="s">
        <v>108</v>
      </c>
      <c r="E82" s="119" t="s">
        <v>87</v>
      </c>
      <c r="F82" s="120">
        <v>1</v>
      </c>
      <c r="G82" s="120">
        <v>222300</v>
      </c>
    </row>
    <row r="83" spans="1:7" ht="15.75">
      <c r="A83" s="119">
        <v>75</v>
      </c>
      <c r="B83" s="119" t="s">
        <v>215</v>
      </c>
      <c r="C83" s="119" t="s">
        <v>222</v>
      </c>
      <c r="D83" s="119" t="s">
        <v>100</v>
      </c>
      <c r="E83" s="119" t="s">
        <v>87</v>
      </c>
      <c r="F83" s="120">
        <v>1</v>
      </c>
      <c r="G83" s="120">
        <v>222300</v>
      </c>
    </row>
    <row r="84" spans="1:7" ht="15.75">
      <c r="A84" s="119">
        <v>76</v>
      </c>
      <c r="B84" s="119" t="s">
        <v>215</v>
      </c>
      <c r="C84" s="119" t="s">
        <v>961</v>
      </c>
      <c r="D84" s="119" t="s">
        <v>154</v>
      </c>
      <c r="E84" s="119" t="s">
        <v>87</v>
      </c>
      <c r="F84" s="120">
        <v>1</v>
      </c>
      <c r="G84" s="120">
        <v>222300</v>
      </c>
    </row>
    <row r="85" spans="1:7" ht="15.75">
      <c r="A85" s="119">
        <v>77</v>
      </c>
      <c r="B85" s="119" t="s">
        <v>215</v>
      </c>
      <c r="C85" s="119" t="s">
        <v>1017</v>
      </c>
      <c r="D85" s="119" t="s">
        <v>98</v>
      </c>
      <c r="E85" s="119" t="s">
        <v>89</v>
      </c>
      <c r="F85" s="120">
        <v>1</v>
      </c>
      <c r="G85" s="120">
        <v>341800</v>
      </c>
    </row>
    <row r="86" spans="1:7" ht="15.75">
      <c r="A86" s="119">
        <v>78</v>
      </c>
      <c r="B86" s="119" t="s">
        <v>676</v>
      </c>
      <c r="C86" s="119" t="s">
        <v>674</v>
      </c>
      <c r="D86" s="119" t="s">
        <v>675</v>
      </c>
      <c r="E86" s="119" t="s">
        <v>87</v>
      </c>
      <c r="F86" s="120">
        <v>1</v>
      </c>
      <c r="G86" s="120">
        <v>222300</v>
      </c>
    </row>
    <row r="87" spans="1:7" ht="15.75">
      <c r="A87" s="119">
        <v>79</v>
      </c>
      <c r="B87" s="119" t="s">
        <v>729</v>
      </c>
      <c r="C87" s="119" t="s">
        <v>341</v>
      </c>
      <c r="D87" s="119" t="s">
        <v>728</v>
      </c>
      <c r="E87" s="119" t="s">
        <v>88</v>
      </c>
      <c r="F87" s="120">
        <v>1</v>
      </c>
      <c r="G87" s="120">
        <v>301600</v>
      </c>
    </row>
    <row r="88" spans="1:7" ht="15.75">
      <c r="A88" s="119">
        <v>80</v>
      </c>
      <c r="B88" s="119" t="s">
        <v>601</v>
      </c>
      <c r="C88" s="119" t="s">
        <v>607</v>
      </c>
      <c r="D88" s="119" t="s">
        <v>106</v>
      </c>
      <c r="E88" s="119" t="s">
        <v>89</v>
      </c>
      <c r="F88" s="120">
        <v>1</v>
      </c>
      <c r="G88" s="120">
        <v>341800</v>
      </c>
    </row>
    <row r="89" spans="1:7" ht="15.75">
      <c r="A89" s="119">
        <v>81</v>
      </c>
      <c r="B89" s="119" t="s">
        <v>217</v>
      </c>
      <c r="C89" s="119" t="s">
        <v>311</v>
      </c>
      <c r="D89" s="119" t="s">
        <v>600</v>
      </c>
      <c r="E89" s="119" t="s">
        <v>87</v>
      </c>
      <c r="F89" s="120">
        <v>1</v>
      </c>
      <c r="G89" s="120">
        <v>222300</v>
      </c>
    </row>
    <row r="90" spans="1:7" ht="15.75">
      <c r="A90" s="119">
        <v>82</v>
      </c>
      <c r="B90" s="119" t="s">
        <v>217</v>
      </c>
      <c r="C90" s="119" t="s">
        <v>619</v>
      </c>
      <c r="D90" s="119" t="s">
        <v>620</v>
      </c>
      <c r="E90" s="119" t="s">
        <v>87</v>
      </c>
      <c r="F90" s="120">
        <v>1</v>
      </c>
      <c r="G90" s="120">
        <v>222300</v>
      </c>
    </row>
    <row r="91" spans="1:7" ht="15.75">
      <c r="A91" s="119">
        <v>83</v>
      </c>
      <c r="B91" s="119" t="s">
        <v>217</v>
      </c>
      <c r="C91" s="119" t="s">
        <v>667</v>
      </c>
      <c r="D91" s="119" t="s">
        <v>128</v>
      </c>
      <c r="E91" s="119" t="s">
        <v>87</v>
      </c>
      <c r="F91" s="120">
        <v>1</v>
      </c>
      <c r="G91" s="120">
        <v>222300</v>
      </c>
    </row>
    <row r="92" spans="1:7" ht="15.75">
      <c r="A92" s="119">
        <v>84</v>
      </c>
      <c r="B92" s="119" t="s">
        <v>217</v>
      </c>
      <c r="C92" s="119" t="s">
        <v>674</v>
      </c>
      <c r="D92" s="119" t="s">
        <v>675</v>
      </c>
      <c r="E92" s="119" t="s">
        <v>87</v>
      </c>
      <c r="F92" s="120">
        <v>1</v>
      </c>
      <c r="G92" s="120">
        <v>222300</v>
      </c>
    </row>
    <row r="93" spans="1:7" ht="15.75">
      <c r="A93" s="119">
        <v>85</v>
      </c>
      <c r="B93" s="119" t="s">
        <v>217</v>
      </c>
      <c r="C93" s="119" t="s">
        <v>677</v>
      </c>
      <c r="D93" s="119" t="s">
        <v>147</v>
      </c>
      <c r="E93" s="119" t="s">
        <v>89</v>
      </c>
      <c r="F93" s="120">
        <v>1</v>
      </c>
      <c r="G93" s="120">
        <v>341800</v>
      </c>
    </row>
    <row r="94" spans="1:7" ht="15.75">
      <c r="A94" s="119">
        <v>86</v>
      </c>
      <c r="B94" s="119" t="s">
        <v>217</v>
      </c>
      <c r="C94" s="119" t="s">
        <v>341</v>
      </c>
      <c r="D94" s="119" t="s">
        <v>728</v>
      </c>
      <c r="E94" s="119" t="s">
        <v>88</v>
      </c>
      <c r="F94" s="120">
        <v>1</v>
      </c>
      <c r="G94" s="120">
        <v>301600</v>
      </c>
    </row>
    <row r="95" spans="1:7" ht="15.75">
      <c r="A95" s="119">
        <v>87</v>
      </c>
      <c r="B95" s="119" t="s">
        <v>217</v>
      </c>
      <c r="C95" s="119" t="s">
        <v>739</v>
      </c>
      <c r="D95" s="119" t="s">
        <v>252</v>
      </c>
      <c r="E95" s="119" t="s">
        <v>90</v>
      </c>
      <c r="F95" s="120">
        <v>1</v>
      </c>
      <c r="G95" s="120">
        <v>269200</v>
      </c>
    </row>
    <row r="96" spans="1:7" ht="15.75">
      <c r="A96" s="119">
        <v>88</v>
      </c>
      <c r="B96" s="119" t="s">
        <v>217</v>
      </c>
      <c r="C96" s="119" t="s">
        <v>744</v>
      </c>
      <c r="D96" s="119" t="s">
        <v>130</v>
      </c>
      <c r="E96" s="119" t="s">
        <v>87</v>
      </c>
      <c r="F96" s="120">
        <v>1</v>
      </c>
      <c r="G96" s="120">
        <v>222300</v>
      </c>
    </row>
    <row r="97" spans="1:7" ht="15.75">
      <c r="A97" s="119">
        <v>89</v>
      </c>
      <c r="B97" s="119" t="s">
        <v>217</v>
      </c>
      <c r="C97" s="119" t="s">
        <v>746</v>
      </c>
      <c r="D97" s="119" t="s">
        <v>747</v>
      </c>
      <c r="E97" s="119" t="s">
        <v>88</v>
      </c>
      <c r="F97" s="120">
        <v>1</v>
      </c>
      <c r="G97" s="120">
        <v>301600</v>
      </c>
    </row>
    <row r="98" spans="1:7" ht="15.75">
      <c r="A98" s="119">
        <v>90</v>
      </c>
      <c r="B98" s="119" t="s">
        <v>217</v>
      </c>
      <c r="C98" s="119" t="s">
        <v>789</v>
      </c>
      <c r="D98" s="119" t="s">
        <v>790</v>
      </c>
      <c r="E98" s="119" t="s">
        <v>89</v>
      </c>
      <c r="F98" s="120">
        <v>1</v>
      </c>
      <c r="G98" s="120">
        <v>341800</v>
      </c>
    </row>
    <row r="99" spans="1:7" ht="15.75">
      <c r="A99" s="119">
        <v>91</v>
      </c>
      <c r="B99" s="119" t="s">
        <v>217</v>
      </c>
      <c r="C99" s="119" t="s">
        <v>838</v>
      </c>
      <c r="D99" s="119" t="s">
        <v>839</v>
      </c>
      <c r="E99" s="119" t="s">
        <v>87</v>
      </c>
      <c r="F99" s="120">
        <v>1</v>
      </c>
      <c r="G99" s="120">
        <v>222300</v>
      </c>
    </row>
    <row r="100" spans="1:7" ht="15.75">
      <c r="A100" s="119">
        <v>92</v>
      </c>
      <c r="B100" s="119" t="s">
        <v>217</v>
      </c>
      <c r="C100" s="119" t="s">
        <v>876</v>
      </c>
      <c r="D100" s="119" t="s">
        <v>108</v>
      </c>
      <c r="E100" s="119" t="s">
        <v>87</v>
      </c>
      <c r="F100" s="120">
        <v>1</v>
      </c>
      <c r="G100" s="120">
        <v>222300</v>
      </c>
    </row>
    <row r="101" spans="1:7" ht="15.75">
      <c r="A101" s="119">
        <v>93</v>
      </c>
      <c r="B101" s="119" t="s">
        <v>217</v>
      </c>
      <c r="C101" s="119" t="s">
        <v>222</v>
      </c>
      <c r="D101" s="119" t="s">
        <v>100</v>
      </c>
      <c r="E101" s="119" t="s">
        <v>87</v>
      </c>
      <c r="F101" s="120">
        <v>1</v>
      </c>
      <c r="G101" s="120">
        <v>222300</v>
      </c>
    </row>
    <row r="102" spans="1:7" ht="15.75">
      <c r="A102" s="119">
        <v>94</v>
      </c>
      <c r="B102" s="119" t="s">
        <v>217</v>
      </c>
      <c r="C102" s="119" t="s">
        <v>961</v>
      </c>
      <c r="D102" s="119" t="s">
        <v>154</v>
      </c>
      <c r="E102" s="119" t="s">
        <v>87</v>
      </c>
      <c r="F102" s="120">
        <v>1</v>
      </c>
      <c r="G102" s="120">
        <v>222300</v>
      </c>
    </row>
    <row r="103" spans="1:7" ht="15.75">
      <c r="A103" s="119">
        <v>95</v>
      </c>
      <c r="B103" s="119" t="s">
        <v>217</v>
      </c>
      <c r="C103" s="119" t="s">
        <v>1017</v>
      </c>
      <c r="D103" s="119" t="s">
        <v>98</v>
      </c>
      <c r="E103" s="119" t="s">
        <v>89</v>
      </c>
      <c r="F103" s="120">
        <v>1</v>
      </c>
      <c r="G103" s="120">
        <v>341800</v>
      </c>
    </row>
    <row r="104" spans="1:7" ht="15.75">
      <c r="A104" s="119">
        <v>96</v>
      </c>
      <c r="B104" s="119" t="s">
        <v>883</v>
      </c>
      <c r="C104" s="119" t="s">
        <v>322</v>
      </c>
      <c r="D104" s="119" t="s">
        <v>882</v>
      </c>
      <c r="E104" s="119" t="s">
        <v>87</v>
      </c>
      <c r="F104" s="120">
        <v>1</v>
      </c>
      <c r="G104" s="120">
        <v>222300</v>
      </c>
    </row>
    <row r="105" spans="1:7" ht="15.75">
      <c r="A105" s="119">
        <v>97</v>
      </c>
      <c r="B105" s="119" t="s">
        <v>664</v>
      </c>
      <c r="C105" s="119" t="s">
        <v>663</v>
      </c>
      <c r="D105" s="119" t="s">
        <v>100</v>
      </c>
      <c r="E105" s="119" t="s">
        <v>87</v>
      </c>
      <c r="F105" s="120">
        <v>1</v>
      </c>
      <c r="G105" s="120">
        <v>222300</v>
      </c>
    </row>
    <row r="106" spans="1:7" ht="15.75">
      <c r="A106" s="119">
        <v>98</v>
      </c>
      <c r="B106" s="119" t="s">
        <v>573</v>
      </c>
      <c r="C106" s="119" t="s">
        <v>571</v>
      </c>
      <c r="D106" s="119" t="s">
        <v>572</v>
      </c>
      <c r="E106" s="119" t="s">
        <v>87</v>
      </c>
      <c r="F106" s="120">
        <v>1</v>
      </c>
      <c r="G106" s="120">
        <v>222300</v>
      </c>
    </row>
    <row r="107" spans="1:7" ht="15.75">
      <c r="A107" s="119">
        <v>99</v>
      </c>
      <c r="B107" s="119" t="s">
        <v>701</v>
      </c>
      <c r="C107" s="119" t="s">
        <v>699</v>
      </c>
      <c r="D107" s="119" t="s">
        <v>105</v>
      </c>
      <c r="E107" s="119" t="s">
        <v>89</v>
      </c>
      <c r="F107" s="120">
        <v>1</v>
      </c>
      <c r="G107" s="120">
        <v>341800</v>
      </c>
    </row>
    <row r="108" spans="1:7" ht="15.75">
      <c r="A108" s="119">
        <v>100</v>
      </c>
      <c r="B108" s="119" t="s">
        <v>891</v>
      </c>
      <c r="C108" s="119" t="s">
        <v>889</v>
      </c>
      <c r="D108" s="119" t="s">
        <v>890</v>
      </c>
      <c r="E108" s="119" t="s">
        <v>87</v>
      </c>
      <c r="F108" s="120">
        <v>1</v>
      </c>
      <c r="G108" s="120">
        <v>222300</v>
      </c>
    </row>
    <row r="109" spans="1:7" ht="15.75">
      <c r="A109" s="119">
        <v>101</v>
      </c>
      <c r="B109" s="119" t="s">
        <v>558</v>
      </c>
      <c r="C109" s="119" t="s">
        <v>557</v>
      </c>
      <c r="D109" s="119" t="s">
        <v>103</v>
      </c>
      <c r="E109" s="119" t="s">
        <v>87</v>
      </c>
      <c r="F109" s="120">
        <v>1</v>
      </c>
      <c r="G109" s="120">
        <v>222300</v>
      </c>
    </row>
    <row r="110" spans="1:7" ht="15.75">
      <c r="A110" s="119">
        <v>102</v>
      </c>
      <c r="B110" s="119" t="s">
        <v>939</v>
      </c>
      <c r="C110" s="119" t="s">
        <v>937</v>
      </c>
      <c r="D110" s="119" t="s">
        <v>938</v>
      </c>
      <c r="E110" s="119" t="s">
        <v>87</v>
      </c>
      <c r="F110" s="120">
        <v>1</v>
      </c>
      <c r="G110" s="120">
        <v>222300</v>
      </c>
    </row>
    <row r="111" spans="1:7" ht="15.75">
      <c r="A111" s="119">
        <v>103</v>
      </c>
      <c r="B111" s="119" t="s">
        <v>216</v>
      </c>
      <c r="C111" s="119" t="s">
        <v>557</v>
      </c>
      <c r="D111" s="119" t="s">
        <v>103</v>
      </c>
      <c r="E111" s="119" t="s">
        <v>87</v>
      </c>
      <c r="F111" s="120">
        <v>1</v>
      </c>
      <c r="G111" s="120">
        <v>222300</v>
      </c>
    </row>
    <row r="112" spans="1:7" ht="15.75">
      <c r="A112" s="119">
        <v>104</v>
      </c>
      <c r="B112" s="119" t="s">
        <v>216</v>
      </c>
      <c r="C112" s="119" t="s">
        <v>571</v>
      </c>
      <c r="D112" s="119" t="s">
        <v>572</v>
      </c>
      <c r="E112" s="119" t="s">
        <v>87</v>
      </c>
      <c r="F112" s="120">
        <v>1</v>
      </c>
      <c r="G112" s="120">
        <v>222300</v>
      </c>
    </row>
    <row r="113" spans="1:7" ht="15.75">
      <c r="A113" s="119">
        <v>105</v>
      </c>
      <c r="B113" s="119" t="s">
        <v>216</v>
      </c>
      <c r="C113" s="119" t="s">
        <v>607</v>
      </c>
      <c r="D113" s="119" t="s">
        <v>106</v>
      </c>
      <c r="E113" s="119" t="s">
        <v>89</v>
      </c>
      <c r="F113" s="120">
        <v>1</v>
      </c>
      <c r="G113" s="120">
        <v>341800</v>
      </c>
    </row>
    <row r="114" spans="1:7" ht="15.75">
      <c r="A114" s="119">
        <v>106</v>
      </c>
      <c r="B114" s="119" t="s">
        <v>216</v>
      </c>
      <c r="C114" s="119" t="s">
        <v>619</v>
      </c>
      <c r="D114" s="119" t="s">
        <v>620</v>
      </c>
      <c r="E114" s="119" t="s">
        <v>87</v>
      </c>
      <c r="F114" s="120">
        <v>1</v>
      </c>
      <c r="G114" s="120">
        <v>222300</v>
      </c>
    </row>
    <row r="115" spans="1:7" ht="15.75">
      <c r="A115" s="119">
        <v>107</v>
      </c>
      <c r="B115" s="119" t="s">
        <v>216</v>
      </c>
      <c r="C115" s="119" t="s">
        <v>663</v>
      </c>
      <c r="D115" s="119" t="s">
        <v>100</v>
      </c>
      <c r="E115" s="119" t="s">
        <v>87</v>
      </c>
      <c r="F115" s="120">
        <v>1</v>
      </c>
      <c r="G115" s="120">
        <v>222300</v>
      </c>
    </row>
    <row r="116" spans="1:7" ht="15.75">
      <c r="A116" s="119">
        <v>108</v>
      </c>
      <c r="B116" s="119" t="s">
        <v>216</v>
      </c>
      <c r="C116" s="119" t="s">
        <v>667</v>
      </c>
      <c r="D116" s="119" t="s">
        <v>128</v>
      </c>
      <c r="E116" s="119" t="s">
        <v>89</v>
      </c>
      <c r="F116" s="120">
        <v>1</v>
      </c>
      <c r="G116" s="120">
        <v>341800</v>
      </c>
    </row>
    <row r="117" spans="1:7" ht="15.75">
      <c r="A117" s="119">
        <v>109</v>
      </c>
      <c r="B117" s="119" t="s">
        <v>216</v>
      </c>
      <c r="C117" s="119" t="s">
        <v>674</v>
      </c>
      <c r="D117" s="119" t="s">
        <v>675</v>
      </c>
      <c r="E117" s="119" t="s">
        <v>87</v>
      </c>
      <c r="F117" s="120">
        <v>1</v>
      </c>
      <c r="G117" s="120">
        <v>222300</v>
      </c>
    </row>
    <row r="118" spans="1:7" ht="15.75">
      <c r="A118" s="119">
        <v>110</v>
      </c>
      <c r="B118" s="119" t="s">
        <v>216</v>
      </c>
      <c r="C118" s="119" t="s">
        <v>677</v>
      </c>
      <c r="D118" s="119" t="s">
        <v>147</v>
      </c>
      <c r="E118" s="119" t="s">
        <v>89</v>
      </c>
      <c r="F118" s="120">
        <v>1</v>
      </c>
      <c r="G118" s="120">
        <v>341800</v>
      </c>
    </row>
    <row r="119" spans="1:7" ht="15.75">
      <c r="A119" s="119">
        <v>111</v>
      </c>
      <c r="B119" s="119" t="s">
        <v>216</v>
      </c>
      <c r="C119" s="119" t="s">
        <v>699</v>
      </c>
      <c r="D119" s="119" t="s">
        <v>105</v>
      </c>
      <c r="E119" s="119" t="s">
        <v>89</v>
      </c>
      <c r="F119" s="120">
        <v>1</v>
      </c>
      <c r="G119" s="120">
        <v>341800</v>
      </c>
    </row>
    <row r="120" spans="1:7" ht="15.75">
      <c r="A120" s="119">
        <v>112</v>
      </c>
      <c r="B120" s="119" t="s">
        <v>216</v>
      </c>
      <c r="C120" s="119" t="s">
        <v>341</v>
      </c>
      <c r="D120" s="119" t="s">
        <v>728</v>
      </c>
      <c r="E120" s="119" t="s">
        <v>90</v>
      </c>
      <c r="F120" s="120">
        <v>1</v>
      </c>
      <c r="G120" s="120">
        <v>269200</v>
      </c>
    </row>
    <row r="121" spans="1:7" ht="15.75">
      <c r="A121" s="119">
        <v>113</v>
      </c>
      <c r="B121" s="119" t="s">
        <v>216</v>
      </c>
      <c r="C121" s="119" t="s">
        <v>739</v>
      </c>
      <c r="D121" s="119" t="s">
        <v>252</v>
      </c>
      <c r="E121" s="119" t="s">
        <v>90</v>
      </c>
      <c r="F121" s="120">
        <v>1</v>
      </c>
      <c r="G121" s="120">
        <v>269200</v>
      </c>
    </row>
    <row r="122" spans="1:7" ht="15.75">
      <c r="A122" s="119">
        <v>114</v>
      </c>
      <c r="B122" s="119" t="s">
        <v>216</v>
      </c>
      <c r="C122" s="119" t="s">
        <v>744</v>
      </c>
      <c r="D122" s="119" t="s">
        <v>130</v>
      </c>
      <c r="E122" s="119" t="s">
        <v>87</v>
      </c>
      <c r="F122" s="120">
        <v>1</v>
      </c>
      <c r="G122" s="120">
        <v>222300</v>
      </c>
    </row>
    <row r="123" spans="1:7" ht="15.75">
      <c r="A123" s="119">
        <v>115</v>
      </c>
      <c r="B123" s="119" t="s">
        <v>216</v>
      </c>
      <c r="C123" s="119" t="s">
        <v>746</v>
      </c>
      <c r="D123" s="119" t="s">
        <v>747</v>
      </c>
      <c r="E123" s="119" t="s">
        <v>88</v>
      </c>
      <c r="F123" s="120">
        <v>1</v>
      </c>
      <c r="G123" s="120">
        <v>301600</v>
      </c>
    </row>
    <row r="124" spans="1:7" ht="15.75">
      <c r="A124" s="119">
        <v>116</v>
      </c>
      <c r="B124" s="119" t="s">
        <v>216</v>
      </c>
      <c r="C124" s="119" t="s">
        <v>789</v>
      </c>
      <c r="D124" s="119" t="s">
        <v>790</v>
      </c>
      <c r="E124" s="119" t="s">
        <v>89</v>
      </c>
      <c r="F124" s="120">
        <v>1</v>
      </c>
      <c r="G124" s="120">
        <v>341800</v>
      </c>
    </row>
    <row r="125" spans="1:7" ht="15.75">
      <c r="A125" s="119">
        <v>117</v>
      </c>
      <c r="B125" s="119" t="s">
        <v>216</v>
      </c>
      <c r="C125" s="119" t="s">
        <v>838</v>
      </c>
      <c r="D125" s="119" t="s">
        <v>839</v>
      </c>
      <c r="E125" s="119" t="s">
        <v>87</v>
      </c>
      <c r="F125" s="120">
        <v>1</v>
      </c>
      <c r="G125" s="120">
        <v>222300</v>
      </c>
    </row>
    <row r="126" spans="1:7" ht="15.75">
      <c r="A126" s="119">
        <v>118</v>
      </c>
      <c r="B126" s="119" t="s">
        <v>216</v>
      </c>
      <c r="C126" s="119" t="s">
        <v>876</v>
      </c>
      <c r="D126" s="119" t="s">
        <v>108</v>
      </c>
      <c r="E126" s="119" t="s">
        <v>87</v>
      </c>
      <c r="F126" s="120">
        <v>1</v>
      </c>
      <c r="G126" s="120">
        <v>222300</v>
      </c>
    </row>
    <row r="127" spans="1:7" ht="15.75">
      <c r="A127" s="119">
        <v>119</v>
      </c>
      <c r="B127" s="119" t="s">
        <v>216</v>
      </c>
      <c r="C127" s="119" t="s">
        <v>322</v>
      </c>
      <c r="D127" s="119" t="s">
        <v>882</v>
      </c>
      <c r="E127" s="119" t="s">
        <v>87</v>
      </c>
      <c r="F127" s="120">
        <v>1</v>
      </c>
      <c r="G127" s="120">
        <v>222300</v>
      </c>
    </row>
    <row r="128" spans="1:7" ht="15.75">
      <c r="A128" s="119">
        <v>120</v>
      </c>
      <c r="B128" s="119" t="s">
        <v>216</v>
      </c>
      <c r="C128" s="119" t="s">
        <v>889</v>
      </c>
      <c r="D128" s="119" t="s">
        <v>890</v>
      </c>
      <c r="E128" s="119" t="s">
        <v>87</v>
      </c>
      <c r="F128" s="120">
        <v>1</v>
      </c>
      <c r="G128" s="120">
        <v>222300</v>
      </c>
    </row>
    <row r="129" spans="1:7" ht="15.75">
      <c r="A129" s="119">
        <v>121</v>
      </c>
      <c r="B129" s="119" t="s">
        <v>216</v>
      </c>
      <c r="C129" s="119" t="s">
        <v>937</v>
      </c>
      <c r="D129" s="119" t="s">
        <v>938</v>
      </c>
      <c r="E129" s="119" t="s">
        <v>87</v>
      </c>
      <c r="F129" s="120">
        <v>1</v>
      </c>
      <c r="G129" s="120">
        <v>222300</v>
      </c>
    </row>
    <row r="130" spans="1:7" ht="15.75">
      <c r="A130" s="119">
        <v>122</v>
      </c>
      <c r="B130" s="119" t="s">
        <v>216</v>
      </c>
      <c r="C130" s="119" t="s">
        <v>961</v>
      </c>
      <c r="D130" s="119" t="s">
        <v>154</v>
      </c>
      <c r="E130" s="119" t="s">
        <v>87</v>
      </c>
      <c r="F130" s="120">
        <v>1</v>
      </c>
      <c r="G130" s="120">
        <v>222300</v>
      </c>
    </row>
    <row r="131" spans="1:7" ht="15.75">
      <c r="A131" s="119">
        <v>123</v>
      </c>
      <c r="B131" s="119" t="s">
        <v>216</v>
      </c>
      <c r="C131" s="119" t="s">
        <v>311</v>
      </c>
      <c r="D131" s="119" t="s">
        <v>600</v>
      </c>
      <c r="E131" s="119" t="s">
        <v>89</v>
      </c>
      <c r="F131" s="120">
        <v>1</v>
      </c>
      <c r="G131" s="120">
        <v>341800</v>
      </c>
    </row>
    <row r="132" spans="1:7" ht="15.75">
      <c r="A132" s="119">
        <v>124</v>
      </c>
      <c r="B132" s="119" t="s">
        <v>216</v>
      </c>
      <c r="C132" s="119" t="s">
        <v>1017</v>
      </c>
      <c r="D132" s="119" t="s">
        <v>98</v>
      </c>
      <c r="E132" s="119" t="s">
        <v>89</v>
      </c>
      <c r="F132" s="120">
        <v>1</v>
      </c>
      <c r="G132" s="120">
        <v>341800</v>
      </c>
    </row>
    <row r="133" spans="1:7" ht="15.75">
      <c r="A133" s="119">
        <v>125</v>
      </c>
      <c r="B133" s="119" t="s">
        <v>216</v>
      </c>
      <c r="C133" s="119" t="s">
        <v>222</v>
      </c>
      <c r="D133" s="119" t="s">
        <v>100</v>
      </c>
      <c r="E133" s="119" t="s">
        <v>90</v>
      </c>
      <c r="F133" s="120">
        <v>1</v>
      </c>
      <c r="G133" s="120">
        <v>269200</v>
      </c>
    </row>
    <row r="134" spans="1:7" ht="15.75">
      <c r="A134" s="119">
        <v>126</v>
      </c>
      <c r="B134" s="119" t="s">
        <v>655</v>
      </c>
      <c r="C134" s="119" t="s">
        <v>654</v>
      </c>
      <c r="D134" s="119" t="s">
        <v>107</v>
      </c>
      <c r="E134" s="119" t="s">
        <v>87</v>
      </c>
      <c r="F134" s="120">
        <v>1</v>
      </c>
      <c r="G134" s="120">
        <v>250000</v>
      </c>
    </row>
    <row r="135" spans="1:7" ht="15.75">
      <c r="A135" s="119">
        <v>127</v>
      </c>
      <c r="B135" s="119" t="s">
        <v>986</v>
      </c>
      <c r="C135" s="119" t="s">
        <v>256</v>
      </c>
      <c r="D135" s="119" t="s">
        <v>167</v>
      </c>
      <c r="E135" s="119" t="s">
        <v>87</v>
      </c>
      <c r="F135" s="120">
        <v>1</v>
      </c>
      <c r="G135" s="120">
        <v>222300</v>
      </c>
    </row>
    <row r="136" spans="1:7" ht="15.75">
      <c r="A136" s="119">
        <v>128</v>
      </c>
      <c r="B136" s="119" t="s">
        <v>605</v>
      </c>
      <c r="C136" s="119" t="s">
        <v>603</v>
      </c>
      <c r="D136" s="119" t="s">
        <v>604</v>
      </c>
      <c r="E136" s="119" t="s">
        <v>87</v>
      </c>
      <c r="F136" s="120">
        <v>1</v>
      </c>
      <c r="G136" s="120">
        <v>222300</v>
      </c>
    </row>
    <row r="137" spans="1:7" ht="15.75">
      <c r="A137" s="119">
        <v>129</v>
      </c>
      <c r="B137" s="119" t="s">
        <v>618</v>
      </c>
      <c r="C137" s="119" t="s">
        <v>617</v>
      </c>
      <c r="D137" s="119" t="s">
        <v>99</v>
      </c>
      <c r="E137" s="119" t="s">
        <v>87</v>
      </c>
      <c r="F137" s="120">
        <v>1</v>
      </c>
      <c r="G137" s="120">
        <v>222300</v>
      </c>
    </row>
    <row r="138" spans="1:7" ht="15.75">
      <c r="A138" s="119">
        <v>130</v>
      </c>
      <c r="B138" s="119" t="s">
        <v>228</v>
      </c>
      <c r="C138" s="119" t="s">
        <v>525</v>
      </c>
      <c r="D138" s="119" t="s">
        <v>526</v>
      </c>
      <c r="E138" s="119" t="s">
        <v>87</v>
      </c>
      <c r="F138" s="120">
        <v>1</v>
      </c>
      <c r="G138" s="120">
        <v>222300</v>
      </c>
    </row>
    <row r="139" spans="1:7" ht="15.75">
      <c r="A139" s="119">
        <v>131</v>
      </c>
      <c r="B139" s="119" t="s">
        <v>228</v>
      </c>
      <c r="C139" s="119" t="s">
        <v>557</v>
      </c>
      <c r="D139" s="119" t="s">
        <v>103</v>
      </c>
      <c r="E139" s="119" t="s">
        <v>89</v>
      </c>
      <c r="F139" s="120">
        <v>1</v>
      </c>
      <c r="G139" s="120">
        <v>341800</v>
      </c>
    </row>
    <row r="140" spans="1:7" ht="15.75">
      <c r="A140" s="119">
        <v>132</v>
      </c>
      <c r="B140" s="119" t="s">
        <v>228</v>
      </c>
      <c r="C140" s="119" t="s">
        <v>571</v>
      </c>
      <c r="D140" s="119" t="s">
        <v>572</v>
      </c>
      <c r="E140" s="119" t="s">
        <v>90</v>
      </c>
      <c r="F140" s="120">
        <v>1</v>
      </c>
      <c r="G140" s="120">
        <v>269200</v>
      </c>
    </row>
    <row r="141" spans="1:7" ht="15.75">
      <c r="A141" s="119">
        <v>133</v>
      </c>
      <c r="B141" s="119" t="s">
        <v>228</v>
      </c>
      <c r="C141" s="119" t="s">
        <v>607</v>
      </c>
      <c r="D141" s="119" t="s">
        <v>106</v>
      </c>
      <c r="E141" s="119" t="s">
        <v>87</v>
      </c>
      <c r="F141" s="120">
        <v>1</v>
      </c>
      <c r="G141" s="120">
        <v>222300</v>
      </c>
    </row>
    <row r="142" spans="1:7" ht="15.75">
      <c r="A142" s="119">
        <v>134</v>
      </c>
      <c r="B142" s="119" t="s">
        <v>228</v>
      </c>
      <c r="C142" s="119" t="s">
        <v>617</v>
      </c>
      <c r="D142" s="119" t="s">
        <v>99</v>
      </c>
      <c r="E142" s="119" t="s">
        <v>87</v>
      </c>
      <c r="F142" s="120">
        <v>1</v>
      </c>
      <c r="G142" s="120">
        <v>222300</v>
      </c>
    </row>
    <row r="143" spans="1:7" ht="15.75">
      <c r="A143" s="119">
        <v>135</v>
      </c>
      <c r="B143" s="119" t="s">
        <v>228</v>
      </c>
      <c r="C143" s="119" t="s">
        <v>619</v>
      </c>
      <c r="D143" s="119" t="s">
        <v>620</v>
      </c>
      <c r="E143" s="119" t="s">
        <v>87</v>
      </c>
      <c r="F143" s="120">
        <v>1</v>
      </c>
      <c r="G143" s="120">
        <v>222300</v>
      </c>
    </row>
    <row r="144" spans="1:7" ht="15.75">
      <c r="A144" s="119">
        <v>136</v>
      </c>
      <c r="B144" s="119" t="s">
        <v>228</v>
      </c>
      <c r="C144" s="119" t="s">
        <v>654</v>
      </c>
      <c r="D144" s="119" t="s">
        <v>107</v>
      </c>
      <c r="E144" s="119" t="s">
        <v>90</v>
      </c>
      <c r="F144" s="120">
        <v>1</v>
      </c>
      <c r="G144" s="120">
        <v>269200</v>
      </c>
    </row>
    <row r="145" spans="1:7" ht="15.75">
      <c r="A145" s="119">
        <v>137</v>
      </c>
      <c r="B145" s="119" t="s">
        <v>228</v>
      </c>
      <c r="C145" s="119" t="s">
        <v>663</v>
      </c>
      <c r="D145" s="119" t="s">
        <v>100</v>
      </c>
      <c r="E145" s="119" t="s">
        <v>87</v>
      </c>
      <c r="F145" s="120">
        <v>1</v>
      </c>
      <c r="G145" s="120">
        <v>222300</v>
      </c>
    </row>
    <row r="146" spans="1:7" ht="15.75">
      <c r="A146" s="119">
        <v>138</v>
      </c>
      <c r="B146" s="119" t="s">
        <v>228</v>
      </c>
      <c r="C146" s="119" t="s">
        <v>667</v>
      </c>
      <c r="D146" s="119" t="s">
        <v>128</v>
      </c>
      <c r="E146" s="119" t="s">
        <v>89</v>
      </c>
      <c r="F146" s="120">
        <v>1</v>
      </c>
      <c r="G146" s="120">
        <v>341800</v>
      </c>
    </row>
    <row r="147" spans="1:7" ht="15.75">
      <c r="A147" s="119">
        <v>139</v>
      </c>
      <c r="B147" s="119" t="s">
        <v>228</v>
      </c>
      <c r="C147" s="119" t="s">
        <v>674</v>
      </c>
      <c r="D147" s="119" t="s">
        <v>675</v>
      </c>
      <c r="E147" s="119" t="s">
        <v>87</v>
      </c>
      <c r="F147" s="120">
        <v>1</v>
      </c>
      <c r="G147" s="120">
        <v>222300</v>
      </c>
    </row>
    <row r="148" spans="1:7" ht="15.75">
      <c r="A148" s="119">
        <v>140</v>
      </c>
      <c r="B148" s="119" t="s">
        <v>228</v>
      </c>
      <c r="C148" s="119" t="s">
        <v>677</v>
      </c>
      <c r="D148" s="119" t="s">
        <v>147</v>
      </c>
      <c r="E148" s="119" t="s">
        <v>87</v>
      </c>
      <c r="F148" s="120">
        <v>1</v>
      </c>
      <c r="G148" s="120">
        <v>222300</v>
      </c>
    </row>
    <row r="149" spans="1:7" ht="15.75">
      <c r="A149" s="119">
        <v>141</v>
      </c>
      <c r="B149" s="119" t="s">
        <v>228</v>
      </c>
      <c r="C149" s="119" t="s">
        <v>699</v>
      </c>
      <c r="D149" s="119" t="s">
        <v>105</v>
      </c>
      <c r="E149" s="119" t="s">
        <v>89</v>
      </c>
      <c r="F149" s="120">
        <v>1</v>
      </c>
      <c r="G149" s="120">
        <v>341800</v>
      </c>
    </row>
    <row r="150" spans="1:7" ht="15.75">
      <c r="A150" s="119">
        <v>142</v>
      </c>
      <c r="B150" s="119" t="s">
        <v>228</v>
      </c>
      <c r="C150" s="119" t="s">
        <v>341</v>
      </c>
      <c r="D150" s="119" t="s">
        <v>728</v>
      </c>
      <c r="E150" s="119" t="s">
        <v>90</v>
      </c>
      <c r="F150" s="120">
        <v>1</v>
      </c>
      <c r="G150" s="120">
        <v>269200</v>
      </c>
    </row>
    <row r="151" spans="1:7" ht="15.75">
      <c r="A151" s="119">
        <v>143</v>
      </c>
      <c r="B151" s="119" t="s">
        <v>228</v>
      </c>
      <c r="C151" s="119" t="s">
        <v>739</v>
      </c>
      <c r="D151" s="119" t="s">
        <v>252</v>
      </c>
      <c r="E151" s="119" t="s">
        <v>90</v>
      </c>
      <c r="F151" s="120">
        <v>1</v>
      </c>
      <c r="G151" s="120">
        <v>269200</v>
      </c>
    </row>
    <row r="152" spans="1:7" ht="15.75">
      <c r="A152" s="119">
        <v>144</v>
      </c>
      <c r="B152" s="119" t="s">
        <v>228</v>
      </c>
      <c r="C152" s="119" t="s">
        <v>744</v>
      </c>
      <c r="D152" s="119" t="s">
        <v>130</v>
      </c>
      <c r="E152" s="119" t="s">
        <v>88</v>
      </c>
      <c r="F152" s="120">
        <v>1</v>
      </c>
      <c r="G152" s="120">
        <v>301600</v>
      </c>
    </row>
    <row r="153" spans="1:7" ht="15.75">
      <c r="A153" s="119">
        <v>145</v>
      </c>
      <c r="B153" s="119" t="s">
        <v>228</v>
      </c>
      <c r="C153" s="119" t="s">
        <v>746</v>
      </c>
      <c r="D153" s="119" t="s">
        <v>747</v>
      </c>
      <c r="E153" s="119" t="s">
        <v>88</v>
      </c>
      <c r="F153" s="120">
        <v>1</v>
      </c>
      <c r="G153" s="120">
        <v>301600</v>
      </c>
    </row>
    <row r="154" spans="1:7" ht="15.75">
      <c r="A154" s="119">
        <v>146</v>
      </c>
      <c r="B154" s="119" t="s">
        <v>228</v>
      </c>
      <c r="C154" s="119" t="s">
        <v>789</v>
      </c>
      <c r="D154" s="119" t="s">
        <v>790</v>
      </c>
      <c r="E154" s="119" t="s">
        <v>89</v>
      </c>
      <c r="F154" s="120">
        <v>1</v>
      </c>
      <c r="G154" s="120">
        <v>341800</v>
      </c>
    </row>
    <row r="155" spans="1:7" ht="15.75">
      <c r="A155" s="119">
        <v>147</v>
      </c>
      <c r="B155" s="119" t="s">
        <v>228</v>
      </c>
      <c r="C155" s="119" t="s">
        <v>838</v>
      </c>
      <c r="D155" s="119" t="s">
        <v>839</v>
      </c>
      <c r="E155" s="119" t="s">
        <v>87</v>
      </c>
      <c r="F155" s="120">
        <v>1</v>
      </c>
      <c r="G155" s="120">
        <v>222300</v>
      </c>
    </row>
    <row r="156" spans="1:7" ht="15.75">
      <c r="A156" s="119">
        <v>148</v>
      </c>
      <c r="B156" s="119" t="s">
        <v>228</v>
      </c>
      <c r="C156" s="119" t="s">
        <v>876</v>
      </c>
      <c r="D156" s="119" t="s">
        <v>108</v>
      </c>
      <c r="E156" s="119" t="s">
        <v>87</v>
      </c>
      <c r="F156" s="120">
        <v>1</v>
      </c>
      <c r="G156" s="120">
        <v>222300</v>
      </c>
    </row>
    <row r="157" spans="1:7" ht="15.75">
      <c r="A157" s="119">
        <v>149</v>
      </c>
      <c r="B157" s="119" t="s">
        <v>228</v>
      </c>
      <c r="C157" s="119" t="s">
        <v>322</v>
      </c>
      <c r="D157" s="119" t="s">
        <v>882</v>
      </c>
      <c r="E157" s="119" t="s">
        <v>89</v>
      </c>
      <c r="F157" s="120">
        <v>1</v>
      </c>
      <c r="G157" s="120">
        <v>341800</v>
      </c>
    </row>
    <row r="158" spans="1:7" ht="15.75">
      <c r="A158" s="119">
        <v>150</v>
      </c>
      <c r="B158" s="119" t="s">
        <v>228</v>
      </c>
      <c r="C158" s="119" t="s">
        <v>889</v>
      </c>
      <c r="D158" s="119" t="s">
        <v>890</v>
      </c>
      <c r="E158" s="119" t="s">
        <v>89</v>
      </c>
      <c r="F158" s="120">
        <v>1</v>
      </c>
      <c r="G158" s="120">
        <v>341800</v>
      </c>
    </row>
    <row r="159" spans="1:7" ht="15.75">
      <c r="A159" s="119">
        <v>151</v>
      </c>
      <c r="B159" s="119" t="s">
        <v>228</v>
      </c>
      <c r="C159" s="119" t="s">
        <v>937</v>
      </c>
      <c r="D159" s="119" t="s">
        <v>938</v>
      </c>
      <c r="E159" s="119" t="s">
        <v>87</v>
      </c>
      <c r="F159" s="120">
        <v>1</v>
      </c>
      <c r="G159" s="120">
        <v>222300</v>
      </c>
    </row>
    <row r="160" spans="1:7" ht="15.75">
      <c r="A160" s="119">
        <v>152</v>
      </c>
      <c r="B160" s="119" t="s">
        <v>228</v>
      </c>
      <c r="C160" s="119" t="s">
        <v>961</v>
      </c>
      <c r="D160" s="119" t="s">
        <v>154</v>
      </c>
      <c r="E160" s="119" t="s">
        <v>87</v>
      </c>
      <c r="F160" s="120">
        <v>1</v>
      </c>
      <c r="G160" s="120">
        <v>222300</v>
      </c>
    </row>
    <row r="161" spans="1:7" ht="15.75">
      <c r="A161" s="119">
        <v>153</v>
      </c>
      <c r="B161" s="119" t="s">
        <v>228</v>
      </c>
      <c r="C161" s="119" t="s">
        <v>256</v>
      </c>
      <c r="D161" s="119" t="s">
        <v>167</v>
      </c>
      <c r="E161" s="119" t="s">
        <v>87</v>
      </c>
      <c r="F161" s="120">
        <v>1</v>
      </c>
      <c r="G161" s="120">
        <v>222300</v>
      </c>
    </row>
    <row r="162" spans="1:7" ht="15.75">
      <c r="A162" s="119">
        <v>154</v>
      </c>
      <c r="B162" s="119" t="s">
        <v>228</v>
      </c>
      <c r="C162" s="119" t="s">
        <v>311</v>
      </c>
      <c r="D162" s="119" t="s">
        <v>600</v>
      </c>
      <c r="E162" s="119" t="s">
        <v>89</v>
      </c>
      <c r="F162" s="120">
        <v>1</v>
      </c>
      <c r="G162" s="120">
        <v>341800</v>
      </c>
    </row>
    <row r="163" spans="1:7" ht="15.75">
      <c r="A163" s="119">
        <v>155</v>
      </c>
      <c r="B163" s="119" t="s">
        <v>228</v>
      </c>
      <c r="C163" s="119" t="s">
        <v>1017</v>
      </c>
      <c r="D163" s="119" t="s">
        <v>98</v>
      </c>
      <c r="E163" s="119" t="s">
        <v>89</v>
      </c>
      <c r="F163" s="120">
        <v>1</v>
      </c>
      <c r="G163" s="120">
        <v>341800</v>
      </c>
    </row>
    <row r="164" spans="1:7" ht="15.75">
      <c r="A164" s="119">
        <v>156</v>
      </c>
      <c r="B164" s="119" t="s">
        <v>228</v>
      </c>
      <c r="C164" s="119" t="s">
        <v>222</v>
      </c>
      <c r="D164" s="119" t="s">
        <v>100</v>
      </c>
      <c r="E164" s="119" t="s">
        <v>90</v>
      </c>
      <c r="F164" s="120">
        <v>1</v>
      </c>
      <c r="G164" s="120">
        <v>269200</v>
      </c>
    </row>
    <row r="165" spans="1:7" ht="15.75">
      <c r="A165" s="119">
        <v>157</v>
      </c>
      <c r="B165" s="119" t="s">
        <v>717</v>
      </c>
      <c r="C165" s="119" t="s">
        <v>715</v>
      </c>
      <c r="D165" s="119" t="s">
        <v>716</v>
      </c>
      <c r="E165" s="119" t="s">
        <v>87</v>
      </c>
      <c r="F165" s="120">
        <v>1</v>
      </c>
      <c r="G165" s="120">
        <v>222300</v>
      </c>
    </row>
    <row r="166" spans="1:7" ht="15.75">
      <c r="A166" s="119">
        <v>158</v>
      </c>
      <c r="B166" s="119" t="s">
        <v>908</v>
      </c>
      <c r="C166" s="119" t="s">
        <v>906</v>
      </c>
      <c r="D166" s="119" t="s">
        <v>907</v>
      </c>
      <c r="E166" s="119" t="s">
        <v>87</v>
      </c>
      <c r="F166" s="120">
        <v>1</v>
      </c>
      <c r="G166" s="120">
        <v>222300</v>
      </c>
    </row>
    <row r="167" spans="1:7" ht="15.75">
      <c r="A167" s="119">
        <v>159</v>
      </c>
      <c r="B167" s="119" t="s">
        <v>860</v>
      </c>
      <c r="C167" s="119" t="s">
        <v>858</v>
      </c>
      <c r="D167" s="119" t="s">
        <v>859</v>
      </c>
      <c r="E167" s="119" t="s">
        <v>87</v>
      </c>
      <c r="F167" s="120">
        <v>1</v>
      </c>
      <c r="G167" s="120">
        <v>222300</v>
      </c>
    </row>
    <row r="168" spans="1:7" ht="15.75">
      <c r="A168" s="119">
        <v>160</v>
      </c>
      <c r="B168" s="119" t="s">
        <v>606</v>
      </c>
      <c r="C168" s="119" t="s">
        <v>603</v>
      </c>
      <c r="D168" s="119" t="s">
        <v>604</v>
      </c>
      <c r="E168" s="119" t="s">
        <v>89</v>
      </c>
      <c r="F168" s="120">
        <v>1</v>
      </c>
      <c r="G168" s="120">
        <v>341800</v>
      </c>
    </row>
    <row r="169" spans="1:7" ht="15.75">
      <c r="A169" s="119">
        <v>161</v>
      </c>
      <c r="B169" s="119" t="s">
        <v>527</v>
      </c>
      <c r="C169" s="119" t="s">
        <v>525</v>
      </c>
      <c r="D169" s="119" t="s">
        <v>526</v>
      </c>
      <c r="E169" s="119" t="s">
        <v>87</v>
      </c>
      <c r="F169" s="120">
        <v>1</v>
      </c>
      <c r="G169" s="120">
        <v>222300</v>
      </c>
    </row>
    <row r="170" spans="1:7" ht="15.75">
      <c r="A170" s="119">
        <v>162</v>
      </c>
      <c r="B170" s="119" t="s">
        <v>527</v>
      </c>
      <c r="C170" s="119" t="s">
        <v>557</v>
      </c>
      <c r="D170" s="119" t="s">
        <v>103</v>
      </c>
      <c r="E170" s="119" t="s">
        <v>89</v>
      </c>
      <c r="F170" s="120">
        <v>1</v>
      </c>
      <c r="G170" s="120">
        <v>341800</v>
      </c>
    </row>
    <row r="171" spans="1:7" ht="15.75">
      <c r="A171" s="119">
        <v>163</v>
      </c>
      <c r="B171" s="119" t="s">
        <v>527</v>
      </c>
      <c r="C171" s="119" t="s">
        <v>571</v>
      </c>
      <c r="D171" s="119" t="s">
        <v>572</v>
      </c>
      <c r="E171" s="119" t="s">
        <v>90</v>
      </c>
      <c r="F171" s="120">
        <v>1</v>
      </c>
      <c r="G171" s="120">
        <v>269200</v>
      </c>
    </row>
    <row r="172" spans="1:7" ht="15.75">
      <c r="A172" s="119">
        <v>164</v>
      </c>
      <c r="B172" s="119" t="s">
        <v>527</v>
      </c>
      <c r="C172" s="119" t="s">
        <v>603</v>
      </c>
      <c r="D172" s="119" t="s">
        <v>604</v>
      </c>
      <c r="E172" s="119" t="s">
        <v>89</v>
      </c>
      <c r="F172" s="120">
        <v>1</v>
      </c>
      <c r="G172" s="120">
        <v>341800</v>
      </c>
    </row>
    <row r="173" spans="1:7" ht="15.75">
      <c r="A173" s="119">
        <v>165</v>
      </c>
      <c r="B173" s="119" t="s">
        <v>527</v>
      </c>
      <c r="C173" s="119" t="s">
        <v>607</v>
      </c>
      <c r="D173" s="119" t="s">
        <v>106</v>
      </c>
      <c r="E173" s="119" t="s">
        <v>87</v>
      </c>
      <c r="F173" s="120">
        <v>1</v>
      </c>
      <c r="G173" s="120">
        <v>222300</v>
      </c>
    </row>
    <row r="174" spans="1:7" ht="15.75">
      <c r="A174" s="119">
        <v>166</v>
      </c>
      <c r="B174" s="119" t="s">
        <v>527</v>
      </c>
      <c r="C174" s="119" t="s">
        <v>617</v>
      </c>
      <c r="D174" s="119" t="s">
        <v>99</v>
      </c>
      <c r="E174" s="119" t="s">
        <v>87</v>
      </c>
      <c r="F174" s="120">
        <v>1</v>
      </c>
      <c r="G174" s="120">
        <v>222300</v>
      </c>
    </row>
    <row r="175" spans="1:7" ht="15.75">
      <c r="A175" s="119">
        <v>167</v>
      </c>
      <c r="B175" s="119" t="s">
        <v>527</v>
      </c>
      <c r="C175" s="119" t="s">
        <v>619</v>
      </c>
      <c r="D175" s="119" t="s">
        <v>620</v>
      </c>
      <c r="E175" s="119" t="s">
        <v>87</v>
      </c>
      <c r="F175" s="120">
        <v>1</v>
      </c>
      <c r="G175" s="120">
        <v>222300</v>
      </c>
    </row>
    <row r="176" spans="1:7" ht="15.75">
      <c r="A176" s="119">
        <v>168</v>
      </c>
      <c r="B176" s="119" t="s">
        <v>527</v>
      </c>
      <c r="C176" s="119" t="s">
        <v>654</v>
      </c>
      <c r="D176" s="119" t="s">
        <v>107</v>
      </c>
      <c r="E176" s="119" t="s">
        <v>90</v>
      </c>
      <c r="F176" s="120">
        <v>1</v>
      </c>
      <c r="G176" s="120">
        <v>269200</v>
      </c>
    </row>
    <row r="177" spans="1:7" ht="15.75">
      <c r="A177" s="119">
        <v>169</v>
      </c>
      <c r="B177" s="119" t="s">
        <v>527</v>
      </c>
      <c r="C177" s="119" t="s">
        <v>663</v>
      </c>
      <c r="D177" s="119" t="s">
        <v>100</v>
      </c>
      <c r="E177" s="119" t="s">
        <v>87</v>
      </c>
      <c r="F177" s="120">
        <v>1</v>
      </c>
      <c r="G177" s="120">
        <v>222300</v>
      </c>
    </row>
    <row r="178" spans="1:7" ht="15.75">
      <c r="A178" s="119">
        <v>170</v>
      </c>
      <c r="B178" s="119" t="s">
        <v>527</v>
      </c>
      <c r="C178" s="119" t="s">
        <v>667</v>
      </c>
      <c r="D178" s="119" t="s">
        <v>128</v>
      </c>
      <c r="E178" s="119" t="s">
        <v>89</v>
      </c>
      <c r="F178" s="120">
        <v>1</v>
      </c>
      <c r="G178" s="120">
        <v>341800</v>
      </c>
    </row>
    <row r="179" spans="1:7" ht="15.75">
      <c r="A179" s="119">
        <v>171</v>
      </c>
      <c r="B179" s="119" t="s">
        <v>527</v>
      </c>
      <c r="C179" s="119" t="s">
        <v>674</v>
      </c>
      <c r="D179" s="119" t="s">
        <v>675</v>
      </c>
      <c r="E179" s="119" t="s">
        <v>87</v>
      </c>
      <c r="F179" s="120">
        <v>1</v>
      </c>
      <c r="G179" s="120">
        <v>222300</v>
      </c>
    </row>
    <row r="180" spans="1:7" ht="15.75">
      <c r="A180" s="119">
        <v>172</v>
      </c>
      <c r="B180" s="119" t="s">
        <v>527</v>
      </c>
      <c r="C180" s="119" t="s">
        <v>677</v>
      </c>
      <c r="D180" s="119" t="s">
        <v>147</v>
      </c>
      <c r="E180" s="119" t="s">
        <v>87</v>
      </c>
      <c r="F180" s="120">
        <v>1</v>
      </c>
      <c r="G180" s="120">
        <v>222300</v>
      </c>
    </row>
    <row r="181" spans="1:7" ht="15.75">
      <c r="A181" s="119">
        <v>173</v>
      </c>
      <c r="B181" s="119" t="s">
        <v>527</v>
      </c>
      <c r="C181" s="119" t="s">
        <v>699</v>
      </c>
      <c r="D181" s="119" t="s">
        <v>105</v>
      </c>
      <c r="E181" s="119" t="s">
        <v>89</v>
      </c>
      <c r="F181" s="120">
        <v>1</v>
      </c>
      <c r="G181" s="120">
        <v>341800</v>
      </c>
    </row>
    <row r="182" spans="1:7" ht="15.75">
      <c r="A182" s="119">
        <v>174</v>
      </c>
      <c r="B182" s="119" t="s">
        <v>527</v>
      </c>
      <c r="C182" s="119" t="s">
        <v>715</v>
      </c>
      <c r="D182" s="119" t="s">
        <v>716</v>
      </c>
      <c r="E182" s="119" t="s">
        <v>87</v>
      </c>
      <c r="F182" s="120">
        <v>1</v>
      </c>
      <c r="G182" s="120">
        <v>222300</v>
      </c>
    </row>
    <row r="183" spans="1:7" ht="15.75">
      <c r="A183" s="119">
        <v>175</v>
      </c>
      <c r="B183" s="119" t="s">
        <v>527</v>
      </c>
      <c r="C183" s="119" t="s">
        <v>341</v>
      </c>
      <c r="D183" s="119" t="s">
        <v>728</v>
      </c>
      <c r="E183" s="119" t="s">
        <v>90</v>
      </c>
      <c r="F183" s="120">
        <v>1</v>
      </c>
      <c r="G183" s="120">
        <v>269200</v>
      </c>
    </row>
    <row r="184" spans="1:7" ht="15.75">
      <c r="A184" s="119">
        <v>176</v>
      </c>
      <c r="B184" s="119" t="s">
        <v>527</v>
      </c>
      <c r="C184" s="119" t="s">
        <v>744</v>
      </c>
      <c r="D184" s="119" t="s">
        <v>130</v>
      </c>
      <c r="E184" s="119" t="s">
        <v>88</v>
      </c>
      <c r="F184" s="120">
        <v>1</v>
      </c>
      <c r="G184" s="120">
        <v>301600</v>
      </c>
    </row>
    <row r="185" spans="1:7" ht="15.75">
      <c r="A185" s="119">
        <v>177</v>
      </c>
      <c r="B185" s="119" t="s">
        <v>527</v>
      </c>
      <c r="C185" s="119" t="s">
        <v>746</v>
      </c>
      <c r="D185" s="119" t="s">
        <v>747</v>
      </c>
      <c r="E185" s="119" t="s">
        <v>88</v>
      </c>
      <c r="F185" s="120">
        <v>1</v>
      </c>
      <c r="G185" s="120">
        <v>301600</v>
      </c>
    </row>
    <row r="186" spans="1:7" ht="15.75">
      <c r="A186" s="119">
        <v>178</v>
      </c>
      <c r="B186" s="119" t="s">
        <v>527</v>
      </c>
      <c r="C186" s="119" t="s">
        <v>789</v>
      </c>
      <c r="D186" s="119" t="s">
        <v>790</v>
      </c>
      <c r="E186" s="119" t="s">
        <v>89</v>
      </c>
      <c r="F186" s="120">
        <v>1</v>
      </c>
      <c r="G186" s="120">
        <v>341800</v>
      </c>
    </row>
    <row r="187" spans="1:7" ht="15.75">
      <c r="A187" s="119">
        <v>179</v>
      </c>
      <c r="B187" s="119" t="s">
        <v>527</v>
      </c>
      <c r="C187" s="119" t="s">
        <v>838</v>
      </c>
      <c r="D187" s="119" t="s">
        <v>839</v>
      </c>
      <c r="E187" s="119" t="s">
        <v>87</v>
      </c>
      <c r="F187" s="120">
        <v>1</v>
      </c>
      <c r="G187" s="120">
        <v>222300</v>
      </c>
    </row>
    <row r="188" spans="1:7" ht="15.75">
      <c r="A188" s="119">
        <v>180</v>
      </c>
      <c r="B188" s="119" t="s">
        <v>527</v>
      </c>
      <c r="C188" s="119" t="s">
        <v>858</v>
      </c>
      <c r="D188" s="119" t="s">
        <v>859</v>
      </c>
      <c r="E188" s="119" t="s">
        <v>87</v>
      </c>
      <c r="F188" s="120">
        <v>1</v>
      </c>
      <c r="G188" s="120">
        <v>222300</v>
      </c>
    </row>
    <row r="189" spans="1:7" ht="15.75">
      <c r="A189" s="119">
        <v>181</v>
      </c>
      <c r="B189" s="119" t="s">
        <v>527</v>
      </c>
      <c r="C189" s="119" t="s">
        <v>876</v>
      </c>
      <c r="D189" s="119" t="s">
        <v>108</v>
      </c>
      <c r="E189" s="119" t="s">
        <v>87</v>
      </c>
      <c r="F189" s="120">
        <v>1</v>
      </c>
      <c r="G189" s="120">
        <v>222300</v>
      </c>
    </row>
    <row r="190" spans="1:7" ht="15.75">
      <c r="A190" s="119">
        <v>182</v>
      </c>
      <c r="B190" s="119" t="s">
        <v>527</v>
      </c>
      <c r="C190" s="119" t="s">
        <v>322</v>
      </c>
      <c r="D190" s="119" t="s">
        <v>882</v>
      </c>
      <c r="E190" s="119" t="s">
        <v>89</v>
      </c>
      <c r="F190" s="120">
        <v>1</v>
      </c>
      <c r="G190" s="120">
        <v>341800</v>
      </c>
    </row>
    <row r="191" spans="1:7" ht="15.75">
      <c r="A191" s="119">
        <v>183</v>
      </c>
      <c r="B191" s="119" t="s">
        <v>527</v>
      </c>
      <c r="C191" s="119" t="s">
        <v>889</v>
      </c>
      <c r="D191" s="119" t="s">
        <v>890</v>
      </c>
      <c r="E191" s="119" t="s">
        <v>89</v>
      </c>
      <c r="F191" s="120">
        <v>1</v>
      </c>
      <c r="G191" s="120">
        <v>341800</v>
      </c>
    </row>
    <row r="192" spans="1:7" ht="15.75">
      <c r="A192" s="119">
        <v>184</v>
      </c>
      <c r="B192" s="119" t="s">
        <v>527</v>
      </c>
      <c r="C192" s="119" t="s">
        <v>906</v>
      </c>
      <c r="D192" s="119" t="s">
        <v>907</v>
      </c>
      <c r="E192" s="119" t="s">
        <v>87</v>
      </c>
      <c r="F192" s="120">
        <v>1</v>
      </c>
      <c r="G192" s="120">
        <v>222300</v>
      </c>
    </row>
    <row r="193" spans="1:7" ht="15.75">
      <c r="A193" s="119">
        <v>185</v>
      </c>
      <c r="B193" s="119" t="s">
        <v>527</v>
      </c>
      <c r="C193" s="119" t="s">
        <v>937</v>
      </c>
      <c r="D193" s="119" t="s">
        <v>938</v>
      </c>
      <c r="E193" s="119" t="s">
        <v>87</v>
      </c>
      <c r="F193" s="120">
        <v>1</v>
      </c>
      <c r="G193" s="120">
        <v>222300</v>
      </c>
    </row>
    <row r="194" spans="1:7" ht="15.75">
      <c r="A194" s="119">
        <v>186</v>
      </c>
      <c r="B194" s="119" t="s">
        <v>527</v>
      </c>
      <c r="C194" s="119" t="s">
        <v>961</v>
      </c>
      <c r="D194" s="119" t="s">
        <v>154</v>
      </c>
      <c r="E194" s="119" t="s">
        <v>87</v>
      </c>
      <c r="F194" s="120">
        <v>1</v>
      </c>
      <c r="G194" s="120">
        <v>222300</v>
      </c>
    </row>
    <row r="195" spans="1:7" ht="15.75">
      <c r="A195" s="119">
        <v>187</v>
      </c>
      <c r="B195" s="119" t="s">
        <v>527</v>
      </c>
      <c r="C195" s="119" t="s">
        <v>311</v>
      </c>
      <c r="D195" s="119" t="s">
        <v>600</v>
      </c>
      <c r="E195" s="119" t="s">
        <v>89</v>
      </c>
      <c r="F195" s="120">
        <v>1</v>
      </c>
      <c r="G195" s="120">
        <v>341800</v>
      </c>
    </row>
    <row r="196" spans="1:7" ht="15.75">
      <c r="A196" s="119">
        <v>188</v>
      </c>
      <c r="B196" s="119" t="s">
        <v>527</v>
      </c>
      <c r="C196" s="119" t="s">
        <v>1017</v>
      </c>
      <c r="D196" s="119" t="s">
        <v>98</v>
      </c>
      <c r="E196" s="119" t="s">
        <v>89</v>
      </c>
      <c r="F196" s="120">
        <v>1</v>
      </c>
      <c r="G196" s="120">
        <v>341800</v>
      </c>
    </row>
    <row r="197" spans="1:7" ht="15.75">
      <c r="A197" s="119">
        <v>189</v>
      </c>
      <c r="B197" s="119" t="s">
        <v>527</v>
      </c>
      <c r="C197" s="119" t="s">
        <v>222</v>
      </c>
      <c r="D197" s="119" t="s">
        <v>100</v>
      </c>
      <c r="E197" s="119" t="s">
        <v>90</v>
      </c>
      <c r="F197" s="120">
        <v>1</v>
      </c>
      <c r="G197" s="120">
        <v>269200</v>
      </c>
    </row>
    <row r="198" spans="1:7" ht="15.75">
      <c r="A198" s="119">
        <v>190</v>
      </c>
      <c r="B198" s="119" t="s">
        <v>527</v>
      </c>
      <c r="C198" s="119" t="s">
        <v>256</v>
      </c>
      <c r="D198" s="119" t="s">
        <v>167</v>
      </c>
      <c r="E198" s="119" t="s">
        <v>90</v>
      </c>
      <c r="F198" s="120">
        <v>1</v>
      </c>
      <c r="G198" s="120">
        <v>269200</v>
      </c>
    </row>
    <row r="199" spans="1:7" ht="15.75">
      <c r="A199" s="119">
        <v>191</v>
      </c>
      <c r="B199" s="119" t="s">
        <v>825</v>
      </c>
      <c r="C199" s="119" t="s">
        <v>823</v>
      </c>
      <c r="D199" s="119" t="s">
        <v>824</v>
      </c>
      <c r="E199" s="119" t="s">
        <v>88</v>
      </c>
      <c r="F199" s="120">
        <v>1</v>
      </c>
      <c r="G199" s="120">
        <v>301600</v>
      </c>
    </row>
    <row r="200" spans="1:7" ht="15.75">
      <c r="A200" s="119">
        <v>192</v>
      </c>
      <c r="B200" s="119" t="s">
        <v>632</v>
      </c>
      <c r="C200" s="119" t="s">
        <v>630</v>
      </c>
      <c r="D200" s="119" t="s">
        <v>631</v>
      </c>
      <c r="E200" s="119" t="s">
        <v>87</v>
      </c>
      <c r="F200" s="120">
        <v>1</v>
      </c>
      <c r="G200" s="120">
        <v>222300</v>
      </c>
    </row>
    <row r="201" spans="1:7" ht="15.75">
      <c r="A201" s="119">
        <v>193</v>
      </c>
      <c r="B201" s="119" t="s">
        <v>559</v>
      </c>
      <c r="C201" s="119" t="s">
        <v>557</v>
      </c>
      <c r="D201" s="119" t="s">
        <v>103</v>
      </c>
      <c r="E201" s="119" t="s">
        <v>89</v>
      </c>
      <c r="F201" s="120">
        <v>1</v>
      </c>
      <c r="G201" s="120">
        <v>341800</v>
      </c>
    </row>
    <row r="202" spans="1:7" ht="15.75">
      <c r="A202" s="119">
        <v>194</v>
      </c>
      <c r="B202" s="119" t="s">
        <v>559</v>
      </c>
      <c r="C202" s="119" t="s">
        <v>571</v>
      </c>
      <c r="D202" s="119" t="s">
        <v>572</v>
      </c>
      <c r="E202" s="119" t="s">
        <v>90</v>
      </c>
      <c r="F202" s="120">
        <v>1</v>
      </c>
      <c r="G202" s="120">
        <v>269200</v>
      </c>
    </row>
    <row r="203" spans="1:7" ht="15.75">
      <c r="A203" s="119">
        <v>195</v>
      </c>
      <c r="B203" s="119" t="s">
        <v>559</v>
      </c>
      <c r="C203" s="119" t="s">
        <v>603</v>
      </c>
      <c r="D203" s="119" t="s">
        <v>604</v>
      </c>
      <c r="E203" s="119" t="s">
        <v>89</v>
      </c>
      <c r="F203" s="120">
        <v>1</v>
      </c>
      <c r="G203" s="120">
        <v>341800</v>
      </c>
    </row>
    <row r="204" spans="1:7" ht="15.75">
      <c r="A204" s="119">
        <v>196</v>
      </c>
      <c r="B204" s="119" t="s">
        <v>559</v>
      </c>
      <c r="C204" s="119" t="s">
        <v>607</v>
      </c>
      <c r="D204" s="119" t="s">
        <v>106</v>
      </c>
      <c r="E204" s="119" t="s">
        <v>87</v>
      </c>
      <c r="F204" s="120">
        <v>1</v>
      </c>
      <c r="G204" s="120">
        <v>222300</v>
      </c>
    </row>
    <row r="205" spans="1:7" ht="15.75">
      <c r="A205" s="119">
        <v>197</v>
      </c>
      <c r="B205" s="119" t="s">
        <v>559</v>
      </c>
      <c r="C205" s="119" t="s">
        <v>617</v>
      </c>
      <c r="D205" s="119" t="s">
        <v>99</v>
      </c>
      <c r="E205" s="119" t="s">
        <v>87</v>
      </c>
      <c r="F205" s="120">
        <v>1</v>
      </c>
      <c r="G205" s="120">
        <v>222300</v>
      </c>
    </row>
    <row r="206" spans="1:7" ht="15.75">
      <c r="A206" s="119">
        <v>198</v>
      </c>
      <c r="B206" s="119" t="s">
        <v>559</v>
      </c>
      <c r="C206" s="119" t="s">
        <v>619</v>
      </c>
      <c r="D206" s="119" t="s">
        <v>620</v>
      </c>
      <c r="E206" s="119" t="s">
        <v>87</v>
      </c>
      <c r="F206" s="120">
        <v>1</v>
      </c>
      <c r="G206" s="120">
        <v>222300</v>
      </c>
    </row>
    <row r="207" spans="1:7" ht="15.75">
      <c r="A207" s="119">
        <v>199</v>
      </c>
      <c r="B207" s="119" t="s">
        <v>559</v>
      </c>
      <c r="C207" s="119" t="s">
        <v>630</v>
      </c>
      <c r="D207" s="119" t="s">
        <v>631</v>
      </c>
      <c r="E207" s="119" t="s">
        <v>87</v>
      </c>
      <c r="F207" s="120">
        <v>1</v>
      </c>
      <c r="G207" s="120">
        <v>222300</v>
      </c>
    </row>
    <row r="208" spans="1:7" ht="15.75">
      <c r="A208" s="119">
        <v>200</v>
      </c>
      <c r="B208" s="119" t="s">
        <v>559</v>
      </c>
      <c r="C208" s="119" t="s">
        <v>654</v>
      </c>
      <c r="D208" s="119" t="s">
        <v>107</v>
      </c>
      <c r="E208" s="119" t="s">
        <v>90</v>
      </c>
      <c r="F208" s="120">
        <v>1</v>
      </c>
      <c r="G208" s="120">
        <v>269200</v>
      </c>
    </row>
    <row r="209" spans="1:7" ht="18" customHeight="1">
      <c r="A209" s="119">
        <v>201</v>
      </c>
      <c r="B209" s="119" t="s">
        <v>559</v>
      </c>
      <c r="C209" s="119" t="s">
        <v>663</v>
      </c>
      <c r="D209" s="119" t="s">
        <v>100</v>
      </c>
      <c r="E209" s="119" t="s">
        <v>87</v>
      </c>
      <c r="F209" s="120">
        <v>1</v>
      </c>
      <c r="G209" s="120">
        <v>222300</v>
      </c>
    </row>
    <row r="210" spans="1:7" ht="15.75">
      <c r="A210" s="119">
        <v>202</v>
      </c>
      <c r="B210" s="119" t="s">
        <v>559</v>
      </c>
      <c r="C210" s="119" t="s">
        <v>667</v>
      </c>
      <c r="D210" s="119" t="s">
        <v>128</v>
      </c>
      <c r="E210" s="119" t="s">
        <v>89</v>
      </c>
      <c r="F210" s="120">
        <v>1</v>
      </c>
      <c r="G210" s="120">
        <v>341800</v>
      </c>
    </row>
    <row r="211" spans="1:7" ht="15.75">
      <c r="A211" s="119">
        <v>203</v>
      </c>
      <c r="B211" s="119" t="s">
        <v>559</v>
      </c>
      <c r="C211" s="119" t="s">
        <v>674</v>
      </c>
      <c r="D211" s="119" t="s">
        <v>675</v>
      </c>
      <c r="E211" s="119" t="s">
        <v>87</v>
      </c>
      <c r="F211" s="120">
        <v>1</v>
      </c>
      <c r="G211" s="120">
        <v>222300</v>
      </c>
    </row>
    <row r="212" spans="1:7" ht="15.75">
      <c r="A212" s="119">
        <v>204</v>
      </c>
      <c r="B212" s="119" t="s">
        <v>559</v>
      </c>
      <c r="C212" s="119" t="s">
        <v>677</v>
      </c>
      <c r="D212" s="119" t="s">
        <v>147</v>
      </c>
      <c r="E212" s="119" t="s">
        <v>87</v>
      </c>
      <c r="F212" s="120">
        <v>1</v>
      </c>
      <c r="G212" s="120">
        <v>222300</v>
      </c>
    </row>
    <row r="213" spans="1:7" ht="15.75">
      <c r="A213" s="119">
        <v>205</v>
      </c>
      <c r="B213" s="119" t="s">
        <v>559</v>
      </c>
      <c r="C213" s="119" t="s">
        <v>699</v>
      </c>
      <c r="D213" s="119" t="s">
        <v>105</v>
      </c>
      <c r="E213" s="119" t="s">
        <v>89</v>
      </c>
      <c r="F213" s="120">
        <v>1</v>
      </c>
      <c r="G213" s="120">
        <v>341800</v>
      </c>
    </row>
    <row r="214" spans="1:7" ht="15.75">
      <c r="A214" s="119">
        <v>206</v>
      </c>
      <c r="B214" s="119" t="s">
        <v>559</v>
      </c>
      <c r="C214" s="119" t="s">
        <v>715</v>
      </c>
      <c r="D214" s="119" t="s">
        <v>716</v>
      </c>
      <c r="E214" s="119" t="s">
        <v>87</v>
      </c>
      <c r="F214" s="120">
        <v>1</v>
      </c>
      <c r="G214" s="120">
        <v>222300</v>
      </c>
    </row>
    <row r="215" spans="1:7" ht="15.75">
      <c r="A215" s="119">
        <v>207</v>
      </c>
      <c r="B215" s="119" t="s">
        <v>559</v>
      </c>
      <c r="C215" s="119" t="s">
        <v>341</v>
      </c>
      <c r="D215" s="119" t="s">
        <v>728</v>
      </c>
      <c r="E215" s="119" t="s">
        <v>90</v>
      </c>
      <c r="F215" s="120">
        <v>1</v>
      </c>
      <c r="G215" s="120">
        <v>269200</v>
      </c>
    </row>
    <row r="216" spans="1:7" ht="15.75">
      <c r="A216" s="119">
        <v>208</v>
      </c>
      <c r="B216" s="119" t="s">
        <v>559</v>
      </c>
      <c r="C216" s="119" t="s">
        <v>744</v>
      </c>
      <c r="D216" s="119" t="s">
        <v>130</v>
      </c>
      <c r="E216" s="119" t="s">
        <v>88</v>
      </c>
      <c r="F216" s="120">
        <v>1</v>
      </c>
      <c r="G216" s="120">
        <v>301600</v>
      </c>
    </row>
    <row r="217" spans="1:7" ht="15.75">
      <c r="A217" s="119">
        <v>209</v>
      </c>
      <c r="B217" s="119" t="s">
        <v>559</v>
      </c>
      <c r="C217" s="119" t="s">
        <v>746</v>
      </c>
      <c r="D217" s="119" t="s">
        <v>747</v>
      </c>
      <c r="E217" s="119" t="s">
        <v>88</v>
      </c>
      <c r="F217" s="120">
        <v>1</v>
      </c>
      <c r="G217" s="120">
        <v>301600</v>
      </c>
    </row>
    <row r="218" spans="1:7" ht="15.75">
      <c r="A218" s="119">
        <v>210</v>
      </c>
      <c r="B218" s="119" t="s">
        <v>559</v>
      </c>
      <c r="C218" s="119" t="s">
        <v>789</v>
      </c>
      <c r="D218" s="119" t="s">
        <v>790</v>
      </c>
      <c r="E218" s="119" t="s">
        <v>89</v>
      </c>
      <c r="F218" s="120">
        <v>1</v>
      </c>
      <c r="G218" s="120">
        <v>341800</v>
      </c>
    </row>
    <row r="219" spans="1:7" ht="15.75">
      <c r="A219" s="119">
        <v>211</v>
      </c>
      <c r="B219" s="119" t="s">
        <v>559</v>
      </c>
      <c r="C219" s="119" t="s">
        <v>823</v>
      </c>
      <c r="D219" s="119" t="s">
        <v>824</v>
      </c>
      <c r="E219" s="119" t="s">
        <v>88</v>
      </c>
      <c r="F219" s="120">
        <v>1</v>
      </c>
      <c r="G219" s="120">
        <v>301600</v>
      </c>
    </row>
    <row r="220" spans="1:7" ht="15.75">
      <c r="A220" s="119">
        <v>212</v>
      </c>
      <c r="B220" s="119" t="s">
        <v>559</v>
      </c>
      <c r="C220" s="119" t="s">
        <v>838</v>
      </c>
      <c r="D220" s="119" t="s">
        <v>839</v>
      </c>
      <c r="E220" s="119" t="s">
        <v>87</v>
      </c>
      <c r="F220" s="120">
        <v>1</v>
      </c>
      <c r="G220" s="120">
        <v>222300</v>
      </c>
    </row>
    <row r="221" spans="1:7" ht="15.75">
      <c r="A221" s="119">
        <v>213</v>
      </c>
      <c r="B221" s="119" t="s">
        <v>559</v>
      </c>
      <c r="C221" s="119" t="s">
        <v>858</v>
      </c>
      <c r="D221" s="119" t="s">
        <v>859</v>
      </c>
      <c r="E221" s="119" t="s">
        <v>87</v>
      </c>
      <c r="F221" s="120">
        <v>1</v>
      </c>
      <c r="G221" s="120">
        <v>222300</v>
      </c>
    </row>
    <row r="222" spans="1:7" ht="15.75">
      <c r="A222" s="119">
        <v>214</v>
      </c>
      <c r="B222" s="119" t="s">
        <v>559</v>
      </c>
      <c r="C222" s="119" t="s">
        <v>876</v>
      </c>
      <c r="D222" s="119" t="s">
        <v>108</v>
      </c>
      <c r="E222" s="119" t="s">
        <v>87</v>
      </c>
      <c r="F222" s="120">
        <v>1</v>
      </c>
      <c r="G222" s="120">
        <v>222300</v>
      </c>
    </row>
    <row r="223" spans="1:7" ht="15.75">
      <c r="A223" s="119">
        <v>215</v>
      </c>
      <c r="B223" s="119" t="s">
        <v>559</v>
      </c>
      <c r="C223" s="119" t="s">
        <v>322</v>
      </c>
      <c r="D223" s="119" t="s">
        <v>882</v>
      </c>
      <c r="E223" s="119" t="s">
        <v>89</v>
      </c>
      <c r="F223" s="120">
        <v>1</v>
      </c>
      <c r="G223" s="120">
        <v>341800</v>
      </c>
    </row>
    <row r="224" spans="1:7" ht="15.75">
      <c r="A224" s="119">
        <v>216</v>
      </c>
      <c r="B224" s="119" t="s">
        <v>559</v>
      </c>
      <c r="C224" s="119" t="s">
        <v>889</v>
      </c>
      <c r="D224" s="119" t="s">
        <v>890</v>
      </c>
      <c r="E224" s="119" t="s">
        <v>89</v>
      </c>
      <c r="F224" s="120">
        <v>1</v>
      </c>
      <c r="G224" s="120">
        <v>341800</v>
      </c>
    </row>
    <row r="225" spans="1:7" ht="15.75">
      <c r="A225" s="119">
        <v>217</v>
      </c>
      <c r="B225" s="119" t="s">
        <v>559</v>
      </c>
      <c r="C225" s="119" t="s">
        <v>906</v>
      </c>
      <c r="D225" s="119" t="s">
        <v>907</v>
      </c>
      <c r="E225" s="119" t="s">
        <v>87</v>
      </c>
      <c r="F225" s="120">
        <v>1</v>
      </c>
      <c r="G225" s="120">
        <v>222300</v>
      </c>
    </row>
    <row r="226" spans="1:7" ht="15.75">
      <c r="A226" s="119">
        <v>218</v>
      </c>
      <c r="B226" s="119" t="s">
        <v>559</v>
      </c>
      <c r="C226" s="119" t="s">
        <v>937</v>
      </c>
      <c r="D226" s="119" t="s">
        <v>938</v>
      </c>
      <c r="E226" s="119" t="s">
        <v>87</v>
      </c>
      <c r="F226" s="120">
        <v>1</v>
      </c>
      <c r="G226" s="120">
        <v>222300</v>
      </c>
    </row>
    <row r="227" spans="1:7" ht="15.75">
      <c r="A227" s="119">
        <v>219</v>
      </c>
      <c r="B227" s="119" t="s">
        <v>559</v>
      </c>
      <c r="C227" s="119" t="s">
        <v>961</v>
      </c>
      <c r="D227" s="119" t="s">
        <v>154</v>
      </c>
      <c r="E227" s="119" t="s">
        <v>87</v>
      </c>
      <c r="F227" s="120">
        <v>1</v>
      </c>
      <c r="G227" s="120">
        <v>222300</v>
      </c>
    </row>
    <row r="228" spans="1:7" ht="15.75">
      <c r="A228" s="119">
        <v>220</v>
      </c>
      <c r="B228" s="119" t="s">
        <v>559</v>
      </c>
      <c r="C228" s="119" t="s">
        <v>311</v>
      </c>
      <c r="D228" s="119" t="s">
        <v>600</v>
      </c>
      <c r="E228" s="119" t="s">
        <v>89</v>
      </c>
      <c r="F228" s="120">
        <v>1</v>
      </c>
      <c r="G228" s="120">
        <v>341800</v>
      </c>
    </row>
    <row r="229" spans="1:7" ht="15.75">
      <c r="A229" s="119">
        <v>221</v>
      </c>
      <c r="B229" s="119" t="s">
        <v>559</v>
      </c>
      <c r="C229" s="119" t="s">
        <v>1017</v>
      </c>
      <c r="D229" s="119" t="s">
        <v>98</v>
      </c>
      <c r="E229" s="119" t="s">
        <v>89</v>
      </c>
      <c r="F229" s="120">
        <v>1</v>
      </c>
      <c r="G229" s="120">
        <v>341800</v>
      </c>
    </row>
    <row r="230" spans="1:7" ht="15.75">
      <c r="A230" s="119">
        <v>222</v>
      </c>
      <c r="B230" s="119" t="s">
        <v>559</v>
      </c>
      <c r="C230" s="119" t="s">
        <v>222</v>
      </c>
      <c r="D230" s="119" t="s">
        <v>100</v>
      </c>
      <c r="E230" s="119" t="s">
        <v>90</v>
      </c>
      <c r="F230" s="120">
        <v>1</v>
      </c>
      <c r="G230" s="120">
        <v>269200</v>
      </c>
    </row>
    <row r="231" spans="1:7" ht="15.75">
      <c r="A231" s="119">
        <v>223</v>
      </c>
      <c r="B231" s="119" t="s">
        <v>559</v>
      </c>
      <c r="C231" s="119" t="s">
        <v>256</v>
      </c>
      <c r="D231" s="119" t="s">
        <v>167</v>
      </c>
      <c r="E231" s="119" t="s">
        <v>90</v>
      </c>
      <c r="F231" s="120">
        <v>1</v>
      </c>
      <c r="G231" s="120">
        <v>269200</v>
      </c>
    </row>
    <row r="232" spans="1:7" ht="15.75">
      <c r="A232" s="119">
        <v>224</v>
      </c>
      <c r="B232" s="119" t="s">
        <v>970</v>
      </c>
      <c r="C232" s="119" t="s">
        <v>969</v>
      </c>
      <c r="D232" s="119" t="s">
        <v>108</v>
      </c>
      <c r="E232" s="119" t="s">
        <v>87</v>
      </c>
      <c r="F232" s="120">
        <v>1</v>
      </c>
      <c r="G232" s="120">
        <v>222300</v>
      </c>
    </row>
    <row r="233" spans="1:7" ht="15.75">
      <c r="A233" s="119">
        <v>225</v>
      </c>
      <c r="B233" s="119" t="s">
        <v>777</v>
      </c>
      <c r="C233" s="119" t="s">
        <v>775</v>
      </c>
      <c r="D233" s="119" t="s">
        <v>776</v>
      </c>
      <c r="E233" s="119" t="s">
        <v>87</v>
      </c>
      <c r="F233" s="120">
        <v>1</v>
      </c>
      <c r="G233" s="120">
        <v>600000</v>
      </c>
    </row>
    <row r="234" spans="1:7" ht="15.75">
      <c r="A234" s="119">
        <v>226</v>
      </c>
      <c r="B234" s="119" t="s">
        <v>534</v>
      </c>
      <c r="C234" s="119" t="s">
        <v>531</v>
      </c>
      <c r="D234" s="119" t="s">
        <v>532</v>
      </c>
      <c r="E234" s="119" t="s">
        <v>89</v>
      </c>
      <c r="F234" s="120">
        <v>1</v>
      </c>
      <c r="G234" s="120">
        <v>341800</v>
      </c>
    </row>
    <row r="235" spans="1:7" ht="15.75">
      <c r="A235" s="119">
        <v>227</v>
      </c>
      <c r="B235" s="119" t="s">
        <v>533</v>
      </c>
      <c r="C235" s="119" t="s">
        <v>531</v>
      </c>
      <c r="D235" s="119" t="s">
        <v>532</v>
      </c>
      <c r="E235" s="119" t="s">
        <v>89</v>
      </c>
      <c r="F235" s="120">
        <v>1</v>
      </c>
      <c r="G235" s="120">
        <v>341800</v>
      </c>
    </row>
    <row r="236" spans="1:7" ht="15.75">
      <c r="A236" s="119">
        <v>228</v>
      </c>
      <c r="B236" s="119" t="s">
        <v>533</v>
      </c>
      <c r="C236" s="119" t="s">
        <v>603</v>
      </c>
      <c r="D236" s="119" t="s">
        <v>604</v>
      </c>
      <c r="E236" s="119" t="s">
        <v>89</v>
      </c>
      <c r="F236" s="120">
        <v>1</v>
      </c>
      <c r="G236" s="120">
        <v>341800</v>
      </c>
    </row>
    <row r="237" spans="1:7" ht="15.75">
      <c r="A237" s="119">
        <v>229</v>
      </c>
      <c r="B237" s="119" t="s">
        <v>533</v>
      </c>
      <c r="C237" s="119" t="s">
        <v>607</v>
      </c>
      <c r="D237" s="119" t="s">
        <v>106</v>
      </c>
      <c r="E237" s="119" t="s">
        <v>87</v>
      </c>
      <c r="F237" s="120">
        <v>1</v>
      </c>
      <c r="G237" s="120">
        <v>222300</v>
      </c>
    </row>
    <row r="238" spans="1:7" ht="15.75">
      <c r="A238" s="119">
        <v>230</v>
      </c>
      <c r="B238" s="119" t="s">
        <v>533</v>
      </c>
      <c r="C238" s="119" t="s">
        <v>617</v>
      </c>
      <c r="D238" s="119" t="s">
        <v>99</v>
      </c>
      <c r="E238" s="119" t="s">
        <v>87</v>
      </c>
      <c r="F238" s="120">
        <v>1</v>
      </c>
      <c r="G238" s="120">
        <v>222300</v>
      </c>
    </row>
    <row r="239" spans="1:7" ht="15.75">
      <c r="A239" s="119">
        <v>231</v>
      </c>
      <c r="B239" s="119" t="s">
        <v>533</v>
      </c>
      <c r="C239" s="119" t="s">
        <v>619</v>
      </c>
      <c r="D239" s="119" t="s">
        <v>620</v>
      </c>
      <c r="E239" s="119" t="s">
        <v>87</v>
      </c>
      <c r="F239" s="120">
        <v>1</v>
      </c>
      <c r="G239" s="120">
        <v>222300</v>
      </c>
    </row>
    <row r="240" spans="1:7" ht="15.75">
      <c r="A240" s="119">
        <v>232</v>
      </c>
      <c r="B240" s="119" t="s">
        <v>533</v>
      </c>
      <c r="C240" s="119" t="s">
        <v>654</v>
      </c>
      <c r="D240" s="119" t="s">
        <v>107</v>
      </c>
      <c r="E240" s="119" t="s">
        <v>90</v>
      </c>
      <c r="F240" s="120">
        <v>1</v>
      </c>
      <c r="G240" s="120">
        <v>269200</v>
      </c>
    </row>
    <row r="241" spans="1:7" ht="15.75">
      <c r="A241" s="119">
        <v>233</v>
      </c>
      <c r="B241" s="119" t="s">
        <v>533</v>
      </c>
      <c r="C241" s="119" t="s">
        <v>663</v>
      </c>
      <c r="D241" s="119" t="s">
        <v>100</v>
      </c>
      <c r="E241" s="119" t="s">
        <v>87</v>
      </c>
      <c r="F241" s="120">
        <v>1</v>
      </c>
      <c r="G241" s="120">
        <v>222300</v>
      </c>
    </row>
    <row r="242" spans="1:7" ht="15.75">
      <c r="A242" s="119">
        <v>234</v>
      </c>
      <c r="B242" s="119" t="s">
        <v>533</v>
      </c>
      <c r="C242" s="119" t="s">
        <v>667</v>
      </c>
      <c r="D242" s="119" t="s">
        <v>128</v>
      </c>
      <c r="E242" s="119" t="s">
        <v>89</v>
      </c>
      <c r="F242" s="120">
        <v>1</v>
      </c>
      <c r="G242" s="120">
        <v>341800</v>
      </c>
    </row>
    <row r="243" spans="1:7" ht="15.75">
      <c r="A243" s="119">
        <v>235</v>
      </c>
      <c r="B243" s="119" t="s">
        <v>533</v>
      </c>
      <c r="C243" s="119" t="s">
        <v>674</v>
      </c>
      <c r="D243" s="119" t="s">
        <v>675</v>
      </c>
      <c r="E243" s="119" t="s">
        <v>87</v>
      </c>
      <c r="F243" s="120">
        <v>1</v>
      </c>
      <c r="G243" s="120">
        <v>222300</v>
      </c>
    </row>
    <row r="244" spans="1:7" ht="15.75">
      <c r="A244" s="119">
        <v>236</v>
      </c>
      <c r="B244" s="119" t="s">
        <v>533</v>
      </c>
      <c r="C244" s="119" t="s">
        <v>677</v>
      </c>
      <c r="D244" s="119" t="s">
        <v>147</v>
      </c>
      <c r="E244" s="119" t="s">
        <v>87</v>
      </c>
      <c r="F244" s="120">
        <v>1</v>
      </c>
      <c r="G244" s="120">
        <v>222300</v>
      </c>
    </row>
    <row r="245" spans="1:7" ht="15.75">
      <c r="A245" s="119">
        <v>237</v>
      </c>
      <c r="B245" s="119" t="s">
        <v>533</v>
      </c>
      <c r="C245" s="119" t="s">
        <v>341</v>
      </c>
      <c r="D245" s="119" t="s">
        <v>728</v>
      </c>
      <c r="E245" s="119" t="s">
        <v>90</v>
      </c>
      <c r="F245" s="120">
        <v>1</v>
      </c>
      <c r="G245" s="120">
        <v>269200</v>
      </c>
    </row>
    <row r="246" spans="1:7" ht="15.75">
      <c r="A246" s="119">
        <v>238</v>
      </c>
      <c r="B246" s="119" t="s">
        <v>533</v>
      </c>
      <c r="C246" s="119" t="s">
        <v>746</v>
      </c>
      <c r="D246" s="119" t="s">
        <v>747</v>
      </c>
      <c r="E246" s="119" t="s">
        <v>88</v>
      </c>
      <c r="F246" s="120">
        <v>1</v>
      </c>
      <c r="G246" s="120">
        <v>301600</v>
      </c>
    </row>
    <row r="247" spans="1:7" ht="15.75">
      <c r="A247" s="119">
        <v>239</v>
      </c>
      <c r="B247" s="119" t="s">
        <v>533</v>
      </c>
      <c r="C247" s="119" t="s">
        <v>775</v>
      </c>
      <c r="D247" s="119" t="s">
        <v>776</v>
      </c>
      <c r="E247" s="119" t="s">
        <v>87</v>
      </c>
      <c r="F247" s="120">
        <v>1</v>
      </c>
      <c r="G247" s="120">
        <v>600000</v>
      </c>
    </row>
    <row r="248" spans="1:7" ht="15.75">
      <c r="A248" s="119">
        <v>240</v>
      </c>
      <c r="B248" s="119" t="s">
        <v>533</v>
      </c>
      <c r="C248" s="119" t="s">
        <v>823</v>
      </c>
      <c r="D248" s="119" t="s">
        <v>824</v>
      </c>
      <c r="E248" s="119" t="s">
        <v>88</v>
      </c>
      <c r="F248" s="120">
        <v>1</v>
      </c>
      <c r="G248" s="120">
        <v>301600</v>
      </c>
    </row>
    <row r="249" spans="1:7" ht="15.75">
      <c r="A249" s="119">
        <v>241</v>
      </c>
      <c r="B249" s="119" t="s">
        <v>533</v>
      </c>
      <c r="C249" s="119" t="s">
        <v>838</v>
      </c>
      <c r="D249" s="119" t="s">
        <v>839</v>
      </c>
      <c r="E249" s="119" t="s">
        <v>87</v>
      </c>
      <c r="F249" s="120">
        <v>1</v>
      </c>
      <c r="G249" s="120">
        <v>222300</v>
      </c>
    </row>
    <row r="250" spans="1:7" ht="15.75">
      <c r="A250" s="119">
        <v>242</v>
      </c>
      <c r="B250" s="119" t="s">
        <v>533</v>
      </c>
      <c r="C250" s="119" t="s">
        <v>858</v>
      </c>
      <c r="D250" s="119" t="s">
        <v>859</v>
      </c>
      <c r="E250" s="119" t="s">
        <v>87</v>
      </c>
      <c r="F250" s="120">
        <v>1</v>
      </c>
      <c r="G250" s="120">
        <v>222300</v>
      </c>
    </row>
    <row r="251" spans="1:7" ht="15.75">
      <c r="A251" s="119">
        <v>243</v>
      </c>
      <c r="B251" s="119" t="s">
        <v>533</v>
      </c>
      <c r="C251" s="119" t="s">
        <v>322</v>
      </c>
      <c r="D251" s="119" t="s">
        <v>882</v>
      </c>
      <c r="E251" s="119" t="s">
        <v>89</v>
      </c>
      <c r="F251" s="120">
        <v>1</v>
      </c>
      <c r="G251" s="120">
        <v>341800</v>
      </c>
    </row>
    <row r="252" spans="1:7" ht="15.75">
      <c r="A252" s="119">
        <v>244</v>
      </c>
      <c r="B252" s="119" t="s">
        <v>533</v>
      </c>
      <c r="C252" s="119" t="s">
        <v>937</v>
      </c>
      <c r="D252" s="119" t="s">
        <v>938</v>
      </c>
      <c r="E252" s="119" t="s">
        <v>87</v>
      </c>
      <c r="F252" s="120">
        <v>1</v>
      </c>
      <c r="G252" s="120">
        <v>222300</v>
      </c>
    </row>
    <row r="253" spans="1:7" ht="15.75">
      <c r="A253" s="119">
        <v>245</v>
      </c>
      <c r="B253" s="119" t="s">
        <v>533</v>
      </c>
      <c r="C253" s="119" t="s">
        <v>969</v>
      </c>
      <c r="D253" s="119" t="s">
        <v>108</v>
      </c>
      <c r="E253" s="119" t="s">
        <v>87</v>
      </c>
      <c r="F253" s="120">
        <v>1</v>
      </c>
      <c r="G253" s="120">
        <v>222300</v>
      </c>
    </row>
    <row r="254" spans="1:7" ht="15.75">
      <c r="A254" s="119">
        <v>246</v>
      </c>
      <c r="B254" s="119" t="s">
        <v>533</v>
      </c>
      <c r="C254" s="119" t="s">
        <v>1017</v>
      </c>
      <c r="D254" s="119" t="s">
        <v>98</v>
      </c>
      <c r="E254" s="119" t="s">
        <v>89</v>
      </c>
      <c r="F254" s="120">
        <v>1</v>
      </c>
      <c r="G254" s="120">
        <v>341800</v>
      </c>
    </row>
    <row r="255" spans="1:7" ht="15.75">
      <c r="A255" s="119">
        <v>247</v>
      </c>
      <c r="B255" s="119" t="s">
        <v>533</v>
      </c>
      <c r="C255" s="119" t="s">
        <v>222</v>
      </c>
      <c r="D255" s="119" t="s">
        <v>100</v>
      </c>
      <c r="E255" s="119" t="s">
        <v>90</v>
      </c>
      <c r="F255" s="120">
        <v>1</v>
      </c>
      <c r="G255" s="120">
        <v>269200</v>
      </c>
    </row>
    <row r="256" spans="1:7" ht="15.75">
      <c r="A256" s="119">
        <v>248</v>
      </c>
      <c r="B256" s="119" t="s">
        <v>880</v>
      </c>
      <c r="C256" s="119" t="s">
        <v>878</v>
      </c>
      <c r="D256" s="119" t="s">
        <v>879</v>
      </c>
      <c r="E256" s="119" t="s">
        <v>87</v>
      </c>
      <c r="F256" s="120">
        <v>1</v>
      </c>
      <c r="G256" s="120">
        <v>222300</v>
      </c>
    </row>
    <row r="257" spans="1:7" ht="15.75">
      <c r="A257" s="119">
        <v>249</v>
      </c>
      <c r="B257" s="119" t="s">
        <v>880</v>
      </c>
      <c r="C257" s="119" t="s">
        <v>218</v>
      </c>
      <c r="D257" s="119" t="s">
        <v>98</v>
      </c>
      <c r="E257" s="119" t="s">
        <v>87</v>
      </c>
      <c r="F257" s="120">
        <v>1</v>
      </c>
      <c r="G257" s="120">
        <v>222300</v>
      </c>
    </row>
    <row r="258" spans="1:7" ht="15.75">
      <c r="A258" s="119">
        <v>250</v>
      </c>
      <c r="B258" s="119" t="s">
        <v>514</v>
      </c>
      <c r="C258" s="119" t="s">
        <v>513</v>
      </c>
      <c r="D258" s="119" t="s">
        <v>106</v>
      </c>
      <c r="E258" s="119" t="s">
        <v>89</v>
      </c>
      <c r="F258" s="120">
        <v>1</v>
      </c>
      <c r="G258" s="120">
        <v>341800</v>
      </c>
    </row>
    <row r="259" spans="1:7" ht="15.75">
      <c r="A259" s="119">
        <v>251</v>
      </c>
      <c r="B259" s="119" t="s">
        <v>871</v>
      </c>
      <c r="C259" s="119" t="s">
        <v>869</v>
      </c>
      <c r="D259" s="119" t="s">
        <v>870</v>
      </c>
      <c r="E259" s="119" t="s">
        <v>87</v>
      </c>
      <c r="F259" s="120">
        <v>1</v>
      </c>
      <c r="G259" s="120">
        <v>222300</v>
      </c>
    </row>
    <row r="260" spans="1:7" ht="15.75">
      <c r="A260" s="119">
        <v>252</v>
      </c>
      <c r="B260" s="119" t="s">
        <v>913</v>
      </c>
      <c r="C260" s="119" t="s">
        <v>912</v>
      </c>
      <c r="D260" s="119" t="s">
        <v>123</v>
      </c>
      <c r="E260" s="119" t="s">
        <v>87</v>
      </c>
      <c r="F260" s="120">
        <v>1</v>
      </c>
      <c r="G260" s="120">
        <v>222300</v>
      </c>
    </row>
    <row r="261" spans="1:7" ht="15.75">
      <c r="A261" s="119">
        <v>253</v>
      </c>
      <c r="B261" s="119" t="s">
        <v>741</v>
      </c>
      <c r="C261" s="119" t="s">
        <v>739</v>
      </c>
      <c r="D261" s="119" t="s">
        <v>740</v>
      </c>
      <c r="E261" s="119" t="s">
        <v>87</v>
      </c>
      <c r="F261" s="120">
        <v>1</v>
      </c>
      <c r="G261" s="120">
        <v>222300</v>
      </c>
    </row>
    <row r="262" spans="1:7" ht="15.75">
      <c r="A262" s="119">
        <v>254</v>
      </c>
      <c r="B262" s="119" t="s">
        <v>909</v>
      </c>
      <c r="C262" s="119" t="s">
        <v>906</v>
      </c>
      <c r="D262" s="119" t="s">
        <v>907</v>
      </c>
      <c r="E262" s="119" t="s">
        <v>88</v>
      </c>
      <c r="F262" s="120">
        <v>1</v>
      </c>
      <c r="G262" s="120">
        <v>301600</v>
      </c>
    </row>
    <row r="263" spans="1:7" ht="15.75">
      <c r="A263" s="119">
        <v>255</v>
      </c>
      <c r="B263" s="119" t="s">
        <v>718</v>
      </c>
      <c r="C263" s="119" t="s">
        <v>715</v>
      </c>
      <c r="D263" s="119" t="s">
        <v>716</v>
      </c>
      <c r="E263" s="119" t="s">
        <v>86</v>
      </c>
      <c r="F263" s="120">
        <v>1</v>
      </c>
      <c r="G263" s="120">
        <v>229200</v>
      </c>
    </row>
    <row r="264" spans="1:7" ht="15.75">
      <c r="A264" s="119">
        <v>256</v>
      </c>
      <c r="B264" s="119" t="s">
        <v>595</v>
      </c>
      <c r="C264" s="119" t="s">
        <v>594</v>
      </c>
      <c r="D264" s="119" t="s">
        <v>131</v>
      </c>
      <c r="E264" s="119" t="s">
        <v>87</v>
      </c>
      <c r="F264" s="120">
        <v>1</v>
      </c>
      <c r="G264" s="120">
        <v>222300</v>
      </c>
    </row>
    <row r="265" spans="1:7" ht="15.75">
      <c r="A265" s="119">
        <v>257</v>
      </c>
      <c r="B265" s="119" t="s">
        <v>904</v>
      </c>
      <c r="C265" s="119" t="s">
        <v>902</v>
      </c>
      <c r="D265" s="119" t="s">
        <v>903</v>
      </c>
      <c r="E265" s="119" t="s">
        <v>87</v>
      </c>
      <c r="F265" s="120">
        <v>1</v>
      </c>
      <c r="G265" s="120">
        <v>222300</v>
      </c>
    </row>
    <row r="266" spans="1:7" ht="15.75">
      <c r="A266" s="119">
        <v>258</v>
      </c>
      <c r="B266" s="119" t="s">
        <v>692</v>
      </c>
      <c r="C266" s="119" t="s">
        <v>690</v>
      </c>
      <c r="D266" s="119" t="s">
        <v>691</v>
      </c>
      <c r="E266" s="119" t="s">
        <v>87</v>
      </c>
      <c r="F266" s="120">
        <v>1</v>
      </c>
      <c r="G266" s="120">
        <v>222300</v>
      </c>
    </row>
    <row r="267" spans="1:7" ht="15.75">
      <c r="A267" s="119">
        <v>259</v>
      </c>
      <c r="B267" s="119" t="s">
        <v>963</v>
      </c>
      <c r="C267" s="119" t="s">
        <v>961</v>
      </c>
      <c r="D267" s="119" t="s">
        <v>154</v>
      </c>
      <c r="E267" s="119" t="s">
        <v>87</v>
      </c>
      <c r="F267" s="120">
        <v>1</v>
      </c>
      <c r="G267" s="120">
        <v>222300</v>
      </c>
    </row>
    <row r="268" spans="1:7" ht="15.75">
      <c r="A268" s="119">
        <v>260</v>
      </c>
      <c r="B268" s="119" t="s">
        <v>517</v>
      </c>
      <c r="C268" s="119" t="s">
        <v>513</v>
      </c>
      <c r="D268" s="119" t="s">
        <v>106</v>
      </c>
      <c r="E268" s="119" t="s">
        <v>89</v>
      </c>
      <c r="F268" s="120">
        <v>1</v>
      </c>
      <c r="G268" s="120">
        <v>341800</v>
      </c>
    </row>
    <row r="269" spans="1:7" ht="15.75">
      <c r="A269" s="119">
        <v>261</v>
      </c>
      <c r="B269" s="119" t="s">
        <v>517</v>
      </c>
      <c r="C269" s="119" t="s">
        <v>531</v>
      </c>
      <c r="D269" s="119" t="s">
        <v>532</v>
      </c>
      <c r="E269" s="119" t="s">
        <v>89</v>
      </c>
      <c r="F269" s="120">
        <v>1</v>
      </c>
      <c r="G269" s="120">
        <v>341800</v>
      </c>
    </row>
    <row r="270" spans="1:7" ht="15.75">
      <c r="A270" s="119">
        <v>262</v>
      </c>
      <c r="B270" s="119" t="s">
        <v>517</v>
      </c>
      <c r="C270" s="119" t="s">
        <v>603</v>
      </c>
      <c r="D270" s="119" t="s">
        <v>604</v>
      </c>
      <c r="E270" s="119" t="s">
        <v>89</v>
      </c>
      <c r="F270" s="120">
        <v>1</v>
      </c>
      <c r="G270" s="120">
        <v>341800</v>
      </c>
    </row>
    <row r="271" spans="1:7" ht="15.75">
      <c r="A271" s="119">
        <v>263</v>
      </c>
      <c r="B271" s="119" t="s">
        <v>517</v>
      </c>
      <c r="C271" s="119" t="s">
        <v>607</v>
      </c>
      <c r="D271" s="119" t="s">
        <v>106</v>
      </c>
      <c r="E271" s="119" t="s">
        <v>87</v>
      </c>
      <c r="F271" s="120">
        <v>1</v>
      </c>
      <c r="G271" s="120">
        <v>222300</v>
      </c>
    </row>
    <row r="272" spans="1:7" ht="15.75">
      <c r="A272" s="119">
        <v>264</v>
      </c>
      <c r="B272" s="119" t="s">
        <v>517</v>
      </c>
      <c r="C272" s="119" t="s">
        <v>619</v>
      </c>
      <c r="D272" s="119" t="s">
        <v>620</v>
      </c>
      <c r="E272" s="119" t="s">
        <v>87</v>
      </c>
      <c r="F272" s="120">
        <v>1</v>
      </c>
      <c r="G272" s="120">
        <v>222300</v>
      </c>
    </row>
    <row r="273" spans="1:7" ht="15.75">
      <c r="A273" s="119">
        <v>265</v>
      </c>
      <c r="B273" s="119" t="s">
        <v>517</v>
      </c>
      <c r="C273" s="119" t="s">
        <v>654</v>
      </c>
      <c r="D273" s="119" t="s">
        <v>107</v>
      </c>
      <c r="E273" s="119" t="s">
        <v>90</v>
      </c>
      <c r="F273" s="120">
        <v>1</v>
      </c>
      <c r="G273" s="120">
        <v>269200</v>
      </c>
    </row>
    <row r="274" spans="1:7" ht="15.75">
      <c r="A274" s="119">
        <v>266</v>
      </c>
      <c r="B274" s="119" t="s">
        <v>517</v>
      </c>
      <c r="C274" s="119" t="s">
        <v>663</v>
      </c>
      <c r="D274" s="119" t="s">
        <v>100</v>
      </c>
      <c r="E274" s="119" t="s">
        <v>87</v>
      </c>
      <c r="F274" s="120">
        <v>1</v>
      </c>
      <c r="G274" s="120">
        <v>222300</v>
      </c>
    </row>
    <row r="275" spans="1:7" ht="15.75">
      <c r="A275" s="119">
        <v>267</v>
      </c>
      <c r="B275" s="119" t="s">
        <v>517</v>
      </c>
      <c r="C275" s="119" t="s">
        <v>677</v>
      </c>
      <c r="D275" s="119" t="s">
        <v>147</v>
      </c>
      <c r="E275" s="119" t="s">
        <v>87</v>
      </c>
      <c r="F275" s="120">
        <v>1</v>
      </c>
      <c r="G275" s="120">
        <v>222300</v>
      </c>
    </row>
    <row r="276" spans="1:7" ht="15.75">
      <c r="A276" s="119">
        <v>268</v>
      </c>
      <c r="B276" s="119" t="s">
        <v>517</v>
      </c>
      <c r="C276" s="119" t="s">
        <v>690</v>
      </c>
      <c r="D276" s="119" t="s">
        <v>691</v>
      </c>
      <c r="E276" s="119" t="s">
        <v>87</v>
      </c>
      <c r="F276" s="120">
        <v>1</v>
      </c>
      <c r="G276" s="120">
        <v>222300</v>
      </c>
    </row>
    <row r="277" spans="1:7" ht="15.75">
      <c r="A277" s="119">
        <v>269</v>
      </c>
      <c r="B277" s="119" t="s">
        <v>517</v>
      </c>
      <c r="C277" s="119" t="s">
        <v>715</v>
      </c>
      <c r="D277" s="119" t="s">
        <v>716</v>
      </c>
      <c r="E277" s="119" t="s">
        <v>86</v>
      </c>
      <c r="F277" s="120">
        <v>1</v>
      </c>
      <c r="G277" s="120">
        <v>229200</v>
      </c>
    </row>
    <row r="278" spans="1:7" ht="15.75">
      <c r="A278" s="119">
        <v>270</v>
      </c>
      <c r="B278" s="119" t="s">
        <v>517</v>
      </c>
      <c r="C278" s="119" t="s">
        <v>341</v>
      </c>
      <c r="D278" s="119" t="s">
        <v>728</v>
      </c>
      <c r="E278" s="119" t="s">
        <v>90</v>
      </c>
      <c r="F278" s="120">
        <v>1</v>
      </c>
      <c r="G278" s="120">
        <v>269200</v>
      </c>
    </row>
    <row r="279" spans="1:7" ht="15.75">
      <c r="A279" s="119">
        <v>271</v>
      </c>
      <c r="B279" s="119" t="s">
        <v>517</v>
      </c>
      <c r="C279" s="119" t="s">
        <v>760</v>
      </c>
      <c r="D279" s="119" t="s">
        <v>761</v>
      </c>
      <c r="E279" s="119" t="s">
        <v>88</v>
      </c>
      <c r="F279" s="120">
        <v>1</v>
      </c>
      <c r="G279" s="120">
        <v>301600</v>
      </c>
    </row>
    <row r="280" spans="1:7" ht="15.75">
      <c r="A280" s="119">
        <v>272</v>
      </c>
      <c r="B280" s="119" t="s">
        <v>517</v>
      </c>
      <c r="C280" s="119" t="s">
        <v>775</v>
      </c>
      <c r="D280" s="119" t="s">
        <v>776</v>
      </c>
      <c r="E280" s="119" t="s">
        <v>89</v>
      </c>
      <c r="F280" s="120">
        <v>1</v>
      </c>
      <c r="G280" s="120">
        <v>600000</v>
      </c>
    </row>
    <row r="281" spans="1:7" ht="15.75">
      <c r="A281" s="119">
        <v>273</v>
      </c>
      <c r="B281" s="119" t="s">
        <v>517</v>
      </c>
      <c r="C281" s="119" t="s">
        <v>838</v>
      </c>
      <c r="D281" s="119" t="s">
        <v>839</v>
      </c>
      <c r="E281" s="119" t="s">
        <v>87</v>
      </c>
      <c r="F281" s="120">
        <v>1</v>
      </c>
      <c r="G281" s="120">
        <v>222300</v>
      </c>
    </row>
    <row r="282" spans="1:7" ht="15.75">
      <c r="A282" s="119">
        <v>274</v>
      </c>
      <c r="B282" s="119" t="s">
        <v>517</v>
      </c>
      <c r="C282" s="119" t="s">
        <v>858</v>
      </c>
      <c r="D282" s="119" t="s">
        <v>859</v>
      </c>
      <c r="E282" s="119" t="s">
        <v>89</v>
      </c>
      <c r="F282" s="120">
        <v>1</v>
      </c>
      <c r="G282" s="120">
        <v>341800</v>
      </c>
    </row>
    <row r="283" spans="1:7" ht="15.75">
      <c r="A283" s="119">
        <v>275</v>
      </c>
      <c r="B283" s="119" t="s">
        <v>517</v>
      </c>
      <c r="C283" s="119" t="s">
        <v>906</v>
      </c>
      <c r="D283" s="119" t="s">
        <v>907</v>
      </c>
      <c r="E283" s="119" t="s">
        <v>88</v>
      </c>
      <c r="F283" s="120">
        <v>1</v>
      </c>
      <c r="G283" s="120">
        <v>301600</v>
      </c>
    </row>
    <row r="284" spans="1:7" ht="15.75">
      <c r="A284" s="119">
        <v>276</v>
      </c>
      <c r="B284" s="119" t="s">
        <v>517</v>
      </c>
      <c r="C284" s="119" t="s">
        <v>218</v>
      </c>
      <c r="D284" s="119" t="s">
        <v>98</v>
      </c>
      <c r="E284" s="119" t="s">
        <v>87</v>
      </c>
      <c r="F284" s="120">
        <v>1</v>
      </c>
      <c r="G284" s="120">
        <v>222300</v>
      </c>
    </row>
    <row r="285" spans="1:7" ht="15.75">
      <c r="A285" s="119">
        <v>277</v>
      </c>
      <c r="B285" s="119" t="s">
        <v>517</v>
      </c>
      <c r="C285" s="119" t="s">
        <v>961</v>
      </c>
      <c r="D285" s="119" t="s">
        <v>154</v>
      </c>
      <c r="E285" s="119" t="s">
        <v>87</v>
      </c>
      <c r="F285" s="120">
        <v>1</v>
      </c>
      <c r="G285" s="120">
        <v>222300</v>
      </c>
    </row>
    <row r="286" spans="1:7" ht="15.75">
      <c r="A286" s="119">
        <v>278</v>
      </c>
      <c r="B286" s="119" t="s">
        <v>517</v>
      </c>
      <c r="C286" s="119" t="s">
        <v>969</v>
      </c>
      <c r="D286" s="119" t="s">
        <v>108</v>
      </c>
      <c r="E286" s="119" t="s">
        <v>89</v>
      </c>
      <c r="F286" s="120">
        <v>1</v>
      </c>
      <c r="G286" s="120">
        <v>341800</v>
      </c>
    </row>
    <row r="287" spans="1:7" ht="15.75">
      <c r="A287" s="119">
        <v>279</v>
      </c>
      <c r="B287" s="119" t="s">
        <v>517</v>
      </c>
      <c r="C287" s="119" t="s">
        <v>674</v>
      </c>
      <c r="D287" s="119" t="s">
        <v>675</v>
      </c>
      <c r="E287" s="119" t="s">
        <v>89</v>
      </c>
      <c r="F287" s="120">
        <v>1</v>
      </c>
      <c r="G287" s="120">
        <v>341800</v>
      </c>
    </row>
    <row r="288" spans="1:7" ht="15.75">
      <c r="A288" s="119">
        <v>280</v>
      </c>
      <c r="B288" s="119" t="s">
        <v>517</v>
      </c>
      <c r="C288" s="119" t="s">
        <v>912</v>
      </c>
      <c r="D288" s="119" t="s">
        <v>123</v>
      </c>
      <c r="E288" s="119" t="s">
        <v>90</v>
      </c>
      <c r="F288" s="120">
        <v>1</v>
      </c>
      <c r="G288" s="120">
        <v>269200</v>
      </c>
    </row>
    <row r="289" spans="1:7" ht="15.75">
      <c r="A289" s="119">
        <v>281</v>
      </c>
      <c r="B289" s="119" t="s">
        <v>517</v>
      </c>
      <c r="C289" s="119" t="s">
        <v>222</v>
      </c>
      <c r="D289" s="119" t="s">
        <v>100</v>
      </c>
      <c r="E289" s="119" t="s">
        <v>90</v>
      </c>
      <c r="F289" s="120">
        <v>1</v>
      </c>
      <c r="G289" s="120">
        <v>269200</v>
      </c>
    </row>
    <row r="290" spans="1:7" ht="15.75">
      <c r="A290" s="119">
        <v>282</v>
      </c>
      <c r="B290" s="119" t="s">
        <v>1002</v>
      </c>
      <c r="C290" s="119" t="s">
        <v>670</v>
      </c>
      <c r="D290" s="119" t="s">
        <v>131</v>
      </c>
      <c r="E290" s="119" t="s">
        <v>87</v>
      </c>
      <c r="F290" s="120">
        <v>1</v>
      </c>
      <c r="G290" s="120">
        <v>222300</v>
      </c>
    </row>
    <row r="291" spans="1:7" ht="15.75">
      <c r="A291" s="119">
        <v>283</v>
      </c>
      <c r="B291" s="119" t="s">
        <v>1008</v>
      </c>
      <c r="C291" s="119" t="s">
        <v>1006</v>
      </c>
      <c r="D291" s="119" t="s">
        <v>1007</v>
      </c>
      <c r="E291" s="119" t="s">
        <v>87</v>
      </c>
      <c r="F291" s="120">
        <v>1</v>
      </c>
      <c r="G291" s="120">
        <v>222300</v>
      </c>
    </row>
    <row r="292" spans="1:7" ht="15.75">
      <c r="A292" s="119">
        <v>284</v>
      </c>
      <c r="B292" s="119" t="s">
        <v>988</v>
      </c>
      <c r="C292" s="119" t="s">
        <v>987</v>
      </c>
      <c r="D292" s="119" t="s">
        <v>128</v>
      </c>
      <c r="E292" s="119" t="s">
        <v>87</v>
      </c>
      <c r="F292" s="120">
        <v>1</v>
      </c>
      <c r="G292" s="120">
        <v>222300</v>
      </c>
    </row>
    <row r="293" spans="1:7" ht="15.75">
      <c r="A293" s="119">
        <v>285</v>
      </c>
      <c r="B293" s="119" t="s">
        <v>953</v>
      </c>
      <c r="C293" s="119" t="s">
        <v>951</v>
      </c>
      <c r="D293" s="119" t="s">
        <v>952</v>
      </c>
      <c r="E293" s="119" t="s">
        <v>87</v>
      </c>
      <c r="F293" s="120">
        <v>1</v>
      </c>
      <c r="G293" s="120">
        <v>222300</v>
      </c>
    </row>
    <row r="294" spans="1:7" ht="15.75">
      <c r="A294" s="119">
        <v>286</v>
      </c>
      <c r="B294" s="119" t="s">
        <v>742</v>
      </c>
      <c r="C294" s="119" t="s">
        <v>739</v>
      </c>
      <c r="D294" s="119" t="s">
        <v>740</v>
      </c>
      <c r="E294" s="119" t="s">
        <v>89</v>
      </c>
      <c r="F294" s="120">
        <v>1</v>
      </c>
      <c r="G294" s="120">
        <v>341800</v>
      </c>
    </row>
    <row r="295" spans="1:7" ht="15.75">
      <c r="A295" s="119">
        <v>287</v>
      </c>
      <c r="B295" s="119" t="s">
        <v>698</v>
      </c>
      <c r="C295" s="119" t="s">
        <v>245</v>
      </c>
      <c r="D295" s="119" t="s">
        <v>158</v>
      </c>
      <c r="E295" s="119" t="s">
        <v>87</v>
      </c>
      <c r="F295" s="120">
        <v>1</v>
      </c>
      <c r="G295" s="120">
        <v>222300</v>
      </c>
    </row>
    <row r="296" spans="1:7" ht="15.75">
      <c r="A296" s="119">
        <v>288</v>
      </c>
      <c r="B296" s="119" t="s">
        <v>540</v>
      </c>
      <c r="C296" s="119" t="s">
        <v>538</v>
      </c>
      <c r="D296" s="119" t="s">
        <v>539</v>
      </c>
      <c r="E296" s="119" t="s">
        <v>87</v>
      </c>
      <c r="F296" s="120">
        <v>1</v>
      </c>
      <c r="G296" s="120">
        <v>222300</v>
      </c>
    </row>
    <row r="297" spans="1:7" ht="15.75">
      <c r="A297" s="119">
        <v>289</v>
      </c>
      <c r="B297" s="119" t="s">
        <v>872</v>
      </c>
      <c r="C297" s="119" t="s">
        <v>869</v>
      </c>
      <c r="D297" s="119" t="s">
        <v>870</v>
      </c>
      <c r="E297" s="119" t="s">
        <v>88</v>
      </c>
      <c r="F297" s="120">
        <v>1</v>
      </c>
      <c r="G297" s="120">
        <v>301600</v>
      </c>
    </row>
    <row r="298" spans="1:7" ht="15.75">
      <c r="A298" s="119">
        <v>290</v>
      </c>
      <c r="B298" s="119" t="s">
        <v>842</v>
      </c>
      <c r="C298" s="119" t="s">
        <v>841</v>
      </c>
      <c r="D298" s="119" t="s">
        <v>130</v>
      </c>
      <c r="E298" s="119" t="s">
        <v>87</v>
      </c>
      <c r="F298" s="120">
        <v>1</v>
      </c>
      <c r="G298" s="120">
        <v>222300</v>
      </c>
    </row>
    <row r="299" spans="1:7" ht="15.75">
      <c r="A299" s="119">
        <v>291</v>
      </c>
      <c r="B299" s="119" t="s">
        <v>881</v>
      </c>
      <c r="C299" s="119" t="s">
        <v>878</v>
      </c>
      <c r="D299" s="119" t="s">
        <v>879</v>
      </c>
      <c r="E299" s="119" t="s">
        <v>89</v>
      </c>
      <c r="F299" s="120">
        <v>1</v>
      </c>
      <c r="G299" s="120">
        <v>341800</v>
      </c>
    </row>
    <row r="300" spans="1:7" ht="15.75">
      <c r="A300" s="119">
        <v>292</v>
      </c>
      <c r="B300" s="119" t="s">
        <v>771</v>
      </c>
      <c r="C300" s="119" t="s">
        <v>769</v>
      </c>
      <c r="D300" s="119" t="s">
        <v>770</v>
      </c>
      <c r="E300" s="119" t="s">
        <v>87</v>
      </c>
      <c r="F300" s="120">
        <v>1</v>
      </c>
      <c r="G300" s="120">
        <v>222300</v>
      </c>
    </row>
    <row r="301" spans="1:7" ht="15.75">
      <c r="A301" s="119">
        <v>293</v>
      </c>
      <c r="B301" s="119" t="s">
        <v>1019</v>
      </c>
      <c r="C301" s="119" t="s">
        <v>1017</v>
      </c>
      <c r="D301" s="119" t="s">
        <v>98</v>
      </c>
      <c r="E301" s="119" t="s">
        <v>88</v>
      </c>
      <c r="F301" s="120">
        <v>1</v>
      </c>
      <c r="G301" s="120">
        <v>301600</v>
      </c>
    </row>
    <row r="302" spans="1:7" ht="15.75">
      <c r="A302" s="119">
        <v>294</v>
      </c>
      <c r="B302" s="119" t="s">
        <v>905</v>
      </c>
      <c r="C302" s="119" t="s">
        <v>902</v>
      </c>
      <c r="D302" s="119" t="s">
        <v>903</v>
      </c>
      <c r="E302" s="119" t="s">
        <v>90</v>
      </c>
      <c r="F302" s="120">
        <v>1</v>
      </c>
      <c r="G302" s="120">
        <v>269200</v>
      </c>
    </row>
    <row r="303" spans="1:7" ht="15.75">
      <c r="A303" s="119">
        <v>295</v>
      </c>
      <c r="B303" s="119" t="s">
        <v>518</v>
      </c>
      <c r="C303" s="119" t="s">
        <v>861</v>
      </c>
      <c r="D303" s="119" t="s">
        <v>862</v>
      </c>
      <c r="E303" s="119" t="s">
        <v>90</v>
      </c>
      <c r="F303" s="120">
        <v>1</v>
      </c>
      <c r="G303" s="120">
        <v>269200</v>
      </c>
    </row>
    <row r="304" spans="1:7" ht="15.75">
      <c r="A304" s="119">
        <v>296</v>
      </c>
      <c r="B304" s="119" t="s">
        <v>515</v>
      </c>
      <c r="C304" s="119" t="s">
        <v>513</v>
      </c>
      <c r="D304" s="119" t="s">
        <v>106</v>
      </c>
      <c r="E304" s="119" t="s">
        <v>89</v>
      </c>
      <c r="F304" s="120">
        <v>1</v>
      </c>
      <c r="G304" s="120">
        <v>341800</v>
      </c>
    </row>
    <row r="305" spans="1:7" ht="15.75">
      <c r="A305" s="119">
        <v>297</v>
      </c>
      <c r="B305" s="119" t="s">
        <v>515</v>
      </c>
      <c r="C305" s="119" t="s">
        <v>531</v>
      </c>
      <c r="D305" s="119" t="s">
        <v>532</v>
      </c>
      <c r="E305" s="119" t="s">
        <v>89</v>
      </c>
      <c r="F305" s="120">
        <v>1</v>
      </c>
      <c r="G305" s="120">
        <v>341800</v>
      </c>
    </row>
    <row r="306" spans="1:7" ht="15.75">
      <c r="A306" s="119">
        <v>298</v>
      </c>
      <c r="B306" s="119" t="s">
        <v>515</v>
      </c>
      <c r="C306" s="119" t="s">
        <v>535</v>
      </c>
      <c r="D306" s="119" t="s">
        <v>536</v>
      </c>
      <c r="E306" s="119" t="s">
        <v>87</v>
      </c>
      <c r="F306" s="120">
        <v>1</v>
      </c>
      <c r="G306" s="120">
        <v>222300</v>
      </c>
    </row>
    <row r="307" spans="1:7" ht="15.75">
      <c r="A307" s="119">
        <v>299</v>
      </c>
      <c r="B307" s="119" t="s">
        <v>515</v>
      </c>
      <c r="C307" s="119" t="s">
        <v>594</v>
      </c>
      <c r="D307" s="119" t="s">
        <v>131</v>
      </c>
      <c r="E307" s="119" t="s">
        <v>86</v>
      </c>
      <c r="F307" s="120">
        <v>1</v>
      </c>
      <c r="G307" s="120">
        <v>229200</v>
      </c>
    </row>
    <row r="308" spans="1:7" ht="15.75">
      <c r="A308" s="119">
        <v>300</v>
      </c>
      <c r="B308" s="119" t="s">
        <v>515</v>
      </c>
      <c r="C308" s="119" t="s">
        <v>619</v>
      </c>
      <c r="D308" s="119" t="s">
        <v>620</v>
      </c>
      <c r="E308" s="119" t="s">
        <v>87</v>
      </c>
      <c r="F308" s="120">
        <v>1</v>
      </c>
      <c r="G308" s="120">
        <v>222300</v>
      </c>
    </row>
    <row r="309" spans="1:7" ht="15.75">
      <c r="A309" s="119">
        <v>301</v>
      </c>
      <c r="B309" s="119" t="s">
        <v>515</v>
      </c>
      <c r="C309" s="119" t="s">
        <v>670</v>
      </c>
      <c r="D309" s="119" t="s">
        <v>131</v>
      </c>
      <c r="E309" s="119" t="s">
        <v>87</v>
      </c>
      <c r="F309" s="120">
        <v>1</v>
      </c>
      <c r="G309" s="120">
        <v>222300</v>
      </c>
    </row>
    <row r="310" spans="1:7" ht="15.75">
      <c r="A310" s="119">
        <v>302</v>
      </c>
      <c r="B310" s="119" t="s">
        <v>515</v>
      </c>
      <c r="C310" s="119" t="s">
        <v>677</v>
      </c>
      <c r="D310" s="119" t="s">
        <v>147</v>
      </c>
      <c r="E310" s="119" t="s">
        <v>87</v>
      </c>
      <c r="F310" s="120">
        <v>1</v>
      </c>
      <c r="G310" s="120">
        <v>222300</v>
      </c>
    </row>
    <row r="311" spans="1:7" ht="15.75">
      <c r="A311" s="119">
        <v>303</v>
      </c>
      <c r="B311" s="119" t="s">
        <v>515</v>
      </c>
      <c r="C311" s="119" t="s">
        <v>690</v>
      </c>
      <c r="D311" s="119" t="s">
        <v>691</v>
      </c>
      <c r="E311" s="119" t="s">
        <v>87</v>
      </c>
      <c r="F311" s="120">
        <v>1</v>
      </c>
      <c r="G311" s="120">
        <v>222300</v>
      </c>
    </row>
    <row r="312" spans="1:7" ht="15.75">
      <c r="A312" s="119">
        <v>304</v>
      </c>
      <c r="B312" s="119" t="s">
        <v>515</v>
      </c>
      <c r="C312" s="119" t="s">
        <v>245</v>
      </c>
      <c r="D312" s="119" t="s">
        <v>158</v>
      </c>
      <c r="E312" s="119" t="s">
        <v>87</v>
      </c>
      <c r="F312" s="120">
        <v>1</v>
      </c>
      <c r="G312" s="120">
        <v>222300</v>
      </c>
    </row>
    <row r="313" spans="1:7" ht="15.75">
      <c r="A313" s="119">
        <v>305</v>
      </c>
      <c r="B313" s="119" t="s">
        <v>515</v>
      </c>
      <c r="C313" s="119" t="s">
        <v>715</v>
      </c>
      <c r="D313" s="119" t="s">
        <v>716</v>
      </c>
      <c r="E313" s="119" t="s">
        <v>86</v>
      </c>
      <c r="F313" s="120">
        <v>1</v>
      </c>
      <c r="G313" s="120">
        <v>229200</v>
      </c>
    </row>
    <row r="314" spans="1:7" ht="15.75">
      <c r="A314" s="119">
        <v>306</v>
      </c>
      <c r="B314" s="119" t="s">
        <v>515</v>
      </c>
      <c r="C314" s="119" t="s">
        <v>341</v>
      </c>
      <c r="D314" s="119" t="s">
        <v>728</v>
      </c>
      <c r="E314" s="119" t="s">
        <v>90</v>
      </c>
      <c r="F314" s="120">
        <v>1</v>
      </c>
      <c r="G314" s="120">
        <v>269200</v>
      </c>
    </row>
    <row r="315" spans="1:7" ht="15.75">
      <c r="A315" s="119">
        <v>307</v>
      </c>
      <c r="B315" s="119" t="s">
        <v>515</v>
      </c>
      <c r="C315" s="119" t="s">
        <v>739</v>
      </c>
      <c r="D315" s="119" t="s">
        <v>740</v>
      </c>
      <c r="E315" s="119" t="s">
        <v>89</v>
      </c>
      <c r="F315" s="120">
        <v>1</v>
      </c>
      <c r="G315" s="120">
        <v>341800</v>
      </c>
    </row>
    <row r="316" spans="1:7" ht="15.75">
      <c r="A316" s="119">
        <v>308</v>
      </c>
      <c r="B316" s="119" t="s">
        <v>515</v>
      </c>
      <c r="C316" s="119" t="s">
        <v>769</v>
      </c>
      <c r="D316" s="119" t="s">
        <v>770</v>
      </c>
      <c r="E316" s="119" t="s">
        <v>87</v>
      </c>
      <c r="F316" s="120">
        <v>1</v>
      </c>
      <c r="G316" s="120">
        <v>222300</v>
      </c>
    </row>
    <row r="317" spans="1:7" ht="15.75">
      <c r="A317" s="119">
        <v>309</v>
      </c>
      <c r="B317" s="119" t="s">
        <v>515</v>
      </c>
      <c r="C317" s="119" t="s">
        <v>775</v>
      </c>
      <c r="D317" s="119" t="s">
        <v>776</v>
      </c>
      <c r="E317" s="119" t="s">
        <v>89</v>
      </c>
      <c r="F317" s="120">
        <v>1</v>
      </c>
      <c r="G317" s="120">
        <v>600000</v>
      </c>
    </row>
    <row r="318" spans="1:7" ht="15.75">
      <c r="A318" s="119">
        <v>310</v>
      </c>
      <c r="B318" s="119" t="s">
        <v>515</v>
      </c>
      <c r="C318" s="119" t="s">
        <v>838</v>
      </c>
      <c r="D318" s="119" t="s">
        <v>839</v>
      </c>
      <c r="E318" s="119" t="s">
        <v>87</v>
      </c>
      <c r="F318" s="120">
        <v>1</v>
      </c>
      <c r="G318" s="120">
        <v>222300</v>
      </c>
    </row>
    <row r="319" spans="1:7" ht="15.75">
      <c r="A319" s="119">
        <v>311</v>
      </c>
      <c r="B319" s="119" t="s">
        <v>515</v>
      </c>
      <c r="C319" s="119" t="s">
        <v>841</v>
      </c>
      <c r="D319" s="119" t="s">
        <v>130</v>
      </c>
      <c r="E319" s="119" t="s">
        <v>87</v>
      </c>
      <c r="F319" s="120">
        <v>1</v>
      </c>
      <c r="G319" s="120">
        <v>222300</v>
      </c>
    </row>
    <row r="320" spans="1:7" ht="15.75">
      <c r="A320" s="119">
        <v>312</v>
      </c>
      <c r="B320" s="119" t="s">
        <v>515</v>
      </c>
      <c r="C320" s="119" t="s">
        <v>858</v>
      </c>
      <c r="D320" s="119" t="s">
        <v>859</v>
      </c>
      <c r="E320" s="119" t="s">
        <v>89</v>
      </c>
      <c r="F320" s="120">
        <v>1</v>
      </c>
      <c r="G320" s="120">
        <v>341800</v>
      </c>
    </row>
    <row r="321" spans="1:7" ht="15.75">
      <c r="A321" s="119">
        <v>313</v>
      </c>
      <c r="B321" s="119" t="s">
        <v>515</v>
      </c>
      <c r="C321" s="119" t="s">
        <v>878</v>
      </c>
      <c r="D321" s="119" t="s">
        <v>879</v>
      </c>
      <c r="E321" s="119" t="s">
        <v>89</v>
      </c>
      <c r="F321" s="120">
        <v>1</v>
      </c>
      <c r="G321" s="120">
        <v>341800</v>
      </c>
    </row>
    <row r="322" spans="1:7" ht="15.75">
      <c r="A322" s="119">
        <v>314</v>
      </c>
      <c r="B322" s="119" t="s">
        <v>515</v>
      </c>
      <c r="C322" s="119" t="s">
        <v>902</v>
      </c>
      <c r="D322" s="119" t="s">
        <v>903</v>
      </c>
      <c r="E322" s="119" t="s">
        <v>90</v>
      </c>
      <c r="F322" s="120">
        <v>1</v>
      </c>
      <c r="G322" s="120">
        <v>269200</v>
      </c>
    </row>
    <row r="323" spans="1:7" ht="15.75">
      <c r="A323" s="119">
        <v>315</v>
      </c>
      <c r="B323" s="119" t="s">
        <v>515</v>
      </c>
      <c r="C323" s="119" t="s">
        <v>906</v>
      </c>
      <c r="D323" s="119" t="s">
        <v>907</v>
      </c>
      <c r="E323" s="119" t="s">
        <v>88</v>
      </c>
      <c r="F323" s="120">
        <v>1</v>
      </c>
      <c r="G323" s="120">
        <v>301600</v>
      </c>
    </row>
    <row r="324" spans="1:7" ht="15.75">
      <c r="A324" s="119">
        <v>316</v>
      </c>
      <c r="B324" s="119" t="s">
        <v>515</v>
      </c>
      <c r="C324" s="119" t="s">
        <v>218</v>
      </c>
      <c r="D324" s="119" t="s">
        <v>98</v>
      </c>
      <c r="E324" s="119" t="s">
        <v>87</v>
      </c>
      <c r="F324" s="120">
        <v>1</v>
      </c>
      <c r="G324" s="120">
        <v>222300</v>
      </c>
    </row>
    <row r="325" spans="1:7" ht="15.75">
      <c r="A325" s="119">
        <v>317</v>
      </c>
      <c r="B325" s="119" t="s">
        <v>515</v>
      </c>
      <c r="C325" s="119" t="s">
        <v>969</v>
      </c>
      <c r="D325" s="119" t="s">
        <v>108</v>
      </c>
      <c r="E325" s="119" t="s">
        <v>89</v>
      </c>
      <c r="F325" s="120">
        <v>1</v>
      </c>
      <c r="G325" s="120">
        <v>341800</v>
      </c>
    </row>
    <row r="326" spans="1:7" ht="15.75">
      <c r="A326" s="119">
        <v>318</v>
      </c>
      <c r="B326" s="119" t="s">
        <v>515</v>
      </c>
      <c r="C326" s="119" t="s">
        <v>987</v>
      </c>
      <c r="D326" s="119" t="s">
        <v>128</v>
      </c>
      <c r="E326" s="119" t="s">
        <v>87</v>
      </c>
      <c r="F326" s="120">
        <v>1</v>
      </c>
      <c r="G326" s="120">
        <v>222300</v>
      </c>
    </row>
    <row r="327" spans="1:7" ht="15.75">
      <c r="A327" s="119">
        <v>319</v>
      </c>
      <c r="B327" s="119" t="s">
        <v>515</v>
      </c>
      <c r="C327" s="119" t="s">
        <v>674</v>
      </c>
      <c r="D327" s="119" t="s">
        <v>675</v>
      </c>
      <c r="E327" s="119" t="s">
        <v>89</v>
      </c>
      <c r="F327" s="120">
        <v>1</v>
      </c>
      <c r="G327" s="120">
        <v>341800</v>
      </c>
    </row>
    <row r="328" spans="1:7" ht="15.75">
      <c r="A328" s="119">
        <v>320</v>
      </c>
      <c r="B328" s="119" t="s">
        <v>515</v>
      </c>
      <c r="C328" s="119" t="s">
        <v>1017</v>
      </c>
      <c r="D328" s="119" t="s">
        <v>98</v>
      </c>
      <c r="E328" s="119" t="s">
        <v>88</v>
      </c>
      <c r="F328" s="120">
        <v>1</v>
      </c>
      <c r="G328" s="120">
        <v>301600</v>
      </c>
    </row>
    <row r="329" spans="1:7" ht="15.75">
      <c r="A329" s="119">
        <v>321</v>
      </c>
      <c r="B329" s="119" t="s">
        <v>515</v>
      </c>
      <c r="C329" s="119" t="s">
        <v>912</v>
      </c>
      <c r="D329" s="119" t="s">
        <v>123</v>
      </c>
      <c r="E329" s="119" t="s">
        <v>90</v>
      </c>
      <c r="F329" s="120">
        <v>1</v>
      </c>
      <c r="G329" s="120">
        <v>269200</v>
      </c>
    </row>
    <row r="330" spans="1:7" ht="15.75">
      <c r="A330" s="119">
        <v>322</v>
      </c>
      <c r="B330" s="119" t="s">
        <v>515</v>
      </c>
      <c r="C330" s="119" t="s">
        <v>222</v>
      </c>
      <c r="D330" s="119" t="s">
        <v>100</v>
      </c>
      <c r="E330" s="119" t="s">
        <v>90</v>
      </c>
      <c r="F330" s="120">
        <v>1</v>
      </c>
      <c r="G330" s="120">
        <v>269200</v>
      </c>
    </row>
    <row r="331" spans="1:7" ht="15.75">
      <c r="A331" s="119">
        <v>323</v>
      </c>
      <c r="B331" s="119" t="s">
        <v>788</v>
      </c>
      <c r="C331" s="119" t="s">
        <v>786</v>
      </c>
      <c r="D331" s="119" t="s">
        <v>787</v>
      </c>
      <c r="E331" s="119" t="s">
        <v>87</v>
      </c>
      <c r="F331" s="120">
        <v>1</v>
      </c>
      <c r="G331" s="120">
        <v>222300</v>
      </c>
    </row>
    <row r="332" spans="1:7" ht="15.75">
      <c r="A332" s="119">
        <v>324</v>
      </c>
      <c r="B332" s="119" t="s">
        <v>751</v>
      </c>
      <c r="C332" s="119" t="s">
        <v>749</v>
      </c>
      <c r="D332" s="119" t="s">
        <v>750</v>
      </c>
      <c r="E332" s="119" t="s">
        <v>87</v>
      </c>
      <c r="F332" s="120">
        <v>1</v>
      </c>
      <c r="G332" s="120">
        <v>222300</v>
      </c>
    </row>
    <row r="333" spans="1:7" ht="15.75">
      <c r="A333" s="119">
        <v>325</v>
      </c>
      <c r="B333" s="119" t="s">
        <v>644</v>
      </c>
      <c r="C333" s="119" t="s">
        <v>642</v>
      </c>
      <c r="D333" s="119" t="s">
        <v>643</v>
      </c>
      <c r="E333" s="119" t="s">
        <v>87</v>
      </c>
      <c r="F333" s="120">
        <v>1</v>
      </c>
      <c r="G333" s="120">
        <v>222300</v>
      </c>
    </row>
    <row r="334" spans="1:7" ht="15.75">
      <c r="A334" s="119">
        <v>326</v>
      </c>
      <c r="B334" s="119" t="s">
        <v>833</v>
      </c>
      <c r="C334" s="119" t="s">
        <v>826</v>
      </c>
      <c r="D334" s="119" t="s">
        <v>827</v>
      </c>
      <c r="E334" s="119" t="s">
        <v>87</v>
      </c>
      <c r="F334" s="120">
        <v>1</v>
      </c>
      <c r="G334" s="120">
        <v>600000</v>
      </c>
    </row>
    <row r="335" spans="1:7" ht="15.75">
      <c r="A335" s="119">
        <v>327</v>
      </c>
      <c r="B335" s="119" t="s">
        <v>833</v>
      </c>
      <c r="C335" s="119" t="s">
        <v>826</v>
      </c>
      <c r="D335" s="119" t="s">
        <v>827</v>
      </c>
      <c r="E335" s="119" t="s">
        <v>87</v>
      </c>
      <c r="F335" s="120">
        <v>1</v>
      </c>
      <c r="G335" s="120">
        <v>222300</v>
      </c>
    </row>
    <row r="336" spans="1:7" ht="15.75">
      <c r="A336" s="119">
        <v>328</v>
      </c>
      <c r="B336" s="119" t="s">
        <v>541</v>
      </c>
      <c r="C336" s="119" t="s">
        <v>538</v>
      </c>
      <c r="D336" s="119" t="s">
        <v>539</v>
      </c>
      <c r="E336" s="119" t="s">
        <v>90</v>
      </c>
      <c r="F336" s="120">
        <v>1</v>
      </c>
      <c r="G336" s="120">
        <v>269200</v>
      </c>
    </row>
    <row r="337" spans="1:7" ht="15.75">
      <c r="A337" s="119">
        <v>329</v>
      </c>
      <c r="B337" s="119" t="s">
        <v>954</v>
      </c>
      <c r="C337" s="119" t="s">
        <v>951</v>
      </c>
      <c r="D337" s="119" t="s">
        <v>952</v>
      </c>
      <c r="E337" s="119" t="s">
        <v>90</v>
      </c>
      <c r="F337" s="120">
        <v>1</v>
      </c>
      <c r="G337" s="120">
        <v>269200</v>
      </c>
    </row>
    <row r="338" spans="1:7" ht="15.75">
      <c r="A338" s="119">
        <v>330</v>
      </c>
      <c r="B338" s="119" t="s">
        <v>1010</v>
      </c>
      <c r="C338" s="119" t="s">
        <v>1006</v>
      </c>
      <c r="D338" s="119" t="s">
        <v>1007</v>
      </c>
      <c r="E338" s="119" t="s">
        <v>88</v>
      </c>
      <c r="F338" s="120">
        <v>1</v>
      </c>
      <c r="G338" s="120">
        <v>301600</v>
      </c>
    </row>
    <row r="339" spans="1:7" ht="15.75">
      <c r="A339" s="119">
        <v>331</v>
      </c>
      <c r="B339" s="119" t="s">
        <v>794</v>
      </c>
      <c r="C339" s="119" t="s">
        <v>792</v>
      </c>
      <c r="D339" s="119" t="s">
        <v>793</v>
      </c>
      <c r="E339" s="119" t="s">
        <v>87</v>
      </c>
      <c r="F339" s="120">
        <v>1</v>
      </c>
      <c r="G339" s="120">
        <v>222300</v>
      </c>
    </row>
    <row r="340" spans="1:7" ht="15.75">
      <c r="A340" s="119">
        <v>332</v>
      </c>
      <c r="B340" s="119" t="s">
        <v>516</v>
      </c>
      <c r="C340" s="119" t="s">
        <v>841</v>
      </c>
      <c r="D340" s="119" t="s">
        <v>130</v>
      </c>
      <c r="E340" s="119" t="s">
        <v>87</v>
      </c>
      <c r="F340" s="120">
        <v>1</v>
      </c>
      <c r="G340" s="120">
        <v>222300</v>
      </c>
    </row>
    <row r="341" spans="1:7" ht="15.75">
      <c r="A341" s="119">
        <v>333</v>
      </c>
      <c r="B341" s="119" t="s">
        <v>523</v>
      </c>
      <c r="C341" s="119" t="s">
        <v>513</v>
      </c>
      <c r="D341" s="119" t="s">
        <v>106</v>
      </c>
      <c r="E341" s="119" t="s">
        <v>89</v>
      </c>
      <c r="F341" s="120">
        <v>1</v>
      </c>
      <c r="G341" s="120">
        <v>341800</v>
      </c>
    </row>
    <row r="342" spans="1:7" ht="15.75">
      <c r="A342" s="119">
        <v>334</v>
      </c>
      <c r="B342" s="119" t="s">
        <v>523</v>
      </c>
      <c r="C342" s="119" t="s">
        <v>531</v>
      </c>
      <c r="D342" s="119" t="s">
        <v>532</v>
      </c>
      <c r="E342" s="119" t="s">
        <v>89</v>
      </c>
      <c r="F342" s="120">
        <v>1</v>
      </c>
      <c r="G342" s="120">
        <v>341800</v>
      </c>
    </row>
    <row r="343" spans="1:7" ht="15.75">
      <c r="A343" s="119">
        <v>335</v>
      </c>
      <c r="B343" s="119" t="s">
        <v>523</v>
      </c>
      <c r="C343" s="119" t="s">
        <v>535</v>
      </c>
      <c r="D343" s="119" t="s">
        <v>536</v>
      </c>
      <c r="E343" s="119" t="s">
        <v>87</v>
      </c>
      <c r="F343" s="120">
        <v>1</v>
      </c>
      <c r="G343" s="120">
        <v>222300</v>
      </c>
    </row>
    <row r="344" spans="1:7" ht="15.75">
      <c r="A344" s="119">
        <v>336</v>
      </c>
      <c r="B344" s="119" t="s">
        <v>523</v>
      </c>
      <c r="C344" s="119" t="s">
        <v>538</v>
      </c>
      <c r="D344" s="119" t="s">
        <v>539</v>
      </c>
      <c r="E344" s="119" t="s">
        <v>90</v>
      </c>
      <c r="F344" s="120">
        <v>1</v>
      </c>
      <c r="G344" s="120">
        <v>269200</v>
      </c>
    </row>
    <row r="345" spans="1:7" ht="15.75">
      <c r="A345" s="119">
        <v>337</v>
      </c>
      <c r="B345" s="119" t="s">
        <v>523</v>
      </c>
      <c r="C345" s="119" t="s">
        <v>594</v>
      </c>
      <c r="D345" s="119" t="s">
        <v>131</v>
      </c>
      <c r="E345" s="119" t="s">
        <v>86</v>
      </c>
      <c r="F345" s="120">
        <v>1</v>
      </c>
      <c r="G345" s="120">
        <v>229200</v>
      </c>
    </row>
    <row r="346" spans="1:7" ht="15.75">
      <c r="A346" s="119">
        <v>338</v>
      </c>
      <c r="B346" s="119" t="s">
        <v>523</v>
      </c>
      <c r="C346" s="119" t="s">
        <v>677</v>
      </c>
      <c r="D346" s="119" t="s">
        <v>147</v>
      </c>
      <c r="E346" s="119" t="s">
        <v>87</v>
      </c>
      <c r="F346" s="120">
        <v>1</v>
      </c>
      <c r="G346" s="120">
        <v>222300</v>
      </c>
    </row>
    <row r="347" spans="1:7" ht="15.75">
      <c r="A347" s="119">
        <v>339</v>
      </c>
      <c r="B347" s="119" t="s">
        <v>523</v>
      </c>
      <c r="C347" s="119" t="s">
        <v>245</v>
      </c>
      <c r="D347" s="119" t="s">
        <v>158</v>
      </c>
      <c r="E347" s="119" t="s">
        <v>87</v>
      </c>
      <c r="F347" s="120">
        <v>1</v>
      </c>
      <c r="G347" s="120">
        <v>222300</v>
      </c>
    </row>
    <row r="348" spans="1:7" ht="15.75">
      <c r="A348" s="119">
        <v>340</v>
      </c>
      <c r="B348" s="119" t="s">
        <v>523</v>
      </c>
      <c r="C348" s="119" t="s">
        <v>715</v>
      </c>
      <c r="D348" s="119" t="s">
        <v>716</v>
      </c>
      <c r="E348" s="119" t="s">
        <v>86</v>
      </c>
      <c r="F348" s="120">
        <v>1</v>
      </c>
      <c r="G348" s="120">
        <v>229200</v>
      </c>
    </row>
    <row r="349" spans="1:7" ht="15.75">
      <c r="A349" s="119">
        <v>341</v>
      </c>
      <c r="B349" s="119" t="s">
        <v>523</v>
      </c>
      <c r="C349" s="119" t="s">
        <v>739</v>
      </c>
      <c r="D349" s="119" t="s">
        <v>740</v>
      </c>
      <c r="E349" s="119" t="s">
        <v>89</v>
      </c>
      <c r="F349" s="120">
        <v>1</v>
      </c>
      <c r="G349" s="120">
        <v>341800</v>
      </c>
    </row>
    <row r="350" spans="1:7" ht="15.75">
      <c r="A350" s="119">
        <v>342</v>
      </c>
      <c r="B350" s="119" t="s">
        <v>523</v>
      </c>
      <c r="C350" s="119" t="s">
        <v>749</v>
      </c>
      <c r="D350" s="119" t="s">
        <v>750</v>
      </c>
      <c r="E350" s="119" t="s">
        <v>87</v>
      </c>
      <c r="F350" s="120">
        <v>1</v>
      </c>
      <c r="G350" s="120">
        <v>222300</v>
      </c>
    </row>
    <row r="351" spans="1:7" ht="15.75">
      <c r="A351" s="119">
        <v>343</v>
      </c>
      <c r="B351" s="119" t="s">
        <v>523</v>
      </c>
      <c r="C351" s="119" t="s">
        <v>769</v>
      </c>
      <c r="D351" s="119" t="s">
        <v>770</v>
      </c>
      <c r="E351" s="119" t="s">
        <v>87</v>
      </c>
      <c r="F351" s="120">
        <v>1</v>
      </c>
      <c r="G351" s="120">
        <v>222300</v>
      </c>
    </row>
    <row r="352" spans="1:7" ht="15.75">
      <c r="A352" s="119">
        <v>344</v>
      </c>
      <c r="B352" s="119" t="s">
        <v>523</v>
      </c>
      <c r="C352" s="119" t="s">
        <v>775</v>
      </c>
      <c r="D352" s="119" t="s">
        <v>776</v>
      </c>
      <c r="E352" s="119" t="s">
        <v>89</v>
      </c>
      <c r="F352" s="120">
        <v>1</v>
      </c>
      <c r="G352" s="120">
        <v>600000</v>
      </c>
    </row>
    <row r="353" spans="1:7" ht="15.75">
      <c r="A353" s="119">
        <v>345</v>
      </c>
      <c r="B353" s="119" t="s">
        <v>523</v>
      </c>
      <c r="C353" s="119" t="s">
        <v>878</v>
      </c>
      <c r="D353" s="119" t="s">
        <v>879</v>
      </c>
      <c r="E353" s="119" t="s">
        <v>89</v>
      </c>
      <c r="F353" s="120">
        <v>1</v>
      </c>
      <c r="G353" s="120">
        <v>341800</v>
      </c>
    </row>
    <row r="354" spans="1:7" ht="15.75">
      <c r="A354" s="119">
        <v>346</v>
      </c>
      <c r="B354" s="119" t="s">
        <v>523</v>
      </c>
      <c r="C354" s="119" t="s">
        <v>906</v>
      </c>
      <c r="D354" s="119" t="s">
        <v>907</v>
      </c>
      <c r="E354" s="119" t="s">
        <v>88</v>
      </c>
      <c r="F354" s="120">
        <v>1</v>
      </c>
      <c r="G354" s="120">
        <v>301600</v>
      </c>
    </row>
    <row r="355" spans="1:7" ht="15.75">
      <c r="A355" s="119">
        <v>347</v>
      </c>
      <c r="B355" s="119" t="s">
        <v>523</v>
      </c>
      <c r="C355" s="119" t="s">
        <v>951</v>
      </c>
      <c r="D355" s="119" t="s">
        <v>952</v>
      </c>
      <c r="E355" s="119" t="s">
        <v>90</v>
      </c>
      <c r="F355" s="120">
        <v>1</v>
      </c>
      <c r="G355" s="120">
        <v>269200</v>
      </c>
    </row>
    <row r="356" spans="1:7" ht="15.75">
      <c r="A356" s="119">
        <v>348</v>
      </c>
      <c r="B356" s="119" t="s">
        <v>523</v>
      </c>
      <c r="C356" s="119" t="s">
        <v>985</v>
      </c>
      <c r="D356" s="119" t="s">
        <v>160</v>
      </c>
      <c r="E356" s="119" t="s">
        <v>87</v>
      </c>
      <c r="F356" s="120">
        <v>1</v>
      </c>
      <c r="G356" s="120">
        <v>222300</v>
      </c>
    </row>
    <row r="357" spans="1:7" ht="15.75">
      <c r="A357" s="119">
        <v>349</v>
      </c>
      <c r="B357" s="119" t="s">
        <v>523</v>
      </c>
      <c r="C357" s="119" t="s">
        <v>674</v>
      </c>
      <c r="D357" s="119" t="s">
        <v>675</v>
      </c>
      <c r="E357" s="119" t="s">
        <v>89</v>
      </c>
      <c r="F357" s="120">
        <v>1</v>
      </c>
      <c r="G357" s="120">
        <v>341800</v>
      </c>
    </row>
    <row r="358" spans="1:7" ht="15.75">
      <c r="A358" s="119">
        <v>350</v>
      </c>
      <c r="B358" s="119" t="s">
        <v>523</v>
      </c>
      <c r="C358" s="119" t="s">
        <v>1006</v>
      </c>
      <c r="D358" s="119" t="s">
        <v>1007</v>
      </c>
      <c r="E358" s="119" t="s">
        <v>88</v>
      </c>
      <c r="F358" s="120">
        <v>1</v>
      </c>
      <c r="G358" s="120">
        <v>301600</v>
      </c>
    </row>
    <row r="359" spans="1:7" ht="15.75">
      <c r="A359" s="119">
        <v>351</v>
      </c>
      <c r="B359" s="119" t="s">
        <v>523</v>
      </c>
      <c r="C359" s="119" t="s">
        <v>1017</v>
      </c>
      <c r="D359" s="119" t="s">
        <v>98</v>
      </c>
      <c r="E359" s="119" t="s">
        <v>88</v>
      </c>
      <c r="F359" s="120">
        <v>1</v>
      </c>
      <c r="G359" s="120">
        <v>301600</v>
      </c>
    </row>
    <row r="360" spans="1:7" ht="15.75">
      <c r="A360" s="119">
        <v>352</v>
      </c>
      <c r="B360" s="119" t="s">
        <v>523</v>
      </c>
      <c r="C360" s="119" t="s">
        <v>912</v>
      </c>
      <c r="D360" s="119" t="s">
        <v>123</v>
      </c>
      <c r="E360" s="119" t="s">
        <v>90</v>
      </c>
      <c r="F360" s="120">
        <v>1</v>
      </c>
      <c r="G360" s="120">
        <v>269200</v>
      </c>
    </row>
    <row r="361" spans="1:7" ht="15.75">
      <c r="A361" s="119">
        <v>353</v>
      </c>
      <c r="B361" s="119" t="s">
        <v>523</v>
      </c>
      <c r="C361" s="119" t="s">
        <v>222</v>
      </c>
      <c r="D361" s="119" t="s">
        <v>100</v>
      </c>
      <c r="E361" s="119" t="s">
        <v>90</v>
      </c>
      <c r="F361" s="120">
        <v>1</v>
      </c>
      <c r="G361" s="120">
        <v>269200</v>
      </c>
    </row>
    <row r="362" spans="1:7" ht="15.75">
      <c r="A362" s="119">
        <v>354</v>
      </c>
      <c r="B362" s="119" t="s">
        <v>1013</v>
      </c>
      <c r="C362" s="119" t="s">
        <v>1011</v>
      </c>
      <c r="D362" s="119" t="s">
        <v>1012</v>
      </c>
      <c r="E362" s="119" t="s">
        <v>87</v>
      </c>
      <c r="F362" s="120">
        <v>1</v>
      </c>
      <c r="G362" s="120">
        <v>222300</v>
      </c>
    </row>
    <row r="363" spans="1:7" ht="15.75">
      <c r="A363" s="119">
        <v>355</v>
      </c>
      <c r="B363" s="119" t="s">
        <v>831</v>
      </c>
      <c r="C363" s="119" t="s">
        <v>826</v>
      </c>
      <c r="D363" s="119" t="s">
        <v>827</v>
      </c>
      <c r="E363" s="119" t="s">
        <v>87</v>
      </c>
      <c r="F363" s="120">
        <v>1</v>
      </c>
      <c r="G363" s="120">
        <v>600000</v>
      </c>
    </row>
    <row r="364" spans="1:7" ht="15.75">
      <c r="A364" s="119">
        <v>356</v>
      </c>
      <c r="B364" s="119" t="s">
        <v>831</v>
      </c>
      <c r="C364" s="119" t="s">
        <v>826</v>
      </c>
      <c r="D364" s="119" t="s">
        <v>827</v>
      </c>
      <c r="E364" s="119" t="s">
        <v>87</v>
      </c>
      <c r="F364" s="120">
        <v>1</v>
      </c>
      <c r="G364" s="120">
        <v>222300</v>
      </c>
    </row>
    <row r="365" spans="1:7" ht="15.75">
      <c r="A365" s="119">
        <v>357</v>
      </c>
      <c r="B365" s="119" t="s">
        <v>1025</v>
      </c>
      <c r="C365" s="119" t="s">
        <v>987</v>
      </c>
      <c r="D365" s="119" t="s">
        <v>128</v>
      </c>
      <c r="E365" s="119" t="s">
        <v>89</v>
      </c>
      <c r="F365" s="120">
        <v>1</v>
      </c>
      <c r="G365" s="120">
        <v>341800</v>
      </c>
    </row>
    <row r="366" spans="1:7" ht="15.75">
      <c r="A366" s="119">
        <v>358</v>
      </c>
      <c r="B366" s="119" t="s">
        <v>609</v>
      </c>
      <c r="C366" s="119" t="s">
        <v>607</v>
      </c>
      <c r="D366" s="119" t="s">
        <v>106</v>
      </c>
      <c r="E366" s="119" t="s">
        <v>87</v>
      </c>
      <c r="F366" s="120">
        <v>1</v>
      </c>
      <c r="G366" s="120">
        <v>222300</v>
      </c>
    </row>
    <row r="367" spans="1:7" ht="15.75">
      <c r="A367" s="119">
        <v>359</v>
      </c>
      <c r="B367" s="119" t="s">
        <v>840</v>
      </c>
      <c r="C367" s="119" t="s">
        <v>838</v>
      </c>
      <c r="D367" s="119" t="s">
        <v>839</v>
      </c>
      <c r="E367" s="119" t="s">
        <v>89</v>
      </c>
      <c r="F367" s="120">
        <v>1</v>
      </c>
      <c r="G367" s="120">
        <v>341800</v>
      </c>
    </row>
    <row r="368" spans="1:7" ht="15.75">
      <c r="A368" s="119">
        <v>360</v>
      </c>
      <c r="B368" s="119" t="s">
        <v>799</v>
      </c>
      <c r="C368" s="119" t="s">
        <v>792</v>
      </c>
      <c r="D368" s="119" t="s">
        <v>793</v>
      </c>
      <c r="E368" s="119" t="s">
        <v>89</v>
      </c>
      <c r="F368" s="120">
        <v>1</v>
      </c>
      <c r="G368" s="120">
        <v>341800</v>
      </c>
    </row>
    <row r="369" spans="1:7" ht="15.75">
      <c r="A369" s="119">
        <v>361</v>
      </c>
      <c r="B369" s="119" t="s">
        <v>537</v>
      </c>
      <c r="C369" s="119" t="s">
        <v>535</v>
      </c>
      <c r="D369" s="119" t="s">
        <v>536</v>
      </c>
      <c r="E369" s="119" t="s">
        <v>87</v>
      </c>
      <c r="F369" s="120">
        <v>1</v>
      </c>
      <c r="G369" s="120">
        <v>222300</v>
      </c>
    </row>
    <row r="370" spans="1:7" ht="15.75">
      <c r="A370" s="119">
        <v>362</v>
      </c>
      <c r="B370" s="119" t="s">
        <v>537</v>
      </c>
      <c r="C370" s="119" t="s">
        <v>594</v>
      </c>
      <c r="D370" s="119" t="s">
        <v>131</v>
      </c>
      <c r="E370" s="119" t="s">
        <v>86</v>
      </c>
      <c r="F370" s="120">
        <v>1</v>
      </c>
      <c r="G370" s="120">
        <v>229200</v>
      </c>
    </row>
    <row r="371" spans="1:7" ht="15.75">
      <c r="A371" s="119">
        <v>363</v>
      </c>
      <c r="B371" s="119" t="s">
        <v>537</v>
      </c>
      <c r="C371" s="119" t="s">
        <v>607</v>
      </c>
      <c r="D371" s="119" t="s">
        <v>106</v>
      </c>
      <c r="E371" s="119" t="s">
        <v>87</v>
      </c>
      <c r="F371" s="120">
        <v>1</v>
      </c>
      <c r="G371" s="120">
        <v>222300</v>
      </c>
    </row>
    <row r="372" spans="1:7" ht="15.75">
      <c r="A372" s="119">
        <v>364</v>
      </c>
      <c r="B372" s="119" t="s">
        <v>537</v>
      </c>
      <c r="C372" s="119" t="s">
        <v>245</v>
      </c>
      <c r="D372" s="119" t="s">
        <v>158</v>
      </c>
      <c r="E372" s="119" t="s">
        <v>87</v>
      </c>
      <c r="F372" s="120">
        <v>1</v>
      </c>
      <c r="G372" s="120">
        <v>222300</v>
      </c>
    </row>
    <row r="373" spans="1:7" ht="15.75">
      <c r="A373" s="119">
        <v>365</v>
      </c>
      <c r="B373" s="119" t="s">
        <v>537</v>
      </c>
      <c r="C373" s="119" t="s">
        <v>715</v>
      </c>
      <c r="D373" s="119" t="s">
        <v>716</v>
      </c>
      <c r="E373" s="119" t="s">
        <v>86</v>
      </c>
      <c r="F373" s="120">
        <v>1</v>
      </c>
      <c r="G373" s="120">
        <v>229200</v>
      </c>
    </row>
    <row r="374" spans="1:7" ht="15.75">
      <c r="A374" s="119">
        <v>366</v>
      </c>
      <c r="B374" s="119" t="s">
        <v>537</v>
      </c>
      <c r="C374" s="119" t="s">
        <v>749</v>
      </c>
      <c r="D374" s="119" t="s">
        <v>750</v>
      </c>
      <c r="E374" s="119" t="s">
        <v>87</v>
      </c>
      <c r="F374" s="120">
        <v>1</v>
      </c>
      <c r="G374" s="120">
        <v>222300</v>
      </c>
    </row>
    <row r="375" spans="1:7" ht="15.75">
      <c r="A375" s="119">
        <v>367</v>
      </c>
      <c r="B375" s="119" t="s">
        <v>537</v>
      </c>
      <c r="C375" s="119" t="s">
        <v>769</v>
      </c>
      <c r="D375" s="119" t="s">
        <v>770</v>
      </c>
      <c r="E375" s="119" t="s">
        <v>87</v>
      </c>
      <c r="F375" s="120">
        <v>1</v>
      </c>
      <c r="G375" s="120">
        <v>222300</v>
      </c>
    </row>
    <row r="376" spans="1:7" ht="15.75">
      <c r="A376" s="119">
        <v>368</v>
      </c>
      <c r="B376" s="119" t="s">
        <v>537</v>
      </c>
      <c r="C376" s="119" t="s">
        <v>838</v>
      </c>
      <c r="D376" s="119" t="s">
        <v>839</v>
      </c>
      <c r="E376" s="119" t="s">
        <v>89</v>
      </c>
      <c r="F376" s="120">
        <v>1</v>
      </c>
      <c r="G376" s="120">
        <v>341800</v>
      </c>
    </row>
    <row r="377" spans="1:7" ht="15.75">
      <c r="A377" s="119">
        <v>369</v>
      </c>
      <c r="B377" s="119" t="s">
        <v>537</v>
      </c>
      <c r="C377" s="119" t="s">
        <v>878</v>
      </c>
      <c r="D377" s="119" t="s">
        <v>879</v>
      </c>
      <c r="E377" s="119" t="s">
        <v>89</v>
      </c>
      <c r="F377" s="120">
        <v>1</v>
      </c>
      <c r="G377" s="120">
        <v>341800</v>
      </c>
    </row>
    <row r="378" spans="1:7" ht="15.75">
      <c r="A378" s="119">
        <v>370</v>
      </c>
      <c r="B378" s="119" t="s">
        <v>537</v>
      </c>
      <c r="C378" s="119" t="s">
        <v>886</v>
      </c>
      <c r="D378" s="119" t="s">
        <v>874</v>
      </c>
      <c r="E378" s="119" t="s">
        <v>87</v>
      </c>
      <c r="F378" s="120">
        <v>1</v>
      </c>
      <c r="G378" s="120">
        <v>222300</v>
      </c>
    </row>
    <row r="379" spans="1:7" ht="15.75">
      <c r="A379" s="119">
        <v>371</v>
      </c>
      <c r="B379" s="119" t="s">
        <v>537</v>
      </c>
      <c r="C379" s="119" t="s">
        <v>906</v>
      </c>
      <c r="D379" s="119" t="s">
        <v>907</v>
      </c>
      <c r="E379" s="119" t="s">
        <v>88</v>
      </c>
      <c r="F379" s="120">
        <v>1</v>
      </c>
      <c r="G379" s="120">
        <v>301600</v>
      </c>
    </row>
    <row r="380" spans="1:7" ht="15.75">
      <c r="A380" s="119">
        <v>372</v>
      </c>
      <c r="B380" s="119" t="s">
        <v>537</v>
      </c>
      <c r="C380" s="119" t="s">
        <v>985</v>
      </c>
      <c r="D380" s="119" t="s">
        <v>160</v>
      </c>
      <c r="E380" s="119" t="s">
        <v>87</v>
      </c>
      <c r="F380" s="120">
        <v>1</v>
      </c>
      <c r="G380" s="120">
        <v>222300</v>
      </c>
    </row>
    <row r="381" spans="1:7" ht="15.75">
      <c r="A381" s="119">
        <v>373</v>
      </c>
      <c r="B381" s="119" t="s">
        <v>537</v>
      </c>
      <c r="C381" s="119" t="s">
        <v>674</v>
      </c>
      <c r="D381" s="119" t="s">
        <v>675</v>
      </c>
      <c r="E381" s="119" t="s">
        <v>89</v>
      </c>
      <c r="F381" s="120">
        <v>1</v>
      </c>
      <c r="G381" s="120">
        <v>341800</v>
      </c>
    </row>
    <row r="382" spans="1:7" ht="15.75">
      <c r="A382" s="119">
        <v>374</v>
      </c>
      <c r="B382" s="119" t="s">
        <v>537</v>
      </c>
      <c r="C382" s="119" t="s">
        <v>1006</v>
      </c>
      <c r="D382" s="119" t="s">
        <v>1007</v>
      </c>
      <c r="E382" s="119" t="s">
        <v>88</v>
      </c>
      <c r="F382" s="120">
        <v>1</v>
      </c>
      <c r="G382" s="120">
        <v>301600</v>
      </c>
    </row>
    <row r="383" spans="1:7" ht="15.75">
      <c r="A383" s="119">
        <v>375</v>
      </c>
      <c r="B383" s="119" t="s">
        <v>537</v>
      </c>
      <c r="C383" s="119" t="s">
        <v>1011</v>
      </c>
      <c r="D383" s="119" t="s">
        <v>1012</v>
      </c>
      <c r="E383" s="119" t="s">
        <v>87</v>
      </c>
      <c r="F383" s="120">
        <v>1</v>
      </c>
      <c r="G383" s="120">
        <v>222300</v>
      </c>
    </row>
    <row r="384" spans="1:7" ht="15.75">
      <c r="A384" s="119">
        <v>376</v>
      </c>
      <c r="B384" s="119" t="s">
        <v>537</v>
      </c>
      <c r="C384" s="119" t="s">
        <v>987</v>
      </c>
      <c r="D384" s="119" t="s">
        <v>128</v>
      </c>
      <c r="E384" s="119" t="s">
        <v>89</v>
      </c>
      <c r="F384" s="120">
        <v>1</v>
      </c>
      <c r="G384" s="120">
        <v>341800</v>
      </c>
    </row>
    <row r="385" spans="1:7" ht="15.75">
      <c r="A385" s="119">
        <v>377</v>
      </c>
      <c r="B385" s="119" t="s">
        <v>708</v>
      </c>
      <c r="C385" s="119" t="s">
        <v>706</v>
      </c>
      <c r="D385" s="119" t="s">
        <v>536</v>
      </c>
      <c r="E385" s="119" t="s">
        <v>87</v>
      </c>
      <c r="F385" s="120">
        <v>1</v>
      </c>
      <c r="G385" s="120">
        <v>250000</v>
      </c>
    </row>
    <row r="386" spans="1:7" ht="15.75">
      <c r="A386" s="119">
        <v>378</v>
      </c>
      <c r="B386" s="119" t="s">
        <v>522</v>
      </c>
      <c r="C386" s="119" t="s">
        <v>513</v>
      </c>
      <c r="D386" s="119" t="s">
        <v>106</v>
      </c>
      <c r="E386" s="119" t="s">
        <v>89</v>
      </c>
      <c r="F386" s="120">
        <v>1</v>
      </c>
      <c r="G386" s="120">
        <v>341800</v>
      </c>
    </row>
    <row r="387" spans="1:7" ht="15.75">
      <c r="A387" s="119">
        <v>379</v>
      </c>
      <c r="B387" s="119" t="s">
        <v>657</v>
      </c>
      <c r="C387" s="119" t="s">
        <v>656</v>
      </c>
      <c r="D387" s="119" t="s">
        <v>97</v>
      </c>
      <c r="E387" s="119" t="s">
        <v>88</v>
      </c>
      <c r="F387" s="120">
        <v>1</v>
      </c>
      <c r="G387" s="120">
        <v>301600</v>
      </c>
    </row>
    <row r="388" spans="1:7" ht="15.75">
      <c r="A388" s="119">
        <v>380</v>
      </c>
      <c r="B388" s="119" t="s">
        <v>852</v>
      </c>
      <c r="C388" s="119" t="s">
        <v>850</v>
      </c>
      <c r="D388" s="119" t="s">
        <v>851</v>
      </c>
      <c r="E388" s="119" t="s">
        <v>87</v>
      </c>
      <c r="F388" s="120">
        <v>1</v>
      </c>
      <c r="G388" s="120">
        <v>222300</v>
      </c>
    </row>
    <row r="389" spans="1:7" ht="15.75">
      <c r="A389" s="119">
        <v>381</v>
      </c>
      <c r="B389" s="119" t="s">
        <v>897</v>
      </c>
      <c r="C389" s="119" t="s">
        <v>896</v>
      </c>
      <c r="D389" s="119" t="s">
        <v>154</v>
      </c>
      <c r="E389" s="119" t="s">
        <v>87</v>
      </c>
      <c r="F389" s="120">
        <v>1</v>
      </c>
      <c r="G389" s="120">
        <v>222300</v>
      </c>
    </row>
    <row r="390" spans="1:7" ht="15.75">
      <c r="A390" s="119">
        <v>382</v>
      </c>
      <c r="B390" s="119" t="s">
        <v>926</v>
      </c>
      <c r="C390" s="119" t="s">
        <v>925</v>
      </c>
      <c r="D390" s="119" t="s">
        <v>100</v>
      </c>
      <c r="E390" s="119" t="s">
        <v>87</v>
      </c>
      <c r="F390" s="120">
        <v>1</v>
      </c>
      <c r="G390" s="120">
        <v>222300</v>
      </c>
    </row>
    <row r="391" spans="1:7" ht="15.75">
      <c r="A391" s="119">
        <v>383</v>
      </c>
      <c r="B391" s="119" t="s">
        <v>829</v>
      </c>
      <c r="C391" s="119" t="s">
        <v>826</v>
      </c>
      <c r="D391" s="119" t="s">
        <v>827</v>
      </c>
      <c r="E391" s="119" t="s">
        <v>87</v>
      </c>
      <c r="F391" s="120">
        <v>1</v>
      </c>
      <c r="G391" s="120">
        <v>600000</v>
      </c>
    </row>
    <row r="392" spans="1:7" ht="15.75">
      <c r="A392" s="119">
        <v>384</v>
      </c>
      <c r="B392" s="119" t="s">
        <v>829</v>
      </c>
      <c r="C392" s="119" t="s">
        <v>826</v>
      </c>
      <c r="D392" s="119" t="s">
        <v>827</v>
      </c>
      <c r="E392" s="119" t="s">
        <v>87</v>
      </c>
      <c r="F392" s="120">
        <v>1</v>
      </c>
      <c r="G392" s="120">
        <v>222300</v>
      </c>
    </row>
    <row r="393" spans="1:7" ht="15.75">
      <c r="A393" s="119">
        <v>385</v>
      </c>
      <c r="B393" s="119" t="s">
        <v>551</v>
      </c>
      <c r="C393" s="119" t="s">
        <v>548</v>
      </c>
      <c r="D393" s="119" t="s">
        <v>549</v>
      </c>
      <c r="E393" s="119" t="s">
        <v>87</v>
      </c>
      <c r="F393" s="120">
        <v>1</v>
      </c>
      <c r="G393" s="120">
        <v>222300</v>
      </c>
    </row>
    <row r="394" spans="1:7" ht="15.75">
      <c r="A394" s="119">
        <v>386</v>
      </c>
      <c r="B394" s="119" t="s">
        <v>1023</v>
      </c>
      <c r="C394" s="119" t="s">
        <v>222</v>
      </c>
      <c r="D394" s="119" t="s">
        <v>100</v>
      </c>
      <c r="E394" s="119" t="s">
        <v>90</v>
      </c>
      <c r="F394" s="120">
        <v>1</v>
      </c>
      <c r="G394" s="120">
        <v>269200</v>
      </c>
    </row>
    <row r="395" spans="1:7" ht="15.75">
      <c r="A395" s="119">
        <v>387</v>
      </c>
      <c r="B395" s="119" t="s">
        <v>931</v>
      </c>
      <c r="C395" s="119" t="s">
        <v>929</v>
      </c>
      <c r="D395" s="119" t="s">
        <v>930</v>
      </c>
      <c r="E395" s="119" t="s">
        <v>87</v>
      </c>
      <c r="F395" s="120">
        <v>1</v>
      </c>
      <c r="G395" s="120">
        <v>222300</v>
      </c>
    </row>
    <row r="396" spans="1:7" ht="15.75">
      <c r="A396" s="119">
        <v>388</v>
      </c>
      <c r="B396" s="119" t="s">
        <v>653</v>
      </c>
      <c r="C396" s="119" t="s">
        <v>648</v>
      </c>
      <c r="D396" s="119" t="s">
        <v>649</v>
      </c>
      <c r="E396" s="119" t="s">
        <v>87</v>
      </c>
      <c r="F396" s="120">
        <v>1</v>
      </c>
      <c r="G396" s="120">
        <v>222300</v>
      </c>
    </row>
    <row r="397" spans="1:7" ht="15.75">
      <c r="A397" s="119">
        <v>389</v>
      </c>
      <c r="B397" s="119" t="s">
        <v>894</v>
      </c>
      <c r="C397" s="119" t="s">
        <v>892</v>
      </c>
      <c r="D397" s="119" t="s">
        <v>893</v>
      </c>
      <c r="E397" s="119" t="s">
        <v>87</v>
      </c>
      <c r="F397" s="120">
        <v>1</v>
      </c>
      <c r="G397" s="120">
        <v>222300</v>
      </c>
    </row>
    <row r="398" spans="1:7" ht="15.75">
      <c r="A398" s="119">
        <v>390</v>
      </c>
      <c r="B398" s="119" t="s">
        <v>798</v>
      </c>
      <c r="C398" s="119" t="s">
        <v>792</v>
      </c>
      <c r="D398" s="119" t="s">
        <v>793</v>
      </c>
      <c r="E398" s="119" t="s">
        <v>89</v>
      </c>
      <c r="F398" s="120">
        <v>1</v>
      </c>
      <c r="G398" s="120">
        <v>341800</v>
      </c>
    </row>
    <row r="399" spans="1:7" ht="15.75">
      <c r="A399" s="119">
        <v>391</v>
      </c>
      <c r="B399" s="119" t="s">
        <v>521</v>
      </c>
      <c r="C399" s="119" t="s">
        <v>513</v>
      </c>
      <c r="D399" s="119" t="s">
        <v>106</v>
      </c>
      <c r="E399" s="119" t="s">
        <v>89</v>
      </c>
      <c r="F399" s="120">
        <v>1</v>
      </c>
      <c r="G399" s="120">
        <v>341800</v>
      </c>
    </row>
    <row r="400" spans="1:7" ht="15.75">
      <c r="A400" s="119">
        <v>392</v>
      </c>
      <c r="B400" s="119" t="s">
        <v>521</v>
      </c>
      <c r="C400" s="119" t="s">
        <v>548</v>
      </c>
      <c r="D400" s="119" t="s">
        <v>549</v>
      </c>
      <c r="E400" s="119" t="s">
        <v>87</v>
      </c>
      <c r="F400" s="120">
        <v>1</v>
      </c>
      <c r="G400" s="120">
        <v>222300</v>
      </c>
    </row>
    <row r="401" spans="1:7" ht="15.75">
      <c r="A401" s="119">
        <v>393</v>
      </c>
      <c r="B401" s="119" t="s">
        <v>521</v>
      </c>
      <c r="C401" s="119" t="s">
        <v>594</v>
      </c>
      <c r="D401" s="119" t="s">
        <v>131</v>
      </c>
      <c r="E401" s="119" t="s">
        <v>86</v>
      </c>
      <c r="F401" s="120">
        <v>1</v>
      </c>
      <c r="G401" s="120">
        <v>229200</v>
      </c>
    </row>
    <row r="402" spans="1:7" ht="15.75">
      <c r="A402" s="119">
        <v>394</v>
      </c>
      <c r="B402" s="119" t="s">
        <v>521</v>
      </c>
      <c r="C402" s="119" t="s">
        <v>607</v>
      </c>
      <c r="D402" s="119" t="s">
        <v>106</v>
      </c>
      <c r="E402" s="119" t="s">
        <v>87</v>
      </c>
      <c r="F402" s="120">
        <v>1</v>
      </c>
      <c r="G402" s="120">
        <v>222300</v>
      </c>
    </row>
    <row r="403" spans="1:7" ht="15.75">
      <c r="A403" s="119">
        <v>395</v>
      </c>
      <c r="B403" s="119" t="s">
        <v>521</v>
      </c>
      <c r="C403" s="119" t="s">
        <v>245</v>
      </c>
      <c r="D403" s="119" t="s">
        <v>158</v>
      </c>
      <c r="E403" s="119" t="s">
        <v>87</v>
      </c>
      <c r="F403" s="120">
        <v>1</v>
      </c>
      <c r="G403" s="120">
        <v>222300</v>
      </c>
    </row>
    <row r="404" spans="1:7" ht="15.75">
      <c r="A404" s="119">
        <v>396</v>
      </c>
      <c r="B404" s="119" t="s">
        <v>521</v>
      </c>
      <c r="C404" s="119" t="s">
        <v>706</v>
      </c>
      <c r="D404" s="119" t="s">
        <v>536</v>
      </c>
      <c r="E404" s="119" t="s">
        <v>87</v>
      </c>
      <c r="F404" s="120">
        <v>1</v>
      </c>
      <c r="G404" s="120">
        <v>250000</v>
      </c>
    </row>
    <row r="405" spans="1:7" ht="15.75">
      <c r="A405" s="119">
        <v>397</v>
      </c>
      <c r="B405" s="119" t="s">
        <v>521</v>
      </c>
      <c r="C405" s="119" t="s">
        <v>715</v>
      </c>
      <c r="D405" s="119" t="s">
        <v>716</v>
      </c>
      <c r="E405" s="119" t="s">
        <v>86</v>
      </c>
      <c r="F405" s="120">
        <v>1</v>
      </c>
      <c r="G405" s="120">
        <v>229200</v>
      </c>
    </row>
    <row r="406" spans="1:7" ht="15.75">
      <c r="A406" s="119">
        <v>398</v>
      </c>
      <c r="B406" s="119" t="s">
        <v>521</v>
      </c>
      <c r="C406" s="119" t="s">
        <v>749</v>
      </c>
      <c r="D406" s="119" t="s">
        <v>750</v>
      </c>
      <c r="E406" s="119" t="s">
        <v>87</v>
      </c>
      <c r="F406" s="120">
        <v>1</v>
      </c>
      <c r="G406" s="120">
        <v>222300</v>
      </c>
    </row>
    <row r="407" spans="1:7" ht="15.75">
      <c r="A407" s="119">
        <v>399</v>
      </c>
      <c r="B407" s="119" t="s">
        <v>521</v>
      </c>
      <c r="C407" s="119" t="s">
        <v>769</v>
      </c>
      <c r="D407" s="119" t="s">
        <v>770</v>
      </c>
      <c r="E407" s="119" t="s">
        <v>87</v>
      </c>
      <c r="F407" s="120">
        <v>1</v>
      </c>
      <c r="G407" s="120">
        <v>222300</v>
      </c>
    </row>
    <row r="408" spans="1:7" ht="15.75">
      <c r="A408" s="119">
        <v>400</v>
      </c>
      <c r="B408" s="119" t="s">
        <v>521</v>
      </c>
      <c r="C408" s="119" t="s">
        <v>838</v>
      </c>
      <c r="D408" s="119" t="s">
        <v>839</v>
      </c>
      <c r="E408" s="119" t="s">
        <v>89</v>
      </c>
      <c r="F408" s="120">
        <v>1</v>
      </c>
      <c r="G408" s="120">
        <v>341800</v>
      </c>
    </row>
    <row r="409" spans="1:7" ht="15.75">
      <c r="A409" s="119">
        <v>401</v>
      </c>
      <c r="B409" s="119" t="s">
        <v>521</v>
      </c>
      <c r="C409" s="119" t="s">
        <v>850</v>
      </c>
      <c r="D409" s="119" t="s">
        <v>851</v>
      </c>
      <c r="E409" s="119" t="s">
        <v>88</v>
      </c>
      <c r="F409" s="120">
        <v>1</v>
      </c>
      <c r="G409" s="120">
        <v>301600</v>
      </c>
    </row>
    <row r="410" spans="1:7" ht="15.75">
      <c r="A410" s="119">
        <v>402</v>
      </c>
      <c r="B410" s="119" t="s">
        <v>521</v>
      </c>
      <c r="C410" s="119" t="s">
        <v>878</v>
      </c>
      <c r="D410" s="119" t="s">
        <v>879</v>
      </c>
      <c r="E410" s="119" t="s">
        <v>89</v>
      </c>
      <c r="F410" s="120">
        <v>1</v>
      </c>
      <c r="G410" s="120">
        <v>341800</v>
      </c>
    </row>
    <row r="411" spans="1:7" ht="15.75">
      <c r="A411" s="119">
        <v>403</v>
      </c>
      <c r="B411" s="119" t="s">
        <v>521</v>
      </c>
      <c r="C411" s="119" t="s">
        <v>892</v>
      </c>
      <c r="D411" s="119" t="s">
        <v>893</v>
      </c>
      <c r="E411" s="119" t="s">
        <v>87</v>
      </c>
      <c r="F411" s="120">
        <v>1</v>
      </c>
      <c r="G411" s="120">
        <v>222300</v>
      </c>
    </row>
    <row r="412" spans="1:7" ht="15.75">
      <c r="A412" s="119">
        <v>404</v>
      </c>
      <c r="B412" s="119" t="s">
        <v>521</v>
      </c>
      <c r="C412" s="119" t="s">
        <v>896</v>
      </c>
      <c r="D412" s="119" t="s">
        <v>154</v>
      </c>
      <c r="E412" s="119" t="s">
        <v>87</v>
      </c>
      <c r="F412" s="120">
        <v>1</v>
      </c>
      <c r="G412" s="120">
        <v>222300</v>
      </c>
    </row>
    <row r="413" spans="1:7" ht="15.75">
      <c r="A413" s="119">
        <v>405</v>
      </c>
      <c r="B413" s="119" t="s">
        <v>521</v>
      </c>
      <c r="C413" s="119" t="s">
        <v>906</v>
      </c>
      <c r="D413" s="119" t="s">
        <v>907</v>
      </c>
      <c r="E413" s="119" t="s">
        <v>88</v>
      </c>
      <c r="F413" s="120">
        <v>1</v>
      </c>
      <c r="G413" s="120">
        <v>301600</v>
      </c>
    </row>
    <row r="414" spans="1:7" ht="15.75">
      <c r="A414" s="119">
        <v>406</v>
      </c>
      <c r="B414" s="119" t="s">
        <v>521</v>
      </c>
      <c r="C414" s="119" t="s">
        <v>929</v>
      </c>
      <c r="D414" s="119" t="s">
        <v>930</v>
      </c>
      <c r="E414" s="119" t="s">
        <v>87</v>
      </c>
      <c r="F414" s="120">
        <v>1</v>
      </c>
      <c r="G414" s="120">
        <v>222300</v>
      </c>
    </row>
    <row r="415" spans="1:7" ht="15.75">
      <c r="A415" s="119">
        <v>407</v>
      </c>
      <c r="B415" s="119" t="s">
        <v>521</v>
      </c>
      <c r="C415" s="119" t="s">
        <v>985</v>
      </c>
      <c r="D415" s="119" t="s">
        <v>160</v>
      </c>
      <c r="E415" s="119" t="s">
        <v>87</v>
      </c>
      <c r="F415" s="120">
        <v>1</v>
      </c>
      <c r="G415" s="120">
        <v>222300</v>
      </c>
    </row>
    <row r="416" spans="1:7" ht="15.75">
      <c r="A416" s="119">
        <v>408</v>
      </c>
      <c r="B416" s="119" t="s">
        <v>521</v>
      </c>
      <c r="C416" s="119" t="s">
        <v>674</v>
      </c>
      <c r="D416" s="119" t="s">
        <v>675</v>
      </c>
      <c r="E416" s="119" t="s">
        <v>89</v>
      </c>
      <c r="F416" s="120">
        <v>1</v>
      </c>
      <c r="G416" s="120">
        <v>341800</v>
      </c>
    </row>
    <row r="417" spans="1:7" ht="15.75">
      <c r="A417" s="119">
        <v>409</v>
      </c>
      <c r="B417" s="119" t="s">
        <v>521</v>
      </c>
      <c r="C417" s="119" t="s">
        <v>1006</v>
      </c>
      <c r="D417" s="119" t="s">
        <v>1007</v>
      </c>
      <c r="E417" s="119" t="s">
        <v>88</v>
      </c>
      <c r="F417" s="120">
        <v>1</v>
      </c>
      <c r="G417" s="120">
        <v>301600</v>
      </c>
    </row>
    <row r="418" spans="1:7" ht="15.75">
      <c r="A418" s="119">
        <v>410</v>
      </c>
      <c r="B418" s="119" t="s">
        <v>521</v>
      </c>
      <c r="C418" s="119" t="s">
        <v>1011</v>
      </c>
      <c r="D418" s="119" t="s">
        <v>1012</v>
      </c>
      <c r="E418" s="119" t="s">
        <v>87</v>
      </c>
      <c r="F418" s="120">
        <v>1</v>
      </c>
      <c r="G418" s="120">
        <v>222300</v>
      </c>
    </row>
    <row r="419" spans="1:7" ht="15.75">
      <c r="A419" s="119">
        <v>411</v>
      </c>
      <c r="B419" s="119" t="s">
        <v>521</v>
      </c>
      <c r="C419" s="119" t="s">
        <v>925</v>
      </c>
      <c r="D419" s="119" t="s">
        <v>100</v>
      </c>
      <c r="E419" s="119" t="s">
        <v>90</v>
      </c>
      <c r="F419" s="120">
        <v>1</v>
      </c>
      <c r="G419" s="120">
        <v>269200</v>
      </c>
    </row>
    <row r="420" spans="1:7" ht="15.75">
      <c r="A420" s="119">
        <v>412</v>
      </c>
      <c r="B420" s="119" t="s">
        <v>521</v>
      </c>
      <c r="C420" s="119" t="s">
        <v>222</v>
      </c>
      <c r="D420" s="119" t="s">
        <v>100</v>
      </c>
      <c r="E420" s="119" t="s">
        <v>90</v>
      </c>
      <c r="F420" s="120">
        <v>1</v>
      </c>
      <c r="G420" s="120">
        <v>269200</v>
      </c>
    </row>
    <row r="421" spans="1:7" ht="15.75">
      <c r="A421" s="119">
        <v>413</v>
      </c>
      <c r="B421" s="119" t="s">
        <v>521</v>
      </c>
      <c r="C421" s="119" t="s">
        <v>987</v>
      </c>
      <c r="D421" s="119" t="s">
        <v>128</v>
      </c>
      <c r="E421" s="119" t="s">
        <v>89</v>
      </c>
      <c r="F421" s="120">
        <v>1</v>
      </c>
      <c r="G421" s="120">
        <v>341800</v>
      </c>
    </row>
    <row r="422" spans="1:7" ht="15.75">
      <c r="A422" s="119">
        <v>414</v>
      </c>
      <c r="B422" s="119" t="s">
        <v>830</v>
      </c>
      <c r="C422" s="119" t="s">
        <v>826</v>
      </c>
      <c r="D422" s="119" t="s">
        <v>827</v>
      </c>
      <c r="E422" s="119" t="s">
        <v>87</v>
      </c>
      <c r="F422" s="120">
        <v>1</v>
      </c>
      <c r="G422" s="120">
        <v>600000</v>
      </c>
    </row>
    <row r="423" spans="1:7" ht="15.75">
      <c r="A423" s="119">
        <v>415</v>
      </c>
      <c r="B423" s="119" t="s">
        <v>836</v>
      </c>
      <c r="C423" s="119" t="s">
        <v>826</v>
      </c>
      <c r="D423" s="119" t="s">
        <v>827</v>
      </c>
      <c r="E423" s="119" t="s">
        <v>87</v>
      </c>
      <c r="F423" s="120">
        <v>1</v>
      </c>
      <c r="G423" s="120">
        <v>222300</v>
      </c>
    </row>
    <row r="424" spans="1:7" ht="15.75">
      <c r="A424" s="119">
        <v>416</v>
      </c>
      <c r="B424" s="119" t="s">
        <v>544</v>
      </c>
      <c r="C424" s="119" t="s">
        <v>542</v>
      </c>
      <c r="D424" s="119" t="s">
        <v>543</v>
      </c>
      <c r="E424" s="119" t="s">
        <v>87</v>
      </c>
      <c r="F424" s="120">
        <v>1</v>
      </c>
      <c r="G424" s="120">
        <v>222300</v>
      </c>
    </row>
    <row r="425" spans="1:7" ht="15.75">
      <c r="A425" s="119">
        <v>417</v>
      </c>
      <c r="B425" s="119" t="s">
        <v>651</v>
      </c>
      <c r="C425" s="119" t="s">
        <v>648</v>
      </c>
      <c r="D425" s="119" t="s">
        <v>649</v>
      </c>
      <c r="E425" s="119" t="s">
        <v>87</v>
      </c>
      <c r="F425" s="120">
        <v>1</v>
      </c>
      <c r="G425" s="120">
        <v>222300</v>
      </c>
    </row>
    <row r="426" spans="1:7" ht="15.75">
      <c r="A426" s="119">
        <v>418</v>
      </c>
      <c r="B426" s="119" t="s">
        <v>795</v>
      </c>
      <c r="C426" s="119" t="s">
        <v>792</v>
      </c>
      <c r="D426" s="119" t="s">
        <v>793</v>
      </c>
      <c r="E426" s="119" t="s">
        <v>89</v>
      </c>
      <c r="F426" s="120">
        <v>1</v>
      </c>
      <c r="G426" s="120">
        <v>341800</v>
      </c>
    </row>
    <row r="427" spans="1:7" ht="15.75">
      <c r="A427" s="119">
        <v>419</v>
      </c>
      <c r="B427" s="119" t="s">
        <v>524</v>
      </c>
      <c r="C427" s="119" t="s">
        <v>513</v>
      </c>
      <c r="D427" s="119" t="s">
        <v>106</v>
      </c>
      <c r="E427" s="119" t="s">
        <v>89</v>
      </c>
      <c r="F427" s="120">
        <v>1</v>
      </c>
      <c r="G427" s="120">
        <v>341800</v>
      </c>
    </row>
    <row r="428" spans="1:7" ht="15.75">
      <c r="A428" s="119">
        <v>420</v>
      </c>
      <c r="B428" s="119" t="s">
        <v>524</v>
      </c>
      <c r="C428" s="119" t="s">
        <v>548</v>
      </c>
      <c r="D428" s="119" t="s">
        <v>549</v>
      </c>
      <c r="E428" s="119" t="s">
        <v>87</v>
      </c>
      <c r="F428" s="120">
        <v>1</v>
      </c>
      <c r="G428" s="120">
        <v>222300</v>
      </c>
    </row>
    <row r="429" spans="1:7" ht="15.75">
      <c r="A429" s="119">
        <v>421</v>
      </c>
      <c r="B429" s="119" t="s">
        <v>524</v>
      </c>
      <c r="C429" s="119" t="s">
        <v>594</v>
      </c>
      <c r="D429" s="119" t="s">
        <v>131</v>
      </c>
      <c r="E429" s="119" t="s">
        <v>86</v>
      </c>
      <c r="F429" s="120">
        <v>1</v>
      </c>
      <c r="G429" s="120">
        <v>229200</v>
      </c>
    </row>
    <row r="430" spans="1:7" ht="15.75">
      <c r="A430" s="119">
        <v>422</v>
      </c>
      <c r="B430" s="119" t="s">
        <v>524</v>
      </c>
      <c r="C430" s="119" t="s">
        <v>607</v>
      </c>
      <c r="D430" s="119" t="s">
        <v>106</v>
      </c>
      <c r="E430" s="119" t="s">
        <v>87</v>
      </c>
      <c r="F430" s="120">
        <v>1</v>
      </c>
      <c r="G430" s="120">
        <v>222300</v>
      </c>
    </row>
    <row r="431" spans="1:7" ht="15.75">
      <c r="A431" s="119">
        <v>423</v>
      </c>
      <c r="B431" s="119" t="s">
        <v>524</v>
      </c>
      <c r="C431" s="119" t="s">
        <v>245</v>
      </c>
      <c r="D431" s="119" t="s">
        <v>158</v>
      </c>
      <c r="E431" s="119" t="s">
        <v>87</v>
      </c>
      <c r="F431" s="120">
        <v>1</v>
      </c>
      <c r="G431" s="120">
        <v>222300</v>
      </c>
    </row>
    <row r="432" spans="1:7" ht="15.75">
      <c r="A432" s="119">
        <v>424</v>
      </c>
      <c r="B432" s="119" t="s">
        <v>524</v>
      </c>
      <c r="C432" s="119" t="s">
        <v>706</v>
      </c>
      <c r="D432" s="119" t="s">
        <v>536</v>
      </c>
      <c r="E432" s="119" t="s">
        <v>87</v>
      </c>
      <c r="F432" s="120">
        <v>1</v>
      </c>
      <c r="G432" s="120">
        <v>250000</v>
      </c>
    </row>
    <row r="433" spans="1:7" ht="15.75">
      <c r="A433" s="119">
        <v>425</v>
      </c>
      <c r="B433" s="119" t="s">
        <v>524</v>
      </c>
      <c r="C433" s="119" t="s">
        <v>715</v>
      </c>
      <c r="D433" s="119" t="s">
        <v>716</v>
      </c>
      <c r="E433" s="119" t="s">
        <v>86</v>
      </c>
      <c r="F433" s="120">
        <v>1</v>
      </c>
      <c r="G433" s="120">
        <v>229200</v>
      </c>
    </row>
    <row r="434" spans="1:7" ht="15.75">
      <c r="A434" s="119">
        <v>426</v>
      </c>
      <c r="B434" s="119" t="s">
        <v>524</v>
      </c>
      <c r="C434" s="119" t="s">
        <v>749</v>
      </c>
      <c r="D434" s="119" t="s">
        <v>750</v>
      </c>
      <c r="E434" s="119" t="s">
        <v>87</v>
      </c>
      <c r="F434" s="120">
        <v>1</v>
      </c>
      <c r="G434" s="120">
        <v>222300</v>
      </c>
    </row>
    <row r="435" spans="1:7" ht="15.75">
      <c r="A435" s="119">
        <v>427</v>
      </c>
      <c r="B435" s="119" t="s">
        <v>524</v>
      </c>
      <c r="C435" s="119" t="s">
        <v>769</v>
      </c>
      <c r="D435" s="119" t="s">
        <v>770</v>
      </c>
      <c r="E435" s="119" t="s">
        <v>87</v>
      </c>
      <c r="F435" s="120">
        <v>1</v>
      </c>
      <c r="G435" s="120">
        <v>222300</v>
      </c>
    </row>
    <row r="436" spans="1:7" ht="15.75">
      <c r="A436" s="119">
        <v>428</v>
      </c>
      <c r="B436" s="119" t="s">
        <v>524</v>
      </c>
      <c r="C436" s="119" t="s">
        <v>838</v>
      </c>
      <c r="D436" s="119" t="s">
        <v>839</v>
      </c>
      <c r="E436" s="119" t="s">
        <v>89</v>
      </c>
      <c r="F436" s="120">
        <v>1</v>
      </c>
      <c r="G436" s="120">
        <v>341800</v>
      </c>
    </row>
    <row r="437" spans="1:7" ht="15.75">
      <c r="A437" s="119">
        <v>429</v>
      </c>
      <c r="B437" s="119" t="s">
        <v>524</v>
      </c>
      <c r="C437" s="119" t="s">
        <v>850</v>
      </c>
      <c r="D437" s="119" t="s">
        <v>851</v>
      </c>
      <c r="E437" s="119" t="s">
        <v>88</v>
      </c>
      <c r="F437" s="120">
        <v>1</v>
      </c>
      <c r="G437" s="120">
        <v>301600</v>
      </c>
    </row>
    <row r="438" spans="1:7" ht="15.75">
      <c r="A438" s="119">
        <v>430</v>
      </c>
      <c r="B438" s="119" t="s">
        <v>524</v>
      </c>
      <c r="C438" s="119" t="s">
        <v>878</v>
      </c>
      <c r="D438" s="119" t="s">
        <v>879</v>
      </c>
      <c r="E438" s="119" t="s">
        <v>89</v>
      </c>
      <c r="F438" s="120">
        <v>1</v>
      </c>
      <c r="G438" s="120">
        <v>341800</v>
      </c>
    </row>
    <row r="439" spans="1:7" ht="15.75">
      <c r="A439" s="119">
        <v>431</v>
      </c>
      <c r="B439" s="119" t="s">
        <v>524</v>
      </c>
      <c r="C439" s="119" t="s">
        <v>892</v>
      </c>
      <c r="D439" s="119" t="s">
        <v>893</v>
      </c>
      <c r="E439" s="119" t="s">
        <v>87</v>
      </c>
      <c r="F439" s="120">
        <v>1</v>
      </c>
      <c r="G439" s="120">
        <v>222300</v>
      </c>
    </row>
    <row r="440" spans="1:7" ht="15.75">
      <c r="A440" s="119">
        <v>432</v>
      </c>
      <c r="B440" s="119" t="s">
        <v>524</v>
      </c>
      <c r="C440" s="119" t="s">
        <v>896</v>
      </c>
      <c r="D440" s="119" t="s">
        <v>154</v>
      </c>
      <c r="E440" s="119" t="s">
        <v>87</v>
      </c>
      <c r="F440" s="120">
        <v>1</v>
      </c>
      <c r="G440" s="120">
        <v>222300</v>
      </c>
    </row>
    <row r="441" spans="1:7" ht="15.75">
      <c r="A441" s="119">
        <v>433</v>
      </c>
      <c r="B441" s="119" t="s">
        <v>524</v>
      </c>
      <c r="C441" s="119" t="s">
        <v>906</v>
      </c>
      <c r="D441" s="119" t="s">
        <v>907</v>
      </c>
      <c r="E441" s="119" t="s">
        <v>88</v>
      </c>
      <c r="F441" s="120">
        <v>1</v>
      </c>
      <c r="G441" s="120">
        <v>301600</v>
      </c>
    </row>
    <row r="442" spans="1:7" ht="15.75">
      <c r="A442" s="119">
        <v>434</v>
      </c>
      <c r="B442" s="119" t="s">
        <v>524</v>
      </c>
      <c r="C442" s="119" t="s">
        <v>929</v>
      </c>
      <c r="D442" s="119" t="s">
        <v>930</v>
      </c>
      <c r="E442" s="119" t="s">
        <v>87</v>
      </c>
      <c r="F442" s="120">
        <v>1</v>
      </c>
      <c r="G442" s="120">
        <v>222300</v>
      </c>
    </row>
    <row r="443" spans="1:7" ht="15.75">
      <c r="A443" s="119">
        <v>435</v>
      </c>
      <c r="B443" s="119" t="s">
        <v>524</v>
      </c>
      <c r="C443" s="119" t="s">
        <v>985</v>
      </c>
      <c r="D443" s="119" t="s">
        <v>160</v>
      </c>
      <c r="E443" s="119" t="s">
        <v>87</v>
      </c>
      <c r="F443" s="120">
        <v>1</v>
      </c>
      <c r="G443" s="120">
        <v>222300</v>
      </c>
    </row>
    <row r="444" spans="1:7" ht="15.75">
      <c r="A444" s="119">
        <v>436</v>
      </c>
      <c r="B444" s="119" t="s">
        <v>524</v>
      </c>
      <c r="C444" s="119" t="s">
        <v>674</v>
      </c>
      <c r="D444" s="119" t="s">
        <v>675</v>
      </c>
      <c r="E444" s="119" t="s">
        <v>89</v>
      </c>
      <c r="F444" s="120">
        <v>1</v>
      </c>
      <c r="G444" s="120">
        <v>341800</v>
      </c>
    </row>
    <row r="445" spans="1:7" ht="15.75">
      <c r="A445" s="119">
        <v>437</v>
      </c>
      <c r="B445" s="119" t="s">
        <v>524</v>
      </c>
      <c r="C445" s="119" t="s">
        <v>1006</v>
      </c>
      <c r="D445" s="119" t="s">
        <v>1007</v>
      </c>
      <c r="E445" s="119" t="s">
        <v>88</v>
      </c>
      <c r="F445" s="120">
        <v>1</v>
      </c>
      <c r="G445" s="120">
        <v>301600</v>
      </c>
    </row>
    <row r="446" spans="1:7" ht="15.75">
      <c r="A446" s="119">
        <v>438</v>
      </c>
      <c r="B446" s="119" t="s">
        <v>524</v>
      </c>
      <c r="C446" s="119" t="s">
        <v>1011</v>
      </c>
      <c r="D446" s="119" t="s">
        <v>1012</v>
      </c>
      <c r="E446" s="119" t="s">
        <v>87</v>
      </c>
      <c r="F446" s="120">
        <v>1</v>
      </c>
      <c r="G446" s="120">
        <v>222300</v>
      </c>
    </row>
    <row r="447" spans="1:7" ht="15.75">
      <c r="A447" s="119">
        <v>439</v>
      </c>
      <c r="B447" s="119" t="s">
        <v>524</v>
      </c>
      <c r="C447" s="119" t="s">
        <v>925</v>
      </c>
      <c r="D447" s="119" t="s">
        <v>100</v>
      </c>
      <c r="E447" s="119" t="s">
        <v>90</v>
      </c>
      <c r="F447" s="120">
        <v>1</v>
      </c>
      <c r="G447" s="120">
        <v>269200</v>
      </c>
    </row>
    <row r="448" spans="1:7" ht="15.75">
      <c r="A448" s="119">
        <v>440</v>
      </c>
      <c r="B448" s="119" t="s">
        <v>524</v>
      </c>
      <c r="C448" s="119" t="s">
        <v>222</v>
      </c>
      <c r="D448" s="119" t="s">
        <v>100</v>
      </c>
      <c r="E448" s="119" t="s">
        <v>90</v>
      </c>
      <c r="F448" s="120">
        <v>1</v>
      </c>
      <c r="G448" s="120">
        <v>269200</v>
      </c>
    </row>
    <row r="449" spans="1:7" ht="15.75">
      <c r="A449" s="119">
        <v>441</v>
      </c>
      <c r="B449" s="119" t="s">
        <v>524</v>
      </c>
      <c r="C449" s="119" t="s">
        <v>987</v>
      </c>
      <c r="D449" s="119" t="s">
        <v>128</v>
      </c>
      <c r="E449" s="119" t="s">
        <v>89</v>
      </c>
      <c r="F449" s="120">
        <v>1</v>
      </c>
      <c r="G449" s="120">
        <v>341800</v>
      </c>
    </row>
    <row r="450" spans="1:7" ht="15.75">
      <c r="A450" s="119">
        <v>442</v>
      </c>
      <c r="B450" s="119" t="s">
        <v>832</v>
      </c>
      <c r="C450" s="119" t="s">
        <v>826</v>
      </c>
      <c r="D450" s="119" t="s">
        <v>827</v>
      </c>
      <c r="E450" s="119" t="s">
        <v>87</v>
      </c>
      <c r="F450" s="120">
        <v>1</v>
      </c>
      <c r="G450" s="120">
        <v>600000</v>
      </c>
    </row>
    <row r="451" spans="1:7" ht="15.75">
      <c r="A451" s="119">
        <v>443</v>
      </c>
      <c r="B451" s="119" t="s">
        <v>834</v>
      </c>
      <c r="C451" s="119" t="s">
        <v>826</v>
      </c>
      <c r="D451" s="119" t="s">
        <v>827</v>
      </c>
      <c r="E451" s="119" t="s">
        <v>87</v>
      </c>
      <c r="F451" s="120">
        <v>1</v>
      </c>
      <c r="G451" s="120">
        <v>222300</v>
      </c>
    </row>
    <row r="452" spans="1:7" ht="15.75">
      <c r="A452" s="119">
        <v>444</v>
      </c>
      <c r="B452" s="119" t="s">
        <v>996</v>
      </c>
      <c r="C452" s="119" t="s">
        <v>994</v>
      </c>
      <c r="D452" s="119" t="s">
        <v>995</v>
      </c>
      <c r="E452" s="119" t="s">
        <v>87</v>
      </c>
      <c r="F452" s="120">
        <v>1</v>
      </c>
      <c r="G452" s="120">
        <v>222300</v>
      </c>
    </row>
    <row r="453" spans="1:7" ht="15.75">
      <c r="A453" s="119">
        <v>445</v>
      </c>
      <c r="B453" s="119" t="s">
        <v>652</v>
      </c>
      <c r="C453" s="119" t="s">
        <v>648</v>
      </c>
      <c r="D453" s="119" t="s">
        <v>649</v>
      </c>
      <c r="E453" s="119" t="s">
        <v>87</v>
      </c>
      <c r="F453" s="120">
        <v>1</v>
      </c>
      <c r="G453" s="120">
        <v>222300</v>
      </c>
    </row>
    <row r="454" spans="1:7" ht="15.75">
      <c r="A454" s="119">
        <v>446</v>
      </c>
      <c r="B454" s="119" t="s">
        <v>957</v>
      </c>
      <c r="C454" s="119" t="s">
        <v>955</v>
      </c>
      <c r="D454" s="119" t="s">
        <v>956</v>
      </c>
      <c r="E454" s="119" t="s">
        <v>90</v>
      </c>
      <c r="F454" s="120">
        <v>1</v>
      </c>
      <c r="G454" s="120">
        <v>269200</v>
      </c>
    </row>
    <row r="455" spans="1:7" ht="15.75">
      <c r="A455" s="119">
        <v>447</v>
      </c>
      <c r="B455" s="119" t="s">
        <v>797</v>
      </c>
      <c r="C455" s="119" t="s">
        <v>792</v>
      </c>
      <c r="D455" s="119" t="s">
        <v>793</v>
      </c>
      <c r="E455" s="119" t="s">
        <v>89</v>
      </c>
      <c r="F455" s="120">
        <v>1</v>
      </c>
      <c r="G455" s="120">
        <v>341800</v>
      </c>
    </row>
    <row r="456" spans="1:7" ht="15.75">
      <c r="A456" s="119">
        <v>448</v>
      </c>
      <c r="B456" s="119" t="s">
        <v>519</v>
      </c>
      <c r="C456" s="119" t="s">
        <v>513</v>
      </c>
      <c r="D456" s="119" t="s">
        <v>106</v>
      </c>
      <c r="E456" s="119" t="s">
        <v>89</v>
      </c>
      <c r="F456" s="120">
        <v>1</v>
      </c>
      <c r="G456" s="120">
        <v>341800</v>
      </c>
    </row>
    <row r="457" spans="1:7" ht="15.75">
      <c r="A457" s="119">
        <v>449</v>
      </c>
      <c r="B457" s="119" t="s">
        <v>519</v>
      </c>
      <c r="C457" s="119" t="s">
        <v>542</v>
      </c>
      <c r="D457" s="119" t="s">
        <v>543</v>
      </c>
      <c r="E457" s="119" t="s">
        <v>87</v>
      </c>
      <c r="F457" s="120">
        <v>1</v>
      </c>
      <c r="G457" s="120">
        <v>222300</v>
      </c>
    </row>
    <row r="458" spans="1:7" ht="15.75">
      <c r="A458" s="119">
        <v>450</v>
      </c>
      <c r="B458" s="119" t="s">
        <v>519</v>
      </c>
      <c r="C458" s="119" t="s">
        <v>594</v>
      </c>
      <c r="D458" s="119" t="s">
        <v>131</v>
      </c>
      <c r="E458" s="119" t="s">
        <v>86</v>
      </c>
      <c r="F458" s="120">
        <v>1</v>
      </c>
      <c r="G458" s="120">
        <v>229200</v>
      </c>
    </row>
    <row r="459" spans="1:7" ht="15.75">
      <c r="A459" s="119">
        <v>451</v>
      </c>
      <c r="B459" s="119" t="s">
        <v>519</v>
      </c>
      <c r="C459" s="119" t="s">
        <v>607</v>
      </c>
      <c r="D459" s="119" t="s">
        <v>106</v>
      </c>
      <c r="E459" s="119" t="s">
        <v>87</v>
      </c>
      <c r="F459" s="120">
        <v>1</v>
      </c>
      <c r="G459" s="120">
        <v>222300</v>
      </c>
    </row>
    <row r="460" spans="1:7" ht="15.75">
      <c r="A460" s="119">
        <v>452</v>
      </c>
      <c r="B460" s="119" t="s">
        <v>519</v>
      </c>
      <c r="C460" s="119" t="s">
        <v>674</v>
      </c>
      <c r="D460" s="119" t="s">
        <v>675</v>
      </c>
      <c r="E460" s="119" t="s">
        <v>90</v>
      </c>
      <c r="F460" s="120">
        <v>1</v>
      </c>
      <c r="G460" s="120">
        <v>269200</v>
      </c>
    </row>
    <row r="461" spans="1:7" ht="15.75">
      <c r="A461" s="119">
        <v>453</v>
      </c>
      <c r="B461" s="119" t="s">
        <v>519</v>
      </c>
      <c r="C461" s="119" t="s">
        <v>245</v>
      </c>
      <c r="D461" s="119" t="s">
        <v>158</v>
      </c>
      <c r="E461" s="119" t="s">
        <v>87</v>
      </c>
      <c r="F461" s="120">
        <v>1</v>
      </c>
      <c r="G461" s="120">
        <v>222300</v>
      </c>
    </row>
    <row r="462" spans="1:7" ht="15.75">
      <c r="A462" s="119">
        <v>454</v>
      </c>
      <c r="B462" s="119" t="s">
        <v>519</v>
      </c>
      <c r="C462" s="119" t="s">
        <v>715</v>
      </c>
      <c r="D462" s="119" t="s">
        <v>716</v>
      </c>
      <c r="E462" s="119" t="s">
        <v>86</v>
      </c>
      <c r="F462" s="120">
        <v>1</v>
      </c>
      <c r="G462" s="120">
        <v>229200</v>
      </c>
    </row>
    <row r="463" spans="1:7" ht="15.75">
      <c r="A463" s="119">
        <v>455</v>
      </c>
      <c r="B463" s="119" t="s">
        <v>519</v>
      </c>
      <c r="C463" s="119" t="s">
        <v>749</v>
      </c>
      <c r="D463" s="119" t="s">
        <v>750</v>
      </c>
      <c r="E463" s="119" t="s">
        <v>87</v>
      </c>
      <c r="F463" s="120">
        <v>1</v>
      </c>
      <c r="G463" s="120">
        <v>222300</v>
      </c>
    </row>
    <row r="464" spans="1:7" ht="15.75">
      <c r="A464" s="119">
        <v>456</v>
      </c>
      <c r="B464" s="119" t="s">
        <v>519</v>
      </c>
      <c r="C464" s="119" t="s">
        <v>769</v>
      </c>
      <c r="D464" s="119" t="s">
        <v>770</v>
      </c>
      <c r="E464" s="119" t="s">
        <v>87</v>
      </c>
      <c r="F464" s="120">
        <v>1</v>
      </c>
      <c r="G464" s="120">
        <v>222300</v>
      </c>
    </row>
    <row r="465" spans="1:7" ht="15.75">
      <c r="A465" s="119">
        <v>457</v>
      </c>
      <c r="B465" s="119" t="s">
        <v>519</v>
      </c>
      <c r="C465" s="119" t="s">
        <v>838</v>
      </c>
      <c r="D465" s="119" t="s">
        <v>839</v>
      </c>
      <c r="E465" s="119" t="s">
        <v>89</v>
      </c>
      <c r="F465" s="120">
        <v>1</v>
      </c>
      <c r="G465" s="120">
        <v>341800</v>
      </c>
    </row>
    <row r="466" spans="1:7" ht="15.75">
      <c r="A466" s="119">
        <v>458</v>
      </c>
      <c r="B466" s="119" t="s">
        <v>519</v>
      </c>
      <c r="C466" s="119" t="s">
        <v>892</v>
      </c>
      <c r="D466" s="119" t="s">
        <v>893</v>
      </c>
      <c r="E466" s="119" t="s">
        <v>87</v>
      </c>
      <c r="F466" s="120">
        <v>1</v>
      </c>
      <c r="G466" s="120">
        <v>222300</v>
      </c>
    </row>
    <row r="467" spans="1:7" ht="15.75">
      <c r="A467" s="119">
        <v>459</v>
      </c>
      <c r="B467" s="119" t="s">
        <v>519</v>
      </c>
      <c r="C467" s="119" t="s">
        <v>985</v>
      </c>
      <c r="D467" s="119" t="s">
        <v>160</v>
      </c>
      <c r="E467" s="119" t="s">
        <v>87</v>
      </c>
      <c r="F467" s="120">
        <v>1</v>
      </c>
      <c r="G467" s="120">
        <v>222300</v>
      </c>
    </row>
    <row r="468" spans="1:7" ht="15.75">
      <c r="A468" s="119">
        <v>460</v>
      </c>
      <c r="B468" s="119" t="s">
        <v>519</v>
      </c>
      <c r="C468" s="119" t="s">
        <v>994</v>
      </c>
      <c r="D468" s="119" t="s">
        <v>995</v>
      </c>
      <c r="E468" s="119" t="s">
        <v>87</v>
      </c>
      <c r="F468" s="120">
        <v>1</v>
      </c>
      <c r="G468" s="120">
        <v>222300</v>
      </c>
    </row>
    <row r="469" spans="1:7" ht="15.75">
      <c r="A469" s="119">
        <v>461</v>
      </c>
      <c r="B469" s="119" t="s">
        <v>519</v>
      </c>
      <c r="C469" s="119" t="s">
        <v>925</v>
      </c>
      <c r="D469" s="119" t="s">
        <v>100</v>
      </c>
      <c r="E469" s="119" t="s">
        <v>90</v>
      </c>
      <c r="F469" s="120">
        <v>1</v>
      </c>
      <c r="G469" s="120">
        <v>269200</v>
      </c>
    </row>
    <row r="470" spans="1:7" ht="15.75">
      <c r="A470" s="119">
        <v>462</v>
      </c>
      <c r="B470" s="119" t="s">
        <v>519</v>
      </c>
      <c r="C470" s="119" t="s">
        <v>222</v>
      </c>
      <c r="D470" s="119" t="s">
        <v>100</v>
      </c>
      <c r="E470" s="119" t="s">
        <v>90</v>
      </c>
      <c r="F470" s="120">
        <v>1</v>
      </c>
      <c r="G470" s="120">
        <v>269200</v>
      </c>
    </row>
    <row r="471" spans="1:7" ht="15.75">
      <c r="A471" s="119">
        <v>463</v>
      </c>
      <c r="B471" s="119" t="s">
        <v>519</v>
      </c>
      <c r="C471" s="119" t="s">
        <v>987</v>
      </c>
      <c r="D471" s="119" t="s">
        <v>128</v>
      </c>
      <c r="E471" s="119" t="s">
        <v>89</v>
      </c>
      <c r="F471" s="120">
        <v>1</v>
      </c>
      <c r="G471" s="120">
        <v>341800</v>
      </c>
    </row>
    <row r="472" spans="1:7" ht="15.75">
      <c r="A472" s="119">
        <v>464</v>
      </c>
      <c r="B472" s="119" t="s">
        <v>1005</v>
      </c>
      <c r="C472" s="119" t="s">
        <v>1004</v>
      </c>
      <c r="D472" s="119" t="s">
        <v>136</v>
      </c>
      <c r="E472" s="119" t="s">
        <v>87</v>
      </c>
      <c r="F472" s="120">
        <v>1</v>
      </c>
      <c r="G472" s="120">
        <v>222300</v>
      </c>
    </row>
    <row r="473" spans="1:7" ht="15.75">
      <c r="A473" s="119">
        <v>465</v>
      </c>
      <c r="B473" s="119" t="s">
        <v>960</v>
      </c>
      <c r="C473" s="119" t="s">
        <v>958</v>
      </c>
      <c r="D473" s="119" t="s">
        <v>959</v>
      </c>
      <c r="E473" s="119" t="s">
        <v>87</v>
      </c>
      <c r="F473" s="120">
        <v>1</v>
      </c>
      <c r="G473" s="120">
        <v>222300</v>
      </c>
    </row>
    <row r="474" spans="1:7" ht="15.75">
      <c r="A474" s="119">
        <v>466</v>
      </c>
      <c r="B474" s="119" t="s">
        <v>673</v>
      </c>
      <c r="C474" s="119" t="s">
        <v>671</v>
      </c>
      <c r="D474" s="119" t="s">
        <v>672</v>
      </c>
      <c r="E474" s="119" t="s">
        <v>87</v>
      </c>
      <c r="F474" s="120">
        <v>1</v>
      </c>
      <c r="G474" s="120">
        <v>222300</v>
      </c>
    </row>
    <row r="475" spans="1:7" ht="15.75">
      <c r="A475" s="119">
        <v>467</v>
      </c>
      <c r="B475" s="119" t="s">
        <v>721</v>
      </c>
      <c r="C475" s="119" t="s">
        <v>719</v>
      </c>
      <c r="D475" s="119" t="s">
        <v>720</v>
      </c>
      <c r="E475" s="119" t="s">
        <v>87</v>
      </c>
      <c r="F475" s="120">
        <v>1</v>
      </c>
      <c r="G475" s="120">
        <v>222300</v>
      </c>
    </row>
    <row r="476" spans="1:7" ht="15.75">
      <c r="A476" s="119">
        <v>468</v>
      </c>
      <c r="B476" s="119" t="s">
        <v>721</v>
      </c>
      <c r="C476" s="119" t="s">
        <v>983</v>
      </c>
      <c r="D476" s="119" t="s">
        <v>984</v>
      </c>
      <c r="E476" s="119" t="s">
        <v>87</v>
      </c>
      <c r="F476" s="120">
        <v>1</v>
      </c>
      <c r="G476" s="120">
        <v>222300</v>
      </c>
    </row>
    <row r="477" spans="1:7" ht="15.75">
      <c r="A477" s="119">
        <v>469</v>
      </c>
      <c r="B477" s="119" t="s">
        <v>623</v>
      </c>
      <c r="C477" s="119" t="s">
        <v>621</v>
      </c>
      <c r="D477" s="119" t="s">
        <v>622</v>
      </c>
      <c r="E477" s="119" t="s">
        <v>87</v>
      </c>
      <c r="F477" s="120">
        <v>1</v>
      </c>
      <c r="G477" s="120">
        <v>222300</v>
      </c>
    </row>
    <row r="478" spans="1:7" ht="15.75">
      <c r="A478" s="119">
        <v>470</v>
      </c>
      <c r="B478" s="119" t="s">
        <v>556</v>
      </c>
      <c r="C478" s="119" t="s">
        <v>554</v>
      </c>
      <c r="D478" s="119" t="s">
        <v>555</v>
      </c>
      <c r="E478" s="119" t="s">
        <v>87</v>
      </c>
      <c r="F478" s="120">
        <v>1</v>
      </c>
      <c r="G478" s="120">
        <v>222300</v>
      </c>
    </row>
    <row r="479" spans="1:7" ht="15.75">
      <c r="A479" s="119">
        <v>471</v>
      </c>
      <c r="B479" s="119" t="s">
        <v>707</v>
      </c>
      <c r="C479" s="119" t="s">
        <v>706</v>
      </c>
      <c r="D479" s="119" t="s">
        <v>536</v>
      </c>
      <c r="E479" s="119" t="s">
        <v>86</v>
      </c>
      <c r="F479" s="120">
        <v>1</v>
      </c>
      <c r="G479" s="120">
        <v>250000</v>
      </c>
    </row>
    <row r="480" spans="1:7" ht="15.75">
      <c r="A480" s="119">
        <v>472</v>
      </c>
      <c r="B480" s="119" t="s">
        <v>637</v>
      </c>
      <c r="C480" s="119" t="s">
        <v>635</v>
      </c>
      <c r="D480" s="119" t="s">
        <v>636</v>
      </c>
      <c r="E480" s="119" t="s">
        <v>87</v>
      </c>
      <c r="F480" s="120">
        <v>1</v>
      </c>
      <c r="G480" s="120">
        <v>222300</v>
      </c>
    </row>
    <row r="481" spans="1:7" ht="15.75">
      <c r="A481" s="119">
        <v>473</v>
      </c>
      <c r="B481" s="119" t="s">
        <v>738</v>
      </c>
      <c r="C481" s="119" t="s">
        <v>736</v>
      </c>
      <c r="D481" s="119" t="s">
        <v>737</v>
      </c>
      <c r="E481" s="119" t="s">
        <v>87</v>
      </c>
      <c r="F481" s="120">
        <v>1</v>
      </c>
      <c r="G481" s="120">
        <v>222300</v>
      </c>
    </row>
    <row r="482" spans="1:7" ht="15.75">
      <c r="A482" s="119">
        <v>474</v>
      </c>
      <c r="B482" s="119" t="s">
        <v>774</v>
      </c>
      <c r="C482" s="119" t="s">
        <v>773</v>
      </c>
      <c r="D482" s="119" t="s">
        <v>102</v>
      </c>
      <c r="E482" s="119" t="s">
        <v>87</v>
      </c>
      <c r="F482" s="120">
        <v>1</v>
      </c>
      <c r="G482" s="120">
        <v>222300</v>
      </c>
    </row>
    <row r="483" spans="1:7" ht="15.75">
      <c r="A483" s="119">
        <v>475</v>
      </c>
      <c r="B483" s="119" t="s">
        <v>646</v>
      </c>
      <c r="C483" s="119" t="s">
        <v>645</v>
      </c>
      <c r="D483" s="119" t="s">
        <v>117</v>
      </c>
      <c r="E483" s="119" t="s">
        <v>87</v>
      </c>
      <c r="F483" s="120">
        <v>1</v>
      </c>
      <c r="G483" s="120">
        <v>222300</v>
      </c>
    </row>
    <row r="484" spans="1:7" ht="15.75">
      <c r="A484" s="119">
        <v>476</v>
      </c>
      <c r="B484" s="119" t="s">
        <v>828</v>
      </c>
      <c r="C484" s="119" t="s">
        <v>826</v>
      </c>
      <c r="D484" s="119" t="s">
        <v>827</v>
      </c>
      <c r="E484" s="119" t="s">
        <v>87</v>
      </c>
      <c r="F484" s="120">
        <v>1</v>
      </c>
      <c r="G484" s="120">
        <v>600000</v>
      </c>
    </row>
    <row r="485" spans="1:7" ht="15.75">
      <c r="A485" s="119">
        <v>477</v>
      </c>
      <c r="B485" s="119" t="s">
        <v>835</v>
      </c>
      <c r="C485" s="119" t="s">
        <v>826</v>
      </c>
      <c r="D485" s="119" t="s">
        <v>827</v>
      </c>
      <c r="E485" s="119" t="s">
        <v>87</v>
      </c>
      <c r="F485" s="120">
        <v>1</v>
      </c>
      <c r="G485" s="120">
        <v>222300</v>
      </c>
    </row>
    <row r="486" spans="1:7" ht="15.75">
      <c r="A486" s="119">
        <v>478</v>
      </c>
      <c r="B486" s="119" t="s">
        <v>509</v>
      </c>
      <c r="C486" s="119" t="s">
        <v>298</v>
      </c>
      <c r="D486" s="119" t="s">
        <v>107</v>
      </c>
      <c r="E486" s="119" t="s">
        <v>87</v>
      </c>
      <c r="F486" s="120">
        <v>1</v>
      </c>
      <c r="G486" s="120">
        <v>222300</v>
      </c>
    </row>
    <row r="487" spans="1:7" ht="15.75">
      <c r="A487" s="119">
        <v>479</v>
      </c>
      <c r="B487" s="119" t="s">
        <v>735</v>
      </c>
      <c r="C487" s="119" t="s">
        <v>157</v>
      </c>
      <c r="D487" s="119" t="s">
        <v>123</v>
      </c>
      <c r="E487" s="119" t="s">
        <v>87</v>
      </c>
      <c r="F487" s="120">
        <v>1</v>
      </c>
      <c r="G487" s="120">
        <v>222300</v>
      </c>
    </row>
    <row r="488" spans="1:7" ht="15.75">
      <c r="A488" s="119">
        <v>480</v>
      </c>
      <c r="B488" s="119" t="s">
        <v>1021</v>
      </c>
      <c r="C488" s="119" t="s">
        <v>896</v>
      </c>
      <c r="D488" s="119" t="s">
        <v>154</v>
      </c>
      <c r="E488" s="119" t="s">
        <v>90</v>
      </c>
      <c r="F488" s="120">
        <v>1</v>
      </c>
      <c r="G488" s="120">
        <v>269200</v>
      </c>
    </row>
    <row r="489" spans="1:7" ht="15.75">
      <c r="A489" s="119">
        <v>481</v>
      </c>
      <c r="B489" s="119" t="s">
        <v>814</v>
      </c>
      <c r="C489" s="119" t="s">
        <v>812</v>
      </c>
      <c r="D489" s="119" t="s">
        <v>813</v>
      </c>
      <c r="E489" s="119" t="s">
        <v>87</v>
      </c>
      <c r="F489" s="120">
        <v>1</v>
      </c>
      <c r="G489" s="120">
        <v>222300</v>
      </c>
    </row>
    <row r="490" spans="1:7" ht="15.75">
      <c r="A490" s="119">
        <v>482</v>
      </c>
      <c r="B490" s="119" t="s">
        <v>553</v>
      </c>
      <c r="C490" s="119" t="s">
        <v>548</v>
      </c>
      <c r="D490" s="119" t="s">
        <v>549</v>
      </c>
      <c r="E490" s="119" t="s">
        <v>89</v>
      </c>
      <c r="F490" s="120">
        <v>1</v>
      </c>
      <c r="G490" s="120">
        <v>341800</v>
      </c>
    </row>
    <row r="491" spans="1:7" ht="15.75">
      <c r="A491" s="119">
        <v>483</v>
      </c>
      <c r="B491" s="119" t="s">
        <v>982</v>
      </c>
      <c r="C491" s="119" t="s">
        <v>980</v>
      </c>
      <c r="D491" s="119" t="s">
        <v>981</v>
      </c>
      <c r="E491" s="119" t="s">
        <v>87</v>
      </c>
      <c r="F491" s="120">
        <v>1</v>
      </c>
      <c r="G491" s="120">
        <v>222300</v>
      </c>
    </row>
    <row r="492" spans="1:7" ht="15.75">
      <c r="A492" s="119">
        <v>484</v>
      </c>
      <c r="B492" s="119" t="s">
        <v>580</v>
      </c>
      <c r="C492" s="119" t="s">
        <v>579</v>
      </c>
      <c r="D492" s="119" t="s">
        <v>96</v>
      </c>
      <c r="E492" s="119" t="s">
        <v>87</v>
      </c>
      <c r="F492" s="120">
        <v>1</v>
      </c>
      <c r="G492" s="120">
        <v>222300</v>
      </c>
    </row>
    <row r="493" spans="1:7" ht="15.75">
      <c r="A493" s="119">
        <v>485</v>
      </c>
      <c r="B493" s="119" t="s">
        <v>819</v>
      </c>
      <c r="C493" s="119" t="s">
        <v>817</v>
      </c>
      <c r="D493" s="119" t="s">
        <v>818</v>
      </c>
      <c r="E493" s="119" t="s">
        <v>87</v>
      </c>
      <c r="F493" s="120">
        <v>1</v>
      </c>
      <c r="G493" s="120">
        <v>222300</v>
      </c>
    </row>
    <row r="494" spans="1:7" ht="15.75">
      <c r="A494" s="119">
        <v>486</v>
      </c>
      <c r="B494" s="119" t="s">
        <v>932</v>
      </c>
      <c r="C494" s="119" t="s">
        <v>929</v>
      </c>
      <c r="D494" s="119" t="s">
        <v>930</v>
      </c>
      <c r="E494" s="119" t="s">
        <v>90</v>
      </c>
      <c r="F494" s="120">
        <v>1</v>
      </c>
      <c r="G494" s="120">
        <v>269200</v>
      </c>
    </row>
    <row r="495" spans="1:7" ht="15.75">
      <c r="A495" s="119">
        <v>487</v>
      </c>
      <c r="B495" s="119" t="s">
        <v>767</v>
      </c>
      <c r="C495" s="119" t="s">
        <v>766</v>
      </c>
      <c r="D495" s="119" t="s">
        <v>98</v>
      </c>
      <c r="E495" s="119" t="s">
        <v>87</v>
      </c>
      <c r="F495" s="120">
        <v>1</v>
      </c>
      <c r="G495" s="120">
        <v>222300</v>
      </c>
    </row>
    <row r="496" spans="1:7" ht="15.75">
      <c r="A496" s="119">
        <v>488</v>
      </c>
      <c r="B496" s="119" t="s">
        <v>650</v>
      </c>
      <c r="C496" s="119" t="s">
        <v>648</v>
      </c>
      <c r="D496" s="119" t="s">
        <v>649</v>
      </c>
      <c r="E496" s="119" t="s">
        <v>87</v>
      </c>
      <c r="F496" s="120">
        <v>1</v>
      </c>
      <c r="G496" s="120">
        <v>222300</v>
      </c>
    </row>
    <row r="497" spans="1:7" ht="15.75">
      <c r="A497" s="119">
        <v>489</v>
      </c>
      <c r="B497" s="119" t="s">
        <v>1024</v>
      </c>
      <c r="C497" s="119" t="s">
        <v>273</v>
      </c>
      <c r="D497" s="119" t="s">
        <v>104</v>
      </c>
      <c r="E497" s="119" t="s">
        <v>87</v>
      </c>
      <c r="F497" s="120">
        <v>1</v>
      </c>
      <c r="G497" s="120">
        <v>111150</v>
      </c>
    </row>
    <row r="498" spans="1:7" ht="15.75">
      <c r="A498" s="119">
        <v>490</v>
      </c>
      <c r="B498" s="119" t="s">
        <v>734</v>
      </c>
      <c r="C498" s="119" t="s">
        <v>733</v>
      </c>
      <c r="D498" s="119" t="s">
        <v>97</v>
      </c>
      <c r="E498" s="119" t="s">
        <v>87</v>
      </c>
      <c r="F498" s="120">
        <v>1</v>
      </c>
      <c r="G498" s="120">
        <v>222300</v>
      </c>
    </row>
    <row r="499" spans="1:7" ht="15.75">
      <c r="A499" s="119">
        <v>491</v>
      </c>
      <c r="B499" s="119" t="s">
        <v>796</v>
      </c>
      <c r="C499" s="119" t="s">
        <v>792</v>
      </c>
      <c r="D499" s="119" t="s">
        <v>793</v>
      </c>
      <c r="E499" s="119" t="s">
        <v>89</v>
      </c>
      <c r="F499" s="120">
        <v>1</v>
      </c>
      <c r="G499" s="120">
        <v>341800</v>
      </c>
    </row>
    <row r="500" spans="1:7" ht="15.75">
      <c r="A500" s="119">
        <v>492</v>
      </c>
      <c r="B500" s="119" t="s">
        <v>511</v>
      </c>
      <c r="C500" s="119" t="s">
        <v>298</v>
      </c>
      <c r="D500" s="119" t="s">
        <v>107</v>
      </c>
      <c r="E500" s="119" t="s">
        <v>87</v>
      </c>
      <c r="F500" s="120">
        <v>1</v>
      </c>
      <c r="G500" s="120">
        <v>222300</v>
      </c>
    </row>
    <row r="501" spans="1:7" ht="15.75">
      <c r="A501" s="119">
        <v>493</v>
      </c>
      <c r="B501" s="119" t="s">
        <v>511</v>
      </c>
      <c r="C501" s="119" t="s">
        <v>542</v>
      </c>
      <c r="D501" s="119" t="s">
        <v>543</v>
      </c>
      <c r="E501" s="119" t="s">
        <v>87</v>
      </c>
      <c r="F501" s="120">
        <v>1</v>
      </c>
      <c r="G501" s="120">
        <v>222300</v>
      </c>
    </row>
    <row r="502" spans="1:7" ht="15.75">
      <c r="A502" s="119">
        <v>494</v>
      </c>
      <c r="B502" s="119" t="s">
        <v>511</v>
      </c>
      <c r="C502" s="119" t="s">
        <v>548</v>
      </c>
      <c r="D502" s="119" t="s">
        <v>549</v>
      </c>
      <c r="E502" s="119" t="s">
        <v>89</v>
      </c>
      <c r="F502" s="120">
        <v>1</v>
      </c>
      <c r="G502" s="120">
        <v>341800</v>
      </c>
    </row>
    <row r="503" spans="1:7" ht="15.75">
      <c r="A503" s="119">
        <v>495</v>
      </c>
      <c r="B503" s="119" t="s">
        <v>511</v>
      </c>
      <c r="C503" s="119" t="s">
        <v>554</v>
      </c>
      <c r="D503" s="119" t="s">
        <v>555</v>
      </c>
      <c r="E503" s="119" t="s">
        <v>89</v>
      </c>
      <c r="F503" s="120">
        <v>1</v>
      </c>
      <c r="G503" s="120">
        <v>341800</v>
      </c>
    </row>
    <row r="504" spans="1:7" ht="15.75">
      <c r="A504" s="119">
        <v>496</v>
      </c>
      <c r="B504" s="119" t="s">
        <v>511</v>
      </c>
      <c r="C504" s="119" t="s">
        <v>594</v>
      </c>
      <c r="D504" s="119" t="s">
        <v>131</v>
      </c>
      <c r="E504" s="119" t="s">
        <v>86</v>
      </c>
      <c r="F504" s="120">
        <v>1</v>
      </c>
      <c r="G504" s="120">
        <v>229200</v>
      </c>
    </row>
    <row r="505" spans="1:7" ht="15.75">
      <c r="A505" s="119">
        <v>497</v>
      </c>
      <c r="B505" s="119" t="s">
        <v>511</v>
      </c>
      <c r="C505" s="119" t="s">
        <v>635</v>
      </c>
      <c r="D505" s="119" t="s">
        <v>636</v>
      </c>
      <c r="E505" s="119" t="s">
        <v>87</v>
      </c>
      <c r="F505" s="120">
        <v>1</v>
      </c>
      <c r="G505" s="120">
        <v>222300</v>
      </c>
    </row>
    <row r="506" spans="1:7" ht="15.75">
      <c r="A506" s="119">
        <v>498</v>
      </c>
      <c r="B506" s="119" t="s">
        <v>511</v>
      </c>
      <c r="C506" s="119" t="s">
        <v>645</v>
      </c>
      <c r="D506" s="119" t="s">
        <v>117</v>
      </c>
      <c r="E506" s="119" t="s">
        <v>87</v>
      </c>
      <c r="F506" s="120">
        <v>1</v>
      </c>
      <c r="G506" s="120">
        <v>222300</v>
      </c>
    </row>
    <row r="507" spans="1:7" ht="15.75">
      <c r="A507" s="119">
        <v>499</v>
      </c>
      <c r="B507" s="119" t="s">
        <v>511</v>
      </c>
      <c r="C507" s="119" t="s">
        <v>671</v>
      </c>
      <c r="D507" s="119" t="s">
        <v>672</v>
      </c>
      <c r="E507" s="119" t="s">
        <v>87</v>
      </c>
      <c r="F507" s="120">
        <v>1</v>
      </c>
      <c r="G507" s="120">
        <v>222300</v>
      </c>
    </row>
    <row r="508" spans="1:7" ht="15.75">
      <c r="A508" s="119">
        <v>500</v>
      </c>
      <c r="B508" s="119" t="s">
        <v>511</v>
      </c>
      <c r="C508" s="119" t="s">
        <v>245</v>
      </c>
      <c r="D508" s="119" t="s">
        <v>158</v>
      </c>
      <c r="E508" s="119" t="s">
        <v>87</v>
      </c>
      <c r="F508" s="120">
        <v>1</v>
      </c>
      <c r="G508" s="120">
        <v>222300</v>
      </c>
    </row>
    <row r="509" spans="1:7" ht="15.75">
      <c r="A509" s="119">
        <v>501</v>
      </c>
      <c r="B509" s="119" t="s">
        <v>511</v>
      </c>
      <c r="C509" s="119" t="s">
        <v>715</v>
      </c>
      <c r="D509" s="119" t="s">
        <v>716</v>
      </c>
      <c r="E509" s="119" t="s">
        <v>86</v>
      </c>
      <c r="F509" s="120">
        <v>1</v>
      </c>
      <c r="G509" s="120">
        <v>229200</v>
      </c>
    </row>
    <row r="510" spans="1:7" ht="15.75">
      <c r="A510" s="119">
        <v>502</v>
      </c>
      <c r="B510" s="119" t="s">
        <v>511</v>
      </c>
      <c r="C510" s="119" t="s">
        <v>719</v>
      </c>
      <c r="D510" s="119" t="s">
        <v>720</v>
      </c>
      <c r="E510" s="119" t="s">
        <v>87</v>
      </c>
      <c r="F510" s="120">
        <v>1</v>
      </c>
      <c r="G510" s="120">
        <v>222300</v>
      </c>
    </row>
    <row r="511" spans="1:7" ht="15.75">
      <c r="A511" s="119">
        <v>503</v>
      </c>
      <c r="B511" s="119" t="s">
        <v>511</v>
      </c>
      <c r="C511" s="119" t="s">
        <v>733</v>
      </c>
      <c r="D511" s="119" t="s">
        <v>97</v>
      </c>
      <c r="E511" s="119" t="s">
        <v>90</v>
      </c>
      <c r="F511" s="120">
        <v>1</v>
      </c>
      <c r="G511" s="120">
        <v>269200</v>
      </c>
    </row>
    <row r="512" spans="1:7" ht="15.75">
      <c r="A512" s="119">
        <v>504</v>
      </c>
      <c r="B512" s="119" t="s">
        <v>511</v>
      </c>
      <c r="C512" s="119" t="s">
        <v>736</v>
      </c>
      <c r="D512" s="119" t="s">
        <v>737</v>
      </c>
      <c r="E512" s="119" t="s">
        <v>88</v>
      </c>
      <c r="F512" s="120">
        <v>1</v>
      </c>
      <c r="G512" s="120">
        <v>301600</v>
      </c>
    </row>
    <row r="513" spans="1:7" ht="15.75">
      <c r="A513" s="119">
        <v>505</v>
      </c>
      <c r="B513" s="119" t="s">
        <v>511</v>
      </c>
      <c r="C513" s="119" t="s">
        <v>749</v>
      </c>
      <c r="D513" s="119" t="s">
        <v>750</v>
      </c>
      <c r="E513" s="119" t="s">
        <v>87</v>
      </c>
      <c r="F513" s="120">
        <v>1</v>
      </c>
      <c r="G513" s="120">
        <v>222300</v>
      </c>
    </row>
    <row r="514" spans="1:7" ht="15.75">
      <c r="A514" s="119">
        <v>506</v>
      </c>
      <c r="B514" s="119" t="s">
        <v>511</v>
      </c>
      <c r="C514" s="119" t="s">
        <v>769</v>
      </c>
      <c r="D514" s="119" t="s">
        <v>770</v>
      </c>
      <c r="E514" s="119" t="s">
        <v>87</v>
      </c>
      <c r="F514" s="120">
        <v>1</v>
      </c>
      <c r="G514" s="120">
        <v>222300</v>
      </c>
    </row>
    <row r="515" spans="1:7" ht="15.75">
      <c r="A515" s="119">
        <v>507</v>
      </c>
      <c r="B515" s="119" t="s">
        <v>511</v>
      </c>
      <c r="C515" s="119" t="s">
        <v>773</v>
      </c>
      <c r="D515" s="119" t="s">
        <v>102</v>
      </c>
      <c r="E515" s="119" t="s">
        <v>87</v>
      </c>
      <c r="F515" s="120">
        <v>1</v>
      </c>
      <c r="G515" s="120">
        <v>222300</v>
      </c>
    </row>
    <row r="516" spans="1:7" ht="15.75">
      <c r="A516" s="119">
        <v>508</v>
      </c>
      <c r="B516" s="119" t="s">
        <v>511</v>
      </c>
      <c r="C516" s="119" t="s">
        <v>838</v>
      </c>
      <c r="D516" s="119" t="s">
        <v>839</v>
      </c>
      <c r="E516" s="119" t="s">
        <v>89</v>
      </c>
      <c r="F516" s="120">
        <v>1</v>
      </c>
      <c r="G516" s="120">
        <v>341800</v>
      </c>
    </row>
    <row r="517" spans="1:7" ht="15.75">
      <c r="A517" s="119">
        <v>509</v>
      </c>
      <c r="B517" s="119" t="s">
        <v>511</v>
      </c>
      <c r="C517" s="119" t="s">
        <v>958</v>
      </c>
      <c r="D517" s="119" t="s">
        <v>959</v>
      </c>
      <c r="E517" s="119" t="s">
        <v>87</v>
      </c>
      <c r="F517" s="120">
        <v>1</v>
      </c>
      <c r="G517" s="120">
        <v>222300</v>
      </c>
    </row>
    <row r="518" spans="1:7" ht="15.75">
      <c r="A518" s="119">
        <v>510</v>
      </c>
      <c r="B518" s="119" t="s">
        <v>511</v>
      </c>
      <c r="C518" s="119" t="s">
        <v>983</v>
      </c>
      <c r="D518" s="119" t="s">
        <v>984</v>
      </c>
      <c r="E518" s="119" t="s">
        <v>87</v>
      </c>
      <c r="F518" s="120">
        <v>1</v>
      </c>
      <c r="G518" s="120">
        <v>222300</v>
      </c>
    </row>
    <row r="519" spans="1:7" ht="15.75">
      <c r="A519" s="119">
        <v>511</v>
      </c>
      <c r="B519" s="119" t="s">
        <v>511</v>
      </c>
      <c r="C519" s="119" t="s">
        <v>985</v>
      </c>
      <c r="D519" s="119" t="s">
        <v>160</v>
      </c>
      <c r="E519" s="119" t="s">
        <v>87</v>
      </c>
      <c r="F519" s="120">
        <v>1</v>
      </c>
      <c r="G519" s="120">
        <v>222300</v>
      </c>
    </row>
    <row r="520" spans="1:7" ht="15.75">
      <c r="A520" s="119">
        <v>512</v>
      </c>
      <c r="B520" s="119" t="s">
        <v>511</v>
      </c>
      <c r="C520" s="119" t="s">
        <v>674</v>
      </c>
      <c r="D520" s="119" t="s">
        <v>675</v>
      </c>
      <c r="E520" s="119" t="s">
        <v>90</v>
      </c>
      <c r="F520" s="120">
        <v>1</v>
      </c>
      <c r="G520" s="120">
        <v>269200</v>
      </c>
    </row>
    <row r="521" spans="1:7" ht="15.75">
      <c r="A521" s="119">
        <v>513</v>
      </c>
      <c r="B521" s="119" t="s">
        <v>511</v>
      </c>
      <c r="C521" s="119" t="s">
        <v>1004</v>
      </c>
      <c r="D521" s="119" t="s">
        <v>136</v>
      </c>
      <c r="E521" s="119" t="s">
        <v>87</v>
      </c>
      <c r="F521" s="120">
        <v>1</v>
      </c>
      <c r="G521" s="120">
        <v>222300</v>
      </c>
    </row>
    <row r="522" spans="1:7" ht="15.75">
      <c r="A522" s="119">
        <v>514</v>
      </c>
      <c r="B522" s="119" t="s">
        <v>511</v>
      </c>
      <c r="C522" s="119" t="s">
        <v>896</v>
      </c>
      <c r="D522" s="119" t="s">
        <v>154</v>
      </c>
      <c r="E522" s="119" t="s">
        <v>90</v>
      </c>
      <c r="F522" s="120">
        <v>1</v>
      </c>
      <c r="G522" s="120">
        <v>269200</v>
      </c>
    </row>
    <row r="523" spans="1:7" ht="15.75">
      <c r="A523" s="119">
        <v>515</v>
      </c>
      <c r="B523" s="119" t="s">
        <v>511</v>
      </c>
      <c r="C523" s="119" t="s">
        <v>925</v>
      </c>
      <c r="D523" s="119" t="s">
        <v>100</v>
      </c>
      <c r="E523" s="119" t="s">
        <v>90</v>
      </c>
      <c r="F523" s="120">
        <v>1</v>
      </c>
      <c r="G523" s="120">
        <v>269200</v>
      </c>
    </row>
    <row r="524" spans="1:7" ht="15.75">
      <c r="A524" s="119">
        <v>516</v>
      </c>
      <c r="B524" s="119" t="s">
        <v>511</v>
      </c>
      <c r="C524" s="119" t="s">
        <v>222</v>
      </c>
      <c r="D524" s="119" t="s">
        <v>100</v>
      </c>
      <c r="E524" s="119" t="s">
        <v>90</v>
      </c>
      <c r="F524" s="120">
        <v>1</v>
      </c>
      <c r="G524" s="120">
        <v>269200</v>
      </c>
    </row>
    <row r="525" spans="1:7" ht="15.75">
      <c r="A525" s="119">
        <v>517</v>
      </c>
      <c r="B525" s="119" t="s">
        <v>511</v>
      </c>
      <c r="C525" s="119" t="s">
        <v>273</v>
      </c>
      <c r="D525" s="119" t="s">
        <v>104</v>
      </c>
      <c r="E525" s="119" t="s">
        <v>88</v>
      </c>
      <c r="F525" s="120">
        <v>1</v>
      </c>
      <c r="G525" s="120">
        <v>301600</v>
      </c>
    </row>
    <row r="526" spans="1:7" ht="15.75">
      <c r="A526" s="119">
        <v>518</v>
      </c>
      <c r="B526" s="119" t="s">
        <v>511</v>
      </c>
      <c r="C526" s="119" t="s">
        <v>987</v>
      </c>
      <c r="D526" s="119" t="s">
        <v>128</v>
      </c>
      <c r="E526" s="119" t="s">
        <v>89</v>
      </c>
      <c r="F526" s="120">
        <v>1</v>
      </c>
      <c r="G526" s="120">
        <v>341800</v>
      </c>
    </row>
    <row r="527" spans="1:7" ht="15.75">
      <c r="A527" s="119">
        <v>519</v>
      </c>
      <c r="B527" s="119" t="s">
        <v>868</v>
      </c>
      <c r="C527" s="119" t="s">
        <v>867</v>
      </c>
      <c r="D527" s="119" t="s">
        <v>161</v>
      </c>
      <c r="E527" s="119" t="s">
        <v>87</v>
      </c>
      <c r="F527" s="120">
        <v>1</v>
      </c>
      <c r="G527" s="120">
        <v>222300</v>
      </c>
    </row>
    <row r="528" spans="1:7" ht="15.75">
      <c r="A528" s="119">
        <v>520</v>
      </c>
      <c r="B528" s="119" t="s">
        <v>779</v>
      </c>
      <c r="C528" s="119" t="s">
        <v>778</v>
      </c>
      <c r="D528" s="119" t="s">
        <v>117</v>
      </c>
      <c r="E528" s="119" t="s">
        <v>87</v>
      </c>
      <c r="F528" s="120">
        <v>1</v>
      </c>
      <c r="G528" s="120">
        <v>222300</v>
      </c>
    </row>
    <row r="529" spans="1:7" ht="15.75">
      <c r="A529" s="119">
        <v>521</v>
      </c>
      <c r="B529" s="119" t="s">
        <v>944</v>
      </c>
      <c r="C529" s="119" t="s">
        <v>943</v>
      </c>
      <c r="D529" s="119" t="s">
        <v>120</v>
      </c>
      <c r="E529" s="119" t="s">
        <v>87</v>
      </c>
      <c r="F529" s="120">
        <v>1</v>
      </c>
      <c r="G529" s="120">
        <v>222300</v>
      </c>
    </row>
    <row r="530" spans="1:7" ht="15.75">
      <c r="A530" s="119">
        <v>522</v>
      </c>
      <c r="B530" s="119" t="s">
        <v>726</v>
      </c>
      <c r="C530" s="119" t="s">
        <v>238</v>
      </c>
      <c r="D530" s="119" t="s">
        <v>725</v>
      </c>
      <c r="E530" s="119" t="s">
        <v>87</v>
      </c>
      <c r="F530" s="120">
        <v>1</v>
      </c>
      <c r="G530" s="120">
        <v>222300</v>
      </c>
    </row>
    <row r="531" spans="1:7" ht="15.75">
      <c r="A531" s="119">
        <v>523</v>
      </c>
      <c r="B531" s="119" t="s">
        <v>726</v>
      </c>
      <c r="C531" s="119" t="s">
        <v>396</v>
      </c>
      <c r="D531" s="119" t="s">
        <v>103</v>
      </c>
      <c r="E531" s="119" t="s">
        <v>87</v>
      </c>
      <c r="F531" s="120">
        <v>1</v>
      </c>
      <c r="G531" s="120">
        <v>222300</v>
      </c>
    </row>
    <row r="532" spans="1:7" ht="15.75">
      <c r="A532" s="119">
        <v>524</v>
      </c>
      <c r="B532" s="119" t="s">
        <v>743</v>
      </c>
      <c r="C532" s="119" t="s">
        <v>157</v>
      </c>
      <c r="D532" s="119" t="s">
        <v>123</v>
      </c>
      <c r="E532" s="119" t="s">
        <v>88</v>
      </c>
      <c r="F532" s="120">
        <v>1</v>
      </c>
      <c r="G532" s="120">
        <v>301600</v>
      </c>
    </row>
    <row r="533" spans="1:7" ht="15.75">
      <c r="A533" s="119">
        <v>525</v>
      </c>
      <c r="B533" s="119" t="s">
        <v>923</v>
      </c>
      <c r="C533" s="119" t="s">
        <v>920</v>
      </c>
      <c r="D533" s="119" t="s">
        <v>921</v>
      </c>
      <c r="E533" s="119" t="s">
        <v>87</v>
      </c>
      <c r="F533" s="120">
        <v>1</v>
      </c>
      <c r="G533" s="120">
        <v>222300</v>
      </c>
    </row>
    <row r="534" spans="1:7" ht="15.75">
      <c r="A534" s="119">
        <v>526</v>
      </c>
      <c r="B534" s="119" t="s">
        <v>1000</v>
      </c>
      <c r="C534" s="119" t="s">
        <v>579</v>
      </c>
      <c r="D534" s="119" t="s">
        <v>96</v>
      </c>
      <c r="E534" s="119" t="s">
        <v>90</v>
      </c>
      <c r="F534" s="120">
        <v>1</v>
      </c>
      <c r="G534" s="120">
        <v>269200</v>
      </c>
    </row>
    <row r="535" spans="1:7" ht="15.75">
      <c r="A535" s="119">
        <v>527</v>
      </c>
      <c r="B535" s="119" t="s">
        <v>624</v>
      </c>
      <c r="C535" s="119" t="s">
        <v>621</v>
      </c>
      <c r="D535" s="119" t="s">
        <v>622</v>
      </c>
      <c r="E535" s="119" t="s">
        <v>90</v>
      </c>
      <c r="F535" s="120">
        <v>1</v>
      </c>
      <c r="G535" s="120">
        <v>269200</v>
      </c>
    </row>
    <row r="536" spans="1:7" ht="15.75">
      <c r="A536" s="119">
        <v>528</v>
      </c>
      <c r="B536" s="119" t="s">
        <v>997</v>
      </c>
      <c r="C536" s="119" t="s">
        <v>994</v>
      </c>
      <c r="D536" s="119" t="s">
        <v>995</v>
      </c>
      <c r="E536" s="119" t="s">
        <v>89</v>
      </c>
      <c r="F536" s="120">
        <v>1</v>
      </c>
      <c r="G536" s="120">
        <v>341800</v>
      </c>
    </row>
    <row r="537" spans="1:7" ht="15.75">
      <c r="A537" s="119">
        <v>529</v>
      </c>
      <c r="B537" s="119" t="s">
        <v>978</v>
      </c>
      <c r="C537" s="119" t="s">
        <v>976</v>
      </c>
      <c r="D537" s="119" t="s">
        <v>977</v>
      </c>
      <c r="E537" s="119" t="s">
        <v>87</v>
      </c>
      <c r="F537" s="120">
        <v>1</v>
      </c>
      <c r="G537" s="120">
        <v>222300</v>
      </c>
    </row>
    <row r="538" spans="1:7" ht="15.75">
      <c r="A538" s="119">
        <v>530</v>
      </c>
      <c r="B538" s="119" t="s">
        <v>899</v>
      </c>
      <c r="C538" s="119" t="s">
        <v>898</v>
      </c>
      <c r="D538" s="119" t="s">
        <v>108</v>
      </c>
      <c r="E538" s="119" t="s">
        <v>87</v>
      </c>
      <c r="F538" s="120">
        <v>1</v>
      </c>
      <c r="G538" s="120">
        <v>222300</v>
      </c>
    </row>
    <row r="539" spans="1:7" ht="15.75">
      <c r="A539" s="119">
        <v>531</v>
      </c>
      <c r="B539" s="119" t="s">
        <v>768</v>
      </c>
      <c r="C539" s="119" t="s">
        <v>766</v>
      </c>
      <c r="D539" s="119" t="s">
        <v>98</v>
      </c>
      <c r="E539" s="119" t="s">
        <v>87</v>
      </c>
      <c r="F539" s="120">
        <v>1</v>
      </c>
      <c r="G539" s="120">
        <v>222300</v>
      </c>
    </row>
    <row r="540" spans="1:7" ht="15.75">
      <c r="A540" s="119">
        <v>532</v>
      </c>
      <c r="B540" s="119" t="s">
        <v>508</v>
      </c>
      <c r="C540" s="119" t="s">
        <v>504</v>
      </c>
      <c r="D540" s="119" t="s">
        <v>505</v>
      </c>
      <c r="E540" s="119" t="s">
        <v>87</v>
      </c>
      <c r="F540" s="120">
        <v>1</v>
      </c>
      <c r="G540" s="120">
        <v>222300</v>
      </c>
    </row>
    <row r="541" spans="1:7" ht="15.75">
      <c r="A541" s="119">
        <v>533</v>
      </c>
      <c r="B541" s="119" t="s">
        <v>816</v>
      </c>
      <c r="C541" s="119" t="s">
        <v>812</v>
      </c>
      <c r="D541" s="119" t="s">
        <v>813</v>
      </c>
      <c r="E541" s="119" t="s">
        <v>90</v>
      </c>
      <c r="F541" s="120">
        <v>1</v>
      </c>
      <c r="G541" s="120">
        <v>269200</v>
      </c>
    </row>
    <row r="542" spans="1:7" ht="15.75">
      <c r="A542" s="119">
        <v>534</v>
      </c>
      <c r="B542" s="119" t="s">
        <v>816</v>
      </c>
      <c r="C542" s="119" t="s">
        <v>980</v>
      </c>
      <c r="D542" s="119" t="s">
        <v>981</v>
      </c>
      <c r="E542" s="119" t="s">
        <v>90</v>
      </c>
      <c r="F542" s="120">
        <v>1</v>
      </c>
      <c r="G542" s="120">
        <v>269200</v>
      </c>
    </row>
    <row r="543" spans="1:7" ht="15.75">
      <c r="A543" s="119">
        <v>535</v>
      </c>
      <c r="B543" s="119" t="s">
        <v>820</v>
      </c>
      <c r="C543" s="119" t="s">
        <v>817</v>
      </c>
      <c r="D543" s="119" t="s">
        <v>818</v>
      </c>
      <c r="E543" s="119" t="s">
        <v>90</v>
      </c>
      <c r="F543" s="120">
        <v>1</v>
      </c>
      <c r="G543" s="120">
        <v>269200</v>
      </c>
    </row>
    <row r="544" spans="1:7" ht="15.75">
      <c r="A544" s="119">
        <v>536</v>
      </c>
      <c r="B544" s="119" t="s">
        <v>895</v>
      </c>
      <c r="C544" s="119" t="s">
        <v>892</v>
      </c>
      <c r="D544" s="119" t="s">
        <v>893</v>
      </c>
      <c r="E544" s="119" t="s">
        <v>89</v>
      </c>
      <c r="F544" s="120">
        <v>1</v>
      </c>
      <c r="G544" s="120">
        <v>341800</v>
      </c>
    </row>
    <row r="545" spans="1:7" ht="15.75">
      <c r="A545" s="119">
        <v>537</v>
      </c>
      <c r="B545" s="119" t="s">
        <v>765</v>
      </c>
      <c r="C545" s="119" t="s">
        <v>763</v>
      </c>
      <c r="D545" s="119" t="s">
        <v>764</v>
      </c>
      <c r="E545" s="119" t="s">
        <v>87</v>
      </c>
      <c r="F545" s="120">
        <v>1</v>
      </c>
      <c r="G545" s="120">
        <v>222300</v>
      </c>
    </row>
    <row r="546" spans="1:7" ht="15.75">
      <c r="A546" s="119">
        <v>538</v>
      </c>
      <c r="B546" s="119" t="s">
        <v>506</v>
      </c>
      <c r="C546" s="119" t="s">
        <v>504</v>
      </c>
      <c r="D546" s="119" t="s">
        <v>505</v>
      </c>
      <c r="E546" s="119" t="s">
        <v>87</v>
      </c>
      <c r="F546" s="120">
        <v>1</v>
      </c>
      <c r="G546" s="120">
        <v>222300</v>
      </c>
    </row>
    <row r="547" spans="1:7" ht="15.75">
      <c r="A547" s="119">
        <v>539</v>
      </c>
      <c r="B547" s="119" t="s">
        <v>506</v>
      </c>
      <c r="C547" s="119" t="s">
        <v>298</v>
      </c>
      <c r="D547" s="119" t="s">
        <v>107</v>
      </c>
      <c r="E547" s="119" t="s">
        <v>87</v>
      </c>
      <c r="F547" s="120">
        <v>1</v>
      </c>
      <c r="G547" s="120">
        <v>222300</v>
      </c>
    </row>
    <row r="548" spans="1:7" ht="15.75">
      <c r="A548" s="119">
        <v>540</v>
      </c>
      <c r="B548" s="119" t="s">
        <v>506</v>
      </c>
      <c r="C548" s="119" t="s">
        <v>542</v>
      </c>
      <c r="D548" s="119" t="s">
        <v>543</v>
      </c>
      <c r="E548" s="119" t="s">
        <v>87</v>
      </c>
      <c r="F548" s="120">
        <v>1</v>
      </c>
      <c r="G548" s="120">
        <v>222300</v>
      </c>
    </row>
    <row r="549" spans="1:7" ht="15.75">
      <c r="A549" s="119">
        <v>541</v>
      </c>
      <c r="B549" s="119" t="s">
        <v>506</v>
      </c>
      <c r="C549" s="119" t="s">
        <v>554</v>
      </c>
      <c r="D549" s="119" t="s">
        <v>555</v>
      </c>
      <c r="E549" s="119" t="s">
        <v>89</v>
      </c>
      <c r="F549" s="120">
        <v>1</v>
      </c>
      <c r="G549" s="120">
        <v>341800</v>
      </c>
    </row>
    <row r="550" spans="1:7" ht="15.75">
      <c r="A550" s="119">
        <v>542</v>
      </c>
      <c r="B550" s="119" t="s">
        <v>506</v>
      </c>
      <c r="C550" s="119" t="s">
        <v>645</v>
      </c>
      <c r="D550" s="119" t="s">
        <v>117</v>
      </c>
      <c r="E550" s="119" t="s">
        <v>87</v>
      </c>
      <c r="F550" s="120">
        <v>1</v>
      </c>
      <c r="G550" s="120">
        <v>222300</v>
      </c>
    </row>
    <row r="551" spans="1:7" ht="15.75">
      <c r="A551" s="119">
        <v>543</v>
      </c>
      <c r="B551" s="119" t="s">
        <v>506</v>
      </c>
      <c r="C551" s="119" t="s">
        <v>715</v>
      </c>
      <c r="D551" s="119" t="s">
        <v>716</v>
      </c>
      <c r="E551" s="119" t="s">
        <v>86</v>
      </c>
      <c r="F551" s="120">
        <v>1</v>
      </c>
      <c r="G551" s="120">
        <v>229200</v>
      </c>
    </row>
    <row r="552" spans="1:7" ht="15.75">
      <c r="A552" s="119">
        <v>544</v>
      </c>
      <c r="B552" s="119" t="s">
        <v>506</v>
      </c>
      <c r="C552" s="119" t="s">
        <v>719</v>
      </c>
      <c r="D552" s="119" t="s">
        <v>720</v>
      </c>
      <c r="E552" s="119" t="s">
        <v>87</v>
      </c>
      <c r="F552" s="120">
        <v>1</v>
      </c>
      <c r="G552" s="120">
        <v>222300</v>
      </c>
    </row>
    <row r="553" spans="1:7" ht="15.75">
      <c r="A553" s="119">
        <v>545</v>
      </c>
      <c r="B553" s="119" t="s">
        <v>506</v>
      </c>
      <c r="C553" s="119" t="s">
        <v>238</v>
      </c>
      <c r="D553" s="119" t="s">
        <v>725</v>
      </c>
      <c r="E553" s="119" t="s">
        <v>87</v>
      </c>
      <c r="F553" s="120">
        <v>1</v>
      </c>
      <c r="G553" s="120">
        <v>222300</v>
      </c>
    </row>
    <row r="554" spans="1:7" ht="15.75">
      <c r="A554" s="119">
        <v>546</v>
      </c>
      <c r="B554" s="119" t="s">
        <v>506</v>
      </c>
      <c r="C554" s="119" t="s">
        <v>749</v>
      </c>
      <c r="D554" s="119" t="s">
        <v>750</v>
      </c>
      <c r="E554" s="119" t="s">
        <v>87</v>
      </c>
      <c r="F554" s="120">
        <v>1</v>
      </c>
      <c r="G554" s="120">
        <v>222300</v>
      </c>
    </row>
    <row r="555" spans="1:7" ht="15.75">
      <c r="A555" s="119">
        <v>547</v>
      </c>
      <c r="B555" s="119" t="s">
        <v>506</v>
      </c>
      <c r="C555" s="119" t="s">
        <v>769</v>
      </c>
      <c r="D555" s="119" t="s">
        <v>770</v>
      </c>
      <c r="E555" s="119" t="s">
        <v>87</v>
      </c>
      <c r="F555" s="120">
        <v>1</v>
      </c>
      <c r="G555" s="120">
        <v>222300</v>
      </c>
    </row>
    <row r="556" spans="1:7" ht="15.75">
      <c r="A556" s="119">
        <v>548</v>
      </c>
      <c r="B556" s="119" t="s">
        <v>506</v>
      </c>
      <c r="C556" s="119" t="s">
        <v>812</v>
      </c>
      <c r="D556" s="119" t="s">
        <v>813</v>
      </c>
      <c r="E556" s="119" t="s">
        <v>90</v>
      </c>
      <c r="F556" s="120">
        <v>1</v>
      </c>
      <c r="G556" s="120">
        <v>269200</v>
      </c>
    </row>
    <row r="557" spans="1:7" ht="15.75">
      <c r="A557" s="119">
        <v>549</v>
      </c>
      <c r="B557" s="119" t="s">
        <v>506</v>
      </c>
      <c r="C557" s="119" t="s">
        <v>867</v>
      </c>
      <c r="D557" s="119" t="s">
        <v>161</v>
      </c>
      <c r="E557" s="119" t="s">
        <v>87</v>
      </c>
      <c r="F557" s="120">
        <v>1</v>
      </c>
      <c r="G557" s="120">
        <v>222300</v>
      </c>
    </row>
    <row r="558" spans="1:7" ht="15.75">
      <c r="A558" s="119">
        <v>550</v>
      </c>
      <c r="B558" s="119" t="s">
        <v>506</v>
      </c>
      <c r="C558" s="119" t="s">
        <v>892</v>
      </c>
      <c r="D558" s="119" t="s">
        <v>893</v>
      </c>
      <c r="E558" s="119" t="s">
        <v>89</v>
      </c>
      <c r="F558" s="120">
        <v>1</v>
      </c>
      <c r="G558" s="120">
        <v>341800</v>
      </c>
    </row>
    <row r="559" spans="1:7" ht="15.75">
      <c r="A559" s="119">
        <v>551</v>
      </c>
      <c r="B559" s="119" t="s">
        <v>506</v>
      </c>
      <c r="C559" s="119" t="s">
        <v>898</v>
      </c>
      <c r="D559" s="119" t="s">
        <v>108</v>
      </c>
      <c r="E559" s="119" t="s">
        <v>87</v>
      </c>
      <c r="F559" s="120">
        <v>1</v>
      </c>
      <c r="G559" s="120">
        <v>222300</v>
      </c>
    </row>
    <row r="560" spans="1:7" ht="15.75">
      <c r="A560" s="119">
        <v>552</v>
      </c>
      <c r="B560" s="119" t="s">
        <v>506</v>
      </c>
      <c r="C560" s="119" t="s">
        <v>920</v>
      </c>
      <c r="D560" s="119" t="s">
        <v>921</v>
      </c>
      <c r="E560" s="119" t="s">
        <v>87</v>
      </c>
      <c r="F560" s="120">
        <v>1</v>
      </c>
      <c r="G560" s="120">
        <v>222300</v>
      </c>
    </row>
    <row r="561" spans="1:7" ht="15.75">
      <c r="A561" s="119">
        <v>553</v>
      </c>
      <c r="B561" s="119" t="s">
        <v>506</v>
      </c>
      <c r="C561" s="119" t="s">
        <v>943</v>
      </c>
      <c r="D561" s="119" t="s">
        <v>120</v>
      </c>
      <c r="E561" s="119" t="s">
        <v>87</v>
      </c>
      <c r="F561" s="120">
        <v>1</v>
      </c>
      <c r="G561" s="120">
        <v>222300</v>
      </c>
    </row>
    <row r="562" spans="1:7" ht="15.75">
      <c r="A562" s="119">
        <v>554</v>
      </c>
      <c r="B562" s="119" t="s">
        <v>506</v>
      </c>
      <c r="C562" s="119" t="s">
        <v>976</v>
      </c>
      <c r="D562" s="119" t="s">
        <v>977</v>
      </c>
      <c r="E562" s="119" t="s">
        <v>87</v>
      </c>
      <c r="F562" s="120">
        <v>1</v>
      </c>
      <c r="G562" s="120">
        <v>222300</v>
      </c>
    </row>
    <row r="563" spans="1:7" ht="15.75">
      <c r="A563" s="119">
        <v>555</v>
      </c>
      <c r="B563" s="119" t="s">
        <v>506</v>
      </c>
      <c r="C563" s="119" t="s">
        <v>980</v>
      </c>
      <c r="D563" s="119" t="s">
        <v>981</v>
      </c>
      <c r="E563" s="119" t="s">
        <v>90</v>
      </c>
      <c r="F563" s="120">
        <v>1</v>
      </c>
      <c r="G563" s="120">
        <v>269200</v>
      </c>
    </row>
    <row r="564" spans="1:7" ht="15.75">
      <c r="A564" s="119">
        <v>556</v>
      </c>
      <c r="B564" s="119" t="s">
        <v>506</v>
      </c>
      <c r="C564" s="119" t="s">
        <v>983</v>
      </c>
      <c r="D564" s="119" t="s">
        <v>984</v>
      </c>
      <c r="E564" s="119" t="s">
        <v>87</v>
      </c>
      <c r="F564" s="120">
        <v>1</v>
      </c>
      <c r="G564" s="120">
        <v>222300</v>
      </c>
    </row>
    <row r="565" spans="1:7" ht="15.75">
      <c r="A565" s="119">
        <v>557</v>
      </c>
      <c r="B565" s="119" t="s">
        <v>506</v>
      </c>
      <c r="C565" s="119" t="s">
        <v>985</v>
      </c>
      <c r="D565" s="119" t="s">
        <v>160</v>
      </c>
      <c r="E565" s="119" t="s">
        <v>87</v>
      </c>
      <c r="F565" s="120">
        <v>1</v>
      </c>
      <c r="G565" s="120">
        <v>222300</v>
      </c>
    </row>
    <row r="566" spans="1:7" ht="15.75">
      <c r="A566" s="119">
        <v>558</v>
      </c>
      <c r="B566" s="119" t="s">
        <v>506</v>
      </c>
      <c r="C566" s="119" t="s">
        <v>994</v>
      </c>
      <c r="D566" s="119" t="s">
        <v>995</v>
      </c>
      <c r="E566" s="119" t="s">
        <v>89</v>
      </c>
      <c r="F566" s="120">
        <v>1</v>
      </c>
      <c r="G566" s="120">
        <v>341800</v>
      </c>
    </row>
    <row r="567" spans="1:7" ht="15.75">
      <c r="A567" s="119">
        <v>559</v>
      </c>
      <c r="B567" s="119" t="s">
        <v>506</v>
      </c>
      <c r="C567" s="119" t="s">
        <v>674</v>
      </c>
      <c r="D567" s="119" t="s">
        <v>675</v>
      </c>
      <c r="E567" s="119" t="s">
        <v>90</v>
      </c>
      <c r="F567" s="120">
        <v>1</v>
      </c>
      <c r="G567" s="120">
        <v>269200</v>
      </c>
    </row>
    <row r="568" spans="1:7" ht="15.75">
      <c r="A568" s="119">
        <v>560</v>
      </c>
      <c r="B568" s="119" t="s">
        <v>506</v>
      </c>
      <c r="C568" s="119" t="s">
        <v>1004</v>
      </c>
      <c r="D568" s="119" t="s">
        <v>136</v>
      </c>
      <c r="E568" s="119" t="s">
        <v>87</v>
      </c>
      <c r="F568" s="120">
        <v>1</v>
      </c>
      <c r="G568" s="120">
        <v>222300</v>
      </c>
    </row>
    <row r="569" spans="1:7" ht="15.75">
      <c r="A569" s="119">
        <v>561</v>
      </c>
      <c r="B569" s="119" t="s">
        <v>506</v>
      </c>
      <c r="C569" s="119" t="s">
        <v>766</v>
      </c>
      <c r="D569" s="119" t="s">
        <v>98</v>
      </c>
      <c r="E569" s="119" t="s">
        <v>90</v>
      </c>
      <c r="F569" s="120">
        <v>1</v>
      </c>
      <c r="G569" s="120">
        <v>269200</v>
      </c>
    </row>
    <row r="570" spans="1:7" ht="15.75">
      <c r="A570" s="119">
        <v>562</v>
      </c>
      <c r="B570" s="119" t="s">
        <v>506</v>
      </c>
      <c r="C570" s="119" t="s">
        <v>896</v>
      </c>
      <c r="D570" s="119" t="s">
        <v>154</v>
      </c>
      <c r="E570" s="119" t="s">
        <v>90</v>
      </c>
      <c r="F570" s="120">
        <v>1</v>
      </c>
      <c r="G570" s="120">
        <v>269200</v>
      </c>
    </row>
    <row r="571" spans="1:7" ht="15.75">
      <c r="A571" s="119">
        <v>563</v>
      </c>
      <c r="B571" s="119" t="s">
        <v>506</v>
      </c>
      <c r="C571" s="119" t="s">
        <v>925</v>
      </c>
      <c r="D571" s="119" t="s">
        <v>100</v>
      </c>
      <c r="E571" s="119" t="s">
        <v>90</v>
      </c>
      <c r="F571" s="120">
        <v>1</v>
      </c>
      <c r="G571" s="120">
        <v>269200</v>
      </c>
    </row>
    <row r="572" spans="1:7" ht="15.75">
      <c r="A572" s="119">
        <v>564</v>
      </c>
      <c r="B572" s="119" t="s">
        <v>506</v>
      </c>
      <c r="C572" s="119" t="s">
        <v>222</v>
      </c>
      <c r="D572" s="119" t="s">
        <v>100</v>
      </c>
      <c r="E572" s="119" t="s">
        <v>90</v>
      </c>
      <c r="F572" s="120">
        <v>1</v>
      </c>
      <c r="G572" s="120">
        <v>269200</v>
      </c>
    </row>
    <row r="573" spans="1:7" ht="15.75">
      <c r="A573" s="119">
        <v>565</v>
      </c>
      <c r="B573" s="119" t="s">
        <v>627</v>
      </c>
      <c r="C573" s="119" t="s">
        <v>625</v>
      </c>
      <c r="D573" s="119" t="s">
        <v>626</v>
      </c>
      <c r="E573" s="119" t="s">
        <v>87</v>
      </c>
      <c r="F573" s="120">
        <v>1</v>
      </c>
      <c r="G573" s="120">
        <v>222300</v>
      </c>
    </row>
    <row r="574" spans="1:7" ht="15.75">
      <c r="A574" s="119">
        <v>566</v>
      </c>
      <c r="B574" s="119" t="s">
        <v>704</v>
      </c>
      <c r="C574" s="119" t="s">
        <v>702</v>
      </c>
      <c r="D574" s="119" t="s">
        <v>703</v>
      </c>
      <c r="E574" s="119" t="s">
        <v>87</v>
      </c>
      <c r="F574" s="120">
        <v>1</v>
      </c>
      <c r="G574" s="120">
        <v>222300</v>
      </c>
    </row>
    <row r="575" spans="1:7" ht="15.75">
      <c r="A575" s="119">
        <v>567</v>
      </c>
      <c r="B575" s="119" t="s">
        <v>638</v>
      </c>
      <c r="C575" s="119" t="s">
        <v>635</v>
      </c>
      <c r="D575" s="119" t="s">
        <v>636</v>
      </c>
      <c r="E575" s="119" t="s">
        <v>89</v>
      </c>
      <c r="F575" s="120">
        <v>1</v>
      </c>
      <c r="G575" s="120">
        <v>341800</v>
      </c>
    </row>
    <row r="576" spans="1:7" ht="15.75">
      <c r="A576" s="119">
        <v>568</v>
      </c>
      <c r="B576" s="119" t="s">
        <v>562</v>
      </c>
      <c r="C576" s="119" t="s">
        <v>560</v>
      </c>
      <c r="D576" s="119" t="s">
        <v>561</v>
      </c>
      <c r="E576" s="119" t="s">
        <v>87</v>
      </c>
      <c r="F576" s="120">
        <v>1</v>
      </c>
      <c r="G576" s="120">
        <v>222300</v>
      </c>
    </row>
    <row r="577" spans="1:7" ht="15.75">
      <c r="A577" s="119">
        <v>569</v>
      </c>
      <c r="B577" s="119" t="s">
        <v>990</v>
      </c>
      <c r="C577" s="119" t="s">
        <v>989</v>
      </c>
      <c r="D577" s="119" t="s">
        <v>94</v>
      </c>
      <c r="E577" s="119" t="s">
        <v>87</v>
      </c>
      <c r="F577" s="120">
        <v>1</v>
      </c>
      <c r="G577" s="120">
        <v>222300</v>
      </c>
    </row>
    <row r="578" spans="1:7" ht="15.75">
      <c r="A578" s="119">
        <v>570</v>
      </c>
      <c r="B578" s="119" t="s">
        <v>901</v>
      </c>
      <c r="C578" s="119" t="s">
        <v>396</v>
      </c>
      <c r="D578" s="119" t="s">
        <v>103</v>
      </c>
      <c r="E578" s="119" t="s">
        <v>86</v>
      </c>
      <c r="F578" s="120">
        <v>1</v>
      </c>
      <c r="G578" s="120">
        <v>229200</v>
      </c>
    </row>
    <row r="579" spans="1:7" ht="15.75">
      <c r="A579" s="119">
        <v>571</v>
      </c>
      <c r="B579" s="119" t="s">
        <v>711</v>
      </c>
      <c r="C579" s="119" t="s">
        <v>197</v>
      </c>
      <c r="D579" s="119" t="s">
        <v>153</v>
      </c>
      <c r="E579" s="119" t="s">
        <v>87</v>
      </c>
      <c r="F579" s="120">
        <v>1</v>
      </c>
      <c r="G579" s="120">
        <v>222300</v>
      </c>
    </row>
    <row r="580" spans="1:7" ht="15.75">
      <c r="A580" s="119">
        <v>572</v>
      </c>
      <c r="B580" s="119" t="s">
        <v>697</v>
      </c>
      <c r="C580" s="119" t="s">
        <v>695</v>
      </c>
      <c r="D580" s="119" t="s">
        <v>696</v>
      </c>
      <c r="E580" s="119" t="s">
        <v>87</v>
      </c>
      <c r="F580" s="120">
        <v>1</v>
      </c>
      <c r="G580" s="120">
        <v>250000</v>
      </c>
    </row>
    <row r="581" spans="1:7" ht="15.75">
      <c r="A581" s="119">
        <v>573</v>
      </c>
      <c r="B581" s="119" t="s">
        <v>780</v>
      </c>
      <c r="C581" s="119" t="s">
        <v>778</v>
      </c>
      <c r="D581" s="119" t="s">
        <v>117</v>
      </c>
      <c r="E581" s="119" t="s">
        <v>89</v>
      </c>
      <c r="F581" s="120">
        <v>1</v>
      </c>
      <c r="G581" s="120">
        <v>341800</v>
      </c>
    </row>
    <row r="582" spans="1:7" ht="15.75">
      <c r="A582" s="119">
        <v>574</v>
      </c>
      <c r="B582" s="119" t="s">
        <v>780</v>
      </c>
      <c r="C582" s="119" t="s">
        <v>671</v>
      </c>
      <c r="D582" s="119" t="s">
        <v>672</v>
      </c>
      <c r="E582" s="119" t="s">
        <v>89</v>
      </c>
      <c r="F582" s="120">
        <v>1</v>
      </c>
      <c r="G582" s="120">
        <v>341800</v>
      </c>
    </row>
    <row r="583" spans="1:7" ht="15.75">
      <c r="A583" s="119">
        <v>575</v>
      </c>
      <c r="B583" s="119" t="s">
        <v>507</v>
      </c>
      <c r="C583" s="119" t="s">
        <v>504</v>
      </c>
      <c r="D583" s="119" t="s">
        <v>505</v>
      </c>
      <c r="E583" s="119" t="s">
        <v>87</v>
      </c>
      <c r="F583" s="120">
        <v>1</v>
      </c>
      <c r="G583" s="120">
        <v>222300</v>
      </c>
    </row>
    <row r="584" spans="1:7" ht="15.75">
      <c r="A584" s="119">
        <v>576</v>
      </c>
      <c r="B584" s="119" t="s">
        <v>507</v>
      </c>
      <c r="C584" s="119" t="s">
        <v>298</v>
      </c>
      <c r="D584" s="119" t="s">
        <v>107</v>
      </c>
      <c r="E584" s="119" t="s">
        <v>87</v>
      </c>
      <c r="F584" s="120">
        <v>1</v>
      </c>
      <c r="G584" s="120">
        <v>222300</v>
      </c>
    </row>
    <row r="585" spans="1:7" ht="15.75">
      <c r="A585" s="119">
        <v>577</v>
      </c>
      <c r="B585" s="119" t="s">
        <v>507</v>
      </c>
      <c r="C585" s="119" t="s">
        <v>554</v>
      </c>
      <c r="D585" s="119" t="s">
        <v>555</v>
      </c>
      <c r="E585" s="119" t="s">
        <v>89</v>
      </c>
      <c r="F585" s="120">
        <v>1</v>
      </c>
      <c r="G585" s="120">
        <v>341800</v>
      </c>
    </row>
    <row r="586" spans="1:7" ht="15.75">
      <c r="A586" s="119">
        <v>578</v>
      </c>
      <c r="B586" s="119" t="s">
        <v>507</v>
      </c>
      <c r="C586" s="119" t="s">
        <v>635</v>
      </c>
      <c r="D586" s="119" t="s">
        <v>636</v>
      </c>
      <c r="E586" s="119" t="s">
        <v>89</v>
      </c>
      <c r="F586" s="120">
        <v>1</v>
      </c>
      <c r="G586" s="120">
        <v>341800</v>
      </c>
    </row>
    <row r="587" spans="1:7" ht="15.75">
      <c r="A587" s="119">
        <v>579</v>
      </c>
      <c r="B587" s="119" t="s">
        <v>507</v>
      </c>
      <c r="C587" s="119" t="s">
        <v>645</v>
      </c>
      <c r="D587" s="119" t="s">
        <v>117</v>
      </c>
      <c r="E587" s="119" t="s">
        <v>87</v>
      </c>
      <c r="F587" s="120">
        <v>1</v>
      </c>
      <c r="G587" s="120">
        <v>222300</v>
      </c>
    </row>
    <row r="588" spans="1:7" ht="15.75">
      <c r="A588" s="119">
        <v>580</v>
      </c>
      <c r="B588" s="119" t="s">
        <v>507</v>
      </c>
      <c r="C588" s="119" t="s">
        <v>682</v>
      </c>
      <c r="D588" s="119" t="s">
        <v>683</v>
      </c>
      <c r="E588" s="119" t="s">
        <v>87</v>
      </c>
      <c r="F588" s="120">
        <v>1</v>
      </c>
      <c r="G588" s="120">
        <v>222300</v>
      </c>
    </row>
    <row r="589" spans="1:7" ht="15.75">
      <c r="A589" s="119">
        <v>581</v>
      </c>
      <c r="B589" s="119" t="s">
        <v>507</v>
      </c>
      <c r="C589" s="119" t="s">
        <v>695</v>
      </c>
      <c r="D589" s="119" t="s">
        <v>696</v>
      </c>
      <c r="E589" s="119" t="s">
        <v>87</v>
      </c>
      <c r="F589" s="120">
        <v>1</v>
      </c>
      <c r="G589" s="120">
        <v>250000</v>
      </c>
    </row>
    <row r="590" spans="1:7" ht="15.75">
      <c r="A590" s="119">
        <v>582</v>
      </c>
      <c r="B590" s="119" t="s">
        <v>507</v>
      </c>
      <c r="C590" s="119" t="s">
        <v>197</v>
      </c>
      <c r="D590" s="119" t="s">
        <v>153</v>
      </c>
      <c r="E590" s="119" t="s">
        <v>87</v>
      </c>
      <c r="F590" s="120">
        <v>1</v>
      </c>
      <c r="G590" s="120">
        <v>222300</v>
      </c>
    </row>
    <row r="591" spans="1:7" ht="15.75">
      <c r="A591" s="119">
        <v>583</v>
      </c>
      <c r="B591" s="119" t="s">
        <v>507</v>
      </c>
      <c r="C591" s="119" t="s">
        <v>715</v>
      </c>
      <c r="D591" s="119" t="s">
        <v>716</v>
      </c>
      <c r="E591" s="119" t="s">
        <v>87</v>
      </c>
      <c r="F591" s="120">
        <v>1</v>
      </c>
      <c r="G591" s="120">
        <v>222300</v>
      </c>
    </row>
    <row r="592" spans="1:7" ht="15.75">
      <c r="A592" s="119">
        <v>584</v>
      </c>
      <c r="B592" s="119" t="s">
        <v>507</v>
      </c>
      <c r="C592" s="119" t="s">
        <v>719</v>
      </c>
      <c r="D592" s="119" t="s">
        <v>720</v>
      </c>
      <c r="E592" s="119" t="s">
        <v>87</v>
      </c>
      <c r="F592" s="120">
        <v>1</v>
      </c>
      <c r="G592" s="120">
        <v>222300</v>
      </c>
    </row>
    <row r="593" spans="1:7" ht="15.75">
      <c r="A593" s="119">
        <v>585</v>
      </c>
      <c r="B593" s="119" t="s">
        <v>507</v>
      </c>
      <c r="C593" s="119" t="s">
        <v>238</v>
      </c>
      <c r="D593" s="119" t="s">
        <v>725</v>
      </c>
      <c r="E593" s="119" t="s">
        <v>87</v>
      </c>
      <c r="F593" s="120">
        <v>1</v>
      </c>
      <c r="G593" s="120">
        <v>222300</v>
      </c>
    </row>
    <row r="594" spans="1:7" ht="15.75">
      <c r="A594" s="119">
        <v>586</v>
      </c>
      <c r="B594" s="119" t="s">
        <v>507</v>
      </c>
      <c r="C594" s="119" t="s">
        <v>749</v>
      </c>
      <c r="D594" s="119" t="s">
        <v>750</v>
      </c>
      <c r="E594" s="119" t="s">
        <v>87</v>
      </c>
      <c r="F594" s="120">
        <v>1</v>
      </c>
      <c r="G594" s="120">
        <v>222300</v>
      </c>
    </row>
    <row r="595" spans="1:7" ht="15.75">
      <c r="A595" s="119">
        <v>587</v>
      </c>
      <c r="B595" s="119" t="s">
        <v>507</v>
      </c>
      <c r="C595" s="119" t="s">
        <v>763</v>
      </c>
      <c r="D595" s="119" t="s">
        <v>764</v>
      </c>
      <c r="E595" s="119" t="s">
        <v>87</v>
      </c>
      <c r="F595" s="120">
        <v>1</v>
      </c>
      <c r="G595" s="120">
        <v>222300</v>
      </c>
    </row>
    <row r="596" spans="1:7" ht="15.75">
      <c r="A596" s="119">
        <v>588</v>
      </c>
      <c r="B596" s="119" t="s">
        <v>507</v>
      </c>
      <c r="C596" s="119" t="s">
        <v>778</v>
      </c>
      <c r="D596" s="119" t="s">
        <v>117</v>
      </c>
      <c r="E596" s="119" t="s">
        <v>89</v>
      </c>
      <c r="F596" s="120">
        <v>1</v>
      </c>
      <c r="G596" s="120">
        <v>341800</v>
      </c>
    </row>
    <row r="597" spans="1:7" ht="15.75">
      <c r="A597" s="119">
        <v>589</v>
      </c>
      <c r="B597" s="119" t="s">
        <v>507</v>
      </c>
      <c r="C597" s="119" t="s">
        <v>892</v>
      </c>
      <c r="D597" s="119" t="s">
        <v>893</v>
      </c>
      <c r="E597" s="119" t="s">
        <v>89</v>
      </c>
      <c r="F597" s="120">
        <v>1</v>
      </c>
      <c r="G597" s="120">
        <v>341800</v>
      </c>
    </row>
    <row r="598" spans="1:7" ht="15.75">
      <c r="A598" s="119">
        <v>590</v>
      </c>
      <c r="B598" s="119" t="s">
        <v>507</v>
      </c>
      <c r="C598" s="119" t="s">
        <v>898</v>
      </c>
      <c r="D598" s="119" t="s">
        <v>108</v>
      </c>
      <c r="E598" s="119" t="s">
        <v>87</v>
      </c>
      <c r="F598" s="120">
        <v>1</v>
      </c>
      <c r="G598" s="120">
        <v>222300</v>
      </c>
    </row>
    <row r="599" spans="1:7" ht="15.75">
      <c r="A599" s="119">
        <v>591</v>
      </c>
      <c r="B599" s="119" t="s">
        <v>507</v>
      </c>
      <c r="C599" s="119" t="s">
        <v>396</v>
      </c>
      <c r="D599" s="119" t="s">
        <v>103</v>
      </c>
      <c r="E599" s="119" t="s">
        <v>86</v>
      </c>
      <c r="F599" s="120">
        <v>1</v>
      </c>
      <c r="G599" s="120">
        <v>229200</v>
      </c>
    </row>
    <row r="600" spans="1:7" ht="15.75">
      <c r="A600" s="119">
        <v>592</v>
      </c>
      <c r="B600" s="119" t="s">
        <v>507</v>
      </c>
      <c r="C600" s="119" t="s">
        <v>943</v>
      </c>
      <c r="D600" s="119" t="s">
        <v>120</v>
      </c>
      <c r="E600" s="119" t="s">
        <v>87</v>
      </c>
      <c r="F600" s="120">
        <v>1</v>
      </c>
      <c r="G600" s="120">
        <v>222300</v>
      </c>
    </row>
    <row r="601" spans="1:7" ht="15.75">
      <c r="A601" s="119">
        <v>593</v>
      </c>
      <c r="B601" s="119" t="s">
        <v>507</v>
      </c>
      <c r="C601" s="119" t="s">
        <v>958</v>
      </c>
      <c r="D601" s="119" t="s">
        <v>959</v>
      </c>
      <c r="E601" s="119" t="s">
        <v>90</v>
      </c>
      <c r="F601" s="120">
        <v>1</v>
      </c>
      <c r="G601" s="120">
        <v>269200</v>
      </c>
    </row>
    <row r="602" spans="1:7" ht="15.75">
      <c r="A602" s="119">
        <v>594</v>
      </c>
      <c r="B602" s="119" t="s">
        <v>507</v>
      </c>
      <c r="C602" s="119" t="s">
        <v>983</v>
      </c>
      <c r="D602" s="119" t="s">
        <v>984</v>
      </c>
      <c r="E602" s="119" t="s">
        <v>89</v>
      </c>
      <c r="F602" s="120">
        <v>1</v>
      </c>
      <c r="G602" s="120">
        <v>341800</v>
      </c>
    </row>
    <row r="603" spans="1:7" ht="15.75">
      <c r="A603" s="119">
        <v>595</v>
      </c>
      <c r="B603" s="119" t="s">
        <v>507</v>
      </c>
      <c r="C603" s="119" t="s">
        <v>985</v>
      </c>
      <c r="D603" s="119" t="s">
        <v>160</v>
      </c>
      <c r="E603" s="119" t="s">
        <v>87</v>
      </c>
      <c r="F603" s="120">
        <v>1</v>
      </c>
      <c r="G603" s="120">
        <v>222300</v>
      </c>
    </row>
    <row r="604" spans="1:7" ht="15.75">
      <c r="A604" s="119">
        <v>596</v>
      </c>
      <c r="B604" s="119" t="s">
        <v>507</v>
      </c>
      <c r="C604" s="119" t="s">
        <v>989</v>
      </c>
      <c r="D604" s="119" t="s">
        <v>94</v>
      </c>
      <c r="E604" s="119" t="s">
        <v>87</v>
      </c>
      <c r="F604" s="120">
        <v>1</v>
      </c>
      <c r="G604" s="120">
        <v>222300</v>
      </c>
    </row>
    <row r="605" spans="1:7" ht="15.75">
      <c r="A605" s="119">
        <v>597</v>
      </c>
      <c r="B605" s="119" t="s">
        <v>507</v>
      </c>
      <c r="C605" s="119" t="s">
        <v>994</v>
      </c>
      <c r="D605" s="119" t="s">
        <v>995</v>
      </c>
      <c r="E605" s="119" t="s">
        <v>89</v>
      </c>
      <c r="F605" s="120">
        <v>1</v>
      </c>
      <c r="G605" s="120">
        <v>341800</v>
      </c>
    </row>
    <row r="606" spans="1:7" ht="15.75">
      <c r="A606" s="119">
        <v>598</v>
      </c>
      <c r="B606" s="119" t="s">
        <v>507</v>
      </c>
      <c r="C606" s="119" t="s">
        <v>671</v>
      </c>
      <c r="D606" s="119" t="s">
        <v>672</v>
      </c>
      <c r="E606" s="119" t="s">
        <v>89</v>
      </c>
      <c r="F606" s="120">
        <v>1</v>
      </c>
      <c r="G606" s="120">
        <v>341800</v>
      </c>
    </row>
    <row r="607" spans="1:7" ht="15.75">
      <c r="A607" s="119">
        <v>599</v>
      </c>
      <c r="B607" s="119" t="s">
        <v>507</v>
      </c>
      <c r="C607" s="119" t="s">
        <v>674</v>
      </c>
      <c r="D607" s="119" t="s">
        <v>675</v>
      </c>
      <c r="E607" s="119" t="s">
        <v>90</v>
      </c>
      <c r="F607" s="120">
        <v>1</v>
      </c>
      <c r="G607" s="120">
        <v>269200</v>
      </c>
    </row>
    <row r="608" spans="1:7" ht="15.75">
      <c r="A608" s="119">
        <v>600</v>
      </c>
      <c r="B608" s="119" t="s">
        <v>507</v>
      </c>
      <c r="C608" s="119" t="s">
        <v>1004</v>
      </c>
      <c r="D608" s="119" t="s">
        <v>136</v>
      </c>
      <c r="E608" s="119" t="s">
        <v>87</v>
      </c>
      <c r="F608" s="120">
        <v>1</v>
      </c>
      <c r="G608" s="120">
        <v>222300</v>
      </c>
    </row>
    <row r="609" spans="1:7" ht="15.75">
      <c r="A609" s="119">
        <v>601</v>
      </c>
      <c r="B609" s="119" t="s">
        <v>507</v>
      </c>
      <c r="C609" s="119" t="s">
        <v>766</v>
      </c>
      <c r="D609" s="119" t="s">
        <v>98</v>
      </c>
      <c r="E609" s="119" t="s">
        <v>90</v>
      </c>
      <c r="F609" s="120">
        <v>1</v>
      </c>
      <c r="G609" s="120">
        <v>269200</v>
      </c>
    </row>
    <row r="610" spans="1:7" ht="15.75">
      <c r="A610" s="119">
        <v>602</v>
      </c>
      <c r="B610" s="119" t="s">
        <v>507</v>
      </c>
      <c r="C610" s="119" t="s">
        <v>867</v>
      </c>
      <c r="D610" s="119" t="s">
        <v>161</v>
      </c>
      <c r="E610" s="119" t="s">
        <v>89</v>
      </c>
      <c r="F610" s="120">
        <v>1</v>
      </c>
      <c r="G610" s="120">
        <v>341800</v>
      </c>
    </row>
    <row r="611" spans="1:7" ht="15.75">
      <c r="A611" s="119">
        <v>603</v>
      </c>
      <c r="B611" s="119" t="s">
        <v>507</v>
      </c>
      <c r="C611" s="119" t="s">
        <v>896</v>
      </c>
      <c r="D611" s="119" t="s">
        <v>154</v>
      </c>
      <c r="E611" s="119" t="s">
        <v>90</v>
      </c>
      <c r="F611" s="120">
        <v>1</v>
      </c>
      <c r="G611" s="120">
        <v>269200</v>
      </c>
    </row>
    <row r="612" spans="1:7" ht="15.75">
      <c r="A612" s="119">
        <v>604</v>
      </c>
      <c r="B612" s="119" t="s">
        <v>507</v>
      </c>
      <c r="C612" s="119" t="s">
        <v>222</v>
      </c>
      <c r="D612" s="119" t="s">
        <v>100</v>
      </c>
      <c r="E612" s="119" t="s">
        <v>90</v>
      </c>
      <c r="F612" s="120">
        <v>1</v>
      </c>
      <c r="G612" s="120">
        <v>269200</v>
      </c>
    </row>
    <row r="613" spans="1:7" ht="15.75">
      <c r="A613" s="119">
        <v>605</v>
      </c>
      <c r="B613" s="119" t="s">
        <v>576</v>
      </c>
      <c r="C613" s="119" t="s">
        <v>574</v>
      </c>
      <c r="D613" s="119" t="s">
        <v>575</v>
      </c>
      <c r="E613" s="119" t="s">
        <v>87</v>
      </c>
      <c r="F613" s="120">
        <v>1</v>
      </c>
      <c r="G613" s="120">
        <v>222300</v>
      </c>
    </row>
    <row r="614" spans="1:7" ht="15.75">
      <c r="A614" s="119">
        <v>606</v>
      </c>
      <c r="B614" s="119" t="s">
        <v>724</v>
      </c>
      <c r="C614" s="119" t="s">
        <v>723</v>
      </c>
      <c r="D614" s="119" t="s">
        <v>100</v>
      </c>
      <c r="E614" s="119" t="s">
        <v>87</v>
      </c>
      <c r="F614" s="120">
        <v>1</v>
      </c>
      <c r="G614" s="120">
        <v>222300</v>
      </c>
    </row>
    <row r="615" spans="1:7" ht="15.75">
      <c r="A615" s="119">
        <v>607</v>
      </c>
      <c r="B615" s="119" t="s">
        <v>547</v>
      </c>
      <c r="C615" s="119" t="s">
        <v>545</v>
      </c>
      <c r="D615" s="119" t="s">
        <v>546</v>
      </c>
      <c r="E615" s="119" t="s">
        <v>87</v>
      </c>
      <c r="F615" s="120">
        <v>1</v>
      </c>
      <c r="G615" s="120">
        <v>222300</v>
      </c>
    </row>
    <row r="616" spans="1:7" ht="15.75">
      <c r="A616" s="119">
        <v>608</v>
      </c>
      <c r="B616" s="119" t="s">
        <v>705</v>
      </c>
      <c r="C616" s="119" t="s">
        <v>702</v>
      </c>
      <c r="D616" s="119" t="s">
        <v>703</v>
      </c>
      <c r="E616" s="119" t="s">
        <v>90</v>
      </c>
      <c r="F616" s="120">
        <v>1</v>
      </c>
      <c r="G616" s="120">
        <v>269200</v>
      </c>
    </row>
    <row r="617" spans="1:7" ht="15.75">
      <c r="A617" s="119">
        <v>609</v>
      </c>
      <c r="B617" s="119" t="s">
        <v>731</v>
      </c>
      <c r="C617" s="119" t="s">
        <v>236</v>
      </c>
      <c r="D617" s="119" t="s">
        <v>730</v>
      </c>
      <c r="E617" s="119" t="s">
        <v>87</v>
      </c>
      <c r="F617" s="120">
        <v>1</v>
      </c>
      <c r="G617" s="120">
        <v>222300</v>
      </c>
    </row>
    <row r="618" spans="1:7" ht="15.75">
      <c r="A618" s="119">
        <v>610</v>
      </c>
      <c r="B618" s="119" t="s">
        <v>772</v>
      </c>
      <c r="C618" s="119" t="s">
        <v>769</v>
      </c>
      <c r="D618" s="119" t="s">
        <v>770</v>
      </c>
      <c r="E618" s="119" t="s">
        <v>87</v>
      </c>
      <c r="F618" s="120">
        <v>1</v>
      </c>
      <c r="G618" s="120">
        <v>222300</v>
      </c>
    </row>
    <row r="619" spans="1:7" ht="15.75">
      <c r="A619" s="119">
        <v>611</v>
      </c>
      <c r="B619" s="119" t="s">
        <v>641</v>
      </c>
      <c r="C619" s="119" t="s">
        <v>639</v>
      </c>
      <c r="D619" s="119" t="s">
        <v>640</v>
      </c>
      <c r="E619" s="119" t="s">
        <v>87</v>
      </c>
      <c r="F619" s="120">
        <v>1</v>
      </c>
      <c r="G619" s="120">
        <v>222300</v>
      </c>
    </row>
    <row r="620" spans="1:7" ht="15.75">
      <c r="A620" s="119">
        <v>612</v>
      </c>
      <c r="B620" s="119" t="s">
        <v>975</v>
      </c>
      <c r="C620" s="119" t="s">
        <v>974</v>
      </c>
      <c r="D620" s="119" t="s">
        <v>103</v>
      </c>
      <c r="E620" s="119" t="s">
        <v>87</v>
      </c>
      <c r="F620" s="120">
        <v>1</v>
      </c>
      <c r="G620" s="120">
        <v>222300</v>
      </c>
    </row>
    <row r="621" spans="1:7" ht="15.75">
      <c r="A621" s="119">
        <v>613</v>
      </c>
      <c r="B621" s="119" t="s">
        <v>503</v>
      </c>
      <c r="C621" s="119" t="s">
        <v>499</v>
      </c>
      <c r="D621" s="119" t="s">
        <v>104</v>
      </c>
      <c r="E621" s="119" t="s">
        <v>87</v>
      </c>
      <c r="F621" s="120">
        <v>1</v>
      </c>
      <c r="G621" s="120">
        <v>222300</v>
      </c>
    </row>
    <row r="622" spans="1:7" ht="15.75">
      <c r="A622" s="119">
        <v>614</v>
      </c>
      <c r="B622" s="119" t="s">
        <v>924</v>
      </c>
      <c r="C622" s="119" t="s">
        <v>920</v>
      </c>
      <c r="D622" s="119" t="s">
        <v>921</v>
      </c>
      <c r="E622" s="119" t="s">
        <v>90</v>
      </c>
      <c r="F622" s="120">
        <v>1</v>
      </c>
      <c r="G622" s="120">
        <v>269200</v>
      </c>
    </row>
    <row r="623" spans="1:7" ht="15.75">
      <c r="A623" s="119">
        <v>615</v>
      </c>
      <c r="B623" s="119" t="s">
        <v>979</v>
      </c>
      <c r="C623" s="119" t="s">
        <v>976</v>
      </c>
      <c r="D623" s="119" t="s">
        <v>977</v>
      </c>
      <c r="E623" s="119" t="s">
        <v>89</v>
      </c>
      <c r="F623" s="120">
        <v>1</v>
      </c>
      <c r="G623" s="120">
        <v>341800</v>
      </c>
    </row>
    <row r="624" spans="1:7" ht="15.75">
      <c r="A624" s="119">
        <v>616</v>
      </c>
      <c r="B624" s="119" t="s">
        <v>629</v>
      </c>
      <c r="C624" s="119" t="s">
        <v>625</v>
      </c>
      <c r="D624" s="119" t="s">
        <v>626</v>
      </c>
      <c r="E624" s="119" t="s">
        <v>86</v>
      </c>
      <c r="F624" s="120">
        <v>1</v>
      </c>
      <c r="G624" s="120">
        <v>229200</v>
      </c>
    </row>
    <row r="625" spans="1:7" ht="15.75">
      <c r="A625" s="119">
        <v>617</v>
      </c>
      <c r="B625" s="119" t="s">
        <v>694</v>
      </c>
      <c r="C625" s="119" t="s">
        <v>693</v>
      </c>
      <c r="D625" s="119" t="s">
        <v>147</v>
      </c>
      <c r="E625" s="119" t="s">
        <v>87</v>
      </c>
      <c r="F625" s="120">
        <v>1</v>
      </c>
      <c r="G625" s="120">
        <v>222300</v>
      </c>
    </row>
    <row r="626" spans="1:7" ht="15.75">
      <c r="A626" s="119">
        <v>618</v>
      </c>
      <c r="B626" s="119" t="s">
        <v>501</v>
      </c>
      <c r="C626" s="119" t="s">
        <v>499</v>
      </c>
      <c r="D626" s="119" t="s">
        <v>104</v>
      </c>
      <c r="E626" s="119" t="s">
        <v>87</v>
      </c>
      <c r="F626" s="120">
        <v>1</v>
      </c>
      <c r="G626" s="120">
        <v>222300</v>
      </c>
    </row>
    <row r="627" spans="1:7" ht="15.75">
      <c r="A627" s="119">
        <v>619</v>
      </c>
      <c r="B627" s="119" t="s">
        <v>501</v>
      </c>
      <c r="C627" s="119" t="s">
        <v>504</v>
      </c>
      <c r="D627" s="119" t="s">
        <v>505</v>
      </c>
      <c r="E627" s="119" t="s">
        <v>87</v>
      </c>
      <c r="F627" s="120">
        <v>1</v>
      </c>
      <c r="G627" s="120">
        <v>222300</v>
      </c>
    </row>
    <row r="628" spans="1:7" ht="15.75">
      <c r="A628" s="119">
        <v>620</v>
      </c>
      <c r="B628" s="119" t="s">
        <v>501</v>
      </c>
      <c r="C628" s="119" t="s">
        <v>298</v>
      </c>
      <c r="D628" s="119" t="s">
        <v>107</v>
      </c>
      <c r="E628" s="119" t="s">
        <v>87</v>
      </c>
      <c r="F628" s="120">
        <v>1</v>
      </c>
      <c r="G628" s="120">
        <v>222300</v>
      </c>
    </row>
    <row r="629" spans="1:7" ht="15.75">
      <c r="A629" s="119">
        <v>621</v>
      </c>
      <c r="B629" s="119" t="s">
        <v>501</v>
      </c>
      <c r="C629" s="119" t="s">
        <v>560</v>
      </c>
      <c r="D629" s="119" t="s">
        <v>561</v>
      </c>
      <c r="E629" s="119" t="s">
        <v>89</v>
      </c>
      <c r="F629" s="120">
        <v>1</v>
      </c>
      <c r="G629" s="120">
        <v>341800</v>
      </c>
    </row>
    <row r="630" spans="1:7" ht="15.75">
      <c r="A630" s="119">
        <v>622</v>
      </c>
      <c r="B630" s="119" t="s">
        <v>501</v>
      </c>
      <c r="C630" s="119" t="s">
        <v>625</v>
      </c>
      <c r="D630" s="119" t="s">
        <v>626</v>
      </c>
      <c r="E630" s="119" t="s">
        <v>86</v>
      </c>
      <c r="F630" s="120">
        <v>1</v>
      </c>
      <c r="G630" s="120">
        <v>229200</v>
      </c>
    </row>
    <row r="631" spans="1:7" ht="15.75">
      <c r="A631" s="119">
        <v>623</v>
      </c>
      <c r="B631" s="119" t="s">
        <v>501</v>
      </c>
      <c r="C631" s="119" t="s">
        <v>635</v>
      </c>
      <c r="D631" s="119" t="s">
        <v>636</v>
      </c>
      <c r="E631" s="119" t="s">
        <v>89</v>
      </c>
      <c r="F631" s="120">
        <v>1</v>
      </c>
      <c r="G631" s="120">
        <v>341800</v>
      </c>
    </row>
    <row r="632" spans="1:7" ht="15.75">
      <c r="A632" s="119">
        <v>624</v>
      </c>
      <c r="B632" s="119" t="s">
        <v>501</v>
      </c>
      <c r="C632" s="119" t="s">
        <v>695</v>
      </c>
      <c r="D632" s="119" t="s">
        <v>696</v>
      </c>
      <c r="E632" s="119" t="s">
        <v>87</v>
      </c>
      <c r="F632" s="120">
        <v>1</v>
      </c>
      <c r="G632" s="120">
        <v>250000</v>
      </c>
    </row>
    <row r="633" spans="1:7" ht="15.75">
      <c r="A633" s="119">
        <v>625</v>
      </c>
      <c r="B633" s="119" t="s">
        <v>501</v>
      </c>
      <c r="C633" s="119" t="s">
        <v>702</v>
      </c>
      <c r="D633" s="119" t="s">
        <v>703</v>
      </c>
      <c r="E633" s="119" t="s">
        <v>90</v>
      </c>
      <c r="F633" s="120">
        <v>1</v>
      </c>
      <c r="G633" s="120">
        <v>269200</v>
      </c>
    </row>
    <row r="634" spans="1:7" ht="15.75">
      <c r="A634" s="119">
        <v>626</v>
      </c>
      <c r="B634" s="119" t="s">
        <v>501</v>
      </c>
      <c r="C634" s="119" t="s">
        <v>715</v>
      </c>
      <c r="D634" s="119" t="s">
        <v>716</v>
      </c>
      <c r="E634" s="119" t="s">
        <v>87</v>
      </c>
      <c r="F634" s="120">
        <v>1</v>
      </c>
      <c r="G634" s="120">
        <v>222300</v>
      </c>
    </row>
    <row r="635" spans="1:7" ht="15.75">
      <c r="A635" s="119">
        <v>627</v>
      </c>
      <c r="B635" s="119" t="s">
        <v>501</v>
      </c>
      <c r="C635" s="119" t="s">
        <v>723</v>
      </c>
      <c r="D635" s="119" t="s">
        <v>100</v>
      </c>
      <c r="E635" s="119" t="s">
        <v>87</v>
      </c>
      <c r="F635" s="120">
        <v>1</v>
      </c>
      <c r="G635" s="120">
        <v>222300</v>
      </c>
    </row>
    <row r="636" spans="1:7" ht="15.75">
      <c r="A636" s="119">
        <v>628</v>
      </c>
      <c r="B636" s="119" t="s">
        <v>501</v>
      </c>
      <c r="C636" s="119" t="s">
        <v>238</v>
      </c>
      <c r="D636" s="119" t="s">
        <v>725</v>
      </c>
      <c r="E636" s="119" t="s">
        <v>87</v>
      </c>
      <c r="F636" s="120">
        <v>1</v>
      </c>
      <c r="G636" s="120">
        <v>222300</v>
      </c>
    </row>
    <row r="637" spans="1:7" ht="15.75">
      <c r="A637" s="119">
        <v>629</v>
      </c>
      <c r="B637" s="119" t="s">
        <v>501</v>
      </c>
      <c r="C637" s="119" t="s">
        <v>236</v>
      </c>
      <c r="D637" s="119" t="s">
        <v>730</v>
      </c>
      <c r="E637" s="119" t="s">
        <v>87</v>
      </c>
      <c r="F637" s="120">
        <v>1</v>
      </c>
      <c r="G637" s="120">
        <v>222300</v>
      </c>
    </row>
    <row r="638" spans="1:7" ht="15.75">
      <c r="A638" s="119">
        <v>630</v>
      </c>
      <c r="B638" s="119" t="s">
        <v>501</v>
      </c>
      <c r="C638" s="119" t="s">
        <v>749</v>
      </c>
      <c r="D638" s="119" t="s">
        <v>750</v>
      </c>
      <c r="E638" s="119" t="s">
        <v>87</v>
      </c>
      <c r="F638" s="120">
        <v>1</v>
      </c>
      <c r="G638" s="120">
        <v>222300</v>
      </c>
    </row>
    <row r="639" spans="1:7" ht="15.75">
      <c r="A639" s="119">
        <v>631</v>
      </c>
      <c r="B639" s="119" t="s">
        <v>501</v>
      </c>
      <c r="C639" s="119" t="s">
        <v>763</v>
      </c>
      <c r="D639" s="119" t="s">
        <v>764</v>
      </c>
      <c r="E639" s="119" t="s">
        <v>87</v>
      </c>
      <c r="F639" s="120">
        <v>1</v>
      </c>
      <c r="G639" s="120">
        <v>222300</v>
      </c>
    </row>
    <row r="640" spans="1:7" ht="15.75">
      <c r="A640" s="119">
        <v>632</v>
      </c>
      <c r="B640" s="119" t="s">
        <v>501</v>
      </c>
      <c r="C640" s="119" t="s">
        <v>769</v>
      </c>
      <c r="D640" s="119" t="s">
        <v>770</v>
      </c>
      <c r="E640" s="119" t="s">
        <v>87</v>
      </c>
      <c r="F640" s="120">
        <v>1</v>
      </c>
      <c r="G640" s="120">
        <v>222300</v>
      </c>
    </row>
    <row r="641" spans="1:7" ht="15.75">
      <c r="A641" s="119">
        <v>633</v>
      </c>
      <c r="B641" s="119" t="s">
        <v>501</v>
      </c>
      <c r="C641" s="119" t="s">
        <v>778</v>
      </c>
      <c r="D641" s="119" t="s">
        <v>117</v>
      </c>
      <c r="E641" s="119" t="s">
        <v>89</v>
      </c>
      <c r="F641" s="120">
        <v>1</v>
      </c>
      <c r="G641" s="120">
        <v>341800</v>
      </c>
    </row>
    <row r="642" spans="1:7" ht="15.75">
      <c r="A642" s="119">
        <v>634</v>
      </c>
      <c r="B642" s="119" t="s">
        <v>501</v>
      </c>
      <c r="C642" s="119" t="s">
        <v>892</v>
      </c>
      <c r="D642" s="119" t="s">
        <v>893</v>
      </c>
      <c r="E642" s="119" t="s">
        <v>89</v>
      </c>
      <c r="F642" s="120">
        <v>1</v>
      </c>
      <c r="G642" s="120">
        <v>341800</v>
      </c>
    </row>
    <row r="643" spans="1:7" ht="15.75">
      <c r="A643" s="119">
        <v>635</v>
      </c>
      <c r="B643" s="119" t="s">
        <v>501</v>
      </c>
      <c r="C643" s="119" t="s">
        <v>898</v>
      </c>
      <c r="D643" s="119" t="s">
        <v>108</v>
      </c>
      <c r="E643" s="119" t="s">
        <v>87</v>
      </c>
      <c r="F643" s="120">
        <v>1</v>
      </c>
      <c r="G643" s="120">
        <v>222300</v>
      </c>
    </row>
    <row r="644" spans="1:7" ht="15.75">
      <c r="A644" s="119">
        <v>636</v>
      </c>
      <c r="B644" s="119" t="s">
        <v>501</v>
      </c>
      <c r="C644" s="119" t="s">
        <v>958</v>
      </c>
      <c r="D644" s="119" t="s">
        <v>959</v>
      </c>
      <c r="E644" s="119" t="s">
        <v>90</v>
      </c>
      <c r="F644" s="120">
        <v>1</v>
      </c>
      <c r="G644" s="120">
        <v>269200</v>
      </c>
    </row>
    <row r="645" spans="1:7" ht="15.75">
      <c r="A645" s="119">
        <v>637</v>
      </c>
      <c r="B645" s="119" t="s">
        <v>501</v>
      </c>
      <c r="C645" s="119" t="s">
        <v>974</v>
      </c>
      <c r="D645" s="119" t="s">
        <v>103</v>
      </c>
      <c r="E645" s="119" t="s">
        <v>87</v>
      </c>
      <c r="F645" s="120">
        <v>1</v>
      </c>
      <c r="G645" s="120">
        <v>222300</v>
      </c>
    </row>
    <row r="646" spans="1:7" ht="15.75">
      <c r="A646" s="119">
        <v>638</v>
      </c>
      <c r="B646" s="119" t="s">
        <v>501</v>
      </c>
      <c r="C646" s="119" t="s">
        <v>976</v>
      </c>
      <c r="D646" s="119" t="s">
        <v>977</v>
      </c>
      <c r="E646" s="119" t="s">
        <v>89</v>
      </c>
      <c r="F646" s="120">
        <v>1</v>
      </c>
      <c r="G646" s="120">
        <v>341800</v>
      </c>
    </row>
    <row r="647" spans="1:7" ht="15.75">
      <c r="A647" s="119">
        <v>639</v>
      </c>
      <c r="B647" s="119" t="s">
        <v>501</v>
      </c>
      <c r="C647" s="119" t="s">
        <v>983</v>
      </c>
      <c r="D647" s="119" t="s">
        <v>984</v>
      </c>
      <c r="E647" s="119" t="s">
        <v>89</v>
      </c>
      <c r="F647" s="120">
        <v>1</v>
      </c>
      <c r="G647" s="120">
        <v>341800</v>
      </c>
    </row>
    <row r="648" spans="1:7" ht="15.75">
      <c r="A648" s="119">
        <v>640</v>
      </c>
      <c r="B648" s="119" t="s">
        <v>501</v>
      </c>
      <c r="C648" s="119" t="s">
        <v>989</v>
      </c>
      <c r="D648" s="119" t="s">
        <v>94</v>
      </c>
      <c r="E648" s="119" t="s">
        <v>87</v>
      </c>
      <c r="F648" s="120">
        <v>1</v>
      </c>
      <c r="G648" s="120">
        <v>222300</v>
      </c>
    </row>
    <row r="649" spans="1:7" ht="15.75">
      <c r="A649" s="119">
        <v>641</v>
      </c>
      <c r="B649" s="119" t="s">
        <v>501</v>
      </c>
      <c r="C649" s="119" t="s">
        <v>994</v>
      </c>
      <c r="D649" s="119" t="s">
        <v>995</v>
      </c>
      <c r="E649" s="119" t="s">
        <v>89</v>
      </c>
      <c r="F649" s="120">
        <v>1</v>
      </c>
      <c r="G649" s="120">
        <v>341800</v>
      </c>
    </row>
    <row r="650" spans="1:7" ht="15.75">
      <c r="A650" s="119">
        <v>642</v>
      </c>
      <c r="B650" s="119" t="s">
        <v>501</v>
      </c>
      <c r="C650" s="119" t="s">
        <v>671</v>
      </c>
      <c r="D650" s="119" t="s">
        <v>672</v>
      </c>
      <c r="E650" s="119" t="s">
        <v>89</v>
      </c>
      <c r="F650" s="120">
        <v>1</v>
      </c>
      <c r="G650" s="120">
        <v>341800</v>
      </c>
    </row>
    <row r="651" spans="1:7" ht="15.75">
      <c r="A651" s="119">
        <v>643</v>
      </c>
      <c r="B651" s="119" t="s">
        <v>501</v>
      </c>
      <c r="C651" s="119" t="s">
        <v>1004</v>
      </c>
      <c r="D651" s="119" t="s">
        <v>136</v>
      </c>
      <c r="E651" s="119" t="s">
        <v>87</v>
      </c>
      <c r="F651" s="120">
        <v>1</v>
      </c>
      <c r="G651" s="120">
        <v>222300</v>
      </c>
    </row>
    <row r="652" spans="1:7" ht="15.75">
      <c r="A652" s="119">
        <v>644</v>
      </c>
      <c r="B652" s="119" t="s">
        <v>501</v>
      </c>
      <c r="C652" s="119" t="s">
        <v>766</v>
      </c>
      <c r="D652" s="119" t="s">
        <v>98</v>
      </c>
      <c r="E652" s="119" t="s">
        <v>90</v>
      </c>
      <c r="F652" s="120">
        <v>1</v>
      </c>
      <c r="G652" s="120">
        <v>269200</v>
      </c>
    </row>
    <row r="653" spans="1:7" ht="15.75">
      <c r="A653" s="119">
        <v>645</v>
      </c>
      <c r="B653" s="119" t="s">
        <v>501</v>
      </c>
      <c r="C653" s="119" t="s">
        <v>867</v>
      </c>
      <c r="D653" s="119" t="s">
        <v>161</v>
      </c>
      <c r="E653" s="119" t="s">
        <v>89</v>
      </c>
      <c r="F653" s="120">
        <v>1</v>
      </c>
      <c r="G653" s="120">
        <v>341800</v>
      </c>
    </row>
    <row r="654" spans="1:7" ht="15.75">
      <c r="A654" s="119">
        <v>646</v>
      </c>
      <c r="B654" s="119" t="s">
        <v>501</v>
      </c>
      <c r="C654" s="119" t="s">
        <v>222</v>
      </c>
      <c r="D654" s="119" t="s">
        <v>100</v>
      </c>
      <c r="E654" s="119" t="s">
        <v>90</v>
      </c>
      <c r="F654" s="120">
        <v>1</v>
      </c>
      <c r="G654" s="120">
        <v>269200</v>
      </c>
    </row>
    <row r="655" spans="1:7" ht="15.75">
      <c r="A655" s="119">
        <v>647</v>
      </c>
      <c r="B655" s="119" t="s">
        <v>689</v>
      </c>
      <c r="C655" s="119" t="s">
        <v>687</v>
      </c>
      <c r="D655" s="119" t="s">
        <v>688</v>
      </c>
      <c r="E655" s="119" t="s">
        <v>87</v>
      </c>
      <c r="F655" s="120">
        <v>1</v>
      </c>
      <c r="G655" s="120">
        <v>222300</v>
      </c>
    </row>
    <row r="656" spans="1:7" ht="15.75">
      <c r="A656" s="119">
        <v>648</v>
      </c>
      <c r="B656" s="119" t="s">
        <v>1003</v>
      </c>
      <c r="C656" s="119" t="s">
        <v>197</v>
      </c>
      <c r="D656" s="119" t="s">
        <v>153</v>
      </c>
      <c r="E656" s="119" t="s">
        <v>88</v>
      </c>
      <c r="F656" s="120">
        <v>1</v>
      </c>
      <c r="G656" s="120">
        <v>301600</v>
      </c>
    </row>
    <row r="657" spans="1:7" ht="15.75">
      <c r="A657" s="119">
        <v>649</v>
      </c>
      <c r="B657" s="119" t="s">
        <v>578</v>
      </c>
      <c r="C657" s="119" t="s">
        <v>574</v>
      </c>
      <c r="D657" s="119" t="s">
        <v>575</v>
      </c>
      <c r="E657" s="119" t="s">
        <v>90</v>
      </c>
      <c r="F657" s="120">
        <v>1</v>
      </c>
      <c r="G657" s="120">
        <v>269200</v>
      </c>
    </row>
    <row r="658" spans="1:7" ht="15.75">
      <c r="A658" s="119">
        <v>650</v>
      </c>
      <c r="B658" s="119" t="s">
        <v>941</v>
      </c>
      <c r="C658" s="119" t="s">
        <v>940</v>
      </c>
      <c r="D658" s="119" t="s">
        <v>97</v>
      </c>
      <c r="E658" s="119" t="s">
        <v>87</v>
      </c>
      <c r="F658" s="120">
        <v>1</v>
      </c>
      <c r="G658" s="120">
        <v>222300</v>
      </c>
    </row>
    <row r="659" spans="1:7" ht="15.75">
      <c r="A659" s="119">
        <v>651</v>
      </c>
      <c r="B659" s="119" t="s">
        <v>722</v>
      </c>
      <c r="C659" s="119" t="s">
        <v>719</v>
      </c>
      <c r="D659" s="119" t="s">
        <v>720</v>
      </c>
      <c r="E659" s="119" t="s">
        <v>87</v>
      </c>
      <c r="F659" s="120">
        <v>1</v>
      </c>
      <c r="G659" s="120">
        <v>222300</v>
      </c>
    </row>
    <row r="660" spans="1:7" ht="15.75">
      <c r="A660" s="119">
        <v>652</v>
      </c>
      <c r="B660" s="119" t="s">
        <v>1001</v>
      </c>
      <c r="C660" s="119" t="s">
        <v>639</v>
      </c>
      <c r="D660" s="119" t="s">
        <v>640</v>
      </c>
      <c r="E660" s="119" t="s">
        <v>88</v>
      </c>
      <c r="F660" s="120">
        <v>1</v>
      </c>
      <c r="G660" s="120">
        <v>301600</v>
      </c>
    </row>
    <row r="661" spans="1:7" ht="15.75">
      <c r="A661" s="119">
        <v>653</v>
      </c>
      <c r="B661" s="119" t="s">
        <v>1022</v>
      </c>
      <c r="C661" s="119" t="s">
        <v>896</v>
      </c>
      <c r="D661" s="119" t="s">
        <v>154</v>
      </c>
      <c r="E661" s="119" t="s">
        <v>90</v>
      </c>
      <c r="F661" s="120">
        <v>1</v>
      </c>
      <c r="G661" s="120">
        <v>269200</v>
      </c>
    </row>
    <row r="662" spans="1:7" ht="15.75">
      <c r="A662" s="119">
        <v>654</v>
      </c>
      <c r="B662" s="119" t="s">
        <v>502</v>
      </c>
      <c r="C662" s="119" t="s">
        <v>396</v>
      </c>
      <c r="D662" s="119" t="s">
        <v>103</v>
      </c>
      <c r="E662" s="119" t="s">
        <v>86</v>
      </c>
      <c r="F662" s="120">
        <v>1</v>
      </c>
      <c r="G662" s="120">
        <v>229200</v>
      </c>
    </row>
    <row r="663" spans="1:7" ht="15.75">
      <c r="A663" s="119">
        <v>655</v>
      </c>
      <c r="B663" s="119" t="s">
        <v>500</v>
      </c>
      <c r="C663" s="119" t="s">
        <v>499</v>
      </c>
      <c r="D663" s="119" t="s">
        <v>104</v>
      </c>
      <c r="E663" s="119" t="s">
        <v>87</v>
      </c>
      <c r="F663" s="120">
        <v>1</v>
      </c>
      <c r="G663" s="120">
        <v>222300</v>
      </c>
    </row>
    <row r="664" spans="1:7" ht="15.75">
      <c r="A664" s="119">
        <v>656</v>
      </c>
      <c r="B664" s="119" t="s">
        <v>500</v>
      </c>
      <c r="C664" s="119" t="s">
        <v>504</v>
      </c>
      <c r="D664" s="119" t="s">
        <v>505</v>
      </c>
      <c r="E664" s="119" t="s">
        <v>87</v>
      </c>
      <c r="F664" s="120">
        <v>1</v>
      </c>
      <c r="G664" s="120">
        <v>222300</v>
      </c>
    </row>
    <row r="665" spans="1:7" ht="15.75">
      <c r="A665" s="119">
        <v>657</v>
      </c>
      <c r="B665" s="119" t="s">
        <v>500</v>
      </c>
      <c r="C665" s="119" t="s">
        <v>298</v>
      </c>
      <c r="D665" s="119" t="s">
        <v>107</v>
      </c>
      <c r="E665" s="119" t="s">
        <v>87</v>
      </c>
      <c r="F665" s="120">
        <v>1</v>
      </c>
      <c r="G665" s="120">
        <v>222300</v>
      </c>
    </row>
    <row r="666" spans="1:7" ht="15.75">
      <c r="A666" s="119">
        <v>658</v>
      </c>
      <c r="B666" s="119" t="s">
        <v>500</v>
      </c>
      <c r="C666" s="119" t="s">
        <v>545</v>
      </c>
      <c r="D666" s="119" t="s">
        <v>546</v>
      </c>
      <c r="E666" s="119" t="s">
        <v>90</v>
      </c>
      <c r="F666" s="120">
        <v>1</v>
      </c>
      <c r="G666" s="120">
        <v>269200</v>
      </c>
    </row>
    <row r="667" spans="1:7" ht="15.75">
      <c r="A667" s="119">
        <v>659</v>
      </c>
      <c r="B667" s="119" t="s">
        <v>500</v>
      </c>
      <c r="C667" s="119" t="s">
        <v>560</v>
      </c>
      <c r="D667" s="119" t="s">
        <v>561</v>
      </c>
      <c r="E667" s="119" t="s">
        <v>89</v>
      </c>
      <c r="F667" s="120">
        <v>1</v>
      </c>
      <c r="G667" s="120">
        <v>341800</v>
      </c>
    </row>
    <row r="668" spans="1:7" ht="15.75">
      <c r="A668" s="119">
        <v>660</v>
      </c>
      <c r="B668" s="119" t="s">
        <v>500</v>
      </c>
      <c r="C668" s="119" t="s">
        <v>625</v>
      </c>
      <c r="D668" s="119" t="s">
        <v>626</v>
      </c>
      <c r="E668" s="119" t="s">
        <v>86</v>
      </c>
      <c r="F668" s="120">
        <v>1</v>
      </c>
      <c r="G668" s="120">
        <v>229200</v>
      </c>
    </row>
    <row r="669" spans="1:7" ht="15.75">
      <c r="A669" s="119">
        <v>661</v>
      </c>
      <c r="B669" s="119" t="s">
        <v>500</v>
      </c>
      <c r="C669" s="119" t="s">
        <v>633</v>
      </c>
      <c r="D669" s="119" t="s">
        <v>634</v>
      </c>
      <c r="E669" s="119" t="s">
        <v>90</v>
      </c>
      <c r="F669" s="120">
        <v>1</v>
      </c>
      <c r="G669" s="120">
        <v>269200</v>
      </c>
    </row>
    <row r="670" spans="1:7" ht="15.75">
      <c r="A670" s="119">
        <v>662</v>
      </c>
      <c r="B670" s="119" t="s">
        <v>500</v>
      </c>
      <c r="C670" s="119" t="s">
        <v>635</v>
      </c>
      <c r="D670" s="119" t="s">
        <v>636</v>
      </c>
      <c r="E670" s="119" t="s">
        <v>89</v>
      </c>
      <c r="F670" s="120">
        <v>1</v>
      </c>
      <c r="G670" s="120">
        <v>341800</v>
      </c>
    </row>
    <row r="671" spans="1:7" ht="15.75">
      <c r="A671" s="119">
        <v>663</v>
      </c>
      <c r="B671" s="119" t="s">
        <v>500</v>
      </c>
      <c r="C671" s="119" t="s">
        <v>687</v>
      </c>
      <c r="D671" s="119" t="s">
        <v>688</v>
      </c>
      <c r="E671" s="119" t="s">
        <v>87</v>
      </c>
      <c r="F671" s="120">
        <v>1</v>
      </c>
      <c r="G671" s="120">
        <v>222300</v>
      </c>
    </row>
    <row r="672" spans="1:7" ht="15.75">
      <c r="A672" s="119">
        <v>664</v>
      </c>
      <c r="B672" s="119" t="s">
        <v>500</v>
      </c>
      <c r="C672" s="119" t="s">
        <v>693</v>
      </c>
      <c r="D672" s="119" t="s">
        <v>147</v>
      </c>
      <c r="E672" s="119" t="s">
        <v>87</v>
      </c>
      <c r="F672" s="120">
        <v>1</v>
      </c>
      <c r="G672" s="120">
        <v>222300</v>
      </c>
    </row>
    <row r="673" spans="1:7" ht="15.75">
      <c r="A673" s="119">
        <v>665</v>
      </c>
      <c r="B673" s="119" t="s">
        <v>500</v>
      </c>
      <c r="C673" s="119" t="s">
        <v>695</v>
      </c>
      <c r="D673" s="119" t="s">
        <v>696</v>
      </c>
      <c r="E673" s="119" t="s">
        <v>87</v>
      </c>
      <c r="F673" s="120">
        <v>1</v>
      </c>
      <c r="G673" s="120">
        <v>250000</v>
      </c>
    </row>
    <row r="674" spans="1:7" ht="15.75">
      <c r="A674" s="119">
        <v>666</v>
      </c>
      <c r="B674" s="119" t="s">
        <v>500</v>
      </c>
      <c r="C674" s="119" t="s">
        <v>702</v>
      </c>
      <c r="D674" s="119" t="s">
        <v>703</v>
      </c>
      <c r="E674" s="119" t="s">
        <v>90</v>
      </c>
      <c r="F674" s="120">
        <v>1</v>
      </c>
      <c r="G674" s="120">
        <v>269200</v>
      </c>
    </row>
    <row r="675" spans="1:7" ht="15.75">
      <c r="A675" s="119">
        <v>667</v>
      </c>
      <c r="B675" s="119" t="s">
        <v>500</v>
      </c>
      <c r="C675" s="119" t="s">
        <v>715</v>
      </c>
      <c r="D675" s="119" t="s">
        <v>716</v>
      </c>
      <c r="E675" s="119" t="s">
        <v>87</v>
      </c>
      <c r="F675" s="120">
        <v>1</v>
      </c>
      <c r="G675" s="120">
        <v>222300</v>
      </c>
    </row>
    <row r="676" spans="1:7" ht="15.75">
      <c r="A676" s="119">
        <v>668</v>
      </c>
      <c r="B676" s="119" t="s">
        <v>500</v>
      </c>
      <c r="C676" s="119" t="s">
        <v>719</v>
      </c>
      <c r="D676" s="119" t="s">
        <v>720</v>
      </c>
      <c r="E676" s="119" t="s">
        <v>87</v>
      </c>
      <c r="F676" s="120">
        <v>1</v>
      </c>
      <c r="G676" s="120">
        <v>222300</v>
      </c>
    </row>
    <row r="677" spans="1:7" ht="15.75">
      <c r="A677" s="119">
        <v>669</v>
      </c>
      <c r="B677" s="119" t="s">
        <v>500</v>
      </c>
      <c r="C677" s="119" t="s">
        <v>723</v>
      </c>
      <c r="D677" s="119" t="s">
        <v>100</v>
      </c>
      <c r="E677" s="119" t="s">
        <v>87</v>
      </c>
      <c r="F677" s="120">
        <v>1</v>
      </c>
      <c r="G677" s="120">
        <v>222300</v>
      </c>
    </row>
    <row r="678" spans="1:7" ht="15.75">
      <c r="A678" s="119">
        <v>670</v>
      </c>
      <c r="B678" s="119" t="s">
        <v>500</v>
      </c>
      <c r="C678" s="119" t="s">
        <v>236</v>
      </c>
      <c r="D678" s="119" t="s">
        <v>730</v>
      </c>
      <c r="E678" s="119" t="s">
        <v>87</v>
      </c>
      <c r="F678" s="120">
        <v>1</v>
      </c>
      <c r="G678" s="120">
        <v>222300</v>
      </c>
    </row>
    <row r="679" spans="1:7" ht="15.75">
      <c r="A679" s="119">
        <v>671</v>
      </c>
      <c r="B679" s="119" t="s">
        <v>500</v>
      </c>
      <c r="C679" s="119" t="s">
        <v>749</v>
      </c>
      <c r="D679" s="119" t="s">
        <v>750</v>
      </c>
      <c r="E679" s="119" t="s">
        <v>87</v>
      </c>
      <c r="F679" s="120">
        <v>1</v>
      </c>
      <c r="G679" s="120">
        <v>222300</v>
      </c>
    </row>
    <row r="680" spans="1:7" ht="15.75">
      <c r="A680" s="119">
        <v>672</v>
      </c>
      <c r="B680" s="119" t="s">
        <v>500</v>
      </c>
      <c r="C680" s="119" t="s">
        <v>763</v>
      </c>
      <c r="D680" s="119" t="s">
        <v>764</v>
      </c>
      <c r="E680" s="119" t="s">
        <v>87</v>
      </c>
      <c r="F680" s="120">
        <v>1</v>
      </c>
      <c r="G680" s="120">
        <v>222300</v>
      </c>
    </row>
    <row r="681" spans="1:7" ht="15.75">
      <c r="A681" s="119">
        <v>673</v>
      </c>
      <c r="B681" s="119" t="s">
        <v>500</v>
      </c>
      <c r="C681" s="119" t="s">
        <v>769</v>
      </c>
      <c r="D681" s="119" t="s">
        <v>770</v>
      </c>
      <c r="E681" s="119" t="s">
        <v>87</v>
      </c>
      <c r="F681" s="120">
        <v>1</v>
      </c>
      <c r="G681" s="120">
        <v>222300</v>
      </c>
    </row>
    <row r="682" spans="1:7" ht="15.75">
      <c r="A682" s="119">
        <v>674</v>
      </c>
      <c r="B682" s="119" t="s">
        <v>500</v>
      </c>
      <c r="C682" s="119" t="s">
        <v>778</v>
      </c>
      <c r="D682" s="119" t="s">
        <v>117</v>
      </c>
      <c r="E682" s="119" t="s">
        <v>89</v>
      </c>
      <c r="F682" s="120">
        <v>1</v>
      </c>
      <c r="G682" s="120">
        <v>341800</v>
      </c>
    </row>
    <row r="683" spans="1:7" ht="15.75">
      <c r="A683" s="119">
        <v>675</v>
      </c>
      <c r="B683" s="119" t="s">
        <v>500</v>
      </c>
      <c r="C683" s="119" t="s">
        <v>892</v>
      </c>
      <c r="D683" s="119" t="s">
        <v>893</v>
      </c>
      <c r="E683" s="119" t="s">
        <v>89</v>
      </c>
      <c r="F683" s="120">
        <v>1</v>
      </c>
      <c r="G683" s="120">
        <v>341800</v>
      </c>
    </row>
    <row r="684" spans="1:7" ht="15.75">
      <c r="A684" s="119">
        <v>676</v>
      </c>
      <c r="B684" s="119" t="s">
        <v>500</v>
      </c>
      <c r="C684" s="119" t="s">
        <v>396</v>
      </c>
      <c r="D684" s="119" t="s">
        <v>103</v>
      </c>
      <c r="E684" s="119" t="s">
        <v>86</v>
      </c>
      <c r="F684" s="120">
        <v>1</v>
      </c>
      <c r="G684" s="120">
        <v>229200</v>
      </c>
    </row>
    <row r="685" spans="1:7" ht="15.75">
      <c r="A685" s="119">
        <v>677</v>
      </c>
      <c r="B685" s="119" t="s">
        <v>500</v>
      </c>
      <c r="C685" s="119" t="s">
        <v>948</v>
      </c>
      <c r="D685" s="119" t="s">
        <v>949</v>
      </c>
      <c r="E685" s="119" t="s">
        <v>87</v>
      </c>
      <c r="F685" s="120">
        <v>1</v>
      </c>
      <c r="G685" s="120">
        <v>222300</v>
      </c>
    </row>
    <row r="686" spans="1:7" ht="15.75">
      <c r="A686" s="119">
        <v>678</v>
      </c>
      <c r="B686" s="119" t="s">
        <v>500</v>
      </c>
      <c r="C686" s="119" t="s">
        <v>958</v>
      </c>
      <c r="D686" s="119" t="s">
        <v>959</v>
      </c>
      <c r="E686" s="119" t="s">
        <v>90</v>
      </c>
      <c r="F686" s="120">
        <v>1</v>
      </c>
      <c r="G686" s="120">
        <v>269200</v>
      </c>
    </row>
    <row r="687" spans="1:7" ht="15.75">
      <c r="A687" s="119">
        <v>679</v>
      </c>
      <c r="B687" s="119" t="s">
        <v>500</v>
      </c>
      <c r="C687" s="119" t="s">
        <v>974</v>
      </c>
      <c r="D687" s="119" t="s">
        <v>103</v>
      </c>
      <c r="E687" s="119" t="s">
        <v>87</v>
      </c>
      <c r="F687" s="120">
        <v>1</v>
      </c>
      <c r="G687" s="120">
        <v>222300</v>
      </c>
    </row>
    <row r="688" spans="1:7" ht="15.75">
      <c r="A688" s="119">
        <v>680</v>
      </c>
      <c r="B688" s="119" t="s">
        <v>500</v>
      </c>
      <c r="C688" s="119" t="s">
        <v>976</v>
      </c>
      <c r="D688" s="119" t="s">
        <v>977</v>
      </c>
      <c r="E688" s="119" t="s">
        <v>89</v>
      </c>
      <c r="F688" s="120">
        <v>1</v>
      </c>
      <c r="G688" s="120">
        <v>341800</v>
      </c>
    </row>
    <row r="689" spans="1:7" ht="15.75">
      <c r="A689" s="119">
        <v>681</v>
      </c>
      <c r="B689" s="119" t="s">
        <v>500</v>
      </c>
      <c r="C689" s="119" t="s">
        <v>983</v>
      </c>
      <c r="D689" s="119" t="s">
        <v>984</v>
      </c>
      <c r="E689" s="119" t="s">
        <v>89</v>
      </c>
      <c r="F689" s="120">
        <v>1</v>
      </c>
      <c r="G689" s="120">
        <v>341800</v>
      </c>
    </row>
    <row r="690" spans="1:7" ht="15.75">
      <c r="A690" s="119">
        <v>682</v>
      </c>
      <c r="B690" s="119" t="s">
        <v>500</v>
      </c>
      <c r="C690" s="119" t="s">
        <v>989</v>
      </c>
      <c r="D690" s="119" t="s">
        <v>94</v>
      </c>
      <c r="E690" s="119" t="s">
        <v>87</v>
      </c>
      <c r="F690" s="120">
        <v>1</v>
      </c>
      <c r="G690" s="120">
        <v>222300</v>
      </c>
    </row>
    <row r="691" spans="1:7" ht="15.75">
      <c r="A691" s="119">
        <v>683</v>
      </c>
      <c r="B691" s="119" t="s">
        <v>500</v>
      </c>
      <c r="C691" s="119" t="s">
        <v>994</v>
      </c>
      <c r="D691" s="119" t="s">
        <v>995</v>
      </c>
      <c r="E691" s="119" t="s">
        <v>89</v>
      </c>
      <c r="F691" s="120">
        <v>1</v>
      </c>
      <c r="G691" s="120">
        <v>341800</v>
      </c>
    </row>
    <row r="692" spans="1:7" ht="15.75">
      <c r="A692" s="119">
        <v>684</v>
      </c>
      <c r="B692" s="119" t="s">
        <v>500</v>
      </c>
      <c r="C692" s="119" t="s">
        <v>639</v>
      </c>
      <c r="D692" s="119" t="s">
        <v>640</v>
      </c>
      <c r="E692" s="119" t="s">
        <v>88</v>
      </c>
      <c r="F692" s="120">
        <v>1</v>
      </c>
      <c r="G692" s="120">
        <v>301600</v>
      </c>
    </row>
    <row r="693" spans="1:7" ht="15.75">
      <c r="A693" s="119">
        <v>685</v>
      </c>
      <c r="B693" s="119" t="s">
        <v>500</v>
      </c>
      <c r="C693" s="119" t="s">
        <v>671</v>
      </c>
      <c r="D693" s="119" t="s">
        <v>672</v>
      </c>
      <c r="E693" s="119" t="s">
        <v>89</v>
      </c>
      <c r="F693" s="120">
        <v>1</v>
      </c>
      <c r="G693" s="120">
        <v>341800</v>
      </c>
    </row>
    <row r="694" spans="1:7" ht="15.75">
      <c r="A694" s="119">
        <v>686</v>
      </c>
      <c r="B694" s="119" t="s">
        <v>500</v>
      </c>
      <c r="C694" s="119" t="s">
        <v>197</v>
      </c>
      <c r="D694" s="119" t="s">
        <v>153</v>
      </c>
      <c r="E694" s="119" t="s">
        <v>88</v>
      </c>
      <c r="F694" s="120">
        <v>1</v>
      </c>
      <c r="G694" s="120">
        <v>301600</v>
      </c>
    </row>
    <row r="695" spans="1:7" ht="15.75">
      <c r="A695" s="119">
        <v>687</v>
      </c>
      <c r="B695" s="119" t="s">
        <v>500</v>
      </c>
      <c r="C695" s="119" t="s">
        <v>1004</v>
      </c>
      <c r="D695" s="119" t="s">
        <v>136</v>
      </c>
      <c r="E695" s="119" t="s">
        <v>87</v>
      </c>
      <c r="F695" s="120">
        <v>1</v>
      </c>
      <c r="G695" s="120">
        <v>222300</v>
      </c>
    </row>
    <row r="696" spans="1:7" ht="17.25" hidden="1" customHeight="1">
      <c r="A696" s="119">
        <v>688</v>
      </c>
      <c r="B696" s="119" t="s">
        <v>500</v>
      </c>
      <c r="C696" s="119" t="s">
        <v>766</v>
      </c>
      <c r="D696" s="119" t="s">
        <v>98</v>
      </c>
      <c r="E696" s="119" t="s">
        <v>90</v>
      </c>
      <c r="F696" s="120">
        <v>1</v>
      </c>
      <c r="G696" s="120">
        <v>269200</v>
      </c>
    </row>
    <row r="697" spans="1:7" ht="17.25" hidden="1" customHeight="1">
      <c r="A697" s="119">
        <v>689</v>
      </c>
      <c r="B697" s="119" t="s">
        <v>500</v>
      </c>
      <c r="C697" s="119" t="s">
        <v>867</v>
      </c>
      <c r="D697" s="119" t="s">
        <v>161</v>
      </c>
      <c r="E697" s="119" t="s">
        <v>89</v>
      </c>
      <c r="F697" s="120">
        <v>1</v>
      </c>
      <c r="G697" s="120">
        <v>341800</v>
      </c>
    </row>
    <row r="698" spans="1:7" ht="17.25" hidden="1" customHeight="1">
      <c r="A698" s="119">
        <v>690</v>
      </c>
      <c r="B698" s="119" t="s">
        <v>500</v>
      </c>
      <c r="C698" s="119" t="s">
        <v>896</v>
      </c>
      <c r="D698" s="119" t="s">
        <v>154</v>
      </c>
      <c r="E698" s="119" t="s">
        <v>90</v>
      </c>
      <c r="F698" s="120">
        <v>1</v>
      </c>
      <c r="G698" s="120">
        <v>269200</v>
      </c>
    </row>
    <row r="699" spans="1:7" ht="17.25" hidden="1" customHeight="1">
      <c r="A699" s="119">
        <v>691</v>
      </c>
      <c r="B699" s="119" t="s">
        <v>500</v>
      </c>
      <c r="C699" s="119" t="s">
        <v>222</v>
      </c>
      <c r="D699" s="119" t="s">
        <v>100</v>
      </c>
      <c r="E699" s="119" t="s">
        <v>90</v>
      </c>
      <c r="F699" s="120">
        <v>1</v>
      </c>
      <c r="G699" s="120">
        <v>269200</v>
      </c>
    </row>
    <row r="700" spans="1:7" ht="17.25" customHeight="1">
      <c r="A700" s="119">
        <v>692</v>
      </c>
      <c r="B700" s="119" t="s">
        <v>900</v>
      </c>
      <c r="C700" s="119" t="s">
        <v>898</v>
      </c>
      <c r="D700" s="119" t="s">
        <v>108</v>
      </c>
      <c r="E700" s="119" t="s">
        <v>87</v>
      </c>
      <c r="F700" s="120">
        <v>1</v>
      </c>
      <c r="G700" s="120">
        <v>222300</v>
      </c>
    </row>
    <row r="701" spans="1:7" ht="17.25" customHeight="1">
      <c r="A701" s="119">
        <v>693</v>
      </c>
      <c r="B701" s="119" t="s">
        <v>727</v>
      </c>
      <c r="C701" s="119" t="s">
        <v>238</v>
      </c>
      <c r="D701" s="119" t="s">
        <v>725</v>
      </c>
      <c r="E701" s="119" t="s">
        <v>87</v>
      </c>
      <c r="F701" s="120">
        <v>1</v>
      </c>
      <c r="G701" s="120">
        <v>222300</v>
      </c>
    </row>
    <row r="702" spans="1:7" ht="17.25" customHeight="1">
      <c r="A702" s="119">
        <v>694</v>
      </c>
      <c r="B702" s="119" t="s">
        <v>490</v>
      </c>
      <c r="C702" s="119" t="s">
        <v>486</v>
      </c>
      <c r="D702" s="119" t="s">
        <v>487</v>
      </c>
      <c r="E702" s="119" t="s">
        <v>90</v>
      </c>
      <c r="F702" s="120">
        <v>1</v>
      </c>
      <c r="G702" s="120">
        <v>269200</v>
      </c>
    </row>
    <row r="703" spans="1:7" ht="17.25" customHeight="1">
      <c r="A703" s="119">
        <v>695</v>
      </c>
      <c r="B703" s="119" t="s">
        <v>490</v>
      </c>
      <c r="C703" s="119" t="s">
        <v>499</v>
      </c>
      <c r="D703" s="119" t="s">
        <v>104</v>
      </c>
      <c r="E703" s="119" t="s">
        <v>87</v>
      </c>
      <c r="F703" s="120">
        <v>1</v>
      </c>
      <c r="G703" s="120">
        <v>222300</v>
      </c>
    </row>
    <row r="704" spans="1:7" ht="17.25" customHeight="1">
      <c r="A704" s="119">
        <v>696</v>
      </c>
      <c r="B704" s="119" t="s">
        <v>490</v>
      </c>
      <c r="C704" s="119" t="s">
        <v>504</v>
      </c>
      <c r="D704" s="119" t="s">
        <v>505</v>
      </c>
      <c r="E704" s="119" t="s">
        <v>87</v>
      </c>
      <c r="F704" s="120">
        <v>1</v>
      </c>
      <c r="G704" s="120">
        <v>222300</v>
      </c>
    </row>
    <row r="705" spans="1:7" ht="17.25" customHeight="1">
      <c r="A705" s="119">
        <v>697</v>
      </c>
      <c r="B705" s="119" t="s">
        <v>490</v>
      </c>
      <c r="C705" s="119" t="s">
        <v>625</v>
      </c>
      <c r="D705" s="119" t="s">
        <v>626</v>
      </c>
      <c r="E705" s="119" t="s">
        <v>86</v>
      </c>
      <c r="F705" s="120">
        <v>1</v>
      </c>
      <c r="G705" s="120">
        <v>229200</v>
      </c>
    </row>
    <row r="706" spans="1:7" ht="17.25" customHeight="1">
      <c r="A706" s="119">
        <v>698</v>
      </c>
      <c r="B706" s="119" t="s">
        <v>490</v>
      </c>
      <c r="C706" s="119" t="s">
        <v>633</v>
      </c>
      <c r="D706" s="119" t="s">
        <v>634</v>
      </c>
      <c r="E706" s="119" t="s">
        <v>90</v>
      </c>
      <c r="F706" s="120">
        <v>1</v>
      </c>
      <c r="G706" s="120">
        <v>269200</v>
      </c>
    </row>
    <row r="707" spans="1:7" ht="17.25" customHeight="1">
      <c r="A707" s="119">
        <v>699</v>
      </c>
      <c r="B707" s="119" t="s">
        <v>490</v>
      </c>
      <c r="C707" s="119" t="s">
        <v>635</v>
      </c>
      <c r="D707" s="119" t="s">
        <v>636</v>
      </c>
      <c r="E707" s="119" t="s">
        <v>89</v>
      </c>
      <c r="F707" s="120">
        <v>1</v>
      </c>
      <c r="G707" s="120">
        <v>341800</v>
      </c>
    </row>
    <row r="708" spans="1:7" ht="17.25" customHeight="1">
      <c r="A708" s="119">
        <v>700</v>
      </c>
      <c r="B708" s="119" t="s">
        <v>490</v>
      </c>
      <c r="C708" s="119" t="s">
        <v>687</v>
      </c>
      <c r="D708" s="119" t="s">
        <v>688</v>
      </c>
      <c r="E708" s="119" t="s">
        <v>87</v>
      </c>
      <c r="F708" s="120">
        <v>1</v>
      </c>
      <c r="G708" s="120">
        <v>222300</v>
      </c>
    </row>
    <row r="709" spans="1:7" ht="17.25" customHeight="1">
      <c r="A709" s="119">
        <v>701</v>
      </c>
      <c r="B709" s="119" t="s">
        <v>490</v>
      </c>
      <c r="C709" s="119" t="s">
        <v>693</v>
      </c>
      <c r="D709" s="119" t="s">
        <v>147</v>
      </c>
      <c r="E709" s="119" t="s">
        <v>87</v>
      </c>
      <c r="F709" s="120">
        <v>1</v>
      </c>
      <c r="G709" s="120">
        <v>222300</v>
      </c>
    </row>
    <row r="710" spans="1:7" ht="17.25" customHeight="1">
      <c r="A710" s="119">
        <v>702</v>
      </c>
      <c r="B710" s="119" t="s">
        <v>490</v>
      </c>
      <c r="C710" s="119" t="s">
        <v>695</v>
      </c>
      <c r="D710" s="119" t="s">
        <v>696</v>
      </c>
      <c r="E710" s="119" t="s">
        <v>87</v>
      </c>
      <c r="F710" s="120">
        <v>1</v>
      </c>
      <c r="G710" s="120">
        <v>250000</v>
      </c>
    </row>
    <row r="711" spans="1:7" ht="17.25" customHeight="1">
      <c r="A711" s="119">
        <v>703</v>
      </c>
      <c r="B711" s="119" t="s">
        <v>490</v>
      </c>
      <c r="C711" s="119" t="s">
        <v>702</v>
      </c>
      <c r="D711" s="119" t="s">
        <v>703</v>
      </c>
      <c r="E711" s="119" t="s">
        <v>90</v>
      </c>
      <c r="F711" s="120">
        <v>1</v>
      </c>
      <c r="G711" s="120">
        <v>269200</v>
      </c>
    </row>
    <row r="712" spans="1:7" ht="17.25" customHeight="1">
      <c r="A712" s="119">
        <v>704</v>
      </c>
      <c r="B712" s="119" t="s">
        <v>490</v>
      </c>
      <c r="C712" s="119" t="s">
        <v>715</v>
      </c>
      <c r="D712" s="119" t="s">
        <v>716</v>
      </c>
      <c r="E712" s="119" t="s">
        <v>87</v>
      </c>
      <c r="F712" s="120">
        <v>1</v>
      </c>
      <c r="G712" s="120">
        <v>222300</v>
      </c>
    </row>
    <row r="713" spans="1:7" ht="17.25" customHeight="1">
      <c r="A713" s="119">
        <v>705</v>
      </c>
      <c r="B713" s="119" t="s">
        <v>490</v>
      </c>
      <c r="C713" s="119" t="s">
        <v>719</v>
      </c>
      <c r="D713" s="119" t="s">
        <v>720</v>
      </c>
      <c r="E713" s="119" t="s">
        <v>87</v>
      </c>
      <c r="F713" s="120">
        <v>1</v>
      </c>
      <c r="G713" s="120">
        <v>222300</v>
      </c>
    </row>
    <row r="714" spans="1:7" ht="17.25" customHeight="1">
      <c r="A714" s="119">
        <v>706</v>
      </c>
      <c r="B714" s="119" t="s">
        <v>490</v>
      </c>
      <c r="C714" s="119" t="s">
        <v>723</v>
      </c>
      <c r="D714" s="119" t="s">
        <v>100</v>
      </c>
      <c r="E714" s="119" t="s">
        <v>87</v>
      </c>
      <c r="F714" s="120">
        <v>1</v>
      </c>
      <c r="G714" s="120">
        <v>222300</v>
      </c>
    </row>
    <row r="715" spans="1:7" ht="17.25" customHeight="1">
      <c r="A715" s="119">
        <v>707</v>
      </c>
      <c r="B715" s="119" t="s">
        <v>490</v>
      </c>
      <c r="C715" s="119" t="s">
        <v>238</v>
      </c>
      <c r="D715" s="119" t="s">
        <v>725</v>
      </c>
      <c r="E715" s="119" t="s">
        <v>87</v>
      </c>
      <c r="F715" s="120">
        <v>1</v>
      </c>
      <c r="G715" s="120">
        <v>222300</v>
      </c>
    </row>
    <row r="716" spans="1:7" ht="17.25" customHeight="1">
      <c r="A716" s="119">
        <v>708</v>
      </c>
      <c r="B716" s="119" t="s">
        <v>490</v>
      </c>
      <c r="C716" s="119" t="s">
        <v>236</v>
      </c>
      <c r="D716" s="119" t="s">
        <v>730</v>
      </c>
      <c r="E716" s="119" t="s">
        <v>87</v>
      </c>
      <c r="F716" s="120">
        <v>1</v>
      </c>
      <c r="G716" s="120">
        <v>222300</v>
      </c>
    </row>
    <row r="717" spans="1:7" ht="17.25" customHeight="1">
      <c r="A717" s="119">
        <v>709</v>
      </c>
      <c r="B717" s="119" t="s">
        <v>490</v>
      </c>
      <c r="C717" s="119" t="s">
        <v>749</v>
      </c>
      <c r="D717" s="119" t="s">
        <v>750</v>
      </c>
      <c r="E717" s="119" t="s">
        <v>87</v>
      </c>
      <c r="F717" s="120">
        <v>1</v>
      </c>
      <c r="G717" s="120">
        <v>222300</v>
      </c>
    </row>
    <row r="718" spans="1:7" ht="17.25" customHeight="1">
      <c r="A718" s="119">
        <v>710</v>
      </c>
      <c r="B718" s="119" t="s">
        <v>490</v>
      </c>
      <c r="C718" s="119" t="s">
        <v>763</v>
      </c>
      <c r="D718" s="119" t="s">
        <v>764</v>
      </c>
      <c r="E718" s="119" t="s">
        <v>87</v>
      </c>
      <c r="F718" s="120">
        <v>1</v>
      </c>
      <c r="G718" s="120">
        <v>222300</v>
      </c>
    </row>
    <row r="719" spans="1:7" ht="17.25" customHeight="1">
      <c r="A719" s="119">
        <v>711</v>
      </c>
      <c r="B719" s="119" t="s">
        <v>490</v>
      </c>
      <c r="C719" s="119" t="s">
        <v>769</v>
      </c>
      <c r="D719" s="119" t="s">
        <v>770</v>
      </c>
      <c r="E719" s="119" t="s">
        <v>87</v>
      </c>
      <c r="F719" s="120">
        <v>1</v>
      </c>
      <c r="G719" s="120">
        <v>222300</v>
      </c>
    </row>
    <row r="720" spans="1:7" ht="17.25" customHeight="1">
      <c r="A720" s="119">
        <v>712</v>
      </c>
      <c r="B720" s="119" t="s">
        <v>490</v>
      </c>
      <c r="C720" s="119" t="s">
        <v>778</v>
      </c>
      <c r="D720" s="119" t="s">
        <v>117</v>
      </c>
      <c r="E720" s="119" t="s">
        <v>89</v>
      </c>
      <c r="F720" s="120">
        <v>1</v>
      </c>
      <c r="G720" s="120">
        <v>341800</v>
      </c>
    </row>
    <row r="721" spans="1:7" ht="17.25" customHeight="1">
      <c r="A721" s="119">
        <v>713</v>
      </c>
      <c r="B721" s="119" t="s">
        <v>490</v>
      </c>
      <c r="C721" s="119" t="s">
        <v>892</v>
      </c>
      <c r="D721" s="119" t="s">
        <v>893</v>
      </c>
      <c r="E721" s="119" t="s">
        <v>89</v>
      </c>
      <c r="F721" s="120">
        <v>1</v>
      </c>
      <c r="G721" s="120">
        <v>341800</v>
      </c>
    </row>
    <row r="722" spans="1:7" ht="17.25" customHeight="1">
      <c r="A722" s="119">
        <v>714</v>
      </c>
      <c r="B722" s="119" t="s">
        <v>490</v>
      </c>
      <c r="C722" s="119" t="s">
        <v>898</v>
      </c>
      <c r="D722" s="119" t="s">
        <v>108</v>
      </c>
      <c r="E722" s="119" t="s">
        <v>87</v>
      </c>
      <c r="F722" s="120">
        <v>1</v>
      </c>
      <c r="G722" s="120">
        <v>222300</v>
      </c>
    </row>
    <row r="723" spans="1:7" ht="17.25" customHeight="1">
      <c r="A723" s="119">
        <v>715</v>
      </c>
      <c r="B723" s="119" t="s">
        <v>490</v>
      </c>
      <c r="C723" s="119" t="s">
        <v>396</v>
      </c>
      <c r="D723" s="119" t="s">
        <v>103</v>
      </c>
      <c r="E723" s="119" t="s">
        <v>86</v>
      </c>
      <c r="F723" s="120">
        <v>1</v>
      </c>
      <c r="G723" s="120">
        <v>229200</v>
      </c>
    </row>
    <row r="724" spans="1:7" ht="17.25" customHeight="1">
      <c r="A724" s="119">
        <v>716</v>
      </c>
      <c r="B724" s="119" t="s">
        <v>490</v>
      </c>
      <c r="C724" s="119" t="s">
        <v>948</v>
      </c>
      <c r="D724" s="119" t="s">
        <v>949</v>
      </c>
      <c r="E724" s="119" t="s">
        <v>87</v>
      </c>
      <c r="F724" s="120">
        <v>1</v>
      </c>
      <c r="G724" s="120">
        <v>222300</v>
      </c>
    </row>
    <row r="725" spans="1:7" ht="17.25" customHeight="1">
      <c r="A725" s="119">
        <v>717</v>
      </c>
      <c r="B725" s="119" t="s">
        <v>490</v>
      </c>
      <c r="C725" s="119" t="s">
        <v>958</v>
      </c>
      <c r="D725" s="119" t="s">
        <v>959</v>
      </c>
      <c r="E725" s="119" t="s">
        <v>90</v>
      </c>
      <c r="F725" s="120">
        <v>1</v>
      </c>
      <c r="G725" s="120">
        <v>269200</v>
      </c>
    </row>
    <row r="726" spans="1:7" ht="17.25" customHeight="1">
      <c r="A726" s="119">
        <v>718</v>
      </c>
      <c r="B726" s="119" t="s">
        <v>490</v>
      </c>
      <c r="C726" s="119" t="s">
        <v>974</v>
      </c>
      <c r="D726" s="119" t="s">
        <v>103</v>
      </c>
      <c r="E726" s="119" t="s">
        <v>87</v>
      </c>
      <c r="F726" s="120">
        <v>1</v>
      </c>
      <c r="G726" s="120">
        <v>222300</v>
      </c>
    </row>
    <row r="727" spans="1:7" ht="17.25" customHeight="1">
      <c r="A727" s="119">
        <v>719</v>
      </c>
      <c r="B727" s="119" t="s">
        <v>490</v>
      </c>
      <c r="C727" s="119" t="s">
        <v>976</v>
      </c>
      <c r="D727" s="119" t="s">
        <v>977</v>
      </c>
      <c r="E727" s="119" t="s">
        <v>89</v>
      </c>
      <c r="F727" s="120">
        <v>1</v>
      </c>
      <c r="G727" s="120">
        <v>341800</v>
      </c>
    </row>
    <row r="728" spans="1:7" ht="17.25" customHeight="1">
      <c r="A728" s="119">
        <v>720</v>
      </c>
      <c r="B728" s="119" t="s">
        <v>490</v>
      </c>
      <c r="C728" s="119" t="s">
        <v>983</v>
      </c>
      <c r="D728" s="119" t="s">
        <v>984</v>
      </c>
      <c r="E728" s="119" t="s">
        <v>89</v>
      </c>
      <c r="F728" s="120">
        <v>1</v>
      </c>
      <c r="G728" s="120">
        <v>341800</v>
      </c>
    </row>
    <row r="729" spans="1:7" ht="17.25" customHeight="1">
      <c r="A729" s="119">
        <v>721</v>
      </c>
      <c r="B729" s="119" t="s">
        <v>490</v>
      </c>
      <c r="C729" s="119" t="s">
        <v>994</v>
      </c>
      <c r="D729" s="119" t="s">
        <v>995</v>
      </c>
      <c r="E729" s="119" t="s">
        <v>89</v>
      </c>
      <c r="F729" s="120">
        <v>1</v>
      </c>
      <c r="G729" s="120">
        <v>341800</v>
      </c>
    </row>
    <row r="730" spans="1:7" ht="17.25" customHeight="1">
      <c r="A730" s="119">
        <v>722</v>
      </c>
      <c r="B730" s="119" t="s">
        <v>490</v>
      </c>
      <c r="C730" s="119" t="s">
        <v>639</v>
      </c>
      <c r="D730" s="119" t="s">
        <v>640</v>
      </c>
      <c r="E730" s="119" t="s">
        <v>88</v>
      </c>
      <c r="F730" s="120">
        <v>1</v>
      </c>
      <c r="G730" s="120">
        <v>301600</v>
      </c>
    </row>
    <row r="731" spans="1:7" ht="17.25" customHeight="1">
      <c r="A731" s="119">
        <v>723</v>
      </c>
      <c r="B731" s="119" t="s">
        <v>490</v>
      </c>
      <c r="C731" s="119" t="s">
        <v>671</v>
      </c>
      <c r="D731" s="119" t="s">
        <v>672</v>
      </c>
      <c r="E731" s="119" t="s">
        <v>89</v>
      </c>
      <c r="F731" s="120">
        <v>1</v>
      </c>
      <c r="G731" s="120">
        <v>341800</v>
      </c>
    </row>
    <row r="732" spans="1:7" ht="17.25" customHeight="1">
      <c r="A732" s="119">
        <v>724</v>
      </c>
      <c r="B732" s="119" t="s">
        <v>490</v>
      </c>
      <c r="C732" s="119" t="s">
        <v>197</v>
      </c>
      <c r="D732" s="119" t="s">
        <v>153</v>
      </c>
      <c r="E732" s="119" t="s">
        <v>88</v>
      </c>
      <c r="F732" s="120">
        <v>1</v>
      </c>
      <c r="G732" s="120">
        <v>301600</v>
      </c>
    </row>
    <row r="733" spans="1:7" ht="17.25" customHeight="1">
      <c r="A733" s="119">
        <v>725</v>
      </c>
      <c r="B733" s="119" t="s">
        <v>490</v>
      </c>
      <c r="C733" s="119" t="s">
        <v>1004</v>
      </c>
      <c r="D733" s="119" t="s">
        <v>136</v>
      </c>
      <c r="E733" s="119" t="s">
        <v>87</v>
      </c>
      <c r="F733" s="120">
        <v>1</v>
      </c>
      <c r="G733" s="120">
        <v>222300</v>
      </c>
    </row>
    <row r="734" spans="1:7" ht="17.25" customHeight="1">
      <c r="A734" s="119">
        <v>726</v>
      </c>
      <c r="B734" s="119" t="s">
        <v>490</v>
      </c>
      <c r="C734" s="119" t="s">
        <v>766</v>
      </c>
      <c r="D734" s="119" t="s">
        <v>98</v>
      </c>
      <c r="E734" s="119" t="s">
        <v>90</v>
      </c>
      <c r="F734" s="120">
        <v>1</v>
      </c>
      <c r="G734" s="120">
        <v>269200</v>
      </c>
    </row>
    <row r="735" spans="1:7" ht="17.25" customHeight="1">
      <c r="A735" s="119">
        <v>727</v>
      </c>
      <c r="B735" s="119" t="s">
        <v>490</v>
      </c>
      <c r="C735" s="119" t="s">
        <v>867</v>
      </c>
      <c r="D735" s="119" t="s">
        <v>161</v>
      </c>
      <c r="E735" s="119" t="s">
        <v>89</v>
      </c>
      <c r="F735" s="120">
        <v>1</v>
      </c>
      <c r="G735" s="120">
        <v>341800</v>
      </c>
    </row>
    <row r="736" spans="1:7" ht="17.25" customHeight="1">
      <c r="A736" s="119">
        <v>728</v>
      </c>
      <c r="B736" s="119" t="s">
        <v>490</v>
      </c>
      <c r="C736" s="119" t="s">
        <v>896</v>
      </c>
      <c r="D736" s="119" t="s">
        <v>154</v>
      </c>
      <c r="E736" s="119" t="s">
        <v>90</v>
      </c>
      <c r="F736" s="120">
        <v>1</v>
      </c>
      <c r="G736" s="120">
        <v>269200</v>
      </c>
    </row>
    <row r="737" spans="1:7" ht="17.25" customHeight="1">
      <c r="A737" s="119">
        <v>729</v>
      </c>
      <c r="B737" s="119" t="s">
        <v>490</v>
      </c>
      <c r="C737" s="119" t="s">
        <v>940</v>
      </c>
      <c r="D737" s="119" t="s">
        <v>97</v>
      </c>
      <c r="E737" s="119" t="s">
        <v>89</v>
      </c>
      <c r="F737" s="120">
        <v>1</v>
      </c>
      <c r="G737" s="120">
        <v>341800</v>
      </c>
    </row>
    <row r="738" spans="1:7" ht="17.25" customHeight="1">
      <c r="A738" s="119">
        <v>730</v>
      </c>
      <c r="B738" s="119" t="s">
        <v>490</v>
      </c>
      <c r="C738" s="119" t="s">
        <v>222</v>
      </c>
      <c r="D738" s="119" t="s">
        <v>100</v>
      </c>
      <c r="E738" s="119" t="s">
        <v>90</v>
      </c>
      <c r="F738" s="120">
        <v>1</v>
      </c>
      <c r="G738" s="120">
        <v>269200</v>
      </c>
    </row>
    <row r="739" spans="1:7" ht="17.25" customHeight="1">
      <c r="A739" s="119">
        <v>731</v>
      </c>
      <c r="B739" s="119" t="s">
        <v>512</v>
      </c>
      <c r="C739" s="119" t="s">
        <v>298</v>
      </c>
      <c r="D739" s="119" t="s">
        <v>107</v>
      </c>
      <c r="E739" s="119" t="s">
        <v>90</v>
      </c>
      <c r="F739" s="120">
        <v>1</v>
      </c>
      <c r="G739" s="120">
        <v>269200</v>
      </c>
    </row>
    <row r="740" spans="1:7" ht="17.25" customHeight="1">
      <c r="A740" s="119">
        <v>732</v>
      </c>
      <c r="B740" s="119" t="s">
        <v>492</v>
      </c>
      <c r="C740" s="119" t="s">
        <v>486</v>
      </c>
      <c r="D740" s="119" t="s">
        <v>487</v>
      </c>
      <c r="E740" s="119" t="s">
        <v>90</v>
      </c>
      <c r="F740" s="120">
        <v>1</v>
      </c>
      <c r="G740" s="120">
        <v>269200</v>
      </c>
    </row>
    <row r="741" spans="1:7" ht="17.25" customHeight="1">
      <c r="A741" s="119">
        <v>733</v>
      </c>
      <c r="B741" s="119" t="s">
        <v>492</v>
      </c>
      <c r="C741" s="119" t="s">
        <v>499</v>
      </c>
      <c r="D741" s="119" t="s">
        <v>104</v>
      </c>
      <c r="E741" s="119" t="s">
        <v>87</v>
      </c>
      <c r="F741" s="120">
        <v>1</v>
      </c>
      <c r="G741" s="120">
        <v>222300</v>
      </c>
    </row>
    <row r="742" spans="1:7" ht="17.25" customHeight="1">
      <c r="A742" s="119">
        <v>734</v>
      </c>
      <c r="B742" s="119" t="s">
        <v>492</v>
      </c>
      <c r="C742" s="119" t="s">
        <v>504</v>
      </c>
      <c r="D742" s="119" t="s">
        <v>505</v>
      </c>
      <c r="E742" s="119" t="s">
        <v>87</v>
      </c>
      <c r="F742" s="120">
        <v>1</v>
      </c>
      <c r="G742" s="120">
        <v>222300</v>
      </c>
    </row>
    <row r="743" spans="1:7" ht="17.25" customHeight="1">
      <c r="A743" s="119">
        <v>735</v>
      </c>
      <c r="B743" s="119" t="s">
        <v>492</v>
      </c>
      <c r="C743" s="119" t="s">
        <v>298</v>
      </c>
      <c r="D743" s="119" t="s">
        <v>107</v>
      </c>
      <c r="E743" s="119" t="s">
        <v>90</v>
      </c>
      <c r="F743" s="120">
        <v>1</v>
      </c>
      <c r="G743" s="120">
        <v>269200</v>
      </c>
    </row>
    <row r="744" spans="1:7" ht="17.25" customHeight="1">
      <c r="A744" s="119">
        <v>736</v>
      </c>
      <c r="B744" s="119" t="s">
        <v>492</v>
      </c>
      <c r="C744" s="119" t="s">
        <v>625</v>
      </c>
      <c r="D744" s="119" t="s">
        <v>626</v>
      </c>
      <c r="E744" s="119" t="s">
        <v>86</v>
      </c>
      <c r="F744" s="120">
        <v>1</v>
      </c>
      <c r="G744" s="120">
        <v>229200</v>
      </c>
    </row>
    <row r="745" spans="1:7" ht="17.25" customHeight="1">
      <c r="A745" s="119">
        <v>737</v>
      </c>
      <c r="B745" s="119" t="s">
        <v>492</v>
      </c>
      <c r="C745" s="119" t="s">
        <v>633</v>
      </c>
      <c r="D745" s="119" t="s">
        <v>634</v>
      </c>
      <c r="E745" s="119" t="s">
        <v>90</v>
      </c>
      <c r="F745" s="120">
        <v>1</v>
      </c>
      <c r="G745" s="120">
        <v>269200</v>
      </c>
    </row>
    <row r="746" spans="1:7" ht="17.25" customHeight="1">
      <c r="A746" s="119">
        <v>738</v>
      </c>
      <c r="B746" s="119" t="s">
        <v>492</v>
      </c>
      <c r="C746" s="119" t="s">
        <v>687</v>
      </c>
      <c r="D746" s="119" t="s">
        <v>688</v>
      </c>
      <c r="E746" s="119" t="s">
        <v>87</v>
      </c>
      <c r="F746" s="120">
        <v>1</v>
      </c>
      <c r="G746" s="120">
        <v>222300</v>
      </c>
    </row>
    <row r="747" spans="1:7" ht="17.25" customHeight="1">
      <c r="A747" s="119">
        <v>739</v>
      </c>
      <c r="B747" s="119" t="s">
        <v>492</v>
      </c>
      <c r="C747" s="119" t="s">
        <v>693</v>
      </c>
      <c r="D747" s="119" t="s">
        <v>147</v>
      </c>
      <c r="E747" s="119" t="s">
        <v>87</v>
      </c>
      <c r="F747" s="120">
        <v>1</v>
      </c>
      <c r="G747" s="120">
        <v>222300</v>
      </c>
    </row>
    <row r="748" spans="1:7" ht="17.25" customHeight="1">
      <c r="A748" s="119">
        <v>740</v>
      </c>
      <c r="B748" s="119" t="s">
        <v>492</v>
      </c>
      <c r="C748" s="119" t="s">
        <v>695</v>
      </c>
      <c r="D748" s="119" t="s">
        <v>696</v>
      </c>
      <c r="E748" s="119" t="s">
        <v>87</v>
      </c>
      <c r="F748" s="120">
        <v>1</v>
      </c>
      <c r="G748" s="120">
        <v>250000</v>
      </c>
    </row>
    <row r="749" spans="1:7" ht="17.25" customHeight="1">
      <c r="A749" s="119">
        <v>741</v>
      </c>
      <c r="B749" s="119" t="s">
        <v>492</v>
      </c>
      <c r="C749" s="119" t="s">
        <v>719</v>
      </c>
      <c r="D749" s="119" t="s">
        <v>720</v>
      </c>
      <c r="E749" s="119" t="s">
        <v>87</v>
      </c>
      <c r="F749" s="120">
        <v>1</v>
      </c>
      <c r="G749" s="120">
        <v>222300</v>
      </c>
    </row>
    <row r="750" spans="1:7" ht="17.25" customHeight="1">
      <c r="A750" s="119">
        <v>742</v>
      </c>
      <c r="B750" s="119" t="s">
        <v>492</v>
      </c>
      <c r="C750" s="119" t="s">
        <v>238</v>
      </c>
      <c r="D750" s="119" t="s">
        <v>725</v>
      </c>
      <c r="E750" s="119" t="s">
        <v>87</v>
      </c>
      <c r="F750" s="120">
        <v>1</v>
      </c>
      <c r="G750" s="120">
        <v>222300</v>
      </c>
    </row>
    <row r="751" spans="1:7" ht="17.25" customHeight="1">
      <c r="A751" s="119">
        <v>743</v>
      </c>
      <c r="B751" s="119" t="s">
        <v>492</v>
      </c>
      <c r="C751" s="119" t="s">
        <v>749</v>
      </c>
      <c r="D751" s="119" t="s">
        <v>750</v>
      </c>
      <c r="E751" s="119" t="s">
        <v>87</v>
      </c>
      <c r="F751" s="120">
        <v>1</v>
      </c>
      <c r="G751" s="120">
        <v>222300</v>
      </c>
    </row>
    <row r="752" spans="1:7" ht="17.25" customHeight="1">
      <c r="A752" s="119">
        <v>744</v>
      </c>
      <c r="B752" s="119" t="s">
        <v>492</v>
      </c>
      <c r="C752" s="119" t="s">
        <v>763</v>
      </c>
      <c r="D752" s="119" t="s">
        <v>764</v>
      </c>
      <c r="E752" s="119" t="s">
        <v>87</v>
      </c>
      <c r="F752" s="120">
        <v>1</v>
      </c>
      <c r="G752" s="120">
        <v>222300</v>
      </c>
    </row>
    <row r="753" spans="1:7" ht="17.25" customHeight="1">
      <c r="A753" s="119">
        <v>745</v>
      </c>
      <c r="B753" s="119" t="s">
        <v>492</v>
      </c>
      <c r="C753" s="119" t="s">
        <v>769</v>
      </c>
      <c r="D753" s="119" t="s">
        <v>770</v>
      </c>
      <c r="E753" s="119" t="s">
        <v>87</v>
      </c>
      <c r="F753" s="120">
        <v>1</v>
      </c>
      <c r="G753" s="120">
        <v>222300</v>
      </c>
    </row>
    <row r="754" spans="1:7" ht="17.25" customHeight="1">
      <c r="A754" s="119">
        <v>746</v>
      </c>
      <c r="B754" s="119" t="s">
        <v>492</v>
      </c>
      <c r="C754" s="119" t="s">
        <v>898</v>
      </c>
      <c r="D754" s="119" t="s">
        <v>108</v>
      </c>
      <c r="E754" s="119" t="s">
        <v>87</v>
      </c>
      <c r="F754" s="120">
        <v>1</v>
      </c>
      <c r="G754" s="120">
        <v>222300</v>
      </c>
    </row>
    <row r="755" spans="1:7" ht="17.25" customHeight="1">
      <c r="A755" s="119">
        <v>747</v>
      </c>
      <c r="B755" s="119" t="s">
        <v>492</v>
      </c>
      <c r="C755" s="119" t="s">
        <v>396</v>
      </c>
      <c r="D755" s="119" t="s">
        <v>103</v>
      </c>
      <c r="E755" s="119" t="s">
        <v>86</v>
      </c>
      <c r="F755" s="120">
        <v>1</v>
      </c>
      <c r="G755" s="120">
        <v>229200</v>
      </c>
    </row>
    <row r="756" spans="1:7" ht="17.25" customHeight="1">
      <c r="A756" s="119">
        <v>748</v>
      </c>
      <c r="B756" s="119" t="s">
        <v>492</v>
      </c>
      <c r="C756" s="119" t="s">
        <v>222</v>
      </c>
      <c r="D756" s="119" t="s">
        <v>100</v>
      </c>
      <c r="E756" s="119" t="s">
        <v>87</v>
      </c>
      <c r="F756" s="120">
        <v>1</v>
      </c>
      <c r="G756" s="120">
        <v>222300</v>
      </c>
    </row>
    <row r="757" spans="1:7" ht="17.25" customHeight="1">
      <c r="A757" s="119">
        <v>749</v>
      </c>
      <c r="B757" s="119" t="s">
        <v>492</v>
      </c>
      <c r="C757" s="119" t="s">
        <v>958</v>
      </c>
      <c r="D757" s="119" t="s">
        <v>959</v>
      </c>
      <c r="E757" s="119" t="s">
        <v>90</v>
      </c>
      <c r="F757" s="120">
        <v>1</v>
      </c>
      <c r="G757" s="120">
        <v>269200</v>
      </c>
    </row>
    <row r="758" spans="1:7" ht="17.25" customHeight="1">
      <c r="A758" s="119">
        <v>750</v>
      </c>
      <c r="B758" s="119" t="s">
        <v>492</v>
      </c>
      <c r="C758" s="119" t="s">
        <v>983</v>
      </c>
      <c r="D758" s="119" t="s">
        <v>984</v>
      </c>
      <c r="E758" s="119" t="s">
        <v>89</v>
      </c>
      <c r="F758" s="120">
        <v>1</v>
      </c>
      <c r="G758" s="120">
        <v>341800</v>
      </c>
    </row>
    <row r="759" spans="1:7" ht="17.25" customHeight="1">
      <c r="A759" s="119">
        <v>751</v>
      </c>
      <c r="B759" s="119" t="s">
        <v>492</v>
      </c>
      <c r="C759" s="119" t="s">
        <v>989</v>
      </c>
      <c r="D759" s="119" t="s">
        <v>94</v>
      </c>
      <c r="E759" s="119" t="s">
        <v>87</v>
      </c>
      <c r="F759" s="120">
        <v>1</v>
      </c>
      <c r="G759" s="120">
        <v>222300</v>
      </c>
    </row>
    <row r="760" spans="1:7" ht="17.25" customHeight="1">
      <c r="A760" s="119">
        <v>752</v>
      </c>
      <c r="B760" s="119" t="s">
        <v>492</v>
      </c>
      <c r="C760" s="119" t="s">
        <v>989</v>
      </c>
      <c r="D760" s="119" t="s">
        <v>94</v>
      </c>
      <c r="E760" s="119" t="s">
        <v>87</v>
      </c>
      <c r="F760" s="120">
        <v>1</v>
      </c>
      <c r="G760" s="120">
        <v>222300</v>
      </c>
    </row>
    <row r="761" spans="1:7" ht="17.25" customHeight="1">
      <c r="A761" s="119">
        <v>753</v>
      </c>
      <c r="B761" s="119" t="s">
        <v>492</v>
      </c>
      <c r="C761" s="119" t="s">
        <v>639</v>
      </c>
      <c r="D761" s="119" t="s">
        <v>640</v>
      </c>
      <c r="E761" s="119" t="s">
        <v>88</v>
      </c>
      <c r="F761" s="120">
        <v>1</v>
      </c>
      <c r="G761" s="120">
        <v>301600</v>
      </c>
    </row>
    <row r="762" spans="1:7" ht="17.25" customHeight="1">
      <c r="A762" s="119">
        <v>754</v>
      </c>
      <c r="B762" s="119" t="s">
        <v>492</v>
      </c>
      <c r="C762" s="119" t="s">
        <v>197</v>
      </c>
      <c r="D762" s="119" t="s">
        <v>153</v>
      </c>
      <c r="E762" s="119" t="s">
        <v>88</v>
      </c>
      <c r="F762" s="120">
        <v>1</v>
      </c>
      <c r="G762" s="120">
        <v>301600</v>
      </c>
    </row>
    <row r="763" spans="1:7" ht="17.25" customHeight="1">
      <c r="A763" s="119">
        <v>755</v>
      </c>
      <c r="B763" s="119" t="s">
        <v>492</v>
      </c>
      <c r="C763" s="119" t="s">
        <v>766</v>
      </c>
      <c r="D763" s="119" t="s">
        <v>98</v>
      </c>
      <c r="E763" s="119" t="s">
        <v>90</v>
      </c>
      <c r="F763" s="120">
        <v>1</v>
      </c>
      <c r="G763" s="120">
        <v>269200</v>
      </c>
    </row>
    <row r="764" spans="1:7" ht="17.25" customHeight="1">
      <c r="A764" s="119">
        <v>756</v>
      </c>
      <c r="B764" s="119" t="s">
        <v>492</v>
      </c>
      <c r="C764" s="119" t="s">
        <v>896</v>
      </c>
      <c r="D764" s="119" t="s">
        <v>154</v>
      </c>
      <c r="E764" s="119" t="s">
        <v>90</v>
      </c>
      <c r="F764" s="120">
        <v>1</v>
      </c>
      <c r="G764" s="120">
        <v>269200</v>
      </c>
    </row>
    <row r="765" spans="1:7" ht="17.25" customHeight="1">
      <c r="A765" s="119">
        <v>757</v>
      </c>
      <c r="B765" s="119" t="s">
        <v>492</v>
      </c>
      <c r="C765" s="119" t="s">
        <v>940</v>
      </c>
      <c r="D765" s="119" t="s">
        <v>97</v>
      </c>
      <c r="E765" s="119" t="s">
        <v>89</v>
      </c>
      <c r="F765" s="120">
        <v>1</v>
      </c>
      <c r="G765" s="120">
        <v>341800</v>
      </c>
    </row>
    <row r="766" spans="1:7" ht="17.25" customHeight="1">
      <c r="A766" s="119">
        <v>758</v>
      </c>
      <c r="B766" s="119" t="s">
        <v>849</v>
      </c>
      <c r="C766" s="119" t="s">
        <v>847</v>
      </c>
      <c r="D766" s="119" t="s">
        <v>848</v>
      </c>
      <c r="E766" s="119" t="s">
        <v>87</v>
      </c>
      <c r="F766" s="120">
        <v>1</v>
      </c>
      <c r="G766" s="120">
        <v>222300</v>
      </c>
    </row>
    <row r="767" spans="1:7" ht="17.25" customHeight="1">
      <c r="A767" s="119">
        <v>759</v>
      </c>
      <c r="B767" s="119" t="s">
        <v>805</v>
      </c>
      <c r="C767" s="119" t="s">
        <v>803</v>
      </c>
      <c r="D767" s="119" t="s">
        <v>804</v>
      </c>
      <c r="E767" s="119" t="s">
        <v>87</v>
      </c>
      <c r="F767" s="120">
        <v>1</v>
      </c>
      <c r="G767" s="120">
        <v>222300</v>
      </c>
    </row>
    <row r="768" spans="1:7" ht="17.25" customHeight="1">
      <c r="A768" s="119">
        <v>760</v>
      </c>
      <c r="B768" s="119" t="s">
        <v>822</v>
      </c>
      <c r="C768" s="119" t="s">
        <v>821</v>
      </c>
      <c r="D768" s="119" t="s">
        <v>167</v>
      </c>
      <c r="E768" s="119" t="s">
        <v>87</v>
      </c>
      <c r="F768" s="120">
        <v>1</v>
      </c>
      <c r="G768" s="120">
        <v>222300</v>
      </c>
    </row>
    <row r="769" spans="1:7" ht="17.25" customHeight="1">
      <c r="A769" s="119">
        <v>761</v>
      </c>
      <c r="B769" s="119" t="s">
        <v>950</v>
      </c>
      <c r="C769" s="119" t="s">
        <v>948</v>
      </c>
      <c r="D769" s="119" t="s">
        <v>949</v>
      </c>
      <c r="E769" s="119" t="s">
        <v>88</v>
      </c>
      <c r="F769" s="120">
        <v>1</v>
      </c>
      <c r="G769" s="120">
        <v>301600</v>
      </c>
    </row>
    <row r="770" spans="1:7" ht="17.25" customHeight="1">
      <c r="A770" s="119">
        <v>762</v>
      </c>
      <c r="B770" s="119" t="s">
        <v>714</v>
      </c>
      <c r="C770" s="119" t="s">
        <v>917</v>
      </c>
      <c r="D770" s="119" t="s">
        <v>918</v>
      </c>
      <c r="E770" s="119" t="s">
        <v>87</v>
      </c>
      <c r="F770" s="120">
        <v>1</v>
      </c>
      <c r="G770" s="120">
        <v>222300</v>
      </c>
    </row>
    <row r="771" spans="1:7" ht="17.25" customHeight="1">
      <c r="A771" s="119">
        <v>763</v>
      </c>
      <c r="B771" s="119" t="s">
        <v>658</v>
      </c>
      <c r="C771" s="119" t="s">
        <v>155</v>
      </c>
      <c r="D771" s="119" t="s">
        <v>156</v>
      </c>
      <c r="E771" s="119" t="s">
        <v>87</v>
      </c>
      <c r="F771" s="120">
        <v>1</v>
      </c>
      <c r="G771" s="120">
        <v>222300</v>
      </c>
    </row>
    <row r="772" spans="1:7" ht="17.25" customHeight="1">
      <c r="A772" s="119">
        <v>764</v>
      </c>
      <c r="B772" s="119" t="s">
        <v>713</v>
      </c>
      <c r="C772" s="119" t="s">
        <v>712</v>
      </c>
      <c r="D772" s="119" t="s">
        <v>101</v>
      </c>
      <c r="E772" s="119" t="s">
        <v>87</v>
      </c>
      <c r="F772" s="120">
        <v>1</v>
      </c>
      <c r="G772" s="120">
        <v>222300</v>
      </c>
    </row>
    <row r="773" spans="1:7" ht="17.25" customHeight="1">
      <c r="A773" s="119">
        <v>765</v>
      </c>
      <c r="B773" s="119" t="s">
        <v>732</v>
      </c>
      <c r="C773" s="119" t="s">
        <v>236</v>
      </c>
      <c r="D773" s="119" t="s">
        <v>730</v>
      </c>
      <c r="E773" s="119" t="s">
        <v>89</v>
      </c>
      <c r="F773" s="120">
        <v>1</v>
      </c>
      <c r="G773" s="120">
        <v>341800</v>
      </c>
    </row>
    <row r="774" spans="1:7" ht="17.25" customHeight="1">
      <c r="A774" s="119">
        <v>766</v>
      </c>
      <c r="B774" s="119" t="s">
        <v>628</v>
      </c>
      <c r="C774" s="119" t="s">
        <v>625</v>
      </c>
      <c r="D774" s="119" t="s">
        <v>626</v>
      </c>
      <c r="E774" s="119" t="s">
        <v>86</v>
      </c>
      <c r="F774" s="120">
        <v>1</v>
      </c>
      <c r="G774" s="120">
        <v>229200</v>
      </c>
    </row>
    <row r="775" spans="1:7" ht="17.25" customHeight="1">
      <c r="A775" s="119">
        <v>767</v>
      </c>
      <c r="B775" s="119" t="s">
        <v>628</v>
      </c>
      <c r="C775" s="119" t="s">
        <v>633</v>
      </c>
      <c r="D775" s="119" t="s">
        <v>634</v>
      </c>
      <c r="E775" s="119" t="s">
        <v>90</v>
      </c>
      <c r="F775" s="120">
        <v>1</v>
      </c>
      <c r="G775" s="120">
        <v>269200</v>
      </c>
    </row>
    <row r="776" spans="1:7" ht="17.25" customHeight="1">
      <c r="A776" s="119">
        <v>768</v>
      </c>
      <c r="B776" s="119" t="s">
        <v>628</v>
      </c>
      <c r="C776" s="119" t="s">
        <v>155</v>
      </c>
      <c r="D776" s="119" t="s">
        <v>156</v>
      </c>
      <c r="E776" s="119" t="s">
        <v>87</v>
      </c>
      <c r="F776" s="120">
        <v>1</v>
      </c>
      <c r="G776" s="120">
        <v>222300</v>
      </c>
    </row>
    <row r="777" spans="1:7" ht="17.25" customHeight="1">
      <c r="A777" s="119">
        <v>769</v>
      </c>
      <c r="B777" s="119" t="s">
        <v>628</v>
      </c>
      <c r="C777" s="119" t="s">
        <v>693</v>
      </c>
      <c r="D777" s="119" t="s">
        <v>147</v>
      </c>
      <c r="E777" s="119" t="s">
        <v>87</v>
      </c>
      <c r="F777" s="120">
        <v>1</v>
      </c>
      <c r="G777" s="120">
        <v>222300</v>
      </c>
    </row>
    <row r="778" spans="1:7" ht="17.25" customHeight="1">
      <c r="A778" s="119">
        <v>770</v>
      </c>
      <c r="B778" s="119" t="s">
        <v>628</v>
      </c>
      <c r="C778" s="119" t="s">
        <v>695</v>
      </c>
      <c r="D778" s="119" t="s">
        <v>696</v>
      </c>
      <c r="E778" s="119" t="s">
        <v>87</v>
      </c>
      <c r="F778" s="120">
        <v>1</v>
      </c>
      <c r="G778" s="120">
        <v>250000</v>
      </c>
    </row>
    <row r="779" spans="1:7" ht="17.25" customHeight="1">
      <c r="A779" s="119">
        <v>771</v>
      </c>
      <c r="B779" s="119" t="s">
        <v>628</v>
      </c>
      <c r="C779" s="119" t="s">
        <v>712</v>
      </c>
      <c r="D779" s="119" t="s">
        <v>101</v>
      </c>
      <c r="E779" s="119" t="s">
        <v>87</v>
      </c>
      <c r="F779" s="120">
        <v>1</v>
      </c>
      <c r="G779" s="120">
        <v>222300</v>
      </c>
    </row>
    <row r="780" spans="1:7" ht="17.25" customHeight="1">
      <c r="A780" s="119">
        <v>772</v>
      </c>
      <c r="B780" s="119" t="s">
        <v>628</v>
      </c>
      <c r="C780" s="119" t="s">
        <v>236</v>
      </c>
      <c r="D780" s="119" t="s">
        <v>730</v>
      </c>
      <c r="E780" s="119" t="s">
        <v>89</v>
      </c>
      <c r="F780" s="120">
        <v>1</v>
      </c>
      <c r="G780" s="120">
        <v>341800</v>
      </c>
    </row>
    <row r="781" spans="1:7" ht="17.25" customHeight="1">
      <c r="A781" s="119">
        <v>773</v>
      </c>
      <c r="B781" s="119" t="s">
        <v>628</v>
      </c>
      <c r="C781" s="119" t="s">
        <v>749</v>
      </c>
      <c r="D781" s="119" t="s">
        <v>750</v>
      </c>
      <c r="E781" s="119" t="s">
        <v>87</v>
      </c>
      <c r="F781" s="120">
        <v>1</v>
      </c>
      <c r="G781" s="120">
        <v>222300</v>
      </c>
    </row>
    <row r="782" spans="1:7" ht="17.25" customHeight="1">
      <c r="A782" s="119">
        <v>774</v>
      </c>
      <c r="B782" s="119" t="s">
        <v>628</v>
      </c>
      <c r="C782" s="119" t="s">
        <v>763</v>
      </c>
      <c r="D782" s="119" t="s">
        <v>764</v>
      </c>
      <c r="E782" s="119" t="s">
        <v>87</v>
      </c>
      <c r="F782" s="120">
        <v>1</v>
      </c>
      <c r="G782" s="120">
        <v>222300</v>
      </c>
    </row>
    <row r="783" spans="1:7" ht="17.25" customHeight="1">
      <c r="A783" s="119">
        <v>775</v>
      </c>
      <c r="B783" s="119" t="s">
        <v>628</v>
      </c>
      <c r="C783" s="119" t="s">
        <v>769</v>
      </c>
      <c r="D783" s="119" t="s">
        <v>770</v>
      </c>
      <c r="E783" s="119" t="s">
        <v>87</v>
      </c>
      <c r="F783" s="120">
        <v>1</v>
      </c>
      <c r="G783" s="120">
        <v>222300</v>
      </c>
    </row>
    <row r="784" spans="1:7" ht="17.25" customHeight="1">
      <c r="A784" s="119">
        <v>776</v>
      </c>
      <c r="B784" s="119" t="s">
        <v>628</v>
      </c>
      <c r="C784" s="119" t="s">
        <v>803</v>
      </c>
      <c r="D784" s="119" t="s">
        <v>804</v>
      </c>
      <c r="E784" s="119" t="s">
        <v>87</v>
      </c>
      <c r="F784" s="120">
        <v>1</v>
      </c>
      <c r="G784" s="120">
        <v>222300</v>
      </c>
    </row>
    <row r="785" spans="1:7" ht="17.25" customHeight="1">
      <c r="A785" s="119">
        <v>777</v>
      </c>
      <c r="B785" s="119" t="s">
        <v>628</v>
      </c>
      <c r="C785" s="119" t="s">
        <v>821</v>
      </c>
      <c r="D785" s="119" t="s">
        <v>167</v>
      </c>
      <c r="E785" s="119" t="s">
        <v>87</v>
      </c>
      <c r="F785" s="120">
        <v>1</v>
      </c>
      <c r="G785" s="120">
        <v>222300</v>
      </c>
    </row>
    <row r="786" spans="1:7" ht="17.25" customHeight="1">
      <c r="A786" s="119">
        <v>778</v>
      </c>
      <c r="B786" s="119" t="s">
        <v>628</v>
      </c>
      <c r="C786" s="119" t="s">
        <v>936</v>
      </c>
      <c r="D786" s="119" t="s">
        <v>199</v>
      </c>
      <c r="E786" s="119" t="s">
        <v>88</v>
      </c>
      <c r="F786" s="120">
        <v>1</v>
      </c>
      <c r="G786" s="120">
        <v>301600</v>
      </c>
    </row>
    <row r="787" spans="1:7" ht="17.25" customHeight="1">
      <c r="A787" s="119">
        <v>779</v>
      </c>
      <c r="B787" s="119" t="s">
        <v>628</v>
      </c>
      <c r="C787" s="119" t="s">
        <v>222</v>
      </c>
      <c r="D787" s="119" t="s">
        <v>100</v>
      </c>
      <c r="E787" s="119" t="s">
        <v>87</v>
      </c>
      <c r="F787" s="120">
        <v>1</v>
      </c>
      <c r="G787" s="120">
        <v>222300</v>
      </c>
    </row>
    <row r="788" spans="1:7" ht="17.25" customHeight="1">
      <c r="A788" s="119">
        <v>780</v>
      </c>
      <c r="B788" s="119" t="s">
        <v>628</v>
      </c>
      <c r="C788" s="119" t="s">
        <v>948</v>
      </c>
      <c r="D788" s="119" t="s">
        <v>949</v>
      </c>
      <c r="E788" s="119" t="s">
        <v>88</v>
      </c>
      <c r="F788" s="120">
        <v>1</v>
      </c>
      <c r="G788" s="120">
        <v>301600</v>
      </c>
    </row>
    <row r="789" spans="1:7" ht="17.25" customHeight="1">
      <c r="A789" s="119">
        <v>781</v>
      </c>
      <c r="B789" s="119" t="s">
        <v>628</v>
      </c>
      <c r="C789" s="119" t="s">
        <v>197</v>
      </c>
      <c r="D789" s="119" t="s">
        <v>153</v>
      </c>
      <c r="E789" s="119" t="s">
        <v>88</v>
      </c>
      <c r="F789" s="120">
        <v>1</v>
      </c>
      <c r="G789" s="120">
        <v>301600</v>
      </c>
    </row>
    <row r="790" spans="1:7" ht="17.25" customHeight="1">
      <c r="A790" s="119">
        <v>782</v>
      </c>
      <c r="B790" s="119" t="s">
        <v>628</v>
      </c>
      <c r="C790" s="119" t="s">
        <v>1014</v>
      </c>
      <c r="D790" s="119" t="s">
        <v>1015</v>
      </c>
      <c r="E790" s="119" t="s">
        <v>88</v>
      </c>
      <c r="F790" s="120">
        <v>1</v>
      </c>
      <c r="G790" s="120">
        <v>301600</v>
      </c>
    </row>
    <row r="791" spans="1:7" ht="17.25" customHeight="1">
      <c r="A791" s="119">
        <v>783</v>
      </c>
      <c r="B791" s="119" t="s">
        <v>628</v>
      </c>
      <c r="C791" s="119" t="s">
        <v>896</v>
      </c>
      <c r="D791" s="119" t="s">
        <v>154</v>
      </c>
      <c r="E791" s="119" t="s">
        <v>90</v>
      </c>
      <c r="F791" s="120">
        <v>1</v>
      </c>
      <c r="G791" s="120">
        <v>269200</v>
      </c>
    </row>
    <row r="792" spans="1:7" ht="17.25" customHeight="1">
      <c r="A792" s="119">
        <v>784</v>
      </c>
      <c r="B792" s="119" t="s">
        <v>628</v>
      </c>
      <c r="C792" s="119" t="s">
        <v>940</v>
      </c>
      <c r="D792" s="119" t="s">
        <v>97</v>
      </c>
      <c r="E792" s="119" t="s">
        <v>89</v>
      </c>
      <c r="F792" s="120">
        <v>1</v>
      </c>
      <c r="G792" s="120">
        <v>341800</v>
      </c>
    </row>
    <row r="793" spans="1:7" ht="17.25" customHeight="1">
      <c r="A793" s="119">
        <v>785</v>
      </c>
      <c r="B793" s="119" t="s">
        <v>662</v>
      </c>
      <c r="C793" s="119" t="s">
        <v>660</v>
      </c>
      <c r="D793" s="119" t="s">
        <v>661</v>
      </c>
      <c r="E793" s="119" t="s">
        <v>87</v>
      </c>
      <c r="F793" s="120">
        <v>1</v>
      </c>
      <c r="G793" s="120">
        <v>222300</v>
      </c>
    </row>
    <row r="794" spans="1:7" ht="17.25" customHeight="1">
      <c r="A794" s="119">
        <v>786</v>
      </c>
      <c r="B794" s="119" t="s">
        <v>916</v>
      </c>
      <c r="C794" s="119" t="s">
        <v>914</v>
      </c>
      <c r="D794" s="119" t="s">
        <v>915</v>
      </c>
      <c r="E794" s="119" t="s">
        <v>89</v>
      </c>
      <c r="F794" s="120">
        <v>1</v>
      </c>
      <c r="G794" s="120">
        <v>341800</v>
      </c>
    </row>
    <row r="795" spans="1:7" ht="17.25" customHeight="1">
      <c r="A795" s="119">
        <v>787</v>
      </c>
      <c r="B795" s="119" t="s">
        <v>666</v>
      </c>
      <c r="C795" s="119" t="s">
        <v>665</v>
      </c>
      <c r="D795" s="119" t="s">
        <v>105</v>
      </c>
      <c r="E795" s="119" t="s">
        <v>87</v>
      </c>
      <c r="F795" s="120">
        <v>1</v>
      </c>
      <c r="G795" s="120">
        <v>222300</v>
      </c>
    </row>
    <row r="796" spans="1:7" ht="17.25" customHeight="1">
      <c r="A796" s="119">
        <v>788</v>
      </c>
      <c r="B796" s="119" t="s">
        <v>972</v>
      </c>
      <c r="C796" s="119" t="s">
        <v>971</v>
      </c>
      <c r="D796" s="119" t="s">
        <v>107</v>
      </c>
      <c r="E796" s="119" t="s">
        <v>87</v>
      </c>
      <c r="F796" s="120">
        <v>1</v>
      </c>
      <c r="G796" s="120">
        <v>222300</v>
      </c>
    </row>
    <row r="797" spans="1:7" ht="17.25" customHeight="1">
      <c r="A797" s="119">
        <v>789</v>
      </c>
      <c r="B797" s="119" t="s">
        <v>928</v>
      </c>
      <c r="C797" s="119" t="s">
        <v>927</v>
      </c>
      <c r="D797" s="119" t="s">
        <v>96</v>
      </c>
      <c r="E797" s="119" t="s">
        <v>87</v>
      </c>
      <c r="F797" s="120">
        <v>1</v>
      </c>
      <c r="G797" s="120">
        <v>222300</v>
      </c>
    </row>
    <row r="798" spans="1:7" ht="17.25" customHeight="1">
      <c r="A798" s="119">
        <v>790</v>
      </c>
      <c r="B798" s="119" t="s">
        <v>753</v>
      </c>
      <c r="C798" s="119" t="s">
        <v>752</v>
      </c>
      <c r="D798" s="119" t="s">
        <v>117</v>
      </c>
      <c r="E798" s="119" t="s">
        <v>87</v>
      </c>
      <c r="F798" s="120">
        <v>1</v>
      </c>
      <c r="G798" s="120">
        <v>222300</v>
      </c>
    </row>
    <row r="799" spans="1:7" ht="17.25" customHeight="1">
      <c r="A799" s="119">
        <v>791</v>
      </c>
      <c r="B799" s="119" t="s">
        <v>919</v>
      </c>
      <c r="C799" s="119" t="s">
        <v>917</v>
      </c>
      <c r="D799" s="119" t="s">
        <v>918</v>
      </c>
      <c r="E799" s="119" t="s">
        <v>88</v>
      </c>
      <c r="F799" s="120">
        <v>1</v>
      </c>
      <c r="G799" s="120">
        <v>301600</v>
      </c>
    </row>
    <row r="800" spans="1:7" ht="17.25" customHeight="1">
      <c r="A800" s="119">
        <v>792</v>
      </c>
      <c r="B800" s="119" t="s">
        <v>999</v>
      </c>
      <c r="C800" s="119" t="s">
        <v>499</v>
      </c>
      <c r="D800" s="119" t="s">
        <v>104</v>
      </c>
      <c r="E800" s="119" t="s">
        <v>88</v>
      </c>
      <c r="F800" s="120">
        <v>1</v>
      </c>
      <c r="G800" s="120">
        <v>301600</v>
      </c>
    </row>
    <row r="801" spans="1:7" ht="17.25" customHeight="1">
      <c r="A801" s="119">
        <v>793</v>
      </c>
      <c r="B801" s="119" t="s">
        <v>493</v>
      </c>
      <c r="C801" s="119" t="s">
        <v>486</v>
      </c>
      <c r="D801" s="119" t="s">
        <v>487</v>
      </c>
      <c r="E801" s="119" t="s">
        <v>90</v>
      </c>
      <c r="F801" s="120">
        <v>1</v>
      </c>
      <c r="G801" s="120">
        <v>269200</v>
      </c>
    </row>
    <row r="802" spans="1:7" ht="17.25" customHeight="1">
      <c r="A802" s="119">
        <v>794</v>
      </c>
      <c r="B802" s="119" t="s">
        <v>494</v>
      </c>
      <c r="C802" s="119" t="s">
        <v>660</v>
      </c>
      <c r="D802" s="119" t="s">
        <v>661</v>
      </c>
      <c r="E802" s="119" t="s">
        <v>87</v>
      </c>
      <c r="F802" s="120">
        <v>1</v>
      </c>
      <c r="G802" s="120">
        <v>222300</v>
      </c>
    </row>
    <row r="803" spans="1:7" ht="17.25" customHeight="1">
      <c r="A803" s="119">
        <v>795</v>
      </c>
      <c r="B803" s="119" t="s">
        <v>491</v>
      </c>
      <c r="C803" s="119" t="s">
        <v>486</v>
      </c>
      <c r="D803" s="119" t="s">
        <v>487</v>
      </c>
      <c r="E803" s="119" t="s">
        <v>90</v>
      </c>
      <c r="F803" s="120">
        <v>1</v>
      </c>
      <c r="G803" s="120">
        <v>269200</v>
      </c>
    </row>
    <row r="804" spans="1:7" ht="17.25" customHeight="1">
      <c r="A804" s="119">
        <v>796</v>
      </c>
      <c r="B804" s="119" t="s">
        <v>491</v>
      </c>
      <c r="C804" s="119" t="s">
        <v>625</v>
      </c>
      <c r="D804" s="119" t="s">
        <v>626</v>
      </c>
      <c r="E804" s="119" t="s">
        <v>86</v>
      </c>
      <c r="F804" s="120">
        <v>1</v>
      </c>
      <c r="G804" s="120">
        <v>229200</v>
      </c>
    </row>
    <row r="805" spans="1:7" ht="17.25" customHeight="1">
      <c r="A805" s="119">
        <v>797</v>
      </c>
      <c r="B805" s="119" t="s">
        <v>491</v>
      </c>
      <c r="C805" s="119" t="s">
        <v>155</v>
      </c>
      <c r="D805" s="119" t="s">
        <v>156</v>
      </c>
      <c r="E805" s="119" t="s">
        <v>87</v>
      </c>
      <c r="F805" s="120">
        <v>1</v>
      </c>
      <c r="G805" s="120">
        <v>222300</v>
      </c>
    </row>
    <row r="806" spans="1:7" ht="17.25" customHeight="1">
      <c r="A806" s="119">
        <v>798</v>
      </c>
      <c r="B806" s="119" t="s">
        <v>491</v>
      </c>
      <c r="C806" s="119" t="s">
        <v>693</v>
      </c>
      <c r="D806" s="119" t="s">
        <v>147</v>
      </c>
      <c r="E806" s="119" t="s">
        <v>87</v>
      </c>
      <c r="F806" s="120">
        <v>1</v>
      </c>
      <c r="G806" s="120">
        <v>222300</v>
      </c>
    </row>
    <row r="807" spans="1:7" ht="17.25" customHeight="1">
      <c r="A807" s="119">
        <v>799</v>
      </c>
      <c r="B807" s="119" t="s">
        <v>491</v>
      </c>
      <c r="C807" s="119" t="s">
        <v>695</v>
      </c>
      <c r="D807" s="119" t="s">
        <v>696</v>
      </c>
      <c r="E807" s="119" t="s">
        <v>87</v>
      </c>
      <c r="F807" s="120">
        <v>1</v>
      </c>
      <c r="G807" s="120">
        <v>250000</v>
      </c>
    </row>
    <row r="808" spans="1:7" ht="17.25" customHeight="1">
      <c r="A808" s="119">
        <v>800</v>
      </c>
      <c r="B808" s="119" t="s">
        <v>491</v>
      </c>
      <c r="C808" s="119" t="s">
        <v>709</v>
      </c>
      <c r="D808" s="119" t="s">
        <v>710</v>
      </c>
      <c r="E808" s="119" t="s">
        <v>88</v>
      </c>
      <c r="F808" s="120">
        <v>1</v>
      </c>
      <c r="G808" s="120">
        <v>150800</v>
      </c>
    </row>
    <row r="809" spans="1:7" ht="17.25" customHeight="1">
      <c r="A809" s="119">
        <v>801</v>
      </c>
      <c r="B809" s="119" t="s">
        <v>491</v>
      </c>
      <c r="C809" s="119" t="s">
        <v>236</v>
      </c>
      <c r="D809" s="119" t="s">
        <v>730</v>
      </c>
      <c r="E809" s="119" t="s">
        <v>89</v>
      </c>
      <c r="F809" s="120">
        <v>1</v>
      </c>
      <c r="G809" s="120">
        <v>341800</v>
      </c>
    </row>
    <row r="810" spans="1:7" ht="17.25" customHeight="1">
      <c r="A810" s="119">
        <v>802</v>
      </c>
      <c r="B810" s="119" t="s">
        <v>491</v>
      </c>
      <c r="C810" s="119" t="s">
        <v>752</v>
      </c>
      <c r="D810" s="119" t="s">
        <v>117</v>
      </c>
      <c r="E810" s="119" t="s">
        <v>87</v>
      </c>
      <c r="F810" s="120">
        <v>1</v>
      </c>
      <c r="G810" s="120">
        <v>222300</v>
      </c>
    </row>
    <row r="811" spans="1:7" ht="17.25" customHeight="1">
      <c r="A811" s="119">
        <v>803</v>
      </c>
      <c r="B811" s="119" t="s">
        <v>491</v>
      </c>
      <c r="C811" s="119" t="s">
        <v>763</v>
      </c>
      <c r="D811" s="119" t="s">
        <v>764</v>
      </c>
      <c r="E811" s="119" t="s">
        <v>87</v>
      </c>
      <c r="F811" s="120">
        <v>1</v>
      </c>
      <c r="G811" s="120">
        <v>222300</v>
      </c>
    </row>
    <row r="812" spans="1:7" ht="17.25" customHeight="1">
      <c r="A812" s="119">
        <v>804</v>
      </c>
      <c r="B812" s="119" t="s">
        <v>491</v>
      </c>
      <c r="C812" s="119" t="s">
        <v>769</v>
      </c>
      <c r="D812" s="119" t="s">
        <v>770</v>
      </c>
      <c r="E812" s="119" t="s">
        <v>87</v>
      </c>
      <c r="F812" s="120">
        <v>1</v>
      </c>
      <c r="G812" s="120">
        <v>222300</v>
      </c>
    </row>
    <row r="813" spans="1:7" ht="17.25" customHeight="1">
      <c r="A813" s="119">
        <v>805</v>
      </c>
      <c r="B813" s="119" t="s">
        <v>491</v>
      </c>
      <c r="C813" s="119" t="s">
        <v>821</v>
      </c>
      <c r="D813" s="119" t="s">
        <v>167</v>
      </c>
      <c r="E813" s="119" t="s">
        <v>87</v>
      </c>
      <c r="F813" s="120">
        <v>1</v>
      </c>
      <c r="G813" s="120">
        <v>222300</v>
      </c>
    </row>
    <row r="814" spans="1:7" ht="17.25" customHeight="1">
      <c r="A814" s="119">
        <v>806</v>
      </c>
      <c r="B814" s="119" t="s">
        <v>491</v>
      </c>
      <c r="C814" s="119" t="s">
        <v>847</v>
      </c>
      <c r="D814" s="119" t="s">
        <v>848</v>
      </c>
      <c r="E814" s="119" t="s">
        <v>89</v>
      </c>
      <c r="F814" s="120">
        <v>1</v>
      </c>
      <c r="G814" s="120">
        <v>341800</v>
      </c>
    </row>
    <row r="815" spans="1:7" ht="17.25" customHeight="1">
      <c r="A815" s="119">
        <v>807</v>
      </c>
      <c r="B815" s="119" t="s">
        <v>491</v>
      </c>
      <c r="C815" s="119" t="s">
        <v>914</v>
      </c>
      <c r="D815" s="119" t="s">
        <v>915</v>
      </c>
      <c r="E815" s="119" t="s">
        <v>89</v>
      </c>
      <c r="F815" s="120">
        <v>1</v>
      </c>
      <c r="G815" s="120">
        <v>341800</v>
      </c>
    </row>
    <row r="816" spans="1:7" ht="17.25" customHeight="1">
      <c r="A816" s="119">
        <v>808</v>
      </c>
      <c r="B816" s="119" t="s">
        <v>491</v>
      </c>
      <c r="C816" s="119" t="s">
        <v>917</v>
      </c>
      <c r="D816" s="119" t="s">
        <v>918</v>
      </c>
      <c r="E816" s="119" t="s">
        <v>88</v>
      </c>
      <c r="F816" s="120">
        <v>1</v>
      </c>
      <c r="G816" s="120">
        <v>301600</v>
      </c>
    </row>
    <row r="817" spans="1:7" ht="17.25" customHeight="1">
      <c r="A817" s="119">
        <v>809</v>
      </c>
      <c r="B817" s="119" t="s">
        <v>491</v>
      </c>
      <c r="C817" s="119" t="s">
        <v>222</v>
      </c>
      <c r="D817" s="119" t="s">
        <v>100</v>
      </c>
      <c r="E817" s="119" t="s">
        <v>87</v>
      </c>
      <c r="F817" s="120">
        <v>1</v>
      </c>
      <c r="G817" s="120">
        <v>222300</v>
      </c>
    </row>
    <row r="818" spans="1:7" ht="17.25" customHeight="1">
      <c r="A818" s="119">
        <v>810</v>
      </c>
      <c r="B818" s="119" t="s">
        <v>491</v>
      </c>
      <c r="C818" s="119" t="s">
        <v>948</v>
      </c>
      <c r="D818" s="119" t="s">
        <v>949</v>
      </c>
      <c r="E818" s="119" t="s">
        <v>88</v>
      </c>
      <c r="F818" s="120">
        <v>1</v>
      </c>
      <c r="G818" s="120">
        <v>301600</v>
      </c>
    </row>
    <row r="819" spans="1:7" ht="17.25" customHeight="1">
      <c r="A819" s="119">
        <v>811</v>
      </c>
      <c r="B819" s="119" t="s">
        <v>491</v>
      </c>
      <c r="C819" s="119" t="s">
        <v>971</v>
      </c>
      <c r="D819" s="119" t="s">
        <v>107</v>
      </c>
      <c r="E819" s="119" t="s">
        <v>87</v>
      </c>
      <c r="F819" s="120">
        <v>1</v>
      </c>
      <c r="G819" s="120">
        <v>222300</v>
      </c>
    </row>
    <row r="820" spans="1:7" ht="17.25" customHeight="1">
      <c r="A820" s="119">
        <v>812</v>
      </c>
      <c r="B820" s="119" t="s">
        <v>491</v>
      </c>
      <c r="C820" s="119" t="s">
        <v>499</v>
      </c>
      <c r="D820" s="119" t="s">
        <v>104</v>
      </c>
      <c r="E820" s="119" t="s">
        <v>88</v>
      </c>
      <c r="F820" s="120">
        <v>1</v>
      </c>
      <c r="G820" s="120">
        <v>301600</v>
      </c>
    </row>
    <row r="821" spans="1:7" ht="17.25" customHeight="1">
      <c r="A821" s="119">
        <v>813</v>
      </c>
      <c r="B821" s="119" t="s">
        <v>491</v>
      </c>
      <c r="C821" s="119" t="s">
        <v>896</v>
      </c>
      <c r="D821" s="119" t="s">
        <v>154</v>
      </c>
      <c r="E821" s="119" t="s">
        <v>90</v>
      </c>
      <c r="F821" s="120">
        <v>1</v>
      </c>
      <c r="G821" s="120">
        <v>269200</v>
      </c>
    </row>
    <row r="822" spans="1:7" ht="17.25" customHeight="1">
      <c r="A822" s="119">
        <v>814</v>
      </c>
      <c r="B822" s="119" t="s">
        <v>491</v>
      </c>
      <c r="C822" s="119" t="s">
        <v>940</v>
      </c>
      <c r="D822" s="119" t="s">
        <v>97</v>
      </c>
      <c r="E822" s="119" t="s">
        <v>89</v>
      </c>
      <c r="F822" s="120">
        <v>1</v>
      </c>
      <c r="G822" s="120">
        <v>341800</v>
      </c>
    </row>
    <row r="823" spans="1:7" ht="17.25" customHeight="1">
      <c r="A823" s="119">
        <v>815</v>
      </c>
      <c r="B823" s="119" t="s">
        <v>783</v>
      </c>
      <c r="C823" s="119" t="s">
        <v>781</v>
      </c>
      <c r="D823" s="119" t="s">
        <v>782</v>
      </c>
      <c r="E823" s="119" t="s">
        <v>87</v>
      </c>
      <c r="F823" s="120">
        <v>1</v>
      </c>
      <c r="G823" s="120">
        <v>222300</v>
      </c>
    </row>
    <row r="824" spans="1:7" ht="17.25" customHeight="1">
      <c r="A824" s="119">
        <v>816</v>
      </c>
      <c r="B824" s="119" t="s">
        <v>856</v>
      </c>
      <c r="C824" s="119" t="s">
        <v>854</v>
      </c>
      <c r="D824" s="119" t="s">
        <v>855</v>
      </c>
      <c r="E824" s="119" t="s">
        <v>87</v>
      </c>
      <c r="F824" s="120">
        <v>1</v>
      </c>
      <c r="G824" s="120">
        <v>222300</v>
      </c>
    </row>
    <row r="825" spans="1:7" ht="17.25" customHeight="1">
      <c r="A825" s="119">
        <v>817</v>
      </c>
      <c r="B825" s="119" t="s">
        <v>550</v>
      </c>
      <c r="C825" s="119" t="s">
        <v>548</v>
      </c>
      <c r="D825" s="119" t="s">
        <v>549</v>
      </c>
      <c r="E825" s="119" t="s">
        <v>87</v>
      </c>
      <c r="F825" s="120">
        <v>1</v>
      </c>
      <c r="G825" s="120">
        <v>222300</v>
      </c>
    </row>
    <row r="826" spans="1:7" ht="17.25" customHeight="1">
      <c r="A826" s="119">
        <v>818</v>
      </c>
      <c r="B826" s="119" t="s">
        <v>806</v>
      </c>
      <c r="C826" s="119" t="s">
        <v>803</v>
      </c>
      <c r="D826" s="119" t="s">
        <v>804</v>
      </c>
      <c r="E826" s="119" t="s">
        <v>87</v>
      </c>
      <c r="F826" s="120">
        <v>1</v>
      </c>
      <c r="G826" s="120">
        <v>222300</v>
      </c>
    </row>
    <row r="827" spans="1:7" ht="17.25" customHeight="1">
      <c r="A827" s="119">
        <v>819</v>
      </c>
      <c r="B827" s="119" t="s">
        <v>935</v>
      </c>
      <c r="C827" s="119" t="s">
        <v>933</v>
      </c>
      <c r="D827" s="119" t="s">
        <v>934</v>
      </c>
      <c r="E827" s="119" t="s">
        <v>87</v>
      </c>
      <c r="F827" s="120">
        <v>1</v>
      </c>
      <c r="G827" s="120">
        <v>222300</v>
      </c>
    </row>
    <row r="828" spans="1:7" ht="17.25" customHeight="1">
      <c r="A828" s="119">
        <v>820</v>
      </c>
      <c r="B828" s="119" t="s">
        <v>757</v>
      </c>
      <c r="C828" s="119" t="s">
        <v>752</v>
      </c>
      <c r="D828" s="119" t="s">
        <v>117</v>
      </c>
      <c r="E828" s="119" t="s">
        <v>89</v>
      </c>
      <c r="F828" s="120">
        <v>1</v>
      </c>
      <c r="G828" s="120">
        <v>341800</v>
      </c>
    </row>
    <row r="829" spans="1:7" ht="17.25" customHeight="1">
      <c r="A829" s="119">
        <v>821</v>
      </c>
      <c r="B829" s="119" t="s">
        <v>845</v>
      </c>
      <c r="C829" s="119" t="s">
        <v>843</v>
      </c>
      <c r="D829" s="119" t="s">
        <v>844</v>
      </c>
      <c r="E829" s="119" t="s">
        <v>87</v>
      </c>
      <c r="F829" s="120">
        <v>1</v>
      </c>
      <c r="G829" s="120">
        <v>222300</v>
      </c>
    </row>
    <row r="830" spans="1:7" ht="17.25" customHeight="1">
      <c r="A830" s="119">
        <v>822</v>
      </c>
      <c r="B830" s="119" t="s">
        <v>495</v>
      </c>
      <c r="C830" s="119" t="s">
        <v>486</v>
      </c>
      <c r="D830" s="119" t="s">
        <v>487</v>
      </c>
      <c r="E830" s="119" t="s">
        <v>90</v>
      </c>
      <c r="F830" s="120">
        <v>1</v>
      </c>
      <c r="G830" s="120">
        <v>269200</v>
      </c>
    </row>
    <row r="831" spans="1:7" ht="17.25" customHeight="1">
      <c r="A831" s="119">
        <v>823</v>
      </c>
      <c r="B831" s="119" t="s">
        <v>495</v>
      </c>
      <c r="C831" s="119" t="s">
        <v>693</v>
      </c>
      <c r="D831" s="119" t="s">
        <v>147</v>
      </c>
      <c r="E831" s="119" t="s">
        <v>87</v>
      </c>
      <c r="F831" s="120">
        <v>1</v>
      </c>
      <c r="G831" s="120">
        <v>222300</v>
      </c>
    </row>
    <row r="832" spans="1:7" ht="17.25" customHeight="1">
      <c r="A832" s="119">
        <v>824</v>
      </c>
      <c r="B832" s="119" t="s">
        <v>495</v>
      </c>
      <c r="C832" s="119" t="s">
        <v>709</v>
      </c>
      <c r="D832" s="119" t="s">
        <v>710</v>
      </c>
      <c r="E832" s="119" t="s">
        <v>88</v>
      </c>
      <c r="F832" s="120">
        <v>1</v>
      </c>
      <c r="G832" s="120">
        <v>150800</v>
      </c>
    </row>
    <row r="833" spans="1:7" ht="17.25" customHeight="1">
      <c r="A833" s="119">
        <v>825</v>
      </c>
      <c r="B833" s="119" t="s">
        <v>495</v>
      </c>
      <c r="C833" s="119" t="s">
        <v>712</v>
      </c>
      <c r="D833" s="119" t="s">
        <v>101</v>
      </c>
      <c r="E833" s="119" t="s">
        <v>89</v>
      </c>
      <c r="F833" s="120">
        <v>1</v>
      </c>
      <c r="G833" s="120">
        <v>341800</v>
      </c>
    </row>
    <row r="834" spans="1:7" ht="17.25" customHeight="1">
      <c r="A834" s="119">
        <v>826</v>
      </c>
      <c r="B834" s="119" t="s">
        <v>495</v>
      </c>
      <c r="C834" s="119" t="s">
        <v>236</v>
      </c>
      <c r="D834" s="119" t="s">
        <v>730</v>
      </c>
      <c r="E834" s="119" t="s">
        <v>89</v>
      </c>
      <c r="F834" s="120">
        <v>1</v>
      </c>
      <c r="G834" s="120">
        <v>341800</v>
      </c>
    </row>
    <row r="835" spans="1:7" ht="17.25" customHeight="1">
      <c r="A835" s="119">
        <v>827</v>
      </c>
      <c r="B835" s="119" t="s">
        <v>495</v>
      </c>
      <c r="C835" s="119" t="s">
        <v>763</v>
      </c>
      <c r="D835" s="119" t="s">
        <v>764</v>
      </c>
      <c r="E835" s="119" t="s">
        <v>87</v>
      </c>
      <c r="F835" s="120">
        <v>1</v>
      </c>
      <c r="G835" s="120">
        <v>222300</v>
      </c>
    </row>
    <row r="836" spans="1:7" ht="17.25" customHeight="1">
      <c r="A836" s="119">
        <v>828</v>
      </c>
      <c r="B836" s="119" t="s">
        <v>495</v>
      </c>
      <c r="C836" s="119" t="s">
        <v>769</v>
      </c>
      <c r="D836" s="119" t="s">
        <v>770</v>
      </c>
      <c r="E836" s="119" t="s">
        <v>87</v>
      </c>
      <c r="F836" s="120">
        <v>1</v>
      </c>
      <c r="G836" s="120">
        <v>222300</v>
      </c>
    </row>
    <row r="837" spans="1:7" ht="17.25" customHeight="1">
      <c r="A837" s="119">
        <v>829</v>
      </c>
      <c r="B837" s="119" t="s">
        <v>495</v>
      </c>
      <c r="C837" s="119" t="s">
        <v>781</v>
      </c>
      <c r="D837" s="119" t="s">
        <v>782</v>
      </c>
      <c r="E837" s="119" t="s">
        <v>87</v>
      </c>
      <c r="F837" s="120">
        <v>1</v>
      </c>
      <c r="G837" s="120">
        <v>222300</v>
      </c>
    </row>
    <row r="838" spans="1:7" ht="17.25" customHeight="1">
      <c r="A838" s="119">
        <v>830</v>
      </c>
      <c r="B838" s="119" t="s">
        <v>495</v>
      </c>
      <c r="C838" s="119" t="s">
        <v>803</v>
      </c>
      <c r="D838" s="119" t="s">
        <v>804</v>
      </c>
      <c r="E838" s="119" t="s">
        <v>89</v>
      </c>
      <c r="F838" s="120">
        <v>1</v>
      </c>
      <c r="G838" s="120">
        <v>341800</v>
      </c>
    </row>
    <row r="839" spans="1:7" ht="17.25" customHeight="1">
      <c r="A839" s="119">
        <v>831</v>
      </c>
      <c r="B839" s="119" t="s">
        <v>495</v>
      </c>
      <c r="C839" s="119" t="s">
        <v>847</v>
      </c>
      <c r="D839" s="119" t="s">
        <v>848</v>
      </c>
      <c r="E839" s="119" t="s">
        <v>89</v>
      </c>
      <c r="F839" s="120">
        <v>1</v>
      </c>
      <c r="G839" s="120">
        <v>341800</v>
      </c>
    </row>
    <row r="840" spans="1:7" ht="17.25" customHeight="1">
      <c r="A840" s="119">
        <v>832</v>
      </c>
      <c r="B840" s="119" t="s">
        <v>495</v>
      </c>
      <c r="C840" s="119" t="s">
        <v>910</v>
      </c>
      <c r="D840" s="119" t="s">
        <v>911</v>
      </c>
      <c r="E840" s="119" t="s">
        <v>89</v>
      </c>
      <c r="F840" s="120">
        <v>1</v>
      </c>
      <c r="G840" s="120">
        <v>341800</v>
      </c>
    </row>
    <row r="841" spans="1:7" ht="17.25" customHeight="1">
      <c r="A841" s="119">
        <v>833</v>
      </c>
      <c r="B841" s="119" t="s">
        <v>495</v>
      </c>
      <c r="C841" s="119" t="s">
        <v>914</v>
      </c>
      <c r="D841" s="119" t="s">
        <v>915</v>
      </c>
      <c r="E841" s="119" t="s">
        <v>89</v>
      </c>
      <c r="F841" s="120">
        <v>1</v>
      </c>
      <c r="G841" s="120">
        <v>341800</v>
      </c>
    </row>
    <row r="842" spans="1:7" ht="17.25" customHeight="1">
      <c r="A842" s="119">
        <v>834</v>
      </c>
      <c r="B842" s="119" t="s">
        <v>495</v>
      </c>
      <c r="C842" s="119" t="s">
        <v>917</v>
      </c>
      <c r="D842" s="119" t="s">
        <v>918</v>
      </c>
      <c r="E842" s="119" t="s">
        <v>88</v>
      </c>
      <c r="F842" s="120">
        <v>1</v>
      </c>
      <c r="G842" s="120">
        <v>301600</v>
      </c>
    </row>
    <row r="843" spans="1:7" ht="17.25" customHeight="1">
      <c r="A843" s="119">
        <v>835</v>
      </c>
      <c r="B843" s="119" t="s">
        <v>495</v>
      </c>
      <c r="C843" s="119" t="s">
        <v>927</v>
      </c>
      <c r="D843" s="119" t="s">
        <v>96</v>
      </c>
      <c r="E843" s="119" t="s">
        <v>87</v>
      </c>
      <c r="F843" s="120">
        <v>1</v>
      </c>
      <c r="G843" s="120">
        <v>222300</v>
      </c>
    </row>
    <row r="844" spans="1:7" ht="17.25" customHeight="1">
      <c r="A844" s="119">
        <v>836</v>
      </c>
      <c r="B844" s="119" t="s">
        <v>495</v>
      </c>
      <c r="C844" s="119" t="s">
        <v>933</v>
      </c>
      <c r="D844" s="119" t="s">
        <v>934</v>
      </c>
      <c r="E844" s="119" t="s">
        <v>87</v>
      </c>
      <c r="F844" s="120">
        <v>1</v>
      </c>
      <c r="G844" s="120">
        <v>222300</v>
      </c>
    </row>
    <row r="845" spans="1:7" ht="17.25" customHeight="1">
      <c r="A845" s="119">
        <v>837</v>
      </c>
      <c r="B845" s="119" t="s">
        <v>495</v>
      </c>
      <c r="C845" s="119" t="s">
        <v>222</v>
      </c>
      <c r="D845" s="119" t="s">
        <v>100</v>
      </c>
      <c r="E845" s="119" t="s">
        <v>87</v>
      </c>
      <c r="F845" s="120">
        <v>1</v>
      </c>
      <c r="G845" s="120">
        <v>222300</v>
      </c>
    </row>
    <row r="846" spans="1:7" ht="17.25" customHeight="1">
      <c r="A846" s="119">
        <v>838</v>
      </c>
      <c r="B846" s="119" t="s">
        <v>495</v>
      </c>
      <c r="C846" s="119" t="s">
        <v>948</v>
      </c>
      <c r="D846" s="119" t="s">
        <v>949</v>
      </c>
      <c r="E846" s="119" t="s">
        <v>88</v>
      </c>
      <c r="F846" s="120">
        <v>1</v>
      </c>
      <c r="G846" s="120">
        <v>301600</v>
      </c>
    </row>
    <row r="847" spans="1:7" ht="17.25" customHeight="1">
      <c r="A847" s="119">
        <v>839</v>
      </c>
      <c r="B847" s="119" t="s">
        <v>495</v>
      </c>
      <c r="C847" s="119" t="s">
        <v>971</v>
      </c>
      <c r="D847" s="119" t="s">
        <v>107</v>
      </c>
      <c r="E847" s="119" t="s">
        <v>87</v>
      </c>
      <c r="F847" s="120">
        <v>1</v>
      </c>
      <c r="G847" s="120">
        <v>222300</v>
      </c>
    </row>
    <row r="848" spans="1:7" ht="17.25" customHeight="1">
      <c r="A848" s="119">
        <v>840</v>
      </c>
      <c r="B848" s="119" t="s">
        <v>495</v>
      </c>
      <c r="C848" s="119" t="s">
        <v>998</v>
      </c>
      <c r="D848" s="119" t="s">
        <v>127</v>
      </c>
      <c r="E848" s="119" t="s">
        <v>87</v>
      </c>
      <c r="F848" s="120">
        <v>1</v>
      </c>
      <c r="G848" s="120">
        <v>222300</v>
      </c>
    </row>
    <row r="849" spans="1:7" ht="17.25" customHeight="1">
      <c r="A849" s="119">
        <v>841</v>
      </c>
      <c r="B849" s="119" t="s">
        <v>495</v>
      </c>
      <c r="C849" s="119" t="s">
        <v>499</v>
      </c>
      <c r="D849" s="119" t="s">
        <v>104</v>
      </c>
      <c r="E849" s="119" t="s">
        <v>88</v>
      </c>
      <c r="F849" s="120">
        <v>1</v>
      </c>
      <c r="G849" s="120">
        <v>301600</v>
      </c>
    </row>
    <row r="850" spans="1:7" ht="17.25" customHeight="1">
      <c r="A850" s="119">
        <v>842</v>
      </c>
      <c r="B850" s="119" t="s">
        <v>495</v>
      </c>
      <c r="C850" s="119" t="s">
        <v>896</v>
      </c>
      <c r="D850" s="119" t="s">
        <v>154</v>
      </c>
      <c r="E850" s="119" t="s">
        <v>90</v>
      </c>
      <c r="F850" s="120">
        <v>1</v>
      </c>
      <c r="G850" s="120">
        <v>269200</v>
      </c>
    </row>
    <row r="851" spans="1:7" ht="17.25" customHeight="1">
      <c r="A851" s="119">
        <v>843</v>
      </c>
      <c r="B851" s="119" t="s">
        <v>495</v>
      </c>
      <c r="C851" s="119" t="s">
        <v>940</v>
      </c>
      <c r="D851" s="119" t="s">
        <v>97</v>
      </c>
      <c r="E851" s="119" t="s">
        <v>89</v>
      </c>
      <c r="F851" s="120">
        <v>1</v>
      </c>
      <c r="G851" s="120">
        <v>341800</v>
      </c>
    </row>
    <row r="852" spans="1:7" ht="17.25" customHeight="1">
      <c r="A852" s="119">
        <v>844</v>
      </c>
      <c r="B852" s="119" t="s">
        <v>669</v>
      </c>
      <c r="C852" s="119" t="s">
        <v>251</v>
      </c>
      <c r="D852" s="119" t="s">
        <v>668</v>
      </c>
      <c r="E852" s="119" t="s">
        <v>87</v>
      </c>
      <c r="F852" s="120">
        <v>1</v>
      </c>
      <c r="G852" s="120">
        <v>222300</v>
      </c>
    </row>
    <row r="853" spans="1:7" ht="17.25" customHeight="1">
      <c r="A853" s="119">
        <v>845</v>
      </c>
      <c r="B853" s="119" t="s">
        <v>686</v>
      </c>
      <c r="C853" s="119" t="s">
        <v>684</v>
      </c>
      <c r="D853" s="119" t="s">
        <v>685</v>
      </c>
      <c r="E853" s="119" t="s">
        <v>87</v>
      </c>
      <c r="F853" s="120">
        <v>1</v>
      </c>
      <c r="G853" s="120">
        <v>222300</v>
      </c>
    </row>
    <row r="854" spans="1:7" ht="17.25" customHeight="1">
      <c r="A854" s="119">
        <v>846</v>
      </c>
      <c r="B854" s="119" t="s">
        <v>659</v>
      </c>
      <c r="C854" s="119" t="s">
        <v>155</v>
      </c>
      <c r="D854" s="119" t="s">
        <v>156</v>
      </c>
      <c r="E854" s="119" t="s">
        <v>87</v>
      </c>
      <c r="F854" s="120">
        <v>1</v>
      </c>
      <c r="G854" s="120">
        <v>222300</v>
      </c>
    </row>
    <row r="855" spans="1:7" ht="17.25" customHeight="1">
      <c r="A855" s="119">
        <v>847</v>
      </c>
      <c r="B855" s="119" t="s">
        <v>659</v>
      </c>
      <c r="C855" s="119" t="s">
        <v>821</v>
      </c>
      <c r="D855" s="119" t="s">
        <v>167</v>
      </c>
      <c r="E855" s="119" t="s">
        <v>89</v>
      </c>
      <c r="F855" s="120">
        <v>1</v>
      </c>
      <c r="G855" s="120">
        <v>341800</v>
      </c>
    </row>
    <row r="856" spans="1:7" ht="17.25" customHeight="1">
      <c r="A856" s="119">
        <v>848</v>
      </c>
      <c r="B856" s="119" t="s">
        <v>552</v>
      </c>
      <c r="C856" s="119" t="s">
        <v>548</v>
      </c>
      <c r="D856" s="119" t="s">
        <v>549</v>
      </c>
      <c r="E856" s="119" t="s">
        <v>88</v>
      </c>
      <c r="F856" s="120">
        <v>1</v>
      </c>
      <c r="G856" s="120">
        <v>301600</v>
      </c>
    </row>
    <row r="857" spans="1:7" ht="17.25" customHeight="1">
      <c r="A857" s="119">
        <v>849</v>
      </c>
      <c r="B857" s="119" t="s">
        <v>1016</v>
      </c>
      <c r="C857" s="119" t="s">
        <v>854</v>
      </c>
      <c r="D857" s="119" t="s">
        <v>855</v>
      </c>
      <c r="E857" s="119" t="s">
        <v>88</v>
      </c>
      <c r="F857" s="120">
        <v>1</v>
      </c>
      <c r="G857" s="120">
        <v>301600</v>
      </c>
    </row>
    <row r="858" spans="1:7" ht="17.25" customHeight="1">
      <c r="A858" s="119">
        <v>850</v>
      </c>
      <c r="B858" s="119" t="s">
        <v>846</v>
      </c>
      <c r="C858" s="119" t="s">
        <v>843</v>
      </c>
      <c r="D858" s="119" t="s">
        <v>844</v>
      </c>
      <c r="E858" s="119" t="s">
        <v>90</v>
      </c>
      <c r="F858" s="120">
        <v>1</v>
      </c>
      <c r="G858" s="120">
        <v>269200</v>
      </c>
    </row>
    <row r="859" spans="1:7" ht="17.25" customHeight="1">
      <c r="A859" s="119">
        <v>851</v>
      </c>
      <c r="B859" s="119" t="s">
        <v>498</v>
      </c>
      <c r="C859" s="119" t="s">
        <v>486</v>
      </c>
      <c r="D859" s="119" t="s">
        <v>487</v>
      </c>
      <c r="E859" s="119" t="s">
        <v>90</v>
      </c>
      <c r="F859" s="120">
        <v>1</v>
      </c>
      <c r="G859" s="120">
        <v>269200</v>
      </c>
    </row>
    <row r="860" spans="1:7" ht="17.25" customHeight="1">
      <c r="A860" s="119">
        <v>852</v>
      </c>
      <c r="B860" s="119" t="s">
        <v>498</v>
      </c>
      <c r="C860" s="119" t="s">
        <v>548</v>
      </c>
      <c r="D860" s="119" t="s">
        <v>549</v>
      </c>
      <c r="E860" s="119" t="s">
        <v>88</v>
      </c>
      <c r="F860" s="120">
        <v>1</v>
      </c>
      <c r="G860" s="120">
        <v>301600</v>
      </c>
    </row>
    <row r="861" spans="1:7" ht="17.25" customHeight="1">
      <c r="A861" s="119">
        <v>853</v>
      </c>
      <c r="B861" s="119" t="s">
        <v>498</v>
      </c>
      <c r="C861" s="119" t="s">
        <v>155</v>
      </c>
      <c r="D861" s="119" t="s">
        <v>156</v>
      </c>
      <c r="E861" s="119" t="s">
        <v>89</v>
      </c>
      <c r="F861" s="120">
        <v>1</v>
      </c>
      <c r="G861" s="120">
        <v>341800</v>
      </c>
    </row>
    <row r="862" spans="1:7" ht="17.25" customHeight="1">
      <c r="A862" s="119">
        <v>854</v>
      </c>
      <c r="B862" s="119" t="s">
        <v>498</v>
      </c>
      <c r="C862" s="119" t="s">
        <v>251</v>
      </c>
      <c r="D862" s="119" t="s">
        <v>668</v>
      </c>
      <c r="E862" s="119" t="s">
        <v>87</v>
      </c>
      <c r="F862" s="120">
        <v>1</v>
      </c>
      <c r="G862" s="120">
        <v>222300</v>
      </c>
    </row>
    <row r="863" spans="1:7" ht="17.25" customHeight="1">
      <c r="A863" s="119">
        <v>855</v>
      </c>
      <c r="B863" s="119" t="s">
        <v>498</v>
      </c>
      <c r="C863" s="119" t="s">
        <v>684</v>
      </c>
      <c r="D863" s="119" t="s">
        <v>685</v>
      </c>
      <c r="E863" s="119" t="s">
        <v>87</v>
      </c>
      <c r="F863" s="120">
        <v>1</v>
      </c>
      <c r="G863" s="120">
        <v>222300</v>
      </c>
    </row>
    <row r="864" spans="1:7" ht="17.25" customHeight="1">
      <c r="A864" s="119">
        <v>856</v>
      </c>
      <c r="B864" s="119" t="s">
        <v>498</v>
      </c>
      <c r="C864" s="119" t="s">
        <v>693</v>
      </c>
      <c r="D864" s="119" t="s">
        <v>147</v>
      </c>
      <c r="E864" s="119" t="s">
        <v>87</v>
      </c>
      <c r="F864" s="120">
        <v>1</v>
      </c>
      <c r="G864" s="120">
        <v>222300</v>
      </c>
    </row>
    <row r="865" spans="1:7" ht="17.25" customHeight="1">
      <c r="A865" s="119">
        <v>857</v>
      </c>
      <c r="B865" s="119" t="s">
        <v>498</v>
      </c>
      <c r="C865" s="119" t="s">
        <v>709</v>
      </c>
      <c r="D865" s="119" t="s">
        <v>710</v>
      </c>
      <c r="E865" s="119" t="s">
        <v>88</v>
      </c>
      <c r="F865" s="120">
        <v>1</v>
      </c>
      <c r="G865" s="120">
        <v>150800</v>
      </c>
    </row>
    <row r="866" spans="1:7" ht="17.25" customHeight="1">
      <c r="A866" s="119">
        <v>858</v>
      </c>
      <c r="B866" s="119" t="s">
        <v>498</v>
      </c>
      <c r="C866" s="119" t="s">
        <v>712</v>
      </c>
      <c r="D866" s="119" t="s">
        <v>101</v>
      </c>
      <c r="E866" s="119" t="s">
        <v>89</v>
      </c>
      <c r="F866" s="120">
        <v>1</v>
      </c>
      <c r="G866" s="120">
        <v>341800</v>
      </c>
    </row>
    <row r="867" spans="1:7" ht="17.25" customHeight="1">
      <c r="A867" s="119">
        <v>859</v>
      </c>
      <c r="B867" s="119" t="s">
        <v>498</v>
      </c>
      <c r="C867" s="119" t="s">
        <v>236</v>
      </c>
      <c r="D867" s="119" t="s">
        <v>730</v>
      </c>
      <c r="E867" s="119" t="s">
        <v>89</v>
      </c>
      <c r="F867" s="120">
        <v>1</v>
      </c>
      <c r="G867" s="120">
        <v>341800</v>
      </c>
    </row>
    <row r="868" spans="1:7" ht="17.25" customHeight="1">
      <c r="A868" s="119">
        <v>860</v>
      </c>
      <c r="B868" s="119" t="s">
        <v>498</v>
      </c>
      <c r="C868" s="119" t="s">
        <v>763</v>
      </c>
      <c r="D868" s="119" t="s">
        <v>764</v>
      </c>
      <c r="E868" s="119" t="s">
        <v>87</v>
      </c>
      <c r="F868" s="120">
        <v>1</v>
      </c>
      <c r="G868" s="120">
        <v>222300</v>
      </c>
    </row>
    <row r="869" spans="1:7" ht="17.25" customHeight="1">
      <c r="A869" s="119">
        <v>861</v>
      </c>
      <c r="B869" s="119" t="s">
        <v>498</v>
      </c>
      <c r="C869" s="119" t="s">
        <v>803</v>
      </c>
      <c r="D869" s="119" t="s">
        <v>804</v>
      </c>
      <c r="E869" s="119" t="s">
        <v>89</v>
      </c>
      <c r="F869" s="120">
        <v>1</v>
      </c>
      <c r="G869" s="120">
        <v>341800</v>
      </c>
    </row>
    <row r="870" spans="1:7" ht="17.25" customHeight="1">
      <c r="A870" s="119">
        <v>862</v>
      </c>
      <c r="B870" s="119" t="s">
        <v>498</v>
      </c>
      <c r="C870" s="119" t="s">
        <v>821</v>
      </c>
      <c r="D870" s="119" t="s">
        <v>167</v>
      </c>
      <c r="E870" s="119" t="s">
        <v>89</v>
      </c>
      <c r="F870" s="120">
        <v>1</v>
      </c>
      <c r="G870" s="120">
        <v>341800</v>
      </c>
    </row>
    <row r="871" spans="1:7" ht="17.25" customHeight="1">
      <c r="A871" s="119">
        <v>863</v>
      </c>
      <c r="B871" s="119" t="s">
        <v>498</v>
      </c>
      <c r="C871" s="119" t="s">
        <v>847</v>
      </c>
      <c r="D871" s="119" t="s">
        <v>848</v>
      </c>
      <c r="E871" s="119" t="s">
        <v>89</v>
      </c>
      <c r="F871" s="120">
        <v>1</v>
      </c>
      <c r="G871" s="120">
        <v>341800</v>
      </c>
    </row>
    <row r="872" spans="1:7" ht="17.25" customHeight="1">
      <c r="A872" s="119">
        <v>864</v>
      </c>
      <c r="B872" s="119" t="s">
        <v>498</v>
      </c>
      <c r="C872" s="119" t="s">
        <v>910</v>
      </c>
      <c r="D872" s="119" t="s">
        <v>911</v>
      </c>
      <c r="E872" s="119" t="s">
        <v>89</v>
      </c>
      <c r="F872" s="120">
        <v>1</v>
      </c>
      <c r="G872" s="120">
        <v>341800</v>
      </c>
    </row>
    <row r="873" spans="1:7" ht="17.25" customHeight="1">
      <c r="A873" s="119">
        <v>865</v>
      </c>
      <c r="B873" s="119" t="s">
        <v>498</v>
      </c>
      <c r="C873" s="119" t="s">
        <v>914</v>
      </c>
      <c r="D873" s="119" t="s">
        <v>915</v>
      </c>
      <c r="E873" s="119" t="s">
        <v>89</v>
      </c>
      <c r="F873" s="120">
        <v>1</v>
      </c>
      <c r="G873" s="120">
        <v>341800</v>
      </c>
    </row>
    <row r="874" spans="1:7" ht="17.25" customHeight="1">
      <c r="A874" s="119">
        <v>866</v>
      </c>
      <c r="B874" s="119" t="s">
        <v>498</v>
      </c>
      <c r="C874" s="119" t="s">
        <v>917</v>
      </c>
      <c r="D874" s="119" t="s">
        <v>918</v>
      </c>
      <c r="E874" s="119" t="s">
        <v>88</v>
      </c>
      <c r="F874" s="120">
        <v>1</v>
      </c>
      <c r="G874" s="120">
        <v>301600</v>
      </c>
    </row>
    <row r="875" spans="1:7" ht="17.25" customHeight="1">
      <c r="A875" s="119">
        <v>867</v>
      </c>
      <c r="B875" s="119" t="s">
        <v>498</v>
      </c>
      <c r="C875" s="119" t="s">
        <v>927</v>
      </c>
      <c r="D875" s="119" t="s">
        <v>96</v>
      </c>
      <c r="E875" s="119" t="s">
        <v>87</v>
      </c>
      <c r="F875" s="120">
        <v>1</v>
      </c>
      <c r="G875" s="120">
        <v>222300</v>
      </c>
    </row>
    <row r="876" spans="1:7" ht="17.25" customHeight="1">
      <c r="A876" s="119">
        <v>868</v>
      </c>
      <c r="B876" s="119" t="s">
        <v>498</v>
      </c>
      <c r="C876" s="119" t="s">
        <v>933</v>
      </c>
      <c r="D876" s="119" t="s">
        <v>934</v>
      </c>
      <c r="E876" s="119" t="s">
        <v>87</v>
      </c>
      <c r="F876" s="120">
        <v>1</v>
      </c>
      <c r="G876" s="120">
        <v>222300</v>
      </c>
    </row>
    <row r="877" spans="1:7" ht="17.25" customHeight="1">
      <c r="A877" s="119">
        <v>869</v>
      </c>
      <c r="B877" s="119" t="s">
        <v>498</v>
      </c>
      <c r="C877" s="119" t="s">
        <v>222</v>
      </c>
      <c r="D877" s="119" t="s">
        <v>100</v>
      </c>
      <c r="E877" s="119" t="s">
        <v>87</v>
      </c>
      <c r="F877" s="120">
        <v>1</v>
      </c>
      <c r="G877" s="120">
        <v>222300</v>
      </c>
    </row>
    <row r="878" spans="1:7" ht="17.25" customHeight="1">
      <c r="A878" s="119">
        <v>870</v>
      </c>
      <c r="B878" s="119" t="s">
        <v>498</v>
      </c>
      <c r="C878" s="119" t="s">
        <v>948</v>
      </c>
      <c r="D878" s="119" t="s">
        <v>949</v>
      </c>
      <c r="E878" s="119" t="s">
        <v>88</v>
      </c>
      <c r="F878" s="120">
        <v>1</v>
      </c>
      <c r="G878" s="120">
        <v>301600</v>
      </c>
    </row>
    <row r="879" spans="1:7" ht="17.25" customHeight="1">
      <c r="A879" s="119">
        <v>871</v>
      </c>
      <c r="B879" s="119" t="s">
        <v>498</v>
      </c>
      <c r="C879" s="119" t="s">
        <v>971</v>
      </c>
      <c r="D879" s="119" t="s">
        <v>107</v>
      </c>
      <c r="E879" s="119" t="s">
        <v>87</v>
      </c>
      <c r="F879" s="120">
        <v>1</v>
      </c>
      <c r="G879" s="120">
        <v>222300</v>
      </c>
    </row>
    <row r="880" spans="1:7" ht="17.25" customHeight="1">
      <c r="A880" s="119">
        <v>872</v>
      </c>
      <c r="B880" s="119" t="s">
        <v>498</v>
      </c>
      <c r="C880" s="119" t="s">
        <v>998</v>
      </c>
      <c r="D880" s="119" t="s">
        <v>127</v>
      </c>
      <c r="E880" s="119" t="s">
        <v>87</v>
      </c>
      <c r="F880" s="120">
        <v>1</v>
      </c>
      <c r="G880" s="120">
        <v>222300</v>
      </c>
    </row>
    <row r="881" spans="1:7" ht="17.25" customHeight="1">
      <c r="A881" s="119">
        <v>873</v>
      </c>
      <c r="B881" s="119" t="s">
        <v>498</v>
      </c>
      <c r="C881" s="119" t="s">
        <v>499</v>
      </c>
      <c r="D881" s="119" t="s">
        <v>104</v>
      </c>
      <c r="E881" s="119" t="s">
        <v>88</v>
      </c>
      <c r="F881" s="120">
        <v>1</v>
      </c>
      <c r="G881" s="120">
        <v>301600</v>
      </c>
    </row>
    <row r="882" spans="1:7" ht="17.25" customHeight="1">
      <c r="A882" s="119">
        <v>874</v>
      </c>
      <c r="B882" s="119" t="s">
        <v>498</v>
      </c>
      <c r="C882" s="119" t="s">
        <v>896</v>
      </c>
      <c r="D882" s="119" t="s">
        <v>154</v>
      </c>
      <c r="E882" s="119" t="s">
        <v>90</v>
      </c>
      <c r="F882" s="120">
        <v>1</v>
      </c>
      <c r="G882" s="120">
        <v>269200</v>
      </c>
    </row>
    <row r="883" spans="1:7" ht="17.25" customHeight="1">
      <c r="A883" s="119">
        <v>875</v>
      </c>
      <c r="B883" s="119" t="s">
        <v>498</v>
      </c>
      <c r="C883" s="119" t="s">
        <v>940</v>
      </c>
      <c r="D883" s="119" t="s">
        <v>97</v>
      </c>
      <c r="E883" s="119" t="s">
        <v>89</v>
      </c>
      <c r="F883" s="120">
        <v>1</v>
      </c>
      <c r="G883" s="120">
        <v>341800</v>
      </c>
    </row>
    <row r="884" spans="1:7" ht="17.25" customHeight="1">
      <c r="A884" s="119">
        <v>876</v>
      </c>
      <c r="B884" s="119" t="s">
        <v>615</v>
      </c>
      <c r="C884" s="119" t="s">
        <v>613</v>
      </c>
      <c r="D884" s="119" t="s">
        <v>614</v>
      </c>
      <c r="E884" s="119" t="s">
        <v>87</v>
      </c>
      <c r="F884" s="120">
        <v>1</v>
      </c>
      <c r="G884" s="120">
        <v>222300</v>
      </c>
    </row>
    <row r="885" spans="1:7" ht="17.25" customHeight="1">
      <c r="A885" s="119">
        <v>877</v>
      </c>
      <c r="B885" s="119" t="s">
        <v>758</v>
      </c>
      <c r="C885" s="119" t="s">
        <v>752</v>
      </c>
      <c r="D885" s="119" t="s">
        <v>117</v>
      </c>
      <c r="E885" s="119" t="s">
        <v>89</v>
      </c>
      <c r="F885" s="120">
        <v>1</v>
      </c>
      <c r="G885" s="120">
        <v>341800</v>
      </c>
    </row>
    <row r="886" spans="1:7" ht="17.25" customHeight="1">
      <c r="A886" s="119">
        <v>878</v>
      </c>
      <c r="B886" s="119" t="s">
        <v>529</v>
      </c>
      <c r="C886" s="119" t="s">
        <v>454</v>
      </c>
      <c r="D886" s="119" t="s">
        <v>528</v>
      </c>
      <c r="E886" s="119" t="s">
        <v>87</v>
      </c>
      <c r="F886" s="120">
        <v>1</v>
      </c>
      <c r="G886" s="120">
        <v>222300</v>
      </c>
    </row>
    <row r="887" spans="1:7" ht="17.25" customHeight="1">
      <c r="A887" s="119">
        <v>879</v>
      </c>
      <c r="B887" s="119" t="s">
        <v>785</v>
      </c>
      <c r="C887" s="119" t="s">
        <v>781</v>
      </c>
      <c r="D887" s="119" t="s">
        <v>782</v>
      </c>
      <c r="E887" s="119" t="s">
        <v>89</v>
      </c>
      <c r="F887" s="120">
        <v>1</v>
      </c>
      <c r="G887" s="120">
        <v>341800</v>
      </c>
    </row>
    <row r="888" spans="1:7" ht="17.25" customHeight="1">
      <c r="A888" s="119">
        <v>880</v>
      </c>
      <c r="B888" s="119" t="s">
        <v>564</v>
      </c>
      <c r="C888" s="119" t="s">
        <v>563</v>
      </c>
      <c r="D888" s="119" t="s">
        <v>98</v>
      </c>
      <c r="E888" s="119" t="s">
        <v>87</v>
      </c>
      <c r="F888" s="120">
        <v>1</v>
      </c>
      <c r="G888" s="120">
        <v>222300</v>
      </c>
    </row>
    <row r="889" spans="1:7" ht="17.25" customHeight="1">
      <c r="A889" s="119">
        <v>881</v>
      </c>
      <c r="B889" s="119" t="s">
        <v>808</v>
      </c>
      <c r="C889" s="119" t="s">
        <v>807</v>
      </c>
      <c r="D889" s="119" t="s">
        <v>96</v>
      </c>
      <c r="E889" s="119" t="s">
        <v>87</v>
      </c>
      <c r="F889" s="120">
        <v>1</v>
      </c>
      <c r="G889" s="120">
        <v>222300</v>
      </c>
    </row>
    <row r="890" spans="1:7" ht="17.25" customHeight="1">
      <c r="A890" s="119">
        <v>882</v>
      </c>
      <c r="B890" s="119" t="s">
        <v>587</v>
      </c>
      <c r="C890" s="119" t="s">
        <v>586</v>
      </c>
      <c r="D890" s="119" t="s">
        <v>141</v>
      </c>
      <c r="E890" s="119" t="s">
        <v>89</v>
      </c>
      <c r="F890" s="120">
        <v>1</v>
      </c>
      <c r="G890" s="120">
        <v>341800</v>
      </c>
    </row>
    <row r="891" spans="1:7" ht="17.25" customHeight="1">
      <c r="A891" s="119">
        <v>883</v>
      </c>
      <c r="B891" s="119" t="s">
        <v>584</v>
      </c>
      <c r="C891" s="119" t="s">
        <v>581</v>
      </c>
      <c r="D891" s="119" t="s">
        <v>582</v>
      </c>
      <c r="E891" s="119" t="s">
        <v>87</v>
      </c>
      <c r="F891" s="120">
        <v>1</v>
      </c>
      <c r="G891" s="120">
        <v>222300</v>
      </c>
    </row>
    <row r="892" spans="1:7" ht="17.25" customHeight="1">
      <c r="A892" s="119">
        <v>884</v>
      </c>
      <c r="B892" s="119" t="s">
        <v>497</v>
      </c>
      <c r="C892" s="119" t="s">
        <v>486</v>
      </c>
      <c r="D892" s="119" t="s">
        <v>487</v>
      </c>
      <c r="E892" s="119" t="s">
        <v>90</v>
      </c>
      <c r="F892" s="120">
        <v>1</v>
      </c>
      <c r="G892" s="120">
        <v>269200</v>
      </c>
    </row>
    <row r="893" spans="1:7" ht="17.25" customHeight="1">
      <c r="A893" s="119">
        <v>885</v>
      </c>
      <c r="B893" s="119" t="s">
        <v>497</v>
      </c>
      <c r="C893" s="119" t="s">
        <v>563</v>
      </c>
      <c r="D893" s="119" t="s">
        <v>98</v>
      </c>
      <c r="E893" s="119" t="s">
        <v>87</v>
      </c>
      <c r="F893" s="120">
        <v>1</v>
      </c>
      <c r="G893" s="120">
        <v>222300</v>
      </c>
    </row>
    <row r="894" spans="1:7" ht="17.25" customHeight="1">
      <c r="A894" s="119">
        <v>886</v>
      </c>
      <c r="B894" s="119" t="s">
        <v>497</v>
      </c>
      <c r="C894" s="119" t="s">
        <v>581</v>
      </c>
      <c r="D894" s="119" t="s">
        <v>582</v>
      </c>
      <c r="E894" s="119" t="s">
        <v>87</v>
      </c>
      <c r="F894" s="120">
        <v>1</v>
      </c>
      <c r="G894" s="120">
        <v>222300</v>
      </c>
    </row>
    <row r="895" spans="1:7" ht="17.25" customHeight="1">
      <c r="A895" s="119">
        <v>887</v>
      </c>
      <c r="B895" s="119" t="s">
        <v>497</v>
      </c>
      <c r="C895" s="119" t="s">
        <v>586</v>
      </c>
      <c r="D895" s="119" t="s">
        <v>141</v>
      </c>
      <c r="E895" s="119" t="s">
        <v>89</v>
      </c>
      <c r="F895" s="120">
        <v>1</v>
      </c>
      <c r="G895" s="120">
        <v>341800</v>
      </c>
    </row>
    <row r="896" spans="1:7" ht="17.25" customHeight="1">
      <c r="A896" s="119">
        <v>888</v>
      </c>
      <c r="B896" s="119" t="s">
        <v>497</v>
      </c>
      <c r="C896" s="119" t="s">
        <v>613</v>
      </c>
      <c r="D896" s="119" t="s">
        <v>614</v>
      </c>
      <c r="E896" s="119" t="s">
        <v>87</v>
      </c>
      <c r="F896" s="120">
        <v>1</v>
      </c>
      <c r="G896" s="120">
        <v>222300</v>
      </c>
    </row>
    <row r="897" spans="1:7" ht="17.25" customHeight="1">
      <c r="A897" s="119">
        <v>889</v>
      </c>
      <c r="B897" s="119" t="s">
        <v>497</v>
      </c>
      <c r="C897" s="119" t="s">
        <v>155</v>
      </c>
      <c r="D897" s="119" t="s">
        <v>156</v>
      </c>
      <c r="E897" s="119" t="s">
        <v>89</v>
      </c>
      <c r="F897" s="120">
        <v>1</v>
      </c>
      <c r="G897" s="120">
        <v>341800</v>
      </c>
    </row>
    <row r="898" spans="1:7" ht="17.25" customHeight="1">
      <c r="A898" s="119">
        <v>890</v>
      </c>
      <c r="B898" s="119" t="s">
        <v>497</v>
      </c>
      <c r="C898" s="119" t="s">
        <v>251</v>
      </c>
      <c r="D898" s="119" t="s">
        <v>668</v>
      </c>
      <c r="E898" s="119" t="s">
        <v>87</v>
      </c>
      <c r="F898" s="120">
        <v>1</v>
      </c>
      <c r="G898" s="120">
        <v>222300</v>
      </c>
    </row>
    <row r="899" spans="1:7" ht="17.25" customHeight="1">
      <c r="A899" s="119">
        <v>891</v>
      </c>
      <c r="B899" s="119" t="s">
        <v>497</v>
      </c>
      <c r="C899" s="119" t="s">
        <v>684</v>
      </c>
      <c r="D899" s="119" t="s">
        <v>685</v>
      </c>
      <c r="E899" s="119" t="s">
        <v>87</v>
      </c>
      <c r="F899" s="120">
        <v>1</v>
      </c>
      <c r="G899" s="120">
        <v>222300</v>
      </c>
    </row>
    <row r="900" spans="1:7" ht="17.25" customHeight="1">
      <c r="A900" s="119">
        <v>892</v>
      </c>
      <c r="B900" s="119" t="s">
        <v>497</v>
      </c>
      <c r="C900" s="119" t="s">
        <v>781</v>
      </c>
      <c r="D900" s="119" t="s">
        <v>782</v>
      </c>
      <c r="E900" s="119" t="s">
        <v>89</v>
      </c>
      <c r="F900" s="120">
        <v>1</v>
      </c>
      <c r="G900" s="120">
        <v>341800</v>
      </c>
    </row>
    <row r="901" spans="1:7" ht="17.25" customHeight="1">
      <c r="A901" s="119">
        <v>893</v>
      </c>
      <c r="B901" s="119" t="s">
        <v>497</v>
      </c>
      <c r="C901" s="119" t="s">
        <v>803</v>
      </c>
      <c r="D901" s="119" t="s">
        <v>804</v>
      </c>
      <c r="E901" s="119" t="s">
        <v>89</v>
      </c>
      <c r="F901" s="120">
        <v>1</v>
      </c>
      <c r="G901" s="120">
        <v>341800</v>
      </c>
    </row>
    <row r="902" spans="1:7" ht="17.25" customHeight="1">
      <c r="A902" s="119">
        <v>894</v>
      </c>
      <c r="B902" s="119" t="s">
        <v>497</v>
      </c>
      <c r="C902" s="119" t="s">
        <v>807</v>
      </c>
      <c r="D902" s="119" t="s">
        <v>96</v>
      </c>
      <c r="E902" s="119" t="s">
        <v>87</v>
      </c>
      <c r="F902" s="120">
        <v>1</v>
      </c>
      <c r="G902" s="120">
        <v>222300</v>
      </c>
    </row>
    <row r="903" spans="1:7" ht="17.25" customHeight="1">
      <c r="A903" s="119">
        <v>895</v>
      </c>
      <c r="B903" s="119" t="s">
        <v>497</v>
      </c>
      <c r="C903" s="119" t="s">
        <v>821</v>
      </c>
      <c r="D903" s="119" t="s">
        <v>167</v>
      </c>
      <c r="E903" s="119" t="s">
        <v>89</v>
      </c>
      <c r="F903" s="120">
        <v>1</v>
      </c>
      <c r="G903" s="120">
        <v>341800</v>
      </c>
    </row>
    <row r="904" spans="1:7" ht="17.25" customHeight="1">
      <c r="A904" s="119">
        <v>896</v>
      </c>
      <c r="B904" s="119" t="s">
        <v>497</v>
      </c>
      <c r="C904" s="119" t="s">
        <v>847</v>
      </c>
      <c r="D904" s="119" t="s">
        <v>848</v>
      </c>
      <c r="E904" s="119" t="s">
        <v>89</v>
      </c>
      <c r="F904" s="120">
        <v>1</v>
      </c>
      <c r="G904" s="120">
        <v>341800</v>
      </c>
    </row>
    <row r="905" spans="1:7" ht="17.25" customHeight="1">
      <c r="A905" s="119">
        <v>897</v>
      </c>
      <c r="B905" s="119" t="s">
        <v>497</v>
      </c>
      <c r="C905" s="119" t="s">
        <v>910</v>
      </c>
      <c r="D905" s="119" t="s">
        <v>911</v>
      </c>
      <c r="E905" s="119" t="s">
        <v>89</v>
      </c>
      <c r="F905" s="120">
        <v>1</v>
      </c>
      <c r="G905" s="120">
        <v>341800</v>
      </c>
    </row>
    <row r="906" spans="1:7" ht="17.25" customHeight="1">
      <c r="A906" s="119">
        <v>898</v>
      </c>
      <c r="B906" s="119" t="s">
        <v>497</v>
      </c>
      <c r="C906" s="119" t="s">
        <v>933</v>
      </c>
      <c r="D906" s="119" t="s">
        <v>934</v>
      </c>
      <c r="E906" s="119" t="s">
        <v>90</v>
      </c>
      <c r="F906" s="120">
        <v>1</v>
      </c>
      <c r="G906" s="120">
        <v>269200</v>
      </c>
    </row>
    <row r="907" spans="1:7" ht="17.25" customHeight="1">
      <c r="A907" s="119">
        <v>899</v>
      </c>
      <c r="B907" s="119" t="s">
        <v>497</v>
      </c>
      <c r="C907" s="119" t="s">
        <v>222</v>
      </c>
      <c r="D907" s="119" t="s">
        <v>100</v>
      </c>
      <c r="E907" s="119" t="s">
        <v>87</v>
      </c>
      <c r="F907" s="120">
        <v>1</v>
      </c>
      <c r="G907" s="120">
        <v>222300</v>
      </c>
    </row>
    <row r="908" spans="1:7" ht="17.25" customHeight="1">
      <c r="A908" s="119">
        <v>900</v>
      </c>
      <c r="B908" s="119" t="s">
        <v>497</v>
      </c>
      <c r="C908" s="119" t="s">
        <v>499</v>
      </c>
      <c r="D908" s="119" t="s">
        <v>104</v>
      </c>
      <c r="E908" s="119" t="s">
        <v>88</v>
      </c>
      <c r="F908" s="120">
        <v>1</v>
      </c>
      <c r="G908" s="120">
        <v>301600</v>
      </c>
    </row>
    <row r="909" spans="1:7" ht="17.25" customHeight="1">
      <c r="A909" s="119">
        <v>901</v>
      </c>
      <c r="B909" s="119" t="s">
        <v>497</v>
      </c>
      <c r="C909" s="119" t="s">
        <v>896</v>
      </c>
      <c r="D909" s="119" t="s">
        <v>154</v>
      </c>
      <c r="E909" s="119" t="s">
        <v>90</v>
      </c>
      <c r="F909" s="120">
        <v>1</v>
      </c>
      <c r="G909" s="120">
        <v>269200</v>
      </c>
    </row>
    <row r="910" spans="1:7" ht="17.25" customHeight="1">
      <c r="A910" s="119">
        <v>902</v>
      </c>
      <c r="B910" s="119" t="s">
        <v>497</v>
      </c>
      <c r="C910" s="119" t="s">
        <v>940</v>
      </c>
      <c r="D910" s="119" t="s">
        <v>97</v>
      </c>
      <c r="E910" s="119" t="s">
        <v>89</v>
      </c>
      <c r="F910" s="120">
        <v>1</v>
      </c>
      <c r="G910" s="120">
        <v>341800</v>
      </c>
    </row>
    <row r="911" spans="1:7" ht="17.25" customHeight="1">
      <c r="A911" s="119">
        <v>903</v>
      </c>
      <c r="B911" s="119" t="s">
        <v>756</v>
      </c>
      <c r="C911" s="119" t="s">
        <v>752</v>
      </c>
      <c r="D911" s="119" t="s">
        <v>117</v>
      </c>
      <c r="E911" s="119" t="s">
        <v>89</v>
      </c>
      <c r="F911" s="120">
        <v>1</v>
      </c>
      <c r="G911" s="120">
        <v>341800</v>
      </c>
    </row>
    <row r="912" spans="1:7" ht="17.25" customHeight="1">
      <c r="A912" s="119">
        <v>904</v>
      </c>
      <c r="B912" s="119" t="s">
        <v>616</v>
      </c>
      <c r="C912" s="119" t="s">
        <v>680</v>
      </c>
      <c r="D912" s="119" t="s">
        <v>136</v>
      </c>
      <c r="E912" s="119" t="s">
        <v>87</v>
      </c>
      <c r="F912" s="120">
        <v>1</v>
      </c>
      <c r="G912" s="120">
        <v>222300</v>
      </c>
    </row>
    <row r="913" spans="1:7" ht="17.25" customHeight="1">
      <c r="A913" s="119">
        <v>905</v>
      </c>
      <c r="B913" s="119" t="s">
        <v>530</v>
      </c>
      <c r="C913" s="119" t="s">
        <v>454</v>
      </c>
      <c r="D913" s="119" t="s">
        <v>528</v>
      </c>
      <c r="E913" s="119" t="s">
        <v>90</v>
      </c>
      <c r="F913" s="120">
        <v>1</v>
      </c>
      <c r="G913" s="120">
        <v>269200</v>
      </c>
    </row>
    <row r="914" spans="1:7" ht="17.25" customHeight="1">
      <c r="A914" s="119">
        <v>906</v>
      </c>
      <c r="B914" s="119" t="s">
        <v>593</v>
      </c>
      <c r="C914" s="119" t="s">
        <v>591</v>
      </c>
      <c r="D914" s="119" t="s">
        <v>592</v>
      </c>
      <c r="E914" s="119" t="s">
        <v>87</v>
      </c>
      <c r="F914" s="120">
        <v>1</v>
      </c>
      <c r="G914" s="120">
        <v>222300</v>
      </c>
    </row>
    <row r="915" spans="1:7" ht="17.25" customHeight="1">
      <c r="A915" s="119">
        <v>907</v>
      </c>
      <c r="B915" s="119" t="s">
        <v>973</v>
      </c>
      <c r="C915" s="119" t="s">
        <v>971</v>
      </c>
      <c r="D915" s="119" t="s">
        <v>107</v>
      </c>
      <c r="E915" s="119" t="s">
        <v>87</v>
      </c>
      <c r="F915" s="120">
        <v>1</v>
      </c>
      <c r="G915" s="120">
        <v>222300</v>
      </c>
    </row>
    <row r="916" spans="1:7" ht="17.25" customHeight="1">
      <c r="A916" s="119">
        <v>908</v>
      </c>
      <c r="B916" s="119" t="s">
        <v>488</v>
      </c>
      <c r="C916" s="119" t="s">
        <v>486</v>
      </c>
      <c r="D916" s="119" t="s">
        <v>487</v>
      </c>
      <c r="E916" s="119" t="s">
        <v>90</v>
      </c>
      <c r="F916" s="120">
        <v>1</v>
      </c>
      <c r="G916" s="120">
        <v>269200</v>
      </c>
    </row>
    <row r="917" spans="1:7" ht="17.25" customHeight="1">
      <c r="A917" s="119">
        <v>909</v>
      </c>
      <c r="B917" s="119" t="s">
        <v>488</v>
      </c>
      <c r="C917" s="119" t="s">
        <v>454</v>
      </c>
      <c r="D917" s="119" t="s">
        <v>528</v>
      </c>
      <c r="E917" s="119" t="s">
        <v>90</v>
      </c>
      <c r="F917" s="120">
        <v>1</v>
      </c>
      <c r="G917" s="120">
        <v>269200</v>
      </c>
    </row>
    <row r="918" spans="1:7" ht="17.25" customHeight="1">
      <c r="A918" s="119">
        <v>910</v>
      </c>
      <c r="B918" s="119" t="s">
        <v>488</v>
      </c>
      <c r="C918" s="119" t="s">
        <v>563</v>
      </c>
      <c r="D918" s="119" t="s">
        <v>98</v>
      </c>
      <c r="E918" s="119" t="s">
        <v>87</v>
      </c>
      <c r="F918" s="120">
        <v>1</v>
      </c>
      <c r="G918" s="120">
        <v>222300</v>
      </c>
    </row>
    <row r="919" spans="1:7" ht="17.25" customHeight="1">
      <c r="A919" s="119">
        <v>911</v>
      </c>
      <c r="B919" s="119" t="s">
        <v>488</v>
      </c>
      <c r="C919" s="119" t="s">
        <v>586</v>
      </c>
      <c r="D919" s="119" t="s">
        <v>141</v>
      </c>
      <c r="E919" s="119" t="s">
        <v>89</v>
      </c>
      <c r="F919" s="120">
        <v>1</v>
      </c>
      <c r="G919" s="120">
        <v>341800</v>
      </c>
    </row>
    <row r="920" spans="1:7" ht="17.25" customHeight="1">
      <c r="A920" s="119">
        <v>912</v>
      </c>
      <c r="B920" s="119" t="s">
        <v>488</v>
      </c>
      <c r="C920" s="119" t="s">
        <v>591</v>
      </c>
      <c r="D920" s="119" t="s">
        <v>592</v>
      </c>
      <c r="E920" s="119" t="s">
        <v>87</v>
      </c>
      <c r="F920" s="120">
        <v>1</v>
      </c>
      <c r="G920" s="120">
        <v>222300</v>
      </c>
    </row>
    <row r="921" spans="1:7" ht="17.25" customHeight="1">
      <c r="A921" s="119">
        <v>913</v>
      </c>
      <c r="B921" s="119" t="s">
        <v>488</v>
      </c>
      <c r="C921" s="119" t="s">
        <v>613</v>
      </c>
      <c r="D921" s="119" t="s">
        <v>614</v>
      </c>
      <c r="E921" s="119" t="s">
        <v>88</v>
      </c>
      <c r="F921" s="120">
        <v>1</v>
      </c>
      <c r="G921" s="120">
        <v>301600</v>
      </c>
    </row>
    <row r="922" spans="1:7" ht="17.25" customHeight="1">
      <c r="A922" s="119">
        <v>914</v>
      </c>
      <c r="B922" s="119" t="s">
        <v>488</v>
      </c>
      <c r="C922" s="119" t="s">
        <v>155</v>
      </c>
      <c r="D922" s="119" t="s">
        <v>156</v>
      </c>
      <c r="E922" s="119" t="s">
        <v>89</v>
      </c>
      <c r="F922" s="120">
        <v>1</v>
      </c>
      <c r="G922" s="120">
        <v>341800</v>
      </c>
    </row>
    <row r="923" spans="1:7" ht="17.25" customHeight="1">
      <c r="A923" s="119">
        <v>915</v>
      </c>
      <c r="B923" s="119" t="s">
        <v>488</v>
      </c>
      <c r="C923" s="119" t="s">
        <v>251</v>
      </c>
      <c r="D923" s="119" t="s">
        <v>668</v>
      </c>
      <c r="E923" s="119" t="s">
        <v>86</v>
      </c>
      <c r="F923" s="120">
        <v>1</v>
      </c>
      <c r="G923" s="120">
        <v>229200</v>
      </c>
    </row>
    <row r="924" spans="1:7" ht="17.25" customHeight="1">
      <c r="A924" s="119">
        <v>916</v>
      </c>
      <c r="B924" s="119" t="s">
        <v>488</v>
      </c>
      <c r="C924" s="119" t="s">
        <v>680</v>
      </c>
      <c r="D924" s="119" t="s">
        <v>136</v>
      </c>
      <c r="E924" s="119" t="s">
        <v>87</v>
      </c>
      <c r="F924" s="120">
        <v>1</v>
      </c>
      <c r="G924" s="120">
        <v>222300</v>
      </c>
    </row>
    <row r="925" spans="1:7" ht="17.25" customHeight="1">
      <c r="A925" s="119">
        <v>917</v>
      </c>
      <c r="B925" s="119" t="s">
        <v>488</v>
      </c>
      <c r="C925" s="119" t="s">
        <v>684</v>
      </c>
      <c r="D925" s="119" t="s">
        <v>685</v>
      </c>
      <c r="E925" s="119" t="s">
        <v>87</v>
      </c>
      <c r="F925" s="120">
        <v>1</v>
      </c>
      <c r="G925" s="120">
        <v>222300</v>
      </c>
    </row>
    <row r="926" spans="1:7" ht="17.25" customHeight="1">
      <c r="A926" s="119">
        <v>918</v>
      </c>
      <c r="B926" s="119" t="s">
        <v>488</v>
      </c>
      <c r="C926" s="119" t="s">
        <v>781</v>
      </c>
      <c r="D926" s="119" t="s">
        <v>782</v>
      </c>
      <c r="E926" s="119" t="s">
        <v>89</v>
      </c>
      <c r="F926" s="120">
        <v>1</v>
      </c>
      <c r="G926" s="120">
        <v>341800</v>
      </c>
    </row>
    <row r="927" spans="1:7" ht="17.25" customHeight="1">
      <c r="A927" s="119">
        <v>919</v>
      </c>
      <c r="B927" s="119" t="s">
        <v>488</v>
      </c>
      <c r="C927" s="119" t="s">
        <v>803</v>
      </c>
      <c r="D927" s="119" t="s">
        <v>804</v>
      </c>
      <c r="E927" s="119" t="s">
        <v>89</v>
      </c>
      <c r="F927" s="120">
        <v>1</v>
      </c>
      <c r="G927" s="120">
        <v>341800</v>
      </c>
    </row>
    <row r="928" spans="1:7" ht="17.25" customHeight="1">
      <c r="A928" s="119">
        <v>920</v>
      </c>
      <c r="B928" s="119" t="s">
        <v>488</v>
      </c>
      <c r="C928" s="119" t="s">
        <v>807</v>
      </c>
      <c r="D928" s="119" t="s">
        <v>96</v>
      </c>
      <c r="E928" s="119" t="s">
        <v>87</v>
      </c>
      <c r="F928" s="120">
        <v>1</v>
      </c>
      <c r="G928" s="120">
        <v>222300</v>
      </c>
    </row>
    <row r="929" spans="1:7" ht="17.25" customHeight="1">
      <c r="A929" s="119">
        <v>921</v>
      </c>
      <c r="B929" s="119" t="s">
        <v>488</v>
      </c>
      <c r="C929" s="119" t="s">
        <v>821</v>
      </c>
      <c r="D929" s="119" t="s">
        <v>167</v>
      </c>
      <c r="E929" s="119" t="s">
        <v>89</v>
      </c>
      <c r="F929" s="120">
        <v>1</v>
      </c>
      <c r="G929" s="120">
        <v>341800</v>
      </c>
    </row>
    <row r="930" spans="1:7" ht="17.25" customHeight="1">
      <c r="A930" s="119">
        <v>922</v>
      </c>
      <c r="B930" s="119" t="s">
        <v>488</v>
      </c>
      <c r="C930" s="119" t="s">
        <v>847</v>
      </c>
      <c r="D930" s="119" t="s">
        <v>848</v>
      </c>
      <c r="E930" s="119" t="s">
        <v>89</v>
      </c>
      <c r="F930" s="120">
        <v>1</v>
      </c>
      <c r="G930" s="120">
        <v>341800</v>
      </c>
    </row>
    <row r="931" spans="1:7" ht="17.25" customHeight="1">
      <c r="A931" s="119">
        <v>923</v>
      </c>
      <c r="B931" s="119" t="s">
        <v>488</v>
      </c>
      <c r="C931" s="119" t="s">
        <v>910</v>
      </c>
      <c r="D931" s="119" t="s">
        <v>911</v>
      </c>
      <c r="E931" s="119" t="s">
        <v>89</v>
      </c>
      <c r="F931" s="120">
        <v>1</v>
      </c>
      <c r="G931" s="120">
        <v>341800</v>
      </c>
    </row>
    <row r="932" spans="1:7" ht="17.25" customHeight="1">
      <c r="A932" s="119">
        <v>924</v>
      </c>
      <c r="B932" s="119" t="s">
        <v>488</v>
      </c>
      <c r="C932" s="119" t="s">
        <v>933</v>
      </c>
      <c r="D932" s="119" t="s">
        <v>934</v>
      </c>
      <c r="E932" s="119" t="s">
        <v>90</v>
      </c>
      <c r="F932" s="120">
        <v>1</v>
      </c>
      <c r="G932" s="120">
        <v>269200</v>
      </c>
    </row>
    <row r="933" spans="1:7" ht="17.25" customHeight="1">
      <c r="A933" s="119">
        <v>925</v>
      </c>
      <c r="B933" s="119" t="s">
        <v>488</v>
      </c>
      <c r="C933" s="119" t="s">
        <v>222</v>
      </c>
      <c r="D933" s="119" t="s">
        <v>100</v>
      </c>
      <c r="E933" s="119" t="s">
        <v>87</v>
      </c>
      <c r="F933" s="120">
        <v>1</v>
      </c>
      <c r="G933" s="120">
        <v>222300</v>
      </c>
    </row>
    <row r="934" spans="1:7" ht="17.25" customHeight="1">
      <c r="A934" s="119">
        <v>926</v>
      </c>
      <c r="B934" s="119" t="s">
        <v>488</v>
      </c>
      <c r="C934" s="119" t="s">
        <v>499</v>
      </c>
      <c r="D934" s="119" t="s">
        <v>104</v>
      </c>
      <c r="E934" s="119" t="s">
        <v>88</v>
      </c>
      <c r="F934" s="120">
        <v>1</v>
      </c>
      <c r="G934" s="120">
        <v>301600</v>
      </c>
    </row>
    <row r="935" spans="1:7" ht="17.25" customHeight="1">
      <c r="A935" s="119">
        <v>927</v>
      </c>
      <c r="B935" s="119" t="s">
        <v>488</v>
      </c>
      <c r="C935" s="119" t="s">
        <v>896</v>
      </c>
      <c r="D935" s="119" t="s">
        <v>154</v>
      </c>
      <c r="E935" s="119" t="s">
        <v>90</v>
      </c>
      <c r="F935" s="120">
        <v>1</v>
      </c>
      <c r="G935" s="120">
        <v>269200</v>
      </c>
    </row>
    <row r="936" spans="1:7" ht="17.25" customHeight="1">
      <c r="A936" s="119">
        <v>928</v>
      </c>
      <c r="B936" s="119" t="s">
        <v>488</v>
      </c>
      <c r="C936" s="119" t="s">
        <v>940</v>
      </c>
      <c r="D936" s="119" t="s">
        <v>97</v>
      </c>
      <c r="E936" s="119" t="s">
        <v>89</v>
      </c>
      <c r="F936" s="120">
        <v>1</v>
      </c>
      <c r="G936" s="120">
        <v>341800</v>
      </c>
    </row>
    <row r="937" spans="1:7" ht="17.25" customHeight="1">
      <c r="A937" s="119">
        <v>929</v>
      </c>
      <c r="B937" s="119" t="s">
        <v>755</v>
      </c>
      <c r="C937" s="119" t="s">
        <v>752</v>
      </c>
      <c r="D937" s="119" t="s">
        <v>117</v>
      </c>
      <c r="E937" s="119" t="s">
        <v>89</v>
      </c>
      <c r="F937" s="120">
        <v>1</v>
      </c>
      <c r="G937" s="120">
        <v>341800</v>
      </c>
    </row>
    <row r="938" spans="1:7" ht="17.25" customHeight="1">
      <c r="A938" s="119">
        <v>930</v>
      </c>
      <c r="B938" s="119" t="s">
        <v>583</v>
      </c>
      <c r="C938" s="119" t="s">
        <v>581</v>
      </c>
      <c r="D938" s="119" t="s">
        <v>582</v>
      </c>
      <c r="E938" s="119" t="s">
        <v>87</v>
      </c>
      <c r="F938" s="120">
        <v>1</v>
      </c>
      <c r="G938" s="120">
        <v>222300</v>
      </c>
    </row>
    <row r="939" spans="1:7" ht="17.25" customHeight="1">
      <c r="A939" s="119">
        <v>931</v>
      </c>
      <c r="B939" s="119" t="s">
        <v>612</v>
      </c>
      <c r="C939" s="119" t="s">
        <v>611</v>
      </c>
      <c r="D939" s="119" t="s">
        <v>96</v>
      </c>
      <c r="E939" s="119" t="s">
        <v>87</v>
      </c>
      <c r="F939" s="120">
        <v>1</v>
      </c>
      <c r="G939" s="120">
        <v>222300</v>
      </c>
    </row>
    <row r="940" spans="1:7" ht="17.25" customHeight="1">
      <c r="A940" s="119">
        <v>932</v>
      </c>
      <c r="B940" s="119" t="s">
        <v>496</v>
      </c>
      <c r="C940" s="119" t="s">
        <v>486</v>
      </c>
      <c r="D940" s="119" t="s">
        <v>487</v>
      </c>
      <c r="E940" s="119" t="s">
        <v>90</v>
      </c>
      <c r="F940" s="120">
        <v>1</v>
      </c>
      <c r="G940" s="120">
        <v>269200</v>
      </c>
    </row>
    <row r="941" spans="1:7" ht="17.25" customHeight="1">
      <c r="A941" s="119">
        <v>933</v>
      </c>
      <c r="B941" s="119" t="s">
        <v>496</v>
      </c>
      <c r="C941" s="119" t="s">
        <v>563</v>
      </c>
      <c r="D941" s="119" t="s">
        <v>98</v>
      </c>
      <c r="E941" s="119" t="s">
        <v>87</v>
      </c>
      <c r="F941" s="120">
        <v>1</v>
      </c>
      <c r="G941" s="120">
        <v>222300</v>
      </c>
    </row>
    <row r="942" spans="1:7" ht="17.25" customHeight="1">
      <c r="A942" s="119">
        <v>934</v>
      </c>
      <c r="B942" s="119" t="s">
        <v>496</v>
      </c>
      <c r="C942" s="119" t="s">
        <v>581</v>
      </c>
      <c r="D942" s="119" t="s">
        <v>582</v>
      </c>
      <c r="E942" s="119" t="s">
        <v>89</v>
      </c>
      <c r="F942" s="120">
        <v>1</v>
      </c>
      <c r="G942" s="120">
        <v>341800</v>
      </c>
    </row>
    <row r="943" spans="1:7" ht="17.25" customHeight="1">
      <c r="A943" s="119">
        <v>935</v>
      </c>
      <c r="B943" s="119" t="s">
        <v>496</v>
      </c>
      <c r="C943" s="119" t="s">
        <v>586</v>
      </c>
      <c r="D943" s="119" t="s">
        <v>141</v>
      </c>
      <c r="E943" s="119" t="s">
        <v>89</v>
      </c>
      <c r="F943" s="120">
        <v>1</v>
      </c>
      <c r="G943" s="120">
        <v>341800</v>
      </c>
    </row>
    <row r="944" spans="1:7" ht="17.25" customHeight="1">
      <c r="A944" s="119">
        <v>936</v>
      </c>
      <c r="B944" s="119" t="s">
        <v>496</v>
      </c>
      <c r="C944" s="119" t="s">
        <v>591</v>
      </c>
      <c r="D944" s="119" t="s">
        <v>592</v>
      </c>
      <c r="E944" s="119" t="s">
        <v>87</v>
      </c>
      <c r="F944" s="120">
        <v>1</v>
      </c>
      <c r="G944" s="120">
        <v>222300</v>
      </c>
    </row>
    <row r="945" spans="1:7" ht="17.25" customHeight="1">
      <c r="A945" s="119">
        <v>937</v>
      </c>
      <c r="B945" s="119" t="s">
        <v>496</v>
      </c>
      <c r="C945" s="119" t="s">
        <v>611</v>
      </c>
      <c r="D945" s="119" t="s">
        <v>96</v>
      </c>
      <c r="E945" s="119" t="s">
        <v>87</v>
      </c>
      <c r="F945" s="120">
        <v>1</v>
      </c>
      <c r="G945" s="120">
        <v>222300</v>
      </c>
    </row>
    <row r="946" spans="1:7" ht="17.25" customHeight="1">
      <c r="A946" s="119">
        <v>938</v>
      </c>
      <c r="B946" s="119" t="s">
        <v>496</v>
      </c>
      <c r="C946" s="119" t="s">
        <v>613</v>
      </c>
      <c r="D946" s="119" t="s">
        <v>614</v>
      </c>
      <c r="E946" s="119" t="s">
        <v>88</v>
      </c>
      <c r="F946" s="120">
        <v>1</v>
      </c>
      <c r="G946" s="120">
        <v>301600</v>
      </c>
    </row>
    <row r="947" spans="1:7" ht="17.25" customHeight="1">
      <c r="A947" s="119">
        <v>939</v>
      </c>
      <c r="B947" s="119" t="s">
        <v>496</v>
      </c>
      <c r="C947" s="119" t="s">
        <v>251</v>
      </c>
      <c r="D947" s="119" t="s">
        <v>668</v>
      </c>
      <c r="E947" s="119" t="s">
        <v>86</v>
      </c>
      <c r="F947" s="120">
        <v>1</v>
      </c>
      <c r="G947" s="120">
        <v>229200</v>
      </c>
    </row>
    <row r="948" spans="1:7" ht="17.25" customHeight="1">
      <c r="A948" s="119">
        <v>940</v>
      </c>
      <c r="B948" s="119" t="s">
        <v>496</v>
      </c>
      <c r="C948" s="119" t="s">
        <v>680</v>
      </c>
      <c r="D948" s="119" t="s">
        <v>136</v>
      </c>
      <c r="E948" s="119" t="s">
        <v>86</v>
      </c>
      <c r="F948" s="120">
        <v>1</v>
      </c>
      <c r="G948" s="120">
        <v>229200</v>
      </c>
    </row>
    <row r="949" spans="1:7" ht="17.25" customHeight="1">
      <c r="A949" s="119">
        <v>941</v>
      </c>
      <c r="B949" s="119" t="s">
        <v>496</v>
      </c>
      <c r="C949" s="119" t="s">
        <v>781</v>
      </c>
      <c r="D949" s="119" t="s">
        <v>782</v>
      </c>
      <c r="E949" s="119" t="s">
        <v>89</v>
      </c>
      <c r="F949" s="120">
        <v>1</v>
      </c>
      <c r="G949" s="120">
        <v>341800</v>
      </c>
    </row>
    <row r="950" spans="1:7" ht="17.25" customHeight="1">
      <c r="A950" s="119">
        <v>942</v>
      </c>
      <c r="B950" s="119" t="s">
        <v>496</v>
      </c>
      <c r="C950" s="119" t="s">
        <v>847</v>
      </c>
      <c r="D950" s="119" t="s">
        <v>848</v>
      </c>
      <c r="E950" s="119" t="s">
        <v>89</v>
      </c>
      <c r="F950" s="120">
        <v>1</v>
      </c>
      <c r="G950" s="120">
        <v>341800</v>
      </c>
    </row>
    <row r="951" spans="1:7" ht="17.25" customHeight="1">
      <c r="A951" s="119">
        <v>943</v>
      </c>
      <c r="B951" s="119" t="s">
        <v>496</v>
      </c>
      <c r="C951" s="119" t="s">
        <v>884</v>
      </c>
      <c r="D951" s="119" t="s">
        <v>885</v>
      </c>
      <c r="E951" s="119" t="s">
        <v>87</v>
      </c>
      <c r="F951" s="120">
        <v>1</v>
      </c>
      <c r="G951" s="120">
        <v>222300</v>
      </c>
    </row>
    <row r="952" spans="1:7" ht="17.25" customHeight="1">
      <c r="A952" s="119">
        <v>944</v>
      </c>
      <c r="B952" s="119" t="s">
        <v>496</v>
      </c>
      <c r="C952" s="119" t="s">
        <v>910</v>
      </c>
      <c r="D952" s="119" t="s">
        <v>911</v>
      </c>
      <c r="E952" s="119" t="s">
        <v>89</v>
      </c>
      <c r="F952" s="120">
        <v>1</v>
      </c>
      <c r="G952" s="120">
        <v>341800</v>
      </c>
    </row>
    <row r="953" spans="1:7" ht="17.25" customHeight="1">
      <c r="A953" s="119">
        <v>945</v>
      </c>
      <c r="B953" s="119" t="s">
        <v>496</v>
      </c>
      <c r="C953" s="119" t="s">
        <v>933</v>
      </c>
      <c r="D953" s="119" t="s">
        <v>934</v>
      </c>
      <c r="E953" s="119" t="s">
        <v>90</v>
      </c>
      <c r="F953" s="120">
        <v>1</v>
      </c>
      <c r="G953" s="120">
        <v>269200</v>
      </c>
    </row>
    <row r="954" spans="1:7" ht="17.25" customHeight="1">
      <c r="A954" s="119">
        <v>946</v>
      </c>
      <c r="B954" s="119" t="s">
        <v>496</v>
      </c>
      <c r="C954" s="119" t="s">
        <v>971</v>
      </c>
      <c r="D954" s="119" t="s">
        <v>107</v>
      </c>
      <c r="E954" s="119" t="s">
        <v>87</v>
      </c>
      <c r="F954" s="120">
        <v>1</v>
      </c>
      <c r="G954" s="120">
        <v>222300</v>
      </c>
    </row>
    <row r="955" spans="1:7" ht="17.25" customHeight="1">
      <c r="A955" s="119">
        <v>947</v>
      </c>
      <c r="B955" s="119" t="s">
        <v>496</v>
      </c>
      <c r="C955" s="119" t="s">
        <v>807</v>
      </c>
      <c r="D955" s="119" t="s">
        <v>96</v>
      </c>
      <c r="E955" s="119" t="s">
        <v>90</v>
      </c>
      <c r="F955" s="120">
        <v>1</v>
      </c>
      <c r="G955" s="120">
        <v>269200</v>
      </c>
    </row>
    <row r="956" spans="1:7" ht="17.25" customHeight="1">
      <c r="A956" s="119">
        <v>948</v>
      </c>
      <c r="B956" s="119" t="s">
        <v>496</v>
      </c>
      <c r="C956" s="119" t="s">
        <v>940</v>
      </c>
      <c r="D956" s="119" t="s">
        <v>97</v>
      </c>
      <c r="E956" s="119" t="s">
        <v>89</v>
      </c>
      <c r="F956" s="120">
        <v>1</v>
      </c>
      <c r="G956" s="120">
        <v>341800</v>
      </c>
    </row>
    <row r="957" spans="1:7" ht="17.25" customHeight="1">
      <c r="A957" s="119">
        <v>949</v>
      </c>
      <c r="B957" s="119" t="s">
        <v>754</v>
      </c>
      <c r="C957" s="119" t="s">
        <v>752</v>
      </c>
      <c r="D957" s="119" t="s">
        <v>117</v>
      </c>
      <c r="E957" s="119" t="s">
        <v>89</v>
      </c>
      <c r="F957" s="120">
        <v>1</v>
      </c>
      <c r="G957" s="120">
        <v>341800</v>
      </c>
    </row>
    <row r="958" spans="1:7" ht="17.25" customHeight="1">
      <c r="A958" s="119">
        <v>950</v>
      </c>
      <c r="B958" s="119" t="s">
        <v>590</v>
      </c>
      <c r="C958" s="119" t="s">
        <v>588</v>
      </c>
      <c r="D958" s="119" t="s">
        <v>589</v>
      </c>
      <c r="E958" s="119" t="s">
        <v>87</v>
      </c>
      <c r="F958" s="120">
        <v>1</v>
      </c>
      <c r="G958" s="120">
        <v>222300</v>
      </c>
    </row>
    <row r="959" spans="1:7" ht="17.25" customHeight="1">
      <c r="A959" s="119">
        <v>951</v>
      </c>
      <c r="B959" s="119" t="s">
        <v>802</v>
      </c>
      <c r="C959" s="119" t="s">
        <v>800</v>
      </c>
      <c r="D959" s="119" t="s">
        <v>801</v>
      </c>
      <c r="E959" s="119" t="s">
        <v>87</v>
      </c>
      <c r="F959" s="120">
        <v>1</v>
      </c>
      <c r="G959" s="120">
        <v>222300</v>
      </c>
    </row>
    <row r="960" spans="1:7" ht="17.25" customHeight="1">
      <c r="A960" s="119">
        <v>952</v>
      </c>
      <c r="B960" s="119" t="s">
        <v>811</v>
      </c>
      <c r="C960" s="119" t="s">
        <v>809</v>
      </c>
      <c r="D960" s="119" t="s">
        <v>810</v>
      </c>
      <c r="E960" s="119" t="s">
        <v>87</v>
      </c>
      <c r="F960" s="120">
        <v>1</v>
      </c>
      <c r="G960" s="120">
        <v>222300</v>
      </c>
    </row>
    <row r="961" spans="1:7" ht="17.25" customHeight="1">
      <c r="A961" s="119">
        <v>953</v>
      </c>
      <c r="B961" s="119" t="s">
        <v>585</v>
      </c>
      <c r="C961" s="119" t="s">
        <v>581</v>
      </c>
      <c r="D961" s="119" t="s">
        <v>582</v>
      </c>
      <c r="E961" s="119" t="s">
        <v>89</v>
      </c>
      <c r="F961" s="120">
        <v>1</v>
      </c>
      <c r="G961" s="120">
        <v>341800</v>
      </c>
    </row>
    <row r="962" spans="1:7" ht="17.25" customHeight="1">
      <c r="A962" s="119">
        <v>954</v>
      </c>
      <c r="B962" s="119" t="s">
        <v>585</v>
      </c>
      <c r="C962" s="119" t="s">
        <v>588</v>
      </c>
      <c r="D962" s="119" t="s">
        <v>589</v>
      </c>
      <c r="E962" s="119" t="s">
        <v>87</v>
      </c>
      <c r="F962" s="120">
        <v>1</v>
      </c>
      <c r="G962" s="120">
        <v>222300</v>
      </c>
    </row>
    <row r="963" spans="1:7" ht="17.25" customHeight="1">
      <c r="A963" s="119">
        <v>955</v>
      </c>
      <c r="B963" s="119" t="s">
        <v>585</v>
      </c>
      <c r="C963" s="119" t="s">
        <v>591</v>
      </c>
      <c r="D963" s="119" t="s">
        <v>592</v>
      </c>
      <c r="E963" s="119" t="s">
        <v>87</v>
      </c>
      <c r="F963" s="120">
        <v>1</v>
      </c>
      <c r="G963" s="120">
        <v>222300</v>
      </c>
    </row>
    <row r="964" spans="1:7" ht="17.25" customHeight="1">
      <c r="A964" s="119">
        <v>956</v>
      </c>
      <c r="B964" s="119" t="s">
        <v>585</v>
      </c>
      <c r="C964" s="119" t="s">
        <v>611</v>
      </c>
      <c r="D964" s="119" t="s">
        <v>96</v>
      </c>
      <c r="E964" s="119" t="s">
        <v>87</v>
      </c>
      <c r="F964" s="120">
        <v>1</v>
      </c>
      <c r="G964" s="120">
        <v>222300</v>
      </c>
    </row>
    <row r="965" spans="1:7" ht="17.25" customHeight="1">
      <c r="A965" s="119">
        <v>957</v>
      </c>
      <c r="B965" s="119" t="s">
        <v>585</v>
      </c>
      <c r="C965" s="119" t="s">
        <v>613</v>
      </c>
      <c r="D965" s="119" t="s">
        <v>614</v>
      </c>
      <c r="E965" s="119" t="s">
        <v>88</v>
      </c>
      <c r="F965" s="120">
        <v>1</v>
      </c>
      <c r="G965" s="120">
        <v>301600</v>
      </c>
    </row>
    <row r="966" spans="1:7" ht="17.25" customHeight="1">
      <c r="A966" s="119">
        <v>958</v>
      </c>
      <c r="B966" s="119" t="s">
        <v>585</v>
      </c>
      <c r="C966" s="119" t="s">
        <v>251</v>
      </c>
      <c r="D966" s="119" t="s">
        <v>668</v>
      </c>
      <c r="E966" s="119" t="s">
        <v>86</v>
      </c>
      <c r="F966" s="120">
        <v>1</v>
      </c>
      <c r="G966" s="120">
        <v>229200</v>
      </c>
    </row>
    <row r="967" spans="1:7" ht="17.25" customHeight="1">
      <c r="A967" s="119">
        <v>959</v>
      </c>
      <c r="B967" s="119" t="s">
        <v>585</v>
      </c>
      <c r="C967" s="119" t="s">
        <v>680</v>
      </c>
      <c r="D967" s="119" t="s">
        <v>136</v>
      </c>
      <c r="E967" s="119" t="s">
        <v>86</v>
      </c>
      <c r="F967" s="120">
        <v>1</v>
      </c>
      <c r="G967" s="120">
        <v>229200</v>
      </c>
    </row>
    <row r="968" spans="1:7" ht="17.25" customHeight="1">
      <c r="A968" s="119">
        <v>960</v>
      </c>
      <c r="B968" s="119" t="s">
        <v>585</v>
      </c>
      <c r="C968" s="119" t="s">
        <v>800</v>
      </c>
      <c r="D968" s="119" t="s">
        <v>801</v>
      </c>
      <c r="E968" s="119" t="s">
        <v>87</v>
      </c>
      <c r="F968" s="120">
        <v>1</v>
      </c>
      <c r="G968" s="120">
        <v>222300</v>
      </c>
    </row>
    <row r="969" spans="1:7" ht="17.25" customHeight="1">
      <c r="A969" s="119">
        <v>961</v>
      </c>
      <c r="B969" s="119" t="s">
        <v>585</v>
      </c>
      <c r="C969" s="119" t="s">
        <v>847</v>
      </c>
      <c r="D969" s="119" t="s">
        <v>848</v>
      </c>
      <c r="E969" s="119" t="s">
        <v>89</v>
      </c>
      <c r="F969" s="120">
        <v>1</v>
      </c>
      <c r="G969" s="120">
        <v>341800</v>
      </c>
    </row>
    <row r="970" spans="1:7" ht="17.25" customHeight="1">
      <c r="A970" s="119">
        <v>962</v>
      </c>
      <c r="B970" s="119" t="s">
        <v>585</v>
      </c>
      <c r="C970" s="119" t="s">
        <v>884</v>
      </c>
      <c r="D970" s="119" t="s">
        <v>885</v>
      </c>
      <c r="E970" s="119" t="s">
        <v>87</v>
      </c>
      <c r="F970" s="120">
        <v>1</v>
      </c>
      <c r="G970" s="120">
        <v>222300</v>
      </c>
    </row>
    <row r="971" spans="1:7" ht="17.25" customHeight="1">
      <c r="A971" s="119">
        <v>963</v>
      </c>
      <c r="B971" s="119" t="s">
        <v>585</v>
      </c>
      <c r="C971" s="119" t="s">
        <v>933</v>
      </c>
      <c r="D971" s="119" t="s">
        <v>934</v>
      </c>
      <c r="E971" s="119" t="s">
        <v>90</v>
      </c>
      <c r="F971" s="120">
        <v>1</v>
      </c>
      <c r="G971" s="120">
        <v>269200</v>
      </c>
    </row>
    <row r="972" spans="1:7" ht="17.25" customHeight="1">
      <c r="A972" s="119">
        <v>964</v>
      </c>
      <c r="B972" s="119" t="s">
        <v>585</v>
      </c>
      <c r="C972" s="119" t="s">
        <v>971</v>
      </c>
      <c r="D972" s="119" t="s">
        <v>107</v>
      </c>
      <c r="E972" s="119" t="s">
        <v>87</v>
      </c>
      <c r="F972" s="120">
        <v>1</v>
      </c>
      <c r="G972" s="120">
        <v>222300</v>
      </c>
    </row>
    <row r="973" spans="1:7" ht="17.25" customHeight="1">
      <c r="A973" s="119">
        <v>965</v>
      </c>
      <c r="B973" s="119" t="s">
        <v>585</v>
      </c>
      <c r="C973" s="119" t="s">
        <v>807</v>
      </c>
      <c r="D973" s="119" t="s">
        <v>96</v>
      </c>
      <c r="E973" s="119" t="s">
        <v>90</v>
      </c>
      <c r="F973" s="120">
        <v>1</v>
      </c>
      <c r="G973" s="120">
        <v>269200</v>
      </c>
    </row>
    <row r="974" spans="1:7" ht="17.25" customHeight="1">
      <c r="A974" s="119">
        <v>966</v>
      </c>
      <c r="B974" s="119" t="s">
        <v>585</v>
      </c>
      <c r="C974" s="119" t="s">
        <v>940</v>
      </c>
      <c r="D974" s="119" t="s">
        <v>97</v>
      </c>
      <c r="E974" s="119" t="s">
        <v>89</v>
      </c>
      <c r="F974" s="120">
        <v>1</v>
      </c>
      <c r="G974" s="120">
        <v>341800</v>
      </c>
    </row>
    <row r="975" spans="1:7" ht="17.25" customHeight="1">
      <c r="A975" s="119">
        <v>967</v>
      </c>
      <c r="B975" s="119" t="s">
        <v>759</v>
      </c>
      <c r="C975" s="119" t="s">
        <v>752</v>
      </c>
      <c r="D975" s="119" t="s">
        <v>117</v>
      </c>
      <c r="E975" s="119" t="s">
        <v>89</v>
      </c>
      <c r="F975" s="120">
        <v>1</v>
      </c>
      <c r="G975" s="120">
        <v>341800</v>
      </c>
    </row>
    <row r="976" spans="1:7" ht="17.25" customHeight="1">
      <c r="A976" s="119">
        <v>968</v>
      </c>
      <c r="B976" s="119" t="s">
        <v>993</v>
      </c>
      <c r="C976" s="119" t="s">
        <v>991</v>
      </c>
      <c r="D976" s="119" t="s">
        <v>992</v>
      </c>
      <c r="E976" s="119" t="s">
        <v>87</v>
      </c>
      <c r="F976" s="120">
        <v>1</v>
      </c>
      <c r="G976" s="120">
        <v>222300</v>
      </c>
    </row>
    <row r="977" spans="1:7" ht="17.25" customHeight="1">
      <c r="A977" s="119">
        <v>969</v>
      </c>
      <c r="B977" s="119" t="s">
        <v>865</v>
      </c>
      <c r="C977" s="119" t="s">
        <v>863</v>
      </c>
      <c r="D977" s="119" t="s">
        <v>864</v>
      </c>
      <c r="E977" s="119" t="s">
        <v>87</v>
      </c>
      <c r="F977" s="120">
        <v>1</v>
      </c>
      <c r="G977" s="120">
        <v>222300</v>
      </c>
    </row>
    <row r="978" spans="1:7" ht="17.25" customHeight="1">
      <c r="A978" s="119">
        <v>970</v>
      </c>
      <c r="B978" s="119" t="s">
        <v>966</v>
      </c>
      <c r="C978" s="119" t="s">
        <v>964</v>
      </c>
      <c r="D978" s="119" t="s">
        <v>965</v>
      </c>
      <c r="E978" s="119" t="s">
        <v>87</v>
      </c>
      <c r="F978" s="120">
        <v>1</v>
      </c>
      <c r="G978" s="120">
        <v>222300</v>
      </c>
    </row>
    <row r="979" spans="1:7" ht="17.25" customHeight="1">
      <c r="A979" s="119">
        <v>971</v>
      </c>
      <c r="B979" s="119" t="s">
        <v>947</v>
      </c>
      <c r="C979" s="119" t="s">
        <v>945</v>
      </c>
      <c r="D979" s="119" t="s">
        <v>946</v>
      </c>
      <c r="E979" s="119" t="s">
        <v>87</v>
      </c>
      <c r="F979" s="120">
        <v>1</v>
      </c>
      <c r="G979" s="120">
        <v>222300</v>
      </c>
    </row>
    <row r="980" spans="1:7" ht="17.25" customHeight="1">
      <c r="A980" s="119">
        <v>972</v>
      </c>
      <c r="B980" s="119" t="s">
        <v>489</v>
      </c>
      <c r="C980" s="119" t="s">
        <v>809</v>
      </c>
      <c r="D980" s="119" t="s">
        <v>810</v>
      </c>
      <c r="E980" s="119" t="s">
        <v>89</v>
      </c>
      <c r="F980" s="120">
        <v>1</v>
      </c>
      <c r="G980" s="120">
        <v>341800</v>
      </c>
    </row>
    <row r="981" spans="1:7" ht="17.25" customHeight="1">
      <c r="A981" s="119">
        <v>973</v>
      </c>
      <c r="B981" s="119" t="s">
        <v>565</v>
      </c>
      <c r="C981" s="119" t="s">
        <v>563</v>
      </c>
      <c r="D981" s="119" t="s">
        <v>98</v>
      </c>
      <c r="E981" s="119" t="s">
        <v>89</v>
      </c>
      <c r="F981" s="120">
        <v>1</v>
      </c>
      <c r="G981" s="120">
        <v>341800</v>
      </c>
    </row>
    <row r="982" spans="1:7" ht="17.25" customHeight="1">
      <c r="A982" s="119">
        <v>974</v>
      </c>
      <c r="B982" s="119" t="s">
        <v>567</v>
      </c>
      <c r="C982" s="119" t="s">
        <v>563</v>
      </c>
      <c r="D982" s="119" t="s">
        <v>98</v>
      </c>
      <c r="E982" s="119" t="s">
        <v>89</v>
      </c>
      <c r="F982" s="120">
        <v>1</v>
      </c>
      <c r="G982" s="120">
        <v>341800</v>
      </c>
    </row>
    <row r="983" spans="1:7" ht="17.25" customHeight="1">
      <c r="A983" s="119">
        <v>975</v>
      </c>
      <c r="B983" s="119" t="s">
        <v>567</v>
      </c>
      <c r="C983" s="119" t="s">
        <v>581</v>
      </c>
      <c r="D983" s="119" t="s">
        <v>582</v>
      </c>
      <c r="E983" s="119" t="s">
        <v>89</v>
      </c>
      <c r="F983" s="120">
        <v>1</v>
      </c>
      <c r="G983" s="120">
        <v>341800</v>
      </c>
    </row>
    <row r="984" spans="1:7" ht="17.25" customHeight="1">
      <c r="A984" s="119">
        <v>976</v>
      </c>
      <c r="B984" s="119" t="s">
        <v>567</v>
      </c>
      <c r="C984" s="119" t="s">
        <v>588</v>
      </c>
      <c r="D984" s="119" t="s">
        <v>589</v>
      </c>
      <c r="E984" s="119" t="s">
        <v>86</v>
      </c>
      <c r="F984" s="120">
        <v>1</v>
      </c>
      <c r="G984" s="120">
        <v>229200</v>
      </c>
    </row>
    <row r="985" spans="1:7" ht="17.25" customHeight="1">
      <c r="A985" s="119">
        <v>977</v>
      </c>
      <c r="B985" s="119" t="s">
        <v>567</v>
      </c>
      <c r="C985" s="119" t="s">
        <v>591</v>
      </c>
      <c r="D985" s="119" t="s">
        <v>592</v>
      </c>
      <c r="E985" s="119" t="s">
        <v>87</v>
      </c>
      <c r="F985" s="120">
        <v>1</v>
      </c>
      <c r="G985" s="120">
        <v>222300</v>
      </c>
    </row>
    <row r="986" spans="1:7" ht="17.25" customHeight="1">
      <c r="A986" s="119">
        <v>978</v>
      </c>
      <c r="B986" s="119" t="s">
        <v>567</v>
      </c>
      <c r="C986" s="119" t="s">
        <v>611</v>
      </c>
      <c r="D986" s="119" t="s">
        <v>96</v>
      </c>
      <c r="E986" s="119" t="s">
        <v>89</v>
      </c>
      <c r="F986" s="120">
        <v>1</v>
      </c>
      <c r="G986" s="120">
        <v>341800</v>
      </c>
    </row>
    <row r="987" spans="1:7" ht="17.25" customHeight="1">
      <c r="A987" s="119">
        <v>979</v>
      </c>
      <c r="B987" s="119" t="s">
        <v>567</v>
      </c>
      <c r="C987" s="119" t="s">
        <v>613</v>
      </c>
      <c r="D987" s="119" t="s">
        <v>614</v>
      </c>
      <c r="E987" s="119" t="s">
        <v>88</v>
      </c>
      <c r="F987" s="120">
        <v>1</v>
      </c>
      <c r="G987" s="120">
        <v>301600</v>
      </c>
    </row>
    <row r="988" spans="1:7" ht="17.25" customHeight="1">
      <c r="A988" s="119">
        <v>980</v>
      </c>
      <c r="B988" s="119" t="s">
        <v>567</v>
      </c>
      <c r="C988" s="119" t="s">
        <v>251</v>
      </c>
      <c r="D988" s="119" t="s">
        <v>668</v>
      </c>
      <c r="E988" s="119" t="s">
        <v>86</v>
      </c>
      <c r="F988" s="120">
        <v>1</v>
      </c>
      <c r="G988" s="120">
        <v>229200</v>
      </c>
    </row>
    <row r="989" spans="1:7" ht="17.25" customHeight="1">
      <c r="A989" s="119">
        <v>981</v>
      </c>
      <c r="B989" s="119" t="s">
        <v>567</v>
      </c>
      <c r="C989" s="119" t="s">
        <v>680</v>
      </c>
      <c r="D989" s="119" t="s">
        <v>136</v>
      </c>
      <c r="E989" s="119" t="s">
        <v>86</v>
      </c>
      <c r="F989" s="120">
        <v>1</v>
      </c>
      <c r="G989" s="120">
        <v>229200</v>
      </c>
    </row>
    <row r="990" spans="1:7" ht="17.25" customHeight="1">
      <c r="A990" s="119">
        <v>982</v>
      </c>
      <c r="B990" s="119" t="s">
        <v>567</v>
      </c>
      <c r="C990" s="119" t="s">
        <v>800</v>
      </c>
      <c r="D990" s="119" t="s">
        <v>801</v>
      </c>
      <c r="E990" s="119" t="s">
        <v>88</v>
      </c>
      <c r="F990" s="120">
        <v>1</v>
      </c>
      <c r="G990" s="120">
        <v>301600</v>
      </c>
    </row>
    <row r="991" spans="1:7" ht="17.25" customHeight="1">
      <c r="A991" s="119">
        <v>983</v>
      </c>
      <c r="B991" s="119" t="s">
        <v>567</v>
      </c>
      <c r="C991" s="119" t="s">
        <v>809</v>
      </c>
      <c r="D991" s="119" t="s">
        <v>810</v>
      </c>
      <c r="E991" s="119" t="s">
        <v>89</v>
      </c>
      <c r="F991" s="120">
        <v>1</v>
      </c>
      <c r="G991" s="120">
        <v>341800</v>
      </c>
    </row>
    <row r="992" spans="1:7" ht="17.25" customHeight="1">
      <c r="A992" s="119">
        <v>984</v>
      </c>
      <c r="B992" s="119" t="s">
        <v>567</v>
      </c>
      <c r="C992" s="119" t="s">
        <v>884</v>
      </c>
      <c r="D992" s="119" t="s">
        <v>885</v>
      </c>
      <c r="E992" s="119" t="s">
        <v>87</v>
      </c>
      <c r="F992" s="120">
        <v>1</v>
      </c>
      <c r="G992" s="120">
        <v>222300</v>
      </c>
    </row>
    <row r="993" spans="1:7" ht="17.25" customHeight="1">
      <c r="A993" s="119">
        <v>985</v>
      </c>
      <c r="B993" s="119" t="s">
        <v>567</v>
      </c>
      <c r="C993" s="119" t="s">
        <v>887</v>
      </c>
      <c r="D993" s="119" t="s">
        <v>888</v>
      </c>
      <c r="E993" s="119" t="s">
        <v>87</v>
      </c>
      <c r="F993" s="120">
        <v>1</v>
      </c>
      <c r="G993" s="120">
        <v>222300</v>
      </c>
    </row>
    <row r="994" spans="1:7" ht="17.25" customHeight="1">
      <c r="A994" s="119">
        <v>986</v>
      </c>
      <c r="B994" s="119" t="s">
        <v>567</v>
      </c>
      <c r="C994" s="119" t="s">
        <v>933</v>
      </c>
      <c r="D994" s="119" t="s">
        <v>934</v>
      </c>
      <c r="E994" s="119" t="s">
        <v>90</v>
      </c>
      <c r="F994" s="120">
        <v>1</v>
      </c>
      <c r="G994" s="120">
        <v>269200</v>
      </c>
    </row>
    <row r="995" spans="1:7" ht="17.25" customHeight="1">
      <c r="A995" s="119">
        <v>987</v>
      </c>
      <c r="B995" s="119" t="s">
        <v>567</v>
      </c>
      <c r="C995" s="119" t="s">
        <v>945</v>
      </c>
      <c r="D995" s="119" t="s">
        <v>946</v>
      </c>
      <c r="E995" s="119" t="s">
        <v>87</v>
      </c>
      <c r="F995" s="120">
        <v>1</v>
      </c>
      <c r="G995" s="120">
        <v>222300</v>
      </c>
    </row>
    <row r="996" spans="1:7" ht="17.25" customHeight="1">
      <c r="A996" s="119">
        <v>988</v>
      </c>
      <c r="B996" s="119" t="s">
        <v>567</v>
      </c>
      <c r="C996" s="119" t="s">
        <v>971</v>
      </c>
      <c r="D996" s="119" t="s">
        <v>107</v>
      </c>
      <c r="E996" s="119" t="s">
        <v>87</v>
      </c>
      <c r="F996" s="120">
        <v>1</v>
      </c>
      <c r="G996" s="120">
        <v>222300</v>
      </c>
    </row>
    <row r="997" spans="1:7" ht="17.25" customHeight="1">
      <c r="A997" s="119">
        <v>989</v>
      </c>
      <c r="B997" s="119" t="s">
        <v>567</v>
      </c>
      <c r="C997" s="119" t="s">
        <v>807</v>
      </c>
      <c r="D997" s="119" t="s">
        <v>96</v>
      </c>
      <c r="E997" s="119" t="s">
        <v>90</v>
      </c>
      <c r="F997" s="120">
        <v>1</v>
      </c>
      <c r="G997" s="120">
        <v>269200</v>
      </c>
    </row>
    <row r="998" spans="1:7" ht="17.25" customHeight="1">
      <c r="A998" s="119">
        <v>990</v>
      </c>
      <c r="B998" s="119" t="s">
        <v>875</v>
      </c>
      <c r="C998" s="119" t="s">
        <v>873</v>
      </c>
      <c r="D998" s="119" t="s">
        <v>874</v>
      </c>
      <c r="E998" s="119" t="s">
        <v>87</v>
      </c>
      <c r="F998" s="120">
        <v>1</v>
      </c>
      <c r="G998" s="120">
        <v>222300</v>
      </c>
    </row>
    <row r="999" spans="1:7" ht="17.25" customHeight="1">
      <c r="A999" s="119">
        <v>991</v>
      </c>
      <c r="B999" s="119" t="s">
        <v>599</v>
      </c>
      <c r="C999" s="119" t="s">
        <v>596</v>
      </c>
      <c r="D999" s="119" t="s">
        <v>597</v>
      </c>
      <c r="E999" s="119" t="s">
        <v>89</v>
      </c>
      <c r="F999" s="120">
        <v>1</v>
      </c>
      <c r="G999" s="120">
        <v>341800</v>
      </c>
    </row>
    <row r="1000" spans="1:7" ht="17.25" customHeight="1">
      <c r="A1000" s="119">
        <v>992</v>
      </c>
      <c r="B1000" s="119" t="s">
        <v>968</v>
      </c>
      <c r="C1000" s="119" t="s">
        <v>964</v>
      </c>
      <c r="D1000" s="119" t="s">
        <v>965</v>
      </c>
      <c r="E1000" s="119" t="s">
        <v>90</v>
      </c>
      <c r="F1000" s="120">
        <v>1</v>
      </c>
      <c r="G1000" s="120">
        <v>269200</v>
      </c>
    </row>
    <row r="1001" spans="1:7" ht="17.25" customHeight="1">
      <c r="A1001" s="119">
        <v>993</v>
      </c>
      <c r="B1001" s="119" t="s">
        <v>866</v>
      </c>
      <c r="C1001" s="119" t="s">
        <v>863</v>
      </c>
      <c r="D1001" s="119" t="s">
        <v>864</v>
      </c>
      <c r="E1001" s="119" t="s">
        <v>90</v>
      </c>
      <c r="F1001" s="120">
        <v>1</v>
      </c>
      <c r="G1001" s="120">
        <v>269200</v>
      </c>
    </row>
    <row r="1002" spans="1:7" ht="17.25" customHeight="1">
      <c r="A1002" s="119">
        <v>994</v>
      </c>
      <c r="B1002" s="119" t="s">
        <v>566</v>
      </c>
      <c r="C1002" s="119" t="s">
        <v>563</v>
      </c>
      <c r="D1002" s="119" t="s">
        <v>98</v>
      </c>
      <c r="E1002" s="119" t="s">
        <v>89</v>
      </c>
      <c r="F1002" s="120">
        <v>1</v>
      </c>
      <c r="G1002" s="120">
        <v>341800</v>
      </c>
    </row>
    <row r="1003" spans="1:7" ht="17.25" customHeight="1">
      <c r="A1003" s="119">
        <v>995</v>
      </c>
      <c r="B1003" s="119" t="s">
        <v>566</v>
      </c>
      <c r="C1003" s="119" t="s">
        <v>581</v>
      </c>
      <c r="D1003" s="119" t="s">
        <v>582</v>
      </c>
      <c r="E1003" s="119" t="s">
        <v>89</v>
      </c>
      <c r="F1003" s="120">
        <v>1</v>
      </c>
      <c r="G1003" s="120">
        <v>341800</v>
      </c>
    </row>
    <row r="1004" spans="1:7" ht="17.25" customHeight="1">
      <c r="A1004" s="119">
        <v>996</v>
      </c>
      <c r="B1004" s="119" t="s">
        <v>566</v>
      </c>
      <c r="C1004" s="119" t="s">
        <v>588</v>
      </c>
      <c r="D1004" s="119" t="s">
        <v>589</v>
      </c>
      <c r="E1004" s="119" t="s">
        <v>86</v>
      </c>
      <c r="F1004" s="120">
        <v>1</v>
      </c>
      <c r="G1004" s="120">
        <v>229200</v>
      </c>
    </row>
    <row r="1005" spans="1:7" ht="17.25" customHeight="1">
      <c r="A1005" s="119">
        <v>997</v>
      </c>
      <c r="B1005" s="119" t="s">
        <v>566</v>
      </c>
      <c r="C1005" s="119" t="s">
        <v>591</v>
      </c>
      <c r="D1005" s="119" t="s">
        <v>592</v>
      </c>
      <c r="E1005" s="119" t="s">
        <v>87</v>
      </c>
      <c r="F1005" s="120">
        <v>1</v>
      </c>
      <c r="G1005" s="120">
        <v>222300</v>
      </c>
    </row>
    <row r="1006" spans="1:7" ht="17.25" customHeight="1">
      <c r="A1006" s="119">
        <v>998</v>
      </c>
      <c r="B1006" s="119" t="s">
        <v>566</v>
      </c>
      <c r="C1006" s="119" t="s">
        <v>596</v>
      </c>
      <c r="D1006" s="119" t="s">
        <v>597</v>
      </c>
      <c r="E1006" s="119" t="s">
        <v>89</v>
      </c>
      <c r="F1006" s="120">
        <v>1</v>
      </c>
      <c r="G1006" s="120">
        <v>341800</v>
      </c>
    </row>
    <row r="1007" spans="1:7" ht="17.25" customHeight="1">
      <c r="A1007" s="119">
        <v>999</v>
      </c>
      <c r="B1007" s="119" t="s">
        <v>566</v>
      </c>
      <c r="C1007" s="119" t="s">
        <v>611</v>
      </c>
      <c r="D1007" s="119" t="s">
        <v>96</v>
      </c>
      <c r="E1007" s="119" t="s">
        <v>89</v>
      </c>
      <c r="F1007" s="120">
        <v>1</v>
      </c>
      <c r="G1007" s="120">
        <v>341800</v>
      </c>
    </row>
    <row r="1008" spans="1:7" ht="17.25" customHeight="1">
      <c r="A1008" s="119">
        <v>1000</v>
      </c>
      <c r="B1008" s="119" t="s">
        <v>566</v>
      </c>
      <c r="C1008" s="119" t="s">
        <v>613</v>
      </c>
      <c r="D1008" s="119" t="s">
        <v>614</v>
      </c>
      <c r="E1008" s="119" t="s">
        <v>88</v>
      </c>
      <c r="F1008" s="120">
        <v>1</v>
      </c>
      <c r="G1008" s="120">
        <v>301600</v>
      </c>
    </row>
    <row r="1009" spans="1:7" ht="17.25" customHeight="1">
      <c r="A1009" s="119">
        <v>1001</v>
      </c>
      <c r="B1009" s="119" t="s">
        <v>566</v>
      </c>
      <c r="C1009" s="119" t="s">
        <v>251</v>
      </c>
      <c r="D1009" s="119" t="s">
        <v>668</v>
      </c>
      <c r="E1009" s="119" t="s">
        <v>86</v>
      </c>
      <c r="F1009" s="120">
        <v>1</v>
      </c>
      <c r="G1009" s="120">
        <v>229200</v>
      </c>
    </row>
    <row r="1010" spans="1:7" ht="17.25" customHeight="1">
      <c r="A1010" s="119">
        <v>1002</v>
      </c>
      <c r="B1010" s="119" t="s">
        <v>566</v>
      </c>
      <c r="C1010" s="119" t="s">
        <v>680</v>
      </c>
      <c r="D1010" s="119" t="s">
        <v>136</v>
      </c>
      <c r="E1010" s="119" t="s">
        <v>86</v>
      </c>
      <c r="F1010" s="120">
        <v>1</v>
      </c>
      <c r="G1010" s="120">
        <v>229200</v>
      </c>
    </row>
    <row r="1011" spans="1:7" ht="17.25" customHeight="1">
      <c r="A1011" s="119">
        <v>1003</v>
      </c>
      <c r="B1011" s="119" t="s">
        <v>566</v>
      </c>
      <c r="C1011" s="119" t="s">
        <v>800</v>
      </c>
      <c r="D1011" s="119" t="s">
        <v>801</v>
      </c>
      <c r="E1011" s="119" t="s">
        <v>88</v>
      </c>
      <c r="F1011" s="120">
        <v>1</v>
      </c>
      <c r="G1011" s="120">
        <v>301600</v>
      </c>
    </row>
    <row r="1012" spans="1:7" ht="17.25" customHeight="1">
      <c r="A1012" s="119">
        <v>1004</v>
      </c>
      <c r="B1012" s="119" t="s">
        <v>566</v>
      </c>
      <c r="C1012" s="119" t="s">
        <v>809</v>
      </c>
      <c r="D1012" s="119" t="s">
        <v>810</v>
      </c>
      <c r="E1012" s="119" t="s">
        <v>89</v>
      </c>
      <c r="F1012" s="120">
        <v>1</v>
      </c>
      <c r="G1012" s="120">
        <v>341800</v>
      </c>
    </row>
    <row r="1013" spans="1:7" ht="17.25" customHeight="1">
      <c r="A1013" s="119">
        <v>1005</v>
      </c>
      <c r="B1013" s="119" t="s">
        <v>566</v>
      </c>
      <c r="C1013" s="119" t="s">
        <v>837</v>
      </c>
      <c r="D1013" s="119" t="s">
        <v>117</v>
      </c>
      <c r="E1013" s="119" t="s">
        <v>88</v>
      </c>
      <c r="F1013" s="120">
        <v>1</v>
      </c>
      <c r="G1013" s="120">
        <v>301600</v>
      </c>
    </row>
    <row r="1014" spans="1:7" ht="17.25" customHeight="1">
      <c r="A1014" s="119">
        <v>1006</v>
      </c>
      <c r="B1014" s="119" t="s">
        <v>566</v>
      </c>
      <c r="C1014" s="119" t="s">
        <v>873</v>
      </c>
      <c r="D1014" s="119" t="s">
        <v>874</v>
      </c>
      <c r="E1014" s="119" t="s">
        <v>87</v>
      </c>
      <c r="F1014" s="120">
        <v>1</v>
      </c>
      <c r="G1014" s="120">
        <v>222300</v>
      </c>
    </row>
    <row r="1015" spans="1:7" ht="17.25" customHeight="1">
      <c r="A1015" s="119">
        <v>1007</v>
      </c>
      <c r="B1015" s="119" t="s">
        <v>566</v>
      </c>
      <c r="C1015" s="119" t="s">
        <v>884</v>
      </c>
      <c r="D1015" s="119" t="s">
        <v>885</v>
      </c>
      <c r="E1015" s="119" t="s">
        <v>87</v>
      </c>
      <c r="F1015" s="120">
        <v>1</v>
      </c>
      <c r="G1015" s="120">
        <v>222300</v>
      </c>
    </row>
    <row r="1016" spans="1:7" ht="17.25" customHeight="1">
      <c r="A1016" s="119">
        <v>1008</v>
      </c>
      <c r="B1016" s="119" t="s">
        <v>566</v>
      </c>
      <c r="C1016" s="119" t="s">
        <v>887</v>
      </c>
      <c r="D1016" s="119" t="s">
        <v>888</v>
      </c>
      <c r="E1016" s="119" t="s">
        <v>87</v>
      </c>
      <c r="F1016" s="120">
        <v>1</v>
      </c>
      <c r="G1016" s="120">
        <v>222300</v>
      </c>
    </row>
    <row r="1017" spans="1:7" ht="17.25" customHeight="1">
      <c r="A1017" s="119">
        <v>1009</v>
      </c>
      <c r="B1017" s="119" t="s">
        <v>566</v>
      </c>
      <c r="C1017" s="119" t="s">
        <v>933</v>
      </c>
      <c r="D1017" s="119" t="s">
        <v>934</v>
      </c>
      <c r="E1017" s="119" t="s">
        <v>90</v>
      </c>
      <c r="F1017" s="120">
        <v>1</v>
      </c>
      <c r="G1017" s="120">
        <v>269200</v>
      </c>
    </row>
    <row r="1018" spans="1:7" ht="17.25" customHeight="1">
      <c r="A1018" s="119">
        <v>1010</v>
      </c>
      <c r="B1018" s="119" t="s">
        <v>568</v>
      </c>
      <c r="C1018" s="119" t="s">
        <v>563</v>
      </c>
      <c r="D1018" s="119" t="s">
        <v>98</v>
      </c>
      <c r="E1018" s="119" t="s">
        <v>89</v>
      </c>
      <c r="F1018" s="120">
        <v>1</v>
      </c>
      <c r="G1018" s="120">
        <v>341800</v>
      </c>
    </row>
    <row r="1019" spans="1:7" ht="17.25" customHeight="1">
      <c r="A1019" s="119">
        <v>1011</v>
      </c>
      <c r="B1019" s="119" t="s">
        <v>568</v>
      </c>
      <c r="C1019" s="119" t="s">
        <v>596</v>
      </c>
      <c r="D1019" s="119" t="s">
        <v>597</v>
      </c>
      <c r="E1019" s="119" t="s">
        <v>89</v>
      </c>
      <c r="F1019" s="120">
        <v>1</v>
      </c>
      <c r="G1019" s="120">
        <v>341800</v>
      </c>
    </row>
    <row r="1020" spans="1:7" ht="17.25" customHeight="1">
      <c r="A1020" s="119">
        <v>1012</v>
      </c>
      <c r="B1020" s="119" t="s">
        <v>569</v>
      </c>
      <c r="C1020" s="119" t="s">
        <v>563</v>
      </c>
      <c r="D1020" s="119" t="s">
        <v>98</v>
      </c>
      <c r="E1020" s="119" t="s">
        <v>89</v>
      </c>
      <c r="F1020" s="120">
        <v>1</v>
      </c>
      <c r="G1020" s="120">
        <v>341800</v>
      </c>
    </row>
    <row r="1021" spans="1:7" ht="17.25" customHeight="1">
      <c r="A1021" s="119">
        <v>1013</v>
      </c>
      <c r="B1021" s="119" t="s">
        <v>569</v>
      </c>
      <c r="C1021" s="119" t="s">
        <v>596</v>
      </c>
      <c r="D1021" s="119" t="s">
        <v>597</v>
      </c>
      <c r="E1021" s="119" t="s">
        <v>89</v>
      </c>
      <c r="F1021" s="120">
        <v>1</v>
      </c>
      <c r="G1021" s="120">
        <v>341800</v>
      </c>
    </row>
    <row r="1022" spans="1:7" ht="17.25" customHeight="1">
      <c r="A1022" s="119">
        <v>1014</v>
      </c>
      <c r="B1022" s="119" t="s">
        <v>570</v>
      </c>
      <c r="C1022" s="119" t="s">
        <v>563</v>
      </c>
      <c r="D1022" s="119" t="s">
        <v>98</v>
      </c>
      <c r="E1022" s="119" t="s">
        <v>89</v>
      </c>
      <c r="F1022" s="120">
        <v>1</v>
      </c>
      <c r="G1022" s="120">
        <v>341800</v>
      </c>
    </row>
    <row r="1023" spans="1:7" ht="17.25" customHeight="1">
      <c r="A1023" s="119">
        <v>1015</v>
      </c>
      <c r="B1023" s="119" t="s">
        <v>570</v>
      </c>
      <c r="C1023" s="119" t="s">
        <v>596</v>
      </c>
      <c r="D1023" s="119" t="s">
        <v>597</v>
      </c>
      <c r="E1023" s="119" t="s">
        <v>89</v>
      </c>
      <c r="F1023" s="120">
        <v>1</v>
      </c>
      <c r="G1023" s="120">
        <v>341800</v>
      </c>
    </row>
    <row r="1024" spans="1:7" ht="17.25" customHeight="1">
      <c r="A1024" s="119">
        <v>1016</v>
      </c>
      <c r="B1024" s="119" t="s">
        <v>598</v>
      </c>
      <c r="C1024" s="119" t="s">
        <v>596</v>
      </c>
      <c r="D1024" s="119" t="s">
        <v>597</v>
      </c>
      <c r="E1024" s="119" t="s">
        <v>89</v>
      </c>
      <c r="F1024" s="120">
        <v>1</v>
      </c>
      <c r="G1024" s="120">
        <v>341800</v>
      </c>
    </row>
    <row r="1025" spans="1:7" ht="17.25" hidden="1" customHeight="1">
      <c r="A1025" s="119"/>
      <c r="B1025" s="119"/>
      <c r="C1025" s="119"/>
      <c r="D1025" s="119"/>
      <c r="E1025" s="119"/>
      <c r="F1025" s="120"/>
      <c r="G1025" s="120"/>
    </row>
    <row r="1026" spans="1:7" ht="17.25" hidden="1" customHeight="1">
      <c r="A1026" s="119"/>
      <c r="B1026" s="119"/>
      <c r="C1026" s="119"/>
      <c r="D1026" s="119"/>
      <c r="E1026" s="119"/>
      <c r="F1026" s="120"/>
      <c r="G1026" s="120"/>
    </row>
    <row r="1027" spans="1:7" ht="17.25" hidden="1" customHeight="1">
      <c r="A1027" s="119"/>
      <c r="B1027" s="119"/>
      <c r="C1027" s="119"/>
      <c r="D1027" s="119"/>
      <c r="E1027" s="119"/>
      <c r="F1027" s="120"/>
      <c r="G1027" s="120"/>
    </row>
    <row r="1028" spans="1:7" ht="17.25" hidden="1" customHeight="1">
      <c r="A1028" s="119"/>
      <c r="B1028" s="119"/>
      <c r="C1028" s="119"/>
      <c r="D1028" s="119"/>
      <c r="E1028" s="119"/>
      <c r="F1028" s="120"/>
      <c r="G1028" s="120"/>
    </row>
    <row r="1029" spans="1:7" ht="17.25" hidden="1" customHeight="1">
      <c r="A1029" s="119"/>
      <c r="B1029" s="119"/>
      <c r="C1029" s="119"/>
      <c r="D1029" s="119"/>
      <c r="E1029" s="119"/>
      <c r="F1029" s="120"/>
      <c r="G1029" s="120"/>
    </row>
    <row r="1030" spans="1:7" ht="17.25" hidden="1" customHeight="1">
      <c r="A1030" s="119"/>
      <c r="B1030" s="119"/>
      <c r="C1030" s="119"/>
      <c r="D1030" s="119"/>
      <c r="E1030" s="119"/>
      <c r="F1030" s="120"/>
      <c r="G1030" s="120"/>
    </row>
    <row r="1031" spans="1:7" ht="17.25" hidden="1" customHeight="1">
      <c r="A1031" s="119"/>
      <c r="B1031" s="119"/>
      <c r="C1031" s="119"/>
      <c r="D1031" s="119"/>
      <c r="E1031" s="119"/>
      <c r="F1031" s="120"/>
      <c r="G1031" s="120"/>
    </row>
    <row r="1032" spans="1:7" ht="17.25" hidden="1" customHeight="1">
      <c r="A1032" s="119"/>
      <c r="B1032" s="119"/>
      <c r="C1032" s="119"/>
      <c r="D1032" s="119"/>
      <c r="E1032" s="119"/>
      <c r="F1032" s="120"/>
      <c r="G1032" s="120"/>
    </row>
    <row r="1033" spans="1:7" ht="17.25" hidden="1" customHeight="1">
      <c r="A1033" s="119"/>
      <c r="B1033" s="119"/>
      <c r="C1033" s="119"/>
      <c r="D1033" s="119"/>
      <c r="E1033" s="119"/>
      <c r="F1033" s="120"/>
      <c r="G1033" s="120"/>
    </row>
    <row r="1034" spans="1:7" ht="17.25" hidden="1" customHeight="1">
      <c r="A1034" s="119"/>
      <c r="B1034" s="119"/>
      <c r="C1034" s="119"/>
      <c r="D1034" s="119"/>
      <c r="E1034" s="119"/>
      <c r="F1034" s="120"/>
      <c r="G1034" s="120"/>
    </row>
    <row r="1035" spans="1:7" ht="17.25" hidden="1" customHeight="1">
      <c r="A1035" s="119"/>
      <c r="B1035" s="119"/>
      <c r="C1035" s="119"/>
      <c r="D1035" s="119"/>
      <c r="E1035" s="119"/>
      <c r="F1035" s="120"/>
      <c r="G1035" s="120"/>
    </row>
    <row r="1036" spans="1:7" ht="17.25" hidden="1" customHeight="1">
      <c r="A1036" s="119"/>
      <c r="B1036" s="119"/>
      <c r="C1036" s="119"/>
      <c r="D1036" s="119"/>
      <c r="E1036" s="119"/>
      <c r="F1036" s="120"/>
      <c r="G1036" s="120"/>
    </row>
    <row r="1037" spans="1:7" ht="17.25" hidden="1" customHeight="1">
      <c r="A1037" s="119"/>
      <c r="B1037" s="119"/>
      <c r="C1037" s="119"/>
      <c r="D1037" s="119"/>
      <c r="E1037" s="119"/>
      <c r="F1037" s="120"/>
      <c r="G1037" s="120"/>
    </row>
    <row r="1038" spans="1:7" ht="17.25" hidden="1" customHeight="1">
      <c r="A1038" s="119"/>
      <c r="B1038" s="119"/>
      <c r="C1038" s="119"/>
      <c r="D1038" s="119"/>
      <c r="E1038" s="119"/>
      <c r="F1038" s="120"/>
      <c r="G1038" s="120"/>
    </row>
    <row r="1039" spans="1:7" ht="17.25" hidden="1" customHeight="1">
      <c r="A1039" s="119"/>
      <c r="B1039" s="119"/>
      <c r="C1039" s="119"/>
      <c r="D1039" s="119"/>
      <c r="E1039" s="119"/>
      <c r="F1039" s="120"/>
      <c r="G1039" s="120"/>
    </row>
    <row r="1040" spans="1:7" ht="17.25" hidden="1" customHeight="1">
      <c r="A1040" s="119"/>
      <c r="B1040" s="119"/>
      <c r="C1040" s="119"/>
      <c r="D1040" s="119"/>
      <c r="E1040" s="119"/>
      <c r="F1040" s="120"/>
      <c r="G1040" s="120"/>
    </row>
    <row r="1041" spans="1:7" ht="17.25" hidden="1" customHeight="1">
      <c r="A1041" s="119"/>
      <c r="B1041" s="119"/>
      <c r="C1041" s="119"/>
      <c r="D1041" s="119"/>
      <c r="E1041" s="119"/>
      <c r="F1041" s="120"/>
      <c r="G1041" s="120"/>
    </row>
    <row r="1042" spans="1:7" ht="17.25" hidden="1" customHeight="1">
      <c r="A1042" s="119"/>
      <c r="B1042" s="119"/>
      <c r="C1042" s="119"/>
      <c r="D1042" s="119"/>
      <c r="E1042" s="119"/>
      <c r="F1042" s="120"/>
      <c r="G1042" s="120"/>
    </row>
    <row r="1043" spans="1:7" ht="17.25" hidden="1" customHeight="1">
      <c r="A1043" s="119"/>
      <c r="B1043" s="119"/>
      <c r="C1043" s="119"/>
      <c r="D1043" s="119"/>
      <c r="E1043" s="119"/>
      <c r="F1043" s="120"/>
      <c r="G1043" s="120"/>
    </row>
    <row r="1044" spans="1:7" ht="17.25" hidden="1" customHeight="1">
      <c r="A1044" s="119"/>
      <c r="B1044" s="119"/>
      <c r="C1044" s="119"/>
      <c r="D1044" s="119"/>
      <c r="E1044" s="119"/>
      <c r="F1044" s="120"/>
      <c r="G1044" s="120"/>
    </row>
    <row r="1045" spans="1:7" ht="17.25" hidden="1" customHeight="1">
      <c r="A1045" s="119"/>
      <c r="B1045" s="119"/>
      <c r="C1045" s="119"/>
      <c r="D1045" s="119"/>
      <c r="E1045" s="119"/>
      <c r="F1045" s="120"/>
      <c r="G1045" s="120"/>
    </row>
    <row r="1046" spans="1:7" ht="17.25" hidden="1" customHeight="1">
      <c r="A1046" s="119"/>
      <c r="B1046" s="119"/>
      <c r="C1046" s="119"/>
      <c r="D1046" s="119"/>
      <c r="E1046" s="119"/>
      <c r="F1046" s="120"/>
      <c r="G1046" s="120"/>
    </row>
    <row r="1047" spans="1:7" ht="17.25" hidden="1" customHeight="1">
      <c r="A1047" s="119"/>
      <c r="B1047" s="119"/>
      <c r="C1047" s="119"/>
      <c r="D1047" s="119"/>
      <c r="E1047" s="119"/>
      <c r="F1047" s="120"/>
      <c r="G1047" s="120"/>
    </row>
    <row r="1048" spans="1:7" ht="17.25" hidden="1" customHeight="1">
      <c r="A1048" s="119"/>
      <c r="B1048" s="119"/>
      <c r="C1048" s="119"/>
      <c r="D1048" s="119"/>
      <c r="E1048" s="119"/>
      <c r="F1048" s="120"/>
      <c r="G1048" s="120"/>
    </row>
    <row r="1049" spans="1:7" ht="17.25" hidden="1" customHeight="1">
      <c r="A1049" s="119"/>
      <c r="B1049" s="119"/>
      <c r="C1049" s="119"/>
      <c r="D1049" s="119"/>
      <c r="E1049" s="119"/>
      <c r="F1049" s="120"/>
      <c r="G1049" s="120"/>
    </row>
    <row r="1050" spans="1:7" ht="17.25" hidden="1" customHeight="1">
      <c r="A1050" s="119"/>
      <c r="B1050" s="119"/>
      <c r="C1050" s="119"/>
      <c r="D1050" s="119"/>
      <c r="E1050" s="119"/>
      <c r="F1050" s="120"/>
      <c r="G1050" s="120"/>
    </row>
    <row r="1051" spans="1:7" ht="17.25" hidden="1" customHeight="1">
      <c r="A1051" s="119"/>
      <c r="B1051" s="119"/>
      <c r="C1051" s="119"/>
      <c r="D1051" s="119"/>
      <c r="E1051" s="119"/>
      <c r="F1051" s="120"/>
      <c r="G1051" s="120"/>
    </row>
    <row r="1052" spans="1:7" ht="17.25" hidden="1" customHeight="1">
      <c r="A1052" s="119"/>
      <c r="B1052" s="119"/>
      <c r="C1052" s="119"/>
      <c r="D1052" s="119"/>
      <c r="E1052" s="119"/>
      <c r="F1052" s="120"/>
      <c r="G1052" s="120"/>
    </row>
    <row r="1053" spans="1:7" ht="17.25" hidden="1" customHeight="1">
      <c r="A1053" s="119"/>
      <c r="B1053" s="119"/>
      <c r="C1053" s="119"/>
      <c r="D1053" s="119"/>
      <c r="E1053" s="119"/>
      <c r="F1053" s="120"/>
      <c r="G1053" s="120"/>
    </row>
    <row r="1054" spans="1:7" ht="17.25" hidden="1" customHeight="1">
      <c r="A1054" s="119"/>
      <c r="B1054" s="119"/>
      <c r="C1054" s="119"/>
      <c r="D1054" s="119"/>
      <c r="E1054" s="119"/>
      <c r="F1054" s="120"/>
      <c r="G1054" s="120"/>
    </row>
    <row r="1055" spans="1:7" ht="17.25" hidden="1" customHeight="1">
      <c r="A1055" s="119"/>
      <c r="B1055" s="119"/>
      <c r="C1055" s="119"/>
      <c r="D1055" s="119"/>
      <c r="E1055" s="119"/>
      <c r="F1055" s="120"/>
      <c r="G1055" s="120"/>
    </row>
    <row r="1056" spans="1:7" ht="17.25" hidden="1" customHeight="1">
      <c r="A1056" s="119"/>
      <c r="B1056" s="119"/>
      <c r="C1056" s="119"/>
      <c r="D1056" s="119"/>
      <c r="E1056" s="119"/>
      <c r="F1056" s="120"/>
      <c r="G1056" s="120"/>
    </row>
    <row r="1057" spans="1:7" ht="17.25" hidden="1" customHeight="1">
      <c r="A1057" s="119"/>
      <c r="B1057" s="119"/>
      <c r="C1057" s="119"/>
      <c r="D1057" s="119"/>
      <c r="E1057" s="119"/>
      <c r="F1057" s="120"/>
      <c r="G1057" s="120"/>
    </row>
    <row r="1058" spans="1:7" ht="17.25" hidden="1" customHeight="1">
      <c r="A1058" s="119"/>
      <c r="B1058" s="119"/>
      <c r="C1058" s="119"/>
      <c r="D1058" s="119"/>
      <c r="E1058" s="119"/>
      <c r="F1058" s="120"/>
      <c r="G1058" s="120"/>
    </row>
    <row r="1059" spans="1:7" ht="17.25" hidden="1" customHeight="1">
      <c r="A1059" s="119"/>
      <c r="B1059" s="119"/>
      <c r="C1059" s="119"/>
      <c r="D1059" s="119"/>
      <c r="E1059" s="119"/>
      <c r="F1059" s="120"/>
      <c r="G1059" s="120"/>
    </row>
    <row r="1060" spans="1:7" ht="17.25" hidden="1" customHeight="1">
      <c r="A1060" s="119"/>
      <c r="B1060" s="119"/>
      <c r="C1060" s="119"/>
      <c r="D1060" s="119"/>
      <c r="E1060" s="119"/>
      <c r="F1060" s="120"/>
      <c r="G1060" s="120"/>
    </row>
    <row r="1061" spans="1:7" ht="17.25" hidden="1" customHeight="1">
      <c r="A1061" s="119"/>
      <c r="B1061" s="119"/>
      <c r="C1061" s="119"/>
      <c r="D1061" s="119"/>
      <c r="E1061" s="119"/>
      <c r="F1061" s="120"/>
      <c r="G1061" s="120"/>
    </row>
    <row r="1062" spans="1:7" ht="17.25" hidden="1" customHeight="1">
      <c r="A1062" s="119"/>
      <c r="B1062" s="119"/>
      <c r="C1062" s="119"/>
      <c r="D1062" s="119"/>
      <c r="E1062" s="119"/>
      <c r="F1062" s="120"/>
      <c r="G1062" s="120"/>
    </row>
    <row r="1063" spans="1:7" ht="17.25" hidden="1" customHeight="1">
      <c r="A1063" s="119"/>
      <c r="B1063" s="119"/>
      <c r="C1063" s="119"/>
      <c r="D1063" s="119"/>
      <c r="E1063" s="119"/>
      <c r="F1063" s="120"/>
      <c r="G1063" s="120"/>
    </row>
    <row r="1064" spans="1:7" ht="17.25" hidden="1" customHeight="1">
      <c r="A1064" s="119"/>
      <c r="B1064" s="119"/>
      <c r="C1064" s="119"/>
      <c r="D1064" s="119"/>
      <c r="E1064" s="119"/>
      <c r="F1064" s="120"/>
      <c r="G1064" s="120"/>
    </row>
    <row r="1065" spans="1:7" ht="17.25" hidden="1" customHeight="1">
      <c r="A1065" s="119"/>
      <c r="B1065" s="119"/>
      <c r="C1065" s="119"/>
      <c r="D1065" s="119"/>
      <c r="E1065" s="119"/>
      <c r="F1065" s="120"/>
      <c r="G1065" s="120"/>
    </row>
    <row r="1066" spans="1:7" ht="17.25" hidden="1" customHeight="1">
      <c r="A1066" s="119"/>
      <c r="B1066" s="119"/>
      <c r="C1066" s="119"/>
      <c r="D1066" s="119"/>
      <c r="E1066" s="119"/>
      <c r="F1066" s="120"/>
      <c r="G1066" s="120"/>
    </row>
    <row r="1067" spans="1:7" ht="17.25" hidden="1" customHeight="1">
      <c r="A1067" s="119"/>
      <c r="B1067" s="119"/>
      <c r="C1067" s="119"/>
      <c r="D1067" s="119"/>
      <c r="E1067" s="119"/>
      <c r="F1067" s="120"/>
      <c r="G1067" s="120"/>
    </row>
    <row r="1068" spans="1:7" ht="17.25" hidden="1" customHeight="1">
      <c r="A1068" s="119"/>
      <c r="B1068" s="119"/>
      <c r="C1068" s="119"/>
      <c r="D1068" s="119"/>
      <c r="E1068" s="119"/>
      <c r="F1068" s="120"/>
      <c r="G1068" s="120"/>
    </row>
    <row r="1069" spans="1:7" ht="17.25" hidden="1" customHeight="1">
      <c r="A1069" s="119"/>
      <c r="B1069" s="119"/>
      <c r="C1069" s="119"/>
      <c r="D1069" s="119"/>
      <c r="E1069" s="119"/>
      <c r="F1069" s="120"/>
      <c r="G1069" s="120"/>
    </row>
    <row r="1070" spans="1:7" ht="17.25" hidden="1" customHeight="1">
      <c r="A1070" s="119"/>
      <c r="B1070" s="119"/>
      <c r="C1070" s="119"/>
      <c r="D1070" s="119"/>
      <c r="E1070" s="119"/>
      <c r="F1070" s="120"/>
      <c r="G1070" s="120"/>
    </row>
    <row r="1071" spans="1:7" ht="17.25" hidden="1" customHeight="1">
      <c r="A1071" s="119"/>
      <c r="B1071" s="119"/>
      <c r="C1071" s="119"/>
      <c r="D1071" s="119"/>
      <c r="E1071" s="119"/>
      <c r="F1071" s="120"/>
      <c r="G1071" s="120"/>
    </row>
    <row r="1072" spans="1:7" ht="17.25" hidden="1" customHeight="1">
      <c r="A1072" s="119"/>
      <c r="B1072" s="119"/>
      <c r="C1072" s="119"/>
      <c r="D1072" s="119"/>
      <c r="E1072" s="119"/>
      <c r="F1072" s="120"/>
      <c r="G1072" s="120"/>
    </row>
    <row r="1073" spans="1:7" ht="17.25" hidden="1" customHeight="1">
      <c r="A1073" s="119"/>
      <c r="B1073" s="119"/>
      <c r="C1073" s="119"/>
      <c r="D1073" s="119"/>
      <c r="E1073" s="119"/>
      <c r="F1073" s="120"/>
      <c r="G1073" s="120"/>
    </row>
    <row r="1074" spans="1:7" ht="17.25" hidden="1" customHeight="1">
      <c r="A1074" s="119"/>
      <c r="B1074" s="119"/>
      <c r="C1074" s="119"/>
      <c r="D1074" s="119"/>
      <c r="E1074" s="119"/>
      <c r="F1074" s="120"/>
      <c r="G1074" s="120"/>
    </row>
    <row r="1075" spans="1:7" ht="17.25" hidden="1" customHeight="1">
      <c r="A1075" s="119"/>
      <c r="B1075" s="119"/>
      <c r="C1075" s="119"/>
      <c r="D1075" s="119"/>
      <c r="E1075" s="119"/>
      <c r="F1075" s="120"/>
      <c r="G1075" s="120"/>
    </row>
    <row r="1076" spans="1:7" ht="17.25" hidden="1" customHeight="1">
      <c r="A1076" s="119"/>
      <c r="B1076" s="119"/>
      <c r="C1076" s="119"/>
      <c r="D1076" s="119"/>
      <c r="E1076" s="119"/>
      <c r="F1076" s="120"/>
      <c r="G1076" s="120"/>
    </row>
    <row r="1077" spans="1:7" ht="17.25" hidden="1" customHeight="1">
      <c r="A1077" s="119"/>
      <c r="B1077" s="119"/>
      <c r="C1077" s="119"/>
      <c r="D1077" s="119"/>
      <c r="E1077" s="119"/>
      <c r="F1077" s="120"/>
      <c r="G1077" s="120"/>
    </row>
    <row r="1078" spans="1:7" ht="17.25" hidden="1" customHeight="1">
      <c r="A1078" s="119"/>
      <c r="B1078" s="119"/>
      <c r="C1078" s="119"/>
      <c r="D1078" s="119"/>
      <c r="E1078" s="119"/>
      <c r="F1078" s="120"/>
      <c r="G1078" s="120"/>
    </row>
    <row r="1079" spans="1:7" ht="17.25" hidden="1" customHeight="1">
      <c r="A1079" s="119"/>
      <c r="B1079" s="119"/>
      <c r="C1079" s="119"/>
      <c r="D1079" s="119"/>
      <c r="E1079" s="119"/>
      <c r="F1079" s="120"/>
      <c r="G1079" s="120"/>
    </row>
    <row r="1080" spans="1:7" ht="17.25" hidden="1" customHeight="1">
      <c r="A1080" s="119"/>
      <c r="B1080" s="119"/>
      <c r="C1080" s="119"/>
      <c r="D1080" s="119"/>
      <c r="E1080" s="119"/>
      <c r="F1080" s="120"/>
      <c r="G1080" s="120"/>
    </row>
    <row r="1081" spans="1:7" ht="17.25" hidden="1" customHeight="1">
      <c r="A1081" s="119"/>
      <c r="B1081" s="119"/>
      <c r="C1081" s="119"/>
      <c r="D1081" s="119"/>
      <c r="E1081" s="119"/>
      <c r="F1081" s="120"/>
      <c r="G1081" s="120"/>
    </row>
    <row r="1082" spans="1:7" ht="17.25" hidden="1" customHeight="1">
      <c r="A1082" s="119"/>
      <c r="B1082" s="119"/>
      <c r="C1082" s="119"/>
      <c r="D1082" s="119"/>
      <c r="E1082" s="119"/>
      <c r="F1082" s="120"/>
      <c r="G1082" s="120"/>
    </row>
    <row r="1083" spans="1:7" ht="17.25" hidden="1" customHeight="1">
      <c r="A1083" s="119"/>
      <c r="B1083" s="119"/>
      <c r="C1083" s="119"/>
      <c r="D1083" s="119"/>
      <c r="E1083" s="119"/>
      <c r="F1083" s="120"/>
      <c r="G1083" s="120"/>
    </row>
    <row r="1084" spans="1:7" ht="17.25" hidden="1" customHeight="1">
      <c r="A1084" s="119"/>
      <c r="B1084" s="119"/>
      <c r="C1084" s="119"/>
      <c r="D1084" s="119"/>
      <c r="E1084" s="119"/>
      <c r="F1084" s="120"/>
      <c r="G1084" s="120"/>
    </row>
    <row r="1085" spans="1:7" ht="17.25" hidden="1" customHeight="1">
      <c r="A1085" s="119"/>
      <c r="B1085" s="119"/>
      <c r="C1085" s="119"/>
      <c r="D1085" s="119"/>
      <c r="E1085" s="119"/>
      <c r="F1085" s="120"/>
      <c r="G1085" s="120"/>
    </row>
    <row r="1086" spans="1:7" ht="17.25" hidden="1" customHeight="1">
      <c r="A1086" s="119"/>
      <c r="B1086" s="119"/>
      <c r="C1086" s="119"/>
      <c r="D1086" s="119"/>
      <c r="E1086" s="119"/>
      <c r="F1086" s="120"/>
      <c r="G1086" s="120"/>
    </row>
    <row r="1087" spans="1:7" ht="17.25" hidden="1" customHeight="1">
      <c r="A1087" s="119"/>
      <c r="B1087" s="119"/>
      <c r="C1087" s="119"/>
      <c r="D1087" s="119"/>
      <c r="E1087" s="119"/>
      <c r="F1087" s="120"/>
      <c r="G1087" s="120"/>
    </row>
    <row r="1088" spans="1:7" ht="17.25" hidden="1" customHeight="1">
      <c r="A1088" s="119"/>
      <c r="B1088" s="119"/>
      <c r="C1088" s="119"/>
      <c r="D1088" s="119"/>
      <c r="E1088" s="119"/>
      <c r="F1088" s="120"/>
      <c r="G1088" s="120"/>
    </row>
    <row r="1089" spans="1:7" ht="17.25" hidden="1" customHeight="1">
      <c r="A1089" s="119"/>
      <c r="B1089" s="119"/>
      <c r="C1089" s="119"/>
      <c r="D1089" s="119"/>
      <c r="E1089" s="119"/>
      <c r="F1089" s="120"/>
      <c r="G1089" s="120"/>
    </row>
    <row r="1090" spans="1:7" ht="17.25" hidden="1" customHeight="1">
      <c r="A1090" s="119"/>
      <c r="B1090" s="119"/>
      <c r="C1090" s="119"/>
      <c r="D1090" s="119"/>
      <c r="E1090" s="119"/>
      <c r="F1090" s="120"/>
      <c r="G1090" s="120"/>
    </row>
    <row r="1091" spans="1:7" ht="17.25" hidden="1" customHeight="1">
      <c r="A1091" s="119"/>
      <c r="B1091" s="119"/>
      <c r="C1091" s="119"/>
      <c r="D1091" s="119"/>
      <c r="E1091" s="119"/>
      <c r="F1091" s="120"/>
      <c r="G1091" s="120"/>
    </row>
    <row r="1092" spans="1:7" ht="17.25" hidden="1" customHeight="1">
      <c r="A1092" s="119"/>
      <c r="B1092" s="119"/>
      <c r="C1092" s="119"/>
      <c r="D1092" s="119"/>
      <c r="E1092" s="119"/>
      <c r="F1092" s="120"/>
      <c r="G1092" s="120"/>
    </row>
    <row r="1093" spans="1:7" ht="17.25" hidden="1" customHeight="1">
      <c r="A1093" s="119"/>
      <c r="B1093" s="119"/>
      <c r="C1093" s="119"/>
      <c r="D1093" s="119"/>
      <c r="E1093" s="119"/>
      <c r="F1093" s="120"/>
      <c r="G1093" s="120"/>
    </row>
    <row r="1094" spans="1:7" ht="17.25" hidden="1" customHeight="1">
      <c r="A1094" s="119"/>
      <c r="B1094" s="119"/>
      <c r="C1094" s="119"/>
      <c r="D1094" s="119"/>
      <c r="E1094" s="119"/>
      <c r="F1094" s="120"/>
      <c r="G1094" s="120"/>
    </row>
    <row r="1095" spans="1:7" ht="17.25" hidden="1" customHeight="1">
      <c r="A1095" s="119"/>
      <c r="B1095" s="119"/>
      <c r="C1095" s="119"/>
      <c r="D1095" s="119"/>
      <c r="E1095" s="119"/>
      <c r="F1095" s="120"/>
      <c r="G1095" s="120"/>
    </row>
    <row r="1096" spans="1:7" ht="17.25" hidden="1" customHeight="1">
      <c r="A1096" s="119"/>
      <c r="B1096" s="119"/>
      <c r="C1096" s="119"/>
      <c r="D1096" s="119"/>
      <c r="E1096" s="119"/>
      <c r="F1096" s="120"/>
      <c r="G1096" s="120"/>
    </row>
    <row r="1097" spans="1:7" ht="17.25" hidden="1" customHeight="1">
      <c r="A1097" s="119"/>
      <c r="B1097" s="119"/>
      <c r="C1097" s="119"/>
      <c r="D1097" s="119"/>
      <c r="E1097" s="119"/>
      <c r="F1097" s="120"/>
      <c r="G1097" s="120"/>
    </row>
    <row r="1098" spans="1:7" ht="17.25" hidden="1" customHeight="1">
      <c r="A1098" s="119"/>
      <c r="B1098" s="119"/>
      <c r="C1098" s="119"/>
      <c r="D1098" s="119"/>
      <c r="E1098" s="119"/>
      <c r="F1098" s="120"/>
      <c r="G1098" s="120"/>
    </row>
    <row r="1099" spans="1:7" ht="17.25" hidden="1" customHeight="1">
      <c r="A1099" s="119"/>
      <c r="B1099" s="119"/>
      <c r="C1099" s="119"/>
      <c r="D1099" s="119"/>
      <c r="E1099" s="119"/>
      <c r="F1099" s="120"/>
      <c r="G1099" s="120"/>
    </row>
    <row r="1100" spans="1:7" ht="17.25" hidden="1" customHeight="1">
      <c r="A1100" s="119"/>
      <c r="B1100" s="119"/>
      <c r="C1100" s="119"/>
      <c r="D1100" s="119"/>
      <c r="E1100" s="119"/>
      <c r="F1100" s="120"/>
      <c r="G1100" s="120"/>
    </row>
    <row r="1101" spans="1:7" ht="17.25" hidden="1" customHeight="1">
      <c r="A1101" s="119"/>
      <c r="B1101" s="119"/>
      <c r="C1101" s="119"/>
      <c r="D1101" s="119"/>
      <c r="E1101" s="119"/>
      <c r="F1101" s="120"/>
      <c r="G1101" s="120"/>
    </row>
    <row r="1102" spans="1:7" ht="17.25" hidden="1" customHeight="1">
      <c r="A1102" s="119"/>
      <c r="B1102" s="119"/>
      <c r="C1102" s="119"/>
      <c r="D1102" s="119"/>
      <c r="E1102" s="119"/>
      <c r="F1102" s="120"/>
      <c r="G1102" s="120"/>
    </row>
    <row r="1103" spans="1:7" ht="17.25" hidden="1" customHeight="1">
      <c r="A1103" s="119"/>
      <c r="B1103" s="119"/>
      <c r="C1103" s="119"/>
      <c r="D1103" s="119"/>
      <c r="E1103" s="119"/>
      <c r="F1103" s="120"/>
      <c r="G1103" s="120"/>
    </row>
    <row r="1104" spans="1:7" ht="17.25" hidden="1" customHeight="1">
      <c r="A1104" s="119"/>
      <c r="B1104" s="119"/>
      <c r="C1104" s="119"/>
      <c r="D1104" s="119"/>
      <c r="E1104" s="119"/>
      <c r="F1104" s="120"/>
      <c r="G1104" s="120"/>
    </row>
    <row r="1105" spans="1:7" ht="17.25" hidden="1" customHeight="1">
      <c r="A1105" s="119"/>
      <c r="B1105" s="119"/>
      <c r="C1105" s="119"/>
      <c r="D1105" s="119"/>
      <c r="E1105" s="119"/>
      <c r="F1105" s="120"/>
      <c r="G1105" s="120"/>
    </row>
    <row r="1106" spans="1:7" ht="17.25" hidden="1" customHeight="1">
      <c r="A1106" s="119"/>
      <c r="B1106" s="119"/>
      <c r="C1106" s="119"/>
      <c r="D1106" s="119"/>
      <c r="E1106" s="119"/>
      <c r="F1106" s="120"/>
      <c r="G1106" s="120"/>
    </row>
    <row r="1107" spans="1:7" ht="17.25" hidden="1" customHeight="1">
      <c r="A1107" s="119"/>
      <c r="B1107" s="119"/>
      <c r="C1107" s="119"/>
      <c r="D1107" s="119"/>
      <c r="E1107" s="119"/>
      <c r="F1107" s="120"/>
      <c r="G1107" s="120"/>
    </row>
    <row r="1108" spans="1:7" ht="17.25" hidden="1" customHeight="1">
      <c r="A1108" s="119"/>
      <c r="B1108" s="119"/>
      <c r="C1108" s="119"/>
      <c r="D1108" s="119"/>
      <c r="E1108" s="119"/>
      <c r="F1108" s="120"/>
      <c r="G1108" s="120"/>
    </row>
    <row r="1109" spans="1:7" ht="17.25" hidden="1" customHeight="1">
      <c r="A1109" s="119"/>
      <c r="B1109" s="119"/>
      <c r="C1109" s="119"/>
      <c r="D1109" s="119"/>
      <c r="E1109" s="119"/>
      <c r="F1109" s="120"/>
      <c r="G1109" s="120"/>
    </row>
    <row r="1110" spans="1:7" ht="17.25" hidden="1" customHeight="1">
      <c r="A1110" s="119"/>
      <c r="B1110" s="119"/>
      <c r="C1110" s="119"/>
      <c r="D1110" s="119"/>
      <c r="E1110" s="119"/>
      <c r="F1110" s="120"/>
      <c r="G1110" s="120"/>
    </row>
    <row r="1111" spans="1:7" ht="17.25" hidden="1" customHeight="1">
      <c r="A1111" s="119"/>
      <c r="B1111" s="119"/>
      <c r="C1111" s="119"/>
      <c r="D1111" s="119"/>
      <c r="E1111" s="119"/>
      <c r="F1111" s="120"/>
      <c r="G1111" s="120"/>
    </row>
    <row r="1112" spans="1:7" ht="17.25" hidden="1" customHeight="1">
      <c r="A1112" s="119"/>
      <c r="B1112" s="119"/>
      <c r="C1112" s="119"/>
      <c r="D1112" s="119"/>
      <c r="E1112" s="119"/>
      <c r="F1112" s="120"/>
      <c r="G1112" s="120"/>
    </row>
    <row r="1113" spans="1:7" ht="17.25" hidden="1" customHeight="1">
      <c r="A1113" s="119"/>
      <c r="B1113" s="119"/>
      <c r="C1113" s="119"/>
      <c r="D1113" s="119"/>
      <c r="E1113" s="119"/>
      <c r="F1113" s="120"/>
      <c r="G1113" s="120"/>
    </row>
    <row r="1114" spans="1:7" ht="17.25" hidden="1" customHeight="1">
      <c r="A1114" s="119"/>
      <c r="B1114" s="119"/>
      <c r="C1114" s="119"/>
      <c r="D1114" s="119"/>
      <c r="E1114" s="119"/>
      <c r="F1114" s="120"/>
      <c r="G1114" s="120"/>
    </row>
    <row r="1115" spans="1:7" ht="17.25" hidden="1" customHeight="1">
      <c r="A1115" s="119"/>
      <c r="B1115" s="119"/>
      <c r="C1115" s="119"/>
      <c r="D1115" s="119"/>
      <c r="E1115" s="119"/>
      <c r="F1115" s="120"/>
      <c r="G1115" s="120"/>
    </row>
    <row r="1116" spans="1:7" ht="17.25" hidden="1" customHeight="1">
      <c r="A1116" s="119"/>
      <c r="B1116" s="119"/>
      <c r="C1116" s="119"/>
      <c r="D1116" s="119"/>
      <c r="E1116" s="119"/>
      <c r="F1116" s="120"/>
      <c r="G1116" s="120"/>
    </row>
    <row r="1117" spans="1:7" ht="17.25" hidden="1" customHeight="1">
      <c r="A1117" s="119"/>
      <c r="B1117" s="119"/>
      <c r="C1117" s="119"/>
      <c r="D1117" s="119"/>
      <c r="E1117" s="119"/>
      <c r="F1117" s="120"/>
      <c r="G1117" s="120"/>
    </row>
    <row r="1118" spans="1:7" ht="17.25" hidden="1" customHeight="1">
      <c r="A1118" s="119"/>
      <c r="B1118" s="119"/>
      <c r="C1118" s="119"/>
      <c r="D1118" s="119"/>
      <c r="E1118" s="119"/>
      <c r="F1118" s="120"/>
      <c r="G1118" s="120"/>
    </row>
    <row r="1119" spans="1:7" ht="17.25" hidden="1" customHeight="1">
      <c r="A1119" s="119"/>
      <c r="B1119" s="119"/>
      <c r="C1119" s="119"/>
      <c r="D1119" s="119"/>
      <c r="E1119" s="119"/>
      <c r="F1119" s="120"/>
      <c r="G1119" s="120"/>
    </row>
    <row r="1120" spans="1:7" ht="17.25" hidden="1" customHeight="1">
      <c r="A1120" s="119"/>
      <c r="B1120" s="119"/>
      <c r="C1120" s="119"/>
      <c r="D1120" s="119"/>
      <c r="E1120" s="119"/>
      <c r="F1120" s="120"/>
      <c r="G1120" s="120"/>
    </row>
    <row r="1121" spans="1:7" ht="17.25" hidden="1" customHeight="1">
      <c r="A1121" s="119"/>
      <c r="B1121" s="119"/>
      <c r="C1121" s="119"/>
      <c r="D1121" s="119"/>
      <c r="E1121" s="119"/>
      <c r="F1121" s="120"/>
      <c r="G1121" s="120"/>
    </row>
    <row r="1122" spans="1:7" ht="17.25" hidden="1" customHeight="1">
      <c r="A1122" s="119"/>
      <c r="B1122" s="119"/>
      <c r="C1122" s="119"/>
      <c r="D1122" s="119"/>
      <c r="E1122" s="119"/>
      <c r="F1122" s="120"/>
      <c r="G1122" s="120"/>
    </row>
    <row r="1123" spans="1:7" ht="17.25" hidden="1" customHeight="1">
      <c r="A1123" s="119"/>
      <c r="B1123" s="119"/>
      <c r="C1123" s="119"/>
      <c r="D1123" s="119"/>
      <c r="E1123" s="119"/>
      <c r="F1123" s="120"/>
      <c r="G1123" s="120"/>
    </row>
    <row r="1124" spans="1:7" ht="17.25" hidden="1" customHeight="1">
      <c r="A1124" s="119"/>
      <c r="B1124" s="119"/>
      <c r="C1124" s="119"/>
      <c r="D1124" s="119"/>
      <c r="E1124" s="119"/>
      <c r="F1124" s="120"/>
      <c r="G1124" s="120"/>
    </row>
    <row r="1125" spans="1:7" ht="17.25" hidden="1" customHeight="1">
      <c r="A1125" s="119"/>
      <c r="B1125" s="119"/>
      <c r="C1125" s="119"/>
      <c r="D1125" s="119"/>
      <c r="E1125" s="119"/>
      <c r="F1125" s="120"/>
      <c r="G1125" s="120"/>
    </row>
    <row r="1126" spans="1:7" ht="17.25" hidden="1" customHeight="1">
      <c r="A1126" s="119"/>
      <c r="B1126" s="119"/>
      <c r="C1126" s="119"/>
      <c r="D1126" s="119"/>
      <c r="E1126" s="119"/>
      <c r="F1126" s="120"/>
      <c r="G1126" s="120"/>
    </row>
    <row r="1127" spans="1:7" ht="17.25" hidden="1" customHeight="1">
      <c r="A1127" s="119"/>
      <c r="B1127" s="119"/>
      <c r="C1127" s="119"/>
      <c r="D1127" s="119"/>
      <c r="E1127" s="119"/>
      <c r="F1127" s="120"/>
      <c r="G1127" s="120"/>
    </row>
    <row r="1128" spans="1:7" ht="17.25" hidden="1" customHeight="1">
      <c r="A1128" s="119"/>
      <c r="B1128" s="119"/>
      <c r="C1128" s="119"/>
      <c r="D1128" s="119"/>
      <c r="E1128" s="119"/>
      <c r="F1128" s="120"/>
      <c r="G1128" s="120"/>
    </row>
    <row r="1129" spans="1:7" ht="17.25" hidden="1" customHeight="1">
      <c r="A1129" s="119"/>
      <c r="B1129" s="119"/>
      <c r="C1129" s="119"/>
      <c r="D1129" s="119"/>
      <c r="E1129" s="119"/>
      <c r="F1129" s="120"/>
      <c r="G1129" s="120"/>
    </row>
    <row r="1130" spans="1:7" ht="17.25" hidden="1" customHeight="1">
      <c r="A1130" s="119"/>
      <c r="B1130" s="119"/>
      <c r="C1130" s="119"/>
      <c r="D1130" s="119"/>
      <c r="E1130" s="119"/>
      <c r="F1130" s="120"/>
      <c r="G1130" s="120"/>
    </row>
    <row r="1131" spans="1:7" ht="17.25" hidden="1" customHeight="1">
      <c r="A1131" s="119"/>
      <c r="B1131" s="119"/>
      <c r="C1131" s="119"/>
      <c r="D1131" s="119"/>
      <c r="E1131" s="119"/>
      <c r="F1131" s="120"/>
      <c r="G1131" s="120"/>
    </row>
    <row r="1132" spans="1:7" ht="17.25" hidden="1" customHeight="1">
      <c r="A1132" s="119"/>
      <c r="B1132" s="119"/>
      <c r="C1132" s="119"/>
      <c r="D1132" s="119"/>
      <c r="E1132" s="119"/>
      <c r="F1132" s="120"/>
      <c r="G1132" s="120"/>
    </row>
    <row r="1133" spans="1:7" ht="17.25" hidden="1" customHeight="1">
      <c r="A1133" s="119"/>
      <c r="B1133" s="119"/>
      <c r="C1133" s="119"/>
      <c r="D1133" s="119"/>
      <c r="E1133" s="119"/>
      <c r="F1133" s="120"/>
      <c r="G1133" s="120"/>
    </row>
    <row r="1134" spans="1:7" ht="17.25" hidden="1" customHeight="1">
      <c r="A1134" s="119"/>
      <c r="B1134" s="119"/>
      <c r="C1134" s="119"/>
      <c r="D1134" s="119"/>
      <c r="E1134" s="119"/>
      <c r="F1134" s="120"/>
      <c r="G1134" s="120"/>
    </row>
    <row r="1135" spans="1:7" ht="17.25" hidden="1" customHeight="1">
      <c r="A1135" s="119"/>
      <c r="B1135" s="119"/>
      <c r="C1135" s="119"/>
      <c r="D1135" s="119"/>
      <c r="E1135" s="119"/>
      <c r="F1135" s="120"/>
      <c r="G1135" s="120"/>
    </row>
    <row r="1136" spans="1:7" ht="17.25" hidden="1" customHeight="1">
      <c r="A1136" s="119"/>
      <c r="B1136" s="119"/>
      <c r="C1136" s="119"/>
      <c r="D1136" s="119"/>
      <c r="E1136" s="119"/>
      <c r="F1136" s="120"/>
      <c r="G1136" s="120"/>
    </row>
    <row r="1137" spans="1:7" ht="17.25" hidden="1" customHeight="1">
      <c r="A1137" s="119"/>
      <c r="B1137" s="119"/>
      <c r="C1137" s="119"/>
      <c r="D1137" s="119"/>
      <c r="E1137" s="119"/>
      <c r="F1137" s="120"/>
      <c r="G1137" s="120"/>
    </row>
    <row r="1138" spans="1:7" ht="17.25" hidden="1" customHeight="1">
      <c r="A1138" s="119"/>
      <c r="B1138" s="119"/>
      <c r="C1138" s="119"/>
      <c r="D1138" s="119"/>
      <c r="E1138" s="119"/>
      <c r="F1138" s="120"/>
      <c r="G1138" s="120"/>
    </row>
    <row r="1139" spans="1:7" ht="17.25" hidden="1" customHeight="1">
      <c r="A1139" s="119"/>
      <c r="B1139" s="119"/>
      <c r="C1139" s="119"/>
      <c r="D1139" s="119"/>
      <c r="E1139" s="119"/>
      <c r="F1139" s="120"/>
      <c r="G1139" s="120"/>
    </row>
    <row r="1140" spans="1:7" ht="17.25" hidden="1" customHeight="1">
      <c r="A1140" s="119"/>
      <c r="B1140" s="119"/>
      <c r="C1140" s="119"/>
      <c r="D1140" s="119"/>
      <c r="E1140" s="119"/>
      <c r="F1140" s="120"/>
      <c r="G1140" s="120"/>
    </row>
    <row r="1141" spans="1:7" ht="17.25" hidden="1" customHeight="1">
      <c r="A1141" s="119"/>
      <c r="B1141" s="119"/>
      <c r="C1141" s="119"/>
      <c r="D1141" s="119"/>
      <c r="E1141" s="119"/>
      <c r="F1141" s="120"/>
      <c r="G1141" s="120"/>
    </row>
    <row r="1142" spans="1:7" ht="17.25" hidden="1" customHeight="1">
      <c r="A1142" s="119"/>
      <c r="B1142" s="119"/>
      <c r="C1142" s="119"/>
      <c r="D1142" s="119"/>
      <c r="E1142" s="119"/>
      <c r="F1142" s="120"/>
      <c r="G1142" s="120"/>
    </row>
    <row r="1143" spans="1:7" ht="17.25" hidden="1" customHeight="1">
      <c r="A1143" s="119"/>
      <c r="B1143" s="119"/>
      <c r="C1143" s="119"/>
      <c r="D1143" s="119"/>
      <c r="E1143" s="119"/>
      <c r="F1143" s="120"/>
      <c r="G1143" s="120"/>
    </row>
    <row r="1144" spans="1:7" ht="17.25" hidden="1" customHeight="1">
      <c r="A1144" s="119"/>
      <c r="B1144" s="119"/>
      <c r="C1144" s="119"/>
      <c r="D1144" s="119"/>
      <c r="E1144" s="119"/>
      <c r="F1144" s="120"/>
      <c r="G1144" s="120"/>
    </row>
    <row r="1145" spans="1:7" ht="17.25" hidden="1" customHeight="1">
      <c r="A1145" s="119"/>
      <c r="B1145" s="119"/>
      <c r="C1145" s="119"/>
      <c r="D1145" s="119"/>
      <c r="E1145" s="119"/>
      <c r="F1145" s="120"/>
      <c r="G1145" s="120"/>
    </row>
    <row r="1146" spans="1:7" ht="17.25" hidden="1" customHeight="1">
      <c r="A1146" s="119"/>
      <c r="B1146" s="119"/>
      <c r="C1146" s="119"/>
      <c r="D1146" s="119"/>
      <c r="E1146" s="119"/>
      <c r="F1146" s="120"/>
      <c r="G1146" s="120"/>
    </row>
    <row r="1147" spans="1:7" ht="17.25" hidden="1" customHeight="1">
      <c r="A1147" s="119"/>
      <c r="B1147" s="119"/>
      <c r="C1147" s="119"/>
      <c r="D1147" s="119"/>
      <c r="E1147" s="119"/>
      <c r="F1147" s="120"/>
      <c r="G1147" s="120"/>
    </row>
    <row r="1148" spans="1:7" ht="17.25" hidden="1" customHeight="1">
      <c r="A1148" s="119"/>
      <c r="B1148" s="119"/>
      <c r="C1148" s="119"/>
      <c r="D1148" s="119"/>
      <c r="E1148" s="119"/>
      <c r="F1148" s="120"/>
      <c r="G1148" s="120"/>
    </row>
    <row r="1149" spans="1:7" ht="17.25" hidden="1" customHeight="1">
      <c r="A1149" s="119"/>
      <c r="B1149" s="119"/>
      <c r="C1149" s="119"/>
      <c r="D1149" s="119"/>
      <c r="E1149" s="119"/>
      <c r="F1149" s="120"/>
      <c r="G1149" s="120"/>
    </row>
    <row r="1150" spans="1:7" ht="17.25" hidden="1" customHeight="1">
      <c r="A1150" s="119"/>
      <c r="B1150" s="119"/>
      <c r="C1150" s="119"/>
      <c r="D1150" s="119"/>
      <c r="E1150" s="119"/>
      <c r="F1150" s="120"/>
      <c r="G1150" s="120"/>
    </row>
    <row r="1151" spans="1:7" ht="17.25" hidden="1" customHeight="1">
      <c r="A1151" s="119"/>
      <c r="B1151" s="119"/>
      <c r="C1151" s="119"/>
      <c r="D1151" s="119"/>
      <c r="E1151" s="119"/>
      <c r="F1151" s="120"/>
      <c r="G1151" s="120"/>
    </row>
    <row r="1152" spans="1:7" ht="17.25" hidden="1" customHeight="1">
      <c r="A1152" s="119"/>
      <c r="B1152" s="119"/>
      <c r="C1152" s="119"/>
      <c r="D1152" s="119"/>
      <c r="E1152" s="119"/>
      <c r="F1152" s="120"/>
      <c r="G1152" s="120"/>
    </row>
    <row r="1153" spans="1:7" ht="17.25" hidden="1" customHeight="1">
      <c r="A1153" s="119"/>
      <c r="B1153" s="119"/>
      <c r="C1153" s="119"/>
      <c r="D1153" s="119"/>
      <c r="E1153" s="119"/>
      <c r="F1153" s="120"/>
      <c r="G1153" s="120"/>
    </row>
    <row r="1154" spans="1:7" ht="17.25" hidden="1" customHeight="1">
      <c r="A1154" s="119"/>
      <c r="B1154" s="119"/>
      <c r="C1154" s="119"/>
      <c r="D1154" s="119"/>
      <c r="E1154" s="119"/>
      <c r="F1154" s="120"/>
      <c r="G1154" s="120"/>
    </row>
    <row r="1155" spans="1:7" ht="17.25" hidden="1" customHeight="1">
      <c r="A1155" s="119"/>
      <c r="B1155" s="119"/>
      <c r="C1155" s="119"/>
      <c r="D1155" s="119"/>
      <c r="E1155" s="119"/>
      <c r="F1155" s="120"/>
      <c r="G1155" s="120"/>
    </row>
    <row r="1156" spans="1:7" ht="17.25" hidden="1" customHeight="1">
      <c r="A1156" s="119"/>
      <c r="B1156" s="119"/>
      <c r="C1156" s="119"/>
      <c r="D1156" s="119"/>
      <c r="E1156" s="119"/>
      <c r="F1156" s="120"/>
      <c r="G1156" s="120"/>
    </row>
    <row r="1157" spans="1:7" ht="17.25" hidden="1" customHeight="1">
      <c r="A1157" s="119"/>
      <c r="B1157" s="119"/>
      <c r="C1157" s="119"/>
      <c r="D1157" s="119"/>
      <c r="E1157" s="119"/>
      <c r="F1157" s="120"/>
      <c r="G1157" s="120"/>
    </row>
    <row r="1158" spans="1:7" ht="17.25" hidden="1" customHeight="1">
      <c r="A1158" s="119"/>
      <c r="B1158" s="119"/>
      <c r="C1158" s="119"/>
      <c r="D1158" s="119"/>
      <c r="E1158" s="119"/>
      <c r="F1158" s="120"/>
      <c r="G1158" s="120"/>
    </row>
    <row r="1159" spans="1:7" ht="17.25" hidden="1" customHeight="1">
      <c r="A1159" s="119"/>
      <c r="B1159" s="119"/>
      <c r="C1159" s="119"/>
      <c r="D1159" s="119"/>
      <c r="E1159" s="119"/>
      <c r="F1159" s="120"/>
      <c r="G1159" s="120"/>
    </row>
    <row r="1160" spans="1:7" ht="17.25" hidden="1" customHeight="1">
      <c r="A1160" s="119"/>
      <c r="B1160" s="119"/>
      <c r="C1160" s="119"/>
      <c r="D1160" s="119"/>
      <c r="E1160" s="119"/>
      <c r="F1160" s="120"/>
      <c r="G1160" s="120"/>
    </row>
    <row r="1161" spans="1:7" ht="17.25" hidden="1" customHeight="1">
      <c r="A1161" s="119"/>
      <c r="B1161" s="119"/>
      <c r="C1161" s="119"/>
      <c r="D1161" s="119"/>
      <c r="E1161" s="119"/>
      <c r="F1161" s="120"/>
      <c r="G1161" s="120"/>
    </row>
    <row r="1162" spans="1:7" ht="17.25" hidden="1" customHeight="1">
      <c r="A1162" s="119"/>
      <c r="B1162" s="119"/>
      <c r="C1162" s="119"/>
      <c r="D1162" s="119"/>
      <c r="E1162" s="119"/>
      <c r="F1162" s="120"/>
      <c r="G1162" s="120"/>
    </row>
    <row r="1163" spans="1:7" ht="17.25" hidden="1" customHeight="1">
      <c r="A1163" s="119"/>
      <c r="B1163" s="119"/>
      <c r="C1163" s="119"/>
      <c r="D1163" s="119"/>
      <c r="E1163" s="119"/>
      <c r="F1163" s="120"/>
      <c r="G1163" s="120"/>
    </row>
    <row r="1164" spans="1:7" ht="17.25" hidden="1" customHeight="1">
      <c r="A1164" s="119"/>
      <c r="B1164" s="119"/>
      <c r="C1164" s="119"/>
      <c r="D1164" s="119"/>
      <c r="E1164" s="119"/>
      <c r="F1164" s="120"/>
      <c r="G1164" s="120"/>
    </row>
    <row r="1165" spans="1:7" ht="17.25" hidden="1" customHeight="1">
      <c r="A1165" s="119"/>
      <c r="B1165" s="119"/>
      <c r="C1165" s="119"/>
      <c r="D1165" s="119"/>
      <c r="E1165" s="119"/>
      <c r="F1165" s="120"/>
      <c r="G1165" s="120"/>
    </row>
    <row r="1166" spans="1:7" ht="17.25" hidden="1" customHeight="1">
      <c r="A1166" s="119"/>
      <c r="B1166" s="119"/>
      <c r="C1166" s="119"/>
      <c r="D1166" s="119"/>
      <c r="E1166" s="119"/>
      <c r="F1166" s="120"/>
      <c r="G1166" s="120"/>
    </row>
    <row r="1167" spans="1:7" ht="17.25" hidden="1" customHeight="1">
      <c r="A1167" s="119"/>
      <c r="B1167" s="119"/>
      <c r="C1167" s="119"/>
      <c r="D1167" s="119"/>
      <c r="E1167" s="119"/>
      <c r="F1167" s="120"/>
      <c r="G1167" s="120"/>
    </row>
    <row r="1168" spans="1:7" ht="17.25" hidden="1" customHeight="1">
      <c r="A1168" s="119"/>
      <c r="B1168" s="119"/>
      <c r="C1168" s="119"/>
      <c r="D1168" s="119"/>
      <c r="E1168" s="119"/>
      <c r="F1168" s="120"/>
      <c r="G1168" s="120"/>
    </row>
    <row r="1169" spans="1:7" ht="17.25" hidden="1" customHeight="1">
      <c r="A1169" s="119"/>
      <c r="B1169" s="119"/>
      <c r="C1169" s="119"/>
      <c r="D1169" s="119"/>
      <c r="E1169" s="119"/>
      <c r="F1169" s="120"/>
      <c r="G1169" s="120"/>
    </row>
    <row r="1170" spans="1:7" ht="17.25" hidden="1" customHeight="1">
      <c r="A1170" s="119"/>
      <c r="B1170" s="119"/>
      <c r="C1170" s="119"/>
      <c r="D1170" s="119"/>
      <c r="E1170" s="119"/>
      <c r="F1170" s="120"/>
      <c r="G1170" s="120"/>
    </row>
    <row r="1171" spans="1:7" ht="17.25" hidden="1" customHeight="1">
      <c r="A1171" s="119"/>
      <c r="B1171" s="119"/>
      <c r="C1171" s="119"/>
      <c r="D1171" s="119"/>
      <c r="E1171" s="119"/>
      <c r="F1171" s="120"/>
      <c r="G1171" s="120"/>
    </row>
    <row r="1172" spans="1:7" ht="17.25" hidden="1" customHeight="1">
      <c r="A1172" s="119"/>
      <c r="B1172" s="119"/>
      <c r="C1172" s="119"/>
      <c r="D1172" s="119"/>
      <c r="E1172" s="119"/>
      <c r="F1172" s="120"/>
      <c r="G1172" s="120"/>
    </row>
    <row r="1173" spans="1:7" ht="17.25" hidden="1" customHeight="1">
      <c r="A1173" s="119"/>
      <c r="B1173" s="119"/>
      <c r="C1173" s="119"/>
      <c r="D1173" s="119"/>
      <c r="E1173" s="119"/>
      <c r="F1173" s="120"/>
      <c r="G1173" s="120"/>
    </row>
    <row r="1174" spans="1:7" ht="17.25" hidden="1" customHeight="1">
      <c r="A1174" s="119"/>
      <c r="B1174" s="119"/>
      <c r="C1174" s="119"/>
      <c r="D1174" s="119"/>
      <c r="E1174" s="119"/>
      <c r="F1174" s="120"/>
      <c r="G1174" s="120"/>
    </row>
    <row r="1175" spans="1:7" ht="17.25" hidden="1" customHeight="1">
      <c r="A1175" s="119"/>
      <c r="B1175" s="119"/>
      <c r="C1175" s="119"/>
      <c r="D1175" s="119"/>
      <c r="E1175" s="119"/>
      <c r="F1175" s="120"/>
      <c r="G1175" s="120"/>
    </row>
    <row r="1176" spans="1:7" ht="17.25" hidden="1" customHeight="1">
      <c r="A1176" s="119"/>
      <c r="B1176" s="119"/>
      <c r="C1176" s="119"/>
      <c r="D1176" s="119"/>
      <c r="E1176" s="119"/>
      <c r="F1176" s="120"/>
      <c r="G1176" s="120"/>
    </row>
    <row r="1177" spans="1:7" ht="17.25" hidden="1" customHeight="1">
      <c r="A1177" s="119"/>
      <c r="B1177" s="119"/>
      <c r="C1177" s="119"/>
      <c r="D1177" s="119"/>
      <c r="E1177" s="119"/>
      <c r="F1177" s="120"/>
      <c r="G1177" s="120"/>
    </row>
    <row r="1178" spans="1:7" ht="17.25" hidden="1" customHeight="1">
      <c r="A1178" s="119"/>
      <c r="B1178" s="119"/>
      <c r="C1178" s="119"/>
      <c r="D1178" s="119"/>
      <c r="E1178" s="119"/>
      <c r="F1178" s="120"/>
      <c r="G1178" s="120"/>
    </row>
    <row r="1179" spans="1:7" ht="17.25" hidden="1" customHeight="1">
      <c r="A1179" s="119"/>
      <c r="B1179" s="119"/>
      <c r="C1179" s="119"/>
      <c r="D1179" s="119"/>
      <c r="E1179" s="119"/>
      <c r="F1179" s="120"/>
      <c r="G1179" s="120"/>
    </row>
    <row r="1180" spans="1:7" ht="17.25" hidden="1" customHeight="1">
      <c r="A1180" s="119"/>
      <c r="B1180" s="119"/>
      <c r="C1180" s="119"/>
      <c r="D1180" s="119"/>
      <c r="E1180" s="119"/>
      <c r="F1180" s="120"/>
      <c r="G1180" s="120"/>
    </row>
    <row r="1181" spans="1:7" ht="17.25" hidden="1" customHeight="1">
      <c r="A1181" s="119"/>
      <c r="B1181" s="119"/>
      <c r="C1181" s="119"/>
      <c r="D1181" s="119"/>
      <c r="E1181" s="119"/>
      <c r="F1181" s="120"/>
      <c r="G1181" s="120"/>
    </row>
    <row r="1182" spans="1:7" ht="17.25" hidden="1" customHeight="1">
      <c r="A1182" s="119"/>
      <c r="B1182" s="119"/>
      <c r="C1182" s="119"/>
      <c r="D1182" s="119"/>
      <c r="E1182" s="119"/>
      <c r="F1182" s="120"/>
      <c r="G1182" s="120"/>
    </row>
    <row r="1183" spans="1:7" ht="17.25" hidden="1" customHeight="1">
      <c r="A1183" s="119"/>
      <c r="B1183" s="119"/>
      <c r="C1183" s="119"/>
      <c r="D1183" s="119"/>
      <c r="E1183" s="119"/>
      <c r="F1183" s="120"/>
      <c r="G1183" s="120"/>
    </row>
    <row r="1184" spans="1:7" ht="17.25" hidden="1" customHeight="1">
      <c r="A1184" s="119"/>
      <c r="B1184" s="119"/>
      <c r="C1184" s="119"/>
      <c r="D1184" s="119"/>
      <c r="E1184" s="119"/>
      <c r="F1184" s="120"/>
      <c r="G1184" s="120"/>
    </row>
    <row r="1185" spans="1:7" ht="17.25" hidden="1" customHeight="1">
      <c r="A1185" s="119"/>
      <c r="B1185" s="119"/>
      <c r="C1185" s="119"/>
      <c r="D1185" s="119"/>
      <c r="E1185" s="119"/>
      <c r="F1185" s="120"/>
      <c r="G1185" s="120"/>
    </row>
    <row r="1186" spans="1:7" ht="17.25" hidden="1" customHeight="1">
      <c r="A1186" s="119"/>
      <c r="B1186" s="119"/>
      <c r="C1186" s="119"/>
      <c r="D1186" s="119"/>
      <c r="E1186" s="119"/>
      <c r="F1186" s="120"/>
      <c r="G1186" s="120"/>
    </row>
    <row r="1187" spans="1:7" ht="17.25" hidden="1" customHeight="1">
      <c r="A1187" s="119"/>
      <c r="B1187" s="119"/>
      <c r="C1187" s="119"/>
      <c r="D1187" s="119"/>
      <c r="E1187" s="119"/>
      <c r="F1187" s="120"/>
      <c r="G1187" s="120"/>
    </row>
    <row r="1188" spans="1:7" ht="17.25" hidden="1" customHeight="1">
      <c r="A1188" s="119"/>
      <c r="B1188" s="119"/>
      <c r="C1188" s="119"/>
      <c r="D1188" s="119"/>
      <c r="E1188" s="119"/>
      <c r="F1188" s="120"/>
      <c r="G1188" s="120"/>
    </row>
    <row r="1189" spans="1:7" ht="17.25" hidden="1" customHeight="1">
      <c r="A1189" s="119"/>
      <c r="B1189" s="119"/>
      <c r="C1189" s="119"/>
      <c r="D1189" s="119"/>
      <c r="E1189" s="119"/>
      <c r="F1189" s="120"/>
      <c r="G1189" s="120"/>
    </row>
    <row r="1190" spans="1:7" ht="17.25" hidden="1" customHeight="1">
      <c r="A1190" s="119"/>
      <c r="B1190" s="119"/>
      <c r="C1190" s="119"/>
      <c r="D1190" s="119"/>
      <c r="E1190" s="119"/>
      <c r="F1190" s="120"/>
      <c r="G1190" s="120"/>
    </row>
    <row r="1191" spans="1:7" ht="17.25" hidden="1" customHeight="1">
      <c r="A1191" s="119"/>
      <c r="B1191" s="119"/>
      <c r="C1191" s="119"/>
      <c r="D1191" s="119"/>
      <c r="E1191" s="119"/>
      <c r="F1191" s="120"/>
      <c r="G1191" s="120"/>
    </row>
    <row r="1192" spans="1:7" ht="17.25" hidden="1" customHeight="1">
      <c r="A1192" s="119"/>
      <c r="B1192" s="119"/>
      <c r="C1192" s="119"/>
      <c r="D1192" s="119"/>
      <c r="E1192" s="119"/>
      <c r="F1192" s="120"/>
      <c r="G1192" s="120"/>
    </row>
    <row r="1193" spans="1:7" ht="17.25" hidden="1" customHeight="1">
      <c r="A1193" s="119"/>
      <c r="B1193" s="119"/>
      <c r="C1193" s="119"/>
      <c r="D1193" s="119"/>
      <c r="E1193" s="119"/>
      <c r="F1193" s="120"/>
      <c r="G1193" s="120"/>
    </row>
    <row r="1194" spans="1:7" ht="17.25" hidden="1" customHeight="1">
      <c r="A1194" s="119"/>
      <c r="B1194" s="119"/>
      <c r="C1194" s="119"/>
      <c r="D1194" s="119"/>
      <c r="E1194" s="119"/>
      <c r="F1194" s="120"/>
      <c r="G1194" s="120"/>
    </row>
    <row r="1195" spans="1:7" ht="17.25" hidden="1" customHeight="1">
      <c r="A1195" s="119"/>
      <c r="B1195" s="119"/>
      <c r="C1195" s="119"/>
      <c r="D1195" s="119"/>
      <c r="E1195" s="119"/>
      <c r="F1195" s="120"/>
      <c r="G1195" s="120"/>
    </row>
    <row r="1196" spans="1:7" ht="17.25" hidden="1" customHeight="1">
      <c r="A1196" s="119"/>
      <c r="B1196" s="119"/>
      <c r="C1196" s="119"/>
      <c r="D1196" s="119"/>
      <c r="E1196" s="119"/>
      <c r="F1196" s="120"/>
      <c r="G1196" s="120"/>
    </row>
    <row r="1197" spans="1:7" ht="17.25" hidden="1" customHeight="1">
      <c r="A1197" s="119"/>
      <c r="B1197" s="119"/>
      <c r="C1197" s="119"/>
      <c r="D1197" s="119"/>
      <c r="E1197" s="119"/>
      <c r="F1197" s="120"/>
      <c r="G1197" s="120"/>
    </row>
    <row r="1198" spans="1:7" ht="17.25" hidden="1" customHeight="1">
      <c r="A1198" s="119"/>
      <c r="B1198" s="119"/>
      <c r="C1198" s="119"/>
      <c r="D1198" s="119"/>
      <c r="E1198" s="119"/>
      <c r="F1198" s="120"/>
      <c r="G1198" s="120"/>
    </row>
    <row r="1199" spans="1:7" ht="17.25" hidden="1" customHeight="1">
      <c r="A1199" s="119"/>
      <c r="B1199" s="119"/>
      <c r="C1199" s="119"/>
      <c r="D1199" s="119"/>
      <c r="E1199" s="119"/>
      <c r="F1199" s="120"/>
      <c r="G1199" s="120"/>
    </row>
    <row r="1200" spans="1:7" ht="17.25" hidden="1" customHeight="1">
      <c r="A1200" s="119"/>
      <c r="B1200" s="119"/>
      <c r="C1200" s="119"/>
      <c r="D1200" s="119"/>
      <c r="E1200" s="119"/>
      <c r="F1200" s="120"/>
      <c r="G1200" s="120"/>
    </row>
    <row r="1201" spans="1:239" ht="17.25" hidden="1" customHeight="1">
      <c r="A1201" s="119"/>
      <c r="B1201" s="119"/>
      <c r="C1201" s="119"/>
      <c r="D1201" s="119"/>
      <c r="E1201" s="119"/>
      <c r="F1201" s="120"/>
      <c r="G1201" s="120"/>
    </row>
    <row r="1202" spans="1:239" ht="17.25" hidden="1" customHeight="1">
      <c r="A1202" s="119"/>
      <c r="B1202" s="119"/>
      <c r="C1202" s="119"/>
      <c r="D1202" s="119"/>
      <c r="E1202" s="119"/>
      <c r="F1202" s="120"/>
      <c r="G1202" s="120"/>
    </row>
    <row r="1203" spans="1:239" s="123" customFormat="1" ht="16.5" customHeight="1">
      <c r="A1203" s="121"/>
      <c r="B1203" s="121"/>
      <c r="C1203" s="121" t="s">
        <v>11</v>
      </c>
      <c r="D1203" s="121"/>
      <c r="E1203" s="121"/>
      <c r="F1203" s="122">
        <f>SUM(F9:F1202)</f>
        <v>1016</v>
      </c>
      <c r="G1203" s="122">
        <f>SUM(G9:G1202)</f>
        <v>270756250</v>
      </c>
    </row>
    <row r="1205" spans="1:239">
      <c r="A1205" s="124"/>
      <c r="B1205" s="113" t="s">
        <v>50</v>
      </c>
      <c r="D1205" s="124"/>
      <c r="E1205" s="14"/>
      <c r="F1205" s="112" t="s">
        <v>33</v>
      </c>
      <c r="G1205" s="14"/>
      <c r="I1205" s="14"/>
      <c r="J1205" s="14"/>
      <c r="K1205" s="14"/>
      <c r="L1205" s="14"/>
      <c r="M1205" s="14"/>
      <c r="N1205" s="14"/>
      <c r="O1205" s="14"/>
      <c r="P1205" s="14"/>
      <c r="Q1205" s="14"/>
      <c r="R1205" s="14"/>
      <c r="S1205" s="14"/>
      <c r="T1205" s="14"/>
      <c r="U1205" s="14"/>
      <c r="V1205" s="14"/>
      <c r="W1205" s="14"/>
      <c r="X1205" s="14"/>
      <c r="Y1205" s="14"/>
      <c r="Z1205" s="14"/>
      <c r="AA1205" s="14"/>
      <c r="AB1205" s="14"/>
      <c r="AC1205" s="14"/>
      <c r="AD1205" s="14"/>
      <c r="AE1205" s="14"/>
      <c r="AF1205" s="14"/>
      <c r="AG1205" s="14"/>
      <c r="AH1205" s="14"/>
      <c r="AI1205" s="14"/>
      <c r="AJ1205" s="14"/>
      <c r="AK1205" s="14"/>
      <c r="AL1205" s="14"/>
      <c r="AM1205" s="14"/>
      <c r="AN1205" s="14"/>
      <c r="AO1205" s="14"/>
      <c r="AP1205" s="14"/>
      <c r="AQ1205" s="14"/>
      <c r="AR1205" s="14"/>
      <c r="AS1205" s="14"/>
      <c r="AT1205" s="14"/>
      <c r="AU1205" s="14"/>
      <c r="AV1205" s="14"/>
      <c r="AW1205" s="14"/>
      <c r="AX1205" s="14"/>
      <c r="AY1205" s="14"/>
      <c r="AZ1205" s="14"/>
      <c r="BA1205" s="14"/>
      <c r="BB1205" s="14"/>
      <c r="BC1205" s="14"/>
      <c r="BD1205" s="14"/>
      <c r="BE1205" s="14"/>
      <c r="BF1205" s="14"/>
      <c r="BG1205" s="14"/>
      <c r="BH1205" s="14"/>
      <c r="BI1205" s="14"/>
      <c r="BJ1205" s="14"/>
      <c r="BK1205" s="14"/>
      <c r="BL1205" s="14"/>
      <c r="BM1205" s="14"/>
      <c r="BN1205" s="14"/>
      <c r="BO1205" s="14"/>
      <c r="BP1205" s="14"/>
      <c r="BQ1205" s="14"/>
      <c r="BR1205" s="14"/>
      <c r="BS1205" s="14"/>
      <c r="BT1205" s="14"/>
      <c r="BU1205" s="14"/>
      <c r="BV1205" s="14"/>
      <c r="BW1205" s="14"/>
      <c r="BX1205" s="14"/>
      <c r="BY1205" s="14"/>
      <c r="BZ1205" s="14"/>
      <c r="CA1205" s="14"/>
      <c r="CB1205" s="14"/>
      <c r="CC1205" s="14"/>
      <c r="CD1205" s="14"/>
      <c r="CE1205" s="14"/>
      <c r="CF1205" s="14"/>
      <c r="CG1205" s="14"/>
      <c r="CH1205" s="14"/>
      <c r="CI1205" s="14"/>
      <c r="CJ1205" s="14"/>
      <c r="CK1205" s="14"/>
      <c r="CL1205" s="14"/>
      <c r="CM1205" s="14"/>
      <c r="CN1205" s="14"/>
      <c r="CO1205" s="14"/>
      <c r="CP1205" s="14"/>
      <c r="CQ1205" s="14"/>
      <c r="CR1205" s="14"/>
      <c r="CS1205" s="14"/>
      <c r="CT1205" s="14"/>
      <c r="CU1205" s="14"/>
      <c r="CV1205" s="14"/>
      <c r="CW1205" s="14"/>
      <c r="CX1205" s="14"/>
      <c r="CY1205" s="14"/>
      <c r="CZ1205" s="14"/>
      <c r="DA1205" s="14"/>
      <c r="DB1205" s="14"/>
      <c r="DC1205" s="14"/>
      <c r="DD1205" s="14"/>
      <c r="DE1205" s="14"/>
      <c r="DF1205" s="14"/>
      <c r="DG1205" s="14"/>
      <c r="DH1205" s="14"/>
      <c r="DI1205" s="14"/>
      <c r="DJ1205" s="14"/>
      <c r="DK1205" s="14"/>
      <c r="DL1205" s="14"/>
      <c r="DM1205" s="14"/>
      <c r="DN1205" s="14"/>
      <c r="DO1205" s="14"/>
      <c r="DP1205" s="14"/>
      <c r="DQ1205" s="14"/>
      <c r="DR1205" s="14"/>
      <c r="DS1205" s="14"/>
      <c r="DT1205" s="14"/>
      <c r="DU1205" s="14"/>
      <c r="DV1205" s="14"/>
      <c r="DW1205" s="14"/>
      <c r="DX1205" s="14"/>
      <c r="DY1205" s="14"/>
      <c r="DZ1205" s="14"/>
      <c r="EA1205" s="14"/>
      <c r="EB1205" s="14"/>
      <c r="EC1205" s="14"/>
      <c r="ED1205" s="14"/>
      <c r="EE1205" s="14"/>
      <c r="EF1205" s="14"/>
      <c r="EG1205" s="14"/>
      <c r="EH1205" s="14"/>
      <c r="EI1205" s="14"/>
      <c r="EJ1205" s="14"/>
      <c r="EK1205" s="14"/>
      <c r="EL1205" s="14"/>
      <c r="EM1205" s="14"/>
      <c r="EN1205" s="14"/>
      <c r="EO1205" s="14"/>
      <c r="EP1205" s="14"/>
      <c r="EQ1205" s="14"/>
      <c r="ER1205" s="14"/>
      <c r="ES1205" s="14"/>
      <c r="ET1205" s="14"/>
      <c r="EU1205" s="14"/>
      <c r="EV1205" s="14"/>
      <c r="EW1205" s="14"/>
      <c r="EX1205" s="14"/>
      <c r="EY1205" s="14"/>
      <c r="EZ1205" s="14"/>
      <c r="FA1205" s="14"/>
      <c r="FB1205" s="14"/>
      <c r="FC1205" s="14"/>
      <c r="FD1205" s="14"/>
      <c r="FE1205" s="14"/>
      <c r="FF1205" s="14"/>
      <c r="FG1205" s="14"/>
      <c r="FH1205" s="14"/>
      <c r="FI1205" s="14"/>
      <c r="FJ1205" s="14"/>
      <c r="FK1205" s="14"/>
      <c r="FL1205" s="14"/>
      <c r="FM1205" s="14"/>
      <c r="FN1205" s="14"/>
      <c r="FO1205" s="14"/>
      <c r="FP1205" s="14"/>
      <c r="FQ1205" s="14"/>
      <c r="FR1205" s="14"/>
      <c r="FS1205" s="14"/>
      <c r="FT1205" s="14"/>
      <c r="FU1205" s="14"/>
      <c r="FV1205" s="14"/>
      <c r="FW1205" s="14"/>
      <c r="FX1205" s="14"/>
      <c r="FY1205" s="14"/>
      <c r="FZ1205" s="14"/>
      <c r="GA1205" s="14"/>
      <c r="GB1205" s="14"/>
      <c r="GC1205" s="14"/>
      <c r="GD1205" s="14"/>
      <c r="GE1205" s="14"/>
      <c r="GF1205" s="14"/>
      <c r="GG1205" s="14"/>
      <c r="GH1205" s="14"/>
      <c r="GI1205" s="14"/>
      <c r="GJ1205" s="14"/>
      <c r="GK1205" s="14"/>
      <c r="GL1205" s="14"/>
      <c r="GM1205" s="14"/>
      <c r="GN1205" s="14"/>
      <c r="GO1205" s="14"/>
      <c r="GP1205" s="14"/>
      <c r="GQ1205" s="14"/>
      <c r="GR1205" s="14"/>
      <c r="GS1205" s="14"/>
      <c r="GT1205" s="14"/>
      <c r="GU1205" s="14"/>
      <c r="GV1205" s="14"/>
      <c r="GW1205" s="14"/>
      <c r="GX1205" s="14"/>
      <c r="GY1205" s="14"/>
      <c r="GZ1205" s="14"/>
      <c r="HA1205" s="14"/>
      <c r="HB1205" s="14"/>
      <c r="HC1205" s="14"/>
      <c r="HD1205" s="14"/>
      <c r="HE1205" s="14"/>
      <c r="HF1205" s="14"/>
      <c r="HG1205" s="14"/>
      <c r="HH1205" s="14"/>
      <c r="HI1205" s="14"/>
      <c r="HJ1205" s="14"/>
      <c r="HK1205" s="14"/>
      <c r="HL1205" s="14"/>
      <c r="HM1205" s="14"/>
      <c r="HN1205" s="14"/>
      <c r="HO1205" s="14"/>
      <c r="HP1205" s="14"/>
      <c r="HQ1205" s="14"/>
      <c r="HR1205" s="14"/>
      <c r="HS1205" s="14"/>
      <c r="HT1205" s="14"/>
      <c r="HU1205" s="14"/>
      <c r="HV1205" s="14"/>
      <c r="HW1205" s="14"/>
      <c r="HX1205" s="14"/>
      <c r="HY1205" s="14"/>
      <c r="HZ1205" s="14"/>
      <c r="IA1205" s="14"/>
      <c r="IB1205" s="14"/>
      <c r="IC1205" s="14"/>
      <c r="ID1205" s="14"/>
      <c r="IE1205" s="14"/>
    </row>
    <row r="1216" spans="1:239">
      <c r="E1216" s="185"/>
    </row>
    <row r="1217" spans="5:5" ht="15.75">
      <c r="E1217" s="186"/>
    </row>
    <row r="1218" spans="5:5" ht="15.75">
      <c r="E1218" s="186"/>
    </row>
    <row r="1219" spans="5:5" ht="15.75">
      <c r="E1219" s="186"/>
    </row>
    <row r="1220" spans="5:5" ht="15.75">
      <c r="E1220" s="186"/>
    </row>
    <row r="1221" spans="5:5" ht="15.75">
      <c r="E1221" s="186"/>
    </row>
    <row r="1222" spans="5:5" ht="15.75">
      <c r="E1222" s="186"/>
    </row>
    <row r="1223" spans="5:5" ht="15.75">
      <c r="E1223" s="186"/>
    </row>
    <row r="1224" spans="5:5" ht="15.75">
      <c r="E1224" s="186"/>
    </row>
    <row r="1225" spans="5:5" ht="15.75">
      <c r="E1225" s="186"/>
    </row>
    <row r="1226" spans="5:5" ht="15.75">
      <c r="E1226" s="186"/>
    </row>
    <row r="1227" spans="5:5" ht="15.75">
      <c r="E1227" s="186"/>
    </row>
    <row r="1228" spans="5:5" ht="15.75">
      <c r="E1228" s="186"/>
    </row>
    <row r="1229" spans="5:5" ht="15.75">
      <c r="E1229" s="186"/>
    </row>
    <row r="1230" spans="5:5" ht="15.75">
      <c r="E1230" s="186"/>
    </row>
    <row r="1231" spans="5:5" ht="15.75">
      <c r="E1231" s="186"/>
    </row>
    <row r="1232" spans="5:5" ht="15.75">
      <c r="E1232" s="186"/>
    </row>
    <row r="1233" spans="5:5" ht="15.75">
      <c r="E1233" s="186"/>
    </row>
    <row r="1234" spans="5:5" ht="15.75">
      <c r="E1234" s="186"/>
    </row>
    <row r="1235" spans="5:5" ht="15.75">
      <c r="E1235" s="186"/>
    </row>
    <row r="1236" spans="5:5" ht="15.75">
      <c r="E1236" s="186"/>
    </row>
    <row r="1237" spans="5:5" ht="15.75">
      <c r="E1237" s="186"/>
    </row>
    <row r="1238" spans="5:5" ht="15.75">
      <c r="E1238" s="186"/>
    </row>
    <row r="1239" spans="5:5" ht="15.75">
      <c r="E1239" s="186"/>
    </row>
    <row r="1240" spans="5:5" ht="15.75">
      <c r="E1240" s="186"/>
    </row>
    <row r="1241" spans="5:5" ht="15.75">
      <c r="E1241" s="186"/>
    </row>
    <row r="1242" spans="5:5" ht="15.75">
      <c r="E1242" s="186"/>
    </row>
    <row r="1243" spans="5:5" ht="15.75">
      <c r="E1243" s="186"/>
    </row>
    <row r="1244" spans="5:5" ht="15.75">
      <c r="E1244" s="186"/>
    </row>
    <row r="1245" spans="5:5" ht="15.75">
      <c r="E1245" s="186"/>
    </row>
    <row r="1246" spans="5:5" ht="15.75">
      <c r="E1246" s="186"/>
    </row>
    <row r="1247" spans="5:5" ht="15.75">
      <c r="E1247" s="186"/>
    </row>
    <row r="1248" spans="5:5" ht="15.75">
      <c r="E1248" s="186"/>
    </row>
    <row r="1249" spans="5:5" ht="15.75">
      <c r="E1249" s="186"/>
    </row>
  </sheetData>
  <autoFilter ref="A8:IE8" xr:uid="{6158E11B-65BB-4178-958B-1D7D71B70DFE}"/>
  <mergeCells count="2">
    <mergeCell ref="A3:G3"/>
    <mergeCell ref="A4:G4"/>
  </mergeCells>
  <pageMargins left="0.23622047244094491" right="0.23622047244094491" top="0.31496062992125984" bottom="0.35" header="0.31496062992125984" footer="0.31496062992125984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ABEEB-47F0-4612-BB67-30229F41567F}">
  <sheetPr>
    <tabColor rgb="FFFFFF00"/>
  </sheetPr>
  <dimension ref="A1:GF35"/>
  <sheetViews>
    <sheetView workbookViewId="0">
      <selection activeCell="G47" sqref="G47"/>
    </sheetView>
  </sheetViews>
  <sheetFormatPr defaultRowHeight="12.75"/>
  <cols>
    <col min="1" max="1" width="4" customWidth="1"/>
    <col min="2" max="2" width="10.7109375" customWidth="1"/>
    <col min="3" max="3" width="25.85546875" customWidth="1"/>
    <col min="4" max="4" width="7.7109375" customWidth="1"/>
    <col min="5" max="5" width="33" customWidth="1"/>
    <col min="7" max="7" width="17.28515625" customWidth="1"/>
  </cols>
  <sheetData>
    <row r="1" spans="1:188" s="8" customFormat="1" ht="20.25">
      <c r="A1" s="5" t="s">
        <v>0</v>
      </c>
      <c r="B1" s="5"/>
      <c r="C1" s="5"/>
      <c r="D1" s="27"/>
      <c r="E1" s="26"/>
      <c r="F1" s="41"/>
      <c r="G1" s="7"/>
      <c r="H1" s="4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</row>
    <row r="2" spans="1:188" s="8" customFormat="1" ht="20.25">
      <c r="A2" s="13" t="s">
        <v>19</v>
      </c>
      <c r="B2" s="13"/>
      <c r="C2" s="13"/>
      <c r="D2" s="28"/>
      <c r="E2" s="10"/>
      <c r="F2" s="41"/>
      <c r="G2" s="7"/>
      <c r="H2" s="4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</row>
    <row r="3" spans="1:188" s="8" customFormat="1" ht="20.25">
      <c r="A3" s="198" t="s">
        <v>51</v>
      </c>
      <c r="B3" s="198"/>
      <c r="C3" s="198"/>
      <c r="D3" s="198"/>
      <c r="E3" s="198"/>
      <c r="F3" s="198"/>
      <c r="G3" s="198"/>
      <c r="H3" s="102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</row>
    <row r="4" spans="1:188" s="8" customFormat="1" ht="20.25" customHeight="1">
      <c r="A4" s="199" t="str">
        <f>GB!A4</f>
        <v>THÁNG 8/2026</v>
      </c>
      <c r="B4" s="199"/>
      <c r="C4" s="199"/>
      <c r="D4" s="199"/>
      <c r="E4" s="199"/>
      <c r="F4" s="199"/>
      <c r="G4" s="199"/>
      <c r="H4" s="126"/>
      <c r="I4" s="126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</row>
    <row r="5" spans="1:188" s="125" customFormat="1" ht="15.75">
      <c r="A5" s="117" t="s">
        <v>2</v>
      </c>
      <c r="B5" s="117" t="s">
        <v>9</v>
      </c>
      <c r="C5" s="117" t="s">
        <v>12</v>
      </c>
      <c r="D5" s="117" t="s">
        <v>3</v>
      </c>
      <c r="E5" s="117" t="s">
        <v>47</v>
      </c>
      <c r="F5" s="118" t="s">
        <v>48</v>
      </c>
      <c r="G5" s="118" t="s">
        <v>49</v>
      </c>
      <c r="H5" s="126"/>
      <c r="I5" s="126"/>
    </row>
    <row r="6" spans="1:188" s="126" customFormat="1" ht="15.75">
      <c r="A6" s="119">
        <v>1</v>
      </c>
      <c r="B6" s="119" t="s">
        <v>1026</v>
      </c>
      <c r="C6" s="119" t="s">
        <v>635</v>
      </c>
      <c r="D6" s="119" t="s">
        <v>636</v>
      </c>
      <c r="E6" s="119" t="s">
        <v>165</v>
      </c>
      <c r="F6" s="120">
        <v>1</v>
      </c>
      <c r="G6" s="120">
        <v>1000000</v>
      </c>
    </row>
    <row r="7" spans="1:188" s="126" customFormat="1" ht="15.75">
      <c r="A7" s="119">
        <v>2</v>
      </c>
      <c r="B7" s="119" t="s">
        <v>1027</v>
      </c>
      <c r="C7" s="119" t="s">
        <v>251</v>
      </c>
      <c r="D7" s="119" t="s">
        <v>668</v>
      </c>
      <c r="E7" s="119" t="s">
        <v>165</v>
      </c>
      <c r="F7" s="120">
        <v>1</v>
      </c>
      <c r="G7" s="120">
        <v>1000000</v>
      </c>
    </row>
    <row r="8" spans="1:188" s="126" customFormat="1" ht="15.75">
      <c r="A8" s="119">
        <v>3</v>
      </c>
      <c r="B8" s="119" t="s">
        <v>1028</v>
      </c>
      <c r="C8" s="119" t="s">
        <v>778</v>
      </c>
      <c r="D8" s="119" t="s">
        <v>117</v>
      </c>
      <c r="E8" s="119" t="s">
        <v>165</v>
      </c>
      <c r="F8" s="120">
        <v>1</v>
      </c>
      <c r="G8" s="120">
        <v>1000000</v>
      </c>
    </row>
    <row r="9" spans="1:188" s="126" customFormat="1" ht="15.75">
      <c r="A9" s="119">
        <v>4</v>
      </c>
      <c r="B9" s="119" t="s">
        <v>1029</v>
      </c>
      <c r="C9" s="119" t="s">
        <v>1006</v>
      </c>
      <c r="D9" s="119" t="s">
        <v>1007</v>
      </c>
      <c r="E9" s="119" t="s">
        <v>165</v>
      </c>
      <c r="F9" s="120">
        <v>1</v>
      </c>
      <c r="G9" s="120">
        <v>1000000</v>
      </c>
    </row>
    <row r="10" spans="1:188" s="126" customFormat="1" ht="15.75" hidden="1">
      <c r="A10" s="119"/>
      <c r="B10" s="119"/>
      <c r="C10" s="119"/>
      <c r="D10" s="119"/>
      <c r="E10" s="119"/>
      <c r="F10" s="120"/>
      <c r="G10" s="120"/>
    </row>
    <row r="11" spans="1:188" s="126" customFormat="1" ht="15.75" hidden="1">
      <c r="A11" s="119"/>
      <c r="B11" s="119"/>
      <c r="C11" s="119"/>
      <c r="D11" s="119"/>
      <c r="E11" s="119"/>
      <c r="F11" s="120"/>
      <c r="G11" s="120"/>
    </row>
    <row r="12" spans="1:188" s="126" customFormat="1" ht="15.75" hidden="1">
      <c r="A12" s="119"/>
      <c r="B12" s="119"/>
      <c r="C12" s="119"/>
      <c r="D12" s="119"/>
      <c r="E12" s="119"/>
      <c r="F12" s="120"/>
      <c r="G12" s="120"/>
    </row>
    <row r="13" spans="1:188" s="126" customFormat="1" ht="15.75" hidden="1">
      <c r="A13" s="119"/>
      <c r="B13" s="119"/>
      <c r="C13" s="119"/>
      <c r="D13" s="119"/>
      <c r="E13" s="119"/>
      <c r="F13" s="120"/>
      <c r="G13" s="120"/>
    </row>
    <row r="14" spans="1:188" s="126" customFormat="1" ht="15.75" hidden="1">
      <c r="A14" s="119"/>
      <c r="B14" s="119"/>
      <c r="C14" s="119"/>
      <c r="D14" s="119"/>
      <c r="E14" s="119"/>
      <c r="F14" s="120"/>
      <c r="G14" s="120"/>
    </row>
    <row r="15" spans="1:188" s="126" customFormat="1" ht="15.75" hidden="1">
      <c r="A15" s="119"/>
      <c r="B15" s="119"/>
      <c r="C15" s="119"/>
      <c r="D15" s="119"/>
      <c r="E15" s="119"/>
      <c r="F15" s="120"/>
      <c r="G15" s="120"/>
    </row>
    <row r="16" spans="1:188" s="126" customFormat="1" ht="15.75" hidden="1">
      <c r="A16" s="119"/>
      <c r="B16" s="119"/>
      <c r="C16" s="119"/>
      <c r="D16" s="119"/>
      <c r="E16" s="119"/>
      <c r="F16" s="120"/>
      <c r="G16" s="120"/>
    </row>
    <row r="17" spans="1:11" s="126" customFormat="1" ht="15.75" hidden="1">
      <c r="A17" s="119"/>
      <c r="B17" s="119"/>
      <c r="C17" s="119"/>
      <c r="D17" s="119"/>
      <c r="E17" s="119"/>
      <c r="F17" s="120"/>
      <c r="G17" s="120"/>
    </row>
    <row r="18" spans="1:11" s="126" customFormat="1" ht="15.75" hidden="1">
      <c r="A18" s="119"/>
      <c r="B18" s="119"/>
      <c r="C18" s="119"/>
      <c r="D18" s="119"/>
      <c r="E18" s="119"/>
      <c r="F18" s="120"/>
      <c r="G18" s="120"/>
    </row>
    <row r="19" spans="1:11" s="126" customFormat="1" ht="15.75" hidden="1">
      <c r="A19" s="119"/>
      <c r="B19" s="119"/>
      <c r="C19" s="119"/>
      <c r="D19" s="119"/>
      <c r="E19" s="119"/>
      <c r="F19" s="120"/>
      <c r="G19" s="120"/>
    </row>
    <row r="20" spans="1:11" s="126" customFormat="1" ht="15.75" hidden="1">
      <c r="A20" s="119"/>
      <c r="B20" s="119"/>
      <c r="C20" s="119"/>
      <c r="D20" s="119"/>
      <c r="E20" s="119"/>
      <c r="F20" s="120"/>
      <c r="G20" s="120"/>
    </row>
    <row r="21" spans="1:11" s="126" customFormat="1" ht="15.75" hidden="1">
      <c r="A21" s="119"/>
      <c r="B21" s="119"/>
      <c r="C21" s="119"/>
      <c r="D21" s="119"/>
      <c r="E21" s="119"/>
      <c r="F21" s="120"/>
      <c r="G21" s="120"/>
    </row>
    <row r="22" spans="1:11" s="126" customFormat="1" ht="15.75" hidden="1">
      <c r="A22" s="119"/>
      <c r="B22" s="119"/>
      <c r="C22" s="119"/>
      <c r="D22" s="119"/>
      <c r="E22" s="119"/>
      <c r="F22" s="120"/>
      <c r="G22" s="120"/>
    </row>
    <row r="23" spans="1:11" s="126" customFormat="1" ht="15.75" hidden="1">
      <c r="A23" s="119"/>
      <c r="B23" s="119"/>
      <c r="C23" s="119"/>
      <c r="D23" s="119"/>
      <c r="E23" s="119"/>
      <c r="F23" s="120"/>
      <c r="G23" s="120"/>
    </row>
    <row r="24" spans="1:11" s="126" customFormat="1" ht="15.75" hidden="1">
      <c r="A24" s="119"/>
      <c r="B24" s="119"/>
      <c r="C24" s="119"/>
      <c r="D24" s="119"/>
      <c r="E24" s="119"/>
      <c r="F24" s="120"/>
      <c r="G24" s="120"/>
    </row>
    <row r="25" spans="1:11" s="126" customFormat="1" ht="15.75" hidden="1">
      <c r="A25" s="119"/>
      <c r="B25" s="119"/>
      <c r="C25" s="119"/>
      <c r="D25" s="119"/>
      <c r="E25" s="119"/>
      <c r="F25" s="120"/>
      <c r="G25" s="120"/>
    </row>
    <row r="26" spans="1:11" s="126" customFormat="1" ht="15.75">
      <c r="A26" s="119"/>
      <c r="B26" s="119"/>
      <c r="C26" s="119"/>
      <c r="D26" s="119"/>
      <c r="E26" s="119"/>
      <c r="F26" s="120"/>
      <c r="G26" s="120"/>
    </row>
    <row r="27" spans="1:11" s="21" customFormat="1" ht="14.25">
      <c r="A27" s="96"/>
      <c r="B27" s="96"/>
      <c r="C27" s="97" t="s">
        <v>18</v>
      </c>
      <c r="D27" s="98"/>
      <c r="E27" s="97"/>
      <c r="F27" s="99">
        <f>SUM(F6:F26)</f>
        <v>4</v>
      </c>
      <c r="G27" s="99">
        <f>SUM(G6:G26)</f>
        <v>4000000</v>
      </c>
      <c r="H27" s="126"/>
      <c r="I27" s="126"/>
      <c r="J27" s="38"/>
    </row>
    <row r="28" spans="1:11" s="8" customFormat="1" ht="18.75" customHeight="1">
      <c r="B28" s="58"/>
      <c r="C28" s="58"/>
      <c r="D28" s="59"/>
      <c r="E28" s="60"/>
      <c r="F28" s="100" t="s">
        <v>300</v>
      </c>
      <c r="G28" s="127"/>
      <c r="H28" s="126"/>
      <c r="I28" s="126"/>
      <c r="J28" s="23"/>
      <c r="K28" s="30"/>
    </row>
    <row r="29" spans="1:11" s="8" customFormat="1" ht="15.75">
      <c r="B29" s="200" t="s">
        <v>13</v>
      </c>
      <c r="C29" s="200"/>
      <c r="D29" s="200"/>
      <c r="E29" s="62"/>
      <c r="F29" s="128" t="s">
        <v>33</v>
      </c>
      <c r="G29" s="128"/>
      <c r="H29" s="126"/>
      <c r="I29" s="126"/>
      <c r="J29" s="15"/>
    </row>
    <row r="30" spans="1:11" s="8" customFormat="1" ht="18.75">
      <c r="B30" s="61"/>
      <c r="C30" s="61"/>
      <c r="D30" s="61"/>
      <c r="E30" s="62"/>
      <c r="F30" s="63"/>
      <c r="G30" s="57"/>
      <c r="H30" s="126"/>
      <c r="I30" s="126"/>
      <c r="J30" s="17"/>
      <c r="K30" s="30"/>
    </row>
    <row r="31" spans="1:11" s="8" customFormat="1" ht="18.75">
      <c r="B31" s="61"/>
      <c r="C31" s="61"/>
      <c r="D31" s="61"/>
      <c r="E31" s="62"/>
      <c r="F31" s="63"/>
      <c r="G31" s="57"/>
      <c r="H31" s="64"/>
      <c r="I31" s="65"/>
      <c r="J31" s="17"/>
      <c r="K31" s="30"/>
    </row>
    <row r="32" spans="1:11" s="8" customFormat="1" ht="18.75">
      <c r="B32" s="58"/>
      <c r="C32" s="58"/>
      <c r="D32" s="66"/>
      <c r="E32" s="67"/>
      <c r="F32" s="68"/>
      <c r="G32" s="57"/>
      <c r="H32" s="64"/>
      <c r="I32" s="64"/>
      <c r="J32" s="17"/>
      <c r="K32" s="30"/>
    </row>
    <row r="33" spans="2:12" s="8" customFormat="1" ht="15.75">
      <c r="B33" s="197" t="s">
        <v>23</v>
      </c>
      <c r="C33" s="197"/>
      <c r="D33" s="197"/>
      <c r="E33" s="67"/>
      <c r="F33" s="101" t="s">
        <v>30</v>
      </c>
      <c r="G33" s="129"/>
      <c r="H33" s="129"/>
      <c r="I33" s="129"/>
      <c r="J33" s="24"/>
      <c r="L33" s="21"/>
    </row>
    <row r="34" spans="2:12" s="8" customFormat="1" ht="15">
      <c r="B34" s="58"/>
      <c r="C34" s="58"/>
      <c r="D34" s="66"/>
      <c r="E34" s="67"/>
      <c r="F34" s="69"/>
      <c r="G34" s="61"/>
      <c r="H34" s="70"/>
      <c r="I34" s="66"/>
    </row>
    <row r="35" spans="2:12" s="8" customFormat="1">
      <c r="B35" s="9"/>
      <c r="C35" s="9"/>
      <c r="E35" s="10"/>
      <c r="F35" s="25"/>
      <c r="G35" s="39"/>
      <c r="I35" s="30"/>
    </row>
  </sheetData>
  <sortState xmlns:xlrd2="http://schemas.microsoft.com/office/spreadsheetml/2017/richdata2" ref="B6:D11">
    <sortCondition ref="B6:B11"/>
  </sortState>
  <mergeCells count="4">
    <mergeCell ref="B33:D33"/>
    <mergeCell ref="A3:G3"/>
    <mergeCell ref="A4:G4"/>
    <mergeCell ref="B29:D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phauthuat</vt:lpstr>
      <vt:lpstr>thu thuat</vt:lpstr>
      <vt:lpstr>tieuphau</vt:lpstr>
      <vt:lpstr>GB</vt:lpstr>
      <vt:lpstr>YCBS</vt:lpstr>
      <vt:lpstr>GB!Print_Area</vt:lpstr>
    </vt:vector>
  </TitlesOfParts>
  <Company>&lt;egyptian hak&gt;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Gostep.info</dc:creator>
  <cp:lastModifiedBy>Client</cp:lastModifiedBy>
  <cp:lastPrinted>2026-07-17T07:18:23Z</cp:lastPrinted>
  <dcterms:created xsi:type="dcterms:W3CDTF">2012-03-02T08:10:25Z</dcterms:created>
  <dcterms:modified xsi:type="dcterms:W3CDTF">2026-09-11T01:33:22Z</dcterms:modified>
</cp:coreProperties>
</file>