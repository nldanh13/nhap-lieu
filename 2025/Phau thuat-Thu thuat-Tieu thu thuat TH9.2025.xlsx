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0876FD31-79FD-4608-B76D-D4AB7CBDFF46}" xr6:coauthVersionLast="47" xr6:coauthVersionMax="47" xr10:uidLastSave="{00000000-0000-0000-0000-000000000000}"/>
  <bookViews>
    <workbookView xWindow="-120" yWindow="-120" windowWidth="29040" windowHeight="15720" tabRatio="907" firstSheet="3" activeTab="9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phauthuat!$A$6:$WWO$85</definedName>
    <definedName name="_xlnm._FilterDatabase" localSheetId="2" hidden="1">phauthuat_BHYT!$A$7:$WWY$90</definedName>
    <definedName name="_xlnm._FilterDatabase" localSheetId="9" hidden="1">tieuphau!$A$6:$K$83</definedName>
    <definedName name="_xlnm._FilterDatabase" localSheetId="7" hidden="1">'thu thuat'!$B$5:$I$472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62" l="1"/>
  <c r="G15" i="57"/>
  <c r="L23" i="57"/>
  <c r="G29" i="62"/>
  <c r="E28" i="62"/>
  <c r="F29" i="62"/>
  <c r="E26" i="62"/>
  <c r="G26" i="62" s="1"/>
  <c r="E32" i="32"/>
  <c r="G32" i="32" s="1"/>
  <c r="F32" i="32" s="1"/>
  <c r="E20" i="32"/>
  <c r="E21" i="32"/>
  <c r="E22" i="32"/>
  <c r="E19" i="32"/>
  <c r="G16" i="57"/>
  <c r="G17" i="57" s="1"/>
  <c r="G25" i="62"/>
  <c r="G27" i="62"/>
  <c r="G28" i="62"/>
  <c r="F28" i="62" s="1"/>
  <c r="E12" i="32"/>
  <c r="E8" i="32"/>
  <c r="G24" i="57"/>
  <c r="G29" i="32"/>
  <c r="G30" i="32"/>
  <c r="G31" i="32"/>
  <c r="G33" i="32"/>
  <c r="F33" i="32" s="1"/>
  <c r="F29" i="32"/>
  <c r="F30" i="32"/>
  <c r="F31" i="32"/>
  <c r="E29" i="32"/>
  <c r="E30" i="32"/>
  <c r="E31" i="32"/>
  <c r="E33" i="32"/>
  <c r="E27" i="62"/>
  <c r="F27" i="62" s="1"/>
  <c r="F7" i="60"/>
  <c r="I29" i="60"/>
  <c r="I27" i="60"/>
  <c r="I17" i="60"/>
  <c r="E25" i="62"/>
  <c r="E23" i="62"/>
  <c r="G23" i="62" s="1"/>
  <c r="E22" i="62"/>
  <c r="G22" i="62" s="1"/>
  <c r="E8" i="62"/>
  <c r="G9" i="58"/>
  <c r="E30" i="40"/>
  <c r="H7" i="58"/>
  <c r="H8" i="58"/>
  <c r="E30" i="57" l="1"/>
  <c r="E39" i="62" s="1"/>
  <c r="G18" i="57"/>
  <c r="E20" i="57" s="1"/>
  <c r="F26" i="62"/>
  <c r="H9" i="58"/>
  <c r="E23" i="57" l="1"/>
  <c r="E25" i="57"/>
  <c r="E30" i="62"/>
  <c r="E22" i="57"/>
  <c r="E32" i="62" s="1"/>
  <c r="E21" i="57"/>
  <c r="E31" i="62" s="1"/>
  <c r="E29" i="57"/>
  <c r="E28" i="57"/>
  <c r="E27" i="57"/>
  <c r="E24" i="57"/>
  <c r="E33" i="62" s="1"/>
  <c r="D20" i="56"/>
  <c r="D19" i="56"/>
  <c r="D18" i="56"/>
  <c r="D13" i="56"/>
  <c r="D9" i="56"/>
  <c r="K75" i="26"/>
  <c r="K74" i="26"/>
  <c r="K71" i="26"/>
  <c r="K70" i="26"/>
  <c r="K68" i="26"/>
  <c r="K67" i="26"/>
  <c r="K62" i="26"/>
  <c r="K61" i="26"/>
  <c r="K56" i="26"/>
  <c r="K48" i="26"/>
  <c r="K47" i="26"/>
  <c r="K46" i="26"/>
  <c r="K45" i="26"/>
  <c r="K37" i="26"/>
  <c r="K36" i="26"/>
  <c r="K35" i="26"/>
  <c r="K28" i="26"/>
  <c r="K23" i="26"/>
  <c r="K21" i="26"/>
  <c r="K20" i="26"/>
  <c r="K18" i="26"/>
  <c r="K17" i="26"/>
  <c r="K16" i="26"/>
  <c r="K15" i="26"/>
  <c r="K14" i="26"/>
  <c r="K11" i="26"/>
  <c r="K10" i="26"/>
  <c r="I470" i="41"/>
  <c r="E38" i="62" l="1"/>
  <c r="E34" i="62"/>
  <c r="E35" i="62"/>
  <c r="E36" i="62"/>
  <c r="E37" i="62"/>
  <c r="E31" i="57"/>
  <c r="E18" i="32"/>
  <c r="G18" i="32" s="1"/>
  <c r="E17" i="32"/>
  <c r="G17" i="32" s="1"/>
  <c r="E18" i="62"/>
  <c r="E17" i="62"/>
  <c r="D21" i="56"/>
  <c r="H470" i="41"/>
  <c r="G470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H83" i="1"/>
  <c r="G17" i="62" l="1"/>
  <c r="F17" i="62" s="1"/>
  <c r="G18" i="62"/>
  <c r="F18" i="62" s="1"/>
  <c r="F18" i="32"/>
  <c r="F17" i="32"/>
  <c r="I362" i="41"/>
  <c r="D16" i="30" l="1"/>
  <c r="F81" i="26"/>
  <c r="K12" i="26" l="1"/>
  <c r="K25" i="26"/>
  <c r="K26" i="26"/>
  <c r="K27" i="26"/>
  <c r="K29" i="26"/>
  <c r="K32" i="26"/>
  <c r="K33" i="26"/>
  <c r="K50" i="26"/>
  <c r="K53" i="26"/>
  <c r="K55" i="26"/>
  <c r="K76" i="26"/>
  <c r="K80" i="26"/>
  <c r="K8" i="26"/>
  <c r="K13" i="26"/>
  <c r="K64" i="26"/>
  <c r="J10" i="26"/>
  <c r="J11" i="26"/>
  <c r="J12" i="26"/>
  <c r="J23" i="26"/>
  <c r="J25" i="26"/>
  <c r="J26" i="26"/>
  <c r="J27" i="26"/>
  <c r="J29" i="26"/>
  <c r="J32" i="26"/>
  <c r="J33" i="26"/>
  <c r="J46" i="26"/>
  <c r="J48" i="26"/>
  <c r="J50" i="26"/>
  <c r="J53" i="26"/>
  <c r="J55" i="26"/>
  <c r="J67" i="26"/>
  <c r="J68" i="26"/>
  <c r="J76" i="26"/>
  <c r="J80" i="26"/>
  <c r="J8" i="26"/>
  <c r="J13" i="26"/>
  <c r="J16" i="26"/>
  <c r="J47" i="26"/>
  <c r="J64" i="26"/>
  <c r="H80" i="26" l="1"/>
  <c r="H46" i="26"/>
  <c r="H12" i="26"/>
  <c r="H23" i="26"/>
  <c r="H67" i="26"/>
  <c r="H29" i="26"/>
  <c r="H16" i="26"/>
  <c r="H11" i="26"/>
  <c r="H48" i="26"/>
  <c r="H26" i="26"/>
  <c r="H64" i="26"/>
  <c r="H76" i="26"/>
  <c r="H33" i="26"/>
  <c r="H13" i="26"/>
  <c r="H27" i="26"/>
  <c r="H53" i="26"/>
  <c r="H55" i="26"/>
  <c r="H8" i="26"/>
  <c r="H47" i="26"/>
  <c r="H68" i="26"/>
  <c r="H32" i="26"/>
  <c r="H10" i="26"/>
  <c r="H25" i="26"/>
  <c r="H50" i="26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J77" i="26" l="1"/>
  <c r="J78" i="26"/>
  <c r="J20" i="26"/>
  <c r="J21" i="26"/>
  <c r="J24" i="26"/>
  <c r="J30" i="26"/>
  <c r="J37" i="26"/>
  <c r="J49" i="26"/>
  <c r="J51" i="26"/>
  <c r="J52" i="26"/>
  <c r="J56" i="26"/>
  <c r="J59" i="26"/>
  <c r="J60" i="26"/>
  <c r="J61" i="26"/>
  <c r="J62" i="26"/>
  <c r="J63" i="26"/>
  <c r="J72" i="26"/>
  <c r="K77" i="26"/>
  <c r="K78" i="26"/>
  <c r="K24" i="26"/>
  <c r="K30" i="26"/>
  <c r="K49" i="26"/>
  <c r="K51" i="26"/>
  <c r="K52" i="26"/>
  <c r="K59" i="26"/>
  <c r="K60" i="26"/>
  <c r="K63" i="26"/>
  <c r="K72" i="2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D26" i="9" s="1"/>
  <c r="L66" i="1"/>
  <c r="L67" i="1"/>
  <c r="L68" i="1"/>
  <c r="L69" i="1"/>
  <c r="L70" i="1"/>
  <c r="L71" i="1"/>
  <c r="D30" i="9" s="1"/>
  <c r="L72" i="1"/>
  <c r="L73" i="1"/>
  <c r="L74" i="1"/>
  <c r="L75" i="1"/>
  <c r="L76" i="1"/>
  <c r="L77" i="1"/>
  <c r="L78" i="1"/>
  <c r="L79" i="1"/>
  <c r="L80" i="1"/>
  <c r="L81" i="1"/>
  <c r="L82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D29" i="9" s="1"/>
  <c r="N72" i="1"/>
  <c r="N73" i="1"/>
  <c r="N74" i="1"/>
  <c r="N75" i="1"/>
  <c r="N76" i="1"/>
  <c r="N77" i="1"/>
  <c r="N78" i="1"/>
  <c r="N79" i="1"/>
  <c r="N80" i="1"/>
  <c r="N81" i="1"/>
  <c r="N82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D28" i="9" l="1"/>
  <c r="D27" i="9"/>
  <c r="D19" i="9"/>
  <c r="G22" i="32" s="1"/>
  <c r="D18" i="9"/>
  <c r="G21" i="32" s="1"/>
  <c r="J76" i="1"/>
  <c r="J68" i="1"/>
  <c r="J60" i="1"/>
  <c r="J52" i="1"/>
  <c r="J44" i="1"/>
  <c r="J36" i="1"/>
  <c r="J28" i="1"/>
  <c r="J20" i="1"/>
  <c r="J12" i="1"/>
  <c r="J77" i="1"/>
  <c r="J69" i="1"/>
  <c r="J61" i="1"/>
  <c r="J53" i="1"/>
  <c r="J45" i="1"/>
  <c r="J37" i="1"/>
  <c r="J29" i="1"/>
  <c r="J21" i="1"/>
  <c r="J13" i="1"/>
  <c r="H51" i="26"/>
  <c r="H49" i="26"/>
  <c r="H61" i="26"/>
  <c r="H37" i="26"/>
  <c r="H78" i="26"/>
  <c r="H52" i="26"/>
  <c r="H20" i="26"/>
  <c r="J75" i="1"/>
  <c r="J35" i="1"/>
  <c r="J51" i="1"/>
  <c r="J19" i="1"/>
  <c r="J74" i="1"/>
  <c r="J50" i="1"/>
  <c r="J26" i="1"/>
  <c r="J81" i="1"/>
  <c r="J57" i="1"/>
  <c r="J41" i="1"/>
  <c r="J25" i="1"/>
  <c r="J80" i="1"/>
  <c r="J72" i="1"/>
  <c r="J48" i="1"/>
  <c r="J40" i="1"/>
  <c r="J32" i="1"/>
  <c r="J24" i="1"/>
  <c r="J16" i="1"/>
  <c r="J8" i="1"/>
  <c r="J67" i="1"/>
  <c r="J43" i="1"/>
  <c r="J11" i="1"/>
  <c r="J82" i="1"/>
  <c r="J66" i="1"/>
  <c r="J42" i="1"/>
  <c r="J18" i="1"/>
  <c r="J73" i="1"/>
  <c r="J49" i="1"/>
  <c r="J17" i="1"/>
  <c r="J56" i="1"/>
  <c r="J79" i="1"/>
  <c r="J71" i="1"/>
  <c r="J63" i="1"/>
  <c r="J55" i="1"/>
  <c r="J47" i="1"/>
  <c r="J39" i="1"/>
  <c r="J31" i="1"/>
  <c r="J23" i="1"/>
  <c r="J15" i="1"/>
  <c r="J59" i="1"/>
  <c r="D15" i="9" s="1"/>
  <c r="E16" i="32" s="1"/>
  <c r="J27" i="1"/>
  <c r="J58" i="1"/>
  <c r="J34" i="1"/>
  <c r="J10" i="1"/>
  <c r="J65" i="1"/>
  <c r="J33" i="1"/>
  <c r="J9" i="1"/>
  <c r="J64" i="1"/>
  <c r="J78" i="1"/>
  <c r="J70" i="1"/>
  <c r="J62" i="1"/>
  <c r="J54" i="1"/>
  <c r="J46" i="1"/>
  <c r="J38" i="1"/>
  <c r="J30" i="1"/>
  <c r="J22" i="1"/>
  <c r="J14" i="1"/>
  <c r="H60" i="26"/>
  <c r="H77" i="26"/>
  <c r="H72" i="26"/>
  <c r="H62" i="26"/>
  <c r="H56" i="26"/>
  <c r="H24" i="26"/>
  <c r="H21" i="26"/>
  <c r="H63" i="26"/>
  <c r="H59" i="26"/>
  <c r="H30" i="26"/>
  <c r="J75" i="26"/>
  <c r="J45" i="26"/>
  <c r="J70" i="26"/>
  <c r="J28" i="26"/>
  <c r="J71" i="26"/>
  <c r="E16" i="62" l="1"/>
  <c r="G16" i="62" s="1"/>
  <c r="F16" i="62" s="1"/>
  <c r="G16" i="32"/>
  <c r="F16" i="32" s="1"/>
  <c r="D7" i="9"/>
  <c r="H75" i="26"/>
  <c r="H45" i="26"/>
  <c r="H71" i="26"/>
  <c r="H28" i="26"/>
  <c r="H70" i="26"/>
  <c r="K70" i="38"/>
  <c r="K71" i="38"/>
  <c r="K72" i="38"/>
  <c r="K73" i="38"/>
  <c r="K74" i="38"/>
  <c r="K75" i="38"/>
  <c r="K76" i="38"/>
  <c r="K77" i="38"/>
  <c r="K78" i="38"/>
  <c r="K79" i="38"/>
  <c r="K80" i="38"/>
  <c r="K81" i="38"/>
  <c r="E27" i="40" s="1"/>
  <c r="K82" i="38"/>
  <c r="K83" i="38"/>
  <c r="K84" i="38"/>
  <c r="K85" i="38"/>
  <c r="K86" i="38"/>
  <c r="K87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N85" i="38" l="1"/>
  <c r="N78" i="38"/>
  <c r="N79" i="38"/>
  <c r="N71" i="38"/>
  <c r="N86" i="38"/>
  <c r="N81" i="38"/>
  <c r="N87" i="38"/>
  <c r="N80" i="38"/>
  <c r="N82" i="38"/>
  <c r="N74" i="38"/>
  <c r="N73" i="38"/>
  <c r="N70" i="38"/>
  <c r="N72" i="38"/>
  <c r="N83" i="38"/>
  <c r="N76" i="38"/>
  <c r="N84" i="38"/>
  <c r="N77" i="38"/>
  <c r="N75" i="38"/>
  <c r="J31" i="26" l="1"/>
  <c r="J58" i="26"/>
  <c r="J79" i="26"/>
  <c r="J57" i="26"/>
  <c r="J34" i="26"/>
  <c r="J40" i="26"/>
  <c r="J17" i="26"/>
  <c r="J65" i="26"/>
  <c r="J39" i="26"/>
  <c r="J38" i="26"/>
  <c r="J43" i="26"/>
  <c r="J7" i="26"/>
  <c r="J15" i="26"/>
  <c r="J66" i="26"/>
  <c r="J14" i="26"/>
  <c r="J69" i="26"/>
  <c r="J19" i="26"/>
  <c r="J54" i="26"/>
  <c r="J22" i="26"/>
  <c r="K31" i="26"/>
  <c r="K58" i="26"/>
  <c r="K79" i="26"/>
  <c r="K57" i="26"/>
  <c r="K34" i="26"/>
  <c r="K40" i="26"/>
  <c r="K65" i="26"/>
  <c r="K39" i="26"/>
  <c r="K38" i="26"/>
  <c r="K43" i="26"/>
  <c r="K7" i="26"/>
  <c r="K66" i="26"/>
  <c r="K69" i="26"/>
  <c r="K19" i="26"/>
  <c r="K54" i="26"/>
  <c r="K22" i="26"/>
  <c r="H17" i="26" l="1"/>
  <c r="H15" i="26"/>
  <c r="H39" i="26"/>
  <c r="H34" i="26"/>
  <c r="H31" i="26"/>
  <c r="H54" i="26"/>
  <c r="H66" i="26"/>
  <c r="H7" i="26"/>
  <c r="H57" i="26"/>
  <c r="H14" i="26"/>
  <c r="H43" i="26"/>
  <c r="H79" i="26"/>
  <c r="H69" i="26"/>
  <c r="H40" i="26"/>
  <c r="H19" i="26"/>
  <c r="H58" i="26"/>
  <c r="H22" i="26"/>
  <c r="H38" i="26"/>
  <c r="H65" i="26"/>
  <c r="K44" i="26" l="1"/>
  <c r="K73" i="26"/>
  <c r="K41" i="26"/>
  <c r="K9" i="26"/>
  <c r="K42" i="26"/>
  <c r="K81" i="26" l="1"/>
  <c r="H6" i="58"/>
  <c r="J18" i="26" l="1"/>
  <c r="J42" i="26"/>
  <c r="J44" i="26"/>
  <c r="H44" i="26" s="1"/>
  <c r="H42" i="26" l="1"/>
  <c r="H18" i="26"/>
  <c r="E14" i="63" l="1"/>
  <c r="I7" i="41"/>
  <c r="J73" i="26"/>
  <c r="J41" i="26"/>
  <c r="J36" i="26"/>
  <c r="J74" i="26"/>
  <c r="J35" i="26"/>
  <c r="D8" i="7"/>
  <c r="H73" i="26" l="1"/>
  <c r="H36" i="26"/>
  <c r="H35" i="26"/>
  <c r="H74" i="26"/>
  <c r="H41" i="26"/>
  <c r="D15" i="7"/>
  <c r="E12" i="62" s="1"/>
  <c r="D12" i="7" l="1"/>
  <c r="D7" i="42"/>
  <c r="D16" i="7"/>
  <c r="D9" i="7"/>
  <c r="R7" i="1" l="1"/>
  <c r="R83" i="1" l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E26" i="40" s="1"/>
  <c r="M56" i="38"/>
  <c r="E29" i="40" s="1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9" i="26"/>
  <c r="J81" i="26" s="1"/>
  <c r="D17" i="7" s="1"/>
  <c r="D10" i="42" l="1"/>
  <c r="H9" i="26"/>
  <c r="D10" i="7" l="1"/>
  <c r="E10" i="62" s="1"/>
  <c r="G10" i="62" s="1"/>
  <c r="H81" i="26"/>
  <c r="D11" i="42"/>
  <c r="D11" i="7"/>
  <c r="D7" i="7"/>
  <c r="D14" i="7"/>
  <c r="D13" i="7"/>
  <c r="L7" i="1"/>
  <c r="D25" i="9"/>
  <c r="N7" i="1"/>
  <c r="P7" i="1"/>
  <c r="E7" i="62" l="1"/>
  <c r="E7" i="32"/>
  <c r="E11" i="62"/>
  <c r="E11" i="32"/>
  <c r="P83" i="1"/>
  <c r="D16" i="9"/>
  <c r="G19" i="32" s="1"/>
  <c r="N83" i="1"/>
  <c r="D17" i="9"/>
  <c r="G20" i="32" s="1"/>
  <c r="L83" i="1"/>
  <c r="D12" i="42"/>
  <c r="E28" i="32"/>
  <c r="D21" i="9"/>
  <c r="D23" i="9"/>
  <c r="D22" i="9"/>
  <c r="D20" i="9"/>
  <c r="D24" i="9"/>
  <c r="D14" i="9"/>
  <c r="F21" i="32"/>
  <c r="D14" i="42" l="1"/>
  <c r="G28" i="32"/>
  <c r="F28" i="32" s="1"/>
  <c r="E26" i="32"/>
  <c r="E23" i="32"/>
  <c r="E25" i="32"/>
  <c r="E24" i="32"/>
  <c r="F22" i="32"/>
  <c r="E27" i="32"/>
  <c r="F19" i="32"/>
  <c r="F20" i="32"/>
  <c r="E15" i="32"/>
  <c r="E15" i="62"/>
  <c r="G15" i="62" s="1"/>
  <c r="F15" i="62" s="1"/>
  <c r="D15" i="42" l="1"/>
  <c r="G15" i="32"/>
  <c r="F15" i="32" s="1"/>
  <c r="G26" i="32"/>
  <c r="F26" i="32" s="1"/>
  <c r="G27" i="32"/>
  <c r="F27" i="32" s="1"/>
  <c r="G24" i="32"/>
  <c r="F24" i="32" s="1"/>
  <c r="G25" i="32"/>
  <c r="F25" i="32" s="1"/>
  <c r="G23" i="32"/>
  <c r="F23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7" i="1"/>
  <c r="Q83" i="1" l="1"/>
  <c r="J7" i="1"/>
  <c r="F10" i="62"/>
  <c r="D18" i="7" l="1"/>
  <c r="D19" i="7" l="1"/>
  <c r="D20" i="7" s="1"/>
  <c r="D21" i="7" s="1"/>
  <c r="D22" i="7" s="1"/>
  <c r="D24" i="7" l="1"/>
  <c r="D25" i="7" s="1"/>
  <c r="J83" i="1"/>
  <c r="D9" i="9" l="1"/>
  <c r="D26" i="7"/>
  <c r="D27" i="7" s="1"/>
  <c r="D11" i="9"/>
  <c r="D13" i="9"/>
  <c r="D10" i="9"/>
  <c r="D12" i="9"/>
  <c r="E14" i="32" l="1"/>
  <c r="E13" i="62"/>
  <c r="E13" i="32"/>
  <c r="E9" i="32"/>
  <c r="D8" i="9"/>
  <c r="G14" i="32" l="1"/>
  <c r="F14" i="32" s="1"/>
  <c r="G9" i="32"/>
  <c r="G8" i="62"/>
  <c r="G13" i="32"/>
  <c r="F13" i="32" s="1"/>
  <c r="G7" i="32" l="1"/>
  <c r="G8" i="32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E28" i="40" s="1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E15" i="40" s="1"/>
  <c r="F16" i="60" s="1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N46" i="38" l="1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E19" i="40" s="1"/>
  <c r="M21" i="38"/>
  <c r="M22" i="38"/>
  <c r="N19" i="38" l="1"/>
  <c r="F8" i="62"/>
  <c r="N22" i="38"/>
  <c r="N20" i="38"/>
  <c r="N21" i="38"/>
  <c r="M15" i="38" l="1"/>
  <c r="M16" i="38"/>
  <c r="M17" i="38"/>
  <c r="M18" i="38"/>
  <c r="G11" i="62" l="1"/>
  <c r="F11" i="62" s="1"/>
  <c r="N16" i="38"/>
  <c r="N15" i="38"/>
  <c r="N17" i="38"/>
  <c r="N18" i="38"/>
  <c r="E10" i="32"/>
  <c r="G10" i="32" l="1"/>
  <c r="M9" i="38"/>
  <c r="M10" i="38"/>
  <c r="M11" i="38"/>
  <c r="M12" i="38"/>
  <c r="E23" i="40" s="1"/>
  <c r="M13" i="38"/>
  <c r="E17" i="40" s="1"/>
  <c r="M14" i="38"/>
  <c r="M8" i="38"/>
  <c r="K8" i="38"/>
  <c r="K88" i="38" s="1"/>
  <c r="E22" i="40" l="1"/>
  <c r="F22" i="62" s="1"/>
  <c r="E18" i="40"/>
  <c r="E16" i="40"/>
  <c r="E21" i="40"/>
  <c r="E24" i="40"/>
  <c r="E20" i="40"/>
  <c r="E20" i="62" s="1"/>
  <c r="G20" i="62" s="1"/>
  <c r="M88" i="38"/>
  <c r="E25" i="40"/>
  <c r="E14" i="62" s="1"/>
  <c r="G14" i="62" s="1"/>
  <c r="F14" i="62" s="1"/>
  <c r="F23" i="62"/>
  <c r="E14" i="40"/>
  <c r="F15" i="60" s="1"/>
  <c r="E13" i="40"/>
  <c r="N9" i="38"/>
  <c r="N12" i="38"/>
  <c r="N10" i="38"/>
  <c r="N14" i="38"/>
  <c r="N13" i="38"/>
  <c r="N11" i="38"/>
  <c r="I8" i="38"/>
  <c r="I88" i="38" s="1"/>
  <c r="E19" i="62" l="1"/>
  <c r="G19" i="62" s="1"/>
  <c r="F14" i="60"/>
  <c r="F20" i="62"/>
  <c r="E21" i="62"/>
  <c r="G7" i="62"/>
  <c r="F25" i="62"/>
  <c r="E24" i="62"/>
  <c r="E7" i="60"/>
  <c r="E7" i="40"/>
  <c r="E11" i="60"/>
  <c r="E12" i="40"/>
  <c r="E12" i="60"/>
  <c r="F12" i="60" s="1"/>
  <c r="E8" i="60"/>
  <c r="E10" i="60"/>
  <c r="F10" i="60" s="1"/>
  <c r="E13" i="60"/>
  <c r="E9" i="60"/>
  <c r="E8" i="40"/>
  <c r="E11" i="40"/>
  <c r="N8" i="38"/>
  <c r="N88" i="38" s="1"/>
  <c r="E9" i="40"/>
  <c r="G24" i="62" l="1"/>
  <c r="F24" i="62" s="1"/>
  <c r="G21" i="62"/>
  <c r="F21" i="62" s="1"/>
  <c r="E9" i="62"/>
  <c r="F9" i="60"/>
  <c r="F19" i="62"/>
  <c r="F11" i="60"/>
  <c r="F13" i="60"/>
  <c r="G12" i="62"/>
  <c r="G13" i="62"/>
  <c r="F13" i="62" s="1"/>
  <c r="F8" i="60"/>
  <c r="E31" i="60"/>
  <c r="G9" i="62" l="1"/>
  <c r="F9" i="62"/>
  <c r="F12" i="62"/>
  <c r="F31" i="60"/>
  <c r="F7" i="62"/>
  <c r="G12" i="32"/>
  <c r="F40" i="62" l="1"/>
  <c r="E10" i="40" l="1"/>
  <c r="E31" i="40" s="1"/>
  <c r="G11" i="32" l="1"/>
  <c r="F11" i="32" s="1"/>
  <c r="F17" i="42" l="1"/>
  <c r="E7" i="30"/>
  <c r="E8" i="30"/>
  <c r="F12" i="32" l="1"/>
  <c r="F10" i="32" l="1"/>
  <c r="F9" i="32" l="1"/>
  <c r="F8" i="32" l="1"/>
  <c r="F7" i="32"/>
  <c r="F44" i="32" l="1"/>
  <c r="D31" i="9" l="1"/>
  <c r="D32" i="9" s="1"/>
  <c r="D33" i="9" s="1"/>
  <c r="D34" i="9" s="1"/>
  <c r="D35" i="9" s="1"/>
  <c r="D36" i="9" s="1"/>
  <c r="D38" i="9" s="1"/>
  <c r="D39" i="9" s="1"/>
  <c r="D40" i="9" s="1"/>
  <c r="G25" i="57"/>
  <c r="G26" i="57" s="1"/>
  <c r="D30" i="57" s="1"/>
  <c r="D41" i="9" l="1"/>
  <c r="G27" i="57"/>
  <c r="D20" i="57" s="1"/>
  <c r="E43" i="32" l="1"/>
  <c r="G43" i="32" s="1"/>
  <c r="G39" i="62"/>
  <c r="D21" i="57"/>
  <c r="D28" i="57"/>
  <c r="D24" i="57"/>
  <c r="D23" i="57"/>
  <c r="D25" i="57"/>
  <c r="E34" i="32"/>
  <c r="D27" i="57"/>
  <c r="D22" i="57"/>
  <c r="G35" i="62" l="1"/>
  <c r="E39" i="32"/>
  <c r="G39" i="32" s="1"/>
  <c r="G34" i="32"/>
  <c r="E36" i="32"/>
  <c r="G36" i="32" s="1"/>
  <c r="G32" i="62"/>
  <c r="G33" i="62"/>
  <c r="E37" i="32"/>
  <c r="G37" i="32" s="1"/>
  <c r="E41" i="32"/>
  <c r="G41" i="32" s="1"/>
  <c r="G37" i="62"/>
  <c r="D29" i="57"/>
  <c r="G34" i="62"/>
  <c r="E38" i="32"/>
  <c r="G38" i="32" s="1"/>
  <c r="E35" i="32"/>
  <c r="G35" i="32" s="1"/>
  <c r="G31" i="62"/>
  <c r="G30" i="62"/>
  <c r="E40" i="32"/>
  <c r="G40" i="32" s="1"/>
  <c r="G36" i="62"/>
  <c r="E42" i="32" l="1"/>
  <c r="G42" i="32" s="1"/>
  <c r="G44" i="32"/>
  <c r="E44" i="32"/>
  <c r="E49" i="32" s="1"/>
  <c r="D31" i="57"/>
  <c r="G38" i="62" l="1"/>
  <c r="G40" i="62" s="1"/>
  <c r="E40" i="62"/>
</calcChain>
</file>

<file path=xl/sharedStrings.xml><?xml version="1.0" encoding="utf-8"?>
<sst xmlns="http://schemas.openxmlformats.org/spreadsheetml/2006/main" count="4303" uniqueCount="784">
  <si>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</si>
  <si>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</si>
  <si>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</si>
  <si>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</si>
  <si>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</si>
  <si>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</si>
  <si>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</si>
  <si>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</si>
  <si>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</si>
  <si>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</si>
  <si>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</si>
  <si>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</si>
  <si>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</si>
  <si>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</si>
  <si>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</si>
  <si>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</si>
  <si>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</si>
  <si>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</si>
  <si>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</si>
  <si>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</si>
  <si>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</si>
  <si>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</si>
  <si>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</si>
  <si>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</si>
  <si>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</si>
  <si>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</si>
  <si>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</si>
  <si>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</si>
  <si>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</si>
  <si>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</si>
  <si>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</si>
  <si>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</si>
  <si>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</si>
  <si>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</si>
  <si>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</si>
  <si>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</si>
  <si>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</si>
  <si>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</si>
  <si>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</si>
  <si>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</si>
  <si>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</si>
  <si>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</si>
  <si>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</si>
  <si>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</si>
  <si>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</si>
  <si>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</si>
  <si>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</si>
  <si>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</si>
  <si>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</si>
  <si>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</si>
  <si>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</si>
  <si>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</si>
  <si>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</si>
  <si>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</si>
  <si>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</si>
  <si>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</si>
  <si>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</si>
  <si>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</si>
  <si>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</si>
  <si>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</si>
  <si>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</si>
  <si>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</si>
  <si>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</si>
  <si>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</si>
  <si>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</si>
  <si>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</si>
  <si>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</si>
  <si>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</si>
  <si>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</si>
  <si>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</si>
  <si>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</si>
  <si>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</si>
  <si>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</si>
  <si>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</si>
  <si>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</si>
  <si>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</si>
  <si>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</si>
  <si>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</si>
  <si>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</si>
  <si>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</si>
  <si>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</si>
  <si>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</si>
  <si>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</si>
  <si>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</si>
  <si>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</si>
  <si>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</si>
  <si>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</si>
  <si>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</si>
  <si>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</si>
  <si>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</si>
  <si>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</si>
  <si>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</si>
  <si>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</si>
  <si>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</si>
  <si>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</si>
  <si>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</si>
  <si>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</si>
  <si>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</si>
  <si>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</si>
  <si>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</si>
  <si>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</si>
  <si>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</si>
  <si>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</si>
  <si>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</si>
  <si>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</si>
  <si>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</si>
  <si>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</si>
  <si>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</si>
  <si>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</si>
  <si>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</si>
  <si>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</si>
  <si>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</si>
  <si>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</si>
  <si>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</si>
  <si>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</si>
  <si>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</si>
  <si>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</si>
  <si>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</si>
  <si>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</si>
  <si>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</si>
  <si>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Cần Thơ, ngày 22 tháng 02 năm 2024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</si>
  <si>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</si>
  <si>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</si>
  <si>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</si>
  <si>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</si>
  <si>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</si>
  <si>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</si>
  <si>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</si>
  <si>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</si>
  <si>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</si>
  <si>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</si>
  <si>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Chọn bác sĩ phẫu thuật theo yêu cầu</t>
  </si>
  <si>
    <t>TÊN CLS</t>
  </si>
  <si>
    <t>43 Tuổi</t>
  </si>
  <si>
    <t>42 Tuổi</t>
  </si>
  <si>
    <t>37 Tuổi</t>
  </si>
  <si>
    <t>65 Tuổi</t>
  </si>
  <si>
    <t>20 Tuổi</t>
  </si>
  <si>
    <t>35 Tuổi</t>
  </si>
  <si>
    <t>69 Tuổi</t>
  </si>
  <si>
    <t>41 Tuổi</t>
  </si>
  <si>
    <t>33 Tuổi</t>
  </si>
  <si>
    <t>68 Tuổi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</si>
  <si>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</si>
  <si>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</si>
  <si>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</si>
  <si>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</si>
  <si>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</si>
  <si>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</si>
  <si>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</si>
  <si>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</si>
  <si>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</si>
  <si>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</si>
  <si>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</si>
  <si>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</si>
  <si>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</si>
  <si>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</si>
  <si>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</si>
  <si>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</si>
  <si>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</si>
  <si>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109880991105</t>
  </si>
  <si>
    <t>100881016109</t>
  </si>
  <si>
    <t>BS.HOAN</t>
  </si>
  <si>
    <t>ThS. Bs.CKII.Nguyễn Lê Hoan</t>
  </si>
  <si>
    <t>25 Tuổi</t>
  </si>
  <si>
    <t>TRIỀU</t>
  </si>
  <si>
    <t>61 Tuổi</t>
  </si>
  <si>
    <t>Truyền tĩnh mạch</t>
  </si>
  <si>
    <t>50 Tuổi</t>
  </si>
  <si>
    <t>Thay băng, cắt chỉ vết mổ</t>
  </si>
  <si>
    <t>62 Tuổi</t>
  </si>
  <si>
    <t>Cắt chỉ sau phẫu thuật</t>
  </si>
  <si>
    <t>24 Tuổi</t>
  </si>
  <si>
    <t>38 Tuổi</t>
  </si>
  <si>
    <t>64 Tuổi</t>
  </si>
  <si>
    <t>Thay băng, cắt chỉ vết mổ [chiều dài  ≤ 15cm]</t>
  </si>
  <si>
    <t>67 Tuổi</t>
  </si>
  <si>
    <t>16 Tuổi</t>
  </si>
  <si>
    <t xml:space="preserve"> Nẹp bột các loại, không nắn (loại 1) </t>
  </si>
  <si>
    <t>40 Tuổi</t>
  </si>
  <si>
    <t>52 Tuổi</t>
  </si>
  <si>
    <t>70 Tuổi</t>
  </si>
  <si>
    <t>23 Tuổi</t>
  </si>
  <si>
    <t>31 Tuổi</t>
  </si>
  <si>
    <t>44 Tuổi</t>
  </si>
  <si>
    <t>NGUYỄN VĂN BEO</t>
  </si>
  <si>
    <t>72 Tuổi</t>
  </si>
  <si>
    <t>55 Tuổi</t>
  </si>
  <si>
    <t>48 Tuổi</t>
  </si>
  <si>
    <t>27 Tuổi</t>
  </si>
  <si>
    <t>34 Tuổi</t>
  </si>
  <si>
    <t>56 Tuổi</t>
  </si>
  <si>
    <t>58 Tuổi</t>
  </si>
  <si>
    <t>63 Tuổi</t>
  </si>
  <si>
    <t>19 Tuổi</t>
  </si>
  <si>
    <t>45 Tuổi</t>
  </si>
  <si>
    <t>84 Tuổi</t>
  </si>
  <si>
    <t>Truyền hóa chất tĩnh mạch [nội trú]</t>
  </si>
  <si>
    <t>71 Tuổi</t>
  </si>
  <si>
    <t>28 Tuổi</t>
  </si>
  <si>
    <t>57 Tuổi</t>
  </si>
  <si>
    <t xml:space="preserve"> Tháo bột (nhỏ) </t>
  </si>
  <si>
    <t>73 Tuổi</t>
  </si>
  <si>
    <t>60 Tuổi</t>
  </si>
  <si>
    <t>54 Tuổi</t>
  </si>
  <si>
    <t>47 Tuổi</t>
  </si>
  <si>
    <t>Thay băng điều trị vết thương mạn tính</t>
  </si>
  <si>
    <t>Đặt sonde bàng quang</t>
  </si>
  <si>
    <t>Nắn, bó bột gãy 1/3 dưới hai xương cẳng tay  [bột liền]</t>
  </si>
  <si>
    <t xml:space="preserve"> Tháo bột (trung bình) </t>
  </si>
  <si>
    <t>Nắn, bó bột gãy 1/3 dưới hai xương cẳng chân  [bột liền]</t>
  </si>
  <si>
    <t>77 Tuổi</t>
  </si>
  <si>
    <t>59 Tuổi</t>
  </si>
  <si>
    <t>74 Tuổi</t>
  </si>
  <si>
    <t>17 Tuổi</t>
  </si>
  <si>
    <t>81 Tuổi</t>
  </si>
  <si>
    <t>Nắn, bó bột gãy một xương cẳng tay  [bột liền]</t>
  </si>
  <si>
    <t>46 Tuổi</t>
  </si>
  <si>
    <t>NGUYỄN THỊ NĂM</t>
  </si>
  <si>
    <t xml:space="preserve"> Nẹp bột các loại, không nắn (loại 2) </t>
  </si>
  <si>
    <t>18 Tuổi</t>
  </si>
  <si>
    <t xml:space="preserve"> Cắt chỉ kim loại </t>
  </si>
  <si>
    <t>TRƯƠNG VĂN ĐÁNG</t>
  </si>
  <si>
    <t>66 Tuổi</t>
  </si>
  <si>
    <t>Nắn, bó bột gãy xương bàn chân  [bột liền]</t>
  </si>
  <si>
    <t>21 Tuổi</t>
  </si>
  <si>
    <t>51 Tuổi</t>
  </si>
  <si>
    <t>53 Tuổi</t>
  </si>
  <si>
    <t xml:space="preserve"> Bột cẳng bàn chân không kéo nắn </t>
  </si>
  <si>
    <t>49 Tuổi</t>
  </si>
  <si>
    <t>76 Tuổi</t>
  </si>
  <si>
    <t>30 Tuổi</t>
  </si>
  <si>
    <t>36 Tuổi</t>
  </si>
  <si>
    <t>Nắn, bó bột gãy xương bàn, ngón tay [bột liền]</t>
  </si>
  <si>
    <t>79 Tuổi</t>
  </si>
  <si>
    <t>NGUYỄN VĂN ÚT</t>
  </si>
  <si>
    <t>Nắn, bó bột trật khớp vai [bột liền]</t>
  </si>
  <si>
    <t>26 Tuổi</t>
  </si>
  <si>
    <t>Thông bàng quang</t>
  </si>
  <si>
    <t>22 Tuổi</t>
  </si>
  <si>
    <t>NGUYỄN THỊ HỘI</t>
  </si>
  <si>
    <t>75 Tuổi</t>
  </si>
  <si>
    <t>Xét nghiệm đường máu mao mạch tại giường (một lần)</t>
  </si>
  <si>
    <t xml:space="preserve"> Chích rạch nhọt, Apxe nhỏ dẫn lưu </t>
  </si>
  <si>
    <t>Tiêm khớp gối</t>
  </si>
  <si>
    <t>Hút ổ viêm/áp xe phần mềm</t>
  </si>
  <si>
    <t>Hút dịch khớp gối</t>
  </si>
  <si>
    <t xml:space="preserve"> Cắt u nang bao hoạt dịch cổ tay/khuỷu </t>
  </si>
  <si>
    <t>Khâu vết thương phần mềm dài dưới 10 cm [tổn thương nông]</t>
  </si>
  <si>
    <t>Hút nang bao hoạt dịch</t>
  </si>
  <si>
    <t xml:space="preserve"> Tiêm gân Dequervein </t>
  </si>
  <si>
    <t xml:space="preserve"> Tiêm gân lồi cầu cánh tay trong/ngoài </t>
  </si>
  <si>
    <t>78 Tuổi</t>
  </si>
  <si>
    <t>Tiêm khớp cổ tay</t>
  </si>
  <si>
    <t>Phẫu thuật điều trị hội chứng ống cổ tay</t>
  </si>
  <si>
    <t xml:space="preserve"> Phẫu thuật điều trị ngón tay cò súng (1 ngón) </t>
  </si>
  <si>
    <t xml:space="preserve"> Phẫu thuật điều trị ngón tay cò súng (2 ngón) </t>
  </si>
  <si>
    <t xml:space="preserve"> Phẫu thuật cắt bỏ u phần mềm &lt;5cm </t>
  </si>
  <si>
    <t>Cắt u lành phần mềm đường kính dưới 10 cm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</si>
  <si>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</si>
  <si>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>Điều Tấn Kiệt</t>
  </si>
  <si>
    <t>Nguyễn Lê Duy Phong</t>
  </si>
  <si>
    <t>Trương Đại Lợi</t>
  </si>
  <si>
    <t>Nguyễn Chí Thanh</t>
  </si>
  <si>
    <t>Kiệt</t>
  </si>
  <si>
    <t xml:space="preserve"> </t>
  </si>
  <si>
    <t>DANH SÁCH LÃNH TIỀN THÙ LAO THÁNG 8/2025</t>
  </si>
  <si>
    <t>LÊ HỒNG QUANG</t>
  </si>
  <si>
    <t>LÂM THỊ BÉ HAI</t>
  </si>
  <si>
    <t>NGUYỄN THỊ MAI</t>
  </si>
  <si>
    <t>NGUYỄN THỊ BÉ</t>
  </si>
  <si>
    <t>VÕ QUỐC THẮNG</t>
  </si>
  <si>
    <t>VÕ HOÀNG KHIÊM</t>
  </si>
  <si>
    <t>PHẠM THỊ NHỎ</t>
  </si>
  <si>
    <t>NGÔ VIỆT HÙNG</t>
  </si>
  <si>
    <t>NGUYỄN VĂN THẠNH</t>
  </si>
  <si>
    <t>ĐÀO THỊ ĐỢI</t>
  </si>
  <si>
    <t>NGUYỄN VĂN TẤN</t>
  </si>
  <si>
    <t>TRẦN THỊ TUYẾT</t>
  </si>
  <si>
    <t>TRẦN THỊ HƯỜNG</t>
  </si>
  <si>
    <t>PHAN THANH LIÊM</t>
  </si>
  <si>
    <t>NGUYỄN MINH TUẤN</t>
  </si>
  <si>
    <t>NGUYỄN VĂN SANG</t>
  </si>
  <si>
    <t>NGUYỄN QUỐC NAM</t>
  </si>
  <si>
    <t>LÊ VĂN SƠN</t>
  </si>
  <si>
    <t>NGUYỄN KIM PHỤNG</t>
  </si>
  <si>
    <t>90 Tuổi</t>
  </si>
  <si>
    <t>NGUYỄN SƠN THÙY DUYÊN</t>
  </si>
  <si>
    <t>HUỲNH TRÚC LINH</t>
  </si>
  <si>
    <t>NGUYỄN LÊ ANH TÀI</t>
  </si>
  <si>
    <t>LÊ PHONG ĐẠT</t>
  </si>
  <si>
    <t>NGUYỄN THIỆN TUÂN</t>
  </si>
  <si>
    <t>BÙI THỊ THÚY PHƯỢNG</t>
  </si>
  <si>
    <t>LÂM THỊ HUỆ CHI</t>
  </si>
  <si>
    <t>VƯƠNG ĐỨC NGHĨA</t>
  </si>
  <si>
    <t>TRƯƠNG THỊ NIÊN</t>
  </si>
  <si>
    <t>TRƯƠNG HOÀNG LONG</t>
  </si>
  <si>
    <t>ĐÀO SƠN</t>
  </si>
  <si>
    <t>PHÙNG CHÍ KIÊN</t>
  </si>
  <si>
    <t>HUỲNH QUỐC TRIỀU</t>
  </si>
  <si>
    <t>VÕ VĂN NGHĨA</t>
  </si>
  <si>
    <t>NGUYỄN THỊ KIM PHỤNG</t>
  </si>
  <si>
    <t>85 Tuổi</t>
  </si>
  <si>
    <t>HOÀNG ANH NHẬT TRƯỜNG</t>
  </si>
  <si>
    <t>NGUYỄN HỒNG CHUYÊN</t>
  </si>
  <si>
    <t>NGUYỄN VĂN KHỞI</t>
  </si>
  <si>
    <t>VÕ THỊ DÙNG</t>
  </si>
  <si>
    <t>NGÔ VĂN CHÍ EM</t>
  </si>
  <si>
    <t>VÕ THỊ HỮU</t>
  </si>
  <si>
    <t>ĐINH THỊ KỲ</t>
  </si>
  <si>
    <t>NGUYỄN THÚY VY</t>
  </si>
  <si>
    <t>LƯU VĂN KHÁNH</t>
  </si>
  <si>
    <t>MINH VĂN HÙNG</t>
  </si>
  <si>
    <t>NGUYỄN HOÀNG GIANG</t>
  </si>
  <si>
    <t>VÕ MINH PHỤNG</t>
  </si>
  <si>
    <t>ĐOÀN THỊ MỸ</t>
  </si>
  <si>
    <t>ĐẶNG THỊ LIÊN</t>
  </si>
  <si>
    <t>NGUYỄN THỊ DUNG</t>
  </si>
  <si>
    <t>VÕ VĂN ĐIỀU</t>
  </si>
  <si>
    <t>TRẦN THỊ THANH NGA</t>
  </si>
  <si>
    <t>Cần Thơ, ngày 24 tháng 9 năm 2025</t>
  </si>
  <si>
    <t>Nguyễn Tư Thái Bảo</t>
  </si>
  <si>
    <t>Trần Nguyễn Anh Duy</t>
  </si>
  <si>
    <t>BS.TÂN</t>
  </si>
  <si>
    <t>THÁNG 9 NĂM 2025</t>
  </si>
  <si>
    <t>03/09/2025</t>
  </si>
  <si>
    <t>VŨ NGỌC HIỂN</t>
  </si>
  <si>
    <t>PHAN THANH TRUNG</t>
  </si>
  <si>
    <t>CAO THỊ XUÂN</t>
  </si>
  <si>
    <t>LỮ THỊ TẸN</t>
  </si>
  <si>
    <t>TRẦN THỊ HẾT</t>
  </si>
  <si>
    <t>NGUYỄN KIỆT</t>
  </si>
  <si>
    <t>04/09/2025</t>
  </si>
  <si>
    <t>ĐẶNG THANH DANH</t>
  </si>
  <si>
    <t>05/09/2025</t>
  </si>
  <si>
    <t>TRẦN ANH THI</t>
  </si>
  <si>
    <t>TRẦN QUAN TIẾN</t>
  </si>
  <si>
    <t>NGUYỄN THIỆN NHÂN</t>
  </si>
  <si>
    <t xml:space="preserve"> Cắt móng quặm 1 ngón </t>
  </si>
  <si>
    <t>MAI VĂN HOAN</t>
  </si>
  <si>
    <t>08/09/2025</t>
  </si>
  <si>
    <t>LƯƠNG THỊ KIM HÀ</t>
  </si>
  <si>
    <t xml:space="preserve"> Tiêm gân duỗi ngón tay </t>
  </si>
  <si>
    <t>09/09/2025</t>
  </si>
  <si>
    <t>ĐOÀN THỊ DIỆU EM</t>
  </si>
  <si>
    <t>NGUYỄN THỊ HỒNG DIỄM</t>
  </si>
  <si>
    <t>10/09/2025</t>
  </si>
  <si>
    <t>KOEM YOENG</t>
  </si>
  <si>
    <t>NGUYỄN THỊ BẠCH ĐIỆP</t>
  </si>
  <si>
    <t>NGUYỄN VĂN GHI</t>
  </si>
  <si>
    <t>HUỲNH HỒNG NHƯ</t>
  </si>
  <si>
    <t>11/09/2025</t>
  </si>
  <si>
    <t>KARUNANANTHAM KANISHKAR</t>
  </si>
  <si>
    <t>12/09/2025</t>
  </si>
  <si>
    <t>ÔN KIM PHÚC</t>
  </si>
  <si>
    <t>KHƯU NGỌC QUÝ</t>
  </si>
  <si>
    <t>TRẦN THỊ THU THỦY</t>
  </si>
  <si>
    <t>ĐỖ THỊ CẨM GIANG</t>
  </si>
  <si>
    <t>15/09/2025</t>
  </si>
  <si>
    <t>NGUYỄN THANH VÂN KHÁNH</t>
  </si>
  <si>
    <t>PHẠM HẢI TÙNG</t>
  </si>
  <si>
    <t>TÔ ANH THƯ</t>
  </si>
  <si>
    <t>16/09/2025</t>
  </si>
  <si>
    <t>NGUYỄN THỊ KIM CHI</t>
  </si>
  <si>
    <t>HỒ VĂN BÁ</t>
  </si>
  <si>
    <t>17/09/2025</t>
  </si>
  <si>
    <t>TRẦN KIỀU OANH</t>
  </si>
  <si>
    <t>LÊ VĂN LUÂN</t>
  </si>
  <si>
    <t>18/09/2025</t>
  </si>
  <si>
    <t>TRẦN VĂN NHANH</t>
  </si>
  <si>
    <t xml:space="preserve"> Khâu vết thương phần mềm nông dài &lt; 5cm </t>
  </si>
  <si>
    <t>22/09/2025</t>
  </si>
  <si>
    <t>NGUYỄN THỊ THU HÀ</t>
  </si>
  <si>
    <t>ĐINH VĂN PHI</t>
  </si>
  <si>
    <t>23/09/2025</t>
  </si>
  <si>
    <t>TRƯƠNG THỊ THU HUỆ</t>
  </si>
  <si>
    <t>KIỀU ANH KIỆT</t>
  </si>
  <si>
    <t>24/09/2025</t>
  </si>
  <si>
    <t>THẠCH TÂN THANH</t>
  </si>
  <si>
    <t xml:space="preserve"> Cắt u nang bao hoạt dịch cổ chân/bàn chân </t>
  </si>
  <si>
    <t>VŨ THỊ LOAN</t>
  </si>
  <si>
    <t>NGÔ THỊ XANH</t>
  </si>
  <si>
    <t>25/09/2025</t>
  </si>
  <si>
    <t>LÊ THỊ NGHĨA</t>
  </si>
  <si>
    <t>Tiêm gân gấp ngón tay</t>
  </si>
  <si>
    <t>NGUYỄN THỊ BÌNH</t>
  </si>
  <si>
    <t>NGUYỄN KIM THÔNG</t>
  </si>
  <si>
    <t>LÊ NỮ TRÀ MY</t>
  </si>
  <si>
    <t>29/09/2025</t>
  </si>
  <si>
    <t>HUỲNH THỊ NGỌC XUYẾN</t>
  </si>
  <si>
    <t>LÝ MỸ CHÂU</t>
  </si>
  <si>
    <t>30/09/2025</t>
  </si>
  <si>
    <t>MAI VĂN LUYỆN</t>
  </si>
  <si>
    <t>LÊ THỊ VÂN</t>
  </si>
  <si>
    <t>DƯ THỊ ĐIỂM</t>
  </si>
  <si>
    <t>TẠ NGỌC MAI</t>
  </si>
  <si>
    <t>QUÁCH LỆ THỦY</t>
  </si>
  <si>
    <t>NGÔ THỊ NGỌC LỜI</t>
  </si>
  <si>
    <t>NGUYỄN HỮU PHƯỚC</t>
  </si>
  <si>
    <t>PHẠM THỊ KIM HUỆ</t>
  </si>
  <si>
    <t>NGUYỄN VĂN LOÁN</t>
  </si>
  <si>
    <t>LÊ PHƯỚC THÀNH</t>
  </si>
  <si>
    <t>LÊ LONG HỒ</t>
  </si>
  <si>
    <t>HUỲNH THỊ HẰNG</t>
  </si>
  <si>
    <t>NGÔ THỊ KIM HOÀNG</t>
  </si>
  <si>
    <t>TRẦN THỊ KIM PHƯƠNG</t>
  </si>
  <si>
    <t>26/09/2025</t>
  </si>
  <si>
    <t>NGUYỄN THỊ DIỄM TRANG</t>
  </si>
  <si>
    <t>LÊ THỊ TUYẾT</t>
  </si>
  <si>
    <t>PHẠM THỊ SƯƠNG</t>
  </si>
  <si>
    <t>Phẫu thuật điều trị bệnh DE QUER VAIN và ngón tay cò súng [gây tê]</t>
  </si>
  <si>
    <t>TRẦN BÍCH DUYÊN</t>
  </si>
  <si>
    <t>NGUYỄN THỊ THE</t>
  </si>
  <si>
    <t>(THÁNG 9/2025)</t>
  </si>
  <si>
    <t>02/09/2025</t>
  </si>
  <si>
    <t>NGUYỄN THỊ NGỌC HUỆ</t>
  </si>
  <si>
    <t>TRẦN VĂN THẬM</t>
  </si>
  <si>
    <t>HUỲNH THỊ MUM</t>
  </si>
  <si>
    <t>NGUYỄN THỊ NHUNG</t>
  </si>
  <si>
    <t>PHAN THỊ BÊ</t>
  </si>
  <si>
    <t>NGUYỄN THANH GIÀU</t>
  </si>
  <si>
    <t>LÊ THỊ SÁU</t>
  </si>
  <si>
    <t>TRƯƠNG THỊ BÉ</t>
  </si>
  <si>
    <t>LÂM VĂN ĐƯỢC</t>
  </si>
  <si>
    <t>BIỆN VĂN KHẢI</t>
  </si>
  <si>
    <t>VÕ THỊ CHI</t>
  </si>
  <si>
    <t>PHAN VĂN DUYÊN</t>
  </si>
  <si>
    <t>100 Tuổi</t>
  </si>
  <si>
    <t>LÂM VĂN THỬ</t>
  </si>
  <si>
    <t>TRẦN HỮU NGHỊ</t>
  </si>
  <si>
    <t>20/09/2025</t>
  </si>
  <si>
    <t>NGUYỄN THỊ DÂN</t>
  </si>
  <si>
    <t>PHẠM THANH HÙNG</t>
  </si>
  <si>
    <t>NGUYỄN THỊ XƯƠNG</t>
  </si>
  <si>
    <t>NGUYỄN THỊ YẾN</t>
  </si>
  <si>
    <t>NGUYỄN THỊ DO</t>
  </si>
  <si>
    <t>HỒ THỊ HIỀN</t>
  </si>
  <si>
    <t>LƯƠNG THU VÂN</t>
  </si>
  <si>
    <t>NGUYỄN CÔNG THÌN</t>
  </si>
  <si>
    <t>NGUYỄN VĂN VŨ</t>
  </si>
  <si>
    <t>DƯƠNG THỊ ĐÀNH</t>
  </si>
  <si>
    <t>NGUYỄN THỊ ĐÈO</t>
  </si>
  <si>
    <t>VÕ THỊ HIỆP</t>
  </si>
  <si>
    <t>01/09/2025</t>
  </si>
  <si>
    <t>NGUYỄN THÀNH KHÁNH</t>
  </si>
  <si>
    <t>Nắn, bó bột gãy xương chày [bột liền]</t>
  </si>
  <si>
    <t>UNG VĂN ĐÚA</t>
  </si>
  <si>
    <t>NGUYỄN THÀNH TRUNG</t>
  </si>
  <si>
    <t>VĂNG TẤN HẠNH</t>
  </si>
  <si>
    <t>NGUYỄN THỊ ĐÀO</t>
  </si>
  <si>
    <t>NGUYỄN GIA THÀNH</t>
  </si>
  <si>
    <t>TRẦN THỊ ÁNH</t>
  </si>
  <si>
    <t>HUỲNH VĂN NU</t>
  </si>
  <si>
    <t>89 Tuổi</t>
  </si>
  <si>
    <t>NGUYỄN VĂN CỘI</t>
  </si>
  <si>
    <t>NGUYỄN PHƯƠNG MỘNG NGỌC</t>
  </si>
  <si>
    <t>NGUYỄN ĐÌNH LONG</t>
  </si>
  <si>
    <t>PHÙNG THẾ THIỆN</t>
  </si>
  <si>
    <t>TRƯƠNG THỊ CHÂU</t>
  </si>
  <si>
    <t xml:space="preserve"> Nắn bột cẳng bàn chân trong gãy xương bàn chân, ngón chân </t>
  </si>
  <si>
    <t>95 Tuổi</t>
  </si>
  <si>
    <t>Thay băng vết mổ [chiều dài từ trên 30 cm đến 50 cm]</t>
  </si>
  <si>
    <t>PHÙNG THỊ HOÀI THƠM</t>
  </si>
  <si>
    <t>06/09/2025</t>
  </si>
  <si>
    <t>UNG MINH THIỆN</t>
  </si>
  <si>
    <t>NGUYỄN THỊ KIẾM</t>
  </si>
  <si>
    <t>07/09/2025</t>
  </si>
  <si>
    <t>HỒ MINH LỘC</t>
  </si>
  <si>
    <t>LÊ TẤN</t>
  </si>
  <si>
    <t>HUỲNH MỸ HUỆ</t>
  </si>
  <si>
    <t>NGUYỄN VĂN ĐỨC</t>
  </si>
  <si>
    <t>NGUYỄN QUÝ MINH CHÂU</t>
  </si>
  <si>
    <t>VÕ THÀNH NGUYÊN</t>
  </si>
  <si>
    <t>ĐOÀN THỊ THÚY AN</t>
  </si>
  <si>
    <t>NGUYỄN THỊ MÉN</t>
  </si>
  <si>
    <t>LÊ DIỄM PHƯƠNG</t>
  </si>
  <si>
    <t>32 Tuổi</t>
  </si>
  <si>
    <t>HỒ NGUYỄN TÂM ANH</t>
  </si>
  <si>
    <t>LÊ VĂN TRÚC</t>
  </si>
  <si>
    <t>HUN RANY</t>
  </si>
  <si>
    <t>THÁI THỊ SÁU</t>
  </si>
  <si>
    <t>TRẦN THỊ KIM PHỤNG</t>
  </si>
  <si>
    <t>LÊ THỊ LUYẾN</t>
  </si>
  <si>
    <t>NGUYỄN KIM HOÀNG</t>
  </si>
  <si>
    <t>ÂU VĂN HÒA</t>
  </si>
  <si>
    <t>HUỲNH THỊ NGA</t>
  </si>
  <si>
    <t>LIÊN HOÀNG NGỌC PHƯỚC</t>
  </si>
  <si>
    <t>Nắn, bó bột trật khớp cổ chân [bột liền]</t>
  </si>
  <si>
    <t>HUỲNH THỊ ĐẸP</t>
  </si>
  <si>
    <t>NGUYỄN HOÀNG MẬU</t>
  </si>
  <si>
    <t>TRẦN PHAN CƯỜNG THỊNH</t>
  </si>
  <si>
    <t>NGUYỄN THỊ ÁNH LOAN</t>
  </si>
  <si>
    <t>Nắn, bó bột trật khớp gối [bột liền]</t>
  </si>
  <si>
    <t>NGUYỄN ÁI DUY</t>
  </si>
  <si>
    <t>VÕ THANH HẢI</t>
  </si>
  <si>
    <t>PHẠM THỊ TUYẾT TRINH</t>
  </si>
  <si>
    <t>Đặt ống thông dạ dày</t>
  </si>
  <si>
    <t>13/09/2025</t>
  </si>
  <si>
    <t>NGUYỄN TRẦN MINH ANH</t>
  </si>
  <si>
    <t>15 Tháng</t>
  </si>
  <si>
    <t>NGUYỄN TRỌNG LUẬT</t>
  </si>
  <si>
    <t>NGUYỄN THỊ TUYẾT MAI</t>
  </si>
  <si>
    <t>NGUYỄN VĂN TRƯỜNG</t>
  </si>
  <si>
    <t>TRẦN HOÀNG THANH</t>
  </si>
  <si>
    <t>TRẦN THẢO VY</t>
  </si>
  <si>
    <t>15 Tuổi</t>
  </si>
  <si>
    <t>LÊ MINH THÙY TRANG</t>
  </si>
  <si>
    <t>DIỆP THỊ TRÚC LỆ</t>
  </si>
  <si>
    <t>NGUYỄN TUẤN VŨ</t>
  </si>
  <si>
    <t>TRỊNH VĂN ĐỦ</t>
  </si>
  <si>
    <t>TRẦN THỊ NHÀN</t>
  </si>
  <si>
    <t>TRẦN VĂN ĐỨC</t>
  </si>
  <si>
    <t>TRẦN VĂN NĂM</t>
  </si>
  <si>
    <t>Chiếu tia Plasma lạnh điều trị vết thương hoặc vết mổ chiều dài ≤ 15cm</t>
  </si>
  <si>
    <t>TRẦN VĂN BÌNH AN</t>
  </si>
  <si>
    <t>14 Tuổi</t>
  </si>
  <si>
    <t>LƯU THỊ XIẾM EM</t>
  </si>
  <si>
    <t>19/09/2025</t>
  </si>
  <si>
    <t xml:space="preserve"> Nẹp bột các loại, không nắn (loại 3) </t>
  </si>
  <si>
    <t>TẠ NGỌC ÂN</t>
  </si>
  <si>
    <t>91 Tuổi</t>
  </si>
  <si>
    <t>NGUYỄN THỊ TÌM</t>
  </si>
  <si>
    <t>LONG VIBOL</t>
  </si>
  <si>
    <t>NGUYỄN VĂN VUI</t>
  </si>
  <si>
    <t>TRẦN MINH CƯỜNG</t>
  </si>
  <si>
    <t>NGÔ THỊ VÂN</t>
  </si>
  <si>
    <t>VŨ THẾ PHIÊU</t>
  </si>
  <si>
    <t>LÊ VÕ HOÀI ÂN</t>
  </si>
  <si>
    <t>21/09/2025</t>
  </si>
  <si>
    <t>NGUYỄN ĐỨC ANH</t>
  </si>
  <si>
    <t>TRẦN THỊ DIỆP</t>
  </si>
  <si>
    <t>TRẦN ĐÌNH KHAI</t>
  </si>
  <si>
    <t>LÊ HIẾU TÂM</t>
  </si>
  <si>
    <t>LÂM VĂN HÙNG</t>
  </si>
  <si>
    <t>NGUYỄN ĐĂNG KHÔI</t>
  </si>
  <si>
    <t>LÊ THỊ HOÀNG ANH</t>
  </si>
  <si>
    <t>NGUYỄN THỊ LỆ HẰNG</t>
  </si>
  <si>
    <t>ĐINH HOÀNG MÓM</t>
  </si>
  <si>
    <t>LÊ THỊ CẨM DUYÊN</t>
  </si>
  <si>
    <t>VÕ THỊ TUYẾT SƯƠNG</t>
  </si>
  <si>
    <t>NGUYỄN THỊ CANH</t>
  </si>
  <si>
    <t>83 Tuổi</t>
  </si>
  <si>
    <t>NGUYỄN THỊ ÁNH</t>
  </si>
  <si>
    <t>MAI LÝ NHƯ NGỌC</t>
  </si>
  <si>
    <t>NGUYỄN THỊ DẨU</t>
  </si>
  <si>
    <t>LÊ TRƯỜNG KIẾM</t>
  </si>
  <si>
    <t>NGUYỄN THỊ KIM PHƯỢNG</t>
  </si>
  <si>
    <t>NGUYỄN THỊ HỒNG</t>
  </si>
  <si>
    <t>NGUYỄN THỊ DUYÊN</t>
  </si>
  <si>
    <t>HÀ MỸ HẠNH</t>
  </si>
  <si>
    <t>VÕ THỊ NGỌC TUYẾT</t>
  </si>
  <si>
    <t>HUỲNH TRUNG LIỆT</t>
  </si>
  <si>
    <t>NGUYỄN THỊ MỸ HUYỀN</t>
  </si>
  <si>
    <t>PHẠM NGUYỄN QUỐC TOẠI</t>
  </si>
  <si>
    <t>NGUYỄN VĂN THIỆN</t>
  </si>
  <si>
    <t>NGUYỄN THỊ HỒNG NHAN</t>
  </si>
  <si>
    <t>NGUYỄN THỊ MÍNH</t>
  </si>
  <si>
    <t>TRẦN VĂN CÁO</t>
  </si>
  <si>
    <t>TỪ THỊ QUYÊN</t>
  </si>
  <si>
    <t>TRẦN GIA BẢO</t>
  </si>
  <si>
    <t>27/09/2025</t>
  </si>
  <si>
    <t>NGUYỄN VĂN AN</t>
  </si>
  <si>
    <t>28/09/2025</t>
  </si>
  <si>
    <t>LÝ THANH KIỆT</t>
  </si>
  <si>
    <t>Nắn, bó bột trật khớp khuỷu [bột liền]</t>
  </si>
  <si>
    <t>NGUYỄN THỊ LÚA</t>
  </si>
  <si>
    <t>ĐINH VĂN ĐANG</t>
  </si>
  <si>
    <t>PHÙNG TUẤN KIỆT</t>
  </si>
  <si>
    <t>LÊ ĐINH TRÍ</t>
  </si>
  <si>
    <t>BÙI VĂN ĐIỆP</t>
  </si>
  <si>
    <t>TRÀ THỊ BÍCH TUYỀN</t>
  </si>
  <si>
    <t>NGUYỄN THỊ THU NGÂN</t>
  </si>
  <si>
    <t>NGUYỄN THỊ BÍCH TRÂM</t>
  </si>
  <si>
    <t>NGUYỄN TẤN LỢI</t>
  </si>
  <si>
    <t>HUỲNH THỊ HỒNG NGA</t>
  </si>
  <si>
    <t>TRỊNH MINH KHANG</t>
  </si>
  <si>
    <t>NGUYỄN KIM EM</t>
  </si>
  <si>
    <t>Thay băng, cắt chỉ vết mổ [chiều dài trên 15cm đến 30 cm]</t>
  </si>
  <si>
    <t>TRẦN QUỐC TRẠNG</t>
  </si>
  <si>
    <t>TRẦN NGUYỄN ÁI TRIỂN</t>
  </si>
  <si>
    <t>V.TÂN</t>
  </si>
  <si>
    <t>TOẢN</t>
  </si>
  <si>
    <t>NGUYỆN</t>
  </si>
  <si>
    <t>TÚ</t>
  </si>
  <si>
    <t>HOAN</t>
  </si>
  <si>
    <t>ĐIỀN</t>
  </si>
  <si>
    <t>27/8/2025</t>
  </si>
  <si>
    <t>Trần Văn Thậm</t>
  </si>
  <si>
    <t>PT vá da diện tích &gt;10cm</t>
  </si>
  <si>
    <t>TT1</t>
  </si>
  <si>
    <t>Nguyễn Đình Long</t>
  </si>
  <si>
    <t>Cố định cột sống</t>
  </si>
  <si>
    <t>TTDB</t>
  </si>
  <si>
    <t>Văng Tấn Hạnh</t>
  </si>
  <si>
    <t>28/8/2025</t>
  </si>
  <si>
    <t>Huỳnh Văn Nu</t>
  </si>
  <si>
    <t xml:space="preserve"> PT thay khớp háng bán phần</t>
  </si>
  <si>
    <t>Ung Văn Đúa</t>
  </si>
  <si>
    <t>KHX trên màn hình tăng sáng</t>
  </si>
  <si>
    <t>DTDB</t>
  </si>
  <si>
    <t>29/8/2025</t>
  </si>
  <si>
    <t>Huỳnh Thị Mum</t>
  </si>
  <si>
    <t>30/8/2025</t>
  </si>
  <si>
    <t>Trần Thị Ánh</t>
  </si>
  <si>
    <t>01/9/2025</t>
  </si>
  <si>
    <t>Nguyễn Văn Thạnh</t>
  </si>
  <si>
    <t>03/9/2025</t>
  </si>
  <si>
    <t>Võ Thành Nguyên</t>
  </si>
  <si>
    <t>05/9/2025</t>
  </si>
  <si>
    <t>Huỳnh Mỹ Huệ</t>
  </si>
  <si>
    <t>PT giải phóng chèn ép thần kinh ngoại biên</t>
  </si>
  <si>
    <t>Phan Thị Bê</t>
  </si>
  <si>
    <t>PT thay khớp háng bán phần</t>
  </si>
  <si>
    <t>Nguyễn Kim Hoàng</t>
  </si>
  <si>
    <t>Thay toàn bộ khớp háng</t>
  </si>
  <si>
    <t>08/9/2025</t>
  </si>
  <si>
    <t>Lê Diễm Phương</t>
  </si>
  <si>
    <t>Nguyễn Ái Duy</t>
  </si>
  <si>
    <t>09/9/2025</t>
  </si>
  <si>
    <t>Phạm Thị Tuyết Trinh</t>
  </si>
  <si>
    <t>PT đóng cứng khớp cổ chân</t>
  </si>
  <si>
    <t>Lâm Văn Hùng</t>
  </si>
  <si>
    <t>Nguyễn Văn Trường</t>
  </si>
  <si>
    <t>Âu Văn Hòa</t>
  </si>
  <si>
    <t>Cắt u lành &gt;10cm</t>
  </si>
  <si>
    <t>10/9/2025</t>
  </si>
  <si>
    <t>Nguyễn Hoàng mậu</t>
  </si>
  <si>
    <t>PT tổn thương gân Achille</t>
  </si>
  <si>
    <t>Võ Thanh Hải</t>
  </si>
  <si>
    <t>PTNS tái tạo dây chằng</t>
  </si>
  <si>
    <t>11/9/2025</t>
  </si>
  <si>
    <t>Phan Văn Duyên</t>
  </si>
  <si>
    <t>Nguyễn Thị Tuyết Mai</t>
  </si>
  <si>
    <t>Trần Hoàng Thanh</t>
  </si>
  <si>
    <t>12/9/2025</t>
  </si>
  <si>
    <t>Lê Thị Sáu</t>
  </si>
  <si>
    <t>Tạo hình thân đốt sống bằng bơm cement sinh học có bóng</t>
  </si>
  <si>
    <t>Lê Minh Thùy Trang</t>
  </si>
  <si>
    <t>PTNS cắt sụn chêm</t>
  </si>
  <si>
    <t>Trần Hữu Nghị</t>
  </si>
  <si>
    <t>PTNS khâu chóp xoay</t>
  </si>
  <si>
    <t>13/9/2025</t>
  </si>
  <si>
    <t>Nguyễn Thị Yến</t>
  </si>
  <si>
    <t xml:space="preserve">PT thay toàn bộ khớp háng </t>
  </si>
  <si>
    <t>KHX trên màn hình tăng sáng (50%)</t>
  </si>
  <si>
    <t>15/9/2025</t>
  </si>
  <si>
    <t>Trần Văn Cáo</t>
  </si>
  <si>
    <t>Nguyễn Thị Xương</t>
  </si>
  <si>
    <t>16/9/2025</t>
  </si>
  <si>
    <t>Nguyễn Thị Bé</t>
  </si>
  <si>
    <t>Thay khớp háng bán phần</t>
  </si>
  <si>
    <t>17/9/2025</t>
  </si>
  <si>
    <t>Nguyễn Văn Tấn</t>
  </si>
  <si>
    <t>Lương Thu Vân</t>
  </si>
  <si>
    <t>PT thay toàn bộ khớp gối</t>
  </si>
  <si>
    <t>Nguyễn Thị Dân</t>
  </si>
  <si>
    <t xml:space="preserve">PT KHX trên màn hình tăng sáng </t>
  </si>
  <si>
    <t>18/9/2025</t>
  </si>
  <si>
    <t>Phạm Thanh Hùng</t>
  </si>
  <si>
    <t>Nguyễn Thị Hồng</t>
  </si>
  <si>
    <t>Thay khớp háng toàn phần</t>
  </si>
  <si>
    <t>19/9/2025</t>
  </si>
  <si>
    <t>Nguyễn Thị Do</t>
  </si>
  <si>
    <t>Nguyễn Thị Dẩu</t>
  </si>
  <si>
    <t>Nguyễn Đăng Khôi</t>
  </si>
  <si>
    <t>PT KHX trật đốt bàn ngón chân (tê)</t>
  </si>
  <si>
    <t>DT1</t>
  </si>
  <si>
    <t>Dương Thị Đành</t>
  </si>
  <si>
    <t xml:space="preserve">PT thay toàn bộ khớp gối </t>
  </si>
  <si>
    <t>22/9/2025</t>
  </si>
  <si>
    <t>Mai Lý Như Ngọc</t>
  </si>
  <si>
    <t>Từ Thị Quyên</t>
  </si>
  <si>
    <t>PT thay toàn bộ khớp háng (T)</t>
  </si>
  <si>
    <t>Lê Trường Kiếm</t>
  </si>
  <si>
    <t>23/9/2025</t>
  </si>
  <si>
    <t>Nguyễn Thị Mỹ Huyền</t>
  </si>
  <si>
    <t>Nguyễn Văn Thiện</t>
  </si>
  <si>
    <t>Khâu phục hồi tổn thương gân duỗi</t>
  </si>
  <si>
    <t>24/9/2025</t>
  </si>
  <si>
    <t>Phạm Nguyễn Quốc Toại</t>
  </si>
  <si>
    <t>Phùng Tuấn Kiệt</t>
  </si>
  <si>
    <t>NS tái tạo dây chằng</t>
  </si>
  <si>
    <t>Nguyễn Thị Đèo</t>
  </si>
  <si>
    <t>25/9/2025</t>
  </si>
  <si>
    <t>Lê Đinh Trí</t>
  </si>
  <si>
    <t>Bùi Văn Điệp</t>
  </si>
  <si>
    <t>26/9/2025</t>
  </si>
  <si>
    <t>Nguyễn Công Thìn</t>
  </si>
  <si>
    <t>PT thay khớp háng toàn phần</t>
  </si>
  <si>
    <t>27/9/2025</t>
  </si>
  <si>
    <t>Trịnh Minh Khang</t>
  </si>
  <si>
    <t>TẤN</t>
  </si>
  <si>
    <t>ĐAN</t>
  </si>
  <si>
    <t>NGUYÊN</t>
  </si>
  <si>
    <t>VINH</t>
  </si>
  <si>
    <t>Q.TẤN</t>
  </si>
  <si>
    <t>HẬU</t>
  </si>
  <si>
    <t>ĐỨC</t>
  </si>
  <si>
    <t>TUẤN</t>
  </si>
  <si>
    <t>PHONG</t>
  </si>
  <si>
    <t>LỢI</t>
  </si>
  <si>
    <t>KIỆT</t>
  </si>
  <si>
    <t>HÀO</t>
  </si>
  <si>
    <t>THANH</t>
  </si>
  <si>
    <t>THIỆN</t>
  </si>
  <si>
    <t>NGHIÊM</t>
  </si>
  <si>
    <t>LINH</t>
  </si>
  <si>
    <t>15/8/2025</t>
  </si>
  <si>
    <t>Nguyễn Thị Nhung</t>
  </si>
  <si>
    <t>Lấy dụng cụ KHX</t>
  </si>
  <si>
    <t>DT2</t>
  </si>
  <si>
    <t>18/8/2025</t>
  </si>
  <si>
    <t>Cắt lọc, đặt VAC</t>
  </si>
  <si>
    <t>TT2</t>
  </si>
  <si>
    <t>19/8/2025</t>
  </si>
  <si>
    <t>Cắt lọc</t>
  </si>
  <si>
    <t>21/8/2025</t>
  </si>
  <si>
    <t>Cắt lọc hoại tử ổ loét vết thương mạn tính</t>
  </si>
  <si>
    <t>22/8/2025</t>
  </si>
  <si>
    <t>24/8/2025</t>
  </si>
  <si>
    <t>Cắt lọc ổ loét, khâu kín</t>
  </si>
  <si>
    <t>25/8/2025</t>
  </si>
  <si>
    <t>Lê Hồng Quang</t>
  </si>
  <si>
    <t>PT làm mỏm cụt ngón và đốt bàn ngón</t>
  </si>
  <si>
    <t>02/9/2025</t>
  </si>
  <si>
    <t>Nguyễn Văn Đức</t>
  </si>
  <si>
    <t>PT vết thương phần mềm đơn giản</t>
  </si>
  <si>
    <t>Trịnh Văn Đủ</t>
  </si>
  <si>
    <t>Trần Văn Đức</t>
  </si>
  <si>
    <t>Lê Tấn</t>
  </si>
  <si>
    <t>07/9/2025</t>
  </si>
  <si>
    <t>Hồ Nguyễn Tâm Anh</t>
  </si>
  <si>
    <t>Lâm Văn Thử</t>
  </si>
  <si>
    <t>PT cắt cụt chi</t>
  </si>
  <si>
    <t>Nguyễn Văn Beo</t>
  </si>
  <si>
    <t>Trần Thảo Vy</t>
  </si>
  <si>
    <t>Cắt u xương</t>
  </si>
  <si>
    <t>Hồ Thị Hiền</t>
  </si>
  <si>
    <t>Trần Văn Năm</t>
  </si>
  <si>
    <t>Lấy dụng cụ</t>
  </si>
  <si>
    <t>Lưu Thị Xiếm Em</t>
  </si>
  <si>
    <t>Rút đinh, tháo phẫu thuật KHX</t>
  </si>
  <si>
    <t>Nguyễn Minh Tuấn</t>
  </si>
  <si>
    <t>21/9/2025</t>
  </si>
  <si>
    <t>Biện Văn Khải</t>
  </si>
  <si>
    <t>Lê Thị Cẩm Duyên</t>
  </si>
  <si>
    <t>Dương Thị Thơ</t>
  </si>
  <si>
    <t>Lê Thị Mận</t>
  </si>
  <si>
    <t>CÔNG</t>
  </si>
  <si>
    <t>23/8/2024</t>
  </si>
  <si>
    <t>Nguyễn Thành Trung</t>
  </si>
  <si>
    <t>PT KHX mác đơn thuần</t>
  </si>
  <si>
    <t>TP</t>
  </si>
  <si>
    <t>Phùng Thế Thiện</t>
  </si>
  <si>
    <t>Hun Rany</t>
  </si>
  <si>
    <t>PT thoát vị đĩa đệm</t>
  </si>
  <si>
    <t>Nguyễn Thanh Giàu</t>
  </si>
  <si>
    <t>PT vá da diện tích &gt; 10cm2</t>
  </si>
  <si>
    <t>Lê Thị Luyến</t>
  </si>
  <si>
    <t>Cắt u lành &lt; 10cm</t>
  </si>
  <si>
    <t>Cắt ngón tay thừa</t>
  </si>
  <si>
    <t>Long VIBOL</t>
  </si>
  <si>
    <t>Lấy nhân đệm qua da</t>
  </si>
  <si>
    <t>Lê Thị Hoàng Anh</t>
  </si>
  <si>
    <t>PT KHX gãy đầu dưới xương quay</t>
  </si>
  <si>
    <t>Đinh Văn Đang</t>
  </si>
  <si>
    <t>Nguyễn Văn Vũ</t>
  </si>
  <si>
    <t>Mở cung sau cột sống ngực</t>
  </si>
  <si>
    <t>THUYẾT</t>
  </si>
  <si>
    <t>DANH SÁCH LÃNH TIỀN THÙ LAO THÁNG 9/2025</t>
  </si>
  <si>
    <t>Cần Thơ, ngày 21 tháng 10 năm 2025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</si>
  <si>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</si>
  <si>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</si>
  <si>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</si>
  <si>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</si>
  <si>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</si>
  <si>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</si>
  <si>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</si>
  <si>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Cần Thơ, Ngày 21 tháng 10 năm 2025</t>
  </si>
  <si>
    <t>101883256042</t>
  </si>
  <si>
    <t>DANH SÁCH LÃNH TIỀN THÙ LAO THÁNG 09/2025</t>
  </si>
  <si>
    <t>DANH SÁCH LÃNH TIỀN PHẪU THUẬT THEO YÊU CẦU THÁNG 9/2025</t>
  </si>
  <si>
    <t>BS.TẤN</t>
  </si>
  <si>
    <t>BS.NGUYỆN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</si>
</sst>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8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2"/>
      <color rgb="FF081B3A"/>
      <name val="Times New Roman"/>
      <family val="1"/>
      <scheme val="major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EE0000"/>
      <name val="Times New Roman"/>
      <family val="1"/>
    </font>
    <font>
      <sz val="12"/>
      <name val="Times New Roman"/>
      <family val="1"/>
      <scheme val="major"/>
    </font>
    <font>
      <sz val="9"/>
      <color theme="1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2"/>
      <color rgb="FF081B3A"/>
      <name val="Times New Roman"/>
      <family val="1"/>
    </font>
    <font>
      <sz val="10"/>
      <name val="Times New Roman"/>
      <family val="1"/>
      <charset val="163"/>
    </font>
    <font>
      <b/>
      <sz val="13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67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165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165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0" fillId="0" borderId="9" xfId="61" applyFont="1" applyBorder="1" applyAlignment="1">
      <alignment horizontal="center" vertical="center" wrapText="1"/>
    </xf>
    <xf numFmtId="165" fontId="57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5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5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58" fillId="0" borderId="9" xfId="61" applyFont="1" applyBorder="1" applyAlignment="1">
      <alignment horizontal="center" vertical="center" wrapText="1"/>
    </xf>
    <xf numFmtId="0" fontId="58" fillId="0" borderId="9" xfId="44" applyFont="1" applyBorder="1" applyAlignment="1">
      <alignment horizontal="center" vertical="center" wrapText="1" shrinkToFit="1"/>
    </xf>
    <xf numFmtId="3" fontId="58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58" fillId="0" borderId="9" xfId="62" applyNumberFormat="1" applyFont="1" applyFill="1" applyBorder="1" applyAlignment="1">
      <alignment horizontal="center"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0" fillId="0" borderId="9" xfId="61" applyFont="1" applyBorder="1" applyAlignment="1">
      <alignment vertical="center" wrapText="1"/>
    </xf>
    <xf numFmtId="3" fontId="60" fillId="0" borderId="9" xfId="62" applyNumberFormat="1" applyFont="1" applyFill="1" applyBorder="1" applyAlignment="1">
      <alignment vertical="center" wrapText="1"/>
    </xf>
    <xf numFmtId="165" fontId="60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0" fontId="58" fillId="0" borderId="9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172" fontId="65" fillId="0" borderId="9" xfId="62" applyNumberFormat="1" applyFont="1" applyFill="1" applyBorder="1" applyAlignment="1">
      <alignment horizontal="center" vertical="center" wrapTex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5" fontId="50" fillId="0" borderId="9" xfId="28" applyFont="1" applyFill="1" applyBorder="1" applyAlignment="1">
      <alignment horizontal="center" vertical="center" shrinkToFit="1"/>
    </xf>
    <xf numFmtId="165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5" fontId="50" fillId="0" borderId="9" xfId="28" applyFont="1" applyBorder="1" applyAlignment="1">
      <alignment horizontal="center" vertical="center"/>
    </xf>
    <xf numFmtId="164" fontId="10" fillId="0" borderId="9" xfId="28" applyNumberFormat="1" applyFont="1" applyBorder="1" applyAlignment="1">
      <alignment vertical="center"/>
    </xf>
    <xf numFmtId="164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5" fontId="10" fillId="0" borderId="9" xfId="0" applyNumberFormat="1" applyFont="1" applyBorder="1" applyAlignment="1">
      <alignment horizontal="right" vertical="center" wrapText="1"/>
    </xf>
    <xf numFmtId="165" fontId="66" fillId="0" borderId="9" xfId="0" applyNumberFormat="1" applyFont="1" applyBorder="1"/>
    <xf numFmtId="165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3" fontId="10" fillId="0" borderId="0" xfId="28" applyNumberFormat="1" applyFont="1" applyFill="1" applyAlignment="1"/>
    <xf numFmtId="0" fontId="60" fillId="24" borderId="9" xfId="61" applyFont="1" applyFill="1" applyBorder="1" applyAlignment="1">
      <alignment horizontal="left" vertical="center" wrapText="1"/>
    </xf>
    <xf numFmtId="164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4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8" fillId="0" borderId="9" xfId="0" applyFont="1" applyBorder="1" applyAlignment="1">
      <alignment horizontal="center" vertical="center"/>
    </xf>
    <xf numFmtId="3" fontId="68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9" fillId="0" borderId="0" xfId="0" applyFont="1" applyAlignment="1">
      <alignment vertical="top"/>
    </xf>
    <xf numFmtId="49" fontId="70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164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42" fillId="0" borderId="0" xfId="28" applyFont="1" applyAlignment="1">
      <alignment horizontal="center" shrinkToFit="1"/>
    </xf>
    <xf numFmtId="165" fontId="50" fillId="0" borderId="0" xfId="28" applyFont="1" applyAlignment="1"/>
    <xf numFmtId="165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5" fontId="64" fillId="0" borderId="0" xfId="62" applyFont="1" applyFill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5" borderId="9" xfId="0" applyFont="1" applyFill="1" applyBorder="1" applyAlignment="1">
      <alignment vertical="center" wrapText="1"/>
    </xf>
    <xf numFmtId="165" fontId="4" fillId="25" borderId="9" xfId="28" applyFont="1" applyFill="1" applyBorder="1" applyAlignment="1">
      <alignment horizontal="center" vertical="center"/>
    </xf>
    <xf numFmtId="1" fontId="71" fillId="25" borderId="9" xfId="0" applyNumberFormat="1" applyFont="1" applyFill="1" applyBorder="1" applyAlignment="1">
      <alignment horizontal="center"/>
    </xf>
    <xf numFmtId="164" fontId="10" fillId="25" borderId="9" xfId="28" applyNumberFormat="1" applyFont="1" applyFill="1" applyBorder="1" applyAlignment="1">
      <alignment vertical="center"/>
    </xf>
    <xf numFmtId="3" fontId="10" fillId="25" borderId="9" xfId="28" applyNumberFormat="1" applyFont="1" applyFill="1" applyBorder="1" applyAlignment="1">
      <alignment horizontal="center" vertical="center"/>
    </xf>
    <xf numFmtId="164" fontId="10" fillId="25" borderId="9" xfId="0" applyNumberFormat="1" applyFont="1" applyFill="1" applyBorder="1"/>
    <xf numFmtId="164" fontId="37" fillId="25" borderId="0" xfId="0" applyNumberFormat="1" applyFont="1" applyFill="1" applyAlignment="1">
      <alignment horizontal="left" vertical="center"/>
    </xf>
    <xf numFmtId="164" fontId="37" fillId="25" borderId="0" xfId="0" applyNumberFormat="1" applyFont="1" applyFill="1" applyAlignment="1">
      <alignment vertical="center"/>
    </xf>
    <xf numFmtId="0" fontId="37" fillId="25" borderId="0" xfId="0" applyFont="1" applyFill="1"/>
    <xf numFmtId="164" fontId="37" fillId="26" borderId="0" xfId="0" applyNumberFormat="1" applyFont="1" applyFill="1" applyAlignment="1">
      <alignment horizontal="left" vertical="center"/>
    </xf>
    <xf numFmtId="164" fontId="37" fillId="26" borderId="0" xfId="0" applyNumberFormat="1" applyFont="1" applyFill="1" applyAlignment="1">
      <alignment vertical="center"/>
    </xf>
    <xf numFmtId="0" fontId="10" fillId="0" borderId="9" xfId="0" applyFont="1" applyBorder="1" applyAlignment="1">
      <alignment shrinkToFit="1"/>
    </xf>
    <xf numFmtId="49" fontId="72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49" fontId="44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0" fontId="69" fillId="0" borderId="9" xfId="0" applyFont="1" applyBorder="1" applyAlignment="1">
      <alignment vertical="center" shrinkToFit="1"/>
    </xf>
    <xf numFmtId="0" fontId="73" fillId="0" borderId="9" xfId="0" applyFont="1" applyBorder="1" applyAlignment="1">
      <alignment vertical="center" shrinkToFit="1"/>
    </xf>
    <xf numFmtId="165" fontId="69" fillId="0" borderId="9" xfId="0" applyNumberFormat="1" applyFont="1" applyBorder="1" applyAlignment="1">
      <alignment vertical="center" shrinkToFit="1"/>
    </xf>
    <xf numFmtId="165" fontId="69" fillId="0" borderId="9" xfId="0" applyNumberFormat="1" applyFont="1" applyBorder="1" applyAlignment="1">
      <alignment horizontal="center" vertical="center" shrinkToFit="1"/>
    </xf>
    <xf numFmtId="3" fontId="69" fillId="0" borderId="9" xfId="28" applyNumberFormat="1" applyFont="1" applyFill="1" applyBorder="1" applyAlignment="1">
      <alignment horizontal="center" vertical="center" shrinkToFit="1"/>
    </xf>
    <xf numFmtId="3" fontId="69" fillId="0" borderId="9" xfId="28" applyNumberFormat="1" applyFont="1" applyFill="1" applyBorder="1" applyAlignment="1">
      <alignment horizontal="left" vertical="center" shrinkToFit="1"/>
    </xf>
    <xf numFmtId="3" fontId="69" fillId="0" borderId="9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  <xf numFmtId="16" fontId="75" fillId="0" borderId="0" xfId="0" applyNumberFormat="1" applyFont="1" applyAlignment="1">
      <alignment vertical="center"/>
    </xf>
    <xf numFmtId="0" fontId="75" fillId="0" borderId="0" xfId="0" applyFont="1" applyAlignment="1">
      <alignment vertical="center"/>
    </xf>
    <xf numFmtId="164" fontId="10" fillId="0" borderId="18" xfId="0" applyNumberFormat="1" applyFont="1" applyBorder="1" applyAlignment="1">
      <alignment horizontal="center" vertical="center" shrinkToFit="1"/>
    </xf>
    <xf numFmtId="3" fontId="68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1" fontId="10" fillId="0" borderId="9" xfId="64" applyNumberFormat="1" applyFont="1" applyBorder="1" applyAlignment="1">
      <alignment horizontal="center" vertical="center"/>
    </xf>
    <xf numFmtId="49" fontId="76" fillId="0" borderId="0" xfId="0" applyNumberFormat="1" applyFont="1" applyAlignment="1">
      <alignment horizontal="center" vertical="center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60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10" fillId="25" borderId="9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5" fontId="4" fillId="26" borderId="9" xfId="28" applyFont="1" applyFill="1" applyBorder="1" applyAlignment="1">
      <alignment horizontal="center" vertical="center"/>
    </xf>
    <xf numFmtId="1" fontId="71" fillId="26" borderId="9" xfId="0" applyNumberFormat="1" applyFont="1" applyFill="1" applyBorder="1" applyAlignment="1">
      <alignment horizontal="center"/>
    </xf>
    <xf numFmtId="164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4" fontId="10" fillId="26" borderId="9" xfId="0" applyNumberFormat="1" applyFont="1" applyFill="1" applyBorder="1"/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5" fontId="4" fillId="27" borderId="9" xfId="28" applyFont="1" applyFill="1" applyBorder="1" applyAlignment="1">
      <alignment horizontal="center" vertical="center"/>
    </xf>
    <xf numFmtId="1" fontId="71" fillId="27" borderId="9" xfId="0" applyNumberFormat="1" applyFont="1" applyFill="1" applyBorder="1" applyAlignment="1">
      <alignment horizontal="center"/>
    </xf>
    <xf numFmtId="164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4" fontId="10" fillId="27" borderId="9" xfId="0" applyNumberFormat="1" applyFont="1" applyFill="1" applyBorder="1"/>
    <xf numFmtId="164" fontId="37" fillId="27" borderId="0" xfId="0" applyNumberFormat="1" applyFont="1" applyFill="1" applyAlignment="1">
      <alignment horizontal="left" vertical="center"/>
    </xf>
    <xf numFmtId="164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5" fontId="4" fillId="28" borderId="9" xfId="28" applyFont="1" applyFill="1" applyBorder="1" applyAlignment="1">
      <alignment horizontal="center" vertical="center"/>
    </xf>
    <xf numFmtId="1" fontId="71" fillId="28" borderId="9" xfId="0" applyNumberFormat="1" applyFont="1" applyFill="1" applyBorder="1" applyAlignment="1">
      <alignment horizontal="center"/>
    </xf>
    <xf numFmtId="164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4" fontId="10" fillId="28" borderId="9" xfId="0" applyNumberFormat="1" applyFont="1" applyFill="1" applyBorder="1"/>
    <xf numFmtId="164" fontId="37" fillId="28" borderId="0" xfId="0" applyNumberFormat="1" applyFont="1" applyFill="1" applyAlignment="1">
      <alignment horizontal="left" vertical="center"/>
    </xf>
    <xf numFmtId="164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0" fontId="44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0" fontId="74" fillId="0" borderId="9" xfId="71" applyFont="1" applyBorder="1" applyAlignment="1">
      <alignment horizontal="center" vertical="center"/>
    </xf>
    <xf numFmtId="0" fontId="68" fillId="0" borderId="9" xfId="0" applyFont="1" applyBorder="1" applyAlignment="1">
      <alignment horizontal="left" vertical="top"/>
    </xf>
    <xf numFmtId="3" fontId="10" fillId="0" borderId="0" xfId="28" applyNumberFormat="1" applyFont="1" applyFill="1" applyAlignment="1">
      <alignment horizontal="center" vertical="center" wrapText="1"/>
    </xf>
    <xf numFmtId="49" fontId="77" fillId="0" borderId="9" xfId="0" applyNumberFormat="1" applyFont="1" applyBorder="1" applyAlignment="1">
      <alignment horizontal="center" vertical="center"/>
    </xf>
    <xf numFmtId="0" fontId="77" fillId="0" borderId="9" xfId="0" applyFont="1" applyBorder="1" applyAlignment="1">
      <alignment vertical="center"/>
    </xf>
    <xf numFmtId="0" fontId="77" fillId="0" borderId="9" xfId="0" applyFont="1" applyBorder="1" applyAlignment="1">
      <alignment horizontal="center" vertical="center"/>
    </xf>
    <xf numFmtId="3" fontId="77" fillId="0" borderId="9" xfId="0" applyNumberFormat="1" applyFont="1" applyBorder="1" applyAlignment="1">
      <alignment vertical="center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49" fontId="44" fillId="0" borderId="9" xfId="0" applyNumberFormat="1" applyFont="1" applyBorder="1" applyAlignment="1">
      <alignment horizontal="center" vertical="center" wrapText="1"/>
    </xf>
    <xf numFmtId="49" fontId="44" fillId="0" borderId="9" xfId="62" applyNumberFormat="1" applyFont="1" applyFill="1" applyBorder="1" applyAlignment="1">
      <alignment horizontal="center" vertical="center"/>
    </xf>
    <xf numFmtId="173" fontId="37" fillId="0" borderId="9" xfId="28" applyNumberFormat="1" applyFont="1" applyFill="1" applyBorder="1" applyAlignment="1">
      <alignment horizontal="center" vertical="center"/>
    </xf>
    <xf numFmtId="37" fontId="37" fillId="0" borderId="9" xfId="62" applyNumberFormat="1" applyFont="1" applyFill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/>
    </xf>
    <xf numFmtId="173" fontId="49" fillId="0" borderId="9" xfId="28" applyNumberFormat="1" applyFont="1" applyFill="1" applyBorder="1" applyAlignment="1">
      <alignment horizontal="center"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173" fontId="37" fillId="0" borderId="9" xfId="28" applyNumberFormat="1" applyFont="1" applyFill="1" applyBorder="1" applyAlignment="1">
      <alignment horizontal="left" vertical="center"/>
    </xf>
    <xf numFmtId="14" fontId="37" fillId="0" borderId="9" xfId="0" applyNumberFormat="1" applyFont="1" applyBorder="1" applyAlignment="1">
      <alignment horizontal="center" vertical="center" wrapText="1"/>
    </xf>
    <xf numFmtId="2" fontId="44" fillId="0" borderId="9" xfId="0" applyNumberFormat="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center" vertical="center" shrinkToFit="1"/>
    </xf>
    <xf numFmtId="14" fontId="79" fillId="0" borderId="0" xfId="0" applyNumberFormat="1" applyFont="1" applyAlignment="1">
      <alignment horizontal="center" vertical="center" wrapText="1"/>
    </xf>
    <xf numFmtId="49" fontId="79" fillId="0" borderId="0" xfId="0" applyNumberFormat="1" applyFont="1" applyAlignment="1">
      <alignment horizontal="left" vertical="center" wrapText="1"/>
    </xf>
    <xf numFmtId="2" fontId="79" fillId="0" borderId="0" xfId="0" applyNumberFormat="1" applyFont="1" applyAlignment="1">
      <alignment horizontal="left" vertical="center" wrapText="1"/>
    </xf>
    <xf numFmtId="3" fontId="79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1" fontId="80" fillId="0" borderId="0" xfId="0" applyNumberFormat="1" applyFont="1" applyAlignment="1">
      <alignment horizontal="center"/>
    </xf>
    <xf numFmtId="1" fontId="80" fillId="0" borderId="9" xfId="0" applyNumberFormat="1" applyFont="1" applyBorder="1" applyAlignment="1">
      <alignment horizontal="center"/>
    </xf>
    <xf numFmtId="1" fontId="72" fillId="0" borderId="9" xfId="0" applyNumberFormat="1" applyFont="1" applyBorder="1" applyAlignment="1">
      <alignment horizontal="center" vertical="center"/>
    </xf>
    <xf numFmtId="0" fontId="58" fillId="0" borderId="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vertical="center" shrinkToFit="1"/>
    </xf>
    <xf numFmtId="0" fontId="10" fillId="29" borderId="9" xfId="0" applyFont="1" applyFill="1" applyBorder="1" applyAlignment="1">
      <alignment horizontal="center" vertical="center" wrapText="1"/>
    </xf>
    <xf numFmtId="0" fontId="4" fillId="29" borderId="9" xfId="0" applyFont="1" applyFill="1" applyBorder="1" applyAlignment="1">
      <alignment vertical="center" wrapText="1"/>
    </xf>
    <xf numFmtId="165" fontId="4" fillId="29" borderId="9" xfId="28" applyFont="1" applyFill="1" applyBorder="1" applyAlignment="1">
      <alignment horizontal="center" vertical="center"/>
    </xf>
    <xf numFmtId="1" fontId="71" fillId="29" borderId="9" xfId="0" applyNumberFormat="1" applyFont="1" applyFill="1" applyBorder="1" applyAlignment="1">
      <alignment horizontal="center"/>
    </xf>
    <xf numFmtId="164" fontId="10" fillId="29" borderId="9" xfId="28" applyNumberFormat="1" applyFont="1" applyFill="1" applyBorder="1" applyAlignment="1">
      <alignment vertical="center"/>
    </xf>
    <xf numFmtId="3" fontId="10" fillId="29" borderId="9" xfId="28" applyNumberFormat="1" applyFont="1" applyFill="1" applyBorder="1" applyAlignment="1">
      <alignment horizontal="center" vertical="center"/>
    </xf>
    <xf numFmtId="164" fontId="10" fillId="29" borderId="9" xfId="0" applyNumberFormat="1" applyFont="1" applyFill="1" applyBorder="1"/>
    <xf numFmtId="164" fontId="37" fillId="29" borderId="0" xfId="0" applyNumberFormat="1" applyFont="1" applyFill="1" applyAlignment="1">
      <alignment horizontal="left" vertical="center"/>
    </xf>
    <xf numFmtId="164" fontId="37" fillId="29" borderId="0" xfId="0" applyNumberFormat="1" applyFont="1" applyFill="1" applyAlignment="1">
      <alignment vertical="center"/>
    </xf>
    <xf numFmtId="0" fontId="37" fillId="29" borderId="0" xfId="0" applyFont="1" applyFill="1"/>
    <xf numFmtId="165" fontId="37" fillId="24" borderId="0" xfId="28" applyFont="1" applyFill="1" applyAlignment="1">
      <alignment horizontal="left" shrinkToFit="1"/>
    </xf>
    <xf numFmtId="164" fontId="37" fillId="0" borderId="0" xfId="0" applyNumberFormat="1" applyFont="1" applyAlignment="1">
      <alignment vertical="center" shrinkToFit="1"/>
    </xf>
    <xf numFmtId="0" fontId="58" fillId="24" borderId="9" xfId="44" applyFont="1" applyFill="1" applyBorder="1" applyAlignment="1">
      <alignment horizontal="center" vertical="center" wrapText="1" shrinkToFit="1"/>
    </xf>
    <xf numFmtId="3" fontId="58" fillId="24" borderId="9" xfId="62" applyNumberFormat="1" applyFont="1" applyFill="1" applyBorder="1" applyAlignment="1">
      <alignment horizontal="center" vertical="center" wrapText="1"/>
    </xf>
    <xf numFmtId="3" fontId="58" fillId="24" borderId="9" xfId="61" applyNumberFormat="1" applyFont="1" applyFill="1" applyBorder="1" applyAlignment="1">
      <alignment horizontal="center" vertical="center" wrapText="1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0" fontId="77" fillId="0" borderId="9" xfId="0" applyFont="1" applyBorder="1" applyAlignment="1">
      <alignment vertical="center" wrapText="1"/>
    </xf>
    <xf numFmtId="0" fontId="49" fillId="24" borderId="9" xfId="61" applyFont="1" applyFill="1" applyBorder="1" applyAlignment="1">
      <alignment horizontal="center" vertical="center" wrapText="1"/>
    </xf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9" fillId="0" borderId="9" xfId="0" applyFont="1" applyBorder="1" applyAlignment="1">
      <alignment vertical="top" wrapText="1"/>
    </xf>
    <xf numFmtId="0" fontId="69" fillId="24" borderId="9" xfId="0" applyFont="1" applyFill="1" applyBorder="1" applyAlignment="1">
      <alignment vertical="top" wrapText="1"/>
    </xf>
    <xf numFmtId="0" fontId="4" fillId="0" borderId="18" xfId="0" applyFont="1" applyBorder="1" applyAlignment="1">
      <alignment vertical="center" wrapText="1"/>
    </xf>
    <xf numFmtId="165" fontId="4" fillId="0" borderId="18" xfId="28" applyFont="1" applyFill="1" applyBorder="1" applyAlignment="1">
      <alignment horizontal="center" vertical="center"/>
    </xf>
    <xf numFmtId="3" fontId="10" fillId="0" borderId="18" xfId="28" applyNumberFormat="1" applyFont="1" applyFill="1" applyBorder="1" applyAlignment="1">
      <alignment horizontal="center" vertical="center" shrinkToFit="1"/>
    </xf>
    <xf numFmtId="164" fontId="4" fillId="0" borderId="0" xfId="28" applyNumberFormat="1" applyFont="1" applyBorder="1" applyAlignment="1">
      <alignment horizontal="center"/>
    </xf>
    <xf numFmtId="1" fontId="80" fillId="0" borderId="0" xfId="0" applyNumberFormat="1" applyFont="1" applyAlignment="1">
      <alignment horizontal="center" vertical="center"/>
    </xf>
    <xf numFmtId="49" fontId="72" fillId="0" borderId="9" xfId="0" applyNumberFormat="1" applyFont="1" applyBorder="1" applyAlignment="1">
      <alignment horizontal="center" vertical="center"/>
    </xf>
    <xf numFmtId="49" fontId="72" fillId="0" borderId="9" xfId="0" applyNumberFormat="1" applyFont="1" applyBorder="1" applyAlignment="1">
      <alignment vertical="center"/>
    </xf>
    <xf numFmtId="0" fontId="45" fillId="0" borderId="9" xfId="0" applyFont="1" applyBorder="1" applyAlignment="1">
      <alignment horizontal="left" vertical="top"/>
    </xf>
    <xf numFmtId="174" fontId="45" fillId="0" borderId="9" xfId="28" applyNumberFormat="1" applyFont="1" applyBorder="1" applyAlignment="1">
      <alignment horizontal="left" vertical="top"/>
    </xf>
    <xf numFmtId="0" fontId="37" fillId="0" borderId="9" xfId="0" applyFont="1" applyBorder="1" applyAlignment="1">
      <alignment horizontal="left" vertical="top"/>
    </xf>
    <xf numFmtId="0" fontId="81" fillId="0" borderId="9" xfId="0" applyFont="1" applyBorder="1" applyAlignment="1">
      <alignment horizontal="left" vertical="top" wrapText="1"/>
    </xf>
    <xf numFmtId="0" fontId="81" fillId="0" borderId="9" xfId="0" applyFont="1" applyBorder="1" applyAlignment="1">
      <alignment horizontal="center" vertical="top" wrapText="1"/>
    </xf>
    <xf numFmtId="173" fontId="81" fillId="0" borderId="9" xfId="28" applyNumberFormat="1" applyFont="1" applyFill="1" applyBorder="1" applyAlignment="1">
      <alignment horizontal="left" vertical="top" wrapText="1"/>
    </xf>
    <xf numFmtId="0" fontId="81" fillId="0" borderId="9" xfId="0" applyFont="1" applyBorder="1" applyAlignment="1">
      <alignment horizontal="left" vertical="top"/>
    </xf>
    <xf numFmtId="174" fontId="81" fillId="0" borderId="9" xfId="28" applyNumberFormat="1" applyFont="1" applyBorder="1" applyAlignment="1">
      <alignment horizontal="left" vertical="top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1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5" fontId="50" fillId="0" borderId="0" xfId="28" applyFont="1" applyAlignment="1">
      <alignment horizontal="center" vertical="center"/>
    </xf>
    <xf numFmtId="165" fontId="5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62" fillId="0" borderId="0" xfId="0" applyFont="1" applyAlignment="1">
      <alignment horizontal="center"/>
    </xf>
    <xf numFmtId="165" fontId="62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60" fillId="0" borderId="9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44" fillId="0" borderId="0" xfId="0" applyNumberFormat="1" applyFont="1" applyAlignment="1">
      <alignment horizontal="center" vertical="center"/>
    </xf>
    <xf numFmtId="165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/>
    </xf>
    <xf numFmtId="3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60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3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7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7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4" fontId="10" fillId="0" borderId="19" xfId="0" applyNumberFormat="1" applyFont="1" applyBorder="1" applyAlignment="1">
      <alignment horizontal="center" vertical="center" shrinkToFit="1"/>
    </xf>
    <xf numFmtId="164" fontId="10" fillId="0" borderId="20" xfId="0" applyNumberFormat="1" applyFont="1" applyBorder="1" applyAlignment="1">
      <alignment horizontal="center" vertical="center" shrinkToFit="1"/>
    </xf>
    <xf numFmtId="164" fontId="10" fillId="0" borderId="18" xfId="0" applyNumberFormat="1" applyFont="1" applyBorder="1" applyAlignment="1">
      <alignment horizontal="center" vertical="center" shrinkToFit="1"/>
    </xf>
    <xf numFmtId="1" fontId="10" fillId="0" borderId="9" xfId="28" applyNumberFormat="1" applyFont="1" applyFill="1" applyBorder="1" applyAlignment="1">
      <alignment horizontal="center" vertical="center"/>
    </xf>
    <xf numFmtId="0" fontId="68" fillId="0" borderId="15" xfId="0" applyFont="1" applyBorder="1" applyAlignment="1">
      <alignment horizontal="center" vertical="center"/>
    </xf>
    <xf numFmtId="0" fontId="74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82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95"/>
  <sheetViews>
    <sheetView zoomScale="90" zoomScaleNormal="9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Q59" sqref="Q59"/>
    </sheetView>
  </sheetViews>
  <sheetFormatPr defaultColWidth="3.42578125" defaultRowHeight="12.75"/>
  <cols>
    <col min="1" max="1" width="4.5703125" style="37" customWidth="1"/>
    <col min="2" max="2" width="11" style="149" customWidth="1"/>
    <col min="3" max="3" width="20.5703125" style="145" customWidth="1"/>
    <col min="4" max="4" width="5.140625" style="146" customWidth="1"/>
    <col min="5" max="5" width="4.7109375" style="146" customWidth="1"/>
    <col min="6" max="6" width="24.42578125" style="145" customWidth="1"/>
    <col min="7" max="7" width="6.7109375" style="152" customWidth="1"/>
    <col min="8" max="8" width="11.85546875" style="307" customWidth="1"/>
    <col min="9" max="9" width="10.42578125" style="37" bestFit="1" customWidth="1"/>
    <col min="10" max="10" width="10.5703125" style="85" customWidth="1"/>
    <col min="11" max="11" width="9.7109375" style="243" customWidth="1"/>
    <col min="12" max="12" width="10.42578125" style="85" customWidth="1"/>
    <col min="13" max="13" width="9.7109375" style="152" customWidth="1"/>
    <col min="14" max="14" width="10.140625" style="85" customWidth="1"/>
    <col min="15" max="15" width="9.7109375" style="241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22" ht="16.5">
      <c r="A1" s="493" t="s">
        <v>0</v>
      </c>
      <c r="B1" s="493"/>
      <c r="C1" s="493"/>
      <c r="D1" s="493"/>
      <c r="E1" s="493"/>
      <c r="F1" s="150"/>
      <c r="G1" s="150"/>
      <c r="H1" s="302"/>
      <c r="I1" s="89"/>
      <c r="J1" s="89"/>
      <c r="K1" s="151"/>
      <c r="L1" s="89"/>
      <c r="M1" s="143"/>
      <c r="N1" s="89"/>
      <c r="O1" s="143"/>
      <c r="P1" s="89"/>
      <c r="Q1" s="89"/>
      <c r="R1" s="89"/>
      <c r="S1" s="89"/>
      <c r="T1" s="89"/>
      <c r="U1" s="89"/>
      <c r="V1" s="89"/>
    </row>
    <row r="2" spans="1:22" ht="16.5">
      <c r="A2" s="494" t="s">
        <v>97</v>
      </c>
      <c r="B2" s="494"/>
      <c r="C2" s="494"/>
      <c r="D2" s="494"/>
      <c r="E2" s="494"/>
      <c r="F2" s="175"/>
      <c r="G2" s="143"/>
      <c r="H2" s="303"/>
      <c r="I2" s="89"/>
      <c r="J2" s="89"/>
      <c r="K2" s="151"/>
      <c r="L2" s="189"/>
      <c r="M2" s="143"/>
      <c r="N2" s="89"/>
      <c r="O2" s="143"/>
      <c r="P2" s="89"/>
      <c r="Q2" s="89"/>
      <c r="R2" s="89"/>
      <c r="S2" s="89"/>
      <c r="T2" s="89"/>
      <c r="U2" s="89"/>
      <c r="V2" s="89"/>
    </row>
    <row r="3" spans="1:22" ht="22.5">
      <c r="A3" s="495" t="s">
        <v>1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89"/>
      <c r="T3" s="89"/>
      <c r="U3" s="89"/>
      <c r="V3" s="89"/>
    </row>
    <row r="4" spans="1:22" ht="20.25">
      <c r="A4" s="496" t="s">
        <v>413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89"/>
      <c r="T4" s="89"/>
      <c r="U4" s="89"/>
      <c r="V4" s="89"/>
    </row>
    <row r="5" spans="1:22" ht="20.25">
      <c r="A5" s="158"/>
      <c r="B5" s="158"/>
      <c r="C5" s="284"/>
      <c r="D5" s="158"/>
      <c r="E5" s="158"/>
      <c r="F5" s="195"/>
      <c r="G5" s="191"/>
      <c r="H5" s="158"/>
      <c r="I5" s="338"/>
      <c r="J5" s="158"/>
      <c r="K5" s="161"/>
      <c r="L5" s="159"/>
      <c r="M5" s="239"/>
      <c r="N5" s="158"/>
      <c r="O5" s="239"/>
      <c r="P5" s="158"/>
      <c r="Q5" s="158"/>
      <c r="R5" s="159"/>
      <c r="S5" s="89"/>
      <c r="T5" s="89"/>
      <c r="U5" s="89"/>
      <c r="V5" s="89"/>
    </row>
    <row r="6" spans="1:22" s="248" customFormat="1" ht="38.25">
      <c r="A6" s="120" t="s">
        <v>2</v>
      </c>
      <c r="B6" s="120" t="s">
        <v>12</v>
      </c>
      <c r="C6" s="120" t="s">
        <v>106</v>
      </c>
      <c r="D6" s="120" t="s">
        <v>42</v>
      </c>
      <c r="E6" s="120" t="s">
        <v>43</v>
      </c>
      <c r="F6" s="120" t="s">
        <v>5</v>
      </c>
      <c r="G6" s="120" t="s">
        <v>104</v>
      </c>
      <c r="H6" s="171" t="s">
        <v>36</v>
      </c>
      <c r="I6" s="120" t="s">
        <v>6</v>
      </c>
      <c r="J6" s="293" t="s">
        <v>7</v>
      </c>
      <c r="K6" s="120" t="s">
        <v>8</v>
      </c>
      <c r="L6" s="293" t="s">
        <v>7</v>
      </c>
      <c r="M6" s="120" t="s">
        <v>9</v>
      </c>
      <c r="N6" s="293" t="s">
        <v>7</v>
      </c>
      <c r="O6" s="293" t="s">
        <v>95</v>
      </c>
      <c r="P6" s="293" t="s">
        <v>7</v>
      </c>
      <c r="Q6" s="293" t="s">
        <v>10</v>
      </c>
      <c r="R6" s="294" t="s">
        <v>105</v>
      </c>
      <c r="S6" s="295"/>
      <c r="T6" s="295"/>
      <c r="U6" s="295"/>
      <c r="V6" s="295"/>
    </row>
    <row r="7" spans="1:22" s="174" customFormat="1" ht="45.75" customHeight="1">
      <c r="A7" s="168">
        <v>1</v>
      </c>
      <c r="B7" s="403" t="s">
        <v>711</v>
      </c>
      <c r="C7" s="404" t="s">
        <v>587</v>
      </c>
      <c r="D7" s="405">
        <v>67</v>
      </c>
      <c r="E7" s="405"/>
      <c r="F7" s="463" t="s">
        <v>712</v>
      </c>
      <c r="G7" s="405" t="s">
        <v>713</v>
      </c>
      <c r="H7" s="406">
        <v>2128200</v>
      </c>
      <c r="I7" s="400" t="s">
        <v>585</v>
      </c>
      <c r="J7" s="169">
        <f>R7-L7-N7-P7-Q7</f>
        <v>223461</v>
      </c>
      <c r="K7" s="407" t="s">
        <v>702</v>
      </c>
      <c r="L7" s="169">
        <f>IF(K7="-",0,H7*0.03)</f>
        <v>63846</v>
      </c>
      <c r="M7" s="407" t="s">
        <v>699</v>
      </c>
      <c r="N7" s="169">
        <f>IF(M7="-",0,H7*0.02)</f>
        <v>42564</v>
      </c>
      <c r="O7" s="407" t="s">
        <v>701</v>
      </c>
      <c r="P7" s="169">
        <f>IF(O7="-",0,H7*0.01)</f>
        <v>21282</v>
      </c>
      <c r="Q7" s="170">
        <f>H7*0.005</f>
        <v>10641</v>
      </c>
      <c r="R7" s="170">
        <f>IF(I7="V.Tân",H7*0.1375,IF(I7="nguyện",H7*0.1375,IF(I7="TOẢN",H7*0.1375,H7*0.17)))</f>
        <v>361794</v>
      </c>
      <c r="S7" s="173"/>
      <c r="T7" s="173"/>
      <c r="U7" s="173"/>
      <c r="V7" s="173"/>
    </row>
    <row r="8" spans="1:22" s="174" customFormat="1" ht="45.75" customHeight="1">
      <c r="A8" s="168">
        <v>2</v>
      </c>
      <c r="B8" s="403" t="s">
        <v>714</v>
      </c>
      <c r="C8" s="404" t="s">
        <v>708</v>
      </c>
      <c r="D8" s="405"/>
      <c r="E8" s="405">
        <v>52</v>
      </c>
      <c r="F8" s="463" t="s">
        <v>715</v>
      </c>
      <c r="G8" s="405" t="s">
        <v>713</v>
      </c>
      <c r="H8" s="406">
        <v>2127400</v>
      </c>
      <c r="I8" s="400" t="s">
        <v>585</v>
      </c>
      <c r="J8" s="169">
        <f t="shared" ref="J8:J71" si="0">R8-L8-N8-P8-Q8</f>
        <v>223377</v>
      </c>
      <c r="K8" s="407" t="s">
        <v>700</v>
      </c>
      <c r="L8" s="169">
        <f t="shared" ref="L8:L71" si="1">IF(K8="-",0,H8*0.03)</f>
        <v>63822</v>
      </c>
      <c r="M8" s="407" t="s">
        <v>702</v>
      </c>
      <c r="N8" s="169">
        <f t="shared" ref="N8:N71" si="2">IF(M8="-",0,H8*0.02)</f>
        <v>42548</v>
      </c>
      <c r="O8" s="407" t="s">
        <v>694</v>
      </c>
      <c r="P8" s="169">
        <f t="shared" ref="P8:P71" si="3">IF(O8="-",0,H8*0.01)</f>
        <v>21274</v>
      </c>
      <c r="Q8" s="170">
        <f t="shared" ref="Q8:Q71" si="4">H8*0.005</f>
        <v>10637</v>
      </c>
      <c r="R8" s="170">
        <f t="shared" ref="R8:R71" si="5">IF(I8="V.Tân",H8*0.1375,IF(I8="nguyện",H8*0.1375,IF(I8="TOẢN",H8*0.1375,H8*0.17)))</f>
        <v>361658</v>
      </c>
      <c r="S8" s="173"/>
      <c r="T8" s="173"/>
      <c r="U8" s="173"/>
      <c r="V8" s="173"/>
    </row>
    <row r="9" spans="1:22" s="174" customFormat="1" ht="45.75" customHeight="1">
      <c r="A9" s="168">
        <v>3</v>
      </c>
      <c r="B9" s="403" t="s">
        <v>716</v>
      </c>
      <c r="C9" s="404" t="s">
        <v>601</v>
      </c>
      <c r="D9" s="405"/>
      <c r="E9" s="405">
        <v>69</v>
      </c>
      <c r="F9" s="463" t="s">
        <v>717</v>
      </c>
      <c r="G9" s="405" t="s">
        <v>713</v>
      </c>
      <c r="H9" s="406">
        <v>2128200</v>
      </c>
      <c r="I9" s="400" t="s">
        <v>585</v>
      </c>
      <c r="J9" s="169">
        <f t="shared" si="0"/>
        <v>244743</v>
      </c>
      <c r="K9" s="407" t="s">
        <v>695</v>
      </c>
      <c r="L9" s="169">
        <f t="shared" si="1"/>
        <v>63846</v>
      </c>
      <c r="M9" s="407" t="s">
        <v>703</v>
      </c>
      <c r="N9" s="169">
        <f t="shared" si="2"/>
        <v>42564</v>
      </c>
      <c r="O9" s="407" t="s">
        <v>56</v>
      </c>
      <c r="P9" s="169">
        <f t="shared" si="3"/>
        <v>0</v>
      </c>
      <c r="Q9" s="170">
        <f t="shared" si="4"/>
        <v>10641</v>
      </c>
      <c r="R9" s="170">
        <f t="shared" si="5"/>
        <v>361794</v>
      </c>
      <c r="S9" s="190"/>
      <c r="T9" s="173"/>
      <c r="U9" s="173"/>
      <c r="V9" s="173"/>
    </row>
    <row r="10" spans="1:22" s="174" customFormat="1" ht="45.75" customHeight="1">
      <c r="A10" s="168">
        <v>4</v>
      </c>
      <c r="B10" s="403" t="s">
        <v>718</v>
      </c>
      <c r="C10" s="404" t="s">
        <v>587</v>
      </c>
      <c r="D10" s="405">
        <v>67</v>
      </c>
      <c r="E10" s="405"/>
      <c r="F10" s="463" t="s">
        <v>717</v>
      </c>
      <c r="G10" s="405" t="s">
        <v>713</v>
      </c>
      <c r="H10" s="406">
        <v>2128200</v>
      </c>
      <c r="I10" s="400" t="s">
        <v>585</v>
      </c>
      <c r="J10" s="169">
        <f t="shared" si="0"/>
        <v>223461</v>
      </c>
      <c r="K10" s="407" t="s">
        <v>692</v>
      </c>
      <c r="L10" s="169">
        <f t="shared" si="1"/>
        <v>63846</v>
      </c>
      <c r="M10" s="407" t="s">
        <v>701</v>
      </c>
      <c r="N10" s="169">
        <f t="shared" si="2"/>
        <v>42564</v>
      </c>
      <c r="O10" s="407" t="s">
        <v>699</v>
      </c>
      <c r="P10" s="169">
        <f t="shared" si="3"/>
        <v>21282</v>
      </c>
      <c r="Q10" s="170">
        <f t="shared" si="4"/>
        <v>10641</v>
      </c>
      <c r="R10" s="170">
        <f t="shared" si="5"/>
        <v>361794</v>
      </c>
      <c r="S10" s="173"/>
      <c r="T10" s="173"/>
      <c r="U10" s="173"/>
      <c r="V10" s="173"/>
    </row>
    <row r="11" spans="1:22" s="174" customFormat="1" ht="45.75" customHeight="1">
      <c r="A11" s="168">
        <v>5</v>
      </c>
      <c r="B11" s="403" t="s">
        <v>749</v>
      </c>
      <c r="C11" s="404" t="s">
        <v>750</v>
      </c>
      <c r="D11" s="405">
        <v>47</v>
      </c>
      <c r="E11" s="405"/>
      <c r="F11" s="463" t="s">
        <v>751</v>
      </c>
      <c r="G11" s="405" t="s">
        <v>752</v>
      </c>
      <c r="H11" s="406">
        <v>5000000</v>
      </c>
      <c r="I11" s="400" t="s">
        <v>581</v>
      </c>
      <c r="J11" s="169">
        <f t="shared" si="0"/>
        <v>362500</v>
      </c>
      <c r="K11" s="407" t="s">
        <v>582</v>
      </c>
      <c r="L11" s="169">
        <f t="shared" si="1"/>
        <v>150000</v>
      </c>
      <c r="M11" s="407" t="s">
        <v>701</v>
      </c>
      <c r="N11" s="169">
        <f t="shared" si="2"/>
        <v>100000</v>
      </c>
      <c r="O11" s="407" t="s">
        <v>699</v>
      </c>
      <c r="P11" s="169">
        <f t="shared" si="3"/>
        <v>50000</v>
      </c>
      <c r="Q11" s="170">
        <f t="shared" si="4"/>
        <v>25000</v>
      </c>
      <c r="R11" s="170">
        <f t="shared" si="5"/>
        <v>687500</v>
      </c>
      <c r="S11" s="173"/>
      <c r="T11" s="173"/>
      <c r="U11" s="173"/>
      <c r="V11" s="173"/>
    </row>
    <row r="12" spans="1:22" s="174" customFormat="1" ht="45.75" customHeight="1">
      <c r="A12" s="168">
        <v>6</v>
      </c>
      <c r="B12" s="403" t="s">
        <v>719</v>
      </c>
      <c r="C12" s="404" t="s">
        <v>708</v>
      </c>
      <c r="D12" s="405"/>
      <c r="E12" s="405">
        <v>52</v>
      </c>
      <c r="F12" s="463" t="s">
        <v>720</v>
      </c>
      <c r="G12" s="405" t="s">
        <v>713</v>
      </c>
      <c r="H12" s="406">
        <v>3128200</v>
      </c>
      <c r="I12" s="400" t="s">
        <v>585</v>
      </c>
      <c r="J12" s="169">
        <f t="shared" si="0"/>
        <v>328461</v>
      </c>
      <c r="K12" s="407" t="s">
        <v>695</v>
      </c>
      <c r="L12" s="169">
        <f t="shared" si="1"/>
        <v>93846</v>
      </c>
      <c r="M12" s="407" t="s">
        <v>703</v>
      </c>
      <c r="N12" s="169">
        <f t="shared" si="2"/>
        <v>62564</v>
      </c>
      <c r="O12" s="407" t="s">
        <v>692</v>
      </c>
      <c r="P12" s="169">
        <f t="shared" si="3"/>
        <v>31282</v>
      </c>
      <c r="Q12" s="170">
        <f t="shared" si="4"/>
        <v>15641</v>
      </c>
      <c r="R12" s="170">
        <f t="shared" si="5"/>
        <v>531794</v>
      </c>
      <c r="S12" s="173"/>
      <c r="T12" s="173"/>
      <c r="U12" s="173"/>
      <c r="V12" s="173"/>
    </row>
    <row r="13" spans="1:22" s="174" customFormat="1" ht="45.75" customHeight="1">
      <c r="A13" s="168">
        <v>7</v>
      </c>
      <c r="B13" s="403" t="s">
        <v>721</v>
      </c>
      <c r="C13" s="404" t="s">
        <v>601</v>
      </c>
      <c r="D13" s="405"/>
      <c r="E13" s="405">
        <v>69</v>
      </c>
      <c r="F13" s="463" t="s">
        <v>720</v>
      </c>
      <c r="G13" s="405" t="s">
        <v>713</v>
      </c>
      <c r="H13" s="406">
        <v>2127400</v>
      </c>
      <c r="I13" s="400" t="s">
        <v>585</v>
      </c>
      <c r="J13" s="169">
        <f t="shared" si="0"/>
        <v>244651</v>
      </c>
      <c r="K13" s="407" t="s">
        <v>582</v>
      </c>
      <c r="L13" s="169">
        <f t="shared" si="1"/>
        <v>63822</v>
      </c>
      <c r="M13" s="407" t="s">
        <v>701</v>
      </c>
      <c r="N13" s="169">
        <f t="shared" si="2"/>
        <v>42548</v>
      </c>
      <c r="O13" s="407" t="s">
        <v>56</v>
      </c>
      <c r="P13" s="169">
        <f t="shared" si="3"/>
        <v>0</v>
      </c>
      <c r="Q13" s="170">
        <f t="shared" si="4"/>
        <v>10637</v>
      </c>
      <c r="R13" s="170">
        <f t="shared" si="5"/>
        <v>361658</v>
      </c>
      <c r="S13" s="173"/>
      <c r="T13" s="173"/>
      <c r="U13" s="173"/>
      <c r="V13" s="173"/>
    </row>
    <row r="14" spans="1:22" s="147" customFormat="1" ht="45.75" customHeight="1">
      <c r="A14" s="168">
        <v>8</v>
      </c>
      <c r="B14" s="403" t="s">
        <v>586</v>
      </c>
      <c r="C14" s="404" t="s">
        <v>587</v>
      </c>
      <c r="D14" s="405">
        <v>61</v>
      </c>
      <c r="E14" s="405"/>
      <c r="F14" s="463" t="s">
        <v>588</v>
      </c>
      <c r="G14" s="405" t="s">
        <v>589</v>
      </c>
      <c r="H14" s="406">
        <v>1300900</v>
      </c>
      <c r="I14" s="400" t="s">
        <v>585</v>
      </c>
      <c r="J14" s="169">
        <f t="shared" si="0"/>
        <v>136594.50000000003</v>
      </c>
      <c r="K14" s="407" t="s">
        <v>692</v>
      </c>
      <c r="L14" s="169">
        <f t="shared" si="1"/>
        <v>39027</v>
      </c>
      <c r="M14" s="407" t="s">
        <v>700</v>
      </c>
      <c r="N14" s="169">
        <f t="shared" si="2"/>
        <v>26018</v>
      </c>
      <c r="O14" s="407" t="s">
        <v>701</v>
      </c>
      <c r="P14" s="169">
        <f t="shared" si="3"/>
        <v>13009</v>
      </c>
      <c r="Q14" s="170">
        <f t="shared" si="4"/>
        <v>6504.5</v>
      </c>
      <c r="R14" s="170">
        <f t="shared" si="5"/>
        <v>221153.00000000003</v>
      </c>
      <c r="S14" s="175"/>
      <c r="T14" s="175"/>
      <c r="U14" s="175"/>
      <c r="V14" s="175"/>
    </row>
    <row r="15" spans="1:22" s="147" customFormat="1" ht="45.75" customHeight="1">
      <c r="A15" s="168">
        <v>9</v>
      </c>
      <c r="B15" s="403" t="s">
        <v>586</v>
      </c>
      <c r="C15" s="404" t="s">
        <v>590</v>
      </c>
      <c r="D15" s="405">
        <v>70</v>
      </c>
      <c r="E15" s="405"/>
      <c r="F15" s="463" t="s">
        <v>591</v>
      </c>
      <c r="G15" s="405" t="s">
        <v>592</v>
      </c>
      <c r="H15" s="406">
        <v>4201900</v>
      </c>
      <c r="I15" s="400" t="s">
        <v>584</v>
      </c>
      <c r="J15" s="169">
        <f t="shared" si="0"/>
        <v>441199.5</v>
      </c>
      <c r="K15" s="407" t="s">
        <v>582</v>
      </c>
      <c r="L15" s="169">
        <f t="shared" si="1"/>
        <v>126057</v>
      </c>
      <c r="M15" s="407" t="s">
        <v>695</v>
      </c>
      <c r="N15" s="169">
        <f t="shared" si="2"/>
        <v>84038</v>
      </c>
      <c r="O15" s="407" t="s">
        <v>701</v>
      </c>
      <c r="P15" s="169">
        <f t="shared" si="3"/>
        <v>42019</v>
      </c>
      <c r="Q15" s="170">
        <f t="shared" si="4"/>
        <v>21009.5</v>
      </c>
      <c r="R15" s="170">
        <f t="shared" si="5"/>
        <v>714323</v>
      </c>
      <c r="S15" s="175"/>
      <c r="T15" s="175"/>
      <c r="U15" s="175"/>
      <c r="V15" s="175"/>
    </row>
    <row r="16" spans="1:22" s="147" customFormat="1" ht="45.75" customHeight="1">
      <c r="A16" s="168">
        <v>10</v>
      </c>
      <c r="B16" s="403" t="s">
        <v>586</v>
      </c>
      <c r="C16" s="404" t="s">
        <v>593</v>
      </c>
      <c r="D16" s="405">
        <v>70</v>
      </c>
      <c r="E16" s="405"/>
      <c r="F16" s="463" t="s">
        <v>591</v>
      </c>
      <c r="G16" s="405" t="s">
        <v>592</v>
      </c>
      <c r="H16" s="406">
        <v>4201900</v>
      </c>
      <c r="I16" s="400" t="s">
        <v>584</v>
      </c>
      <c r="J16" s="169">
        <f t="shared" si="0"/>
        <v>483218.5</v>
      </c>
      <c r="K16" s="407" t="s">
        <v>582</v>
      </c>
      <c r="L16" s="169">
        <f t="shared" si="1"/>
        <v>126057</v>
      </c>
      <c r="M16" s="407" t="s">
        <v>585</v>
      </c>
      <c r="N16" s="169">
        <f t="shared" si="2"/>
        <v>84038</v>
      </c>
      <c r="O16" s="407" t="s">
        <v>56</v>
      </c>
      <c r="P16" s="169">
        <f t="shared" si="3"/>
        <v>0</v>
      </c>
      <c r="Q16" s="170">
        <f t="shared" si="4"/>
        <v>21009.5</v>
      </c>
      <c r="R16" s="170">
        <f t="shared" si="5"/>
        <v>714323</v>
      </c>
      <c r="S16" s="175"/>
      <c r="T16" s="175"/>
      <c r="U16" s="175"/>
      <c r="V16" s="175"/>
    </row>
    <row r="17" spans="1:22" s="147" customFormat="1" ht="45.75" customHeight="1">
      <c r="A17" s="168">
        <v>11</v>
      </c>
      <c r="B17" s="403" t="s">
        <v>594</v>
      </c>
      <c r="C17" s="404" t="s">
        <v>753</v>
      </c>
      <c r="D17" s="405">
        <v>31</v>
      </c>
      <c r="E17" s="405"/>
      <c r="F17" s="463" t="s">
        <v>598</v>
      </c>
      <c r="G17" s="405" t="s">
        <v>752</v>
      </c>
      <c r="H17" s="406">
        <v>9972000</v>
      </c>
      <c r="I17" s="400" t="s">
        <v>582</v>
      </c>
      <c r="J17" s="169">
        <f t="shared" si="0"/>
        <v>722970</v>
      </c>
      <c r="K17" s="407" t="s">
        <v>585</v>
      </c>
      <c r="L17" s="169">
        <f t="shared" si="1"/>
        <v>299160</v>
      </c>
      <c r="M17" s="407" t="s">
        <v>580</v>
      </c>
      <c r="N17" s="169">
        <f t="shared" si="2"/>
        <v>199440</v>
      </c>
      <c r="O17" s="407" t="s">
        <v>694</v>
      </c>
      <c r="P17" s="169">
        <f t="shared" si="3"/>
        <v>99720</v>
      </c>
      <c r="Q17" s="170">
        <f t="shared" si="4"/>
        <v>49860</v>
      </c>
      <c r="R17" s="170">
        <f t="shared" si="5"/>
        <v>1371150</v>
      </c>
      <c r="S17" s="175"/>
      <c r="T17" s="175"/>
      <c r="U17" s="175"/>
      <c r="V17" s="175"/>
    </row>
    <row r="18" spans="1:22" s="147" customFormat="1" ht="45.75" customHeight="1">
      <c r="A18" s="168">
        <v>12</v>
      </c>
      <c r="B18" s="403" t="s">
        <v>594</v>
      </c>
      <c r="C18" s="404" t="s">
        <v>595</v>
      </c>
      <c r="D18" s="405">
        <v>89</v>
      </c>
      <c r="E18" s="405"/>
      <c r="F18" s="463" t="s">
        <v>596</v>
      </c>
      <c r="G18" s="405" t="s">
        <v>589</v>
      </c>
      <c r="H18" s="406">
        <v>3897500</v>
      </c>
      <c r="I18" s="400" t="s">
        <v>584</v>
      </c>
      <c r="J18" s="169">
        <f t="shared" si="0"/>
        <v>409237.5</v>
      </c>
      <c r="K18" s="407" t="s">
        <v>580</v>
      </c>
      <c r="L18" s="169">
        <f t="shared" si="1"/>
        <v>116925</v>
      </c>
      <c r="M18" s="407" t="s">
        <v>694</v>
      </c>
      <c r="N18" s="169">
        <f t="shared" si="2"/>
        <v>77950</v>
      </c>
      <c r="O18" s="407" t="s">
        <v>703</v>
      </c>
      <c r="P18" s="169">
        <f t="shared" si="3"/>
        <v>38975</v>
      </c>
      <c r="Q18" s="170">
        <f t="shared" si="4"/>
        <v>19487.5</v>
      </c>
      <c r="R18" s="170">
        <f t="shared" si="5"/>
        <v>662575</v>
      </c>
      <c r="S18" s="175"/>
      <c r="T18" s="175"/>
      <c r="U18" s="175"/>
      <c r="V18" s="175"/>
    </row>
    <row r="19" spans="1:22" s="147" customFormat="1" ht="45.75" customHeight="1">
      <c r="A19" s="168">
        <v>13</v>
      </c>
      <c r="B19" s="403" t="s">
        <v>600</v>
      </c>
      <c r="C19" s="404" t="s">
        <v>722</v>
      </c>
      <c r="D19" s="405">
        <v>76</v>
      </c>
      <c r="E19" s="405"/>
      <c r="F19" s="463" t="s">
        <v>723</v>
      </c>
      <c r="G19" s="405" t="s">
        <v>713</v>
      </c>
      <c r="H19" s="406">
        <v>1773300</v>
      </c>
      <c r="I19" s="400" t="s">
        <v>580</v>
      </c>
      <c r="J19" s="169">
        <f t="shared" si="0"/>
        <v>128564.25000000003</v>
      </c>
      <c r="K19" s="407" t="s">
        <v>696</v>
      </c>
      <c r="L19" s="169">
        <f t="shared" si="1"/>
        <v>53199</v>
      </c>
      <c r="M19" s="407" t="s">
        <v>699</v>
      </c>
      <c r="N19" s="169">
        <f t="shared" si="2"/>
        <v>35466</v>
      </c>
      <c r="O19" s="407" t="s">
        <v>693</v>
      </c>
      <c r="P19" s="169">
        <f t="shared" si="3"/>
        <v>17733</v>
      </c>
      <c r="Q19" s="170">
        <f t="shared" si="4"/>
        <v>8866.5</v>
      </c>
      <c r="R19" s="170">
        <f t="shared" si="5"/>
        <v>243828.75000000003</v>
      </c>
      <c r="S19" s="175"/>
      <c r="T19" s="175"/>
      <c r="U19" s="175"/>
      <c r="V19" s="175"/>
    </row>
    <row r="20" spans="1:22" s="147" customFormat="1" ht="45.75" customHeight="1">
      <c r="A20" s="168">
        <v>14</v>
      </c>
      <c r="B20" s="403" t="s">
        <v>600</v>
      </c>
      <c r="C20" s="404" t="s">
        <v>601</v>
      </c>
      <c r="D20" s="405"/>
      <c r="E20" s="405">
        <v>69</v>
      </c>
      <c r="F20" s="463" t="s">
        <v>588</v>
      </c>
      <c r="G20" s="405" t="s">
        <v>589</v>
      </c>
      <c r="H20" s="406">
        <v>1300900</v>
      </c>
      <c r="I20" s="400" t="s">
        <v>585</v>
      </c>
      <c r="J20" s="169">
        <f t="shared" si="0"/>
        <v>149603.50000000003</v>
      </c>
      <c r="K20" s="407" t="s">
        <v>692</v>
      </c>
      <c r="L20" s="169">
        <f t="shared" si="1"/>
        <v>39027</v>
      </c>
      <c r="M20" s="407" t="s">
        <v>701</v>
      </c>
      <c r="N20" s="169">
        <f t="shared" si="2"/>
        <v>26018</v>
      </c>
      <c r="O20" s="407" t="s">
        <v>56</v>
      </c>
      <c r="P20" s="169">
        <f t="shared" si="3"/>
        <v>0</v>
      </c>
      <c r="Q20" s="170">
        <f t="shared" si="4"/>
        <v>6504.5</v>
      </c>
      <c r="R20" s="170">
        <f t="shared" si="5"/>
        <v>221153.00000000003</v>
      </c>
      <c r="S20" s="175"/>
      <c r="T20" s="175"/>
      <c r="U20" s="175"/>
      <c r="V20" s="175"/>
    </row>
    <row r="21" spans="1:22" s="147" customFormat="1" ht="45.75" customHeight="1">
      <c r="A21" s="168">
        <v>15</v>
      </c>
      <c r="B21" s="403" t="s">
        <v>600</v>
      </c>
      <c r="C21" s="404" t="s">
        <v>754</v>
      </c>
      <c r="D21" s="405">
        <v>37</v>
      </c>
      <c r="E21" s="405"/>
      <c r="F21" s="463" t="s">
        <v>755</v>
      </c>
      <c r="G21" s="405" t="s">
        <v>752</v>
      </c>
      <c r="H21" s="406">
        <v>7000000</v>
      </c>
      <c r="I21" s="400" t="s">
        <v>584</v>
      </c>
      <c r="J21" s="169">
        <f t="shared" si="0"/>
        <v>735000</v>
      </c>
      <c r="K21" s="407" t="s">
        <v>582</v>
      </c>
      <c r="L21" s="169">
        <f t="shared" si="1"/>
        <v>210000</v>
      </c>
      <c r="M21" s="407" t="s">
        <v>693</v>
      </c>
      <c r="N21" s="169">
        <f t="shared" si="2"/>
        <v>140000</v>
      </c>
      <c r="O21" s="407" t="s">
        <v>696</v>
      </c>
      <c r="P21" s="169">
        <f t="shared" si="3"/>
        <v>70000</v>
      </c>
      <c r="Q21" s="170">
        <f t="shared" si="4"/>
        <v>35000</v>
      </c>
      <c r="R21" s="170">
        <f t="shared" si="5"/>
        <v>1190000</v>
      </c>
      <c r="S21" s="175"/>
      <c r="T21" s="175"/>
      <c r="U21" s="175"/>
      <c r="V21" s="175"/>
    </row>
    <row r="22" spans="1:22" s="147" customFormat="1" ht="45.75" customHeight="1">
      <c r="A22" s="168">
        <v>16</v>
      </c>
      <c r="B22" s="403" t="s">
        <v>600</v>
      </c>
      <c r="C22" s="404" t="s">
        <v>756</v>
      </c>
      <c r="D22" s="405">
        <v>40</v>
      </c>
      <c r="E22" s="405"/>
      <c r="F22" s="463" t="s">
        <v>717</v>
      </c>
      <c r="G22" s="405" t="s">
        <v>752</v>
      </c>
      <c r="H22" s="406">
        <v>4221000</v>
      </c>
      <c r="I22" s="400" t="s">
        <v>581</v>
      </c>
      <c r="J22" s="169">
        <f t="shared" si="0"/>
        <v>348232.5</v>
      </c>
      <c r="K22" s="407" t="s">
        <v>695</v>
      </c>
      <c r="L22" s="169">
        <f t="shared" si="1"/>
        <v>126630</v>
      </c>
      <c r="M22" s="407" t="s">
        <v>703</v>
      </c>
      <c r="N22" s="169">
        <f t="shared" si="2"/>
        <v>84420</v>
      </c>
      <c r="O22" s="407" t="s">
        <v>56</v>
      </c>
      <c r="P22" s="169">
        <f t="shared" si="3"/>
        <v>0</v>
      </c>
      <c r="Q22" s="170">
        <f t="shared" si="4"/>
        <v>21105</v>
      </c>
      <c r="R22" s="170">
        <f t="shared" si="5"/>
        <v>580387.5</v>
      </c>
      <c r="S22" s="175"/>
      <c r="T22" s="175"/>
      <c r="U22" s="175"/>
      <c r="V22" s="175"/>
    </row>
    <row r="23" spans="1:22" s="147" customFormat="1" ht="45.75" customHeight="1">
      <c r="A23" s="168">
        <v>17</v>
      </c>
      <c r="B23" s="403" t="s">
        <v>602</v>
      </c>
      <c r="C23" s="404" t="s">
        <v>603</v>
      </c>
      <c r="D23" s="405"/>
      <c r="E23" s="405">
        <v>74</v>
      </c>
      <c r="F23" s="463" t="s">
        <v>598</v>
      </c>
      <c r="G23" s="405" t="s">
        <v>592</v>
      </c>
      <c r="H23" s="406">
        <v>4497500</v>
      </c>
      <c r="I23" s="400" t="s">
        <v>580</v>
      </c>
      <c r="J23" s="169">
        <f t="shared" si="0"/>
        <v>326068.75</v>
      </c>
      <c r="K23" s="407" t="s">
        <v>693</v>
      </c>
      <c r="L23" s="169">
        <f t="shared" si="1"/>
        <v>134925</v>
      </c>
      <c r="M23" s="407" t="s">
        <v>696</v>
      </c>
      <c r="N23" s="169">
        <f t="shared" si="2"/>
        <v>89950</v>
      </c>
      <c r="O23" s="407" t="s">
        <v>699</v>
      </c>
      <c r="P23" s="169">
        <f t="shared" si="3"/>
        <v>44975</v>
      </c>
      <c r="Q23" s="170">
        <f t="shared" si="4"/>
        <v>22487.5</v>
      </c>
      <c r="R23" s="170">
        <f t="shared" si="5"/>
        <v>618406.25</v>
      </c>
      <c r="S23" s="175"/>
      <c r="T23" s="175"/>
      <c r="U23" s="175"/>
      <c r="V23" s="175"/>
    </row>
    <row r="24" spans="1:22" s="147" customFormat="1" ht="24">
      <c r="A24" s="168">
        <v>18</v>
      </c>
      <c r="B24" s="403" t="s">
        <v>724</v>
      </c>
      <c r="C24" s="404" t="s">
        <v>725</v>
      </c>
      <c r="D24" s="405">
        <v>35</v>
      </c>
      <c r="E24" s="405"/>
      <c r="F24" s="463" t="s">
        <v>726</v>
      </c>
      <c r="G24" s="405" t="s">
        <v>713</v>
      </c>
      <c r="H24" s="406">
        <v>1233000</v>
      </c>
      <c r="I24" s="400" t="s">
        <v>581</v>
      </c>
      <c r="J24" s="169">
        <f t="shared" si="0"/>
        <v>89392.5</v>
      </c>
      <c r="K24" s="407" t="s">
        <v>694</v>
      </c>
      <c r="L24" s="169">
        <f t="shared" si="1"/>
        <v>36990</v>
      </c>
      <c r="M24" s="407" t="s">
        <v>702</v>
      </c>
      <c r="N24" s="169">
        <f t="shared" si="2"/>
        <v>24660</v>
      </c>
      <c r="O24" s="407" t="s">
        <v>700</v>
      </c>
      <c r="P24" s="169">
        <f t="shared" si="3"/>
        <v>12330</v>
      </c>
      <c r="Q24" s="170">
        <f t="shared" si="4"/>
        <v>6165</v>
      </c>
      <c r="R24" s="170">
        <f t="shared" si="5"/>
        <v>169537.5</v>
      </c>
      <c r="S24" s="175"/>
      <c r="T24" s="175"/>
      <c r="U24" s="175"/>
      <c r="V24" s="175"/>
    </row>
    <row r="25" spans="1:22" s="147" customFormat="1" ht="45.75" customHeight="1">
      <c r="A25" s="168">
        <v>19</v>
      </c>
      <c r="B25" s="403" t="s">
        <v>606</v>
      </c>
      <c r="C25" s="404" t="s">
        <v>607</v>
      </c>
      <c r="D25" s="405">
        <v>75</v>
      </c>
      <c r="E25" s="405"/>
      <c r="F25" s="463" t="s">
        <v>598</v>
      </c>
      <c r="G25" s="405" t="s">
        <v>592</v>
      </c>
      <c r="H25" s="406">
        <v>4497500</v>
      </c>
      <c r="I25" s="400" t="s">
        <v>582</v>
      </c>
      <c r="J25" s="169">
        <f t="shared" si="0"/>
        <v>326068.75</v>
      </c>
      <c r="K25" s="407" t="s">
        <v>581</v>
      </c>
      <c r="L25" s="169">
        <f t="shared" si="1"/>
        <v>134925</v>
      </c>
      <c r="M25" s="407" t="s">
        <v>585</v>
      </c>
      <c r="N25" s="169">
        <f t="shared" si="2"/>
        <v>89950</v>
      </c>
      <c r="O25" s="407" t="s">
        <v>695</v>
      </c>
      <c r="P25" s="169">
        <f t="shared" si="3"/>
        <v>44975</v>
      </c>
      <c r="Q25" s="170">
        <f t="shared" si="4"/>
        <v>22487.5</v>
      </c>
      <c r="R25" s="170">
        <f t="shared" si="5"/>
        <v>618406.25</v>
      </c>
      <c r="S25" s="175"/>
      <c r="T25" s="175"/>
      <c r="U25" s="175"/>
      <c r="V25" s="175"/>
    </row>
    <row r="26" spans="1:22" s="147" customFormat="1" ht="45.75" customHeight="1">
      <c r="A26" s="168">
        <v>20</v>
      </c>
      <c r="B26" s="403" t="s">
        <v>608</v>
      </c>
      <c r="C26" s="404" t="s">
        <v>727</v>
      </c>
      <c r="D26" s="405">
        <v>68</v>
      </c>
      <c r="E26" s="405"/>
      <c r="F26" s="463" t="s">
        <v>717</v>
      </c>
      <c r="G26" s="405" t="s">
        <v>713</v>
      </c>
      <c r="H26" s="406">
        <v>2128200</v>
      </c>
      <c r="I26" s="400" t="s">
        <v>580</v>
      </c>
      <c r="J26" s="169">
        <f t="shared" si="0"/>
        <v>154294.5</v>
      </c>
      <c r="K26" s="407" t="s">
        <v>581</v>
      </c>
      <c r="L26" s="169">
        <f t="shared" si="1"/>
        <v>63846</v>
      </c>
      <c r="M26" s="407" t="s">
        <v>702</v>
      </c>
      <c r="N26" s="169">
        <f t="shared" si="2"/>
        <v>42564</v>
      </c>
      <c r="O26" s="407" t="s">
        <v>694</v>
      </c>
      <c r="P26" s="169">
        <f t="shared" si="3"/>
        <v>21282</v>
      </c>
      <c r="Q26" s="170">
        <f t="shared" si="4"/>
        <v>10641</v>
      </c>
      <c r="R26" s="170">
        <f t="shared" si="5"/>
        <v>292627.5</v>
      </c>
      <c r="S26" s="175"/>
      <c r="T26" s="175"/>
      <c r="U26" s="175"/>
      <c r="V26" s="175"/>
    </row>
    <row r="27" spans="1:22" s="147" customFormat="1" ht="45.75" customHeight="1">
      <c r="A27" s="168">
        <v>21</v>
      </c>
      <c r="B27" s="403" t="s">
        <v>608</v>
      </c>
      <c r="C27" s="404" t="s">
        <v>728</v>
      </c>
      <c r="D27" s="405">
        <v>46</v>
      </c>
      <c r="E27" s="405"/>
      <c r="F27" s="463" t="s">
        <v>717</v>
      </c>
      <c r="G27" s="405" t="s">
        <v>713</v>
      </c>
      <c r="H27" s="406">
        <v>2128200</v>
      </c>
      <c r="I27" s="400" t="s">
        <v>581</v>
      </c>
      <c r="J27" s="169">
        <f t="shared" si="0"/>
        <v>154294.5</v>
      </c>
      <c r="K27" s="407" t="s">
        <v>696</v>
      </c>
      <c r="L27" s="169">
        <f t="shared" si="1"/>
        <v>63846</v>
      </c>
      <c r="M27" s="407" t="s">
        <v>700</v>
      </c>
      <c r="N27" s="169">
        <f t="shared" si="2"/>
        <v>42564</v>
      </c>
      <c r="O27" s="407" t="s">
        <v>702</v>
      </c>
      <c r="P27" s="169">
        <f t="shared" si="3"/>
        <v>21282</v>
      </c>
      <c r="Q27" s="170">
        <f t="shared" si="4"/>
        <v>10641</v>
      </c>
      <c r="R27" s="170">
        <f t="shared" si="5"/>
        <v>292627.5</v>
      </c>
      <c r="S27" s="175"/>
      <c r="T27" s="175"/>
      <c r="U27" s="175"/>
      <c r="V27" s="175"/>
    </row>
    <row r="28" spans="1:22" s="147" customFormat="1" ht="45.75" customHeight="1">
      <c r="A28" s="168">
        <v>22</v>
      </c>
      <c r="B28" s="403" t="s">
        <v>608</v>
      </c>
      <c r="C28" s="404" t="s">
        <v>609</v>
      </c>
      <c r="D28" s="405"/>
      <c r="E28" s="405">
        <v>68</v>
      </c>
      <c r="F28" s="463" t="s">
        <v>610</v>
      </c>
      <c r="G28" s="405" t="s">
        <v>589</v>
      </c>
      <c r="H28" s="406">
        <v>2301200</v>
      </c>
      <c r="I28" s="400" t="s">
        <v>581</v>
      </c>
      <c r="J28" s="169">
        <f t="shared" si="0"/>
        <v>166837</v>
      </c>
      <c r="K28" s="407" t="s">
        <v>694</v>
      </c>
      <c r="L28" s="169">
        <f t="shared" si="1"/>
        <v>69036</v>
      </c>
      <c r="M28" s="407" t="s">
        <v>696</v>
      </c>
      <c r="N28" s="169">
        <f t="shared" si="2"/>
        <v>46024</v>
      </c>
      <c r="O28" s="407" t="s">
        <v>700</v>
      </c>
      <c r="P28" s="169">
        <f t="shared" si="3"/>
        <v>23012</v>
      </c>
      <c r="Q28" s="170">
        <f t="shared" si="4"/>
        <v>11506</v>
      </c>
      <c r="R28" s="170">
        <f t="shared" si="5"/>
        <v>316415</v>
      </c>
      <c r="S28" s="175"/>
      <c r="T28" s="175"/>
      <c r="U28" s="175"/>
      <c r="V28" s="175"/>
    </row>
    <row r="29" spans="1:22" s="147" customFormat="1" ht="45.75" customHeight="1">
      <c r="A29" s="168">
        <v>23</v>
      </c>
      <c r="B29" s="403" t="s">
        <v>608</v>
      </c>
      <c r="C29" s="404" t="s">
        <v>611</v>
      </c>
      <c r="D29" s="405"/>
      <c r="E29" s="405">
        <v>85</v>
      </c>
      <c r="F29" s="463" t="s">
        <v>612</v>
      </c>
      <c r="G29" s="405" t="s">
        <v>589</v>
      </c>
      <c r="H29" s="406">
        <v>3897500</v>
      </c>
      <c r="I29" s="400" t="s">
        <v>582</v>
      </c>
      <c r="J29" s="169">
        <f t="shared" si="0"/>
        <v>282568.75</v>
      </c>
      <c r="K29" s="407" t="s">
        <v>581</v>
      </c>
      <c r="L29" s="169">
        <f t="shared" si="1"/>
        <v>116925</v>
      </c>
      <c r="M29" s="407" t="s">
        <v>694</v>
      </c>
      <c r="N29" s="169">
        <f t="shared" si="2"/>
        <v>77950</v>
      </c>
      <c r="O29" s="407" t="s">
        <v>700</v>
      </c>
      <c r="P29" s="169">
        <f t="shared" si="3"/>
        <v>38975</v>
      </c>
      <c r="Q29" s="170">
        <f t="shared" si="4"/>
        <v>19487.5</v>
      </c>
      <c r="R29" s="170">
        <f t="shared" si="5"/>
        <v>535906.25</v>
      </c>
      <c r="S29" s="175"/>
      <c r="T29" s="175"/>
      <c r="U29" s="175"/>
      <c r="V29" s="175"/>
    </row>
    <row r="30" spans="1:22" s="147" customFormat="1" ht="45.75" customHeight="1">
      <c r="A30" s="168">
        <v>24</v>
      </c>
      <c r="B30" s="403" t="s">
        <v>608</v>
      </c>
      <c r="C30" s="404" t="s">
        <v>613</v>
      </c>
      <c r="D30" s="405"/>
      <c r="E30" s="405">
        <v>70</v>
      </c>
      <c r="F30" s="463" t="s">
        <v>614</v>
      </c>
      <c r="G30" s="405" t="s">
        <v>592</v>
      </c>
      <c r="H30" s="406">
        <v>3525500</v>
      </c>
      <c r="I30" s="400" t="s">
        <v>582</v>
      </c>
      <c r="J30" s="169">
        <f t="shared" si="0"/>
        <v>255598.75000000006</v>
      </c>
      <c r="K30" s="407" t="s">
        <v>581</v>
      </c>
      <c r="L30" s="169">
        <f t="shared" si="1"/>
        <v>105765</v>
      </c>
      <c r="M30" s="407" t="s">
        <v>694</v>
      </c>
      <c r="N30" s="169">
        <f t="shared" si="2"/>
        <v>70510</v>
      </c>
      <c r="O30" s="407" t="s">
        <v>702</v>
      </c>
      <c r="P30" s="169">
        <f t="shared" si="3"/>
        <v>35255</v>
      </c>
      <c r="Q30" s="170">
        <f t="shared" si="4"/>
        <v>17627.5</v>
      </c>
      <c r="R30" s="170">
        <f t="shared" si="5"/>
        <v>484756.25000000006</v>
      </c>
      <c r="S30" s="175"/>
      <c r="T30" s="175"/>
      <c r="U30" s="175"/>
      <c r="V30" s="175"/>
    </row>
    <row r="31" spans="1:22" s="147" customFormat="1" ht="45.75" customHeight="1">
      <c r="A31" s="168">
        <v>25</v>
      </c>
      <c r="B31" s="403" t="s">
        <v>730</v>
      </c>
      <c r="C31" s="404" t="s">
        <v>731</v>
      </c>
      <c r="D31" s="405"/>
      <c r="E31" s="405">
        <v>19</v>
      </c>
      <c r="F31" s="463" t="s">
        <v>726</v>
      </c>
      <c r="G31" s="405" t="s">
        <v>713</v>
      </c>
      <c r="H31" s="406">
        <v>1233000</v>
      </c>
      <c r="I31" s="400" t="s">
        <v>580</v>
      </c>
      <c r="J31" s="169">
        <f t="shared" si="0"/>
        <v>126382.5</v>
      </c>
      <c r="K31" s="407" t="s">
        <v>703</v>
      </c>
      <c r="L31" s="169">
        <f t="shared" si="1"/>
        <v>36990</v>
      </c>
      <c r="M31" s="407" t="s">
        <v>56</v>
      </c>
      <c r="N31" s="169">
        <f t="shared" si="2"/>
        <v>0</v>
      </c>
      <c r="O31" s="407" t="s">
        <v>56</v>
      </c>
      <c r="P31" s="169">
        <f t="shared" si="3"/>
        <v>0</v>
      </c>
      <c r="Q31" s="170">
        <f t="shared" si="4"/>
        <v>6165</v>
      </c>
      <c r="R31" s="170">
        <f t="shared" si="5"/>
        <v>169537.5</v>
      </c>
      <c r="S31" s="175"/>
      <c r="T31" s="175"/>
      <c r="U31" s="175"/>
      <c r="V31" s="175"/>
    </row>
    <row r="32" spans="1:22" s="147" customFormat="1" ht="45.75" customHeight="1">
      <c r="A32" s="168">
        <v>26</v>
      </c>
      <c r="B32" s="403" t="s">
        <v>615</v>
      </c>
      <c r="C32" s="404" t="s">
        <v>616</v>
      </c>
      <c r="D32" s="405"/>
      <c r="E32" s="405">
        <v>32</v>
      </c>
      <c r="F32" s="463" t="s">
        <v>598</v>
      </c>
      <c r="G32" s="405" t="s">
        <v>592</v>
      </c>
      <c r="H32" s="406">
        <v>4497500</v>
      </c>
      <c r="I32" s="400" t="s">
        <v>582</v>
      </c>
      <c r="J32" s="169">
        <f t="shared" si="0"/>
        <v>326068.75</v>
      </c>
      <c r="K32" s="407" t="s">
        <v>695</v>
      </c>
      <c r="L32" s="169">
        <f t="shared" si="1"/>
        <v>134925</v>
      </c>
      <c r="M32" s="407" t="s">
        <v>693</v>
      </c>
      <c r="N32" s="169">
        <f t="shared" si="2"/>
        <v>89950</v>
      </c>
      <c r="O32" s="407" t="s">
        <v>699</v>
      </c>
      <c r="P32" s="169">
        <f t="shared" si="3"/>
        <v>44975</v>
      </c>
      <c r="Q32" s="170">
        <f t="shared" si="4"/>
        <v>22487.5</v>
      </c>
      <c r="R32" s="170">
        <f t="shared" si="5"/>
        <v>618406.25</v>
      </c>
      <c r="S32" s="175"/>
      <c r="T32" s="175"/>
      <c r="U32" s="175"/>
      <c r="V32" s="175"/>
    </row>
    <row r="33" spans="1:22" s="147" customFormat="1" ht="15">
      <c r="A33" s="168">
        <v>27</v>
      </c>
      <c r="B33" s="403" t="s">
        <v>615</v>
      </c>
      <c r="C33" s="404" t="s">
        <v>756</v>
      </c>
      <c r="D33" s="405">
        <v>40</v>
      </c>
      <c r="E33" s="405"/>
      <c r="F33" s="463" t="s">
        <v>757</v>
      </c>
      <c r="G33" s="405" t="s">
        <v>752</v>
      </c>
      <c r="H33" s="406">
        <v>5265000</v>
      </c>
      <c r="I33" s="400" t="s">
        <v>581</v>
      </c>
      <c r="J33" s="169">
        <f t="shared" si="0"/>
        <v>381712.50000000012</v>
      </c>
      <c r="K33" s="407" t="s">
        <v>700</v>
      </c>
      <c r="L33" s="169">
        <f t="shared" si="1"/>
        <v>157950</v>
      </c>
      <c r="M33" s="407" t="s">
        <v>694</v>
      </c>
      <c r="N33" s="169">
        <f t="shared" si="2"/>
        <v>105300</v>
      </c>
      <c r="O33" s="407" t="s">
        <v>702</v>
      </c>
      <c r="P33" s="169">
        <f t="shared" si="3"/>
        <v>52650</v>
      </c>
      <c r="Q33" s="170">
        <f t="shared" si="4"/>
        <v>26325</v>
      </c>
      <c r="R33" s="170">
        <f t="shared" si="5"/>
        <v>723937.50000000012</v>
      </c>
      <c r="S33" s="175"/>
      <c r="T33" s="175"/>
      <c r="U33" s="175"/>
      <c r="V33" s="175"/>
    </row>
    <row r="34" spans="1:22" s="147" customFormat="1" ht="45.75" customHeight="1">
      <c r="A34" s="168">
        <v>28</v>
      </c>
      <c r="B34" s="403" t="s">
        <v>615</v>
      </c>
      <c r="C34" s="404" t="s">
        <v>617</v>
      </c>
      <c r="D34" s="405">
        <v>22</v>
      </c>
      <c r="E34" s="405"/>
      <c r="F34" s="463" t="s">
        <v>598</v>
      </c>
      <c r="G34" s="405" t="s">
        <v>592</v>
      </c>
      <c r="H34" s="406">
        <v>4497500</v>
      </c>
      <c r="I34" s="400" t="s">
        <v>584</v>
      </c>
      <c r="J34" s="169">
        <f t="shared" si="0"/>
        <v>472237.5</v>
      </c>
      <c r="K34" s="407" t="s">
        <v>582</v>
      </c>
      <c r="L34" s="169">
        <f t="shared" si="1"/>
        <v>134925</v>
      </c>
      <c r="M34" s="407" t="s">
        <v>694</v>
      </c>
      <c r="N34" s="169">
        <f t="shared" si="2"/>
        <v>89950</v>
      </c>
      <c r="O34" s="407" t="s">
        <v>702</v>
      </c>
      <c r="P34" s="169">
        <f t="shared" si="3"/>
        <v>44975</v>
      </c>
      <c r="Q34" s="170">
        <f t="shared" si="4"/>
        <v>22487.5</v>
      </c>
      <c r="R34" s="170">
        <f t="shared" si="5"/>
        <v>764575</v>
      </c>
      <c r="S34" s="175"/>
      <c r="T34" s="175"/>
      <c r="U34" s="175"/>
      <c r="V34" s="175"/>
    </row>
    <row r="35" spans="1:22" s="147" customFormat="1" ht="45.75" customHeight="1">
      <c r="A35" s="168">
        <v>29</v>
      </c>
      <c r="B35" s="403" t="s">
        <v>618</v>
      </c>
      <c r="C35" s="404" t="s">
        <v>619</v>
      </c>
      <c r="D35" s="405"/>
      <c r="E35" s="405">
        <v>30</v>
      </c>
      <c r="F35" s="463" t="s">
        <v>620</v>
      </c>
      <c r="G35" s="405" t="s">
        <v>589</v>
      </c>
      <c r="H35" s="406">
        <v>4724100</v>
      </c>
      <c r="I35" s="400" t="s">
        <v>584</v>
      </c>
      <c r="J35" s="169">
        <f t="shared" si="0"/>
        <v>496030.5</v>
      </c>
      <c r="K35" s="407" t="s">
        <v>581</v>
      </c>
      <c r="L35" s="169">
        <f t="shared" si="1"/>
        <v>141723</v>
      </c>
      <c r="M35" s="407" t="s">
        <v>702</v>
      </c>
      <c r="N35" s="169">
        <f t="shared" si="2"/>
        <v>94482</v>
      </c>
      <c r="O35" s="407" t="s">
        <v>694</v>
      </c>
      <c r="P35" s="169">
        <f t="shared" si="3"/>
        <v>47241</v>
      </c>
      <c r="Q35" s="170">
        <f t="shared" si="4"/>
        <v>23620.5</v>
      </c>
      <c r="R35" s="170">
        <f t="shared" si="5"/>
        <v>803097</v>
      </c>
      <c r="S35" s="175"/>
      <c r="T35" s="175"/>
      <c r="U35" s="175"/>
      <c r="V35" s="175"/>
    </row>
    <row r="36" spans="1:22" s="147" customFormat="1" ht="45.75" customHeight="1">
      <c r="A36" s="168">
        <v>30</v>
      </c>
      <c r="B36" s="403" t="s">
        <v>618</v>
      </c>
      <c r="C36" s="404" t="s">
        <v>621</v>
      </c>
      <c r="D36" s="405">
        <v>55</v>
      </c>
      <c r="E36" s="405"/>
      <c r="F36" s="463" t="s">
        <v>614</v>
      </c>
      <c r="G36" s="405" t="s">
        <v>592</v>
      </c>
      <c r="H36" s="406">
        <v>3525500</v>
      </c>
      <c r="I36" s="400" t="s">
        <v>165</v>
      </c>
      <c r="J36" s="169">
        <f t="shared" si="0"/>
        <v>370177.5</v>
      </c>
      <c r="K36" s="407" t="s">
        <v>584</v>
      </c>
      <c r="L36" s="169">
        <f t="shared" si="1"/>
        <v>105765</v>
      </c>
      <c r="M36" s="407" t="s">
        <v>580</v>
      </c>
      <c r="N36" s="169">
        <f t="shared" si="2"/>
        <v>70510</v>
      </c>
      <c r="O36" s="407" t="s">
        <v>694</v>
      </c>
      <c r="P36" s="169">
        <f t="shared" si="3"/>
        <v>35255</v>
      </c>
      <c r="Q36" s="170">
        <f t="shared" si="4"/>
        <v>17627.5</v>
      </c>
      <c r="R36" s="170">
        <f t="shared" si="5"/>
        <v>599335</v>
      </c>
      <c r="S36" s="175"/>
      <c r="T36" s="175"/>
      <c r="U36" s="175"/>
      <c r="V36" s="175"/>
    </row>
    <row r="37" spans="1:22" s="147" customFormat="1" ht="21.75" customHeight="1">
      <c r="A37" s="168">
        <v>31</v>
      </c>
      <c r="B37" s="403" t="s">
        <v>618</v>
      </c>
      <c r="C37" s="404" t="s">
        <v>622</v>
      </c>
      <c r="D37" s="405">
        <v>68</v>
      </c>
      <c r="E37" s="405"/>
      <c r="F37" s="463" t="s">
        <v>591</v>
      </c>
      <c r="G37" s="405" t="s">
        <v>592</v>
      </c>
      <c r="H37" s="406">
        <v>4201900</v>
      </c>
      <c r="I37" s="400" t="s">
        <v>584</v>
      </c>
      <c r="J37" s="169">
        <f t="shared" si="0"/>
        <v>441199.5</v>
      </c>
      <c r="K37" s="407" t="s">
        <v>582</v>
      </c>
      <c r="L37" s="169">
        <f t="shared" si="1"/>
        <v>126057</v>
      </c>
      <c r="M37" s="407" t="s">
        <v>585</v>
      </c>
      <c r="N37" s="169">
        <f t="shared" si="2"/>
        <v>84038</v>
      </c>
      <c r="O37" s="407" t="s">
        <v>702</v>
      </c>
      <c r="P37" s="169">
        <f t="shared" si="3"/>
        <v>42019</v>
      </c>
      <c r="Q37" s="170">
        <f t="shared" si="4"/>
        <v>21009.5</v>
      </c>
      <c r="R37" s="170">
        <f t="shared" si="5"/>
        <v>714323</v>
      </c>
      <c r="S37" s="175"/>
      <c r="T37" s="175"/>
      <c r="U37" s="175"/>
      <c r="V37" s="175"/>
    </row>
    <row r="38" spans="1:22" s="147" customFormat="1" ht="15">
      <c r="A38" s="168">
        <v>32</v>
      </c>
      <c r="B38" s="403" t="s">
        <v>618</v>
      </c>
      <c r="C38" s="404" t="s">
        <v>623</v>
      </c>
      <c r="D38" s="405">
        <v>47</v>
      </c>
      <c r="E38" s="405"/>
      <c r="F38" s="463" t="s">
        <v>624</v>
      </c>
      <c r="G38" s="405" t="s">
        <v>589</v>
      </c>
      <c r="H38" s="406">
        <v>1859300</v>
      </c>
      <c r="I38" s="400" t="s">
        <v>580</v>
      </c>
      <c r="J38" s="169">
        <f t="shared" si="0"/>
        <v>153392.25000000003</v>
      </c>
      <c r="K38" s="407" t="s">
        <v>696</v>
      </c>
      <c r="L38" s="169">
        <f t="shared" si="1"/>
        <v>55779</v>
      </c>
      <c r="M38" s="407" t="s">
        <v>703</v>
      </c>
      <c r="N38" s="169">
        <f t="shared" si="2"/>
        <v>37186</v>
      </c>
      <c r="O38" s="407" t="s">
        <v>56</v>
      </c>
      <c r="P38" s="169">
        <f t="shared" si="3"/>
        <v>0</v>
      </c>
      <c r="Q38" s="170">
        <f t="shared" si="4"/>
        <v>9296.5</v>
      </c>
      <c r="R38" s="170">
        <f t="shared" si="5"/>
        <v>255653.75000000003</v>
      </c>
      <c r="S38" s="175"/>
      <c r="T38" s="175"/>
      <c r="U38" s="175"/>
      <c r="V38" s="175"/>
    </row>
    <row r="39" spans="1:22" s="147" customFormat="1" ht="45.75" customHeight="1">
      <c r="A39" s="168">
        <v>33</v>
      </c>
      <c r="B39" s="403" t="s">
        <v>618</v>
      </c>
      <c r="C39" s="404" t="s">
        <v>758</v>
      </c>
      <c r="D39" s="405"/>
      <c r="E39" s="405">
        <v>33</v>
      </c>
      <c r="F39" s="463" t="s">
        <v>759</v>
      </c>
      <c r="G39" s="405" t="s">
        <v>752</v>
      </c>
      <c r="H39" s="406">
        <v>3000000</v>
      </c>
      <c r="I39" s="400" t="s">
        <v>580</v>
      </c>
      <c r="J39" s="169">
        <f t="shared" si="0"/>
        <v>397500.00000000006</v>
      </c>
      <c r="K39" s="407" t="s">
        <v>56</v>
      </c>
      <c r="L39" s="169">
        <f t="shared" si="1"/>
        <v>0</v>
      </c>
      <c r="M39" s="407" t="s">
        <v>56</v>
      </c>
      <c r="N39" s="169">
        <f t="shared" si="2"/>
        <v>0</v>
      </c>
      <c r="O39" s="407" t="s">
        <v>56</v>
      </c>
      <c r="P39" s="169">
        <f t="shared" si="3"/>
        <v>0</v>
      </c>
      <c r="Q39" s="170">
        <f t="shared" si="4"/>
        <v>15000</v>
      </c>
      <c r="R39" s="170">
        <f t="shared" si="5"/>
        <v>412500.00000000006</v>
      </c>
      <c r="S39" s="175"/>
      <c r="T39" s="175"/>
      <c r="U39" s="175"/>
      <c r="V39" s="175"/>
    </row>
    <row r="40" spans="1:22" s="147" customFormat="1" ht="45.75" customHeight="1">
      <c r="A40" s="168">
        <v>34</v>
      </c>
      <c r="B40" s="403" t="s">
        <v>625</v>
      </c>
      <c r="C40" s="404" t="s">
        <v>626</v>
      </c>
      <c r="D40" s="405">
        <v>64</v>
      </c>
      <c r="E40" s="405"/>
      <c r="F40" s="463" t="s">
        <v>627</v>
      </c>
      <c r="G40" s="405" t="s">
        <v>589</v>
      </c>
      <c r="H40" s="406">
        <v>2697300</v>
      </c>
      <c r="I40" s="400" t="s">
        <v>582</v>
      </c>
      <c r="J40" s="169">
        <f t="shared" si="0"/>
        <v>195554.25000000006</v>
      </c>
      <c r="K40" s="407" t="s">
        <v>581</v>
      </c>
      <c r="L40" s="169">
        <f t="shared" si="1"/>
        <v>80919</v>
      </c>
      <c r="M40" s="407" t="s">
        <v>693</v>
      </c>
      <c r="N40" s="169">
        <f t="shared" si="2"/>
        <v>53946</v>
      </c>
      <c r="O40" s="407" t="s">
        <v>696</v>
      </c>
      <c r="P40" s="169">
        <f t="shared" si="3"/>
        <v>26973</v>
      </c>
      <c r="Q40" s="170">
        <f t="shared" si="4"/>
        <v>13486.5</v>
      </c>
      <c r="R40" s="170">
        <f t="shared" si="5"/>
        <v>370878.75000000006</v>
      </c>
      <c r="S40" s="175"/>
      <c r="T40" s="175"/>
      <c r="U40" s="175"/>
      <c r="V40" s="175"/>
    </row>
    <row r="41" spans="1:22" s="147" customFormat="1" ht="45.75" customHeight="1">
      <c r="A41" s="168">
        <v>35</v>
      </c>
      <c r="B41" s="403" t="s">
        <v>625</v>
      </c>
      <c r="C41" s="404" t="s">
        <v>732</v>
      </c>
      <c r="D41" s="405">
        <v>57</v>
      </c>
      <c r="E41" s="405"/>
      <c r="F41" s="463" t="s">
        <v>723</v>
      </c>
      <c r="G41" s="405" t="s">
        <v>713</v>
      </c>
      <c r="H41" s="406">
        <v>1773300</v>
      </c>
      <c r="I41" s="400" t="s">
        <v>581</v>
      </c>
      <c r="J41" s="169">
        <f t="shared" si="0"/>
        <v>128564.25000000003</v>
      </c>
      <c r="K41" s="407" t="s">
        <v>694</v>
      </c>
      <c r="L41" s="169">
        <f t="shared" si="1"/>
        <v>53199</v>
      </c>
      <c r="M41" s="407" t="s">
        <v>702</v>
      </c>
      <c r="N41" s="169">
        <f t="shared" si="2"/>
        <v>35466</v>
      </c>
      <c r="O41" s="407" t="s">
        <v>700</v>
      </c>
      <c r="P41" s="169">
        <f t="shared" si="3"/>
        <v>17733</v>
      </c>
      <c r="Q41" s="170">
        <f t="shared" si="4"/>
        <v>8866.5</v>
      </c>
      <c r="R41" s="170">
        <f t="shared" si="5"/>
        <v>243828.75000000003</v>
      </c>
      <c r="S41" s="175"/>
      <c r="T41" s="175"/>
      <c r="U41" s="175"/>
      <c r="V41" s="175"/>
    </row>
    <row r="42" spans="1:22" s="147" customFormat="1" ht="45.75" customHeight="1">
      <c r="A42" s="168">
        <v>36</v>
      </c>
      <c r="B42" s="403" t="s">
        <v>630</v>
      </c>
      <c r="C42" s="404" t="s">
        <v>722</v>
      </c>
      <c r="D42" s="405">
        <v>76</v>
      </c>
      <c r="E42" s="405"/>
      <c r="F42" s="463" t="s">
        <v>733</v>
      </c>
      <c r="G42" s="405" t="s">
        <v>713</v>
      </c>
      <c r="H42" s="406">
        <v>1947600</v>
      </c>
      <c r="I42" s="400" t="s">
        <v>580</v>
      </c>
      <c r="J42" s="169">
        <f t="shared" si="0"/>
        <v>141201</v>
      </c>
      <c r="K42" s="407" t="s">
        <v>701</v>
      </c>
      <c r="L42" s="169">
        <f t="shared" si="1"/>
        <v>58428</v>
      </c>
      <c r="M42" s="407" t="s">
        <v>699</v>
      </c>
      <c r="N42" s="169">
        <f t="shared" si="2"/>
        <v>38952</v>
      </c>
      <c r="O42" s="407" t="s">
        <v>693</v>
      </c>
      <c r="P42" s="169">
        <f t="shared" si="3"/>
        <v>19476</v>
      </c>
      <c r="Q42" s="170">
        <f t="shared" si="4"/>
        <v>9738</v>
      </c>
      <c r="R42" s="170">
        <f t="shared" si="5"/>
        <v>267795</v>
      </c>
      <c r="S42" s="175"/>
      <c r="T42" s="175"/>
      <c r="U42" s="175"/>
      <c r="V42" s="175"/>
    </row>
    <row r="43" spans="1:22" s="147" customFormat="1" ht="45.75" customHeight="1">
      <c r="A43" s="168">
        <v>37</v>
      </c>
      <c r="B43" s="403" t="s">
        <v>630</v>
      </c>
      <c r="C43" s="404" t="s">
        <v>631</v>
      </c>
      <c r="D43" s="405">
        <v>100</v>
      </c>
      <c r="E43" s="405"/>
      <c r="F43" s="463" t="s">
        <v>598</v>
      </c>
      <c r="G43" s="405" t="s">
        <v>592</v>
      </c>
      <c r="H43" s="406">
        <v>4497500</v>
      </c>
      <c r="I43" s="400" t="s">
        <v>584</v>
      </c>
      <c r="J43" s="169">
        <f t="shared" si="0"/>
        <v>472237.5</v>
      </c>
      <c r="K43" s="407" t="s">
        <v>580</v>
      </c>
      <c r="L43" s="169">
        <f t="shared" si="1"/>
        <v>134925</v>
      </c>
      <c r="M43" s="407" t="s">
        <v>693</v>
      </c>
      <c r="N43" s="169">
        <f t="shared" si="2"/>
        <v>89950</v>
      </c>
      <c r="O43" s="407" t="s">
        <v>699</v>
      </c>
      <c r="P43" s="169">
        <f t="shared" si="3"/>
        <v>44975</v>
      </c>
      <c r="Q43" s="170">
        <f t="shared" si="4"/>
        <v>22487.5</v>
      </c>
      <c r="R43" s="170">
        <f t="shared" si="5"/>
        <v>764575</v>
      </c>
      <c r="S43" s="175"/>
      <c r="T43" s="175"/>
      <c r="U43" s="175"/>
      <c r="V43" s="175"/>
    </row>
    <row r="44" spans="1:22" s="147" customFormat="1" ht="45.75" customHeight="1">
      <c r="A44" s="168">
        <v>38</v>
      </c>
      <c r="B44" s="403" t="s">
        <v>630</v>
      </c>
      <c r="C44" s="404" t="s">
        <v>632</v>
      </c>
      <c r="D44" s="405"/>
      <c r="E44" s="405">
        <v>70</v>
      </c>
      <c r="F44" s="463" t="s">
        <v>598</v>
      </c>
      <c r="G44" s="405" t="s">
        <v>592</v>
      </c>
      <c r="H44" s="406">
        <v>4497500</v>
      </c>
      <c r="I44" s="400" t="s">
        <v>580</v>
      </c>
      <c r="J44" s="169">
        <f t="shared" si="0"/>
        <v>326068.75</v>
      </c>
      <c r="K44" s="407" t="s">
        <v>698</v>
      </c>
      <c r="L44" s="169">
        <f t="shared" si="1"/>
        <v>134925</v>
      </c>
      <c r="M44" s="407" t="s">
        <v>696</v>
      </c>
      <c r="N44" s="169">
        <f t="shared" si="2"/>
        <v>89950</v>
      </c>
      <c r="O44" s="407" t="s">
        <v>703</v>
      </c>
      <c r="P44" s="169">
        <f t="shared" si="3"/>
        <v>44975</v>
      </c>
      <c r="Q44" s="170">
        <f t="shared" si="4"/>
        <v>22487.5</v>
      </c>
      <c r="R44" s="170">
        <f t="shared" si="5"/>
        <v>618406.25</v>
      </c>
      <c r="S44" s="175"/>
      <c r="T44" s="175"/>
      <c r="U44" s="175"/>
      <c r="V44" s="175"/>
    </row>
    <row r="45" spans="1:22" s="147" customFormat="1" ht="45.75" customHeight="1">
      <c r="A45" s="168">
        <v>39</v>
      </c>
      <c r="B45" s="403" t="s">
        <v>630</v>
      </c>
      <c r="C45" s="404" t="s">
        <v>633</v>
      </c>
      <c r="D45" s="405">
        <v>34</v>
      </c>
      <c r="E45" s="405"/>
      <c r="F45" s="463" t="s">
        <v>598</v>
      </c>
      <c r="G45" s="405" t="s">
        <v>592</v>
      </c>
      <c r="H45" s="406">
        <v>4497500</v>
      </c>
      <c r="I45" s="400" t="s">
        <v>582</v>
      </c>
      <c r="J45" s="169">
        <f t="shared" si="0"/>
        <v>326068.75</v>
      </c>
      <c r="K45" s="407" t="s">
        <v>581</v>
      </c>
      <c r="L45" s="169">
        <f t="shared" si="1"/>
        <v>134925</v>
      </c>
      <c r="M45" s="407" t="s">
        <v>695</v>
      </c>
      <c r="N45" s="169">
        <f t="shared" si="2"/>
        <v>89950</v>
      </c>
      <c r="O45" s="407" t="s">
        <v>701</v>
      </c>
      <c r="P45" s="169">
        <f t="shared" si="3"/>
        <v>44975</v>
      </c>
      <c r="Q45" s="170">
        <f t="shared" si="4"/>
        <v>22487.5</v>
      </c>
      <c r="R45" s="170">
        <f t="shared" si="5"/>
        <v>618406.25</v>
      </c>
      <c r="S45" s="175"/>
      <c r="T45" s="175"/>
      <c r="U45" s="175"/>
      <c r="V45" s="175"/>
    </row>
    <row r="46" spans="1:22" s="147" customFormat="1" ht="45.75" customHeight="1">
      <c r="A46" s="168">
        <v>40</v>
      </c>
      <c r="B46" s="403" t="s">
        <v>630</v>
      </c>
      <c r="C46" s="404" t="s">
        <v>753</v>
      </c>
      <c r="D46" s="405">
        <v>31</v>
      </c>
      <c r="E46" s="405"/>
      <c r="F46" s="463" t="s">
        <v>598</v>
      </c>
      <c r="G46" s="405" t="s">
        <v>752</v>
      </c>
      <c r="H46" s="406">
        <v>9972000</v>
      </c>
      <c r="I46" s="400" t="s">
        <v>582</v>
      </c>
      <c r="J46" s="169">
        <f t="shared" si="0"/>
        <v>722970</v>
      </c>
      <c r="K46" s="407" t="s">
        <v>581</v>
      </c>
      <c r="L46" s="169">
        <f t="shared" si="1"/>
        <v>299160</v>
      </c>
      <c r="M46" s="407" t="s">
        <v>695</v>
      </c>
      <c r="N46" s="169">
        <f t="shared" si="2"/>
        <v>199440</v>
      </c>
      <c r="O46" s="407" t="s">
        <v>699</v>
      </c>
      <c r="P46" s="169">
        <f t="shared" si="3"/>
        <v>99720</v>
      </c>
      <c r="Q46" s="170">
        <f t="shared" si="4"/>
        <v>49860</v>
      </c>
      <c r="R46" s="170">
        <f t="shared" si="5"/>
        <v>1371150</v>
      </c>
      <c r="S46" s="175"/>
      <c r="T46" s="175"/>
      <c r="U46" s="175"/>
      <c r="V46" s="175"/>
    </row>
    <row r="47" spans="1:22" s="147" customFormat="1" ht="45.75" customHeight="1">
      <c r="A47" s="168">
        <v>41</v>
      </c>
      <c r="B47" s="403" t="s">
        <v>634</v>
      </c>
      <c r="C47" s="404" t="s">
        <v>635</v>
      </c>
      <c r="D47" s="405"/>
      <c r="E47" s="405">
        <v>72</v>
      </c>
      <c r="F47" s="463" t="s">
        <v>636</v>
      </c>
      <c r="G47" s="405" t="s">
        <v>592</v>
      </c>
      <c r="H47" s="406">
        <v>4578000</v>
      </c>
      <c r="I47" s="400" t="s">
        <v>582</v>
      </c>
      <c r="J47" s="169">
        <f t="shared" si="0"/>
        <v>331905</v>
      </c>
      <c r="K47" s="407" t="s">
        <v>581</v>
      </c>
      <c r="L47" s="169">
        <f t="shared" si="1"/>
        <v>137340</v>
      </c>
      <c r="M47" s="407" t="s">
        <v>695</v>
      </c>
      <c r="N47" s="169">
        <f t="shared" si="2"/>
        <v>91560</v>
      </c>
      <c r="O47" s="407" t="s">
        <v>694</v>
      </c>
      <c r="P47" s="169">
        <f t="shared" si="3"/>
        <v>45780</v>
      </c>
      <c r="Q47" s="170">
        <f t="shared" si="4"/>
        <v>22890</v>
      </c>
      <c r="R47" s="170">
        <f t="shared" si="5"/>
        <v>629475</v>
      </c>
      <c r="S47" s="175"/>
      <c r="T47" s="175"/>
      <c r="U47" s="175"/>
      <c r="V47" s="175"/>
    </row>
    <row r="48" spans="1:22" s="147" customFormat="1" ht="45.75" customHeight="1">
      <c r="A48" s="168">
        <v>42</v>
      </c>
      <c r="B48" s="403" t="s">
        <v>634</v>
      </c>
      <c r="C48" s="404" t="s">
        <v>637</v>
      </c>
      <c r="D48" s="405"/>
      <c r="E48" s="405">
        <v>44</v>
      </c>
      <c r="F48" s="463" t="s">
        <v>638</v>
      </c>
      <c r="G48" s="405" t="s">
        <v>589</v>
      </c>
      <c r="H48" s="406">
        <v>3397500</v>
      </c>
      <c r="I48" s="400" t="s">
        <v>581</v>
      </c>
      <c r="J48" s="169">
        <f t="shared" si="0"/>
        <v>450168.75000000006</v>
      </c>
      <c r="K48" s="407" t="s">
        <v>56</v>
      </c>
      <c r="L48" s="169">
        <f t="shared" si="1"/>
        <v>0</v>
      </c>
      <c r="M48" s="407" t="s">
        <v>56</v>
      </c>
      <c r="N48" s="169">
        <f t="shared" si="2"/>
        <v>0</v>
      </c>
      <c r="O48" s="407" t="s">
        <v>56</v>
      </c>
      <c r="P48" s="169">
        <f t="shared" si="3"/>
        <v>0</v>
      </c>
      <c r="Q48" s="170">
        <f t="shared" si="4"/>
        <v>16987.5</v>
      </c>
      <c r="R48" s="170">
        <f t="shared" si="5"/>
        <v>467156.25000000006</v>
      </c>
      <c r="S48" s="175"/>
      <c r="T48" s="175"/>
      <c r="U48" s="175"/>
      <c r="V48" s="175"/>
    </row>
    <row r="49" spans="1:22" s="147" customFormat="1" ht="45.75" customHeight="1">
      <c r="A49" s="168">
        <v>43</v>
      </c>
      <c r="B49" s="403" t="s">
        <v>634</v>
      </c>
      <c r="C49" s="404" t="s">
        <v>498</v>
      </c>
      <c r="D49" s="405"/>
      <c r="E49" s="405">
        <v>1</v>
      </c>
      <c r="F49" s="463" t="s">
        <v>760</v>
      </c>
      <c r="G49" s="405" t="s">
        <v>752</v>
      </c>
      <c r="H49" s="406">
        <v>6000000</v>
      </c>
      <c r="I49" s="400" t="s">
        <v>584</v>
      </c>
      <c r="J49" s="169">
        <f t="shared" si="0"/>
        <v>630000.00000000012</v>
      </c>
      <c r="K49" s="407" t="s">
        <v>581</v>
      </c>
      <c r="L49" s="169">
        <f t="shared" si="1"/>
        <v>180000</v>
      </c>
      <c r="M49" s="407" t="s">
        <v>702</v>
      </c>
      <c r="N49" s="169">
        <f t="shared" si="2"/>
        <v>120000</v>
      </c>
      <c r="O49" s="407" t="s">
        <v>694</v>
      </c>
      <c r="P49" s="169">
        <f t="shared" si="3"/>
        <v>60000</v>
      </c>
      <c r="Q49" s="170">
        <f t="shared" si="4"/>
        <v>30000</v>
      </c>
      <c r="R49" s="170">
        <f t="shared" si="5"/>
        <v>1020000.0000000001</v>
      </c>
      <c r="S49" s="175"/>
      <c r="T49" s="175"/>
      <c r="U49" s="175"/>
      <c r="V49" s="175"/>
    </row>
    <row r="50" spans="1:22" s="147" customFormat="1" ht="15">
      <c r="A50" s="168">
        <v>44</v>
      </c>
      <c r="B50" s="403" t="s">
        <v>634</v>
      </c>
      <c r="C50" s="404" t="s">
        <v>639</v>
      </c>
      <c r="D50" s="405">
        <v>40</v>
      </c>
      <c r="E50" s="405"/>
      <c r="F50" s="463" t="s">
        <v>640</v>
      </c>
      <c r="G50" s="405" t="s">
        <v>592</v>
      </c>
      <c r="H50" s="406">
        <v>5397500</v>
      </c>
      <c r="I50" s="400" t="s">
        <v>581</v>
      </c>
      <c r="J50" s="169">
        <f t="shared" si="0"/>
        <v>391318.75000000012</v>
      </c>
      <c r="K50" s="407" t="s">
        <v>694</v>
      </c>
      <c r="L50" s="169">
        <f t="shared" si="1"/>
        <v>161925</v>
      </c>
      <c r="M50" s="407" t="s">
        <v>700</v>
      </c>
      <c r="N50" s="169">
        <f t="shared" si="2"/>
        <v>107950</v>
      </c>
      <c r="O50" s="407" t="s">
        <v>701</v>
      </c>
      <c r="P50" s="169">
        <f t="shared" si="3"/>
        <v>53975</v>
      </c>
      <c r="Q50" s="170">
        <f t="shared" si="4"/>
        <v>26987.5</v>
      </c>
      <c r="R50" s="170">
        <f t="shared" si="5"/>
        <v>742156.25000000012</v>
      </c>
      <c r="S50" s="175"/>
      <c r="T50" s="175"/>
      <c r="U50" s="175"/>
      <c r="V50" s="175"/>
    </row>
    <row r="51" spans="1:22" s="147" customFormat="1" ht="45.75" customHeight="1">
      <c r="A51" s="168">
        <v>45</v>
      </c>
      <c r="B51" s="403" t="s">
        <v>634</v>
      </c>
      <c r="C51" s="404" t="s">
        <v>734</v>
      </c>
      <c r="D51" s="405">
        <v>72</v>
      </c>
      <c r="E51" s="405"/>
      <c r="F51" s="463" t="s">
        <v>733</v>
      </c>
      <c r="G51" s="405" t="s">
        <v>713</v>
      </c>
      <c r="H51" s="406">
        <v>1947100</v>
      </c>
      <c r="I51" s="400" t="s">
        <v>584</v>
      </c>
      <c r="J51" s="169">
        <f t="shared" si="0"/>
        <v>204445.5</v>
      </c>
      <c r="K51" s="407" t="s">
        <v>702</v>
      </c>
      <c r="L51" s="169">
        <f t="shared" si="1"/>
        <v>58413</v>
      </c>
      <c r="M51" s="407" t="s">
        <v>694</v>
      </c>
      <c r="N51" s="169">
        <f t="shared" si="2"/>
        <v>38942</v>
      </c>
      <c r="O51" s="407" t="s">
        <v>700</v>
      </c>
      <c r="P51" s="169">
        <f t="shared" si="3"/>
        <v>19471</v>
      </c>
      <c r="Q51" s="170">
        <f t="shared" si="4"/>
        <v>9735.5</v>
      </c>
      <c r="R51" s="170">
        <f t="shared" si="5"/>
        <v>331007</v>
      </c>
      <c r="S51" s="175"/>
      <c r="T51" s="175"/>
      <c r="U51" s="175"/>
      <c r="V51" s="175"/>
    </row>
    <row r="52" spans="1:22" s="147" customFormat="1" ht="45.75" customHeight="1">
      <c r="A52" s="168">
        <v>46</v>
      </c>
      <c r="B52" s="403" t="s">
        <v>641</v>
      </c>
      <c r="C52" s="404" t="s">
        <v>642</v>
      </c>
      <c r="D52" s="405"/>
      <c r="E52" s="405">
        <v>72</v>
      </c>
      <c r="F52" s="463" t="s">
        <v>643</v>
      </c>
      <c r="G52" s="405" t="s">
        <v>592</v>
      </c>
      <c r="H52" s="406">
        <v>3525500</v>
      </c>
      <c r="I52" s="400" t="s">
        <v>584</v>
      </c>
      <c r="J52" s="169">
        <f t="shared" si="0"/>
        <v>370177.5</v>
      </c>
      <c r="K52" s="407" t="s">
        <v>585</v>
      </c>
      <c r="L52" s="169">
        <f t="shared" si="1"/>
        <v>105765</v>
      </c>
      <c r="M52" s="407" t="s">
        <v>700</v>
      </c>
      <c r="N52" s="169">
        <f t="shared" si="2"/>
        <v>70510</v>
      </c>
      <c r="O52" s="407" t="s">
        <v>703</v>
      </c>
      <c r="P52" s="169">
        <f t="shared" si="3"/>
        <v>35255</v>
      </c>
      <c r="Q52" s="170">
        <f t="shared" si="4"/>
        <v>17627.5</v>
      </c>
      <c r="R52" s="170">
        <f t="shared" si="5"/>
        <v>599335</v>
      </c>
      <c r="S52" s="175"/>
      <c r="T52" s="175"/>
      <c r="U52" s="175"/>
      <c r="V52" s="175"/>
    </row>
    <row r="53" spans="1:22" s="147" customFormat="1" ht="45.75" customHeight="1">
      <c r="A53" s="168">
        <v>47</v>
      </c>
      <c r="B53" s="403" t="s">
        <v>641</v>
      </c>
      <c r="C53" s="404" t="s">
        <v>735</v>
      </c>
      <c r="D53" s="405"/>
      <c r="E53" s="405">
        <v>15</v>
      </c>
      <c r="F53" s="463" t="s">
        <v>736</v>
      </c>
      <c r="G53" s="405" t="s">
        <v>713</v>
      </c>
      <c r="H53" s="406">
        <v>2496100</v>
      </c>
      <c r="I53" s="400" t="s">
        <v>585</v>
      </c>
      <c r="J53" s="169">
        <f t="shared" si="0"/>
        <v>287051.50000000006</v>
      </c>
      <c r="K53" s="407" t="s">
        <v>703</v>
      </c>
      <c r="L53" s="169">
        <f t="shared" si="1"/>
        <v>74883</v>
      </c>
      <c r="M53" s="407" t="s">
        <v>700</v>
      </c>
      <c r="N53" s="169">
        <f t="shared" si="2"/>
        <v>49922</v>
      </c>
      <c r="O53" s="407" t="s">
        <v>56</v>
      </c>
      <c r="P53" s="169">
        <f t="shared" si="3"/>
        <v>0</v>
      </c>
      <c r="Q53" s="170">
        <f t="shared" si="4"/>
        <v>12480.5</v>
      </c>
      <c r="R53" s="170">
        <f t="shared" si="5"/>
        <v>424337.00000000006</v>
      </c>
      <c r="S53" s="175"/>
      <c r="T53" s="175"/>
      <c r="U53" s="175"/>
      <c r="V53" s="175"/>
    </row>
    <row r="54" spans="1:22" s="147" customFormat="1" ht="45.75" customHeight="1">
      <c r="A54" s="168">
        <v>48</v>
      </c>
      <c r="B54" s="403" t="s">
        <v>645</v>
      </c>
      <c r="C54" s="404" t="s">
        <v>646</v>
      </c>
      <c r="D54" s="405">
        <v>63</v>
      </c>
      <c r="E54" s="405"/>
      <c r="F54" s="463" t="s">
        <v>591</v>
      </c>
      <c r="G54" s="405" t="s">
        <v>592</v>
      </c>
      <c r="H54" s="406">
        <v>4201900</v>
      </c>
      <c r="I54" s="400" t="s">
        <v>584</v>
      </c>
      <c r="J54" s="169">
        <f t="shared" si="0"/>
        <v>441199.5</v>
      </c>
      <c r="K54" s="407" t="s">
        <v>582</v>
      </c>
      <c r="L54" s="169">
        <f t="shared" si="1"/>
        <v>126057</v>
      </c>
      <c r="M54" s="407" t="s">
        <v>698</v>
      </c>
      <c r="N54" s="169">
        <f t="shared" si="2"/>
        <v>84038</v>
      </c>
      <c r="O54" s="407" t="s">
        <v>705</v>
      </c>
      <c r="P54" s="169">
        <f t="shared" si="3"/>
        <v>42019</v>
      </c>
      <c r="Q54" s="170">
        <f t="shared" si="4"/>
        <v>21009.5</v>
      </c>
      <c r="R54" s="170">
        <f t="shared" si="5"/>
        <v>714323</v>
      </c>
      <c r="S54" s="175"/>
      <c r="T54" s="175"/>
      <c r="U54" s="175"/>
      <c r="V54" s="175"/>
    </row>
    <row r="55" spans="1:22" s="467" customFormat="1" ht="45.75" customHeight="1">
      <c r="A55" s="464">
        <v>49</v>
      </c>
      <c r="B55" s="403" t="s">
        <v>645</v>
      </c>
      <c r="C55" s="404" t="s">
        <v>647</v>
      </c>
      <c r="D55" s="405"/>
      <c r="E55" s="405">
        <v>60</v>
      </c>
      <c r="F55" s="463" t="s">
        <v>591</v>
      </c>
      <c r="G55" s="405" t="s">
        <v>592</v>
      </c>
      <c r="H55" s="406">
        <v>4201900</v>
      </c>
      <c r="I55" s="400" t="s">
        <v>584</v>
      </c>
      <c r="J55" s="465">
        <f t="shared" si="0"/>
        <v>441199.5</v>
      </c>
      <c r="K55" s="407" t="s">
        <v>582</v>
      </c>
      <c r="L55" s="465">
        <f t="shared" si="1"/>
        <v>126057</v>
      </c>
      <c r="M55" s="407" t="s">
        <v>698</v>
      </c>
      <c r="N55" s="465">
        <f t="shared" si="2"/>
        <v>84038</v>
      </c>
      <c r="O55" s="407" t="s">
        <v>748</v>
      </c>
      <c r="P55" s="465">
        <f t="shared" si="3"/>
        <v>42019</v>
      </c>
      <c r="Q55" s="466">
        <f t="shared" si="4"/>
        <v>21009.5</v>
      </c>
      <c r="R55" s="466">
        <f t="shared" si="5"/>
        <v>714323</v>
      </c>
      <c r="S55" s="455"/>
      <c r="T55" s="455"/>
      <c r="U55" s="455"/>
      <c r="V55" s="455"/>
    </row>
    <row r="56" spans="1:22" s="467" customFormat="1" ht="45.75" customHeight="1">
      <c r="A56" s="464">
        <v>50</v>
      </c>
      <c r="B56" s="403" t="s">
        <v>648</v>
      </c>
      <c r="C56" s="404" t="s">
        <v>737</v>
      </c>
      <c r="D56" s="405"/>
      <c r="E56" s="405">
        <v>54</v>
      </c>
      <c r="F56" s="463" t="s">
        <v>717</v>
      </c>
      <c r="G56" s="405" t="s">
        <v>713</v>
      </c>
      <c r="H56" s="406">
        <v>2127400</v>
      </c>
      <c r="I56" s="400" t="s">
        <v>585</v>
      </c>
      <c r="J56" s="465">
        <f t="shared" si="0"/>
        <v>223377</v>
      </c>
      <c r="K56" s="407" t="s">
        <v>704</v>
      </c>
      <c r="L56" s="465">
        <f t="shared" si="1"/>
        <v>63822</v>
      </c>
      <c r="M56" s="407" t="s">
        <v>748</v>
      </c>
      <c r="N56" s="465">
        <f t="shared" si="2"/>
        <v>42548</v>
      </c>
      <c r="O56" s="407" t="s">
        <v>701</v>
      </c>
      <c r="P56" s="465">
        <f t="shared" si="3"/>
        <v>21274</v>
      </c>
      <c r="Q56" s="466">
        <f t="shared" si="4"/>
        <v>10637</v>
      </c>
      <c r="R56" s="466">
        <f t="shared" si="5"/>
        <v>361658</v>
      </c>
      <c r="S56" s="455"/>
      <c r="T56" s="455"/>
      <c r="U56" s="455"/>
      <c r="V56" s="455"/>
    </row>
    <row r="57" spans="1:22" s="147" customFormat="1" ht="45.75" customHeight="1">
      <c r="A57" s="168">
        <v>51</v>
      </c>
      <c r="B57" s="403" t="s">
        <v>648</v>
      </c>
      <c r="C57" s="404" t="s">
        <v>649</v>
      </c>
      <c r="D57" s="405"/>
      <c r="E57" s="405">
        <v>84</v>
      </c>
      <c r="F57" s="463" t="s">
        <v>650</v>
      </c>
      <c r="G57" s="405" t="s">
        <v>589</v>
      </c>
      <c r="H57" s="406">
        <v>3897500</v>
      </c>
      <c r="I57" s="400" t="s">
        <v>582</v>
      </c>
      <c r="J57" s="169">
        <f t="shared" si="0"/>
        <v>282568.75</v>
      </c>
      <c r="K57" s="407" t="s">
        <v>581</v>
      </c>
      <c r="L57" s="169">
        <f t="shared" si="1"/>
        <v>116925</v>
      </c>
      <c r="M57" s="407" t="s">
        <v>698</v>
      </c>
      <c r="N57" s="169">
        <f t="shared" si="2"/>
        <v>77950</v>
      </c>
      <c r="O57" s="407" t="s">
        <v>706</v>
      </c>
      <c r="P57" s="169">
        <f t="shared" si="3"/>
        <v>38975</v>
      </c>
      <c r="Q57" s="170">
        <f t="shared" si="4"/>
        <v>19487.5</v>
      </c>
      <c r="R57" s="170">
        <f t="shared" si="5"/>
        <v>535906.25</v>
      </c>
      <c r="S57" s="175"/>
      <c r="T57" s="175"/>
      <c r="U57" s="175"/>
      <c r="V57" s="175"/>
    </row>
    <row r="58" spans="1:22" s="147" customFormat="1" ht="45.75" customHeight="1">
      <c r="A58" s="168">
        <v>52</v>
      </c>
      <c r="B58" s="403" t="s">
        <v>648</v>
      </c>
      <c r="C58" s="404" t="s">
        <v>738</v>
      </c>
      <c r="D58" s="405">
        <v>36</v>
      </c>
      <c r="E58" s="405"/>
      <c r="F58" s="463" t="s">
        <v>739</v>
      </c>
      <c r="G58" s="405" t="s">
        <v>713</v>
      </c>
      <c r="H58" s="406">
        <v>2559100</v>
      </c>
      <c r="I58" s="400" t="s">
        <v>580</v>
      </c>
      <c r="J58" s="169">
        <f t="shared" si="0"/>
        <v>185534.75</v>
      </c>
      <c r="K58" s="407" t="s">
        <v>694</v>
      </c>
      <c r="L58" s="169">
        <f t="shared" si="1"/>
        <v>76773</v>
      </c>
      <c r="M58" s="407" t="s">
        <v>700</v>
      </c>
      <c r="N58" s="169">
        <f t="shared" si="2"/>
        <v>51182</v>
      </c>
      <c r="O58" s="407" t="s">
        <v>701</v>
      </c>
      <c r="P58" s="169">
        <f t="shared" si="3"/>
        <v>25591</v>
      </c>
      <c r="Q58" s="170">
        <f t="shared" si="4"/>
        <v>12795.5</v>
      </c>
      <c r="R58" s="170">
        <f t="shared" si="5"/>
        <v>351876.25</v>
      </c>
      <c r="S58" s="175"/>
      <c r="T58" s="175"/>
      <c r="U58" s="175"/>
      <c r="V58" s="175"/>
    </row>
    <row r="59" spans="1:22" s="147" customFormat="1" ht="45.75" customHeight="1">
      <c r="A59" s="168">
        <v>53</v>
      </c>
      <c r="B59" s="403" t="s">
        <v>648</v>
      </c>
      <c r="C59" s="404" t="s">
        <v>761</v>
      </c>
      <c r="D59" s="405">
        <v>43</v>
      </c>
      <c r="E59" s="405"/>
      <c r="F59" s="463" t="s">
        <v>762</v>
      </c>
      <c r="G59" s="405" t="s">
        <v>752</v>
      </c>
      <c r="H59" s="406">
        <v>8993000</v>
      </c>
      <c r="I59" s="400" t="s">
        <v>768</v>
      </c>
      <c r="J59" s="169">
        <f t="shared" si="0"/>
        <v>1483845</v>
      </c>
      <c r="K59" s="407" t="s">
        <v>56</v>
      </c>
      <c r="L59" s="169">
        <f t="shared" si="1"/>
        <v>0</v>
      </c>
      <c r="M59" s="407" t="s">
        <v>56</v>
      </c>
      <c r="N59" s="169">
        <f t="shared" si="2"/>
        <v>0</v>
      </c>
      <c r="O59" s="407" t="s">
        <v>56</v>
      </c>
      <c r="P59" s="169">
        <f t="shared" si="3"/>
        <v>0</v>
      </c>
      <c r="Q59" s="170">
        <f t="shared" si="4"/>
        <v>44965</v>
      </c>
      <c r="R59" s="170">
        <f t="shared" si="5"/>
        <v>1528810</v>
      </c>
      <c r="S59" s="175"/>
      <c r="T59" s="175"/>
      <c r="U59" s="175"/>
      <c r="V59" s="175"/>
    </row>
    <row r="60" spans="1:22" s="147" customFormat="1" ht="45.75" customHeight="1">
      <c r="A60" s="168">
        <v>54</v>
      </c>
      <c r="B60" s="403" t="s">
        <v>651</v>
      </c>
      <c r="C60" s="404" t="s">
        <v>652</v>
      </c>
      <c r="D60" s="405">
        <v>59</v>
      </c>
      <c r="E60" s="405"/>
      <c r="F60" s="463" t="s">
        <v>643</v>
      </c>
      <c r="G60" s="405" t="s">
        <v>592</v>
      </c>
      <c r="H60" s="406">
        <v>3525500</v>
      </c>
      <c r="I60" s="400" t="s">
        <v>165</v>
      </c>
      <c r="J60" s="169">
        <f t="shared" si="0"/>
        <v>370177.5</v>
      </c>
      <c r="K60" s="407" t="s">
        <v>584</v>
      </c>
      <c r="L60" s="169">
        <f t="shared" si="1"/>
        <v>105765</v>
      </c>
      <c r="M60" s="407" t="s">
        <v>697</v>
      </c>
      <c r="N60" s="169">
        <f t="shared" si="2"/>
        <v>70510</v>
      </c>
      <c r="O60" s="407" t="s">
        <v>706</v>
      </c>
      <c r="P60" s="169">
        <f t="shared" si="3"/>
        <v>35255</v>
      </c>
      <c r="Q60" s="170">
        <f t="shared" si="4"/>
        <v>17627.5</v>
      </c>
      <c r="R60" s="170">
        <f t="shared" si="5"/>
        <v>599335</v>
      </c>
      <c r="S60" s="175"/>
      <c r="T60" s="175"/>
      <c r="U60" s="175"/>
      <c r="V60" s="175"/>
    </row>
    <row r="61" spans="1:22" s="147" customFormat="1" ht="45.75" customHeight="1">
      <c r="A61" s="168">
        <v>55</v>
      </c>
      <c r="B61" s="403" t="s">
        <v>651</v>
      </c>
      <c r="C61" s="404" t="s">
        <v>653</v>
      </c>
      <c r="D61" s="405"/>
      <c r="E61" s="405">
        <v>74</v>
      </c>
      <c r="F61" s="463" t="s">
        <v>654</v>
      </c>
      <c r="G61" s="405" t="s">
        <v>592</v>
      </c>
      <c r="H61" s="406">
        <v>3525500</v>
      </c>
      <c r="I61" s="400" t="s">
        <v>691</v>
      </c>
      <c r="J61" s="169">
        <f t="shared" si="0"/>
        <v>405432.5</v>
      </c>
      <c r="K61" s="407" t="s">
        <v>584</v>
      </c>
      <c r="L61" s="169">
        <f t="shared" si="1"/>
        <v>105765</v>
      </c>
      <c r="M61" s="407" t="s">
        <v>582</v>
      </c>
      <c r="N61" s="169">
        <f t="shared" si="2"/>
        <v>70510</v>
      </c>
      <c r="O61" s="407" t="s">
        <v>56</v>
      </c>
      <c r="P61" s="169">
        <f t="shared" si="3"/>
        <v>0</v>
      </c>
      <c r="Q61" s="170">
        <f t="shared" si="4"/>
        <v>17627.5</v>
      </c>
      <c r="R61" s="170">
        <f t="shared" si="5"/>
        <v>599335</v>
      </c>
      <c r="S61" s="175"/>
      <c r="T61" s="175"/>
      <c r="U61" s="175"/>
      <c r="V61" s="175"/>
    </row>
    <row r="62" spans="1:22" s="147" customFormat="1" ht="45.75" customHeight="1">
      <c r="A62" s="168">
        <v>56</v>
      </c>
      <c r="B62" s="403" t="s">
        <v>651</v>
      </c>
      <c r="C62" s="404" t="s">
        <v>740</v>
      </c>
      <c r="D62" s="405"/>
      <c r="E62" s="405">
        <v>48</v>
      </c>
      <c r="F62" s="463" t="s">
        <v>741</v>
      </c>
      <c r="G62" s="405" t="s">
        <v>713</v>
      </c>
      <c r="H62" s="406">
        <v>2559100</v>
      </c>
      <c r="I62" s="400" t="s">
        <v>580</v>
      </c>
      <c r="J62" s="169">
        <f t="shared" si="0"/>
        <v>185534.75</v>
      </c>
      <c r="K62" s="407" t="s">
        <v>748</v>
      </c>
      <c r="L62" s="169">
        <f t="shared" si="1"/>
        <v>76773</v>
      </c>
      <c r="M62" s="407" t="s">
        <v>704</v>
      </c>
      <c r="N62" s="169">
        <f t="shared" si="2"/>
        <v>51182</v>
      </c>
      <c r="O62" s="407" t="s">
        <v>701</v>
      </c>
      <c r="P62" s="169">
        <f t="shared" si="3"/>
        <v>25591</v>
      </c>
      <c r="Q62" s="170">
        <f t="shared" si="4"/>
        <v>12795.5</v>
      </c>
      <c r="R62" s="170">
        <f t="shared" si="5"/>
        <v>351876.25</v>
      </c>
      <c r="S62" s="175"/>
      <c r="T62" s="175"/>
      <c r="U62" s="175"/>
      <c r="V62" s="175"/>
    </row>
    <row r="63" spans="1:22" s="147" customFormat="1" ht="45.75" customHeight="1">
      <c r="A63" s="168">
        <v>57</v>
      </c>
      <c r="B63" s="403" t="s">
        <v>657</v>
      </c>
      <c r="C63" s="404" t="s">
        <v>763</v>
      </c>
      <c r="D63" s="405"/>
      <c r="E63" s="405">
        <v>33</v>
      </c>
      <c r="F63" s="463" t="s">
        <v>764</v>
      </c>
      <c r="G63" s="405" t="s">
        <v>752</v>
      </c>
      <c r="H63" s="406">
        <v>6000000</v>
      </c>
      <c r="I63" s="400" t="s">
        <v>580</v>
      </c>
      <c r="J63" s="169">
        <f t="shared" si="0"/>
        <v>435000.00000000012</v>
      </c>
      <c r="K63" s="407" t="s">
        <v>698</v>
      </c>
      <c r="L63" s="169">
        <f t="shared" si="1"/>
        <v>180000</v>
      </c>
      <c r="M63" s="407" t="s">
        <v>585</v>
      </c>
      <c r="N63" s="169">
        <f t="shared" si="2"/>
        <v>120000</v>
      </c>
      <c r="O63" s="407" t="s">
        <v>704</v>
      </c>
      <c r="P63" s="169">
        <f t="shared" si="3"/>
        <v>60000</v>
      </c>
      <c r="Q63" s="170">
        <f t="shared" si="4"/>
        <v>30000</v>
      </c>
      <c r="R63" s="170">
        <f t="shared" si="5"/>
        <v>825000.00000000012</v>
      </c>
      <c r="S63" s="175"/>
      <c r="T63" s="175"/>
      <c r="U63" s="175"/>
      <c r="V63" s="175"/>
    </row>
    <row r="64" spans="1:22" s="147" customFormat="1" ht="45.75" customHeight="1">
      <c r="A64" s="168">
        <v>58</v>
      </c>
      <c r="B64" s="403" t="s">
        <v>661</v>
      </c>
      <c r="C64" s="404" t="s">
        <v>662</v>
      </c>
      <c r="D64" s="405"/>
      <c r="E64" s="405">
        <v>77</v>
      </c>
      <c r="F64" s="463" t="s">
        <v>650</v>
      </c>
      <c r="G64" s="405" t="s">
        <v>589</v>
      </c>
      <c r="H64" s="406">
        <v>3897500</v>
      </c>
      <c r="I64" s="400" t="s">
        <v>584</v>
      </c>
      <c r="J64" s="169">
        <f t="shared" si="0"/>
        <v>409237.5</v>
      </c>
      <c r="K64" s="407" t="s">
        <v>582</v>
      </c>
      <c r="L64" s="169">
        <f t="shared" si="1"/>
        <v>116925</v>
      </c>
      <c r="M64" s="407" t="s">
        <v>581</v>
      </c>
      <c r="N64" s="169">
        <f t="shared" si="2"/>
        <v>77950</v>
      </c>
      <c r="O64" s="407" t="s">
        <v>706</v>
      </c>
      <c r="P64" s="169">
        <f t="shared" si="3"/>
        <v>38975</v>
      </c>
      <c r="Q64" s="170">
        <f t="shared" si="4"/>
        <v>19487.5</v>
      </c>
      <c r="R64" s="170">
        <f t="shared" si="5"/>
        <v>662575</v>
      </c>
      <c r="S64" s="175"/>
      <c r="T64" s="175"/>
      <c r="U64" s="175"/>
      <c r="V64" s="175"/>
    </row>
    <row r="65" spans="1:22" s="147" customFormat="1" ht="45.75" customHeight="1">
      <c r="A65" s="168">
        <v>59</v>
      </c>
      <c r="B65" s="403" t="s">
        <v>661</v>
      </c>
      <c r="C65" s="404" t="s">
        <v>742</v>
      </c>
      <c r="D65" s="405">
        <v>41</v>
      </c>
      <c r="E65" s="405"/>
      <c r="F65" s="463" t="s">
        <v>739</v>
      </c>
      <c r="G65" s="405" t="s">
        <v>713</v>
      </c>
      <c r="H65" s="406">
        <v>2559100</v>
      </c>
      <c r="I65" s="400" t="s">
        <v>580</v>
      </c>
      <c r="J65" s="169">
        <f t="shared" si="0"/>
        <v>211125.75</v>
      </c>
      <c r="K65" s="407" t="s">
        <v>705</v>
      </c>
      <c r="L65" s="169">
        <f t="shared" si="1"/>
        <v>76773</v>
      </c>
      <c r="M65" s="407" t="s">
        <v>701</v>
      </c>
      <c r="N65" s="169">
        <f t="shared" si="2"/>
        <v>51182</v>
      </c>
      <c r="O65" s="407" t="s">
        <v>56</v>
      </c>
      <c r="P65" s="169">
        <f t="shared" si="3"/>
        <v>0</v>
      </c>
      <c r="Q65" s="170">
        <f t="shared" si="4"/>
        <v>12795.5</v>
      </c>
      <c r="R65" s="170">
        <f t="shared" si="5"/>
        <v>351876.25</v>
      </c>
      <c r="S65" s="175"/>
      <c r="T65" s="175"/>
      <c r="U65" s="175"/>
      <c r="V65" s="175"/>
    </row>
    <row r="66" spans="1:22" s="147" customFormat="1" ht="45.75" customHeight="1">
      <c r="A66" s="168">
        <v>60</v>
      </c>
      <c r="B66" s="403" t="s">
        <v>661</v>
      </c>
      <c r="C66" s="404" t="s">
        <v>667</v>
      </c>
      <c r="D66" s="405"/>
      <c r="E66" s="405"/>
      <c r="F66" s="463" t="s">
        <v>668</v>
      </c>
      <c r="G66" s="405" t="s">
        <v>592</v>
      </c>
      <c r="H66" s="406">
        <v>3525500</v>
      </c>
      <c r="I66" s="400" t="s">
        <v>584</v>
      </c>
      <c r="J66" s="169">
        <f t="shared" si="0"/>
        <v>370177.5</v>
      </c>
      <c r="K66" s="407" t="s">
        <v>582</v>
      </c>
      <c r="L66" s="169">
        <f t="shared" si="1"/>
        <v>105765</v>
      </c>
      <c r="M66" s="407" t="s">
        <v>698</v>
      </c>
      <c r="N66" s="169">
        <f t="shared" si="2"/>
        <v>70510</v>
      </c>
      <c r="O66" s="407" t="s">
        <v>704</v>
      </c>
      <c r="P66" s="169">
        <f t="shared" si="3"/>
        <v>35255</v>
      </c>
      <c r="Q66" s="170">
        <f t="shared" si="4"/>
        <v>17627.5</v>
      </c>
      <c r="R66" s="170">
        <f t="shared" si="5"/>
        <v>599335</v>
      </c>
      <c r="S66" s="175"/>
      <c r="T66" s="175"/>
      <c r="U66" s="175"/>
      <c r="V66" s="175"/>
    </row>
    <row r="67" spans="1:22" s="147" customFormat="1" ht="45.75" customHeight="1">
      <c r="A67" s="168">
        <v>61</v>
      </c>
      <c r="B67" s="403" t="s">
        <v>743</v>
      </c>
      <c r="C67" s="404" t="s">
        <v>744</v>
      </c>
      <c r="D67" s="405">
        <v>74</v>
      </c>
      <c r="E67" s="405"/>
      <c r="F67" s="463" t="s">
        <v>723</v>
      </c>
      <c r="G67" s="405" t="s">
        <v>713</v>
      </c>
      <c r="H67" s="406">
        <v>1773300</v>
      </c>
      <c r="I67" s="400" t="s">
        <v>585</v>
      </c>
      <c r="J67" s="169">
        <f t="shared" si="0"/>
        <v>203929.5</v>
      </c>
      <c r="K67" s="407" t="s">
        <v>704</v>
      </c>
      <c r="L67" s="169">
        <f t="shared" si="1"/>
        <v>53199</v>
      </c>
      <c r="M67" s="407" t="s">
        <v>699</v>
      </c>
      <c r="N67" s="169">
        <f t="shared" si="2"/>
        <v>35466</v>
      </c>
      <c r="O67" s="407" t="s">
        <v>56</v>
      </c>
      <c r="P67" s="169">
        <f t="shared" si="3"/>
        <v>0</v>
      </c>
      <c r="Q67" s="170">
        <f t="shared" si="4"/>
        <v>8866.5</v>
      </c>
      <c r="R67" s="170">
        <f t="shared" si="5"/>
        <v>301461</v>
      </c>
      <c r="S67" s="175"/>
      <c r="T67" s="175"/>
      <c r="U67" s="175"/>
      <c r="V67" s="175"/>
    </row>
    <row r="68" spans="1:22" s="147" customFormat="1" ht="45.75" customHeight="1">
      <c r="A68" s="168">
        <v>62</v>
      </c>
      <c r="B68" s="403" t="s">
        <v>669</v>
      </c>
      <c r="C68" s="404" t="s">
        <v>670</v>
      </c>
      <c r="D68" s="405"/>
      <c r="E68" s="405">
        <v>22</v>
      </c>
      <c r="F68" s="463" t="s">
        <v>656</v>
      </c>
      <c r="G68" s="405" t="s">
        <v>592</v>
      </c>
      <c r="H68" s="406">
        <v>4497500</v>
      </c>
      <c r="I68" s="400" t="s">
        <v>584</v>
      </c>
      <c r="J68" s="169">
        <f t="shared" si="0"/>
        <v>472237.5</v>
      </c>
      <c r="K68" s="407" t="s">
        <v>698</v>
      </c>
      <c r="L68" s="169">
        <f t="shared" si="1"/>
        <v>134925</v>
      </c>
      <c r="M68" s="407" t="s">
        <v>697</v>
      </c>
      <c r="N68" s="169">
        <f t="shared" si="2"/>
        <v>89950</v>
      </c>
      <c r="O68" s="407" t="s">
        <v>699</v>
      </c>
      <c r="P68" s="169">
        <f t="shared" si="3"/>
        <v>44975</v>
      </c>
      <c r="Q68" s="170">
        <f t="shared" si="4"/>
        <v>22487.5</v>
      </c>
      <c r="R68" s="170">
        <f t="shared" si="5"/>
        <v>764575</v>
      </c>
      <c r="S68" s="175"/>
      <c r="T68" s="175"/>
      <c r="U68" s="175"/>
      <c r="V68" s="175"/>
    </row>
    <row r="69" spans="1:22" s="147" customFormat="1" ht="45.75" customHeight="1">
      <c r="A69" s="168">
        <v>63</v>
      </c>
      <c r="B69" s="403" t="s">
        <v>669</v>
      </c>
      <c r="C69" s="404" t="s">
        <v>671</v>
      </c>
      <c r="D69" s="405"/>
      <c r="E69" s="405">
        <v>72</v>
      </c>
      <c r="F69" s="463" t="s">
        <v>672</v>
      </c>
      <c r="G69" s="405" t="s">
        <v>592</v>
      </c>
      <c r="H69" s="406">
        <v>3525500</v>
      </c>
      <c r="I69" s="400" t="s">
        <v>584</v>
      </c>
      <c r="J69" s="169">
        <f t="shared" si="0"/>
        <v>370177.5</v>
      </c>
      <c r="K69" s="407" t="s">
        <v>582</v>
      </c>
      <c r="L69" s="169">
        <f t="shared" si="1"/>
        <v>105765</v>
      </c>
      <c r="M69" s="407" t="s">
        <v>698</v>
      </c>
      <c r="N69" s="169">
        <f t="shared" si="2"/>
        <v>70510</v>
      </c>
      <c r="O69" s="407" t="s">
        <v>699</v>
      </c>
      <c r="P69" s="169">
        <f t="shared" si="3"/>
        <v>35255</v>
      </c>
      <c r="Q69" s="170">
        <f t="shared" si="4"/>
        <v>17627.5</v>
      </c>
      <c r="R69" s="170">
        <f t="shared" si="5"/>
        <v>599335</v>
      </c>
      <c r="S69" s="175"/>
      <c r="T69" s="175"/>
      <c r="U69" s="175"/>
      <c r="V69" s="175"/>
    </row>
    <row r="70" spans="1:22" s="147" customFormat="1" ht="45.75" customHeight="1">
      <c r="A70" s="168">
        <v>64</v>
      </c>
      <c r="B70" s="403" t="s">
        <v>669</v>
      </c>
      <c r="C70" s="404" t="s">
        <v>737</v>
      </c>
      <c r="D70" s="405"/>
      <c r="E70" s="405">
        <v>51</v>
      </c>
      <c r="F70" s="463" t="s">
        <v>717</v>
      </c>
      <c r="G70" s="405" t="s">
        <v>713</v>
      </c>
      <c r="H70" s="406">
        <v>2127400</v>
      </c>
      <c r="I70" s="400" t="s">
        <v>585</v>
      </c>
      <c r="J70" s="169">
        <f t="shared" si="0"/>
        <v>244651</v>
      </c>
      <c r="K70" s="407" t="s">
        <v>704</v>
      </c>
      <c r="L70" s="169">
        <f t="shared" si="1"/>
        <v>63822</v>
      </c>
      <c r="M70" s="407" t="s">
        <v>703</v>
      </c>
      <c r="N70" s="169">
        <f t="shared" si="2"/>
        <v>42548</v>
      </c>
      <c r="O70" s="407" t="s">
        <v>56</v>
      </c>
      <c r="P70" s="169">
        <f t="shared" si="3"/>
        <v>0</v>
      </c>
      <c r="Q70" s="170">
        <f t="shared" si="4"/>
        <v>10637</v>
      </c>
      <c r="R70" s="170">
        <f t="shared" si="5"/>
        <v>361658</v>
      </c>
      <c r="S70" s="175"/>
      <c r="T70" s="175"/>
      <c r="U70" s="175"/>
      <c r="V70" s="175"/>
    </row>
    <row r="71" spans="1:22" s="147" customFormat="1" ht="45.75" customHeight="1">
      <c r="A71" s="168">
        <v>65</v>
      </c>
      <c r="B71" s="403" t="s">
        <v>669</v>
      </c>
      <c r="C71" s="404" t="s">
        <v>765</v>
      </c>
      <c r="D71" s="405">
        <v>62</v>
      </c>
      <c r="E71" s="405"/>
      <c r="F71" s="463" t="s">
        <v>723</v>
      </c>
      <c r="G71" s="405" t="s">
        <v>752</v>
      </c>
      <c r="H71" s="406">
        <v>4267000</v>
      </c>
      <c r="I71" s="400" t="s">
        <v>581</v>
      </c>
      <c r="J71" s="169">
        <f t="shared" si="0"/>
        <v>309357.5</v>
      </c>
      <c r="K71" s="407" t="s">
        <v>697</v>
      </c>
      <c r="L71" s="169">
        <f t="shared" si="1"/>
        <v>128010</v>
      </c>
      <c r="M71" s="407" t="s">
        <v>706</v>
      </c>
      <c r="N71" s="169">
        <f t="shared" si="2"/>
        <v>85340</v>
      </c>
      <c r="O71" s="407" t="s">
        <v>700</v>
      </c>
      <c r="P71" s="169">
        <f t="shared" si="3"/>
        <v>42670</v>
      </c>
      <c r="Q71" s="170">
        <f t="shared" si="4"/>
        <v>21335</v>
      </c>
      <c r="R71" s="170">
        <f t="shared" si="5"/>
        <v>586712.5</v>
      </c>
      <c r="S71" s="175"/>
      <c r="T71" s="175"/>
      <c r="U71" s="175"/>
      <c r="V71" s="175"/>
    </row>
    <row r="72" spans="1:22" s="147" customFormat="1" ht="45.75" customHeight="1">
      <c r="A72" s="168">
        <v>66</v>
      </c>
      <c r="B72" s="403" t="s">
        <v>674</v>
      </c>
      <c r="C72" s="404" t="s">
        <v>745</v>
      </c>
      <c r="D72" s="405"/>
      <c r="E72" s="405">
        <v>21</v>
      </c>
      <c r="F72" s="463" t="s">
        <v>739</v>
      </c>
      <c r="G72" s="405" t="s">
        <v>713</v>
      </c>
      <c r="H72" s="406">
        <v>2559100</v>
      </c>
      <c r="I72" s="400" t="s">
        <v>581</v>
      </c>
      <c r="J72" s="169">
        <f t="shared" ref="J72:J82" si="6">R72-L72-N72-P72-Q72</f>
        <v>211125.75</v>
      </c>
      <c r="K72" s="407" t="s">
        <v>748</v>
      </c>
      <c r="L72" s="169">
        <f t="shared" ref="L72:L82" si="7">IF(K72="-",0,H72*0.03)</f>
        <v>76773</v>
      </c>
      <c r="M72" s="407" t="s">
        <v>704</v>
      </c>
      <c r="N72" s="169">
        <f t="shared" ref="N72:N82" si="8">IF(M72="-",0,H72*0.02)</f>
        <v>51182</v>
      </c>
      <c r="O72" s="407" t="s">
        <v>56</v>
      </c>
      <c r="P72" s="169">
        <f t="shared" ref="P72:P82" si="9">IF(O72="-",0,H72*0.01)</f>
        <v>0</v>
      </c>
      <c r="Q72" s="170">
        <f t="shared" ref="Q72:Q82" si="10">H72*0.005</f>
        <v>12795.5</v>
      </c>
      <c r="R72" s="170">
        <f t="shared" ref="R72:R82" si="11">IF(I72="V.Tân",H72*0.1375,IF(I72="nguyện",H72*0.1375,IF(I72="TOẢN",H72*0.1375,H72*0.17)))</f>
        <v>351876.25</v>
      </c>
      <c r="S72" s="175"/>
      <c r="T72" s="175"/>
      <c r="U72" s="175"/>
      <c r="V72" s="175"/>
    </row>
    <row r="73" spans="1:22" s="147" customFormat="1" ht="45.75" customHeight="1">
      <c r="A73" s="168">
        <v>67</v>
      </c>
      <c r="B73" s="403" t="s">
        <v>674</v>
      </c>
      <c r="C73" s="404" t="s">
        <v>766</v>
      </c>
      <c r="D73" s="405">
        <v>40</v>
      </c>
      <c r="E73" s="405"/>
      <c r="F73" s="463" t="s">
        <v>767</v>
      </c>
      <c r="G73" s="405" t="s">
        <v>752</v>
      </c>
      <c r="H73" s="406">
        <v>7728000</v>
      </c>
      <c r="I73" s="400" t="s">
        <v>584</v>
      </c>
      <c r="J73" s="169">
        <f t="shared" si="6"/>
        <v>811440</v>
      </c>
      <c r="K73" s="407" t="s">
        <v>582</v>
      </c>
      <c r="L73" s="169">
        <f t="shared" si="7"/>
        <v>231840</v>
      </c>
      <c r="M73" s="407" t="s">
        <v>698</v>
      </c>
      <c r="N73" s="169">
        <f t="shared" si="8"/>
        <v>154560</v>
      </c>
      <c r="O73" s="407" t="s">
        <v>748</v>
      </c>
      <c r="P73" s="169">
        <f t="shared" si="9"/>
        <v>77280</v>
      </c>
      <c r="Q73" s="170">
        <f t="shared" si="10"/>
        <v>38640</v>
      </c>
      <c r="R73" s="170">
        <f t="shared" si="11"/>
        <v>1313760</v>
      </c>
      <c r="S73" s="175"/>
      <c r="T73" s="175"/>
      <c r="U73" s="175"/>
      <c r="V73" s="175"/>
    </row>
    <row r="74" spans="1:22" s="147" customFormat="1" ht="45.75" customHeight="1">
      <c r="A74" s="168">
        <v>68</v>
      </c>
      <c r="B74" s="403" t="s">
        <v>674</v>
      </c>
      <c r="C74" s="404" t="s">
        <v>675</v>
      </c>
      <c r="D74" s="405"/>
      <c r="E74" s="405">
        <v>31</v>
      </c>
      <c r="F74" s="463" t="s">
        <v>598</v>
      </c>
      <c r="G74" s="405" t="s">
        <v>592</v>
      </c>
      <c r="H74" s="406">
        <v>4497500</v>
      </c>
      <c r="I74" s="400" t="s">
        <v>580</v>
      </c>
      <c r="J74" s="169">
        <f t="shared" si="6"/>
        <v>326068.75</v>
      </c>
      <c r="K74" s="407" t="s">
        <v>698</v>
      </c>
      <c r="L74" s="169">
        <f t="shared" si="7"/>
        <v>134925</v>
      </c>
      <c r="M74" s="407" t="s">
        <v>701</v>
      </c>
      <c r="N74" s="169">
        <f t="shared" si="8"/>
        <v>89950</v>
      </c>
      <c r="O74" s="407" t="s">
        <v>699</v>
      </c>
      <c r="P74" s="169">
        <f t="shared" si="9"/>
        <v>44975</v>
      </c>
      <c r="Q74" s="170">
        <f t="shared" si="10"/>
        <v>22487.5</v>
      </c>
      <c r="R74" s="170">
        <f t="shared" si="11"/>
        <v>618406.25</v>
      </c>
      <c r="S74" s="175"/>
      <c r="T74" s="175"/>
      <c r="U74" s="175"/>
      <c r="V74" s="175"/>
    </row>
    <row r="75" spans="1:22" s="147" customFormat="1" ht="45.75" customHeight="1">
      <c r="A75" s="168">
        <v>69</v>
      </c>
      <c r="B75" s="403" t="s">
        <v>674</v>
      </c>
      <c r="C75" s="404" t="s">
        <v>555</v>
      </c>
      <c r="D75" s="405"/>
      <c r="E75" s="405">
        <v>45</v>
      </c>
      <c r="F75" s="463" t="s">
        <v>598</v>
      </c>
      <c r="G75" s="405" t="s">
        <v>592</v>
      </c>
      <c r="H75" s="406">
        <v>4497500</v>
      </c>
      <c r="I75" s="400" t="s">
        <v>585</v>
      </c>
      <c r="J75" s="169">
        <f t="shared" si="6"/>
        <v>472237.5</v>
      </c>
      <c r="K75" s="407" t="s">
        <v>698</v>
      </c>
      <c r="L75" s="169">
        <f t="shared" si="7"/>
        <v>134925</v>
      </c>
      <c r="M75" s="407" t="s">
        <v>704</v>
      </c>
      <c r="N75" s="169">
        <f t="shared" si="8"/>
        <v>89950</v>
      </c>
      <c r="O75" s="407" t="s">
        <v>699</v>
      </c>
      <c r="P75" s="169">
        <f t="shared" si="9"/>
        <v>44975</v>
      </c>
      <c r="Q75" s="170">
        <f t="shared" si="10"/>
        <v>22487.5</v>
      </c>
      <c r="R75" s="170">
        <f t="shared" si="11"/>
        <v>764575</v>
      </c>
      <c r="S75" s="175"/>
      <c r="T75" s="175"/>
      <c r="U75" s="175"/>
      <c r="V75" s="175"/>
    </row>
    <row r="76" spans="1:22" s="147" customFormat="1" ht="45.75" customHeight="1">
      <c r="A76" s="168">
        <v>70</v>
      </c>
      <c r="B76" s="403" t="s">
        <v>674</v>
      </c>
      <c r="C76" s="404" t="s">
        <v>746</v>
      </c>
      <c r="D76" s="405"/>
      <c r="E76" s="405">
        <v>85</v>
      </c>
      <c r="F76" s="463" t="s">
        <v>717</v>
      </c>
      <c r="G76" s="405" t="s">
        <v>713</v>
      </c>
      <c r="H76" s="406">
        <v>2127400</v>
      </c>
      <c r="I76" s="400" t="s">
        <v>580</v>
      </c>
      <c r="J76" s="169">
        <f t="shared" si="6"/>
        <v>281880.5</v>
      </c>
      <c r="K76" s="407" t="s">
        <v>56</v>
      </c>
      <c r="L76" s="169">
        <f t="shared" si="7"/>
        <v>0</v>
      </c>
      <c r="M76" s="407" t="s">
        <v>56</v>
      </c>
      <c r="N76" s="169">
        <f t="shared" si="8"/>
        <v>0</v>
      </c>
      <c r="O76" s="407" t="s">
        <v>56</v>
      </c>
      <c r="P76" s="169">
        <f t="shared" si="9"/>
        <v>0</v>
      </c>
      <c r="Q76" s="170">
        <f t="shared" si="10"/>
        <v>10637</v>
      </c>
      <c r="R76" s="170">
        <f t="shared" si="11"/>
        <v>292517.5</v>
      </c>
      <c r="S76" s="175"/>
      <c r="T76" s="175"/>
      <c r="U76" s="175"/>
      <c r="V76" s="175"/>
    </row>
    <row r="77" spans="1:22" s="147" customFormat="1" ht="45.75" customHeight="1">
      <c r="A77" s="168">
        <v>71</v>
      </c>
      <c r="B77" s="403" t="s">
        <v>674</v>
      </c>
      <c r="C77" s="404" t="s">
        <v>747</v>
      </c>
      <c r="D77" s="405"/>
      <c r="E77" s="405">
        <v>74</v>
      </c>
      <c r="F77" s="463" t="s">
        <v>717</v>
      </c>
      <c r="G77" s="405" t="s">
        <v>713</v>
      </c>
      <c r="H77" s="406">
        <v>2127400</v>
      </c>
      <c r="I77" s="400" t="s">
        <v>580</v>
      </c>
      <c r="J77" s="169">
        <f t="shared" si="6"/>
        <v>281880.5</v>
      </c>
      <c r="K77" s="407" t="s">
        <v>56</v>
      </c>
      <c r="L77" s="169">
        <f t="shared" si="7"/>
        <v>0</v>
      </c>
      <c r="M77" s="407" t="s">
        <v>56</v>
      </c>
      <c r="N77" s="169">
        <f t="shared" si="8"/>
        <v>0</v>
      </c>
      <c r="O77" s="407" t="s">
        <v>56</v>
      </c>
      <c r="P77" s="169">
        <f t="shared" si="9"/>
        <v>0</v>
      </c>
      <c r="Q77" s="170">
        <f t="shared" si="10"/>
        <v>10637</v>
      </c>
      <c r="R77" s="170">
        <f t="shared" si="11"/>
        <v>292517.5</v>
      </c>
      <c r="S77" s="175"/>
      <c r="T77" s="175"/>
      <c r="U77" s="175"/>
      <c r="V77" s="175"/>
    </row>
    <row r="78" spans="1:22" s="147" customFormat="1" ht="45.75" customHeight="1">
      <c r="A78" s="168">
        <v>72</v>
      </c>
      <c r="B78" s="403" t="s">
        <v>678</v>
      </c>
      <c r="C78" s="404" t="s">
        <v>679</v>
      </c>
      <c r="D78" s="405">
        <v>37</v>
      </c>
      <c r="E78" s="405"/>
      <c r="F78" s="463" t="s">
        <v>598</v>
      </c>
      <c r="G78" s="405" t="s">
        <v>592</v>
      </c>
      <c r="H78" s="406">
        <v>4497500</v>
      </c>
      <c r="I78" s="400" t="s">
        <v>581</v>
      </c>
      <c r="J78" s="169">
        <f t="shared" si="6"/>
        <v>326068.75</v>
      </c>
      <c r="K78" s="407" t="s">
        <v>698</v>
      </c>
      <c r="L78" s="169">
        <f t="shared" si="7"/>
        <v>134925</v>
      </c>
      <c r="M78" s="407" t="s">
        <v>705</v>
      </c>
      <c r="N78" s="169">
        <f t="shared" si="8"/>
        <v>89950</v>
      </c>
      <c r="O78" s="407" t="s">
        <v>701</v>
      </c>
      <c r="P78" s="169">
        <f t="shared" si="9"/>
        <v>44975</v>
      </c>
      <c r="Q78" s="170">
        <f t="shared" si="10"/>
        <v>22487.5</v>
      </c>
      <c r="R78" s="170">
        <f t="shared" si="11"/>
        <v>618406.25</v>
      </c>
      <c r="S78" s="175"/>
      <c r="T78" s="175"/>
      <c r="U78" s="175"/>
      <c r="V78" s="175"/>
    </row>
    <row r="79" spans="1:22" s="147" customFormat="1" ht="45.75" customHeight="1">
      <c r="A79" s="168">
        <v>73</v>
      </c>
      <c r="B79" s="403" t="s">
        <v>678</v>
      </c>
      <c r="C79" s="404" t="s">
        <v>680</v>
      </c>
      <c r="D79" s="405">
        <v>18</v>
      </c>
      <c r="E79" s="405"/>
      <c r="F79" s="463" t="s">
        <v>681</v>
      </c>
      <c r="G79" s="405" t="s">
        <v>592</v>
      </c>
      <c r="H79" s="406">
        <v>3405500</v>
      </c>
      <c r="I79" s="400" t="s">
        <v>581</v>
      </c>
      <c r="J79" s="169">
        <f t="shared" si="6"/>
        <v>246898.75000000006</v>
      </c>
      <c r="K79" s="407" t="s">
        <v>698</v>
      </c>
      <c r="L79" s="169">
        <f t="shared" si="7"/>
        <v>102165</v>
      </c>
      <c r="M79" s="407" t="s">
        <v>706</v>
      </c>
      <c r="N79" s="169">
        <f t="shared" si="8"/>
        <v>68110</v>
      </c>
      <c r="O79" s="407" t="s">
        <v>705</v>
      </c>
      <c r="P79" s="169">
        <f t="shared" si="9"/>
        <v>34055</v>
      </c>
      <c r="Q79" s="170">
        <f t="shared" si="10"/>
        <v>17027.5</v>
      </c>
      <c r="R79" s="170">
        <f t="shared" si="11"/>
        <v>468256.25000000006</v>
      </c>
      <c r="S79" s="175"/>
      <c r="T79" s="175"/>
      <c r="U79" s="175"/>
      <c r="V79" s="175"/>
    </row>
    <row r="80" spans="1:22" s="147" customFormat="1" ht="45.75" customHeight="1">
      <c r="A80" s="168">
        <v>74</v>
      </c>
      <c r="B80" s="403" t="s">
        <v>678</v>
      </c>
      <c r="C80" s="404" t="s">
        <v>682</v>
      </c>
      <c r="D80" s="405"/>
      <c r="E80" s="405">
        <v>65</v>
      </c>
      <c r="F80" s="463" t="s">
        <v>591</v>
      </c>
      <c r="G80" s="405" t="s">
        <v>592</v>
      </c>
      <c r="H80" s="406">
        <v>4201900</v>
      </c>
      <c r="I80" s="400" t="s">
        <v>584</v>
      </c>
      <c r="J80" s="169">
        <f t="shared" si="6"/>
        <v>441199.5</v>
      </c>
      <c r="K80" s="407" t="s">
        <v>582</v>
      </c>
      <c r="L80" s="169">
        <f t="shared" si="7"/>
        <v>126057</v>
      </c>
      <c r="M80" s="407" t="s">
        <v>698</v>
      </c>
      <c r="N80" s="169">
        <f t="shared" si="8"/>
        <v>84038</v>
      </c>
      <c r="O80" s="407" t="s">
        <v>706</v>
      </c>
      <c r="P80" s="169">
        <f t="shared" si="9"/>
        <v>42019</v>
      </c>
      <c r="Q80" s="170">
        <f t="shared" si="10"/>
        <v>21009.5</v>
      </c>
      <c r="R80" s="170">
        <f t="shared" si="11"/>
        <v>714323</v>
      </c>
      <c r="S80" s="175"/>
      <c r="T80" s="175"/>
      <c r="U80" s="175"/>
      <c r="V80" s="175"/>
    </row>
    <row r="81" spans="1:22" s="147" customFormat="1" ht="45.75" customHeight="1">
      <c r="A81" s="168">
        <v>75</v>
      </c>
      <c r="B81" s="403" t="s">
        <v>683</v>
      </c>
      <c r="C81" s="404" t="s">
        <v>685</v>
      </c>
      <c r="D81" s="405">
        <v>74</v>
      </c>
      <c r="E81" s="405"/>
      <c r="F81" s="463" t="s">
        <v>654</v>
      </c>
      <c r="G81" s="405" t="s">
        <v>592</v>
      </c>
      <c r="H81" s="406">
        <v>3525500</v>
      </c>
      <c r="I81" s="400" t="s">
        <v>584</v>
      </c>
      <c r="J81" s="169">
        <f t="shared" si="6"/>
        <v>370177.5</v>
      </c>
      <c r="K81" s="407" t="s">
        <v>582</v>
      </c>
      <c r="L81" s="169">
        <f t="shared" si="7"/>
        <v>105765</v>
      </c>
      <c r="M81" s="407" t="s">
        <v>698</v>
      </c>
      <c r="N81" s="169">
        <f t="shared" si="8"/>
        <v>70510</v>
      </c>
      <c r="O81" s="407" t="s">
        <v>706</v>
      </c>
      <c r="P81" s="169">
        <f t="shared" si="9"/>
        <v>35255</v>
      </c>
      <c r="Q81" s="170">
        <f t="shared" si="10"/>
        <v>17627.5</v>
      </c>
      <c r="R81" s="170">
        <f t="shared" si="11"/>
        <v>599335</v>
      </c>
      <c r="S81" s="175"/>
      <c r="T81" s="175"/>
      <c r="U81" s="175"/>
      <c r="V81" s="175"/>
    </row>
    <row r="82" spans="1:22" s="147" customFormat="1" ht="45.75" customHeight="1">
      <c r="A82" s="168">
        <v>76</v>
      </c>
      <c r="B82" s="403" t="s">
        <v>689</v>
      </c>
      <c r="C82" s="404" t="s">
        <v>690</v>
      </c>
      <c r="D82" s="405">
        <v>18</v>
      </c>
      <c r="E82" s="405"/>
      <c r="F82" s="463" t="s">
        <v>656</v>
      </c>
      <c r="G82" s="405" t="s">
        <v>592</v>
      </c>
      <c r="H82" s="406">
        <v>4497500</v>
      </c>
      <c r="I82" s="400" t="s">
        <v>580</v>
      </c>
      <c r="J82" s="169">
        <f t="shared" si="6"/>
        <v>371043.75</v>
      </c>
      <c r="K82" s="407" t="s">
        <v>699</v>
      </c>
      <c r="L82" s="169">
        <f t="shared" si="7"/>
        <v>134925</v>
      </c>
      <c r="M82" s="407" t="s">
        <v>697</v>
      </c>
      <c r="N82" s="169">
        <f t="shared" si="8"/>
        <v>89950</v>
      </c>
      <c r="O82" s="407" t="s">
        <v>56</v>
      </c>
      <c r="P82" s="169">
        <f t="shared" si="9"/>
        <v>0</v>
      </c>
      <c r="Q82" s="170">
        <f t="shared" si="10"/>
        <v>22487.5</v>
      </c>
      <c r="R82" s="170">
        <f t="shared" si="11"/>
        <v>618406.25</v>
      </c>
      <c r="S82" s="175"/>
      <c r="T82" s="175"/>
      <c r="U82" s="175"/>
      <c r="V82" s="175"/>
    </row>
    <row r="83" spans="1:22" s="167" customFormat="1" ht="24" customHeight="1">
      <c r="A83" s="192"/>
      <c r="B83" s="193"/>
      <c r="C83" s="499" t="s">
        <v>28</v>
      </c>
      <c r="D83" s="499"/>
      <c r="E83" s="499"/>
      <c r="F83" s="499"/>
      <c r="G83" s="194"/>
      <c r="H83" s="304">
        <f>SUBTOTAL(9,H7:H82)</f>
        <v>282302300</v>
      </c>
      <c r="I83" s="304"/>
      <c r="J83" s="304">
        <f>SUBTOTAL(9,J7:J82)</f>
        <v>26487614.5</v>
      </c>
      <c r="K83" s="304"/>
      <c r="L83" s="304">
        <f>SUBTOTAL(9,L7:L82)</f>
        <v>7879710</v>
      </c>
      <c r="M83" s="304"/>
      <c r="N83" s="304">
        <f>SUBTOTAL(9,N7:N82)</f>
        <v>5228480</v>
      </c>
      <c r="O83" s="304"/>
      <c r="P83" s="304">
        <f>SUBTOTAL(9,P7:P82)</f>
        <v>2260473</v>
      </c>
      <c r="Q83" s="304">
        <f>SUBTOTAL(9,Q7:Q82)</f>
        <v>1411511.5</v>
      </c>
      <c r="R83" s="304">
        <f>SUBTOTAL(9,R7:R82)</f>
        <v>43267789</v>
      </c>
    </row>
    <row r="84" spans="1:22" ht="20.25" customHeight="1">
      <c r="B84" s="147"/>
      <c r="C84" s="146"/>
      <c r="F84" s="146"/>
      <c r="G84" s="147"/>
      <c r="H84" s="305"/>
      <c r="J84" s="83"/>
      <c r="M84" s="147"/>
      <c r="N84" s="497" t="s">
        <v>770</v>
      </c>
      <c r="O84" s="497"/>
      <c r="P84" s="497"/>
      <c r="Q84" s="497"/>
      <c r="R84" s="497"/>
    </row>
    <row r="85" spans="1:22" ht="18.75">
      <c r="B85" s="492" t="s">
        <v>35</v>
      </c>
      <c r="C85" s="492"/>
      <c r="D85" s="144"/>
      <c r="E85" s="144"/>
      <c r="F85" s="144"/>
      <c r="G85" s="148"/>
      <c r="H85" s="306"/>
      <c r="J85" s="127"/>
      <c r="K85" s="155"/>
      <c r="L85" s="39"/>
      <c r="M85" s="242"/>
      <c r="N85" s="498" t="s">
        <v>21</v>
      </c>
      <c r="O85" s="498"/>
      <c r="P85" s="498"/>
      <c r="Q85" s="498"/>
      <c r="R85" s="498"/>
      <c r="S85" s="124"/>
    </row>
    <row r="86" spans="1:22" ht="18.75">
      <c r="B86" s="148"/>
      <c r="C86" s="144"/>
      <c r="D86" s="144"/>
      <c r="E86" s="144"/>
      <c r="F86" s="144"/>
      <c r="G86" s="148"/>
      <c r="H86" s="306"/>
      <c r="J86" s="127"/>
      <c r="K86" s="155"/>
      <c r="L86" s="127"/>
      <c r="M86" s="148"/>
      <c r="N86" s="128"/>
      <c r="O86" s="242"/>
      <c r="P86" s="128"/>
      <c r="Q86" s="128"/>
    </row>
    <row r="87" spans="1:22" ht="18.75">
      <c r="B87" s="148"/>
      <c r="C87" s="144"/>
      <c r="D87" s="144"/>
      <c r="E87" s="144"/>
      <c r="F87" s="144"/>
      <c r="G87" s="148"/>
      <c r="H87" s="306"/>
      <c r="J87" s="127"/>
      <c r="K87" s="155"/>
      <c r="L87" s="127"/>
      <c r="M87" s="148"/>
      <c r="N87" s="127"/>
      <c r="O87" s="240"/>
      <c r="P87" s="127"/>
      <c r="Q87" s="127"/>
      <c r="R87" s="129"/>
    </row>
    <row r="88" spans="1:22" ht="18.75">
      <c r="B88" s="148"/>
      <c r="C88" s="144"/>
      <c r="D88" s="144"/>
      <c r="E88" s="144"/>
      <c r="F88" s="144"/>
      <c r="G88" s="148"/>
      <c r="H88" s="306"/>
      <c r="J88" s="127"/>
      <c r="K88" s="155"/>
      <c r="L88" s="127"/>
      <c r="M88" s="148"/>
      <c r="N88" s="127"/>
      <c r="O88" s="240"/>
      <c r="P88" s="127"/>
      <c r="Q88" s="127"/>
      <c r="R88" s="129"/>
    </row>
    <row r="89" spans="1:22" ht="18.75">
      <c r="B89" s="491" t="s">
        <v>45</v>
      </c>
      <c r="C89" s="491"/>
      <c r="D89" s="144"/>
      <c r="E89" s="144"/>
      <c r="F89" s="144"/>
      <c r="G89" s="148"/>
      <c r="H89" s="306"/>
      <c r="J89" s="127"/>
      <c r="K89" s="155"/>
      <c r="L89" s="127"/>
      <c r="M89" s="148"/>
      <c r="N89" s="498" t="s">
        <v>152</v>
      </c>
      <c r="O89" s="498"/>
      <c r="P89" s="498"/>
      <c r="Q89" s="498"/>
      <c r="R89" s="498"/>
    </row>
    <row r="90" spans="1:22" ht="18.75">
      <c r="B90" s="148"/>
      <c r="C90" s="144"/>
      <c r="D90" s="144"/>
      <c r="E90" s="144"/>
      <c r="F90" s="144"/>
      <c r="G90" s="148"/>
      <c r="H90" s="306"/>
      <c r="J90" s="127"/>
      <c r="K90" s="155"/>
      <c r="L90" s="127"/>
      <c r="M90" s="148"/>
      <c r="N90" s="127"/>
      <c r="O90" s="240"/>
      <c r="P90" s="127"/>
      <c r="Q90" s="127"/>
      <c r="R90" s="129"/>
    </row>
    <row r="91" spans="1:22" ht="15">
      <c r="C91" s="234"/>
      <c r="D91" s="234"/>
      <c r="E91" s="234"/>
      <c r="F91" s="234"/>
    </row>
    <row r="92" spans="1:22" ht="15">
      <c r="C92" s="234"/>
      <c r="D92" s="234"/>
      <c r="E92" s="234"/>
      <c r="F92" s="234"/>
      <c r="R92" s="97" t="s">
        <v>265</v>
      </c>
    </row>
    <row r="93" spans="1:22" ht="15">
      <c r="C93" s="234"/>
      <c r="D93" s="234"/>
      <c r="E93" s="234"/>
      <c r="F93" s="234"/>
    </row>
    <row r="95" spans="1:22">
      <c r="I95" s="339"/>
    </row>
  </sheetData>
  <autoFilter ref="A6:WWO85" xr:uid="{00000000-0009-0000-0000-000000000000}"/>
  <sortState xmlns:xlrd2="http://schemas.microsoft.com/office/spreadsheetml/2017/richdata2" ref="A7:U42">
    <sortCondition ref="G7:G42"/>
  </sortState>
  <mergeCells count="10">
    <mergeCell ref="B89:C89"/>
    <mergeCell ref="B85:C85"/>
    <mergeCell ref="A1:E1"/>
    <mergeCell ref="A2:E2"/>
    <mergeCell ref="A3:R3"/>
    <mergeCell ref="A4:R4"/>
    <mergeCell ref="N84:R84"/>
    <mergeCell ref="N85:R85"/>
    <mergeCell ref="N89:R89"/>
    <mergeCell ref="C83:F83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view="pageLayout" topLeftCell="A16" zoomScaleNormal="100" workbookViewId="0">
      <selection activeCell="G24" sqref="G2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01" t="s">
        <v>0</v>
      </c>
      <c r="B1" s="501"/>
    </row>
    <row r="2" spans="1:7" ht="16.5">
      <c r="A2" s="500" t="s">
        <v>44</v>
      </c>
      <c r="B2" s="500"/>
    </row>
    <row r="3" spans="1:7" ht="20.25">
      <c r="B3" s="491" t="s">
        <v>769</v>
      </c>
      <c r="C3" s="491"/>
      <c r="D3" s="491"/>
      <c r="G3" s="2"/>
    </row>
    <row r="4" spans="1:7" ht="20.25">
      <c r="B4" s="39"/>
      <c r="C4" s="122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0">
        <v>1</v>
      </c>
      <c r="B7" s="62" t="s">
        <v>23</v>
      </c>
      <c r="C7" s="55" t="s">
        <v>26</v>
      </c>
      <c r="D7" s="86">
        <f>SUM(SUMIF(phauthuat!$I$7:$I$85,"TRIỀU",phauthuat!$J$7:$J$85),SUMIF(phauthuat!$K$7:$K$85,"TRIỀU",phauthuat!$L$7:$L$85),SUMIF(phauthuat!$M$7:$M$85,"TRIỀU",phauthuat!$N$7:$N$85),SUMIF(phauthuat!$O$7:$O$85,"TRIỀU",phauthuat!$P$7:$P$85))</f>
        <v>740355</v>
      </c>
      <c r="E7" s="53"/>
      <c r="G7" s="41"/>
    </row>
    <row r="8" spans="1:7" ht="16.5">
      <c r="A8" s="110">
        <v>2</v>
      </c>
      <c r="B8" s="62" t="s">
        <v>18</v>
      </c>
      <c r="C8" s="55" t="s">
        <v>26</v>
      </c>
      <c r="D8" s="86">
        <f>SUM(SUMIF(phauthuat!$I$7:$I$85,"TẤN",phauthuat!$J$7:$J$85),SUMIF(phauthuat!$K$7:$K$85,"TẤN",phauthuat!$L$7:$L$85),SUMIF(phauthuat!$M$7:$M$85,"TẤN",phauthuat!$N$7:$N$85),SUMIF(phauthuat!$O$7:$O$85,"TẤN",phauthuat!$P$7:$P$85))</f>
        <v>405432.5</v>
      </c>
      <c r="E8" s="53"/>
      <c r="G8" s="41"/>
    </row>
    <row r="9" spans="1:7" ht="16.5">
      <c r="A9" s="110">
        <v>3</v>
      </c>
      <c r="B9" s="62" t="s">
        <v>17</v>
      </c>
      <c r="C9" s="184" t="s">
        <v>26</v>
      </c>
      <c r="D9" s="204">
        <f>SUM(SUMIF(phauthuat!$I$7:$I$85,"HOAN",phauthuat!$J$7:$J$85),SUMIF(phauthuat!$K$7:$K$85,"HOAN",phauthuat!$L$7:$L$85),SUMIF(phauthuat!$M$7:$M$85,"HOAN",phauthuat!$N$7:$N$85),SUMIF(phauthuat!$O$7:$O$85,"Hoan",phauthuat!$P$7:$P$85))</f>
        <v>9599324.5</v>
      </c>
      <c r="E9" s="185"/>
      <c r="G9" s="41"/>
    </row>
    <row r="10" spans="1:7" ht="16.5">
      <c r="A10" s="110">
        <v>4</v>
      </c>
      <c r="B10" s="62" t="s">
        <v>74</v>
      </c>
      <c r="C10" s="55" t="s">
        <v>26</v>
      </c>
      <c r="D10" s="86">
        <f>SUM(SUMIF(phauthuat!$I$7:$I$85,"NGUYỆN",phauthuat!$J$7:$J$85),SUMIF(phauthuat!$K$7:$K$85,"NGUYỆN",phauthuat!$L$7:$L$85),SUMIF(phauthuat!$M$7:$M$85,"NGUYỆN",phauthuat!$N$7:$N$85),SUMIF(phauthuat!$O$7:$O$85,"NGUYỆN",phauthuat!$P$7:$P$85))</f>
        <v>5824000.75</v>
      </c>
      <c r="E10" s="53"/>
      <c r="F10" s="41"/>
      <c r="G10" s="41"/>
    </row>
    <row r="11" spans="1:7" ht="16.5">
      <c r="A11" s="110">
        <v>5</v>
      </c>
      <c r="B11" s="62" t="s">
        <v>72</v>
      </c>
      <c r="C11" s="55" t="s">
        <v>77</v>
      </c>
      <c r="D11" s="86">
        <f>SUM(SUMIF(phauthuat!$I$7:$I$85,"ĐIỀN",phauthuat!$J$7:$J$85),SUMIF(phauthuat!$K$7:$K$85,"ĐIỀN",phauthuat!$L$7:$L$85),SUMIF(phauthuat!$M$7:$M$85,"ĐIỀN",phauthuat!$N$7:$N$85),SUMIF(phauthuat!$O$7:$O$85,"ĐIỀN",phauthuat!$P$7:$P$85))</f>
        <v>3988549.5</v>
      </c>
      <c r="E11" s="53"/>
      <c r="F11" s="41"/>
      <c r="G11" s="41"/>
    </row>
    <row r="12" spans="1:7" ht="16.5">
      <c r="A12" s="110">
        <v>6</v>
      </c>
      <c r="B12" s="62" t="s">
        <v>111</v>
      </c>
      <c r="C12" s="55" t="s">
        <v>77</v>
      </c>
      <c r="D12" s="86">
        <f>SUM(SUMIF(phauthuat!$I$7:$I$85,"TOẢN",phauthuat!$J$7:$J$85),SUMIF(phauthuat!$K$7:$K$85,"TOẢN",phauthuat!$L$7:$L$85),SUMIF(phauthuat!$M$7:$M$85,"TOẢN",phauthuat!$N$7:$N$85),SUMIF(phauthuat!$O$7:$O$85,"TOẢN",phauthuat!$P$7:$P$85))</f>
        <v>5156874.5</v>
      </c>
      <c r="E12" s="53"/>
      <c r="F12" s="41"/>
      <c r="G12" s="41"/>
    </row>
    <row r="13" spans="1:7" ht="16.5">
      <c r="A13" s="110">
        <v>7</v>
      </c>
      <c r="B13" s="62" t="s">
        <v>84</v>
      </c>
      <c r="C13" s="55" t="s">
        <v>77</v>
      </c>
      <c r="D13" s="86">
        <f>SUM(SUMIF(phauthuat!$I$7:$I$85,"V.TÂN",phauthuat!$J$7:$J$85),SUMIF(phauthuat!$K$7:$K$85,"V.TÂN",phauthuat!$L$7:$L$85),SUMIF(phauthuat!$M$7:$M$85,"V.TÂN",phauthuat!$N$7:$N$85),SUMIF(phauthuat!$O$7:$O$85,"V.TÂN",phauthuat!$P$7:$P$85))</f>
        <v>4553340.75</v>
      </c>
      <c r="E13" s="53"/>
      <c r="F13" s="41"/>
      <c r="G13" s="41"/>
    </row>
    <row r="14" spans="1:7" ht="16.5">
      <c r="A14" s="110">
        <v>8</v>
      </c>
      <c r="B14" s="62" t="s">
        <v>123</v>
      </c>
      <c r="C14" s="55" t="s">
        <v>77</v>
      </c>
      <c r="D14" s="86">
        <f>SUM(SUMIF(phauthuat!$I$7:$I$85,"TUẤN",phauthuat!$J$7:$J$85),SUMIF(phauthuat!$K$7:$K$85,"TUẤN",phauthuat!$L$7:$L$85),SUMIF(phauthuat!$M$7:$M$85,"TUẤN",phauthuat!$N$7:$N$85),SUMIF(phauthuat!$O$7:$O$85,"TUẤN",phauthuat!$P$7:$P$85))</f>
        <v>1652944</v>
      </c>
      <c r="E14" s="53"/>
      <c r="F14" s="41"/>
      <c r="G14" s="41"/>
    </row>
    <row r="15" spans="1:7" ht="16.5">
      <c r="A15" s="110">
        <v>9</v>
      </c>
      <c r="B15" s="62" t="s">
        <v>39</v>
      </c>
      <c r="C15" s="55" t="s">
        <v>77</v>
      </c>
      <c r="D15" s="86">
        <f>SUM(SUMIF(phauthuat!$I$7:$I$85,"thuyết",phauthuat!$J$7:$J$85),SUMIF(phauthuat!$K$7:$K$85,"thuyết",phauthuat!$L$7:$L$85),SUMIF(phauthuat!$M$7:$M$85,"thuyết",phauthuat!$N$7:$N$85),SUMIF(phauthuat!$O$7:$O$85,"thuyết",phauthuat!$P$7:$P$85))</f>
        <v>1483845</v>
      </c>
      <c r="E15" s="53"/>
      <c r="F15" s="41"/>
      <c r="G15" s="41"/>
    </row>
    <row r="16" spans="1:7" ht="16.5">
      <c r="A16" s="110">
        <v>10</v>
      </c>
      <c r="B16" s="106" t="s">
        <v>260</v>
      </c>
      <c r="C16" s="230" t="s">
        <v>60</v>
      </c>
      <c r="D16" s="86">
        <f>SUM(SUMIF(phauthuat!$I$7:$I$85,"kiệt",phauthuat!$J$7:$J$85),SUMIF(phauthuat!$K$7:$K$85,"kiệt",phauthuat!$L$7:$L$85),SUMIF(phauthuat!$M$7:$M$85,"kiệt",phauthuat!$N$7:$N$85),SUMIF(phauthuat!$O$7:$O$85,"kiệt",phauthuat!$P$7:$P$85))</f>
        <v>703381</v>
      </c>
      <c r="E16" s="53"/>
      <c r="F16" s="41"/>
      <c r="G16" s="41"/>
    </row>
    <row r="17" spans="1:8" ht="16.5">
      <c r="A17" s="110">
        <v>11</v>
      </c>
      <c r="B17" s="106" t="s">
        <v>261</v>
      </c>
      <c r="C17" s="230" t="s">
        <v>60</v>
      </c>
      <c r="D17" s="86">
        <f>SUM(SUMIF(phauthuat!$I$7:$I$85,"phong",phauthuat!$J$7:$J$85),SUMIF(phauthuat!$K$7:$K$85,"phong",phauthuat!$L$7:$L$85),SUMIF(phauthuat!$M$7:$M$85,"phong",phauthuat!$N$7:$N$85),SUMIF(phauthuat!$O$7:$O$85,"phong",phauthuat!$P$7:$P$85))</f>
        <v>763480</v>
      </c>
      <c r="E17" s="53"/>
      <c r="F17" s="41"/>
      <c r="G17" s="41"/>
    </row>
    <row r="18" spans="1:8" ht="16.5">
      <c r="A18" s="110">
        <v>12</v>
      </c>
      <c r="B18" s="106" t="s">
        <v>262</v>
      </c>
      <c r="C18" s="230" t="s">
        <v>60</v>
      </c>
      <c r="D18" s="86">
        <f>SUM(SUMIF(phauthuat!$I$7:$I$85,"lợi",phauthuat!$J$7:$J$85),SUMIF(phauthuat!$K$7:$K$85,"lợi",phauthuat!$L$7:$L$85),SUMIF(phauthuat!$M$7:$M$85,"lợi",phauthuat!$N$7:$N$85),SUMIF(phauthuat!$O$7:$O$85,"lợi",phauthuat!$P$7:$P$85))</f>
        <v>724109</v>
      </c>
      <c r="E18" s="53"/>
      <c r="F18" s="41"/>
      <c r="G18" s="41"/>
    </row>
    <row r="19" spans="1:8" ht="16.5">
      <c r="A19" s="110">
        <v>13</v>
      </c>
      <c r="B19" s="106" t="s">
        <v>263</v>
      </c>
      <c r="C19" s="230" t="s">
        <v>60</v>
      </c>
      <c r="D19" s="86">
        <f>SUM(SUMIF(phauthuat!$I$7:$I$85,"thanh",phauthuat!$J$7:$J$85),SUMIF(phauthuat!$K$7:$K$85,"thanh",phauthuat!$L$7:$L$85),SUMIF(phauthuat!$M$7:$M$85,"thanh",phauthuat!$N$7:$N$85),SUMIF(phauthuat!$O$7:$O$85,"thanh",phauthuat!$P$7:$P$85))</f>
        <v>500360</v>
      </c>
      <c r="E19" s="53"/>
      <c r="F19" s="41"/>
      <c r="G19" s="41"/>
    </row>
    <row r="20" spans="1:8" ht="16.5">
      <c r="A20" s="110">
        <v>14</v>
      </c>
      <c r="B20" s="106" t="s">
        <v>154</v>
      </c>
      <c r="C20" s="230" t="s">
        <v>60</v>
      </c>
      <c r="D20" s="86">
        <f>SUM(SUMIF(phauthuat!$I$7:$I$85,"ĐAN",phauthuat!$J$7:$J$85),SUMIF(phauthuat!$K$7:$K$85,"ĐAN",phauthuat!$L$7:$L$85),SUMIF(phauthuat!$M$7:$M$85,"ĐAN",phauthuat!$N$7:$N$85),SUMIF(phauthuat!$O$7:$O$85,"ĐAN",phauthuat!$P$7:$P$85))</f>
        <v>173182</v>
      </c>
      <c r="E20" s="53"/>
      <c r="F20" s="41"/>
      <c r="G20" s="41"/>
    </row>
    <row r="21" spans="1:8" ht="16.5">
      <c r="A21" s="110">
        <v>15</v>
      </c>
      <c r="B21" s="106" t="s">
        <v>155</v>
      </c>
      <c r="C21" s="230" t="s">
        <v>60</v>
      </c>
      <c r="D21" s="86">
        <f>SUM(SUMIF(phauthuat!$I$7:$I$85,"HẬU",phauthuat!$J$7:$J$85),SUMIF(phauthuat!$K$7:$K$85,"HẬU",phauthuat!$L$7:$L$85),SUMIF(phauthuat!$M$7:$M$85,"HẬU",phauthuat!$N$7:$N$85),SUMIF(phauthuat!$O$7:$O$85,"HẬU",phauthuat!$P$7:$P$85))</f>
        <v>495721</v>
      </c>
      <c r="E21" s="53"/>
      <c r="F21" s="41"/>
      <c r="G21" s="41"/>
    </row>
    <row r="22" spans="1:8" ht="16.5">
      <c r="A22" s="110">
        <v>16</v>
      </c>
      <c r="B22" s="106" t="s">
        <v>156</v>
      </c>
      <c r="C22" s="230" t="s">
        <v>60</v>
      </c>
      <c r="D22" s="86">
        <f>SUM(SUMIF(phauthuat!$I$7:$I$85,"VINH",phauthuat!$J$7:$J$85),SUMIF(phauthuat!$K$7:$K$85,"VINH",phauthuat!$L$7:$L$85),SUMIF(phauthuat!$M$7:$M$85,"VINH",phauthuat!$N$7:$N$85),SUMIF(phauthuat!$O$7:$O$85,"VINH",phauthuat!$P$7:$P$85))</f>
        <v>1189077</v>
      </c>
      <c r="E22" s="53"/>
      <c r="F22" s="41"/>
      <c r="G22" s="41"/>
    </row>
    <row r="23" spans="1:8" ht="16.5">
      <c r="A23" s="110">
        <v>17</v>
      </c>
      <c r="B23" s="106" t="s">
        <v>157</v>
      </c>
      <c r="C23" s="230" t="s">
        <v>60</v>
      </c>
      <c r="D23" s="86">
        <f>SUM(SUMIF(phauthuat!$I$7:$I$85,"Q.TẤN",phauthuat!$J$7:$J$85),SUMIF(phauthuat!$K$7:$K$85,"Q.TẤN",phauthuat!$L$7:$L$85),SUMIF(phauthuat!$M$7:$M$85,"Q.TẤN",phauthuat!$N$7:$N$85),SUMIF(phauthuat!$O$7:$O$85,"Q.TẤN",phauthuat!$P$7:$P$85))</f>
        <v>929210</v>
      </c>
      <c r="E23" s="53"/>
      <c r="F23" s="41"/>
      <c r="G23" s="41"/>
    </row>
    <row r="24" spans="1:8" ht="16.5">
      <c r="A24" s="110">
        <v>18</v>
      </c>
      <c r="B24" s="106" t="s">
        <v>158</v>
      </c>
      <c r="C24" s="230" t="s">
        <v>60</v>
      </c>
      <c r="D24" s="86">
        <f>SUM(SUMIF(phauthuat!$I$7:$I$85,"HÀO",phauthuat!$J$7:$J$85),SUMIF(phauthuat!$K$7:$K$85,"HÀO",phauthuat!$L$7:$L$85),SUMIF(phauthuat!$M$7:$M$85,"HÀO",phauthuat!$N$7:$N$85),SUMIF(phauthuat!$O$7:$O$85,"HÀO",phauthuat!$P$7:$P$85))</f>
        <v>678160</v>
      </c>
      <c r="E24" s="53"/>
      <c r="F24" s="41"/>
      <c r="G24" s="41"/>
    </row>
    <row r="25" spans="1:8" ht="16.5">
      <c r="A25" s="110">
        <v>19</v>
      </c>
      <c r="B25" s="106" t="s">
        <v>159</v>
      </c>
      <c r="C25" s="230" t="s">
        <v>60</v>
      </c>
      <c r="D25" s="86">
        <f>SUM(SUMIF(phauthuat!$I$7:$I$85,"NGUYÊN",phauthuat!$J$7:$J$85),SUMIF(phauthuat!$K$7:$K$85,"NGUYÊN",phauthuat!$L$7:$L$85),SUMIF(phauthuat!$M$7:$M$85,"NGUYÊN",phauthuat!$N$7:$N$85),SUMIF(phauthuat!$O$7:$O$85,"NGUYÊN",phauthuat!$P$7:$P$85))</f>
        <v>545980</v>
      </c>
      <c r="E25" s="53"/>
      <c r="F25" s="41"/>
      <c r="G25" s="41"/>
    </row>
    <row r="26" spans="1:8" ht="16.5">
      <c r="A26" s="110">
        <v>20</v>
      </c>
      <c r="B26" s="106" t="s">
        <v>771</v>
      </c>
      <c r="C26" s="230" t="s">
        <v>60</v>
      </c>
      <c r="D26" s="86">
        <f>SUM(SUMIF(phauthuat!$I$7:$I$85,"NGHIÊM",phauthuat!$J$7:$J$85),SUMIF(phauthuat!$K$7:$K$85,"NGHIÊM",phauthuat!$L$7:$L$85),SUMIF(phauthuat!$M$7:$M$85,"NGHIÊM",phauthuat!$N$7:$N$85),SUMIF(phauthuat!$O$7:$O$85,"NGHIÊM",phauthuat!$P$7:$P$85))</f>
        <v>242797</v>
      </c>
      <c r="E26" s="53"/>
      <c r="F26" s="41"/>
      <c r="G26" s="41"/>
    </row>
    <row r="27" spans="1:8" ht="16.5">
      <c r="A27" s="110">
        <v>21</v>
      </c>
      <c r="B27" s="106" t="s">
        <v>772</v>
      </c>
      <c r="C27" s="230" t="s">
        <v>60</v>
      </c>
      <c r="D27" s="86">
        <f>SUM(SUMIF(phauthuat!$I$7:$I$85,"CÔNG",phauthuat!$J$7:$J$85),SUMIF(phauthuat!$K$7:$K$85,"CÔNG",phauthuat!$L$7:$L$85),SUMIF(phauthuat!$M$7:$M$85,"CÔNG",phauthuat!$N$7:$N$85),SUMIF(phauthuat!$O$7:$O$85,"CÔNG",phauthuat!$P$7:$P$85))</f>
        <v>315393</v>
      </c>
      <c r="E27" s="53"/>
      <c r="F27" s="41"/>
      <c r="G27" s="41"/>
    </row>
    <row r="28" spans="1:8" ht="16.5">
      <c r="A28" s="110">
        <v>22</v>
      </c>
      <c r="B28" s="106" t="s">
        <v>773</v>
      </c>
      <c r="C28" s="230" t="s">
        <v>60</v>
      </c>
      <c r="D28" s="86">
        <f>SUM(SUMIF(phauthuat!$I$7:$I$85,"THIỆN",phauthuat!$J$7:$J$85),SUMIF(phauthuat!$K$7:$K$85,"THIỆN",phauthuat!$L$7:$L$85),SUMIF(phauthuat!$M$7:$M$85,"THIỆN",phauthuat!$N$7:$N$85),SUMIF(phauthuat!$O$7:$O$85,"THIỆN",phauthuat!$P$7:$P$85))</f>
        <v>468412</v>
      </c>
      <c r="E28" s="53"/>
      <c r="F28" s="41"/>
      <c r="G28" s="41"/>
    </row>
    <row r="29" spans="1:8" ht="16.5">
      <c r="A29" s="110">
        <v>23</v>
      </c>
      <c r="B29" s="106" t="s">
        <v>774</v>
      </c>
      <c r="C29" s="230" t="s">
        <v>60</v>
      </c>
      <c r="D29" s="86">
        <f>SUM(SUMIF(phauthuat!$I$7:$I$85,"LINH",phauthuat!$J$7:$J$85),SUMIF(phauthuat!$K$7:$K$85,"LINH",phauthuat!$L$7:$L$85),SUMIF(phauthuat!$M$7:$M$85,"LINH",phauthuat!$N$7:$N$85),SUMIF(phauthuat!$O$7:$O$85,"LINH",phauthuat!$P$7:$P$85))</f>
        <v>343929</v>
      </c>
      <c r="E29" s="53"/>
      <c r="F29" s="41"/>
      <c r="G29" s="41"/>
    </row>
    <row r="30" spans="1:8" ht="16.5">
      <c r="A30" s="110">
        <v>24</v>
      </c>
      <c r="B30" s="106" t="s">
        <v>775</v>
      </c>
      <c r="C30" s="230" t="s">
        <v>60</v>
      </c>
      <c r="D30" s="86">
        <f>SUM(SUMIF(phauthuat!$I$7:$I$85,"ĐỨC",phauthuat!$J$7:$J$85),SUMIF(phauthuat!$K$7:$K$85,"ĐỨC",phauthuat!$L$7:$L$85),SUMIF(phauthuat!$M$7:$M$85,"ĐỨC",phauthuat!$N$7:$N$85),SUMIF(phauthuat!$O$7:$O$85,"ĐỨC",phauthuat!$P$7:$P$85))</f>
        <v>378420</v>
      </c>
      <c r="E30" s="53"/>
      <c r="F30" s="41"/>
      <c r="G30" s="41"/>
    </row>
    <row r="31" spans="1:8" ht="16.5">
      <c r="A31" s="110">
        <v>25</v>
      </c>
      <c r="B31" s="62" t="s">
        <v>45</v>
      </c>
      <c r="C31" s="55" t="s">
        <v>27</v>
      </c>
      <c r="D31" s="86">
        <f>phauthuat!Q83/9</f>
        <v>156834.61111111112</v>
      </c>
      <c r="E31" s="54"/>
      <c r="F31" s="48"/>
      <c r="G31" s="41"/>
      <c r="H31" s="41"/>
    </row>
    <row r="32" spans="1:8" ht="16.5">
      <c r="A32" s="110">
        <v>26</v>
      </c>
      <c r="B32" s="62" t="s">
        <v>65</v>
      </c>
      <c r="C32" s="55" t="s">
        <v>27</v>
      </c>
      <c r="D32" s="86">
        <f>D31</f>
        <v>156834.61111111112</v>
      </c>
      <c r="E32" s="54"/>
      <c r="F32" s="48"/>
    </row>
    <row r="33" spans="1:7" ht="16.5">
      <c r="A33" s="110">
        <v>27</v>
      </c>
      <c r="B33" s="62" t="s">
        <v>82</v>
      </c>
      <c r="C33" s="55" t="s">
        <v>27</v>
      </c>
      <c r="D33" s="86">
        <f t="shared" ref="D33:D36" si="0">D32</f>
        <v>156834.61111111112</v>
      </c>
      <c r="E33" s="54"/>
      <c r="F33" s="48"/>
    </row>
    <row r="34" spans="1:7" ht="16.5">
      <c r="A34" s="110">
        <v>28</v>
      </c>
      <c r="B34" s="62" t="s">
        <v>70</v>
      </c>
      <c r="C34" s="55" t="s">
        <v>27</v>
      </c>
      <c r="D34" s="86">
        <f t="shared" si="0"/>
        <v>156834.61111111112</v>
      </c>
      <c r="E34" s="54"/>
      <c r="F34" s="48"/>
    </row>
    <row r="35" spans="1:7" ht="16.5">
      <c r="A35" s="110">
        <v>29</v>
      </c>
      <c r="B35" s="62" t="s">
        <v>46</v>
      </c>
      <c r="C35" s="55" t="s">
        <v>27</v>
      </c>
      <c r="D35" s="86">
        <f t="shared" si="0"/>
        <v>156834.61111111112</v>
      </c>
      <c r="E35" s="54"/>
      <c r="F35" s="48"/>
    </row>
    <row r="36" spans="1:7" ht="16.5">
      <c r="A36" s="110">
        <v>30</v>
      </c>
      <c r="B36" s="62" t="s">
        <v>112</v>
      </c>
      <c r="C36" s="55" t="s">
        <v>27</v>
      </c>
      <c r="D36" s="86">
        <f t="shared" si="0"/>
        <v>156834.61111111112</v>
      </c>
      <c r="E36" s="54"/>
      <c r="F36" s="48"/>
    </row>
    <row r="37" spans="1:7" ht="16.5">
      <c r="A37" s="110">
        <v>31</v>
      </c>
      <c r="B37" s="62" t="s">
        <v>93</v>
      </c>
      <c r="C37" s="55" t="s">
        <v>27</v>
      </c>
      <c r="D37" s="86" t="s">
        <v>56</v>
      </c>
      <c r="E37" s="54"/>
      <c r="F37" s="48"/>
    </row>
    <row r="38" spans="1:7" ht="16.5">
      <c r="A38" s="110">
        <v>32</v>
      </c>
      <c r="B38" s="62" t="s">
        <v>73</v>
      </c>
      <c r="C38" s="55" t="s">
        <v>27</v>
      </c>
      <c r="D38" s="86">
        <f>D36</f>
        <v>156834.61111111112</v>
      </c>
      <c r="E38" s="54"/>
      <c r="F38" s="48"/>
    </row>
    <row r="39" spans="1:7" ht="16.5">
      <c r="A39" s="110">
        <v>33</v>
      </c>
      <c r="B39" s="62" t="s">
        <v>144</v>
      </c>
      <c r="C39" s="55" t="s">
        <v>27</v>
      </c>
      <c r="D39" s="86">
        <f>D38</f>
        <v>156834.61111111112</v>
      </c>
      <c r="E39" s="54"/>
      <c r="F39" s="48"/>
    </row>
    <row r="40" spans="1:7" ht="16.5">
      <c r="A40" s="110">
        <v>34</v>
      </c>
      <c r="B40" s="62" t="s">
        <v>143</v>
      </c>
      <c r="C40" s="55" t="s">
        <v>27</v>
      </c>
      <c r="D40" s="86">
        <f>D39</f>
        <v>156834.61111111112</v>
      </c>
      <c r="E40" s="54"/>
      <c r="F40" s="48"/>
    </row>
    <row r="41" spans="1:7" ht="16.5">
      <c r="A41" s="66"/>
      <c r="B41" s="67" t="s">
        <v>28</v>
      </c>
      <c r="C41" s="68"/>
      <c r="D41" s="69">
        <f>SUM(D7:D40)</f>
        <v>43267789.000000007</v>
      </c>
      <c r="E41" s="64"/>
      <c r="F41" s="49"/>
      <c r="G41" s="43"/>
    </row>
    <row r="42" spans="1:7">
      <c r="B42" s="43"/>
      <c r="E42" s="43"/>
    </row>
    <row r="43" spans="1:7">
      <c r="D43" s="504" t="s">
        <v>770</v>
      </c>
      <c r="E43" s="504"/>
    </row>
    <row r="44" spans="1:7" ht="15.75">
      <c r="A44" s="503" t="s">
        <v>20</v>
      </c>
      <c r="B44" s="503"/>
      <c r="D44" s="502" t="s">
        <v>21</v>
      </c>
      <c r="E44" s="502"/>
    </row>
    <row r="47" spans="1:7">
      <c r="E47" s="41"/>
    </row>
    <row r="48" spans="1:7">
      <c r="C48" s="46"/>
    </row>
  </sheetData>
  <mergeCells count="6">
    <mergeCell ref="A2:B2"/>
    <mergeCell ref="B3:D3"/>
    <mergeCell ref="A1:B1"/>
    <mergeCell ref="D44:E44"/>
    <mergeCell ref="A44:B44"/>
    <mergeCell ref="D43:E43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99"/>
  <sheetViews>
    <sheetView zoomScale="82" zoomScaleNormal="82" zoomScaleSheetLayoutView="100" workbookViewId="0">
      <pane xSplit="7" ySplit="7" topLeftCell="H74" activePane="bottomRight" state="frozen"/>
      <selection pane="topRight" activeCell="H1" sqref="H1"/>
      <selection pane="bottomLeft" activeCell="A8" sqref="A8"/>
      <selection pane="bottomRight" activeCell="V65" sqref="V65"/>
    </sheetView>
  </sheetViews>
  <sheetFormatPr defaultColWidth="3.42578125" defaultRowHeight="12.75"/>
  <cols>
    <col min="1" max="1" width="6" style="37" customWidth="1"/>
    <col min="2" max="2" width="11" style="95" customWidth="1"/>
    <col min="3" max="3" width="20.42578125" style="145" customWidth="1"/>
    <col min="4" max="4" width="5.5703125" style="82" customWidth="1"/>
    <col min="5" max="5" width="4.5703125" style="82" customWidth="1"/>
    <col min="6" max="6" width="32" style="178" customWidth="1"/>
    <col min="7" max="7" width="7.42578125" style="84" customWidth="1"/>
    <col min="8" max="8" width="10.140625" style="359" customWidth="1"/>
    <col min="9" max="9" width="12.5703125" style="93" customWidth="1"/>
    <col min="10" max="10" width="10.140625" style="367" customWidth="1"/>
    <col min="11" max="11" width="12.28515625" style="93" customWidth="1"/>
    <col min="12" max="12" width="10.140625" style="142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05" t="s">
        <v>0</v>
      </c>
      <c r="B1" s="505"/>
      <c r="C1" s="505"/>
      <c r="D1" s="505"/>
      <c r="E1" s="505"/>
      <c r="F1" s="88"/>
      <c r="G1" s="88"/>
      <c r="H1" s="151"/>
      <c r="I1" s="89"/>
      <c r="J1" s="363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506" t="s">
        <v>86</v>
      </c>
      <c r="B2" s="506"/>
      <c r="C2" s="506"/>
      <c r="D2" s="506"/>
      <c r="E2" s="506"/>
      <c r="F2" s="92"/>
      <c r="G2" s="89"/>
      <c r="H2" s="151"/>
      <c r="I2" s="89"/>
      <c r="J2" s="363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507" t="s">
        <v>63</v>
      </c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508" t="s">
        <v>413</v>
      </c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75"/>
      <c r="D5" s="91"/>
      <c r="E5" s="91"/>
      <c r="F5" s="177"/>
      <c r="G5" s="91"/>
      <c r="H5" s="151"/>
      <c r="I5" s="91"/>
      <c r="J5" s="364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75"/>
      <c r="D6" s="89"/>
      <c r="E6" s="89"/>
      <c r="F6" s="92"/>
      <c r="G6" s="89"/>
      <c r="H6" s="151"/>
      <c r="I6" s="89"/>
      <c r="J6" s="363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21" t="s">
        <v>2</v>
      </c>
      <c r="B7" s="121" t="s">
        <v>12</v>
      </c>
      <c r="C7" s="121" t="s">
        <v>3</v>
      </c>
      <c r="D7" s="121" t="s">
        <v>42</v>
      </c>
      <c r="E7" s="121" t="s">
        <v>43</v>
      </c>
      <c r="F7" s="121" t="s">
        <v>5</v>
      </c>
      <c r="G7" s="196" t="s">
        <v>38</v>
      </c>
      <c r="H7" s="360" t="s">
        <v>6</v>
      </c>
      <c r="I7" s="197" t="s">
        <v>7</v>
      </c>
      <c r="J7" s="246" t="s">
        <v>8</v>
      </c>
      <c r="K7" s="197" t="s">
        <v>7</v>
      </c>
      <c r="L7" s="361" t="s">
        <v>9</v>
      </c>
      <c r="M7" s="197" t="s">
        <v>7</v>
      </c>
      <c r="N7" s="19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6" customFormat="1" ht="21.75" customHeight="1">
      <c r="A8" s="179">
        <v>1</v>
      </c>
      <c r="B8" s="403" t="s">
        <v>586</v>
      </c>
      <c r="C8" s="404" t="s">
        <v>587</v>
      </c>
      <c r="D8" s="405">
        <v>61</v>
      </c>
      <c r="E8" s="405"/>
      <c r="F8" s="463" t="s">
        <v>588</v>
      </c>
      <c r="G8" s="405" t="s">
        <v>589</v>
      </c>
      <c r="H8" s="400" t="s">
        <v>585</v>
      </c>
      <c r="I8" s="180">
        <f t="shared" ref="I8:I39" si="0">IF(G8="DTDB",420000,IF(G8="TTDB",420000,IF(G8="DT1",187500,IF(G8="TT1",187500,IF(G8="DT2",97500,IF(G8="TT2",97500,IF(G8="DT3",75000,75000)))))))</f>
        <v>187500</v>
      </c>
      <c r="J8" s="407" t="s">
        <v>692</v>
      </c>
      <c r="K8" s="183">
        <f t="shared" ref="K8:K39" si="1">IF(G8="DTDB",300000,IF(G8="TTDB",300000,IF(G8="DT1",135000,IF(G8="TT1",135000,IF(G8="DT2",75000,IF(G8="TT2",75000,IF(G8="DT3",45000,45000)))))))</f>
        <v>135000</v>
      </c>
      <c r="L8" s="407" t="s">
        <v>700</v>
      </c>
      <c r="M8" s="181">
        <f t="shared" ref="M8:M39" si="2">IF(L8="-",0,IF(G8="DTDB",300000,IF(G8="TTDB",300000,IF(G8="DT1",135000,IF(G8="TT1",135000,IF(G8="DT2",75000,IF(G8="TT2",75000,IF(G8="DT3",45000,45000))))))))</f>
        <v>135000</v>
      </c>
      <c r="N8" s="181">
        <f t="shared" ref="N8:N39" si="3">I8+K8+M8</f>
        <v>457500</v>
      </c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5"/>
      <c r="BQ8" s="175"/>
      <c r="BR8" s="175"/>
      <c r="BS8" s="175"/>
      <c r="BT8" s="175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5"/>
      <c r="CJ8" s="175"/>
      <c r="CK8" s="175"/>
      <c r="CL8" s="175"/>
      <c r="CM8" s="175"/>
      <c r="CN8" s="175"/>
      <c r="CO8" s="175"/>
      <c r="CP8" s="175"/>
      <c r="CQ8" s="175"/>
      <c r="CR8" s="175"/>
      <c r="CS8" s="175"/>
      <c r="CT8" s="175"/>
      <c r="CU8" s="175"/>
      <c r="CV8" s="175"/>
      <c r="CW8" s="175"/>
      <c r="CX8" s="175"/>
      <c r="CY8" s="175"/>
      <c r="CZ8" s="175"/>
      <c r="DA8" s="175"/>
      <c r="DB8" s="175"/>
      <c r="DC8" s="175"/>
      <c r="DD8" s="175"/>
      <c r="DE8" s="175"/>
      <c r="DF8" s="175"/>
      <c r="DG8" s="175"/>
      <c r="DH8" s="175"/>
      <c r="DI8" s="175"/>
      <c r="DJ8" s="175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75"/>
      <c r="EC8" s="175"/>
      <c r="ED8" s="175"/>
      <c r="EE8" s="175"/>
      <c r="EF8" s="175"/>
      <c r="EG8" s="175"/>
      <c r="EH8" s="175"/>
      <c r="EI8" s="175"/>
      <c r="EJ8" s="175"/>
      <c r="EK8" s="175"/>
      <c r="EL8" s="175"/>
      <c r="EM8" s="175"/>
      <c r="EN8" s="175"/>
      <c r="EO8" s="175"/>
      <c r="EP8" s="175"/>
      <c r="EQ8" s="175"/>
      <c r="ER8" s="175"/>
      <c r="ES8" s="175"/>
      <c r="ET8" s="175"/>
      <c r="EU8" s="175"/>
      <c r="EV8" s="175"/>
      <c r="EW8" s="175"/>
      <c r="EX8" s="175"/>
      <c r="EY8" s="175"/>
      <c r="EZ8" s="175"/>
      <c r="FA8" s="175"/>
      <c r="FB8" s="175"/>
      <c r="FC8" s="175"/>
      <c r="FD8" s="175"/>
      <c r="FE8" s="175"/>
      <c r="FF8" s="175"/>
      <c r="FG8" s="175"/>
      <c r="FH8" s="175"/>
      <c r="FI8" s="175"/>
      <c r="FJ8" s="175"/>
      <c r="FK8" s="175"/>
      <c r="FL8" s="175"/>
      <c r="FM8" s="175"/>
      <c r="FN8" s="175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  <c r="HN8" s="175"/>
      <c r="HO8" s="175"/>
      <c r="HP8" s="175"/>
      <c r="HQ8" s="175"/>
      <c r="HR8" s="175"/>
      <c r="HS8" s="175"/>
      <c r="HT8" s="175"/>
      <c r="HU8" s="175"/>
      <c r="HV8" s="175"/>
      <c r="HW8" s="175"/>
      <c r="HX8" s="175"/>
      <c r="HY8" s="175"/>
      <c r="HZ8" s="175"/>
      <c r="IA8" s="175"/>
      <c r="IB8" s="175"/>
      <c r="IC8" s="175"/>
      <c r="ID8" s="175"/>
      <c r="IE8" s="175"/>
      <c r="IF8" s="175"/>
      <c r="IG8" s="175"/>
      <c r="IH8" s="175"/>
      <c r="II8" s="175"/>
      <c r="IJ8" s="175"/>
      <c r="IK8" s="175"/>
      <c r="IL8" s="175"/>
      <c r="IM8" s="175"/>
      <c r="IN8" s="175"/>
      <c r="IO8" s="175"/>
      <c r="IP8" s="175"/>
      <c r="IQ8" s="175"/>
    </row>
    <row r="9" spans="1:251" s="146" customFormat="1" ht="21.75" customHeight="1">
      <c r="A9" s="179">
        <v>2</v>
      </c>
      <c r="B9" s="403" t="s">
        <v>586</v>
      </c>
      <c r="C9" s="404" t="s">
        <v>590</v>
      </c>
      <c r="D9" s="405">
        <v>70</v>
      </c>
      <c r="E9" s="405"/>
      <c r="F9" s="463" t="s">
        <v>591</v>
      </c>
      <c r="G9" s="405" t="s">
        <v>592</v>
      </c>
      <c r="H9" s="400" t="s">
        <v>584</v>
      </c>
      <c r="I9" s="180">
        <f t="shared" si="0"/>
        <v>420000</v>
      </c>
      <c r="J9" s="407" t="s">
        <v>582</v>
      </c>
      <c r="K9" s="183">
        <f t="shared" si="1"/>
        <v>300000</v>
      </c>
      <c r="L9" s="407" t="s">
        <v>695</v>
      </c>
      <c r="M9" s="181">
        <f t="shared" si="2"/>
        <v>300000</v>
      </c>
      <c r="N9" s="181">
        <f t="shared" si="3"/>
        <v>1020000</v>
      </c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75"/>
      <c r="EC9" s="175"/>
      <c r="ED9" s="175"/>
      <c r="EE9" s="175"/>
      <c r="EF9" s="175"/>
      <c r="EG9" s="175"/>
      <c r="EH9" s="175"/>
      <c r="EI9" s="175"/>
      <c r="EJ9" s="175"/>
      <c r="EK9" s="175"/>
      <c r="EL9" s="175"/>
      <c r="EM9" s="175"/>
      <c r="EN9" s="175"/>
      <c r="EO9" s="175"/>
      <c r="EP9" s="175"/>
      <c r="EQ9" s="175"/>
      <c r="ER9" s="175"/>
      <c r="ES9" s="175"/>
      <c r="ET9" s="175"/>
      <c r="EU9" s="175"/>
      <c r="EV9" s="175"/>
      <c r="EW9" s="175"/>
      <c r="EX9" s="175"/>
      <c r="EY9" s="175"/>
      <c r="EZ9" s="175"/>
      <c r="FA9" s="175"/>
      <c r="FB9" s="175"/>
      <c r="FC9" s="175"/>
      <c r="FD9" s="175"/>
      <c r="FE9" s="175"/>
      <c r="FF9" s="175"/>
      <c r="FG9" s="175"/>
      <c r="FH9" s="175"/>
      <c r="FI9" s="175"/>
      <c r="FJ9" s="175"/>
      <c r="FK9" s="175"/>
      <c r="FL9" s="175"/>
      <c r="FM9" s="175"/>
      <c r="FN9" s="175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  <c r="HN9" s="175"/>
      <c r="HO9" s="175"/>
      <c r="HP9" s="175"/>
      <c r="HQ9" s="175"/>
      <c r="HR9" s="175"/>
      <c r="HS9" s="175"/>
      <c r="HT9" s="175"/>
      <c r="HU9" s="175"/>
      <c r="HV9" s="175"/>
      <c r="HW9" s="175"/>
      <c r="HX9" s="175"/>
      <c r="HY9" s="175"/>
      <c r="HZ9" s="175"/>
      <c r="IA9" s="175"/>
      <c r="IB9" s="175"/>
      <c r="IC9" s="175"/>
      <c r="ID9" s="175"/>
      <c r="IE9" s="175"/>
      <c r="IF9" s="175"/>
      <c r="IG9" s="175"/>
      <c r="IH9" s="175"/>
      <c r="II9" s="175"/>
      <c r="IJ9" s="175"/>
      <c r="IK9" s="175"/>
      <c r="IL9" s="175"/>
      <c r="IM9" s="175"/>
      <c r="IN9" s="175"/>
      <c r="IO9" s="175"/>
      <c r="IP9" s="175"/>
      <c r="IQ9" s="175"/>
    </row>
    <row r="10" spans="1:251" s="146" customFormat="1" ht="21.75" customHeight="1">
      <c r="A10" s="179">
        <v>3</v>
      </c>
      <c r="B10" s="403" t="s">
        <v>586</v>
      </c>
      <c r="C10" s="404" t="s">
        <v>593</v>
      </c>
      <c r="D10" s="405">
        <v>70</v>
      </c>
      <c r="E10" s="405"/>
      <c r="F10" s="463" t="s">
        <v>591</v>
      </c>
      <c r="G10" s="405" t="s">
        <v>592</v>
      </c>
      <c r="H10" s="400" t="s">
        <v>584</v>
      </c>
      <c r="I10" s="180">
        <f t="shared" si="0"/>
        <v>420000</v>
      </c>
      <c r="J10" s="407" t="s">
        <v>582</v>
      </c>
      <c r="K10" s="183">
        <f t="shared" si="1"/>
        <v>300000</v>
      </c>
      <c r="L10" s="407" t="s">
        <v>585</v>
      </c>
      <c r="M10" s="181">
        <f t="shared" si="2"/>
        <v>300000</v>
      </c>
      <c r="N10" s="181">
        <f t="shared" si="3"/>
        <v>1020000</v>
      </c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5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75"/>
      <c r="EC10" s="175"/>
      <c r="ED10" s="175"/>
      <c r="EE10" s="175"/>
      <c r="EF10" s="175"/>
      <c r="EG10" s="175"/>
      <c r="EH10" s="175"/>
      <c r="EI10" s="175"/>
      <c r="EJ10" s="175"/>
      <c r="EK10" s="175"/>
      <c r="EL10" s="175"/>
      <c r="EM10" s="175"/>
      <c r="EN10" s="175"/>
      <c r="EO10" s="175"/>
      <c r="EP10" s="175"/>
      <c r="EQ10" s="175"/>
      <c r="ER10" s="175"/>
      <c r="ES10" s="175"/>
      <c r="ET10" s="175"/>
      <c r="EU10" s="175"/>
      <c r="EV10" s="175"/>
      <c r="EW10" s="175"/>
      <c r="EX10" s="175"/>
      <c r="EY10" s="175"/>
      <c r="EZ10" s="175"/>
      <c r="FA10" s="175"/>
      <c r="FB10" s="175"/>
      <c r="FC10" s="175"/>
      <c r="FD10" s="175"/>
      <c r="FE10" s="175"/>
      <c r="FF10" s="175"/>
      <c r="FG10" s="175"/>
      <c r="FH10" s="175"/>
      <c r="FI10" s="175"/>
      <c r="FJ10" s="175"/>
      <c r="FK10" s="175"/>
      <c r="FL10" s="175"/>
      <c r="FM10" s="175"/>
      <c r="FN10" s="175"/>
      <c r="FO10" s="175"/>
      <c r="FP10" s="175"/>
      <c r="FQ10" s="175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  <c r="HN10" s="175"/>
      <c r="HO10" s="175"/>
      <c r="HP10" s="175"/>
      <c r="HQ10" s="175"/>
      <c r="HR10" s="175"/>
      <c r="HS10" s="175"/>
      <c r="HT10" s="175"/>
      <c r="HU10" s="175"/>
      <c r="HV10" s="175"/>
      <c r="HW10" s="175"/>
      <c r="HX10" s="175"/>
      <c r="HY10" s="175"/>
      <c r="HZ10" s="175"/>
      <c r="IA10" s="175"/>
      <c r="IB10" s="175"/>
      <c r="IC10" s="175"/>
      <c r="ID10" s="175"/>
      <c r="IE10" s="175"/>
      <c r="IF10" s="175"/>
      <c r="IG10" s="175"/>
      <c r="IH10" s="175"/>
      <c r="II10" s="175"/>
      <c r="IJ10" s="175"/>
      <c r="IK10" s="175"/>
      <c r="IL10" s="175"/>
      <c r="IM10" s="175"/>
      <c r="IN10" s="175"/>
      <c r="IO10" s="175"/>
      <c r="IP10" s="175"/>
      <c r="IQ10" s="175"/>
    </row>
    <row r="11" spans="1:251" s="146" customFormat="1" ht="21.75" customHeight="1">
      <c r="A11" s="179">
        <v>4</v>
      </c>
      <c r="B11" s="403" t="s">
        <v>594</v>
      </c>
      <c r="C11" s="404" t="s">
        <v>595</v>
      </c>
      <c r="D11" s="405">
        <v>89</v>
      </c>
      <c r="E11" s="405"/>
      <c r="F11" s="463" t="s">
        <v>596</v>
      </c>
      <c r="G11" s="405" t="s">
        <v>589</v>
      </c>
      <c r="H11" s="400" t="s">
        <v>584</v>
      </c>
      <c r="I11" s="180">
        <f t="shared" si="0"/>
        <v>187500</v>
      </c>
      <c r="J11" s="407" t="s">
        <v>580</v>
      </c>
      <c r="K11" s="183">
        <f t="shared" si="1"/>
        <v>135000</v>
      </c>
      <c r="L11" s="407" t="s">
        <v>694</v>
      </c>
      <c r="M11" s="181">
        <f t="shared" si="2"/>
        <v>135000</v>
      </c>
      <c r="N11" s="181">
        <f t="shared" si="3"/>
        <v>457500</v>
      </c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  <c r="AU11" s="175"/>
      <c r="AV11" s="175"/>
      <c r="AW11" s="175"/>
      <c r="AX11" s="175"/>
      <c r="AY11" s="175"/>
      <c r="AZ11" s="175"/>
      <c r="BA11" s="175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5"/>
      <c r="BM11" s="175"/>
      <c r="BN11" s="175"/>
      <c r="BO11" s="175"/>
      <c r="BP11" s="175"/>
      <c r="BQ11" s="175"/>
      <c r="BR11" s="175"/>
      <c r="BS11" s="175"/>
      <c r="BT11" s="175"/>
      <c r="BU11" s="175"/>
      <c r="BV11" s="175"/>
      <c r="BW11" s="175"/>
      <c r="BX11" s="175"/>
      <c r="BY11" s="175"/>
      <c r="BZ11" s="175"/>
      <c r="CA11" s="175"/>
      <c r="CB11" s="175"/>
      <c r="CC11" s="175"/>
      <c r="CD11" s="175"/>
      <c r="CE11" s="175"/>
      <c r="CF11" s="175"/>
      <c r="CG11" s="175"/>
      <c r="CH11" s="175"/>
      <c r="CI11" s="175"/>
      <c r="CJ11" s="175"/>
      <c r="CK11" s="175"/>
      <c r="CL11" s="175"/>
      <c r="CM11" s="175"/>
      <c r="CN11" s="175"/>
      <c r="CO11" s="175"/>
      <c r="CP11" s="175"/>
      <c r="CQ11" s="175"/>
      <c r="CR11" s="175"/>
      <c r="CS11" s="175"/>
      <c r="CT11" s="175"/>
      <c r="CU11" s="175"/>
      <c r="CV11" s="175"/>
      <c r="CW11" s="175"/>
      <c r="CX11" s="175"/>
      <c r="CY11" s="175"/>
      <c r="CZ11" s="175"/>
      <c r="DA11" s="175"/>
      <c r="DB11" s="175"/>
      <c r="DC11" s="175"/>
      <c r="DD11" s="175"/>
      <c r="DE11" s="175"/>
      <c r="DF11" s="175"/>
      <c r="DG11" s="175"/>
      <c r="DH11" s="175"/>
      <c r="DI11" s="175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175"/>
      <c r="EC11" s="175"/>
      <c r="ED11" s="175"/>
      <c r="EE11" s="175"/>
      <c r="EF11" s="175"/>
      <c r="EG11" s="175"/>
      <c r="EH11" s="175"/>
      <c r="EI11" s="175"/>
      <c r="EJ11" s="175"/>
      <c r="EK11" s="175"/>
      <c r="EL11" s="175"/>
      <c r="EM11" s="175"/>
      <c r="EN11" s="175"/>
      <c r="EO11" s="175"/>
      <c r="EP11" s="175"/>
      <c r="EQ11" s="175"/>
      <c r="ER11" s="175"/>
      <c r="ES11" s="175"/>
      <c r="ET11" s="175"/>
      <c r="EU11" s="175"/>
      <c r="EV11" s="175"/>
      <c r="EW11" s="175"/>
      <c r="EX11" s="175"/>
      <c r="EY11" s="175"/>
      <c r="EZ11" s="175"/>
      <c r="FA11" s="175"/>
      <c r="FB11" s="175"/>
      <c r="FC11" s="175"/>
      <c r="FD11" s="175"/>
      <c r="FE11" s="175"/>
      <c r="FF11" s="175"/>
      <c r="FG11" s="175"/>
      <c r="FH11" s="175"/>
      <c r="FI11" s="175"/>
      <c r="FJ11" s="175"/>
      <c r="FK11" s="175"/>
      <c r="FL11" s="175"/>
      <c r="FM11" s="175"/>
      <c r="FN11" s="175"/>
      <c r="FO11" s="175"/>
      <c r="FP11" s="175"/>
      <c r="FQ11" s="175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5"/>
      <c r="GO11" s="175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  <c r="HN11" s="175"/>
      <c r="HO11" s="175"/>
      <c r="HP11" s="175"/>
      <c r="HQ11" s="175"/>
      <c r="HR11" s="175"/>
      <c r="HS11" s="175"/>
      <c r="HT11" s="175"/>
      <c r="HU11" s="175"/>
      <c r="HV11" s="175"/>
      <c r="HW11" s="175"/>
      <c r="HX11" s="175"/>
      <c r="HY11" s="175"/>
      <c r="HZ11" s="175"/>
      <c r="IA11" s="175"/>
      <c r="IB11" s="175"/>
      <c r="IC11" s="175"/>
      <c r="ID11" s="175"/>
      <c r="IE11" s="175"/>
      <c r="IF11" s="175"/>
      <c r="IG11" s="175"/>
      <c r="IH11" s="175"/>
      <c r="II11" s="175"/>
      <c r="IJ11" s="175"/>
      <c r="IK11" s="175"/>
      <c r="IL11" s="175"/>
      <c r="IM11" s="175"/>
      <c r="IN11" s="175"/>
      <c r="IO11" s="175"/>
      <c r="IP11" s="175"/>
      <c r="IQ11" s="175"/>
    </row>
    <row r="12" spans="1:251" s="146" customFormat="1" ht="21.75" customHeight="1">
      <c r="A12" s="179">
        <v>5</v>
      </c>
      <c r="B12" s="403" t="s">
        <v>594</v>
      </c>
      <c r="C12" s="404" t="s">
        <v>597</v>
      </c>
      <c r="D12" s="405">
        <v>69</v>
      </c>
      <c r="E12" s="405"/>
      <c r="F12" s="463" t="s">
        <v>598</v>
      </c>
      <c r="G12" s="405" t="s">
        <v>599</v>
      </c>
      <c r="H12" s="400" t="s">
        <v>581</v>
      </c>
      <c r="I12" s="180">
        <f t="shared" si="0"/>
        <v>420000</v>
      </c>
      <c r="J12" s="407" t="s">
        <v>692</v>
      </c>
      <c r="K12" s="183">
        <f t="shared" si="1"/>
        <v>300000</v>
      </c>
      <c r="L12" s="407" t="s">
        <v>701</v>
      </c>
      <c r="M12" s="181">
        <f t="shared" si="2"/>
        <v>300000</v>
      </c>
      <c r="N12" s="181">
        <f t="shared" si="3"/>
        <v>1020000</v>
      </c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5"/>
      <c r="BM12" s="175"/>
      <c r="BN12" s="175"/>
      <c r="BO12" s="175"/>
      <c r="BP12" s="175"/>
      <c r="BQ12" s="175"/>
      <c r="BR12" s="175"/>
      <c r="BS12" s="175"/>
      <c r="BT12" s="175"/>
      <c r="BU12" s="175"/>
      <c r="BV12" s="175"/>
      <c r="BW12" s="175"/>
      <c r="BX12" s="175"/>
      <c r="BY12" s="175"/>
      <c r="BZ12" s="175"/>
      <c r="CA12" s="175"/>
      <c r="CB12" s="175"/>
      <c r="CC12" s="175"/>
      <c r="CD12" s="175"/>
      <c r="CE12" s="175"/>
      <c r="CF12" s="175"/>
      <c r="CG12" s="175"/>
      <c r="CH12" s="175"/>
      <c r="CI12" s="175"/>
      <c r="CJ12" s="175"/>
      <c r="CK12" s="175"/>
      <c r="CL12" s="175"/>
      <c r="CM12" s="175"/>
      <c r="CN12" s="175"/>
      <c r="CO12" s="175"/>
      <c r="CP12" s="175"/>
      <c r="CQ12" s="175"/>
      <c r="CR12" s="175"/>
      <c r="CS12" s="175"/>
      <c r="CT12" s="175"/>
      <c r="CU12" s="175"/>
      <c r="CV12" s="175"/>
      <c r="CW12" s="175"/>
      <c r="CX12" s="175"/>
      <c r="CY12" s="175"/>
      <c r="CZ12" s="175"/>
      <c r="DA12" s="175"/>
      <c r="DB12" s="175"/>
      <c r="DC12" s="175"/>
      <c r="DD12" s="175"/>
      <c r="DE12" s="175"/>
      <c r="DF12" s="175"/>
      <c r="DG12" s="175"/>
      <c r="DH12" s="175"/>
      <c r="DI12" s="175"/>
      <c r="DJ12" s="175"/>
      <c r="DK12" s="175"/>
      <c r="DL12" s="175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75"/>
      <c r="DZ12" s="175"/>
      <c r="EA12" s="175"/>
      <c r="EB12" s="175"/>
      <c r="EC12" s="175"/>
      <c r="ED12" s="175"/>
      <c r="EE12" s="175"/>
      <c r="EF12" s="175"/>
      <c r="EG12" s="175"/>
      <c r="EH12" s="175"/>
      <c r="EI12" s="175"/>
      <c r="EJ12" s="175"/>
      <c r="EK12" s="175"/>
      <c r="EL12" s="175"/>
      <c r="EM12" s="175"/>
      <c r="EN12" s="175"/>
      <c r="EO12" s="175"/>
      <c r="EP12" s="175"/>
      <c r="EQ12" s="175"/>
      <c r="ER12" s="175"/>
      <c r="ES12" s="175"/>
      <c r="ET12" s="175"/>
      <c r="EU12" s="175"/>
      <c r="EV12" s="175"/>
      <c r="EW12" s="175"/>
      <c r="EX12" s="175"/>
      <c r="EY12" s="175"/>
      <c r="EZ12" s="175"/>
      <c r="FA12" s="175"/>
      <c r="FB12" s="175"/>
      <c r="FC12" s="175"/>
      <c r="FD12" s="175"/>
      <c r="FE12" s="175"/>
      <c r="FF12" s="175"/>
      <c r="FG12" s="175"/>
      <c r="FH12" s="175"/>
      <c r="FI12" s="175"/>
      <c r="FJ12" s="175"/>
      <c r="FK12" s="175"/>
      <c r="FL12" s="175"/>
      <c r="FM12" s="175"/>
      <c r="FN12" s="175"/>
      <c r="FO12" s="175"/>
      <c r="FP12" s="175"/>
      <c r="FQ12" s="175"/>
      <c r="FR12" s="175"/>
      <c r="FS12" s="175"/>
      <c r="FT12" s="175"/>
      <c r="FU12" s="175"/>
      <c r="FV12" s="175"/>
      <c r="FW12" s="175"/>
      <c r="FX12" s="175"/>
      <c r="FY12" s="175"/>
      <c r="FZ12" s="175"/>
      <c r="GA12" s="175"/>
      <c r="GB12" s="175"/>
      <c r="GC12" s="175"/>
      <c r="GD12" s="175"/>
      <c r="GE12" s="175"/>
      <c r="GF12" s="175"/>
      <c r="GG12" s="175"/>
      <c r="GH12" s="175"/>
      <c r="GI12" s="175"/>
      <c r="GJ12" s="175"/>
      <c r="GK12" s="175"/>
      <c r="GL12" s="175"/>
      <c r="GM12" s="175"/>
      <c r="GN12" s="175"/>
      <c r="GO12" s="175"/>
      <c r="GP12" s="175"/>
      <c r="GQ12" s="175"/>
      <c r="GR12" s="175"/>
      <c r="GS12" s="175"/>
      <c r="GT12" s="175"/>
      <c r="GU12" s="175"/>
      <c r="GV12" s="175"/>
      <c r="GW12" s="175"/>
      <c r="GX12" s="175"/>
      <c r="GY12" s="175"/>
      <c r="GZ12" s="175"/>
      <c r="HA12" s="175"/>
      <c r="HB12" s="175"/>
      <c r="HC12" s="175"/>
      <c r="HD12" s="175"/>
      <c r="HE12" s="175"/>
      <c r="HF12" s="175"/>
      <c r="HG12" s="175"/>
      <c r="HH12" s="175"/>
      <c r="HI12" s="175"/>
      <c r="HJ12" s="175"/>
      <c r="HK12" s="175"/>
      <c r="HL12" s="175"/>
      <c r="HM12" s="175"/>
      <c r="HN12" s="175"/>
      <c r="HO12" s="175"/>
      <c r="HP12" s="175"/>
      <c r="HQ12" s="175"/>
      <c r="HR12" s="175"/>
      <c r="HS12" s="175"/>
      <c r="HT12" s="175"/>
      <c r="HU12" s="175"/>
      <c r="HV12" s="175"/>
      <c r="HW12" s="175"/>
      <c r="HX12" s="175"/>
      <c r="HY12" s="175"/>
      <c r="HZ12" s="175"/>
      <c r="IA12" s="175"/>
      <c r="IB12" s="175"/>
      <c r="IC12" s="175"/>
      <c r="ID12" s="175"/>
      <c r="IE12" s="175"/>
      <c r="IF12" s="175"/>
      <c r="IG12" s="175"/>
      <c r="IH12" s="175"/>
      <c r="II12" s="175"/>
      <c r="IJ12" s="175"/>
      <c r="IK12" s="175"/>
      <c r="IL12" s="175"/>
      <c r="IM12" s="175"/>
      <c r="IN12" s="175"/>
      <c r="IO12" s="175"/>
      <c r="IP12" s="175"/>
      <c r="IQ12" s="175"/>
    </row>
    <row r="13" spans="1:251" s="146" customFormat="1" ht="21.75" customHeight="1">
      <c r="A13" s="179">
        <v>6</v>
      </c>
      <c r="B13" s="403" t="s">
        <v>600</v>
      </c>
      <c r="C13" s="404" t="s">
        <v>601</v>
      </c>
      <c r="D13" s="405"/>
      <c r="E13" s="405">
        <v>69</v>
      </c>
      <c r="F13" s="463" t="s">
        <v>588</v>
      </c>
      <c r="G13" s="405" t="s">
        <v>589</v>
      </c>
      <c r="H13" s="400" t="s">
        <v>585</v>
      </c>
      <c r="I13" s="180">
        <f t="shared" si="0"/>
        <v>187500</v>
      </c>
      <c r="J13" s="407" t="s">
        <v>692</v>
      </c>
      <c r="K13" s="183">
        <f t="shared" si="1"/>
        <v>135000</v>
      </c>
      <c r="L13" s="407" t="s">
        <v>701</v>
      </c>
      <c r="M13" s="181">
        <f t="shared" si="2"/>
        <v>135000</v>
      </c>
      <c r="N13" s="181">
        <f t="shared" si="3"/>
        <v>457500</v>
      </c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75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5"/>
      <c r="BM13" s="175"/>
      <c r="BN13" s="175"/>
      <c r="BO13" s="175"/>
      <c r="BP13" s="175"/>
      <c r="BQ13" s="175"/>
      <c r="BR13" s="175"/>
      <c r="BS13" s="175"/>
      <c r="BT13" s="175"/>
      <c r="BU13" s="175"/>
      <c r="BV13" s="175"/>
      <c r="BW13" s="175"/>
      <c r="BX13" s="175"/>
      <c r="BY13" s="175"/>
      <c r="BZ13" s="175"/>
      <c r="CA13" s="175"/>
      <c r="CB13" s="175"/>
      <c r="CC13" s="175"/>
      <c r="CD13" s="175"/>
      <c r="CE13" s="175"/>
      <c r="CF13" s="175"/>
      <c r="CG13" s="17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175"/>
      <c r="CS13" s="175"/>
      <c r="CT13" s="175"/>
      <c r="CU13" s="175"/>
      <c r="CV13" s="175"/>
      <c r="CW13" s="175"/>
      <c r="CX13" s="175"/>
      <c r="CY13" s="175"/>
      <c r="CZ13" s="175"/>
      <c r="DA13" s="175"/>
      <c r="DB13" s="175"/>
      <c r="DC13" s="175"/>
      <c r="DD13" s="175"/>
      <c r="DE13" s="175"/>
      <c r="DF13" s="175"/>
      <c r="DG13" s="175"/>
      <c r="DH13" s="175"/>
      <c r="DI13" s="175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75"/>
      <c r="EC13" s="175"/>
      <c r="ED13" s="175"/>
      <c r="EE13" s="175"/>
      <c r="EF13" s="175"/>
      <c r="EG13" s="175"/>
      <c r="EH13" s="175"/>
      <c r="EI13" s="175"/>
      <c r="EJ13" s="175"/>
      <c r="EK13" s="175"/>
      <c r="EL13" s="175"/>
      <c r="EM13" s="175"/>
      <c r="EN13" s="175"/>
      <c r="EO13" s="175"/>
      <c r="EP13" s="175"/>
      <c r="EQ13" s="175"/>
      <c r="ER13" s="175"/>
      <c r="ES13" s="175"/>
      <c r="ET13" s="175"/>
      <c r="EU13" s="175"/>
      <c r="EV13" s="175"/>
      <c r="EW13" s="175"/>
      <c r="EX13" s="175"/>
      <c r="EY13" s="175"/>
      <c r="EZ13" s="175"/>
      <c r="FA13" s="175"/>
      <c r="FB13" s="175"/>
      <c r="FC13" s="175"/>
      <c r="FD13" s="175"/>
      <c r="FE13" s="175"/>
      <c r="FF13" s="175"/>
      <c r="FG13" s="175"/>
      <c r="FH13" s="175"/>
      <c r="FI13" s="175"/>
      <c r="FJ13" s="175"/>
      <c r="FK13" s="175"/>
      <c r="FL13" s="175"/>
      <c r="FM13" s="175"/>
      <c r="FN13" s="175"/>
      <c r="FO13" s="175"/>
      <c r="FP13" s="175"/>
      <c r="FQ13" s="175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  <c r="HN13" s="175"/>
      <c r="HO13" s="175"/>
      <c r="HP13" s="175"/>
      <c r="HQ13" s="175"/>
      <c r="HR13" s="175"/>
      <c r="HS13" s="175"/>
      <c r="HT13" s="175"/>
      <c r="HU13" s="175"/>
      <c r="HV13" s="175"/>
      <c r="HW13" s="175"/>
      <c r="HX13" s="175"/>
      <c r="HY13" s="175"/>
      <c r="HZ13" s="175"/>
      <c r="IA13" s="175"/>
      <c r="IB13" s="175"/>
      <c r="IC13" s="175"/>
      <c r="ID13" s="175"/>
      <c r="IE13" s="175"/>
      <c r="IF13" s="175"/>
      <c r="IG13" s="175"/>
      <c r="IH13" s="175"/>
      <c r="II13" s="175"/>
      <c r="IJ13" s="175"/>
      <c r="IK13" s="175"/>
      <c r="IL13" s="175"/>
      <c r="IM13" s="175"/>
      <c r="IN13" s="175"/>
      <c r="IO13" s="175"/>
      <c r="IP13" s="175"/>
      <c r="IQ13" s="175"/>
    </row>
    <row r="14" spans="1:251" s="146" customFormat="1" ht="21.75" customHeight="1">
      <c r="A14" s="179">
        <v>7</v>
      </c>
      <c r="B14" s="403" t="s">
        <v>602</v>
      </c>
      <c r="C14" s="404" t="s">
        <v>603</v>
      </c>
      <c r="D14" s="405"/>
      <c r="E14" s="405">
        <v>74</v>
      </c>
      <c r="F14" s="463" t="s">
        <v>598</v>
      </c>
      <c r="G14" s="405" t="s">
        <v>592</v>
      </c>
      <c r="H14" s="400" t="s">
        <v>580</v>
      </c>
      <c r="I14" s="180">
        <f t="shared" si="0"/>
        <v>420000</v>
      </c>
      <c r="J14" s="407" t="s">
        <v>693</v>
      </c>
      <c r="K14" s="183">
        <f t="shared" si="1"/>
        <v>300000</v>
      </c>
      <c r="L14" s="407" t="s">
        <v>696</v>
      </c>
      <c r="M14" s="181">
        <f t="shared" si="2"/>
        <v>300000</v>
      </c>
      <c r="N14" s="181">
        <f t="shared" si="3"/>
        <v>1020000</v>
      </c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175"/>
      <c r="CG14" s="175"/>
      <c r="CH14" s="175"/>
      <c r="CI14" s="175"/>
      <c r="CJ14" s="175"/>
      <c r="CK14" s="175"/>
      <c r="CL14" s="175"/>
      <c r="CM14" s="175"/>
      <c r="CN14" s="175"/>
      <c r="CO14" s="175"/>
      <c r="CP14" s="175"/>
      <c r="CQ14" s="175"/>
      <c r="CR14" s="175"/>
      <c r="CS14" s="175"/>
      <c r="CT14" s="175"/>
      <c r="CU14" s="175"/>
      <c r="CV14" s="175"/>
      <c r="CW14" s="175"/>
      <c r="CX14" s="175"/>
      <c r="CY14" s="175"/>
      <c r="CZ14" s="175"/>
      <c r="DA14" s="175"/>
      <c r="DB14" s="175"/>
      <c r="DC14" s="175"/>
      <c r="DD14" s="175"/>
      <c r="DE14" s="175"/>
      <c r="DF14" s="175"/>
      <c r="DG14" s="175"/>
      <c r="DH14" s="175"/>
      <c r="DI14" s="175"/>
      <c r="DJ14" s="175"/>
      <c r="DK14" s="175"/>
      <c r="DL14" s="175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75"/>
      <c r="DZ14" s="175"/>
      <c r="EA14" s="175"/>
      <c r="EB14" s="175"/>
      <c r="EC14" s="175"/>
      <c r="ED14" s="175"/>
      <c r="EE14" s="175"/>
      <c r="EF14" s="175"/>
      <c r="EG14" s="175"/>
      <c r="EH14" s="175"/>
      <c r="EI14" s="175"/>
      <c r="EJ14" s="175"/>
      <c r="EK14" s="175"/>
      <c r="EL14" s="175"/>
      <c r="EM14" s="175"/>
      <c r="EN14" s="175"/>
      <c r="EO14" s="175"/>
      <c r="EP14" s="175"/>
      <c r="EQ14" s="175"/>
      <c r="ER14" s="175"/>
      <c r="ES14" s="175"/>
      <c r="ET14" s="175"/>
      <c r="EU14" s="175"/>
      <c r="EV14" s="175"/>
      <c r="EW14" s="175"/>
      <c r="EX14" s="175"/>
      <c r="EY14" s="175"/>
      <c r="EZ14" s="175"/>
      <c r="FA14" s="175"/>
      <c r="FB14" s="175"/>
      <c r="FC14" s="175"/>
      <c r="FD14" s="175"/>
      <c r="FE14" s="175"/>
      <c r="FF14" s="175"/>
      <c r="FG14" s="175"/>
      <c r="FH14" s="175"/>
      <c r="FI14" s="175"/>
      <c r="FJ14" s="175"/>
      <c r="FK14" s="175"/>
      <c r="FL14" s="175"/>
      <c r="FM14" s="175"/>
      <c r="FN14" s="175"/>
      <c r="FO14" s="175"/>
      <c r="FP14" s="175"/>
      <c r="FQ14" s="175"/>
      <c r="FR14" s="175"/>
      <c r="FS14" s="175"/>
      <c r="FT14" s="175"/>
      <c r="FU14" s="175"/>
      <c r="FV14" s="175"/>
      <c r="FW14" s="175"/>
      <c r="FX14" s="175"/>
      <c r="FY14" s="175"/>
      <c r="FZ14" s="175"/>
      <c r="GA14" s="175"/>
      <c r="GB14" s="175"/>
      <c r="GC14" s="175"/>
      <c r="GD14" s="175"/>
      <c r="GE14" s="175"/>
      <c r="GF14" s="175"/>
      <c r="GG14" s="175"/>
      <c r="GH14" s="175"/>
      <c r="GI14" s="175"/>
      <c r="GJ14" s="175"/>
      <c r="GK14" s="175"/>
      <c r="GL14" s="175"/>
      <c r="GM14" s="175"/>
      <c r="GN14" s="175"/>
      <c r="GO14" s="175"/>
      <c r="GP14" s="175"/>
      <c r="GQ14" s="175"/>
      <c r="GR14" s="175"/>
      <c r="GS14" s="175"/>
      <c r="GT14" s="175"/>
      <c r="GU14" s="175"/>
      <c r="GV14" s="175"/>
      <c r="GW14" s="175"/>
      <c r="GX14" s="175"/>
      <c r="GY14" s="175"/>
      <c r="GZ14" s="175"/>
      <c r="HA14" s="175"/>
      <c r="HB14" s="175"/>
      <c r="HC14" s="175"/>
      <c r="HD14" s="175"/>
      <c r="HE14" s="175"/>
      <c r="HF14" s="175"/>
      <c r="HG14" s="175"/>
      <c r="HH14" s="175"/>
      <c r="HI14" s="175"/>
      <c r="HJ14" s="175"/>
      <c r="HK14" s="175"/>
      <c r="HL14" s="175"/>
      <c r="HM14" s="175"/>
      <c r="HN14" s="175"/>
      <c r="HO14" s="175"/>
      <c r="HP14" s="175"/>
      <c r="HQ14" s="175"/>
      <c r="HR14" s="175"/>
      <c r="HS14" s="175"/>
      <c r="HT14" s="175"/>
      <c r="HU14" s="175"/>
      <c r="HV14" s="175"/>
      <c r="HW14" s="175"/>
      <c r="HX14" s="175"/>
      <c r="HY14" s="175"/>
      <c r="HZ14" s="175"/>
      <c r="IA14" s="175"/>
      <c r="IB14" s="175"/>
      <c r="IC14" s="175"/>
      <c r="ID14" s="175"/>
      <c r="IE14" s="175"/>
      <c r="IF14" s="175"/>
      <c r="IG14" s="175"/>
      <c r="IH14" s="175"/>
      <c r="II14" s="175"/>
      <c r="IJ14" s="175"/>
      <c r="IK14" s="175"/>
      <c r="IL14" s="175"/>
      <c r="IM14" s="175"/>
      <c r="IN14" s="175"/>
      <c r="IO14" s="175"/>
      <c r="IP14" s="175"/>
      <c r="IQ14" s="175"/>
    </row>
    <row r="15" spans="1:251" s="146" customFormat="1" ht="21.75" customHeight="1">
      <c r="A15" s="179">
        <v>8</v>
      </c>
      <c r="B15" s="403" t="s">
        <v>604</v>
      </c>
      <c r="C15" s="404" t="s">
        <v>605</v>
      </c>
      <c r="D15" s="405">
        <v>95</v>
      </c>
      <c r="E15" s="405"/>
      <c r="F15" s="463" t="s">
        <v>598</v>
      </c>
      <c r="G15" s="405" t="s">
        <v>599</v>
      </c>
      <c r="H15" s="400" t="s">
        <v>585</v>
      </c>
      <c r="I15" s="180">
        <f t="shared" si="0"/>
        <v>420000</v>
      </c>
      <c r="J15" s="407" t="s">
        <v>582</v>
      </c>
      <c r="K15" s="183">
        <f t="shared" si="1"/>
        <v>300000</v>
      </c>
      <c r="L15" s="407" t="s">
        <v>692</v>
      </c>
      <c r="M15" s="181">
        <f t="shared" si="2"/>
        <v>300000</v>
      </c>
      <c r="N15" s="181">
        <f t="shared" si="3"/>
        <v>1020000</v>
      </c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175"/>
      <c r="CS15" s="175"/>
      <c r="CT15" s="175"/>
      <c r="CU15" s="175"/>
      <c r="CV15" s="175"/>
      <c r="CW15" s="175"/>
      <c r="CX15" s="175"/>
      <c r="CY15" s="175"/>
      <c r="CZ15" s="175"/>
      <c r="DA15" s="175"/>
      <c r="DB15" s="175"/>
      <c r="DC15" s="175"/>
      <c r="DD15" s="175"/>
      <c r="DE15" s="175"/>
      <c r="DF15" s="175"/>
      <c r="DG15" s="175"/>
      <c r="DH15" s="175"/>
      <c r="DI15" s="175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75"/>
      <c r="EC15" s="175"/>
      <c r="ED15" s="175"/>
      <c r="EE15" s="175"/>
      <c r="EF15" s="175"/>
      <c r="EG15" s="175"/>
      <c r="EH15" s="175"/>
      <c r="EI15" s="175"/>
      <c r="EJ15" s="175"/>
      <c r="EK15" s="175"/>
      <c r="EL15" s="175"/>
      <c r="EM15" s="175"/>
      <c r="EN15" s="175"/>
      <c r="EO15" s="175"/>
      <c r="EP15" s="175"/>
      <c r="EQ15" s="175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175"/>
      <c r="GC15" s="175"/>
      <c r="GD15" s="175"/>
      <c r="GE15" s="175"/>
      <c r="GF15" s="175"/>
      <c r="GG15" s="175"/>
      <c r="GH15" s="175"/>
      <c r="GI15" s="175"/>
      <c r="GJ15" s="175"/>
      <c r="GK15" s="175"/>
      <c r="GL15" s="175"/>
      <c r="GM15" s="175"/>
      <c r="GN15" s="175"/>
      <c r="GO15" s="175"/>
      <c r="GP15" s="175"/>
      <c r="GQ15" s="175"/>
      <c r="GR15" s="175"/>
      <c r="GS15" s="175"/>
      <c r="GT15" s="175"/>
      <c r="GU15" s="175"/>
      <c r="GV15" s="175"/>
      <c r="GW15" s="175"/>
      <c r="GX15" s="175"/>
      <c r="GY15" s="175"/>
      <c r="GZ15" s="175"/>
      <c r="HA15" s="175"/>
      <c r="HB15" s="175"/>
      <c r="HC15" s="175"/>
      <c r="HD15" s="175"/>
      <c r="HE15" s="175"/>
      <c r="HF15" s="175"/>
      <c r="HG15" s="175"/>
      <c r="HH15" s="175"/>
      <c r="HI15" s="175"/>
      <c r="HJ15" s="175"/>
      <c r="HK15" s="175"/>
      <c r="HL15" s="175"/>
      <c r="HM15" s="175"/>
      <c r="HN15" s="175"/>
      <c r="HO15" s="175"/>
      <c r="HP15" s="175"/>
      <c r="HQ15" s="175"/>
      <c r="HR15" s="175"/>
      <c r="HS15" s="175"/>
      <c r="HT15" s="175"/>
      <c r="HU15" s="175"/>
      <c r="HV15" s="175"/>
      <c r="HW15" s="175"/>
      <c r="HX15" s="175"/>
      <c r="HY15" s="175"/>
      <c r="HZ15" s="175"/>
      <c r="IA15" s="175"/>
      <c r="IB15" s="175"/>
      <c r="IC15" s="175"/>
      <c r="ID15" s="175"/>
      <c r="IE15" s="175"/>
      <c r="IF15" s="175"/>
      <c r="IG15" s="175"/>
      <c r="IH15" s="175"/>
      <c r="II15" s="175"/>
      <c r="IJ15" s="175"/>
      <c r="IK15" s="175"/>
      <c r="IL15" s="175"/>
      <c r="IM15" s="175"/>
      <c r="IN15" s="175"/>
      <c r="IO15" s="175"/>
      <c r="IP15" s="175"/>
      <c r="IQ15" s="175"/>
    </row>
    <row r="16" spans="1:251" s="146" customFormat="1" ht="21.75" customHeight="1">
      <c r="A16" s="179">
        <v>9</v>
      </c>
      <c r="B16" s="403" t="s">
        <v>606</v>
      </c>
      <c r="C16" s="404" t="s">
        <v>607</v>
      </c>
      <c r="D16" s="405">
        <v>75</v>
      </c>
      <c r="E16" s="405"/>
      <c r="F16" s="463" t="s">
        <v>598</v>
      </c>
      <c r="G16" s="405" t="s">
        <v>592</v>
      </c>
      <c r="H16" s="400" t="s">
        <v>582</v>
      </c>
      <c r="I16" s="180">
        <f t="shared" si="0"/>
        <v>420000</v>
      </c>
      <c r="J16" s="407" t="s">
        <v>581</v>
      </c>
      <c r="K16" s="183">
        <f t="shared" si="1"/>
        <v>300000</v>
      </c>
      <c r="L16" s="407" t="s">
        <v>585</v>
      </c>
      <c r="M16" s="181">
        <f t="shared" si="2"/>
        <v>300000</v>
      </c>
      <c r="N16" s="181">
        <f t="shared" si="3"/>
        <v>1020000</v>
      </c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/>
      <c r="BQ16" s="175"/>
      <c r="BR16" s="175"/>
      <c r="BS16" s="175"/>
      <c r="BT16" s="175"/>
      <c r="BU16" s="175"/>
      <c r="BV16" s="175"/>
      <c r="BW16" s="175"/>
      <c r="BX16" s="175"/>
      <c r="BY16" s="175"/>
      <c r="BZ16" s="175"/>
      <c r="CA16" s="175"/>
      <c r="CB16" s="175"/>
      <c r="CC16" s="175"/>
      <c r="CD16" s="175"/>
      <c r="CE16" s="175"/>
      <c r="CF16" s="175"/>
      <c r="CG16" s="17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175"/>
      <c r="CS16" s="175"/>
      <c r="CT16" s="175"/>
      <c r="CU16" s="175"/>
      <c r="CV16" s="175"/>
      <c r="CW16" s="175"/>
      <c r="CX16" s="175"/>
      <c r="CY16" s="175"/>
      <c r="CZ16" s="175"/>
      <c r="DA16" s="175"/>
      <c r="DB16" s="175"/>
      <c r="DC16" s="175"/>
      <c r="DD16" s="175"/>
      <c r="DE16" s="175"/>
      <c r="DF16" s="175"/>
      <c r="DG16" s="175"/>
      <c r="DH16" s="175"/>
      <c r="DI16" s="175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75"/>
      <c r="EC16" s="175"/>
      <c r="ED16" s="175"/>
      <c r="EE16" s="175"/>
      <c r="EF16" s="175"/>
      <c r="EG16" s="175"/>
      <c r="EH16" s="175"/>
      <c r="EI16" s="175"/>
      <c r="EJ16" s="175"/>
      <c r="EK16" s="175"/>
      <c r="EL16" s="175"/>
      <c r="EM16" s="175"/>
      <c r="EN16" s="175"/>
      <c r="EO16" s="175"/>
      <c r="EP16" s="175"/>
      <c r="EQ16" s="175"/>
      <c r="ER16" s="175"/>
      <c r="ES16" s="175"/>
      <c r="ET16" s="175"/>
      <c r="EU16" s="175"/>
      <c r="EV16" s="175"/>
      <c r="EW16" s="175"/>
      <c r="EX16" s="175"/>
      <c r="EY16" s="175"/>
      <c r="EZ16" s="175"/>
      <c r="FA16" s="175"/>
      <c r="FB16" s="175"/>
      <c r="FC16" s="175"/>
      <c r="FD16" s="175"/>
      <c r="FE16" s="175"/>
      <c r="FF16" s="175"/>
      <c r="FG16" s="175"/>
      <c r="FH16" s="175"/>
      <c r="FI16" s="175"/>
      <c r="FJ16" s="175"/>
      <c r="FK16" s="175"/>
      <c r="FL16" s="175"/>
      <c r="FM16" s="175"/>
      <c r="FN16" s="175"/>
      <c r="FO16" s="175"/>
      <c r="FP16" s="175"/>
      <c r="FQ16" s="175"/>
      <c r="FR16" s="175"/>
      <c r="FS16" s="175"/>
      <c r="FT16" s="175"/>
      <c r="FU16" s="175"/>
      <c r="FV16" s="175"/>
      <c r="FW16" s="175"/>
      <c r="FX16" s="175"/>
      <c r="FY16" s="175"/>
      <c r="FZ16" s="175"/>
      <c r="GA16" s="175"/>
      <c r="GB16" s="175"/>
      <c r="GC16" s="175"/>
      <c r="GD16" s="175"/>
      <c r="GE16" s="175"/>
      <c r="GF16" s="175"/>
      <c r="GG16" s="175"/>
      <c r="GH16" s="175"/>
      <c r="GI16" s="175"/>
      <c r="GJ16" s="175"/>
      <c r="GK16" s="175"/>
      <c r="GL16" s="175"/>
      <c r="GM16" s="175"/>
      <c r="GN16" s="175"/>
      <c r="GO16" s="175"/>
      <c r="GP16" s="175"/>
      <c r="GQ16" s="175"/>
      <c r="GR16" s="175"/>
      <c r="GS16" s="175"/>
      <c r="GT16" s="175"/>
      <c r="GU16" s="175"/>
      <c r="GV16" s="175"/>
      <c r="GW16" s="175"/>
      <c r="GX16" s="175"/>
      <c r="GY16" s="175"/>
      <c r="GZ16" s="175"/>
      <c r="HA16" s="175"/>
      <c r="HB16" s="175"/>
      <c r="HC16" s="175"/>
      <c r="HD16" s="175"/>
      <c r="HE16" s="175"/>
      <c r="HF16" s="175"/>
      <c r="HG16" s="175"/>
      <c r="HH16" s="175"/>
      <c r="HI16" s="175"/>
      <c r="HJ16" s="175"/>
      <c r="HK16" s="175"/>
      <c r="HL16" s="175"/>
      <c r="HM16" s="175"/>
      <c r="HN16" s="175"/>
      <c r="HO16" s="175"/>
      <c r="HP16" s="175"/>
      <c r="HQ16" s="175"/>
      <c r="HR16" s="175"/>
      <c r="HS16" s="175"/>
      <c r="HT16" s="175"/>
      <c r="HU16" s="175"/>
      <c r="HV16" s="175"/>
      <c r="HW16" s="175"/>
      <c r="HX16" s="175"/>
      <c r="HY16" s="175"/>
      <c r="HZ16" s="175"/>
      <c r="IA16" s="175"/>
      <c r="IB16" s="175"/>
      <c r="IC16" s="175"/>
      <c r="ID16" s="175"/>
      <c r="IE16" s="175"/>
      <c r="IF16" s="175"/>
      <c r="IG16" s="175"/>
      <c r="IH16" s="175"/>
      <c r="II16" s="175"/>
      <c r="IJ16" s="175"/>
      <c r="IK16" s="175"/>
      <c r="IL16" s="175"/>
      <c r="IM16" s="175"/>
      <c r="IN16" s="175"/>
      <c r="IO16" s="175"/>
      <c r="IP16" s="175"/>
      <c r="IQ16" s="175"/>
    </row>
    <row r="17" spans="1:251" s="146" customFormat="1" ht="21.75" customHeight="1">
      <c r="A17" s="179">
        <v>10</v>
      </c>
      <c r="B17" s="403" t="s">
        <v>608</v>
      </c>
      <c r="C17" s="404" t="s">
        <v>609</v>
      </c>
      <c r="D17" s="405"/>
      <c r="E17" s="405">
        <v>68</v>
      </c>
      <c r="F17" s="463" t="s">
        <v>610</v>
      </c>
      <c r="G17" s="405" t="s">
        <v>589</v>
      </c>
      <c r="H17" s="400" t="s">
        <v>581</v>
      </c>
      <c r="I17" s="180">
        <f t="shared" si="0"/>
        <v>187500</v>
      </c>
      <c r="J17" s="407" t="s">
        <v>694</v>
      </c>
      <c r="K17" s="183">
        <f t="shared" si="1"/>
        <v>135000</v>
      </c>
      <c r="L17" s="407" t="s">
        <v>696</v>
      </c>
      <c r="M17" s="181">
        <f t="shared" si="2"/>
        <v>135000</v>
      </c>
      <c r="N17" s="181">
        <f t="shared" si="3"/>
        <v>457500</v>
      </c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5"/>
      <c r="CA17" s="175"/>
      <c r="CB17" s="175"/>
      <c r="CC17" s="175"/>
      <c r="CD17" s="175"/>
      <c r="CE17" s="175"/>
      <c r="CF17" s="175"/>
      <c r="CG17" s="175"/>
      <c r="CH17" s="175"/>
      <c r="CI17" s="175"/>
      <c r="CJ17" s="175"/>
      <c r="CK17" s="175"/>
      <c r="CL17" s="175"/>
      <c r="CM17" s="175"/>
      <c r="CN17" s="175"/>
      <c r="CO17" s="175"/>
      <c r="CP17" s="175"/>
      <c r="CQ17" s="175"/>
      <c r="CR17" s="175"/>
      <c r="CS17" s="175"/>
      <c r="CT17" s="175"/>
      <c r="CU17" s="175"/>
      <c r="CV17" s="175"/>
      <c r="CW17" s="175"/>
      <c r="CX17" s="175"/>
      <c r="CY17" s="175"/>
      <c r="CZ17" s="175"/>
      <c r="DA17" s="175"/>
      <c r="DB17" s="175"/>
      <c r="DC17" s="175"/>
      <c r="DD17" s="175"/>
      <c r="DE17" s="175"/>
      <c r="DF17" s="175"/>
      <c r="DG17" s="175"/>
      <c r="DH17" s="175"/>
      <c r="DI17" s="175"/>
      <c r="DJ17" s="175"/>
      <c r="DK17" s="175"/>
      <c r="DL17" s="175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75"/>
      <c r="DZ17" s="175"/>
      <c r="EA17" s="175"/>
      <c r="EB17" s="175"/>
      <c r="EC17" s="175"/>
      <c r="ED17" s="175"/>
      <c r="EE17" s="175"/>
      <c r="EF17" s="175"/>
      <c r="EG17" s="175"/>
      <c r="EH17" s="175"/>
      <c r="EI17" s="175"/>
      <c r="EJ17" s="175"/>
      <c r="EK17" s="175"/>
      <c r="EL17" s="175"/>
      <c r="EM17" s="175"/>
      <c r="EN17" s="175"/>
      <c r="EO17" s="175"/>
      <c r="EP17" s="175"/>
      <c r="EQ17" s="175"/>
      <c r="ER17" s="175"/>
      <c r="ES17" s="175"/>
      <c r="ET17" s="175"/>
      <c r="EU17" s="175"/>
      <c r="EV17" s="175"/>
      <c r="EW17" s="175"/>
      <c r="EX17" s="175"/>
      <c r="EY17" s="175"/>
      <c r="EZ17" s="175"/>
      <c r="FA17" s="175"/>
      <c r="FB17" s="175"/>
      <c r="FC17" s="175"/>
      <c r="FD17" s="175"/>
      <c r="FE17" s="175"/>
      <c r="FF17" s="175"/>
      <c r="FG17" s="175"/>
      <c r="FH17" s="175"/>
      <c r="FI17" s="175"/>
      <c r="FJ17" s="175"/>
      <c r="FK17" s="175"/>
      <c r="FL17" s="175"/>
      <c r="FM17" s="175"/>
      <c r="FN17" s="175"/>
      <c r="FO17" s="175"/>
      <c r="FP17" s="175"/>
      <c r="FQ17" s="175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  <c r="GH17" s="175"/>
      <c r="GI17" s="175"/>
      <c r="GJ17" s="175"/>
      <c r="GK17" s="175"/>
      <c r="GL17" s="175"/>
      <c r="GM17" s="175"/>
      <c r="GN17" s="175"/>
      <c r="GO17" s="175"/>
      <c r="GP17" s="175"/>
      <c r="GQ17" s="175"/>
      <c r="GR17" s="175"/>
      <c r="GS17" s="175"/>
      <c r="GT17" s="175"/>
      <c r="GU17" s="175"/>
      <c r="GV17" s="175"/>
      <c r="GW17" s="175"/>
      <c r="GX17" s="175"/>
      <c r="GY17" s="175"/>
      <c r="GZ17" s="175"/>
      <c r="HA17" s="175"/>
      <c r="HB17" s="175"/>
      <c r="HC17" s="175"/>
      <c r="HD17" s="175"/>
      <c r="HE17" s="175"/>
      <c r="HF17" s="175"/>
      <c r="HG17" s="175"/>
      <c r="HH17" s="175"/>
      <c r="HI17" s="175"/>
      <c r="HJ17" s="175"/>
      <c r="HK17" s="175"/>
      <c r="HL17" s="175"/>
      <c r="HM17" s="175"/>
      <c r="HN17" s="175"/>
      <c r="HO17" s="175"/>
      <c r="HP17" s="175"/>
      <c r="HQ17" s="175"/>
      <c r="HR17" s="175"/>
      <c r="HS17" s="175"/>
      <c r="HT17" s="175"/>
      <c r="HU17" s="175"/>
      <c r="HV17" s="175"/>
      <c r="HW17" s="175"/>
      <c r="HX17" s="175"/>
      <c r="HY17" s="175"/>
      <c r="HZ17" s="175"/>
      <c r="IA17" s="175"/>
      <c r="IB17" s="175"/>
      <c r="IC17" s="175"/>
      <c r="ID17" s="175"/>
      <c r="IE17" s="175"/>
      <c r="IF17" s="175"/>
      <c r="IG17" s="175"/>
      <c r="IH17" s="175"/>
      <c r="II17" s="175"/>
      <c r="IJ17" s="175"/>
      <c r="IK17" s="175"/>
      <c r="IL17" s="175"/>
      <c r="IM17" s="175"/>
      <c r="IN17" s="175"/>
      <c r="IO17" s="175"/>
      <c r="IP17" s="175"/>
      <c r="IQ17" s="175"/>
    </row>
    <row r="18" spans="1:251" s="146" customFormat="1" ht="21.75" customHeight="1">
      <c r="A18" s="179">
        <v>11</v>
      </c>
      <c r="B18" s="403" t="s">
        <v>608</v>
      </c>
      <c r="C18" s="404" t="s">
        <v>611</v>
      </c>
      <c r="D18" s="405"/>
      <c r="E18" s="405">
        <v>85</v>
      </c>
      <c r="F18" s="463" t="s">
        <v>612</v>
      </c>
      <c r="G18" s="405" t="s">
        <v>589</v>
      </c>
      <c r="H18" s="400" t="s">
        <v>582</v>
      </c>
      <c r="I18" s="180">
        <f t="shared" si="0"/>
        <v>187500</v>
      </c>
      <c r="J18" s="407" t="s">
        <v>581</v>
      </c>
      <c r="K18" s="183">
        <f t="shared" si="1"/>
        <v>135000</v>
      </c>
      <c r="L18" s="407" t="s">
        <v>694</v>
      </c>
      <c r="M18" s="181">
        <f t="shared" si="2"/>
        <v>135000</v>
      </c>
      <c r="N18" s="181">
        <f t="shared" si="3"/>
        <v>457500</v>
      </c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5"/>
      <c r="BM18" s="175"/>
      <c r="BN18" s="175"/>
      <c r="BO18" s="175"/>
      <c r="BP18" s="175"/>
      <c r="BQ18" s="175"/>
      <c r="BR18" s="175"/>
      <c r="BS18" s="175"/>
      <c r="BT18" s="175"/>
      <c r="BU18" s="175"/>
      <c r="BV18" s="175"/>
      <c r="BW18" s="175"/>
      <c r="BX18" s="175"/>
      <c r="BY18" s="175"/>
      <c r="BZ18" s="175"/>
      <c r="CA18" s="175"/>
      <c r="CB18" s="175"/>
      <c r="CC18" s="175"/>
      <c r="CD18" s="175"/>
      <c r="CE18" s="175"/>
      <c r="CF18" s="175"/>
      <c r="CG18" s="175"/>
      <c r="CH18" s="175"/>
      <c r="CI18" s="175"/>
      <c r="CJ18" s="175"/>
      <c r="CK18" s="175"/>
      <c r="CL18" s="175"/>
      <c r="CM18" s="175"/>
      <c r="CN18" s="175"/>
      <c r="CO18" s="175"/>
      <c r="CP18" s="175"/>
      <c r="CQ18" s="175"/>
      <c r="CR18" s="175"/>
      <c r="CS18" s="175"/>
      <c r="CT18" s="175"/>
      <c r="CU18" s="175"/>
      <c r="CV18" s="175"/>
      <c r="CW18" s="175"/>
      <c r="CX18" s="175"/>
      <c r="CY18" s="175"/>
      <c r="CZ18" s="175"/>
      <c r="DA18" s="175"/>
      <c r="DB18" s="175"/>
      <c r="DC18" s="175"/>
      <c r="DD18" s="175"/>
      <c r="DE18" s="175"/>
      <c r="DF18" s="175"/>
      <c r="DG18" s="175"/>
      <c r="DH18" s="175"/>
      <c r="DI18" s="175"/>
      <c r="DJ18" s="175"/>
      <c r="DK18" s="175"/>
      <c r="DL18" s="175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75"/>
      <c r="DZ18" s="175"/>
      <c r="EA18" s="175"/>
      <c r="EB18" s="175"/>
      <c r="EC18" s="175"/>
      <c r="ED18" s="175"/>
      <c r="EE18" s="175"/>
      <c r="EF18" s="175"/>
      <c r="EG18" s="175"/>
      <c r="EH18" s="175"/>
      <c r="EI18" s="175"/>
      <c r="EJ18" s="175"/>
      <c r="EK18" s="175"/>
      <c r="EL18" s="175"/>
      <c r="EM18" s="175"/>
      <c r="EN18" s="175"/>
      <c r="EO18" s="175"/>
      <c r="EP18" s="175"/>
      <c r="EQ18" s="175"/>
      <c r="ER18" s="175"/>
      <c r="ES18" s="175"/>
      <c r="ET18" s="175"/>
      <c r="EU18" s="175"/>
      <c r="EV18" s="175"/>
      <c r="EW18" s="175"/>
      <c r="EX18" s="175"/>
      <c r="EY18" s="175"/>
      <c r="EZ18" s="175"/>
      <c r="FA18" s="175"/>
      <c r="FB18" s="175"/>
      <c r="FC18" s="175"/>
      <c r="FD18" s="175"/>
      <c r="FE18" s="175"/>
      <c r="FF18" s="175"/>
      <c r="FG18" s="175"/>
      <c r="FH18" s="175"/>
      <c r="FI18" s="175"/>
      <c r="FJ18" s="175"/>
      <c r="FK18" s="175"/>
      <c r="FL18" s="175"/>
      <c r="FM18" s="175"/>
      <c r="FN18" s="175"/>
      <c r="FO18" s="175"/>
      <c r="FP18" s="175"/>
      <c r="FQ18" s="175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175"/>
      <c r="HL18" s="175"/>
      <c r="HM18" s="175"/>
      <c r="HN18" s="175"/>
      <c r="HO18" s="175"/>
      <c r="HP18" s="175"/>
      <c r="HQ18" s="175"/>
      <c r="HR18" s="175"/>
      <c r="HS18" s="175"/>
      <c r="HT18" s="175"/>
      <c r="HU18" s="175"/>
      <c r="HV18" s="175"/>
      <c r="HW18" s="175"/>
      <c r="HX18" s="175"/>
      <c r="HY18" s="175"/>
      <c r="HZ18" s="175"/>
      <c r="IA18" s="175"/>
      <c r="IB18" s="175"/>
      <c r="IC18" s="175"/>
      <c r="ID18" s="175"/>
      <c r="IE18" s="175"/>
      <c r="IF18" s="175"/>
      <c r="IG18" s="175"/>
      <c r="IH18" s="175"/>
      <c r="II18" s="175"/>
      <c r="IJ18" s="175"/>
      <c r="IK18" s="175"/>
      <c r="IL18" s="175"/>
      <c r="IM18" s="175"/>
      <c r="IN18" s="175"/>
      <c r="IO18" s="175"/>
      <c r="IP18" s="175"/>
      <c r="IQ18" s="175"/>
    </row>
    <row r="19" spans="1:251" s="146" customFormat="1" ht="21.75" customHeight="1">
      <c r="A19" s="179">
        <v>12</v>
      </c>
      <c r="B19" s="403" t="s">
        <v>608</v>
      </c>
      <c r="C19" s="404" t="s">
        <v>613</v>
      </c>
      <c r="D19" s="405"/>
      <c r="E19" s="405">
        <v>70</v>
      </c>
      <c r="F19" s="463" t="s">
        <v>614</v>
      </c>
      <c r="G19" s="405" t="s">
        <v>592</v>
      </c>
      <c r="H19" s="400" t="s">
        <v>582</v>
      </c>
      <c r="I19" s="180">
        <f t="shared" si="0"/>
        <v>420000</v>
      </c>
      <c r="J19" s="407" t="s">
        <v>581</v>
      </c>
      <c r="K19" s="183">
        <f t="shared" si="1"/>
        <v>300000</v>
      </c>
      <c r="L19" s="407" t="s">
        <v>694</v>
      </c>
      <c r="M19" s="181">
        <f t="shared" si="2"/>
        <v>300000</v>
      </c>
      <c r="N19" s="181">
        <f t="shared" si="3"/>
        <v>1020000</v>
      </c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5"/>
      <c r="BB19" s="175"/>
      <c r="BC19" s="175"/>
      <c r="BD19" s="175"/>
      <c r="BE19" s="175"/>
      <c r="BF19" s="175"/>
      <c r="BG19" s="175"/>
      <c r="BH19" s="175"/>
      <c r="BI19" s="175"/>
      <c r="BJ19" s="175"/>
      <c r="BK19" s="175"/>
      <c r="BL19" s="175"/>
      <c r="BM19" s="175"/>
      <c r="BN19" s="175"/>
      <c r="BO19" s="175"/>
      <c r="BP19" s="175"/>
      <c r="BQ19" s="175"/>
      <c r="BR19" s="175"/>
      <c r="BS19" s="175"/>
      <c r="BT19" s="175"/>
      <c r="BU19" s="175"/>
      <c r="BV19" s="175"/>
      <c r="BW19" s="175"/>
      <c r="BX19" s="175"/>
      <c r="BY19" s="175"/>
      <c r="BZ19" s="175"/>
      <c r="CA19" s="175"/>
      <c r="CB19" s="175"/>
      <c r="CC19" s="175"/>
      <c r="CD19" s="175"/>
      <c r="CE19" s="175"/>
      <c r="CF19" s="175"/>
      <c r="CG19" s="17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175"/>
      <c r="CS19" s="175"/>
      <c r="CT19" s="175"/>
      <c r="CU19" s="175"/>
      <c r="CV19" s="175"/>
      <c r="CW19" s="175"/>
      <c r="CX19" s="175"/>
      <c r="CY19" s="175"/>
      <c r="CZ19" s="175"/>
      <c r="DA19" s="175"/>
      <c r="DB19" s="175"/>
      <c r="DC19" s="175"/>
      <c r="DD19" s="175"/>
      <c r="DE19" s="175"/>
      <c r="DF19" s="175"/>
      <c r="DG19" s="175"/>
      <c r="DH19" s="175"/>
      <c r="DI19" s="175"/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75"/>
      <c r="DZ19" s="175"/>
      <c r="EA19" s="175"/>
      <c r="EB19" s="175"/>
      <c r="EC19" s="175"/>
      <c r="ED19" s="175"/>
      <c r="EE19" s="175"/>
      <c r="EF19" s="175"/>
      <c r="EG19" s="175"/>
      <c r="EH19" s="175"/>
      <c r="EI19" s="175"/>
      <c r="EJ19" s="175"/>
      <c r="EK19" s="175"/>
      <c r="EL19" s="175"/>
      <c r="EM19" s="175"/>
      <c r="EN19" s="175"/>
      <c r="EO19" s="175"/>
      <c r="EP19" s="175"/>
      <c r="EQ19" s="175"/>
      <c r="ER19" s="175"/>
      <c r="ES19" s="175"/>
      <c r="ET19" s="175"/>
      <c r="EU19" s="175"/>
      <c r="EV19" s="175"/>
      <c r="EW19" s="175"/>
      <c r="EX19" s="175"/>
      <c r="EY19" s="175"/>
      <c r="EZ19" s="175"/>
      <c r="FA19" s="175"/>
      <c r="FB19" s="175"/>
      <c r="FC19" s="175"/>
      <c r="FD19" s="175"/>
      <c r="FE19" s="175"/>
      <c r="FF19" s="175"/>
      <c r="FG19" s="175"/>
      <c r="FH19" s="175"/>
      <c r="FI19" s="175"/>
      <c r="FJ19" s="175"/>
      <c r="FK19" s="175"/>
      <c r="FL19" s="175"/>
      <c r="FM19" s="175"/>
      <c r="FN19" s="175"/>
      <c r="FO19" s="175"/>
      <c r="FP19" s="175"/>
      <c r="FQ19" s="175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5"/>
      <c r="HM19" s="175"/>
      <c r="HN19" s="175"/>
      <c r="HO19" s="175"/>
      <c r="HP19" s="175"/>
      <c r="HQ19" s="175"/>
      <c r="HR19" s="175"/>
      <c r="HS19" s="175"/>
      <c r="HT19" s="175"/>
      <c r="HU19" s="175"/>
      <c r="HV19" s="175"/>
      <c r="HW19" s="175"/>
      <c r="HX19" s="175"/>
      <c r="HY19" s="175"/>
      <c r="HZ19" s="175"/>
      <c r="IA19" s="175"/>
      <c r="IB19" s="175"/>
      <c r="IC19" s="175"/>
      <c r="ID19" s="175"/>
      <c r="IE19" s="175"/>
      <c r="IF19" s="175"/>
      <c r="IG19" s="175"/>
      <c r="IH19" s="175"/>
      <c r="II19" s="175"/>
      <c r="IJ19" s="175"/>
      <c r="IK19" s="175"/>
      <c r="IL19" s="175"/>
      <c r="IM19" s="175"/>
      <c r="IN19" s="175"/>
      <c r="IO19" s="175"/>
      <c r="IP19" s="175"/>
      <c r="IQ19" s="175"/>
    </row>
    <row r="20" spans="1:251" s="146" customFormat="1" ht="21.75" customHeight="1">
      <c r="A20" s="179">
        <v>13</v>
      </c>
      <c r="B20" s="403" t="s">
        <v>615</v>
      </c>
      <c r="C20" s="404" t="s">
        <v>616</v>
      </c>
      <c r="D20" s="405"/>
      <c r="E20" s="405">
        <v>32</v>
      </c>
      <c r="F20" s="463" t="s">
        <v>598</v>
      </c>
      <c r="G20" s="405" t="s">
        <v>592</v>
      </c>
      <c r="H20" s="400" t="s">
        <v>582</v>
      </c>
      <c r="I20" s="180">
        <f t="shared" si="0"/>
        <v>420000</v>
      </c>
      <c r="J20" s="407" t="s">
        <v>695</v>
      </c>
      <c r="K20" s="183">
        <f t="shared" si="1"/>
        <v>300000</v>
      </c>
      <c r="L20" s="407" t="s">
        <v>693</v>
      </c>
      <c r="M20" s="181">
        <f t="shared" si="2"/>
        <v>300000</v>
      </c>
      <c r="N20" s="181">
        <f t="shared" si="3"/>
        <v>1020000</v>
      </c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5"/>
      <c r="BM20" s="175"/>
      <c r="BN20" s="175"/>
      <c r="BO20" s="175"/>
      <c r="BP20" s="175"/>
      <c r="BQ20" s="175"/>
      <c r="BR20" s="175"/>
      <c r="BS20" s="175"/>
      <c r="BT20" s="175"/>
      <c r="BU20" s="175"/>
      <c r="BV20" s="175"/>
      <c r="BW20" s="175"/>
      <c r="BX20" s="175"/>
      <c r="BY20" s="175"/>
      <c r="BZ20" s="175"/>
      <c r="CA20" s="175"/>
      <c r="CB20" s="175"/>
      <c r="CC20" s="175"/>
      <c r="CD20" s="175"/>
      <c r="CE20" s="175"/>
      <c r="CF20" s="175"/>
      <c r="CG20" s="17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175"/>
      <c r="CS20" s="175"/>
      <c r="CT20" s="175"/>
      <c r="CU20" s="175"/>
      <c r="CV20" s="175"/>
      <c r="CW20" s="175"/>
      <c r="CX20" s="175"/>
      <c r="CY20" s="175"/>
      <c r="CZ20" s="175"/>
      <c r="DA20" s="175"/>
      <c r="DB20" s="175"/>
      <c r="DC20" s="175"/>
      <c r="DD20" s="175"/>
      <c r="DE20" s="175"/>
      <c r="DF20" s="175"/>
      <c r="DG20" s="175"/>
      <c r="DH20" s="175"/>
      <c r="DI20" s="175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75"/>
      <c r="EC20" s="175"/>
      <c r="ED20" s="175"/>
      <c r="EE20" s="175"/>
      <c r="EF20" s="175"/>
      <c r="EG20" s="175"/>
      <c r="EH20" s="175"/>
      <c r="EI20" s="175"/>
      <c r="EJ20" s="175"/>
      <c r="EK20" s="175"/>
      <c r="EL20" s="175"/>
      <c r="EM20" s="175"/>
      <c r="EN20" s="175"/>
      <c r="EO20" s="175"/>
      <c r="EP20" s="175"/>
      <c r="EQ20" s="175"/>
      <c r="ER20" s="175"/>
      <c r="ES20" s="175"/>
      <c r="ET20" s="175"/>
      <c r="EU20" s="175"/>
      <c r="EV20" s="175"/>
      <c r="EW20" s="175"/>
      <c r="EX20" s="175"/>
      <c r="EY20" s="175"/>
      <c r="EZ20" s="175"/>
      <c r="FA20" s="175"/>
      <c r="FB20" s="175"/>
      <c r="FC20" s="175"/>
      <c r="FD20" s="175"/>
      <c r="FE20" s="175"/>
      <c r="FF20" s="175"/>
      <c r="FG20" s="175"/>
      <c r="FH20" s="175"/>
      <c r="FI20" s="175"/>
      <c r="FJ20" s="175"/>
      <c r="FK20" s="175"/>
      <c r="FL20" s="175"/>
      <c r="FM20" s="175"/>
      <c r="FN20" s="175"/>
      <c r="FO20" s="175"/>
      <c r="FP20" s="175"/>
      <c r="FQ20" s="175"/>
      <c r="FR20" s="175"/>
      <c r="FS20" s="175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  <c r="GH20" s="175"/>
      <c r="GI20" s="175"/>
      <c r="GJ20" s="175"/>
      <c r="GK20" s="175"/>
      <c r="GL20" s="175"/>
      <c r="GM20" s="175"/>
      <c r="GN20" s="175"/>
      <c r="GO20" s="175"/>
      <c r="GP20" s="175"/>
      <c r="GQ20" s="175"/>
      <c r="GR20" s="175"/>
      <c r="GS20" s="175"/>
      <c r="GT20" s="175"/>
      <c r="GU20" s="175"/>
      <c r="GV20" s="175"/>
      <c r="GW20" s="175"/>
      <c r="GX20" s="175"/>
      <c r="GY20" s="175"/>
      <c r="GZ20" s="175"/>
      <c r="HA20" s="175"/>
      <c r="HB20" s="175"/>
      <c r="HC20" s="175"/>
      <c r="HD20" s="175"/>
      <c r="HE20" s="175"/>
      <c r="HF20" s="175"/>
      <c r="HG20" s="175"/>
      <c r="HH20" s="175"/>
      <c r="HI20" s="175"/>
      <c r="HJ20" s="175"/>
      <c r="HK20" s="175"/>
      <c r="HL20" s="175"/>
      <c r="HM20" s="175"/>
      <c r="HN20" s="175"/>
      <c r="HO20" s="175"/>
      <c r="HP20" s="175"/>
      <c r="HQ20" s="175"/>
      <c r="HR20" s="175"/>
      <c r="HS20" s="175"/>
      <c r="HT20" s="175"/>
      <c r="HU20" s="175"/>
      <c r="HV20" s="175"/>
      <c r="HW20" s="175"/>
      <c r="HX20" s="175"/>
      <c r="HY20" s="175"/>
      <c r="HZ20" s="175"/>
      <c r="IA20" s="175"/>
      <c r="IB20" s="175"/>
      <c r="IC20" s="175"/>
      <c r="ID20" s="175"/>
      <c r="IE20" s="175"/>
      <c r="IF20" s="175"/>
      <c r="IG20" s="175"/>
      <c r="IH20" s="175"/>
      <c r="II20" s="175"/>
      <c r="IJ20" s="175"/>
      <c r="IK20" s="175"/>
      <c r="IL20" s="175"/>
      <c r="IM20" s="175"/>
      <c r="IN20" s="175"/>
      <c r="IO20" s="175"/>
      <c r="IP20" s="175"/>
      <c r="IQ20" s="175"/>
    </row>
    <row r="21" spans="1:251" s="146" customFormat="1" ht="21.75" customHeight="1">
      <c r="A21" s="179">
        <v>14</v>
      </c>
      <c r="B21" s="403" t="s">
        <v>615</v>
      </c>
      <c r="C21" s="404" t="s">
        <v>617</v>
      </c>
      <c r="D21" s="405">
        <v>22</v>
      </c>
      <c r="E21" s="405"/>
      <c r="F21" s="463" t="s">
        <v>598</v>
      </c>
      <c r="G21" s="405" t="s">
        <v>592</v>
      </c>
      <c r="H21" s="400" t="s">
        <v>584</v>
      </c>
      <c r="I21" s="180">
        <f t="shared" si="0"/>
        <v>420000</v>
      </c>
      <c r="J21" s="407" t="s">
        <v>582</v>
      </c>
      <c r="K21" s="183">
        <f t="shared" si="1"/>
        <v>300000</v>
      </c>
      <c r="L21" s="407" t="s">
        <v>694</v>
      </c>
      <c r="M21" s="181">
        <f t="shared" si="2"/>
        <v>300000</v>
      </c>
      <c r="N21" s="181">
        <f t="shared" si="3"/>
        <v>1020000</v>
      </c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5"/>
      <c r="BM21" s="175"/>
      <c r="BN21" s="175"/>
      <c r="BO21" s="175"/>
      <c r="BP21" s="175"/>
      <c r="BQ21" s="175"/>
      <c r="BR21" s="175"/>
      <c r="BS21" s="175"/>
      <c r="BT21" s="175"/>
      <c r="BU21" s="175"/>
      <c r="BV21" s="175"/>
      <c r="BW21" s="175"/>
      <c r="BX21" s="175"/>
      <c r="BY21" s="175"/>
      <c r="BZ21" s="175"/>
      <c r="CA21" s="175"/>
      <c r="CB21" s="175"/>
      <c r="CC21" s="175"/>
      <c r="CD21" s="175"/>
      <c r="CE21" s="175"/>
      <c r="CF21" s="175"/>
      <c r="CG21" s="17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175"/>
      <c r="CS21" s="175"/>
      <c r="CT21" s="175"/>
      <c r="CU21" s="175"/>
      <c r="CV21" s="175"/>
      <c r="CW21" s="175"/>
      <c r="CX21" s="175"/>
      <c r="CY21" s="175"/>
      <c r="CZ21" s="175"/>
      <c r="DA21" s="175"/>
      <c r="DB21" s="175"/>
      <c r="DC21" s="175"/>
      <c r="DD21" s="175"/>
      <c r="DE21" s="175"/>
      <c r="DF21" s="175"/>
      <c r="DG21" s="175"/>
      <c r="DH21" s="175"/>
      <c r="DI21" s="175"/>
      <c r="DJ21" s="175"/>
      <c r="DK21" s="175"/>
      <c r="DL21" s="175"/>
      <c r="DM21" s="175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75"/>
      <c r="DZ21" s="175"/>
      <c r="EA21" s="175"/>
      <c r="EB21" s="175"/>
      <c r="EC21" s="175"/>
      <c r="ED21" s="175"/>
      <c r="EE21" s="175"/>
      <c r="EF21" s="175"/>
      <c r="EG21" s="175"/>
      <c r="EH21" s="175"/>
      <c r="EI21" s="175"/>
      <c r="EJ21" s="175"/>
      <c r="EK21" s="175"/>
      <c r="EL21" s="175"/>
      <c r="EM21" s="175"/>
      <c r="EN21" s="175"/>
      <c r="EO21" s="175"/>
      <c r="EP21" s="175"/>
      <c r="EQ21" s="175"/>
      <c r="ER21" s="175"/>
      <c r="ES21" s="175"/>
      <c r="ET21" s="175"/>
      <c r="EU21" s="175"/>
      <c r="EV21" s="175"/>
      <c r="EW21" s="175"/>
      <c r="EX21" s="175"/>
      <c r="EY21" s="175"/>
      <c r="EZ21" s="175"/>
      <c r="FA21" s="175"/>
      <c r="FB21" s="175"/>
      <c r="FC21" s="175"/>
      <c r="FD21" s="175"/>
      <c r="FE21" s="175"/>
      <c r="FF21" s="175"/>
      <c r="FG21" s="175"/>
      <c r="FH21" s="175"/>
      <c r="FI21" s="175"/>
      <c r="FJ21" s="175"/>
      <c r="FK21" s="175"/>
      <c r="FL21" s="175"/>
      <c r="FM21" s="175"/>
      <c r="FN21" s="175"/>
      <c r="FO21" s="175"/>
      <c r="FP21" s="175"/>
      <c r="FQ21" s="175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175"/>
      <c r="HL21" s="175"/>
      <c r="HM21" s="175"/>
      <c r="HN21" s="175"/>
      <c r="HO21" s="175"/>
      <c r="HP21" s="175"/>
      <c r="HQ21" s="175"/>
      <c r="HR21" s="175"/>
      <c r="HS21" s="175"/>
      <c r="HT21" s="175"/>
      <c r="HU21" s="175"/>
      <c r="HV21" s="175"/>
      <c r="HW21" s="175"/>
      <c r="HX21" s="175"/>
      <c r="HY21" s="175"/>
      <c r="HZ21" s="175"/>
      <c r="IA21" s="175"/>
      <c r="IB21" s="175"/>
      <c r="IC21" s="175"/>
      <c r="ID21" s="175"/>
      <c r="IE21" s="175"/>
      <c r="IF21" s="175"/>
      <c r="IG21" s="175"/>
      <c r="IH21" s="175"/>
      <c r="II21" s="175"/>
      <c r="IJ21" s="175"/>
      <c r="IK21" s="175"/>
      <c r="IL21" s="175"/>
      <c r="IM21" s="175"/>
      <c r="IN21" s="175"/>
      <c r="IO21" s="175"/>
      <c r="IP21" s="175"/>
      <c r="IQ21" s="175"/>
    </row>
    <row r="22" spans="1:251" s="146" customFormat="1" ht="21.75" customHeight="1">
      <c r="A22" s="179">
        <v>15</v>
      </c>
      <c r="B22" s="403" t="s">
        <v>618</v>
      </c>
      <c r="C22" s="404" t="s">
        <v>619</v>
      </c>
      <c r="D22" s="405"/>
      <c r="E22" s="405">
        <v>30</v>
      </c>
      <c r="F22" s="463" t="s">
        <v>620</v>
      </c>
      <c r="G22" s="405" t="s">
        <v>589</v>
      </c>
      <c r="H22" s="400" t="s">
        <v>584</v>
      </c>
      <c r="I22" s="180">
        <f t="shared" si="0"/>
        <v>187500</v>
      </c>
      <c r="J22" s="407" t="s">
        <v>581</v>
      </c>
      <c r="K22" s="183">
        <f t="shared" si="1"/>
        <v>135000</v>
      </c>
      <c r="L22" s="407" t="s">
        <v>702</v>
      </c>
      <c r="M22" s="181">
        <f t="shared" si="2"/>
        <v>135000</v>
      </c>
      <c r="N22" s="181">
        <f t="shared" si="3"/>
        <v>457500</v>
      </c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175"/>
      <c r="BI22" s="175"/>
      <c r="BJ22" s="175"/>
      <c r="BK22" s="175"/>
      <c r="BL22" s="175"/>
      <c r="BM22" s="175"/>
      <c r="BN22" s="175"/>
      <c r="BO22" s="175"/>
      <c r="BP22" s="175"/>
      <c r="BQ22" s="175"/>
      <c r="BR22" s="175"/>
      <c r="BS22" s="175"/>
      <c r="BT22" s="175"/>
      <c r="BU22" s="175"/>
      <c r="BV22" s="175"/>
      <c r="BW22" s="175"/>
      <c r="BX22" s="175"/>
      <c r="BY22" s="175"/>
      <c r="BZ22" s="175"/>
      <c r="CA22" s="175"/>
      <c r="CB22" s="175"/>
      <c r="CC22" s="175"/>
      <c r="CD22" s="175"/>
      <c r="CE22" s="175"/>
      <c r="CF22" s="175"/>
      <c r="CG22" s="17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175"/>
      <c r="CS22" s="175"/>
      <c r="CT22" s="175"/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5"/>
      <c r="DI22" s="175"/>
      <c r="DJ22" s="175"/>
      <c r="DK22" s="175"/>
      <c r="DL22" s="175"/>
      <c r="DM22" s="175"/>
      <c r="DN22" s="175"/>
      <c r="DO22" s="175"/>
      <c r="DP22" s="175"/>
      <c r="DQ22" s="175"/>
      <c r="DR22" s="175"/>
      <c r="DS22" s="175"/>
      <c r="DT22" s="175"/>
      <c r="DU22" s="175"/>
      <c r="DV22" s="175"/>
      <c r="DW22" s="175"/>
      <c r="DX22" s="175"/>
      <c r="DY22" s="175"/>
      <c r="DZ22" s="175"/>
      <c r="EA22" s="175"/>
      <c r="EB22" s="175"/>
      <c r="EC22" s="175"/>
      <c r="ED22" s="175"/>
      <c r="EE22" s="175"/>
      <c r="EF22" s="175"/>
      <c r="EG22" s="175"/>
      <c r="EH22" s="175"/>
      <c r="EI22" s="175"/>
      <c r="EJ22" s="175"/>
      <c r="EK22" s="175"/>
      <c r="EL22" s="175"/>
      <c r="EM22" s="175"/>
      <c r="EN22" s="175"/>
      <c r="EO22" s="175"/>
      <c r="EP22" s="175"/>
      <c r="EQ22" s="175"/>
      <c r="ER22" s="175"/>
      <c r="ES22" s="175"/>
      <c r="ET22" s="175"/>
      <c r="EU22" s="175"/>
      <c r="EV22" s="175"/>
      <c r="EW22" s="175"/>
      <c r="EX22" s="175"/>
      <c r="EY22" s="175"/>
      <c r="EZ22" s="175"/>
      <c r="FA22" s="175"/>
      <c r="FB22" s="175"/>
      <c r="FC22" s="175"/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175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  <c r="HN22" s="175"/>
      <c r="HO22" s="175"/>
      <c r="HP22" s="175"/>
      <c r="HQ22" s="175"/>
      <c r="HR22" s="175"/>
      <c r="HS22" s="175"/>
      <c r="HT22" s="175"/>
      <c r="HU22" s="175"/>
      <c r="HV22" s="175"/>
      <c r="HW22" s="175"/>
      <c r="HX22" s="175"/>
      <c r="HY22" s="175"/>
      <c r="HZ22" s="175"/>
      <c r="IA22" s="175"/>
      <c r="IB22" s="175"/>
      <c r="IC22" s="175"/>
      <c r="ID22" s="175"/>
      <c r="IE22" s="175"/>
      <c r="IF22" s="175"/>
      <c r="IG22" s="175"/>
      <c r="IH22" s="175"/>
      <c r="II22" s="175"/>
      <c r="IJ22" s="175"/>
      <c r="IK22" s="175"/>
      <c r="IL22" s="175"/>
      <c r="IM22" s="175"/>
      <c r="IN22" s="175"/>
      <c r="IO22" s="175"/>
      <c r="IP22" s="175"/>
      <c r="IQ22" s="175"/>
    </row>
    <row r="23" spans="1:251" s="146" customFormat="1" ht="21.75" customHeight="1">
      <c r="A23" s="179">
        <v>16</v>
      </c>
      <c r="B23" s="403" t="s">
        <v>618</v>
      </c>
      <c r="C23" s="404" t="s">
        <v>621</v>
      </c>
      <c r="D23" s="405">
        <v>55</v>
      </c>
      <c r="E23" s="405"/>
      <c r="F23" s="463" t="s">
        <v>614</v>
      </c>
      <c r="G23" s="405" t="s">
        <v>592</v>
      </c>
      <c r="H23" s="400" t="s">
        <v>165</v>
      </c>
      <c r="I23" s="180">
        <f t="shared" si="0"/>
        <v>420000</v>
      </c>
      <c r="J23" s="407" t="s">
        <v>584</v>
      </c>
      <c r="K23" s="183">
        <f t="shared" si="1"/>
        <v>300000</v>
      </c>
      <c r="L23" s="407" t="s">
        <v>580</v>
      </c>
      <c r="M23" s="181">
        <f t="shared" si="2"/>
        <v>300000</v>
      </c>
      <c r="N23" s="181">
        <f t="shared" si="3"/>
        <v>1020000</v>
      </c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175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  <c r="BW23" s="175"/>
      <c r="BX23" s="175"/>
      <c r="BY23" s="175"/>
      <c r="BZ23" s="175"/>
      <c r="CA23" s="175"/>
      <c r="CB23" s="175"/>
      <c r="CC23" s="175"/>
      <c r="CD23" s="175"/>
      <c r="CE23" s="175"/>
      <c r="CF23" s="175"/>
      <c r="CG23" s="17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175"/>
      <c r="CX23" s="175"/>
      <c r="CY23" s="175"/>
      <c r="CZ23" s="175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5"/>
      <c r="DL23" s="175"/>
      <c r="DM23" s="175"/>
      <c r="DN23" s="175"/>
      <c r="DO23" s="175"/>
      <c r="DP23" s="175"/>
      <c r="DQ23" s="175"/>
      <c r="DR23" s="175"/>
      <c r="DS23" s="175"/>
      <c r="DT23" s="175"/>
      <c r="DU23" s="175"/>
      <c r="DV23" s="175"/>
      <c r="DW23" s="175"/>
      <c r="DX23" s="175"/>
      <c r="DY23" s="175"/>
      <c r="DZ23" s="175"/>
      <c r="EA23" s="175"/>
      <c r="EB23" s="175"/>
      <c r="EC23" s="175"/>
      <c r="ED23" s="175"/>
      <c r="EE23" s="175"/>
      <c r="EF23" s="175"/>
      <c r="EG23" s="175"/>
      <c r="EH23" s="175"/>
      <c r="EI23" s="175"/>
      <c r="EJ23" s="175"/>
      <c r="EK23" s="175"/>
      <c r="EL23" s="175"/>
      <c r="EM23" s="175"/>
      <c r="EN23" s="175"/>
      <c r="EO23" s="175"/>
      <c r="EP23" s="175"/>
      <c r="EQ23" s="175"/>
      <c r="ER23" s="175"/>
      <c r="ES23" s="175"/>
      <c r="ET23" s="175"/>
      <c r="EU23" s="175"/>
      <c r="EV23" s="175"/>
      <c r="EW23" s="175"/>
      <c r="EX23" s="175"/>
      <c r="EY23" s="175"/>
      <c r="EZ23" s="175"/>
      <c r="FA23" s="175"/>
      <c r="FB23" s="175"/>
      <c r="FC23" s="175"/>
      <c r="FD23" s="175"/>
      <c r="FE23" s="175"/>
      <c r="FF23" s="175"/>
      <c r="FG23" s="175"/>
      <c r="FH23" s="175"/>
      <c r="FI23" s="175"/>
      <c r="FJ23" s="175"/>
      <c r="FK23" s="175"/>
      <c r="FL23" s="175"/>
      <c r="FM23" s="175"/>
      <c r="FN23" s="175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  <c r="HN23" s="175"/>
      <c r="HO23" s="175"/>
      <c r="HP23" s="175"/>
      <c r="HQ23" s="175"/>
      <c r="HR23" s="175"/>
      <c r="HS23" s="175"/>
      <c r="HT23" s="175"/>
      <c r="HU23" s="175"/>
      <c r="HV23" s="175"/>
      <c r="HW23" s="175"/>
      <c r="HX23" s="175"/>
      <c r="HY23" s="175"/>
      <c r="HZ23" s="175"/>
      <c r="IA23" s="175"/>
      <c r="IB23" s="175"/>
      <c r="IC23" s="175"/>
      <c r="ID23" s="175"/>
      <c r="IE23" s="175"/>
      <c r="IF23" s="175"/>
      <c r="IG23" s="175"/>
      <c r="IH23" s="175"/>
      <c r="II23" s="175"/>
      <c r="IJ23" s="175"/>
      <c r="IK23" s="175"/>
      <c r="IL23" s="175"/>
      <c r="IM23" s="175"/>
      <c r="IN23" s="175"/>
      <c r="IO23" s="175"/>
      <c r="IP23" s="175"/>
      <c r="IQ23" s="175"/>
    </row>
    <row r="24" spans="1:251" s="146" customFormat="1" ht="21.75" customHeight="1">
      <c r="A24" s="179">
        <v>17</v>
      </c>
      <c r="B24" s="403" t="s">
        <v>618</v>
      </c>
      <c r="C24" s="404" t="s">
        <v>622</v>
      </c>
      <c r="D24" s="405">
        <v>68</v>
      </c>
      <c r="E24" s="405"/>
      <c r="F24" s="463" t="s">
        <v>591</v>
      </c>
      <c r="G24" s="405" t="s">
        <v>592</v>
      </c>
      <c r="H24" s="400" t="s">
        <v>584</v>
      </c>
      <c r="I24" s="180">
        <f t="shared" si="0"/>
        <v>420000</v>
      </c>
      <c r="J24" s="407" t="s">
        <v>582</v>
      </c>
      <c r="K24" s="183">
        <f t="shared" si="1"/>
        <v>300000</v>
      </c>
      <c r="L24" s="407" t="s">
        <v>585</v>
      </c>
      <c r="M24" s="181">
        <f t="shared" si="2"/>
        <v>300000</v>
      </c>
      <c r="N24" s="181">
        <f t="shared" si="3"/>
        <v>1020000</v>
      </c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5"/>
      <c r="CD24" s="175"/>
      <c r="CE24" s="175"/>
      <c r="CF24" s="175"/>
      <c r="CG24" s="17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5"/>
      <c r="DM24" s="175"/>
      <c r="DN24" s="175"/>
      <c r="DO24" s="175"/>
      <c r="DP24" s="175"/>
      <c r="DQ24" s="175"/>
      <c r="DR24" s="175"/>
      <c r="DS24" s="175"/>
      <c r="DT24" s="175"/>
      <c r="DU24" s="175"/>
      <c r="DV24" s="175"/>
      <c r="DW24" s="175"/>
      <c r="DX24" s="175"/>
      <c r="DY24" s="175"/>
      <c r="DZ24" s="175"/>
      <c r="EA24" s="175"/>
      <c r="EB24" s="175"/>
      <c r="EC24" s="175"/>
      <c r="ED24" s="175"/>
      <c r="EE24" s="175"/>
      <c r="EF24" s="175"/>
      <c r="EG24" s="175"/>
      <c r="EH24" s="175"/>
      <c r="EI24" s="175"/>
      <c r="EJ24" s="175"/>
      <c r="EK24" s="175"/>
      <c r="EL24" s="175"/>
      <c r="EM24" s="175"/>
      <c r="EN24" s="175"/>
      <c r="EO24" s="175"/>
      <c r="EP24" s="175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  <c r="FB24" s="175"/>
      <c r="FC24" s="175"/>
      <c r="FD24" s="175"/>
      <c r="FE24" s="175"/>
      <c r="FF24" s="175"/>
      <c r="FG24" s="175"/>
      <c r="FH24" s="175"/>
      <c r="FI24" s="175"/>
      <c r="FJ24" s="175"/>
      <c r="FK24" s="175"/>
      <c r="FL24" s="175"/>
      <c r="FM24" s="175"/>
      <c r="FN24" s="175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  <c r="HN24" s="175"/>
      <c r="HO24" s="175"/>
      <c r="HP24" s="175"/>
      <c r="HQ24" s="175"/>
      <c r="HR24" s="175"/>
      <c r="HS24" s="175"/>
      <c r="HT24" s="175"/>
      <c r="HU24" s="175"/>
      <c r="HV24" s="175"/>
      <c r="HW24" s="175"/>
      <c r="HX24" s="175"/>
      <c r="HY24" s="175"/>
      <c r="HZ24" s="175"/>
      <c r="IA24" s="175"/>
      <c r="IB24" s="175"/>
      <c r="IC24" s="175"/>
      <c r="ID24" s="175"/>
      <c r="IE24" s="175"/>
      <c r="IF24" s="175"/>
      <c r="IG24" s="175"/>
      <c r="IH24" s="175"/>
      <c r="II24" s="175"/>
      <c r="IJ24" s="175"/>
      <c r="IK24" s="175"/>
      <c r="IL24" s="175"/>
      <c r="IM24" s="175"/>
      <c r="IN24" s="175"/>
      <c r="IO24" s="175"/>
      <c r="IP24" s="175"/>
      <c r="IQ24" s="175"/>
    </row>
    <row r="25" spans="1:251" s="146" customFormat="1" ht="21.75" customHeight="1">
      <c r="A25" s="179">
        <v>18</v>
      </c>
      <c r="B25" s="403" t="s">
        <v>618</v>
      </c>
      <c r="C25" s="404" t="s">
        <v>623</v>
      </c>
      <c r="D25" s="405">
        <v>47</v>
      </c>
      <c r="E25" s="405"/>
      <c r="F25" s="463" t="s">
        <v>624</v>
      </c>
      <c r="G25" s="405" t="s">
        <v>589</v>
      </c>
      <c r="H25" s="400" t="s">
        <v>580</v>
      </c>
      <c r="I25" s="180">
        <f t="shared" si="0"/>
        <v>187500</v>
      </c>
      <c r="J25" s="407" t="s">
        <v>696</v>
      </c>
      <c r="K25" s="183">
        <f t="shared" si="1"/>
        <v>135000</v>
      </c>
      <c r="L25" s="407" t="s">
        <v>703</v>
      </c>
      <c r="M25" s="181">
        <f t="shared" si="2"/>
        <v>135000</v>
      </c>
      <c r="N25" s="181">
        <f t="shared" si="3"/>
        <v>457500</v>
      </c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175"/>
      <c r="BG25" s="175"/>
      <c r="BH25" s="175"/>
      <c r="BI25" s="175"/>
      <c r="BJ25" s="175"/>
      <c r="BK25" s="175"/>
      <c r="BL25" s="175"/>
      <c r="BM25" s="175"/>
      <c r="BN25" s="175"/>
      <c r="BO25" s="175"/>
      <c r="BP25" s="175"/>
      <c r="BQ25" s="175"/>
      <c r="BR25" s="175"/>
      <c r="BS25" s="175"/>
      <c r="BT25" s="175"/>
      <c r="BU25" s="175"/>
      <c r="BV25" s="175"/>
      <c r="BW25" s="175"/>
      <c r="BX25" s="175"/>
      <c r="BY25" s="175"/>
      <c r="BZ25" s="175"/>
      <c r="CA25" s="175"/>
      <c r="CB25" s="175"/>
      <c r="CC25" s="175"/>
      <c r="CD25" s="175"/>
      <c r="CE25" s="175"/>
      <c r="CF25" s="175"/>
      <c r="CG25" s="17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175"/>
      <c r="CS25" s="175"/>
      <c r="CT25" s="175"/>
      <c r="CU25" s="175"/>
      <c r="CV25" s="175"/>
      <c r="CW25" s="175"/>
      <c r="CX25" s="175"/>
      <c r="CY25" s="175"/>
      <c r="CZ25" s="175"/>
      <c r="DA25" s="175"/>
      <c r="DB25" s="175"/>
      <c r="DC25" s="175"/>
      <c r="DD25" s="175"/>
      <c r="DE25" s="175"/>
      <c r="DF25" s="175"/>
      <c r="DG25" s="175"/>
      <c r="DH25" s="175"/>
      <c r="DI25" s="175"/>
      <c r="DJ25" s="175"/>
      <c r="DK25" s="175"/>
      <c r="DL25" s="175"/>
      <c r="DM25" s="175"/>
      <c r="DN25" s="175"/>
      <c r="DO25" s="175"/>
      <c r="DP25" s="175"/>
      <c r="DQ25" s="175"/>
      <c r="DR25" s="175"/>
      <c r="DS25" s="175"/>
      <c r="DT25" s="175"/>
      <c r="DU25" s="175"/>
      <c r="DV25" s="175"/>
      <c r="DW25" s="175"/>
      <c r="DX25" s="175"/>
      <c r="DY25" s="175"/>
      <c r="DZ25" s="175"/>
      <c r="EA25" s="175"/>
      <c r="EB25" s="175"/>
      <c r="EC25" s="175"/>
      <c r="ED25" s="175"/>
      <c r="EE25" s="175"/>
      <c r="EF25" s="175"/>
      <c r="EG25" s="175"/>
      <c r="EH25" s="175"/>
      <c r="EI25" s="175"/>
      <c r="EJ25" s="175"/>
      <c r="EK25" s="175"/>
      <c r="EL25" s="175"/>
      <c r="EM25" s="175"/>
      <c r="EN25" s="175"/>
      <c r="EO25" s="175"/>
      <c r="EP25" s="175"/>
      <c r="EQ25" s="175"/>
      <c r="ER25" s="175"/>
      <c r="ES25" s="175"/>
      <c r="ET25" s="175"/>
      <c r="EU25" s="175"/>
      <c r="EV25" s="175"/>
      <c r="EW25" s="175"/>
      <c r="EX25" s="175"/>
      <c r="EY25" s="175"/>
      <c r="EZ25" s="175"/>
      <c r="FA25" s="175"/>
      <c r="FB25" s="175"/>
      <c r="FC25" s="175"/>
      <c r="FD25" s="175"/>
      <c r="FE25" s="175"/>
      <c r="FF25" s="175"/>
      <c r="FG25" s="175"/>
      <c r="FH25" s="175"/>
      <c r="FI25" s="175"/>
      <c r="FJ25" s="175"/>
      <c r="FK25" s="175"/>
      <c r="FL25" s="175"/>
      <c r="FM25" s="175"/>
      <c r="FN25" s="175"/>
      <c r="FO25" s="175"/>
      <c r="FP25" s="175"/>
      <c r="FQ25" s="175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175"/>
      <c r="HL25" s="175"/>
      <c r="HM25" s="175"/>
      <c r="HN25" s="175"/>
      <c r="HO25" s="175"/>
      <c r="HP25" s="175"/>
      <c r="HQ25" s="175"/>
      <c r="HR25" s="175"/>
      <c r="HS25" s="175"/>
      <c r="HT25" s="175"/>
      <c r="HU25" s="175"/>
      <c r="HV25" s="175"/>
      <c r="HW25" s="175"/>
      <c r="HX25" s="175"/>
      <c r="HY25" s="175"/>
      <c r="HZ25" s="175"/>
      <c r="IA25" s="175"/>
      <c r="IB25" s="175"/>
      <c r="IC25" s="175"/>
      <c r="ID25" s="175"/>
      <c r="IE25" s="175"/>
      <c r="IF25" s="175"/>
      <c r="IG25" s="175"/>
      <c r="IH25" s="175"/>
      <c r="II25" s="175"/>
      <c r="IJ25" s="175"/>
      <c r="IK25" s="175"/>
      <c r="IL25" s="175"/>
      <c r="IM25" s="175"/>
      <c r="IN25" s="175"/>
      <c r="IO25" s="175"/>
      <c r="IP25" s="175"/>
      <c r="IQ25" s="175"/>
    </row>
    <row r="26" spans="1:251" s="146" customFormat="1" ht="21.75" customHeight="1">
      <c r="A26" s="179">
        <v>19</v>
      </c>
      <c r="B26" s="403" t="s">
        <v>625</v>
      </c>
      <c r="C26" s="404" t="s">
        <v>626</v>
      </c>
      <c r="D26" s="405">
        <v>64</v>
      </c>
      <c r="E26" s="405"/>
      <c r="F26" s="463" t="s">
        <v>627</v>
      </c>
      <c r="G26" s="405" t="s">
        <v>589</v>
      </c>
      <c r="H26" s="400" t="s">
        <v>582</v>
      </c>
      <c r="I26" s="180">
        <f t="shared" si="0"/>
        <v>187500</v>
      </c>
      <c r="J26" s="407" t="s">
        <v>581</v>
      </c>
      <c r="K26" s="183">
        <f t="shared" si="1"/>
        <v>135000</v>
      </c>
      <c r="L26" s="407" t="s">
        <v>693</v>
      </c>
      <c r="M26" s="181">
        <f t="shared" si="2"/>
        <v>135000</v>
      </c>
      <c r="N26" s="181">
        <f t="shared" si="3"/>
        <v>457500</v>
      </c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5"/>
      <c r="BB26" s="175"/>
      <c r="BC26" s="175"/>
      <c r="BD26" s="175"/>
      <c r="BE26" s="175"/>
      <c r="BF26" s="175"/>
      <c r="BG26" s="175"/>
      <c r="BH26" s="175"/>
      <c r="BI26" s="175"/>
      <c r="BJ26" s="175"/>
      <c r="BK26" s="175"/>
      <c r="BL26" s="175"/>
      <c r="BM26" s="175"/>
      <c r="BN26" s="175"/>
      <c r="BO26" s="175"/>
      <c r="BP26" s="175"/>
      <c r="BQ26" s="175"/>
      <c r="BR26" s="175"/>
      <c r="BS26" s="175"/>
      <c r="BT26" s="175"/>
      <c r="BU26" s="175"/>
      <c r="BV26" s="175"/>
      <c r="BW26" s="175"/>
      <c r="BX26" s="175"/>
      <c r="BY26" s="175"/>
      <c r="BZ26" s="175"/>
      <c r="CA26" s="175"/>
      <c r="CB26" s="175"/>
      <c r="CC26" s="175"/>
      <c r="CD26" s="175"/>
      <c r="CE26" s="175"/>
      <c r="CF26" s="175"/>
      <c r="CG26" s="175"/>
      <c r="CH26" s="175"/>
      <c r="CI26" s="175"/>
      <c r="CJ26" s="175"/>
      <c r="CK26" s="175"/>
      <c r="CL26" s="175"/>
      <c r="CM26" s="175"/>
      <c r="CN26" s="175"/>
      <c r="CO26" s="175"/>
      <c r="CP26" s="175"/>
      <c r="CQ26" s="175"/>
      <c r="CR26" s="175"/>
      <c r="CS26" s="175"/>
      <c r="CT26" s="175"/>
      <c r="CU26" s="175"/>
      <c r="CV26" s="175"/>
      <c r="CW26" s="175"/>
      <c r="CX26" s="175"/>
      <c r="CY26" s="175"/>
      <c r="CZ26" s="175"/>
      <c r="DA26" s="175"/>
      <c r="DB26" s="175"/>
      <c r="DC26" s="175"/>
      <c r="DD26" s="175"/>
      <c r="DE26" s="175"/>
      <c r="DF26" s="175"/>
      <c r="DG26" s="175"/>
      <c r="DH26" s="175"/>
      <c r="DI26" s="175"/>
      <c r="DJ26" s="175"/>
      <c r="DK26" s="175"/>
      <c r="DL26" s="175"/>
      <c r="DM26" s="175"/>
      <c r="DN26" s="175"/>
      <c r="DO26" s="175"/>
      <c r="DP26" s="175"/>
      <c r="DQ26" s="175"/>
      <c r="DR26" s="175"/>
      <c r="DS26" s="175"/>
      <c r="DT26" s="175"/>
      <c r="DU26" s="175"/>
      <c r="DV26" s="175"/>
      <c r="DW26" s="175"/>
      <c r="DX26" s="175"/>
      <c r="DY26" s="175"/>
      <c r="DZ26" s="175"/>
      <c r="EA26" s="175"/>
      <c r="EB26" s="175"/>
      <c r="EC26" s="175"/>
      <c r="ED26" s="175"/>
      <c r="EE26" s="175"/>
      <c r="EF26" s="175"/>
      <c r="EG26" s="175"/>
      <c r="EH26" s="175"/>
      <c r="EI26" s="175"/>
      <c r="EJ26" s="175"/>
      <c r="EK26" s="175"/>
      <c r="EL26" s="175"/>
      <c r="EM26" s="175"/>
      <c r="EN26" s="175"/>
      <c r="EO26" s="175"/>
      <c r="EP26" s="175"/>
      <c r="EQ26" s="175"/>
      <c r="ER26" s="175"/>
      <c r="ES26" s="175"/>
      <c r="ET26" s="175"/>
      <c r="EU26" s="175"/>
      <c r="EV26" s="175"/>
      <c r="EW26" s="175"/>
      <c r="EX26" s="175"/>
      <c r="EY26" s="175"/>
      <c r="EZ26" s="175"/>
      <c r="FA26" s="175"/>
      <c r="FB26" s="175"/>
      <c r="FC26" s="175"/>
      <c r="FD26" s="175"/>
      <c r="FE26" s="175"/>
      <c r="FF26" s="175"/>
      <c r="FG26" s="175"/>
      <c r="FH26" s="175"/>
      <c r="FI26" s="175"/>
      <c r="FJ26" s="175"/>
      <c r="FK26" s="175"/>
      <c r="FL26" s="175"/>
      <c r="FM26" s="175"/>
      <c r="FN26" s="175"/>
      <c r="FO26" s="175"/>
      <c r="FP26" s="175"/>
      <c r="FQ26" s="175"/>
      <c r="FR26" s="175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  <c r="GH26" s="175"/>
      <c r="GI26" s="175"/>
      <c r="GJ26" s="175"/>
      <c r="GK26" s="175"/>
      <c r="GL26" s="175"/>
      <c r="GM26" s="175"/>
      <c r="GN26" s="175"/>
      <c r="GO26" s="175"/>
      <c r="GP26" s="175"/>
      <c r="GQ26" s="175"/>
      <c r="GR26" s="175"/>
      <c r="GS26" s="175"/>
      <c r="GT26" s="175"/>
      <c r="GU26" s="175"/>
      <c r="GV26" s="175"/>
      <c r="GW26" s="175"/>
      <c r="GX26" s="175"/>
      <c r="GY26" s="175"/>
      <c r="GZ26" s="175"/>
      <c r="HA26" s="175"/>
      <c r="HB26" s="175"/>
      <c r="HC26" s="175"/>
      <c r="HD26" s="175"/>
      <c r="HE26" s="175"/>
      <c r="HF26" s="175"/>
      <c r="HG26" s="175"/>
      <c r="HH26" s="175"/>
      <c r="HI26" s="175"/>
      <c r="HJ26" s="175"/>
      <c r="HK26" s="175"/>
      <c r="HL26" s="175"/>
      <c r="HM26" s="175"/>
      <c r="HN26" s="175"/>
      <c r="HO26" s="175"/>
      <c r="HP26" s="175"/>
      <c r="HQ26" s="175"/>
      <c r="HR26" s="175"/>
      <c r="HS26" s="175"/>
      <c r="HT26" s="175"/>
      <c r="HU26" s="175"/>
      <c r="HV26" s="175"/>
      <c r="HW26" s="175"/>
      <c r="HX26" s="175"/>
      <c r="HY26" s="175"/>
      <c r="HZ26" s="175"/>
      <c r="IA26" s="175"/>
      <c r="IB26" s="175"/>
      <c r="IC26" s="175"/>
      <c r="ID26" s="175"/>
      <c r="IE26" s="175"/>
      <c r="IF26" s="175"/>
      <c r="IG26" s="175"/>
      <c r="IH26" s="175"/>
      <c r="II26" s="175"/>
      <c r="IJ26" s="175"/>
      <c r="IK26" s="175"/>
      <c r="IL26" s="175"/>
      <c r="IM26" s="175"/>
      <c r="IN26" s="175"/>
      <c r="IO26" s="175"/>
      <c r="IP26" s="175"/>
      <c r="IQ26" s="175"/>
    </row>
    <row r="27" spans="1:251" s="146" customFormat="1" ht="21.75" customHeight="1">
      <c r="A27" s="179">
        <v>20</v>
      </c>
      <c r="B27" s="403" t="s">
        <v>625</v>
      </c>
      <c r="C27" s="404" t="s">
        <v>628</v>
      </c>
      <c r="D27" s="405">
        <v>22</v>
      </c>
      <c r="E27" s="405"/>
      <c r="F27" s="463" t="s">
        <v>629</v>
      </c>
      <c r="G27" s="405" t="s">
        <v>599</v>
      </c>
      <c r="H27" s="400" t="s">
        <v>581</v>
      </c>
      <c r="I27" s="180">
        <f t="shared" si="0"/>
        <v>420000</v>
      </c>
      <c r="J27" s="407" t="s">
        <v>696</v>
      </c>
      <c r="K27" s="183">
        <f t="shared" si="1"/>
        <v>300000</v>
      </c>
      <c r="L27" s="407" t="s">
        <v>693</v>
      </c>
      <c r="M27" s="181">
        <f t="shared" si="2"/>
        <v>300000</v>
      </c>
      <c r="N27" s="181">
        <f t="shared" si="3"/>
        <v>1020000</v>
      </c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175"/>
      <c r="BI27" s="175"/>
      <c r="BJ27" s="175"/>
      <c r="BK27" s="175"/>
      <c r="BL27" s="175"/>
      <c r="BM27" s="175"/>
      <c r="BN27" s="175"/>
      <c r="BO27" s="175"/>
      <c r="BP27" s="175"/>
      <c r="BQ27" s="175"/>
      <c r="BR27" s="175"/>
      <c r="BS27" s="175"/>
      <c r="BT27" s="175"/>
      <c r="BU27" s="175"/>
      <c r="BV27" s="175"/>
      <c r="BW27" s="175"/>
      <c r="BX27" s="175"/>
      <c r="BY27" s="175"/>
      <c r="BZ27" s="175"/>
      <c r="CA27" s="175"/>
      <c r="CB27" s="175"/>
      <c r="CC27" s="175"/>
      <c r="CD27" s="175"/>
      <c r="CE27" s="175"/>
      <c r="CF27" s="175"/>
      <c r="CG27" s="175"/>
      <c r="CH27" s="175"/>
      <c r="CI27" s="175"/>
      <c r="CJ27" s="175"/>
      <c r="CK27" s="175"/>
      <c r="CL27" s="175"/>
      <c r="CM27" s="175"/>
      <c r="CN27" s="175"/>
      <c r="CO27" s="175"/>
      <c r="CP27" s="175"/>
      <c r="CQ27" s="175"/>
      <c r="CR27" s="175"/>
      <c r="CS27" s="175"/>
      <c r="CT27" s="175"/>
      <c r="CU27" s="175"/>
      <c r="CV27" s="175"/>
      <c r="CW27" s="175"/>
      <c r="CX27" s="175"/>
      <c r="CY27" s="175"/>
      <c r="CZ27" s="175"/>
      <c r="DA27" s="175"/>
      <c r="DB27" s="175"/>
      <c r="DC27" s="175"/>
      <c r="DD27" s="175"/>
      <c r="DE27" s="175"/>
      <c r="DF27" s="175"/>
      <c r="DG27" s="175"/>
      <c r="DH27" s="175"/>
      <c r="DI27" s="175"/>
      <c r="DJ27" s="175"/>
      <c r="DK27" s="175"/>
      <c r="DL27" s="175"/>
      <c r="DM27" s="175"/>
      <c r="DN27" s="175"/>
      <c r="DO27" s="175"/>
      <c r="DP27" s="175"/>
      <c r="DQ27" s="175"/>
      <c r="DR27" s="175"/>
      <c r="DS27" s="175"/>
      <c r="DT27" s="175"/>
      <c r="DU27" s="175"/>
      <c r="DV27" s="175"/>
      <c r="DW27" s="175"/>
      <c r="DX27" s="175"/>
      <c r="DY27" s="175"/>
      <c r="DZ27" s="175"/>
      <c r="EA27" s="175"/>
      <c r="EB27" s="175"/>
      <c r="EC27" s="175"/>
      <c r="ED27" s="175"/>
      <c r="EE27" s="175"/>
      <c r="EF27" s="175"/>
      <c r="EG27" s="175"/>
      <c r="EH27" s="175"/>
      <c r="EI27" s="175"/>
      <c r="EJ27" s="175"/>
      <c r="EK27" s="175"/>
      <c r="EL27" s="175"/>
      <c r="EM27" s="175"/>
      <c r="EN27" s="175"/>
      <c r="EO27" s="175"/>
      <c r="EP27" s="175"/>
      <c r="EQ27" s="175"/>
      <c r="ER27" s="175"/>
      <c r="ES27" s="175"/>
      <c r="ET27" s="175"/>
      <c r="EU27" s="175"/>
      <c r="EV27" s="175"/>
      <c r="EW27" s="175"/>
      <c r="EX27" s="175"/>
      <c r="EY27" s="175"/>
      <c r="EZ27" s="175"/>
      <c r="FA27" s="175"/>
      <c r="FB27" s="175"/>
      <c r="FC27" s="175"/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175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  <c r="GH27" s="175"/>
      <c r="GI27" s="175"/>
      <c r="GJ27" s="175"/>
      <c r="GK27" s="175"/>
      <c r="GL27" s="175"/>
      <c r="GM27" s="175"/>
      <c r="GN27" s="175"/>
      <c r="GO27" s="175"/>
      <c r="GP27" s="175"/>
      <c r="GQ27" s="175"/>
      <c r="GR27" s="175"/>
      <c r="GS27" s="175"/>
      <c r="GT27" s="175"/>
      <c r="GU27" s="175"/>
      <c r="GV27" s="175"/>
      <c r="GW27" s="175"/>
      <c r="GX27" s="175"/>
      <c r="GY27" s="175"/>
      <c r="GZ27" s="175"/>
      <c r="HA27" s="175"/>
      <c r="HB27" s="175"/>
      <c r="HC27" s="175"/>
      <c r="HD27" s="175"/>
      <c r="HE27" s="175"/>
      <c r="HF27" s="175"/>
      <c r="HG27" s="175"/>
      <c r="HH27" s="175"/>
      <c r="HI27" s="175"/>
      <c r="HJ27" s="175"/>
      <c r="HK27" s="175"/>
      <c r="HL27" s="175"/>
      <c r="HM27" s="175"/>
      <c r="HN27" s="175"/>
      <c r="HO27" s="175"/>
      <c r="HP27" s="175"/>
      <c r="HQ27" s="175"/>
      <c r="HR27" s="175"/>
      <c r="HS27" s="175"/>
      <c r="HT27" s="175"/>
      <c r="HU27" s="175"/>
      <c r="HV27" s="175"/>
      <c r="HW27" s="175"/>
      <c r="HX27" s="175"/>
      <c r="HY27" s="175"/>
      <c r="HZ27" s="175"/>
      <c r="IA27" s="175"/>
      <c r="IB27" s="175"/>
      <c r="IC27" s="175"/>
      <c r="ID27" s="175"/>
      <c r="IE27" s="175"/>
      <c r="IF27" s="175"/>
      <c r="IG27" s="175"/>
      <c r="IH27" s="175"/>
      <c r="II27" s="175"/>
      <c r="IJ27" s="175"/>
      <c r="IK27" s="175"/>
      <c r="IL27" s="175"/>
      <c r="IM27" s="175"/>
      <c r="IN27" s="175"/>
      <c r="IO27" s="175"/>
      <c r="IP27" s="175"/>
      <c r="IQ27" s="175"/>
    </row>
    <row r="28" spans="1:251" s="146" customFormat="1" ht="21.75" customHeight="1">
      <c r="A28" s="179">
        <v>21</v>
      </c>
      <c r="B28" s="403" t="s">
        <v>630</v>
      </c>
      <c r="C28" s="404" t="s">
        <v>631</v>
      </c>
      <c r="D28" s="405">
        <v>100</v>
      </c>
      <c r="E28" s="405"/>
      <c r="F28" s="463" t="s">
        <v>598</v>
      </c>
      <c r="G28" s="405" t="s">
        <v>592</v>
      </c>
      <c r="H28" s="400" t="s">
        <v>584</v>
      </c>
      <c r="I28" s="180">
        <f t="shared" si="0"/>
        <v>420000</v>
      </c>
      <c r="J28" s="407" t="s">
        <v>580</v>
      </c>
      <c r="K28" s="183">
        <f t="shared" si="1"/>
        <v>300000</v>
      </c>
      <c r="L28" s="407" t="s">
        <v>693</v>
      </c>
      <c r="M28" s="181">
        <f t="shared" si="2"/>
        <v>300000</v>
      </c>
      <c r="N28" s="181">
        <f t="shared" si="3"/>
        <v>1020000</v>
      </c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5"/>
      <c r="BB28" s="175"/>
      <c r="BC28" s="175"/>
      <c r="BD28" s="175"/>
      <c r="BE28" s="175"/>
      <c r="BF28" s="175"/>
      <c r="BG28" s="175"/>
      <c r="BH28" s="175"/>
      <c r="BI28" s="175"/>
      <c r="BJ28" s="175"/>
      <c r="BK28" s="175"/>
      <c r="BL28" s="175"/>
      <c r="BM28" s="175"/>
      <c r="BN28" s="175"/>
      <c r="BO28" s="175"/>
      <c r="BP28" s="175"/>
      <c r="BQ28" s="175"/>
      <c r="BR28" s="175"/>
      <c r="BS28" s="175"/>
      <c r="BT28" s="175"/>
      <c r="BU28" s="175"/>
      <c r="BV28" s="175"/>
      <c r="BW28" s="175"/>
      <c r="BX28" s="175"/>
      <c r="BY28" s="175"/>
      <c r="BZ28" s="175"/>
      <c r="CA28" s="175"/>
      <c r="CB28" s="175"/>
      <c r="CC28" s="175"/>
      <c r="CD28" s="175"/>
      <c r="CE28" s="175"/>
      <c r="CF28" s="175"/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175"/>
      <c r="DA28" s="175"/>
      <c r="DB28" s="175"/>
      <c r="DC28" s="175"/>
      <c r="DD28" s="175"/>
      <c r="DE28" s="175"/>
      <c r="DF28" s="175"/>
      <c r="DG28" s="175"/>
      <c r="DH28" s="175"/>
      <c r="DI28" s="175"/>
      <c r="DJ28" s="175"/>
      <c r="DK28" s="175"/>
      <c r="DL28" s="175"/>
      <c r="DM28" s="175"/>
      <c r="DN28" s="175"/>
      <c r="DO28" s="175"/>
      <c r="DP28" s="175"/>
      <c r="DQ28" s="175"/>
      <c r="DR28" s="175"/>
      <c r="DS28" s="175"/>
      <c r="DT28" s="175"/>
      <c r="DU28" s="175"/>
      <c r="DV28" s="175"/>
      <c r="DW28" s="175"/>
      <c r="DX28" s="175"/>
      <c r="DY28" s="175"/>
      <c r="DZ28" s="175"/>
      <c r="EA28" s="175"/>
      <c r="EB28" s="175"/>
      <c r="EC28" s="175"/>
      <c r="ED28" s="175"/>
      <c r="EE28" s="175"/>
      <c r="EF28" s="175"/>
      <c r="EG28" s="175"/>
      <c r="EH28" s="175"/>
      <c r="EI28" s="175"/>
      <c r="EJ28" s="175"/>
      <c r="EK28" s="175"/>
      <c r="EL28" s="175"/>
      <c r="EM28" s="175"/>
      <c r="EN28" s="175"/>
      <c r="EO28" s="175"/>
      <c r="EP28" s="175"/>
      <c r="EQ28" s="175"/>
      <c r="ER28" s="175"/>
      <c r="ES28" s="175"/>
      <c r="ET28" s="175"/>
      <c r="EU28" s="175"/>
      <c r="EV28" s="175"/>
      <c r="EW28" s="175"/>
      <c r="EX28" s="175"/>
      <c r="EY28" s="175"/>
      <c r="EZ28" s="175"/>
      <c r="FA28" s="175"/>
      <c r="FB28" s="175"/>
      <c r="FC28" s="175"/>
      <c r="FD28" s="175"/>
      <c r="FE28" s="175"/>
      <c r="FF28" s="175"/>
      <c r="FG28" s="175"/>
      <c r="FH28" s="175"/>
      <c r="FI28" s="175"/>
      <c r="FJ28" s="175"/>
      <c r="FK28" s="175"/>
      <c r="FL28" s="175"/>
      <c r="FM28" s="175"/>
      <c r="FN28" s="175"/>
      <c r="FO28" s="175"/>
      <c r="FP28" s="175"/>
      <c r="FQ28" s="175"/>
      <c r="FR28" s="175"/>
      <c r="FS28" s="175"/>
      <c r="FT28" s="175"/>
      <c r="FU28" s="175"/>
      <c r="FV28" s="175"/>
      <c r="FW28" s="175"/>
      <c r="FX28" s="175"/>
      <c r="FY28" s="175"/>
      <c r="FZ28" s="175"/>
      <c r="GA28" s="175"/>
      <c r="GB28" s="175"/>
      <c r="GC28" s="175"/>
      <c r="GD28" s="175"/>
      <c r="GE28" s="175"/>
      <c r="GF28" s="175"/>
      <c r="GG28" s="175"/>
      <c r="GH28" s="175"/>
      <c r="GI28" s="175"/>
      <c r="GJ28" s="175"/>
      <c r="GK28" s="175"/>
      <c r="GL28" s="175"/>
      <c r="GM28" s="175"/>
      <c r="GN28" s="175"/>
      <c r="GO28" s="175"/>
      <c r="GP28" s="175"/>
      <c r="GQ28" s="175"/>
      <c r="GR28" s="175"/>
      <c r="GS28" s="175"/>
      <c r="GT28" s="175"/>
      <c r="GU28" s="175"/>
      <c r="GV28" s="175"/>
      <c r="GW28" s="175"/>
      <c r="GX28" s="175"/>
      <c r="GY28" s="175"/>
      <c r="GZ28" s="175"/>
      <c r="HA28" s="175"/>
      <c r="HB28" s="175"/>
      <c r="HC28" s="175"/>
      <c r="HD28" s="175"/>
      <c r="HE28" s="175"/>
      <c r="HF28" s="175"/>
      <c r="HG28" s="175"/>
      <c r="HH28" s="175"/>
      <c r="HI28" s="175"/>
      <c r="HJ28" s="175"/>
      <c r="HK28" s="175"/>
      <c r="HL28" s="175"/>
      <c r="HM28" s="175"/>
      <c r="HN28" s="175"/>
      <c r="HO28" s="175"/>
      <c r="HP28" s="175"/>
      <c r="HQ28" s="175"/>
      <c r="HR28" s="175"/>
      <c r="HS28" s="175"/>
      <c r="HT28" s="175"/>
      <c r="HU28" s="175"/>
      <c r="HV28" s="175"/>
      <c r="HW28" s="175"/>
      <c r="HX28" s="175"/>
      <c r="HY28" s="175"/>
      <c r="HZ28" s="175"/>
      <c r="IA28" s="175"/>
      <c r="IB28" s="175"/>
      <c r="IC28" s="175"/>
      <c r="ID28" s="175"/>
      <c r="IE28" s="175"/>
      <c r="IF28" s="175"/>
      <c r="IG28" s="175"/>
      <c r="IH28" s="175"/>
      <c r="II28" s="175"/>
      <c r="IJ28" s="175"/>
      <c r="IK28" s="175"/>
      <c r="IL28" s="175"/>
      <c r="IM28" s="175"/>
      <c r="IN28" s="175"/>
      <c r="IO28" s="175"/>
      <c r="IP28" s="175"/>
      <c r="IQ28" s="175"/>
    </row>
    <row r="29" spans="1:251" s="146" customFormat="1" ht="21.75" customHeight="1">
      <c r="A29" s="179">
        <v>22</v>
      </c>
      <c r="B29" s="403" t="s">
        <v>630</v>
      </c>
      <c r="C29" s="404" t="s">
        <v>632</v>
      </c>
      <c r="D29" s="405"/>
      <c r="E29" s="405">
        <v>70</v>
      </c>
      <c r="F29" s="463" t="s">
        <v>598</v>
      </c>
      <c r="G29" s="405" t="s">
        <v>592</v>
      </c>
      <c r="H29" s="400" t="s">
        <v>580</v>
      </c>
      <c r="I29" s="180">
        <f t="shared" si="0"/>
        <v>420000</v>
      </c>
      <c r="J29" s="407" t="s">
        <v>698</v>
      </c>
      <c r="K29" s="183">
        <f t="shared" si="1"/>
        <v>300000</v>
      </c>
      <c r="L29" s="407" t="s">
        <v>696</v>
      </c>
      <c r="M29" s="181">
        <f t="shared" si="2"/>
        <v>300000</v>
      </c>
      <c r="N29" s="181">
        <f t="shared" si="3"/>
        <v>1020000</v>
      </c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5"/>
      <c r="BB29" s="175"/>
      <c r="BC29" s="175"/>
      <c r="BD29" s="175"/>
      <c r="BE29" s="175"/>
      <c r="BF29" s="175"/>
      <c r="BG29" s="175"/>
      <c r="BH29" s="175"/>
      <c r="BI29" s="175"/>
      <c r="BJ29" s="175"/>
      <c r="BK29" s="175"/>
      <c r="BL29" s="175"/>
      <c r="BM29" s="175"/>
      <c r="BN29" s="175"/>
      <c r="BO29" s="175"/>
      <c r="BP29" s="175"/>
      <c r="BQ29" s="175"/>
      <c r="BR29" s="175"/>
      <c r="BS29" s="175"/>
      <c r="BT29" s="175"/>
      <c r="BU29" s="175"/>
      <c r="BV29" s="175"/>
      <c r="BW29" s="175"/>
      <c r="BX29" s="175"/>
      <c r="BY29" s="175"/>
      <c r="BZ29" s="175"/>
      <c r="CA29" s="175"/>
      <c r="CB29" s="175"/>
      <c r="CC29" s="175"/>
      <c r="CD29" s="175"/>
      <c r="CE29" s="175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175"/>
      <c r="DA29" s="175"/>
      <c r="DB29" s="175"/>
      <c r="DC29" s="175"/>
      <c r="DD29" s="175"/>
      <c r="DE29" s="175"/>
      <c r="DF29" s="175"/>
      <c r="DG29" s="175"/>
      <c r="DH29" s="175"/>
      <c r="DI29" s="175"/>
      <c r="DJ29" s="175"/>
      <c r="DK29" s="175"/>
      <c r="DL29" s="175"/>
      <c r="DM29" s="175"/>
      <c r="DN29" s="175"/>
      <c r="DO29" s="175"/>
      <c r="DP29" s="175"/>
      <c r="DQ29" s="175"/>
      <c r="DR29" s="175"/>
      <c r="DS29" s="175"/>
      <c r="DT29" s="175"/>
      <c r="DU29" s="175"/>
      <c r="DV29" s="175"/>
      <c r="DW29" s="175"/>
      <c r="DX29" s="175"/>
      <c r="DY29" s="175"/>
      <c r="DZ29" s="175"/>
      <c r="EA29" s="175"/>
      <c r="EB29" s="175"/>
      <c r="EC29" s="175"/>
      <c r="ED29" s="175"/>
      <c r="EE29" s="175"/>
      <c r="EF29" s="175"/>
      <c r="EG29" s="175"/>
      <c r="EH29" s="175"/>
      <c r="EI29" s="175"/>
      <c r="EJ29" s="175"/>
      <c r="EK29" s="175"/>
      <c r="EL29" s="175"/>
      <c r="EM29" s="175"/>
      <c r="EN29" s="175"/>
      <c r="EO29" s="175"/>
      <c r="EP29" s="175"/>
      <c r="EQ29" s="175"/>
      <c r="ER29" s="175"/>
      <c r="ES29" s="175"/>
      <c r="ET29" s="175"/>
      <c r="EU29" s="175"/>
      <c r="EV29" s="175"/>
      <c r="EW29" s="175"/>
      <c r="EX29" s="175"/>
      <c r="EY29" s="175"/>
      <c r="EZ29" s="175"/>
      <c r="FA29" s="175"/>
      <c r="FB29" s="175"/>
      <c r="FC29" s="175"/>
      <c r="FD29" s="175"/>
      <c r="FE29" s="175"/>
      <c r="FF29" s="175"/>
      <c r="FG29" s="175"/>
      <c r="FH29" s="175"/>
      <c r="FI29" s="175"/>
      <c r="FJ29" s="175"/>
      <c r="FK29" s="175"/>
      <c r="FL29" s="175"/>
      <c r="FM29" s="175"/>
      <c r="FN29" s="175"/>
      <c r="FO29" s="175"/>
      <c r="FP29" s="175"/>
      <c r="FQ29" s="175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  <c r="HN29" s="175"/>
      <c r="HO29" s="175"/>
      <c r="HP29" s="175"/>
      <c r="HQ29" s="175"/>
      <c r="HR29" s="175"/>
      <c r="HS29" s="175"/>
      <c r="HT29" s="175"/>
      <c r="HU29" s="175"/>
      <c r="HV29" s="175"/>
      <c r="HW29" s="175"/>
      <c r="HX29" s="175"/>
      <c r="HY29" s="175"/>
      <c r="HZ29" s="175"/>
      <c r="IA29" s="175"/>
      <c r="IB29" s="175"/>
      <c r="IC29" s="175"/>
      <c r="ID29" s="175"/>
      <c r="IE29" s="175"/>
      <c r="IF29" s="175"/>
      <c r="IG29" s="175"/>
      <c r="IH29" s="175"/>
      <c r="II29" s="175"/>
      <c r="IJ29" s="175"/>
      <c r="IK29" s="175"/>
      <c r="IL29" s="175"/>
      <c r="IM29" s="175"/>
      <c r="IN29" s="175"/>
      <c r="IO29" s="175"/>
      <c r="IP29" s="175"/>
      <c r="IQ29" s="175"/>
    </row>
    <row r="30" spans="1:251" s="146" customFormat="1" ht="21.75" customHeight="1">
      <c r="A30" s="179">
        <v>23</v>
      </c>
      <c r="B30" s="403" t="s">
        <v>630</v>
      </c>
      <c r="C30" s="404" t="s">
        <v>633</v>
      </c>
      <c r="D30" s="405">
        <v>34</v>
      </c>
      <c r="E30" s="405"/>
      <c r="F30" s="463" t="s">
        <v>598</v>
      </c>
      <c r="G30" s="405" t="s">
        <v>592</v>
      </c>
      <c r="H30" s="400" t="s">
        <v>582</v>
      </c>
      <c r="I30" s="180">
        <f t="shared" si="0"/>
        <v>420000</v>
      </c>
      <c r="J30" s="407" t="s">
        <v>581</v>
      </c>
      <c r="K30" s="183">
        <f t="shared" si="1"/>
        <v>300000</v>
      </c>
      <c r="L30" s="407" t="s">
        <v>695</v>
      </c>
      <c r="M30" s="181">
        <f t="shared" si="2"/>
        <v>300000</v>
      </c>
      <c r="N30" s="181">
        <f t="shared" si="3"/>
        <v>1020000</v>
      </c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5"/>
      <c r="BB30" s="175"/>
      <c r="BC30" s="175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5"/>
      <c r="BR30" s="175"/>
      <c r="BS30" s="175"/>
      <c r="BT30" s="175"/>
      <c r="BU30" s="175"/>
      <c r="BV30" s="175"/>
      <c r="BW30" s="175"/>
      <c r="BX30" s="175"/>
      <c r="BY30" s="175"/>
      <c r="BZ30" s="175"/>
      <c r="CA30" s="175"/>
      <c r="CB30" s="175"/>
      <c r="CC30" s="175"/>
      <c r="CD30" s="175"/>
      <c r="CE30" s="175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5"/>
      <c r="DI30" s="175"/>
      <c r="DJ30" s="175"/>
      <c r="DK30" s="175"/>
      <c r="DL30" s="175"/>
      <c r="DM30" s="175"/>
      <c r="DN30" s="175"/>
      <c r="DO30" s="175"/>
      <c r="DP30" s="175"/>
      <c r="DQ30" s="175"/>
      <c r="DR30" s="175"/>
      <c r="DS30" s="175"/>
      <c r="DT30" s="175"/>
      <c r="DU30" s="175"/>
      <c r="DV30" s="175"/>
      <c r="DW30" s="175"/>
      <c r="DX30" s="175"/>
      <c r="DY30" s="175"/>
      <c r="DZ30" s="175"/>
      <c r="EA30" s="175"/>
      <c r="EB30" s="175"/>
      <c r="EC30" s="175"/>
      <c r="ED30" s="175"/>
      <c r="EE30" s="175"/>
      <c r="EF30" s="175"/>
      <c r="EG30" s="175"/>
      <c r="EH30" s="175"/>
      <c r="EI30" s="175"/>
      <c r="EJ30" s="175"/>
      <c r="EK30" s="175"/>
      <c r="EL30" s="175"/>
      <c r="EM30" s="175"/>
      <c r="EN30" s="175"/>
      <c r="EO30" s="175"/>
      <c r="EP30" s="175"/>
      <c r="EQ30" s="175"/>
      <c r="ER30" s="175"/>
      <c r="ES30" s="175"/>
      <c r="ET30" s="175"/>
      <c r="EU30" s="175"/>
      <c r="EV30" s="175"/>
      <c r="EW30" s="175"/>
      <c r="EX30" s="175"/>
      <c r="EY30" s="175"/>
      <c r="EZ30" s="175"/>
      <c r="FA30" s="175"/>
      <c r="FB30" s="175"/>
      <c r="FC30" s="175"/>
      <c r="FD30" s="175"/>
      <c r="FE30" s="175"/>
      <c r="FF30" s="175"/>
      <c r="FG30" s="175"/>
      <c r="FH30" s="175"/>
      <c r="FI30" s="175"/>
      <c r="FJ30" s="175"/>
      <c r="FK30" s="175"/>
      <c r="FL30" s="175"/>
      <c r="FM30" s="175"/>
      <c r="FN30" s="175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  <c r="HN30" s="175"/>
      <c r="HO30" s="175"/>
      <c r="HP30" s="175"/>
      <c r="HQ30" s="175"/>
      <c r="HR30" s="175"/>
      <c r="HS30" s="175"/>
      <c r="HT30" s="175"/>
      <c r="HU30" s="175"/>
      <c r="HV30" s="175"/>
      <c r="HW30" s="175"/>
      <c r="HX30" s="175"/>
      <c r="HY30" s="175"/>
      <c r="HZ30" s="175"/>
      <c r="IA30" s="175"/>
      <c r="IB30" s="175"/>
      <c r="IC30" s="175"/>
      <c r="ID30" s="175"/>
      <c r="IE30" s="175"/>
      <c r="IF30" s="175"/>
      <c r="IG30" s="175"/>
      <c r="IH30" s="175"/>
      <c r="II30" s="175"/>
      <c r="IJ30" s="175"/>
      <c r="IK30" s="175"/>
      <c r="IL30" s="175"/>
      <c r="IM30" s="175"/>
      <c r="IN30" s="175"/>
      <c r="IO30" s="175"/>
      <c r="IP30" s="175"/>
      <c r="IQ30" s="175"/>
    </row>
    <row r="31" spans="1:251" s="146" customFormat="1" ht="21.75" customHeight="1">
      <c r="A31" s="179">
        <v>24</v>
      </c>
      <c r="B31" s="403" t="s">
        <v>634</v>
      </c>
      <c r="C31" s="404" t="s">
        <v>635</v>
      </c>
      <c r="D31" s="405"/>
      <c r="E31" s="405">
        <v>72</v>
      </c>
      <c r="F31" s="463" t="s">
        <v>636</v>
      </c>
      <c r="G31" s="405" t="s">
        <v>592</v>
      </c>
      <c r="H31" s="400" t="s">
        <v>582</v>
      </c>
      <c r="I31" s="180">
        <f t="shared" si="0"/>
        <v>420000</v>
      </c>
      <c r="J31" s="407" t="s">
        <v>581</v>
      </c>
      <c r="K31" s="183">
        <f t="shared" si="1"/>
        <v>300000</v>
      </c>
      <c r="L31" s="407" t="s">
        <v>695</v>
      </c>
      <c r="M31" s="181">
        <f t="shared" si="2"/>
        <v>300000</v>
      </c>
      <c r="N31" s="181">
        <f t="shared" si="3"/>
        <v>1020000</v>
      </c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5"/>
      <c r="BB31" s="175"/>
      <c r="BC31" s="175"/>
      <c r="BD31" s="175"/>
      <c r="BE31" s="175"/>
      <c r="BF31" s="175"/>
      <c r="BG31" s="175"/>
      <c r="BH31" s="175"/>
      <c r="BI31" s="175"/>
      <c r="BJ31" s="175"/>
      <c r="BK31" s="175"/>
      <c r="BL31" s="175"/>
      <c r="BM31" s="175"/>
      <c r="BN31" s="175"/>
      <c r="BO31" s="175"/>
      <c r="BP31" s="175"/>
      <c r="BQ31" s="175"/>
      <c r="BR31" s="175"/>
      <c r="BS31" s="175"/>
      <c r="BT31" s="175"/>
      <c r="BU31" s="175"/>
      <c r="BV31" s="175"/>
      <c r="BW31" s="175"/>
      <c r="BX31" s="175"/>
      <c r="BY31" s="175"/>
      <c r="BZ31" s="175"/>
      <c r="CA31" s="175"/>
      <c r="CB31" s="175"/>
      <c r="CC31" s="175"/>
      <c r="CD31" s="175"/>
      <c r="CE31" s="175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175"/>
      <c r="DA31" s="175"/>
      <c r="DB31" s="175"/>
      <c r="DC31" s="175"/>
      <c r="DD31" s="175"/>
      <c r="DE31" s="175"/>
      <c r="DF31" s="175"/>
      <c r="DG31" s="175"/>
      <c r="DH31" s="175"/>
      <c r="DI31" s="175"/>
      <c r="DJ31" s="175"/>
      <c r="DK31" s="175"/>
      <c r="DL31" s="175"/>
      <c r="DM31" s="175"/>
      <c r="DN31" s="175"/>
      <c r="DO31" s="175"/>
      <c r="DP31" s="175"/>
      <c r="DQ31" s="175"/>
      <c r="DR31" s="175"/>
      <c r="DS31" s="175"/>
      <c r="DT31" s="175"/>
      <c r="DU31" s="175"/>
      <c r="DV31" s="175"/>
      <c r="DW31" s="175"/>
      <c r="DX31" s="175"/>
      <c r="DY31" s="175"/>
      <c r="DZ31" s="175"/>
      <c r="EA31" s="175"/>
      <c r="EB31" s="175"/>
      <c r="EC31" s="175"/>
      <c r="ED31" s="175"/>
      <c r="EE31" s="175"/>
      <c r="EF31" s="175"/>
      <c r="EG31" s="175"/>
      <c r="EH31" s="175"/>
      <c r="EI31" s="175"/>
      <c r="EJ31" s="175"/>
      <c r="EK31" s="175"/>
      <c r="EL31" s="175"/>
      <c r="EM31" s="175"/>
      <c r="EN31" s="175"/>
      <c r="EO31" s="175"/>
      <c r="EP31" s="175"/>
      <c r="EQ31" s="175"/>
      <c r="ER31" s="175"/>
      <c r="ES31" s="175"/>
      <c r="ET31" s="175"/>
      <c r="EU31" s="175"/>
      <c r="EV31" s="175"/>
      <c r="EW31" s="175"/>
      <c r="EX31" s="175"/>
      <c r="EY31" s="175"/>
      <c r="EZ31" s="175"/>
      <c r="FA31" s="175"/>
      <c r="FB31" s="175"/>
      <c r="FC31" s="175"/>
      <c r="FD31" s="175"/>
      <c r="FE31" s="175"/>
      <c r="FF31" s="175"/>
      <c r="FG31" s="175"/>
      <c r="FH31" s="175"/>
      <c r="FI31" s="175"/>
      <c r="FJ31" s="175"/>
      <c r="FK31" s="175"/>
      <c r="FL31" s="175"/>
      <c r="FM31" s="175"/>
      <c r="FN31" s="175"/>
      <c r="FO31" s="175"/>
      <c r="FP31" s="175"/>
      <c r="FQ31" s="175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  <c r="HN31" s="175"/>
      <c r="HO31" s="175"/>
      <c r="HP31" s="175"/>
      <c r="HQ31" s="175"/>
      <c r="HR31" s="175"/>
      <c r="HS31" s="175"/>
      <c r="HT31" s="175"/>
      <c r="HU31" s="175"/>
      <c r="HV31" s="175"/>
      <c r="HW31" s="175"/>
      <c r="HX31" s="175"/>
      <c r="HY31" s="175"/>
      <c r="HZ31" s="175"/>
      <c r="IA31" s="175"/>
      <c r="IB31" s="175"/>
      <c r="IC31" s="175"/>
      <c r="ID31" s="175"/>
      <c r="IE31" s="175"/>
      <c r="IF31" s="175"/>
      <c r="IG31" s="175"/>
      <c r="IH31" s="175"/>
      <c r="II31" s="175"/>
      <c r="IJ31" s="175"/>
      <c r="IK31" s="175"/>
      <c r="IL31" s="175"/>
      <c r="IM31" s="175"/>
      <c r="IN31" s="175"/>
      <c r="IO31" s="175"/>
      <c r="IP31" s="175"/>
      <c r="IQ31" s="175"/>
    </row>
    <row r="32" spans="1:251" s="146" customFormat="1" ht="21.75" customHeight="1">
      <c r="A32" s="179">
        <v>25</v>
      </c>
      <c r="B32" s="403" t="s">
        <v>634</v>
      </c>
      <c r="C32" s="404" t="s">
        <v>637</v>
      </c>
      <c r="D32" s="405"/>
      <c r="E32" s="405">
        <v>44</v>
      </c>
      <c r="F32" s="463" t="s">
        <v>638</v>
      </c>
      <c r="G32" s="405" t="s">
        <v>589</v>
      </c>
      <c r="H32" s="400" t="s">
        <v>581</v>
      </c>
      <c r="I32" s="180">
        <f t="shared" si="0"/>
        <v>187500</v>
      </c>
      <c r="J32" s="407" t="s">
        <v>698</v>
      </c>
      <c r="K32" s="183">
        <f t="shared" si="1"/>
        <v>135000</v>
      </c>
      <c r="L32" s="407" t="s">
        <v>701</v>
      </c>
      <c r="M32" s="181">
        <f t="shared" si="2"/>
        <v>135000</v>
      </c>
      <c r="N32" s="181">
        <f t="shared" si="3"/>
        <v>457500</v>
      </c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  <c r="BK32" s="175"/>
      <c r="BL32" s="175"/>
      <c r="BM32" s="175"/>
      <c r="BN32" s="175"/>
      <c r="BO32" s="175"/>
      <c r="BP32" s="175"/>
      <c r="BQ32" s="175"/>
      <c r="BR32" s="175"/>
      <c r="BS32" s="175"/>
      <c r="BT32" s="175"/>
      <c r="BU32" s="175"/>
      <c r="BV32" s="175"/>
      <c r="BW32" s="175"/>
      <c r="BX32" s="175"/>
      <c r="BY32" s="175"/>
      <c r="BZ32" s="175"/>
      <c r="CA32" s="175"/>
      <c r="CB32" s="175"/>
      <c r="CC32" s="175"/>
      <c r="CD32" s="175"/>
      <c r="CE32" s="175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175"/>
      <c r="DA32" s="175"/>
      <c r="DB32" s="175"/>
      <c r="DC32" s="175"/>
      <c r="DD32" s="175"/>
      <c r="DE32" s="175"/>
      <c r="DF32" s="175"/>
      <c r="DG32" s="175"/>
      <c r="DH32" s="175"/>
      <c r="DI32" s="175"/>
      <c r="DJ32" s="175"/>
      <c r="DK32" s="175"/>
      <c r="DL32" s="175"/>
      <c r="DM32" s="175"/>
      <c r="DN32" s="175"/>
      <c r="DO32" s="175"/>
      <c r="DP32" s="175"/>
      <c r="DQ32" s="175"/>
      <c r="DR32" s="175"/>
      <c r="DS32" s="175"/>
      <c r="DT32" s="175"/>
      <c r="DU32" s="175"/>
      <c r="DV32" s="175"/>
      <c r="DW32" s="175"/>
      <c r="DX32" s="175"/>
      <c r="DY32" s="175"/>
      <c r="DZ32" s="175"/>
      <c r="EA32" s="175"/>
      <c r="EB32" s="175"/>
      <c r="EC32" s="175"/>
      <c r="ED32" s="175"/>
      <c r="EE32" s="175"/>
      <c r="EF32" s="175"/>
      <c r="EG32" s="175"/>
      <c r="EH32" s="175"/>
      <c r="EI32" s="175"/>
      <c r="EJ32" s="175"/>
      <c r="EK32" s="175"/>
      <c r="EL32" s="175"/>
      <c r="EM32" s="175"/>
      <c r="EN32" s="175"/>
      <c r="EO32" s="175"/>
      <c r="EP32" s="175"/>
      <c r="EQ32" s="175"/>
      <c r="ER32" s="175"/>
      <c r="ES32" s="175"/>
      <c r="ET32" s="175"/>
      <c r="EU32" s="175"/>
      <c r="EV32" s="175"/>
      <c r="EW32" s="175"/>
      <c r="EX32" s="175"/>
      <c r="EY32" s="175"/>
      <c r="EZ32" s="175"/>
      <c r="FA32" s="175"/>
      <c r="FB32" s="175"/>
      <c r="FC32" s="175"/>
      <c r="FD32" s="175"/>
      <c r="FE32" s="175"/>
      <c r="FF32" s="175"/>
      <c r="FG32" s="175"/>
      <c r="FH32" s="175"/>
      <c r="FI32" s="175"/>
      <c r="FJ32" s="175"/>
      <c r="FK32" s="175"/>
      <c r="FL32" s="175"/>
      <c r="FM32" s="175"/>
      <c r="FN32" s="175"/>
      <c r="FO32" s="175"/>
      <c r="FP32" s="175"/>
      <c r="FQ32" s="175"/>
      <c r="FR32" s="175"/>
      <c r="FS32" s="175"/>
      <c r="FT32" s="17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175"/>
      <c r="HL32" s="175"/>
      <c r="HM32" s="175"/>
      <c r="HN32" s="175"/>
      <c r="HO32" s="175"/>
      <c r="HP32" s="175"/>
      <c r="HQ32" s="175"/>
      <c r="HR32" s="175"/>
      <c r="HS32" s="175"/>
      <c r="HT32" s="175"/>
      <c r="HU32" s="175"/>
      <c r="HV32" s="175"/>
      <c r="HW32" s="175"/>
      <c r="HX32" s="175"/>
      <c r="HY32" s="175"/>
      <c r="HZ32" s="175"/>
      <c r="IA32" s="175"/>
      <c r="IB32" s="175"/>
      <c r="IC32" s="175"/>
      <c r="ID32" s="175"/>
      <c r="IE32" s="175"/>
      <c r="IF32" s="175"/>
      <c r="IG32" s="175"/>
      <c r="IH32" s="175"/>
      <c r="II32" s="175"/>
      <c r="IJ32" s="175"/>
      <c r="IK32" s="175"/>
      <c r="IL32" s="175"/>
      <c r="IM32" s="175"/>
      <c r="IN32" s="175"/>
      <c r="IO32" s="175"/>
      <c r="IP32" s="175"/>
      <c r="IQ32" s="175"/>
    </row>
    <row r="33" spans="1:251" s="146" customFormat="1" ht="21.75" customHeight="1">
      <c r="A33" s="179">
        <v>26</v>
      </c>
      <c r="B33" s="403" t="s">
        <v>634</v>
      </c>
      <c r="C33" s="404" t="s">
        <v>639</v>
      </c>
      <c r="D33" s="405">
        <v>40</v>
      </c>
      <c r="E33" s="405"/>
      <c r="F33" s="463" t="s">
        <v>640</v>
      </c>
      <c r="G33" s="405" t="s">
        <v>592</v>
      </c>
      <c r="H33" s="400" t="s">
        <v>581</v>
      </c>
      <c r="I33" s="180">
        <f t="shared" si="0"/>
        <v>420000</v>
      </c>
      <c r="J33" s="407" t="s">
        <v>694</v>
      </c>
      <c r="K33" s="183">
        <f t="shared" si="1"/>
        <v>300000</v>
      </c>
      <c r="L33" s="407" t="s">
        <v>700</v>
      </c>
      <c r="M33" s="181">
        <f t="shared" si="2"/>
        <v>300000</v>
      </c>
      <c r="N33" s="181">
        <f t="shared" si="3"/>
        <v>1020000</v>
      </c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5"/>
      <c r="BB33" s="175"/>
      <c r="BC33" s="175"/>
      <c r="BD33" s="175"/>
      <c r="BE33" s="175"/>
      <c r="BF33" s="175"/>
      <c r="BG33" s="175"/>
      <c r="BH33" s="175"/>
      <c r="BI33" s="175"/>
      <c r="BJ33" s="175"/>
      <c r="BK33" s="175"/>
      <c r="BL33" s="175"/>
      <c r="BM33" s="175"/>
      <c r="BN33" s="175"/>
      <c r="BO33" s="175"/>
      <c r="BP33" s="175"/>
      <c r="BQ33" s="175"/>
      <c r="BR33" s="175"/>
      <c r="BS33" s="175"/>
      <c r="BT33" s="175"/>
      <c r="BU33" s="175"/>
      <c r="BV33" s="175"/>
      <c r="BW33" s="175"/>
      <c r="BX33" s="175"/>
      <c r="BY33" s="175"/>
      <c r="BZ33" s="175"/>
      <c r="CA33" s="175"/>
      <c r="CB33" s="175"/>
      <c r="CC33" s="175"/>
      <c r="CD33" s="175"/>
      <c r="CE33" s="175"/>
      <c r="CF33" s="175"/>
      <c r="CG33" s="175"/>
      <c r="CH33" s="175"/>
      <c r="CI33" s="175"/>
      <c r="CJ33" s="175"/>
      <c r="CK33" s="175"/>
      <c r="CL33" s="175"/>
      <c r="CM33" s="175"/>
      <c r="CN33" s="175"/>
      <c r="CO33" s="175"/>
      <c r="CP33" s="175"/>
      <c r="CQ33" s="175"/>
      <c r="CR33" s="175"/>
      <c r="CS33" s="175"/>
      <c r="CT33" s="175"/>
      <c r="CU33" s="175"/>
      <c r="CV33" s="175"/>
      <c r="CW33" s="175"/>
      <c r="CX33" s="175"/>
      <c r="CY33" s="175"/>
      <c r="CZ33" s="175"/>
      <c r="DA33" s="175"/>
      <c r="DB33" s="175"/>
      <c r="DC33" s="175"/>
      <c r="DD33" s="175"/>
      <c r="DE33" s="175"/>
      <c r="DF33" s="175"/>
      <c r="DG33" s="175"/>
      <c r="DH33" s="175"/>
      <c r="DI33" s="175"/>
      <c r="DJ33" s="175"/>
      <c r="DK33" s="175"/>
      <c r="DL33" s="175"/>
      <c r="DM33" s="175"/>
      <c r="DN33" s="175"/>
      <c r="DO33" s="175"/>
      <c r="DP33" s="175"/>
      <c r="DQ33" s="175"/>
      <c r="DR33" s="175"/>
      <c r="DS33" s="175"/>
      <c r="DT33" s="175"/>
      <c r="DU33" s="175"/>
      <c r="DV33" s="175"/>
      <c r="DW33" s="175"/>
      <c r="DX33" s="175"/>
      <c r="DY33" s="175"/>
      <c r="DZ33" s="175"/>
      <c r="EA33" s="175"/>
      <c r="EB33" s="175"/>
      <c r="EC33" s="175"/>
      <c r="ED33" s="175"/>
      <c r="EE33" s="175"/>
      <c r="EF33" s="175"/>
      <c r="EG33" s="175"/>
      <c r="EH33" s="175"/>
      <c r="EI33" s="175"/>
      <c r="EJ33" s="175"/>
      <c r="EK33" s="175"/>
      <c r="EL33" s="175"/>
      <c r="EM33" s="175"/>
      <c r="EN33" s="175"/>
      <c r="EO33" s="175"/>
      <c r="EP33" s="175"/>
      <c r="EQ33" s="175"/>
      <c r="ER33" s="175"/>
      <c r="ES33" s="175"/>
      <c r="ET33" s="175"/>
      <c r="EU33" s="175"/>
      <c r="EV33" s="175"/>
      <c r="EW33" s="175"/>
      <c r="EX33" s="175"/>
      <c r="EY33" s="175"/>
      <c r="EZ33" s="175"/>
      <c r="FA33" s="175"/>
      <c r="FB33" s="175"/>
      <c r="FC33" s="175"/>
      <c r="FD33" s="175"/>
      <c r="FE33" s="175"/>
      <c r="FF33" s="175"/>
      <c r="FG33" s="175"/>
      <c r="FH33" s="175"/>
      <c r="FI33" s="175"/>
      <c r="FJ33" s="175"/>
      <c r="FK33" s="175"/>
      <c r="FL33" s="175"/>
      <c r="FM33" s="175"/>
      <c r="FN33" s="175"/>
      <c r="FO33" s="175"/>
      <c r="FP33" s="175"/>
      <c r="FQ33" s="175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  <c r="HN33" s="175"/>
      <c r="HO33" s="175"/>
      <c r="HP33" s="175"/>
      <c r="HQ33" s="175"/>
      <c r="HR33" s="175"/>
      <c r="HS33" s="175"/>
      <c r="HT33" s="175"/>
      <c r="HU33" s="175"/>
      <c r="HV33" s="175"/>
      <c r="HW33" s="175"/>
      <c r="HX33" s="175"/>
      <c r="HY33" s="175"/>
      <c r="HZ33" s="175"/>
      <c r="IA33" s="175"/>
      <c r="IB33" s="175"/>
      <c r="IC33" s="175"/>
      <c r="ID33" s="175"/>
      <c r="IE33" s="175"/>
      <c r="IF33" s="175"/>
      <c r="IG33" s="175"/>
      <c r="IH33" s="175"/>
      <c r="II33" s="175"/>
      <c r="IJ33" s="175"/>
      <c r="IK33" s="175"/>
      <c r="IL33" s="175"/>
      <c r="IM33" s="175"/>
      <c r="IN33" s="175"/>
      <c r="IO33" s="175"/>
      <c r="IP33" s="175"/>
      <c r="IQ33" s="175"/>
    </row>
    <row r="34" spans="1:251" s="146" customFormat="1" ht="21.75" customHeight="1">
      <c r="A34" s="179">
        <v>27</v>
      </c>
      <c r="B34" s="403" t="s">
        <v>641</v>
      </c>
      <c r="C34" s="404" t="s">
        <v>642</v>
      </c>
      <c r="D34" s="405"/>
      <c r="E34" s="405">
        <v>72</v>
      </c>
      <c r="F34" s="463" t="s">
        <v>643</v>
      </c>
      <c r="G34" s="405" t="s">
        <v>592</v>
      </c>
      <c r="H34" s="400" t="s">
        <v>584</v>
      </c>
      <c r="I34" s="180">
        <f t="shared" si="0"/>
        <v>420000</v>
      </c>
      <c r="J34" s="407" t="s">
        <v>585</v>
      </c>
      <c r="K34" s="183">
        <f t="shared" si="1"/>
        <v>300000</v>
      </c>
      <c r="L34" s="407" t="s">
        <v>700</v>
      </c>
      <c r="M34" s="181">
        <f t="shared" si="2"/>
        <v>300000</v>
      </c>
      <c r="N34" s="181">
        <f t="shared" si="3"/>
        <v>1020000</v>
      </c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5"/>
      <c r="BB34" s="175"/>
      <c r="BC34" s="175"/>
      <c r="BD34" s="175"/>
      <c r="BE34" s="175"/>
      <c r="BF34" s="175"/>
      <c r="BG34" s="175"/>
      <c r="BH34" s="175"/>
      <c r="BI34" s="175"/>
      <c r="BJ34" s="175"/>
      <c r="BK34" s="175"/>
      <c r="BL34" s="175"/>
      <c r="BM34" s="175"/>
      <c r="BN34" s="175"/>
      <c r="BO34" s="175"/>
      <c r="BP34" s="175"/>
      <c r="BQ34" s="175"/>
      <c r="BR34" s="175"/>
      <c r="BS34" s="175"/>
      <c r="BT34" s="175"/>
      <c r="BU34" s="175"/>
      <c r="BV34" s="175"/>
      <c r="BW34" s="175"/>
      <c r="BX34" s="175"/>
      <c r="BY34" s="175"/>
      <c r="BZ34" s="175"/>
      <c r="CA34" s="175"/>
      <c r="CB34" s="175"/>
      <c r="CC34" s="175"/>
      <c r="CD34" s="175"/>
      <c r="CE34" s="175"/>
      <c r="CF34" s="175"/>
      <c r="CG34" s="175"/>
      <c r="CH34" s="175"/>
      <c r="CI34" s="175"/>
      <c r="CJ34" s="175"/>
      <c r="CK34" s="175"/>
      <c r="CL34" s="175"/>
      <c r="CM34" s="175"/>
      <c r="CN34" s="175"/>
      <c r="CO34" s="175"/>
      <c r="CP34" s="175"/>
      <c r="CQ34" s="175"/>
      <c r="CR34" s="175"/>
      <c r="CS34" s="175"/>
      <c r="CT34" s="175"/>
      <c r="CU34" s="175"/>
      <c r="CV34" s="175"/>
      <c r="CW34" s="175"/>
      <c r="CX34" s="175"/>
      <c r="CY34" s="175"/>
      <c r="CZ34" s="175"/>
      <c r="DA34" s="175"/>
      <c r="DB34" s="175"/>
      <c r="DC34" s="175"/>
      <c r="DD34" s="175"/>
      <c r="DE34" s="175"/>
      <c r="DF34" s="175"/>
      <c r="DG34" s="175"/>
      <c r="DH34" s="175"/>
      <c r="DI34" s="175"/>
      <c r="DJ34" s="175"/>
      <c r="DK34" s="175"/>
      <c r="DL34" s="175"/>
      <c r="DM34" s="175"/>
      <c r="DN34" s="175"/>
      <c r="DO34" s="175"/>
      <c r="DP34" s="175"/>
      <c r="DQ34" s="175"/>
      <c r="DR34" s="175"/>
      <c r="DS34" s="175"/>
      <c r="DT34" s="175"/>
      <c r="DU34" s="175"/>
      <c r="DV34" s="175"/>
      <c r="DW34" s="175"/>
      <c r="DX34" s="175"/>
      <c r="DY34" s="175"/>
      <c r="DZ34" s="175"/>
      <c r="EA34" s="175"/>
      <c r="EB34" s="175"/>
      <c r="EC34" s="175"/>
      <c r="ED34" s="175"/>
      <c r="EE34" s="175"/>
      <c r="EF34" s="175"/>
      <c r="EG34" s="175"/>
      <c r="EH34" s="175"/>
      <c r="EI34" s="175"/>
      <c r="EJ34" s="175"/>
      <c r="EK34" s="175"/>
      <c r="EL34" s="175"/>
      <c r="EM34" s="175"/>
      <c r="EN34" s="175"/>
      <c r="EO34" s="175"/>
      <c r="EP34" s="175"/>
      <c r="EQ34" s="175"/>
      <c r="ER34" s="175"/>
      <c r="ES34" s="175"/>
      <c r="ET34" s="175"/>
      <c r="EU34" s="175"/>
      <c r="EV34" s="175"/>
      <c r="EW34" s="175"/>
      <c r="EX34" s="175"/>
      <c r="EY34" s="175"/>
      <c r="EZ34" s="175"/>
      <c r="FA34" s="175"/>
      <c r="FB34" s="175"/>
      <c r="FC34" s="175"/>
      <c r="FD34" s="175"/>
      <c r="FE34" s="175"/>
      <c r="FF34" s="175"/>
      <c r="FG34" s="175"/>
      <c r="FH34" s="175"/>
      <c r="FI34" s="175"/>
      <c r="FJ34" s="175"/>
      <c r="FK34" s="175"/>
      <c r="FL34" s="175"/>
      <c r="FM34" s="175"/>
      <c r="FN34" s="175"/>
      <c r="FO34" s="175"/>
      <c r="FP34" s="175"/>
      <c r="FQ34" s="175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/>
      <c r="GL34" s="175"/>
      <c r="GM34" s="175"/>
      <c r="GN34" s="175"/>
      <c r="GO34" s="175"/>
      <c r="GP34" s="175"/>
      <c r="GQ34" s="175"/>
      <c r="GR34" s="175"/>
      <c r="GS34" s="175"/>
      <c r="GT34" s="175"/>
      <c r="GU34" s="175"/>
      <c r="GV34" s="175"/>
      <c r="GW34" s="175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  <c r="HN34" s="175"/>
      <c r="HO34" s="175"/>
      <c r="HP34" s="175"/>
      <c r="HQ34" s="175"/>
      <c r="HR34" s="175"/>
      <c r="HS34" s="175"/>
      <c r="HT34" s="175"/>
      <c r="HU34" s="175"/>
      <c r="HV34" s="175"/>
      <c r="HW34" s="175"/>
      <c r="HX34" s="175"/>
      <c r="HY34" s="175"/>
      <c r="HZ34" s="175"/>
      <c r="IA34" s="175"/>
      <c r="IB34" s="175"/>
      <c r="IC34" s="175"/>
      <c r="ID34" s="175"/>
      <c r="IE34" s="175"/>
      <c r="IF34" s="175"/>
      <c r="IG34" s="175"/>
      <c r="IH34" s="175"/>
      <c r="II34" s="175"/>
      <c r="IJ34" s="175"/>
      <c r="IK34" s="175"/>
      <c r="IL34" s="175"/>
      <c r="IM34" s="175"/>
      <c r="IN34" s="175"/>
      <c r="IO34" s="175"/>
      <c r="IP34" s="175"/>
      <c r="IQ34" s="175"/>
    </row>
    <row r="35" spans="1:251" s="456" customFormat="1" ht="21.75" customHeight="1">
      <c r="A35" s="179">
        <v>28</v>
      </c>
      <c r="B35" s="403" t="s">
        <v>641</v>
      </c>
      <c r="C35" s="404" t="s">
        <v>642</v>
      </c>
      <c r="D35" s="405"/>
      <c r="E35" s="405">
        <v>72</v>
      </c>
      <c r="F35" s="463" t="s">
        <v>644</v>
      </c>
      <c r="G35" s="405" t="s">
        <v>599</v>
      </c>
      <c r="H35" s="400" t="s">
        <v>584</v>
      </c>
      <c r="I35" s="452">
        <f t="shared" si="0"/>
        <v>420000</v>
      </c>
      <c r="J35" s="407" t="s">
        <v>585</v>
      </c>
      <c r="K35" s="453">
        <f t="shared" si="1"/>
        <v>300000</v>
      </c>
      <c r="L35" s="407" t="s">
        <v>703</v>
      </c>
      <c r="M35" s="454">
        <f t="shared" si="2"/>
        <v>300000</v>
      </c>
      <c r="N35" s="454">
        <f t="shared" si="3"/>
        <v>1020000</v>
      </c>
      <c r="O35" s="455"/>
      <c r="P35" s="455"/>
      <c r="Q35" s="455"/>
      <c r="R35" s="455"/>
      <c r="S35" s="455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55"/>
      <c r="AJ35" s="455"/>
      <c r="AK35" s="455"/>
      <c r="AL35" s="455"/>
      <c r="AM35" s="455"/>
      <c r="AN35" s="455"/>
      <c r="AO35" s="455"/>
      <c r="AP35" s="455"/>
      <c r="AQ35" s="455"/>
      <c r="AR35" s="455"/>
      <c r="AS35" s="455"/>
      <c r="AT35" s="455"/>
      <c r="AU35" s="455"/>
      <c r="AV35" s="455"/>
      <c r="AW35" s="455"/>
      <c r="AX35" s="455"/>
      <c r="AY35" s="455"/>
      <c r="AZ35" s="455"/>
      <c r="BA35" s="455"/>
      <c r="BB35" s="455"/>
      <c r="BC35" s="455"/>
      <c r="BD35" s="455"/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  <c r="BR35" s="455"/>
      <c r="BS35" s="455"/>
      <c r="BT35" s="455"/>
      <c r="BU35" s="455"/>
      <c r="BV35" s="455"/>
      <c r="BW35" s="455"/>
      <c r="BX35" s="455"/>
      <c r="BY35" s="455"/>
      <c r="BZ35" s="455"/>
      <c r="CA35" s="455"/>
      <c r="CB35" s="455"/>
      <c r="CC35" s="455"/>
      <c r="CD35" s="455"/>
      <c r="CE35" s="455"/>
      <c r="CF35" s="455"/>
      <c r="CG35" s="455"/>
      <c r="CH35" s="455"/>
      <c r="CI35" s="455"/>
      <c r="CJ35" s="455"/>
      <c r="CK35" s="455"/>
      <c r="CL35" s="455"/>
      <c r="CM35" s="455"/>
      <c r="CN35" s="455"/>
      <c r="CO35" s="455"/>
      <c r="CP35" s="455"/>
      <c r="CQ35" s="455"/>
      <c r="CR35" s="455"/>
      <c r="CS35" s="455"/>
      <c r="CT35" s="455"/>
      <c r="CU35" s="455"/>
      <c r="CV35" s="455"/>
      <c r="CW35" s="455"/>
      <c r="CX35" s="455"/>
      <c r="CY35" s="455"/>
      <c r="CZ35" s="455"/>
      <c r="DA35" s="455"/>
      <c r="DB35" s="455"/>
      <c r="DC35" s="455"/>
      <c r="DD35" s="455"/>
      <c r="DE35" s="455"/>
      <c r="DF35" s="455"/>
      <c r="DG35" s="455"/>
      <c r="DH35" s="455"/>
      <c r="DI35" s="455"/>
      <c r="DJ35" s="455"/>
      <c r="DK35" s="455"/>
      <c r="DL35" s="455"/>
      <c r="DM35" s="455"/>
      <c r="DN35" s="455"/>
      <c r="DO35" s="455"/>
      <c r="DP35" s="455"/>
      <c r="DQ35" s="455"/>
      <c r="DR35" s="455"/>
      <c r="DS35" s="455"/>
      <c r="DT35" s="455"/>
      <c r="DU35" s="455"/>
      <c r="DV35" s="455"/>
      <c r="DW35" s="455"/>
      <c r="DX35" s="455"/>
      <c r="DY35" s="455"/>
      <c r="DZ35" s="455"/>
      <c r="EA35" s="455"/>
      <c r="EB35" s="455"/>
      <c r="EC35" s="455"/>
      <c r="ED35" s="455"/>
      <c r="EE35" s="455"/>
      <c r="EF35" s="455"/>
      <c r="EG35" s="455"/>
      <c r="EH35" s="455"/>
      <c r="EI35" s="455"/>
      <c r="EJ35" s="455"/>
      <c r="EK35" s="455"/>
      <c r="EL35" s="455"/>
      <c r="EM35" s="455"/>
      <c r="EN35" s="455"/>
      <c r="EO35" s="455"/>
      <c r="EP35" s="455"/>
      <c r="EQ35" s="455"/>
      <c r="ER35" s="455"/>
      <c r="ES35" s="455"/>
      <c r="ET35" s="455"/>
      <c r="EU35" s="455"/>
      <c r="EV35" s="455"/>
      <c r="EW35" s="455"/>
      <c r="EX35" s="455"/>
      <c r="EY35" s="455"/>
      <c r="EZ35" s="455"/>
      <c r="FA35" s="455"/>
      <c r="FB35" s="455"/>
      <c r="FC35" s="455"/>
      <c r="FD35" s="455"/>
      <c r="FE35" s="455"/>
      <c r="FF35" s="455"/>
      <c r="FG35" s="455"/>
      <c r="FH35" s="455"/>
      <c r="FI35" s="455"/>
      <c r="FJ35" s="455"/>
      <c r="FK35" s="455"/>
      <c r="FL35" s="455"/>
      <c r="FM35" s="455"/>
      <c r="FN35" s="455"/>
      <c r="FO35" s="455"/>
      <c r="FP35" s="455"/>
      <c r="FQ35" s="455"/>
      <c r="FR35" s="455"/>
      <c r="FS35" s="455"/>
      <c r="FT35" s="455"/>
      <c r="FU35" s="455"/>
      <c r="FV35" s="455"/>
      <c r="FW35" s="455"/>
      <c r="FX35" s="455"/>
      <c r="FY35" s="455"/>
      <c r="FZ35" s="455"/>
      <c r="GA35" s="455"/>
      <c r="GB35" s="455"/>
      <c r="GC35" s="455"/>
      <c r="GD35" s="455"/>
      <c r="GE35" s="455"/>
      <c r="GF35" s="455"/>
      <c r="GG35" s="455"/>
      <c r="GH35" s="455"/>
      <c r="GI35" s="455"/>
      <c r="GJ35" s="455"/>
      <c r="GK35" s="455"/>
      <c r="GL35" s="455"/>
      <c r="GM35" s="455"/>
      <c r="GN35" s="455"/>
      <c r="GO35" s="455"/>
      <c r="GP35" s="455"/>
      <c r="GQ35" s="455"/>
      <c r="GR35" s="455"/>
      <c r="GS35" s="455"/>
      <c r="GT35" s="455"/>
      <c r="GU35" s="455"/>
      <c r="GV35" s="455"/>
      <c r="GW35" s="455"/>
      <c r="GX35" s="455"/>
      <c r="GY35" s="455"/>
      <c r="GZ35" s="455"/>
      <c r="HA35" s="455"/>
      <c r="HB35" s="455"/>
      <c r="HC35" s="455"/>
      <c r="HD35" s="455"/>
      <c r="HE35" s="455"/>
      <c r="HF35" s="455"/>
      <c r="HG35" s="455"/>
      <c r="HH35" s="455"/>
      <c r="HI35" s="455"/>
      <c r="HJ35" s="455"/>
      <c r="HK35" s="455"/>
      <c r="HL35" s="455"/>
      <c r="HM35" s="455"/>
      <c r="HN35" s="455"/>
      <c r="HO35" s="455"/>
      <c r="HP35" s="455"/>
      <c r="HQ35" s="455"/>
      <c r="HR35" s="455"/>
      <c r="HS35" s="455"/>
      <c r="HT35" s="455"/>
      <c r="HU35" s="455"/>
      <c r="HV35" s="455"/>
      <c r="HW35" s="455"/>
      <c r="HX35" s="455"/>
      <c r="HY35" s="455"/>
      <c r="HZ35" s="455"/>
      <c r="IA35" s="455"/>
      <c r="IB35" s="455"/>
      <c r="IC35" s="455"/>
      <c r="ID35" s="455"/>
      <c r="IE35" s="455"/>
      <c r="IF35" s="455"/>
      <c r="IG35" s="455"/>
      <c r="IH35" s="455"/>
      <c r="II35" s="455"/>
      <c r="IJ35" s="455"/>
      <c r="IK35" s="455"/>
      <c r="IL35" s="455"/>
      <c r="IM35" s="455"/>
      <c r="IN35" s="455"/>
      <c r="IO35" s="455"/>
      <c r="IP35" s="455"/>
      <c r="IQ35" s="455"/>
    </row>
    <row r="36" spans="1:251" s="146" customFormat="1" ht="21.75" customHeight="1">
      <c r="A36" s="179">
        <v>29</v>
      </c>
      <c r="B36" s="403" t="s">
        <v>645</v>
      </c>
      <c r="C36" s="404" t="s">
        <v>646</v>
      </c>
      <c r="D36" s="405">
        <v>63</v>
      </c>
      <c r="E36" s="405"/>
      <c r="F36" s="463" t="s">
        <v>591</v>
      </c>
      <c r="G36" s="405" t="s">
        <v>592</v>
      </c>
      <c r="H36" s="400" t="s">
        <v>584</v>
      </c>
      <c r="I36" s="180">
        <f t="shared" si="0"/>
        <v>420000</v>
      </c>
      <c r="J36" s="407" t="s">
        <v>582</v>
      </c>
      <c r="K36" s="183">
        <f t="shared" si="1"/>
        <v>300000</v>
      </c>
      <c r="L36" s="407" t="s">
        <v>698</v>
      </c>
      <c r="M36" s="181">
        <f t="shared" si="2"/>
        <v>300000</v>
      </c>
      <c r="N36" s="181">
        <f t="shared" si="3"/>
        <v>1020000</v>
      </c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5"/>
      <c r="BL36" s="175"/>
      <c r="BM36" s="175"/>
      <c r="BN36" s="175"/>
      <c r="BO36" s="175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175"/>
      <c r="DA36" s="175"/>
      <c r="DB36" s="175"/>
      <c r="DC36" s="175"/>
      <c r="DD36" s="175"/>
      <c r="DE36" s="175"/>
      <c r="DF36" s="175"/>
      <c r="DG36" s="175"/>
      <c r="DH36" s="175"/>
      <c r="DI36" s="175"/>
      <c r="DJ36" s="175"/>
      <c r="DK36" s="175"/>
      <c r="DL36" s="175"/>
      <c r="DM36" s="175"/>
      <c r="DN36" s="175"/>
      <c r="DO36" s="175"/>
      <c r="DP36" s="175"/>
      <c r="DQ36" s="175"/>
      <c r="DR36" s="175"/>
      <c r="DS36" s="175"/>
      <c r="DT36" s="175"/>
      <c r="DU36" s="175"/>
      <c r="DV36" s="175"/>
      <c r="DW36" s="175"/>
      <c r="DX36" s="175"/>
      <c r="DY36" s="175"/>
      <c r="DZ36" s="175"/>
      <c r="EA36" s="175"/>
      <c r="EB36" s="175"/>
      <c r="EC36" s="175"/>
      <c r="ED36" s="175"/>
      <c r="EE36" s="175"/>
      <c r="EF36" s="175"/>
      <c r="EG36" s="175"/>
      <c r="EH36" s="175"/>
      <c r="EI36" s="175"/>
      <c r="EJ36" s="175"/>
      <c r="EK36" s="175"/>
      <c r="EL36" s="175"/>
      <c r="EM36" s="175"/>
      <c r="EN36" s="175"/>
      <c r="EO36" s="175"/>
      <c r="EP36" s="175"/>
      <c r="EQ36" s="175"/>
      <c r="ER36" s="175"/>
      <c r="ES36" s="175"/>
      <c r="ET36" s="175"/>
      <c r="EU36" s="175"/>
      <c r="EV36" s="175"/>
      <c r="EW36" s="175"/>
      <c r="EX36" s="175"/>
      <c r="EY36" s="175"/>
      <c r="EZ36" s="175"/>
      <c r="FA36" s="175"/>
      <c r="FB36" s="175"/>
      <c r="FC36" s="175"/>
      <c r="FD36" s="175"/>
      <c r="FE36" s="175"/>
      <c r="FF36" s="175"/>
      <c r="FG36" s="175"/>
      <c r="FH36" s="175"/>
      <c r="FI36" s="175"/>
      <c r="FJ36" s="175"/>
      <c r="FK36" s="175"/>
      <c r="FL36" s="175"/>
      <c r="FM36" s="175"/>
      <c r="FN36" s="175"/>
      <c r="FO36" s="175"/>
      <c r="FP36" s="175"/>
      <c r="FQ36" s="175"/>
      <c r="FR36" s="175"/>
      <c r="FS36" s="175"/>
      <c r="FT36" s="175"/>
      <c r="FU36" s="175"/>
      <c r="FV36" s="175"/>
      <c r="FW36" s="175"/>
      <c r="FX36" s="175"/>
      <c r="FY36" s="175"/>
      <c r="FZ36" s="175"/>
      <c r="GA36" s="175"/>
      <c r="GB36" s="175"/>
      <c r="GC36" s="175"/>
      <c r="GD36" s="175"/>
      <c r="GE36" s="175"/>
      <c r="GF36" s="175"/>
      <c r="GG36" s="175"/>
      <c r="GH36" s="175"/>
      <c r="GI36" s="175"/>
      <c r="GJ36" s="175"/>
      <c r="GK36" s="175"/>
      <c r="GL36" s="175"/>
      <c r="GM36" s="175"/>
      <c r="GN36" s="175"/>
      <c r="GO36" s="175"/>
      <c r="GP36" s="175"/>
      <c r="GQ36" s="175"/>
      <c r="GR36" s="175"/>
      <c r="GS36" s="175"/>
      <c r="GT36" s="175"/>
      <c r="GU36" s="175"/>
      <c r="GV36" s="175"/>
      <c r="GW36" s="175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  <c r="HL36" s="175"/>
      <c r="HM36" s="175"/>
      <c r="HN36" s="175"/>
      <c r="HO36" s="175"/>
      <c r="HP36" s="175"/>
      <c r="HQ36" s="175"/>
      <c r="HR36" s="175"/>
      <c r="HS36" s="175"/>
      <c r="HT36" s="175"/>
      <c r="HU36" s="175"/>
      <c r="HV36" s="175"/>
      <c r="HW36" s="175"/>
      <c r="HX36" s="175"/>
      <c r="HY36" s="175"/>
      <c r="HZ36" s="175"/>
      <c r="IA36" s="175"/>
      <c r="IB36" s="175"/>
      <c r="IC36" s="175"/>
      <c r="ID36" s="175"/>
      <c r="IE36" s="175"/>
      <c r="IF36" s="175"/>
      <c r="IG36" s="175"/>
      <c r="IH36" s="175"/>
      <c r="II36" s="175"/>
      <c r="IJ36" s="175"/>
      <c r="IK36" s="175"/>
      <c r="IL36" s="175"/>
      <c r="IM36" s="175"/>
      <c r="IN36" s="175"/>
      <c r="IO36" s="175"/>
      <c r="IP36" s="175"/>
      <c r="IQ36" s="175"/>
    </row>
    <row r="37" spans="1:251" s="146" customFormat="1" ht="21.75" customHeight="1">
      <c r="A37" s="179">
        <v>30</v>
      </c>
      <c r="B37" s="403" t="s">
        <v>645</v>
      </c>
      <c r="C37" s="404" t="s">
        <v>647</v>
      </c>
      <c r="D37" s="405"/>
      <c r="E37" s="405">
        <v>60</v>
      </c>
      <c r="F37" s="463" t="s">
        <v>591</v>
      </c>
      <c r="G37" s="405" t="s">
        <v>592</v>
      </c>
      <c r="H37" s="400" t="s">
        <v>584</v>
      </c>
      <c r="I37" s="180">
        <f t="shared" si="0"/>
        <v>420000</v>
      </c>
      <c r="J37" s="407" t="s">
        <v>582</v>
      </c>
      <c r="K37" s="183">
        <f t="shared" si="1"/>
        <v>300000</v>
      </c>
      <c r="L37" s="407" t="s">
        <v>698</v>
      </c>
      <c r="M37" s="181">
        <f t="shared" si="2"/>
        <v>300000</v>
      </c>
      <c r="N37" s="181">
        <f t="shared" si="3"/>
        <v>1020000</v>
      </c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  <c r="CD37" s="175"/>
      <c r="CE37" s="175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175"/>
      <c r="DA37" s="175"/>
      <c r="DB37" s="175"/>
      <c r="DC37" s="175"/>
      <c r="DD37" s="175"/>
      <c r="DE37" s="175"/>
      <c r="DF37" s="175"/>
      <c r="DG37" s="175"/>
      <c r="DH37" s="175"/>
      <c r="DI37" s="175"/>
      <c r="DJ37" s="175"/>
      <c r="DK37" s="175"/>
      <c r="DL37" s="175"/>
      <c r="DM37" s="175"/>
      <c r="DN37" s="175"/>
      <c r="DO37" s="175"/>
      <c r="DP37" s="175"/>
      <c r="DQ37" s="175"/>
      <c r="DR37" s="175"/>
      <c r="DS37" s="175"/>
      <c r="DT37" s="175"/>
      <c r="DU37" s="175"/>
      <c r="DV37" s="175"/>
      <c r="DW37" s="175"/>
      <c r="DX37" s="175"/>
      <c r="DY37" s="175"/>
      <c r="DZ37" s="175"/>
      <c r="EA37" s="175"/>
      <c r="EB37" s="175"/>
      <c r="EC37" s="175"/>
      <c r="ED37" s="175"/>
      <c r="EE37" s="175"/>
      <c r="EF37" s="175"/>
      <c r="EG37" s="175"/>
      <c r="EH37" s="175"/>
      <c r="EI37" s="175"/>
      <c r="EJ37" s="175"/>
      <c r="EK37" s="175"/>
      <c r="EL37" s="175"/>
      <c r="EM37" s="175"/>
      <c r="EN37" s="175"/>
      <c r="EO37" s="175"/>
      <c r="EP37" s="175"/>
      <c r="EQ37" s="175"/>
      <c r="ER37" s="175"/>
      <c r="ES37" s="175"/>
      <c r="ET37" s="175"/>
      <c r="EU37" s="175"/>
      <c r="EV37" s="175"/>
      <c r="EW37" s="175"/>
      <c r="EX37" s="175"/>
      <c r="EY37" s="175"/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  <c r="HY37" s="175"/>
      <c r="HZ37" s="175"/>
      <c r="IA37" s="175"/>
      <c r="IB37" s="175"/>
      <c r="IC37" s="175"/>
      <c r="ID37" s="175"/>
      <c r="IE37" s="175"/>
      <c r="IF37" s="175"/>
      <c r="IG37" s="175"/>
      <c r="IH37" s="175"/>
      <c r="II37" s="175"/>
      <c r="IJ37" s="175"/>
      <c r="IK37" s="175"/>
      <c r="IL37" s="175"/>
      <c r="IM37" s="175"/>
      <c r="IN37" s="175"/>
      <c r="IO37" s="175"/>
      <c r="IP37" s="175"/>
      <c r="IQ37" s="175"/>
    </row>
    <row r="38" spans="1:251" s="146" customFormat="1" ht="21.75" customHeight="1">
      <c r="A38" s="179">
        <v>31</v>
      </c>
      <c r="B38" s="403" t="s">
        <v>648</v>
      </c>
      <c r="C38" s="404" t="s">
        <v>649</v>
      </c>
      <c r="D38" s="405"/>
      <c r="E38" s="405">
        <v>84</v>
      </c>
      <c r="F38" s="463" t="s">
        <v>650</v>
      </c>
      <c r="G38" s="405" t="s">
        <v>589</v>
      </c>
      <c r="H38" s="400" t="s">
        <v>582</v>
      </c>
      <c r="I38" s="180">
        <f t="shared" si="0"/>
        <v>187500</v>
      </c>
      <c r="J38" s="407" t="s">
        <v>581</v>
      </c>
      <c r="K38" s="183">
        <f t="shared" si="1"/>
        <v>135000</v>
      </c>
      <c r="L38" s="407" t="s">
        <v>698</v>
      </c>
      <c r="M38" s="181">
        <f t="shared" si="2"/>
        <v>135000</v>
      </c>
      <c r="N38" s="181">
        <f t="shared" si="3"/>
        <v>457500</v>
      </c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  <c r="CD38" s="175"/>
      <c r="CE38" s="175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175"/>
      <c r="DA38" s="175"/>
      <c r="DB38" s="175"/>
      <c r="DC38" s="175"/>
      <c r="DD38" s="175"/>
      <c r="DE38" s="175"/>
      <c r="DF38" s="175"/>
      <c r="DG38" s="175"/>
      <c r="DH38" s="175"/>
      <c r="DI38" s="175"/>
      <c r="DJ38" s="175"/>
      <c r="DK38" s="175"/>
      <c r="DL38" s="175"/>
      <c r="DM38" s="175"/>
      <c r="DN38" s="175"/>
      <c r="DO38" s="175"/>
      <c r="DP38" s="175"/>
      <c r="DQ38" s="175"/>
      <c r="DR38" s="175"/>
      <c r="DS38" s="175"/>
      <c r="DT38" s="175"/>
      <c r="DU38" s="175"/>
      <c r="DV38" s="175"/>
      <c r="DW38" s="175"/>
      <c r="DX38" s="175"/>
      <c r="DY38" s="175"/>
      <c r="DZ38" s="175"/>
      <c r="EA38" s="175"/>
      <c r="EB38" s="175"/>
      <c r="EC38" s="175"/>
      <c r="ED38" s="175"/>
      <c r="EE38" s="175"/>
      <c r="EF38" s="175"/>
      <c r="EG38" s="175"/>
      <c r="EH38" s="175"/>
      <c r="EI38" s="175"/>
      <c r="EJ38" s="175"/>
      <c r="EK38" s="175"/>
      <c r="EL38" s="175"/>
      <c r="EM38" s="175"/>
      <c r="EN38" s="175"/>
      <c r="EO38" s="175"/>
      <c r="EP38" s="175"/>
      <c r="EQ38" s="175"/>
      <c r="ER38" s="175"/>
      <c r="ES38" s="175"/>
      <c r="ET38" s="175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175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  <c r="HN38" s="175"/>
      <c r="HO38" s="175"/>
      <c r="HP38" s="175"/>
      <c r="HQ38" s="175"/>
      <c r="HR38" s="175"/>
      <c r="HS38" s="175"/>
      <c r="HT38" s="175"/>
      <c r="HU38" s="175"/>
      <c r="HV38" s="175"/>
      <c r="HW38" s="175"/>
      <c r="HX38" s="175"/>
      <c r="HY38" s="175"/>
      <c r="HZ38" s="175"/>
      <c r="IA38" s="175"/>
      <c r="IB38" s="175"/>
      <c r="IC38" s="175"/>
      <c r="ID38" s="175"/>
      <c r="IE38" s="175"/>
      <c r="IF38" s="175"/>
      <c r="IG38" s="175"/>
      <c r="IH38" s="175"/>
      <c r="II38" s="175"/>
      <c r="IJ38" s="175"/>
      <c r="IK38" s="175"/>
      <c r="IL38" s="175"/>
      <c r="IM38" s="175"/>
      <c r="IN38" s="175"/>
      <c r="IO38" s="175"/>
      <c r="IP38" s="175"/>
      <c r="IQ38" s="175"/>
    </row>
    <row r="39" spans="1:251" s="146" customFormat="1" ht="21.75" customHeight="1">
      <c r="A39" s="179">
        <v>32</v>
      </c>
      <c r="B39" s="403" t="s">
        <v>651</v>
      </c>
      <c r="C39" s="404" t="s">
        <v>652</v>
      </c>
      <c r="D39" s="405">
        <v>59</v>
      </c>
      <c r="E39" s="405"/>
      <c r="F39" s="463" t="s">
        <v>643</v>
      </c>
      <c r="G39" s="405" t="s">
        <v>592</v>
      </c>
      <c r="H39" s="400" t="s">
        <v>165</v>
      </c>
      <c r="I39" s="180">
        <f t="shared" si="0"/>
        <v>420000</v>
      </c>
      <c r="J39" s="407" t="s">
        <v>584</v>
      </c>
      <c r="K39" s="183">
        <f t="shared" si="1"/>
        <v>300000</v>
      </c>
      <c r="L39" s="407" t="s">
        <v>697</v>
      </c>
      <c r="M39" s="181">
        <f t="shared" si="2"/>
        <v>300000</v>
      </c>
      <c r="N39" s="181">
        <f t="shared" si="3"/>
        <v>1020000</v>
      </c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175"/>
      <c r="DA39" s="175"/>
      <c r="DB39" s="175"/>
      <c r="DC39" s="175"/>
      <c r="DD39" s="175"/>
      <c r="DE39" s="175"/>
      <c r="DF39" s="175"/>
      <c r="DG39" s="175"/>
      <c r="DH39" s="175"/>
      <c r="DI39" s="175"/>
      <c r="DJ39" s="175"/>
      <c r="DK39" s="175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175"/>
      <c r="DW39" s="175"/>
      <c r="DX39" s="175"/>
      <c r="DY39" s="175"/>
      <c r="DZ39" s="175"/>
      <c r="EA39" s="175"/>
      <c r="EB39" s="175"/>
      <c r="EC39" s="175"/>
      <c r="ED39" s="175"/>
      <c r="EE39" s="175"/>
      <c r="EF39" s="175"/>
      <c r="EG39" s="175"/>
      <c r="EH39" s="175"/>
      <c r="EI39" s="175"/>
      <c r="EJ39" s="175"/>
      <c r="EK39" s="175"/>
      <c r="EL39" s="175"/>
      <c r="EM39" s="175"/>
      <c r="EN39" s="175"/>
      <c r="EO39" s="175"/>
      <c r="EP39" s="175"/>
      <c r="EQ39" s="175"/>
      <c r="ER39" s="175"/>
      <c r="ES39" s="175"/>
      <c r="ET39" s="175"/>
      <c r="EU39" s="175"/>
      <c r="EV39" s="175"/>
      <c r="EW39" s="175"/>
      <c r="EX39" s="175"/>
      <c r="EY39" s="175"/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175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  <c r="HN39" s="175"/>
      <c r="HO39" s="175"/>
      <c r="HP39" s="175"/>
      <c r="HQ39" s="175"/>
      <c r="HR39" s="175"/>
      <c r="HS39" s="175"/>
      <c r="HT39" s="175"/>
      <c r="HU39" s="175"/>
      <c r="HV39" s="175"/>
      <c r="HW39" s="175"/>
      <c r="HX39" s="175"/>
      <c r="HY39" s="175"/>
      <c r="HZ39" s="175"/>
      <c r="IA39" s="175"/>
      <c r="IB39" s="175"/>
      <c r="IC39" s="175"/>
      <c r="ID39" s="175"/>
      <c r="IE39" s="175"/>
      <c r="IF39" s="175"/>
      <c r="IG39" s="175"/>
      <c r="IH39" s="175"/>
      <c r="II39" s="175"/>
      <c r="IJ39" s="175"/>
      <c r="IK39" s="175"/>
      <c r="IL39" s="175"/>
      <c r="IM39" s="175"/>
      <c r="IN39" s="175"/>
      <c r="IO39" s="175"/>
      <c r="IP39" s="175"/>
      <c r="IQ39" s="175"/>
    </row>
    <row r="40" spans="1:251" s="146" customFormat="1" ht="21.75" customHeight="1">
      <c r="A40" s="179">
        <v>33</v>
      </c>
      <c r="B40" s="403" t="s">
        <v>651</v>
      </c>
      <c r="C40" s="404" t="s">
        <v>653</v>
      </c>
      <c r="D40" s="405"/>
      <c r="E40" s="405">
        <v>74</v>
      </c>
      <c r="F40" s="463" t="s">
        <v>654</v>
      </c>
      <c r="G40" s="405" t="s">
        <v>592</v>
      </c>
      <c r="H40" s="400" t="s">
        <v>691</v>
      </c>
      <c r="I40" s="180">
        <f t="shared" ref="I40:I87" si="4">IF(G40="DTDB",420000,IF(G40="TTDB",420000,IF(G40="DT1",187500,IF(G40="TT1",187500,IF(G40="DT2",97500,IF(G40="TT2",97500,IF(G40="DT3",75000,75000)))))))</f>
        <v>420000</v>
      </c>
      <c r="J40" s="407" t="s">
        <v>584</v>
      </c>
      <c r="K40" s="183">
        <f t="shared" ref="K40:K87" si="5">IF(G40="DTDB",300000,IF(G40="TTDB",300000,IF(G40="DT1",135000,IF(G40="TT1",135000,IF(G40="DT2",75000,IF(G40="TT2",75000,IF(G40="DT3",45000,45000)))))))</f>
        <v>300000</v>
      </c>
      <c r="L40" s="407" t="s">
        <v>582</v>
      </c>
      <c r="M40" s="181">
        <f t="shared" ref="M40:M87" si="6">IF(L40="-",0,IF(G40="DTDB",300000,IF(G40="TTDB",300000,IF(G40="DT1",135000,IF(G40="TT1",135000,IF(G40="DT2",75000,IF(G40="TT2",75000,IF(G40="DT3",45000,45000))))))))</f>
        <v>300000</v>
      </c>
      <c r="N40" s="181">
        <f t="shared" ref="N40:N87" si="7">I40+K40+M40</f>
        <v>1020000</v>
      </c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75"/>
      <c r="BU40" s="175"/>
      <c r="BV40" s="175"/>
      <c r="BW40" s="175"/>
      <c r="BX40" s="175"/>
      <c r="BY40" s="175"/>
      <c r="BZ40" s="175"/>
      <c r="CA40" s="175"/>
      <c r="CB40" s="175"/>
      <c r="CC40" s="175"/>
      <c r="CD40" s="175"/>
      <c r="CE40" s="175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175"/>
      <c r="DA40" s="175"/>
      <c r="DB40" s="175"/>
      <c r="DC40" s="175"/>
      <c r="DD40" s="175"/>
      <c r="DE40" s="175"/>
      <c r="DF40" s="175"/>
      <c r="DG40" s="175"/>
      <c r="DH40" s="175"/>
      <c r="DI40" s="175"/>
      <c r="DJ40" s="175"/>
      <c r="DK40" s="175"/>
      <c r="DL40" s="175"/>
      <c r="DM40" s="175"/>
      <c r="DN40" s="175"/>
      <c r="DO40" s="175"/>
      <c r="DP40" s="175"/>
      <c r="DQ40" s="175"/>
      <c r="DR40" s="175"/>
      <c r="DS40" s="175"/>
      <c r="DT40" s="175"/>
      <c r="DU40" s="175"/>
      <c r="DV40" s="175"/>
      <c r="DW40" s="175"/>
      <c r="DX40" s="175"/>
      <c r="DY40" s="175"/>
      <c r="DZ40" s="175"/>
      <c r="EA40" s="175"/>
      <c r="EB40" s="175"/>
      <c r="EC40" s="175"/>
      <c r="ED40" s="175"/>
      <c r="EE40" s="175"/>
      <c r="EF40" s="175"/>
      <c r="EG40" s="175"/>
      <c r="EH40" s="175"/>
      <c r="EI40" s="175"/>
      <c r="EJ40" s="175"/>
      <c r="EK40" s="175"/>
      <c r="EL40" s="175"/>
      <c r="EM40" s="175"/>
      <c r="EN40" s="175"/>
      <c r="EO40" s="175"/>
      <c r="EP40" s="175"/>
      <c r="EQ40" s="175"/>
      <c r="ER40" s="175"/>
      <c r="ES40" s="175"/>
      <c r="ET40" s="175"/>
      <c r="EU40" s="175"/>
      <c r="EV40" s="175"/>
      <c r="EW40" s="175"/>
      <c r="EX40" s="175"/>
      <c r="EY40" s="175"/>
      <c r="EZ40" s="175"/>
      <c r="FA40" s="175"/>
      <c r="FB40" s="175"/>
      <c r="FC40" s="175"/>
      <c r="FD40" s="175"/>
      <c r="FE40" s="175"/>
      <c r="FF40" s="175"/>
      <c r="FG40" s="175"/>
      <c r="FH40" s="175"/>
      <c r="FI40" s="175"/>
      <c r="FJ40" s="175"/>
      <c r="FK40" s="175"/>
      <c r="FL40" s="175"/>
      <c r="FM40" s="175"/>
      <c r="FN40" s="175"/>
      <c r="FO40" s="175"/>
      <c r="FP40" s="175"/>
      <c r="FQ40" s="175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175"/>
      <c r="GK40" s="175"/>
      <c r="GL40" s="175"/>
      <c r="GM40" s="175"/>
      <c r="GN40" s="175"/>
      <c r="GO40" s="175"/>
      <c r="GP40" s="175"/>
      <c r="GQ40" s="175"/>
      <c r="GR40" s="175"/>
      <c r="GS40" s="175"/>
      <c r="GT40" s="175"/>
      <c r="GU40" s="175"/>
      <c r="GV40" s="175"/>
      <c r="GW40" s="175"/>
      <c r="GX40" s="175"/>
      <c r="GY40" s="175"/>
      <c r="GZ40" s="175"/>
      <c r="HA40" s="175"/>
      <c r="HB40" s="175"/>
      <c r="HC40" s="175"/>
      <c r="HD40" s="175"/>
      <c r="HE40" s="175"/>
      <c r="HF40" s="175"/>
      <c r="HG40" s="175"/>
      <c r="HH40" s="175"/>
      <c r="HI40" s="175"/>
      <c r="HJ40" s="175"/>
      <c r="HK40" s="175"/>
      <c r="HL40" s="175"/>
      <c r="HM40" s="175"/>
      <c r="HN40" s="175"/>
      <c r="HO40" s="175"/>
      <c r="HP40" s="175"/>
      <c r="HQ40" s="175"/>
      <c r="HR40" s="175"/>
      <c r="HS40" s="175"/>
      <c r="HT40" s="175"/>
      <c r="HU40" s="175"/>
      <c r="HV40" s="175"/>
      <c r="HW40" s="175"/>
      <c r="HX40" s="175"/>
      <c r="HY40" s="175"/>
      <c r="HZ40" s="175"/>
      <c r="IA40" s="175"/>
      <c r="IB40" s="175"/>
      <c r="IC40" s="175"/>
      <c r="ID40" s="175"/>
      <c r="IE40" s="175"/>
      <c r="IF40" s="175"/>
      <c r="IG40" s="175"/>
      <c r="IH40" s="175"/>
      <c r="II40" s="175"/>
      <c r="IJ40" s="175"/>
      <c r="IK40" s="175"/>
      <c r="IL40" s="175"/>
      <c r="IM40" s="175"/>
      <c r="IN40" s="175"/>
      <c r="IO40" s="175"/>
      <c r="IP40" s="175"/>
      <c r="IQ40" s="175"/>
    </row>
    <row r="41" spans="1:251" s="146" customFormat="1" ht="21.75" customHeight="1">
      <c r="A41" s="179">
        <v>34</v>
      </c>
      <c r="B41" s="403" t="s">
        <v>651</v>
      </c>
      <c r="C41" s="404" t="s">
        <v>655</v>
      </c>
      <c r="D41" s="405"/>
      <c r="E41" s="405">
        <v>77</v>
      </c>
      <c r="F41" s="463" t="s">
        <v>656</v>
      </c>
      <c r="G41" s="405" t="s">
        <v>599</v>
      </c>
      <c r="H41" s="400" t="s">
        <v>582</v>
      </c>
      <c r="I41" s="180">
        <f t="shared" si="4"/>
        <v>420000</v>
      </c>
      <c r="J41" s="407" t="s">
        <v>697</v>
      </c>
      <c r="K41" s="183">
        <f t="shared" si="5"/>
        <v>300000</v>
      </c>
      <c r="L41" s="407" t="s">
        <v>703</v>
      </c>
      <c r="M41" s="181">
        <f t="shared" si="6"/>
        <v>300000</v>
      </c>
      <c r="N41" s="181">
        <f t="shared" si="7"/>
        <v>1020000</v>
      </c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5"/>
      <c r="CA41" s="175"/>
      <c r="CB41" s="175"/>
      <c r="CC41" s="175"/>
      <c r="CD41" s="175"/>
      <c r="CE41" s="175"/>
      <c r="CF41" s="175"/>
      <c r="CG41" s="175"/>
      <c r="CH41" s="175"/>
      <c r="CI41" s="175"/>
      <c r="CJ41" s="175"/>
      <c r="CK41" s="175"/>
      <c r="CL41" s="175"/>
      <c r="CM41" s="175"/>
      <c r="CN41" s="175"/>
      <c r="CO41" s="175"/>
      <c r="CP41" s="175"/>
      <c r="CQ41" s="175"/>
      <c r="CR41" s="175"/>
      <c r="CS41" s="175"/>
      <c r="CT41" s="175"/>
      <c r="CU41" s="175"/>
      <c r="CV41" s="175"/>
      <c r="CW41" s="175"/>
      <c r="CX41" s="175"/>
      <c r="CY41" s="175"/>
      <c r="CZ41" s="175"/>
      <c r="DA41" s="175"/>
      <c r="DB41" s="175"/>
      <c r="DC41" s="175"/>
      <c r="DD41" s="175"/>
      <c r="DE41" s="175"/>
      <c r="DF41" s="175"/>
      <c r="DG41" s="175"/>
      <c r="DH41" s="175"/>
      <c r="DI41" s="175"/>
      <c r="DJ41" s="175"/>
      <c r="DK41" s="175"/>
      <c r="DL41" s="175"/>
      <c r="DM41" s="175"/>
      <c r="DN41" s="175"/>
      <c r="DO41" s="175"/>
      <c r="DP41" s="175"/>
      <c r="DQ41" s="175"/>
      <c r="DR41" s="175"/>
      <c r="DS41" s="175"/>
      <c r="DT41" s="175"/>
      <c r="DU41" s="175"/>
      <c r="DV41" s="175"/>
      <c r="DW41" s="175"/>
      <c r="DX41" s="175"/>
      <c r="DY41" s="175"/>
      <c r="DZ41" s="175"/>
      <c r="EA41" s="175"/>
      <c r="EB41" s="175"/>
      <c r="EC41" s="175"/>
      <c r="ED41" s="175"/>
      <c r="EE41" s="175"/>
      <c r="EF41" s="175"/>
      <c r="EG41" s="175"/>
      <c r="EH41" s="175"/>
      <c r="EI41" s="175"/>
      <c r="EJ41" s="175"/>
      <c r="EK41" s="175"/>
      <c r="EL41" s="175"/>
      <c r="EM41" s="175"/>
      <c r="EN41" s="175"/>
      <c r="EO41" s="175"/>
      <c r="EP41" s="175"/>
      <c r="EQ41" s="175"/>
      <c r="ER41" s="175"/>
      <c r="ES41" s="175"/>
      <c r="ET41" s="175"/>
      <c r="EU41" s="175"/>
      <c r="EV41" s="175"/>
      <c r="EW41" s="175"/>
      <c r="EX41" s="175"/>
      <c r="EY41" s="175"/>
      <c r="EZ41" s="175"/>
      <c r="FA41" s="175"/>
      <c r="FB41" s="175"/>
      <c r="FC41" s="175"/>
      <c r="FD41" s="175"/>
      <c r="FE41" s="175"/>
      <c r="FF41" s="175"/>
      <c r="FG41" s="175"/>
      <c r="FH41" s="175"/>
      <c r="FI41" s="175"/>
      <c r="FJ41" s="175"/>
      <c r="FK41" s="175"/>
      <c r="FL41" s="175"/>
      <c r="FM41" s="175"/>
      <c r="FN41" s="175"/>
      <c r="FO41" s="175"/>
      <c r="FP41" s="175"/>
      <c r="FQ41" s="175"/>
      <c r="FR41" s="175"/>
      <c r="FS41" s="175"/>
      <c r="FT41" s="175"/>
      <c r="FU41" s="175"/>
      <c r="FV41" s="175"/>
      <c r="FW41" s="175"/>
      <c r="FX41" s="175"/>
      <c r="FY41" s="175"/>
      <c r="FZ41" s="175"/>
      <c r="GA41" s="175"/>
      <c r="GB41" s="175"/>
      <c r="GC41" s="175"/>
      <c r="GD41" s="175"/>
      <c r="GE41" s="175"/>
      <c r="GF41" s="175"/>
      <c r="GG41" s="175"/>
      <c r="GH41" s="175"/>
      <c r="GI41" s="175"/>
      <c r="GJ41" s="175"/>
      <c r="GK41" s="175"/>
      <c r="GL41" s="175"/>
      <c r="GM41" s="175"/>
      <c r="GN41" s="175"/>
      <c r="GO41" s="175"/>
      <c r="GP41" s="175"/>
      <c r="GQ41" s="175"/>
      <c r="GR41" s="175"/>
      <c r="GS41" s="175"/>
      <c r="GT41" s="175"/>
      <c r="GU41" s="175"/>
      <c r="GV41" s="175"/>
      <c r="GW41" s="175"/>
      <c r="GX41" s="175"/>
      <c r="GY41" s="175"/>
      <c r="GZ41" s="175"/>
      <c r="HA41" s="175"/>
      <c r="HB41" s="175"/>
      <c r="HC41" s="175"/>
      <c r="HD41" s="175"/>
      <c r="HE41" s="175"/>
      <c r="HF41" s="175"/>
      <c r="HG41" s="175"/>
      <c r="HH41" s="175"/>
      <c r="HI41" s="175"/>
      <c r="HJ41" s="175"/>
      <c r="HK41" s="175"/>
      <c r="HL41" s="175"/>
      <c r="HM41" s="175"/>
      <c r="HN41" s="175"/>
      <c r="HO41" s="175"/>
      <c r="HP41" s="175"/>
      <c r="HQ41" s="175"/>
      <c r="HR41" s="175"/>
      <c r="HS41" s="175"/>
      <c r="HT41" s="175"/>
      <c r="HU41" s="175"/>
      <c r="HV41" s="175"/>
      <c r="HW41" s="175"/>
      <c r="HX41" s="175"/>
      <c r="HY41" s="175"/>
      <c r="HZ41" s="175"/>
      <c r="IA41" s="175"/>
      <c r="IB41" s="175"/>
      <c r="IC41" s="175"/>
      <c r="ID41" s="175"/>
      <c r="IE41" s="175"/>
      <c r="IF41" s="175"/>
      <c r="IG41" s="175"/>
      <c r="IH41" s="175"/>
      <c r="II41" s="175"/>
      <c r="IJ41" s="175"/>
      <c r="IK41" s="175"/>
      <c r="IL41" s="175"/>
      <c r="IM41" s="175"/>
      <c r="IN41" s="175"/>
      <c r="IO41" s="175"/>
      <c r="IP41" s="175"/>
      <c r="IQ41" s="175"/>
    </row>
    <row r="42" spans="1:251" s="146" customFormat="1" ht="21.75" customHeight="1">
      <c r="A42" s="179">
        <v>35</v>
      </c>
      <c r="B42" s="403" t="s">
        <v>657</v>
      </c>
      <c r="C42" s="404" t="s">
        <v>658</v>
      </c>
      <c r="D42" s="405">
        <v>47</v>
      </c>
      <c r="E42" s="405"/>
      <c r="F42" s="463" t="s">
        <v>598</v>
      </c>
      <c r="G42" s="405" t="s">
        <v>599</v>
      </c>
      <c r="H42" s="400" t="s">
        <v>582</v>
      </c>
      <c r="I42" s="180">
        <f t="shared" si="4"/>
        <v>420000</v>
      </c>
      <c r="J42" s="407" t="s">
        <v>698</v>
      </c>
      <c r="K42" s="183">
        <f t="shared" si="5"/>
        <v>300000</v>
      </c>
      <c r="L42" s="407" t="s">
        <v>697</v>
      </c>
      <c r="M42" s="181">
        <f t="shared" si="6"/>
        <v>300000</v>
      </c>
      <c r="N42" s="181">
        <f t="shared" si="7"/>
        <v>1020000</v>
      </c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75"/>
      <c r="BU42" s="175"/>
      <c r="BV42" s="175"/>
      <c r="BW42" s="175"/>
      <c r="BX42" s="175"/>
      <c r="BY42" s="175"/>
      <c r="BZ42" s="175"/>
      <c r="CA42" s="175"/>
      <c r="CB42" s="175"/>
      <c r="CC42" s="175"/>
      <c r="CD42" s="175"/>
      <c r="CE42" s="175"/>
      <c r="CF42" s="175"/>
      <c r="CG42" s="175"/>
      <c r="CH42" s="175"/>
      <c r="CI42" s="175"/>
      <c r="CJ42" s="175"/>
      <c r="CK42" s="175"/>
      <c r="CL42" s="175"/>
      <c r="CM42" s="175"/>
      <c r="CN42" s="175"/>
      <c r="CO42" s="175"/>
      <c r="CP42" s="175"/>
      <c r="CQ42" s="175"/>
      <c r="CR42" s="175"/>
      <c r="CS42" s="175"/>
      <c r="CT42" s="175"/>
      <c r="CU42" s="175"/>
      <c r="CV42" s="175"/>
      <c r="CW42" s="175"/>
      <c r="CX42" s="175"/>
      <c r="CY42" s="175"/>
      <c r="CZ42" s="175"/>
      <c r="DA42" s="175"/>
      <c r="DB42" s="175"/>
      <c r="DC42" s="175"/>
      <c r="DD42" s="175"/>
      <c r="DE42" s="175"/>
      <c r="DF42" s="175"/>
      <c r="DG42" s="175"/>
      <c r="DH42" s="175"/>
      <c r="DI42" s="175"/>
      <c r="DJ42" s="175"/>
      <c r="DK42" s="175"/>
      <c r="DL42" s="175"/>
      <c r="DM42" s="175"/>
      <c r="DN42" s="175"/>
      <c r="DO42" s="175"/>
      <c r="DP42" s="175"/>
      <c r="DQ42" s="175"/>
      <c r="DR42" s="175"/>
      <c r="DS42" s="175"/>
      <c r="DT42" s="175"/>
      <c r="DU42" s="175"/>
      <c r="DV42" s="175"/>
      <c r="DW42" s="175"/>
      <c r="DX42" s="175"/>
      <c r="DY42" s="175"/>
      <c r="DZ42" s="175"/>
      <c r="EA42" s="175"/>
      <c r="EB42" s="175"/>
      <c r="EC42" s="175"/>
      <c r="ED42" s="175"/>
      <c r="EE42" s="175"/>
      <c r="EF42" s="175"/>
      <c r="EG42" s="175"/>
      <c r="EH42" s="175"/>
      <c r="EI42" s="175"/>
      <c r="EJ42" s="175"/>
      <c r="EK42" s="175"/>
      <c r="EL42" s="175"/>
      <c r="EM42" s="175"/>
      <c r="EN42" s="175"/>
      <c r="EO42" s="175"/>
      <c r="EP42" s="175"/>
      <c r="EQ42" s="175"/>
      <c r="ER42" s="175"/>
      <c r="ES42" s="175"/>
      <c r="ET42" s="175"/>
      <c r="EU42" s="175"/>
      <c r="EV42" s="175"/>
      <c r="EW42" s="175"/>
      <c r="EX42" s="175"/>
      <c r="EY42" s="175"/>
      <c r="EZ42" s="175"/>
      <c r="FA42" s="175"/>
      <c r="FB42" s="175"/>
      <c r="FC42" s="175"/>
      <c r="FD42" s="175"/>
      <c r="FE42" s="175"/>
      <c r="FF42" s="175"/>
      <c r="FG42" s="175"/>
      <c r="FH42" s="175"/>
      <c r="FI42" s="175"/>
      <c r="FJ42" s="175"/>
      <c r="FK42" s="175"/>
      <c r="FL42" s="175"/>
      <c r="FM42" s="175"/>
      <c r="FN42" s="175"/>
      <c r="FO42" s="175"/>
      <c r="FP42" s="175"/>
      <c r="FQ42" s="175"/>
      <c r="FR42" s="175"/>
      <c r="FS42" s="175"/>
      <c r="FT42" s="175"/>
      <c r="FU42" s="175"/>
      <c r="FV42" s="175"/>
      <c r="FW42" s="175"/>
      <c r="FX42" s="175"/>
      <c r="FY42" s="175"/>
      <c r="FZ42" s="175"/>
      <c r="GA42" s="175"/>
      <c r="GB42" s="175"/>
      <c r="GC42" s="175"/>
      <c r="GD42" s="175"/>
      <c r="GE42" s="175"/>
      <c r="GF42" s="175"/>
      <c r="GG42" s="175"/>
      <c r="GH42" s="175"/>
      <c r="GI42" s="175"/>
      <c r="GJ42" s="175"/>
      <c r="GK42" s="175"/>
      <c r="GL42" s="175"/>
      <c r="GM42" s="175"/>
      <c r="GN42" s="175"/>
      <c r="GO42" s="175"/>
      <c r="GP42" s="175"/>
      <c r="GQ42" s="175"/>
      <c r="GR42" s="175"/>
      <c r="GS42" s="175"/>
      <c r="GT42" s="175"/>
      <c r="GU42" s="175"/>
      <c r="GV42" s="175"/>
      <c r="GW42" s="175"/>
      <c r="GX42" s="175"/>
      <c r="GY42" s="175"/>
      <c r="GZ42" s="175"/>
      <c r="HA42" s="175"/>
      <c r="HB42" s="175"/>
      <c r="HC42" s="175"/>
      <c r="HD42" s="175"/>
      <c r="HE42" s="175"/>
      <c r="HF42" s="175"/>
      <c r="HG42" s="175"/>
      <c r="HH42" s="175"/>
      <c r="HI42" s="175"/>
      <c r="HJ42" s="175"/>
      <c r="HK42" s="175"/>
      <c r="HL42" s="175"/>
      <c r="HM42" s="175"/>
      <c r="HN42" s="175"/>
      <c r="HO42" s="175"/>
      <c r="HP42" s="175"/>
      <c r="HQ42" s="175"/>
      <c r="HR42" s="175"/>
      <c r="HS42" s="175"/>
      <c r="HT42" s="175"/>
      <c r="HU42" s="175"/>
      <c r="HV42" s="175"/>
      <c r="HW42" s="175"/>
      <c r="HX42" s="175"/>
      <c r="HY42" s="175"/>
      <c r="HZ42" s="175"/>
      <c r="IA42" s="175"/>
      <c r="IB42" s="175"/>
      <c r="IC42" s="175"/>
      <c r="ID42" s="175"/>
      <c r="IE42" s="175"/>
      <c r="IF42" s="175"/>
      <c r="IG42" s="175"/>
      <c r="IH42" s="175"/>
      <c r="II42" s="175"/>
      <c r="IJ42" s="175"/>
      <c r="IK42" s="175"/>
      <c r="IL42" s="175"/>
      <c r="IM42" s="175"/>
      <c r="IN42" s="175"/>
      <c r="IO42" s="175"/>
      <c r="IP42" s="175"/>
      <c r="IQ42" s="175"/>
    </row>
    <row r="43" spans="1:251" s="146" customFormat="1" ht="21.75" customHeight="1">
      <c r="A43" s="179">
        <v>36</v>
      </c>
      <c r="B43" s="403" t="s">
        <v>657</v>
      </c>
      <c r="C43" s="404" t="s">
        <v>658</v>
      </c>
      <c r="D43" s="405">
        <v>47</v>
      </c>
      <c r="E43" s="405"/>
      <c r="F43" s="463" t="s">
        <v>644</v>
      </c>
      <c r="G43" s="405" t="s">
        <v>599</v>
      </c>
      <c r="H43" s="400" t="s">
        <v>582</v>
      </c>
      <c r="I43" s="180">
        <f t="shared" si="4"/>
        <v>420000</v>
      </c>
      <c r="J43" s="407" t="s">
        <v>698</v>
      </c>
      <c r="K43" s="183">
        <f t="shared" si="5"/>
        <v>300000</v>
      </c>
      <c r="L43" s="407" t="s">
        <v>697</v>
      </c>
      <c r="M43" s="181">
        <f t="shared" si="6"/>
        <v>300000</v>
      </c>
      <c r="N43" s="181">
        <f t="shared" si="7"/>
        <v>1020000</v>
      </c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  <c r="BW43" s="175"/>
      <c r="BX43" s="175"/>
      <c r="BY43" s="175"/>
      <c r="BZ43" s="175"/>
      <c r="CA43" s="175"/>
      <c r="CB43" s="175"/>
      <c r="CC43" s="175"/>
      <c r="CD43" s="175"/>
      <c r="CE43" s="175"/>
      <c r="CF43" s="175"/>
      <c r="CG43" s="175"/>
      <c r="CH43" s="175"/>
      <c r="CI43" s="175"/>
      <c r="CJ43" s="175"/>
      <c r="CK43" s="175"/>
      <c r="CL43" s="175"/>
      <c r="CM43" s="175"/>
      <c r="CN43" s="175"/>
      <c r="CO43" s="175"/>
      <c r="CP43" s="175"/>
      <c r="CQ43" s="175"/>
      <c r="CR43" s="175"/>
      <c r="CS43" s="175"/>
      <c r="CT43" s="175"/>
      <c r="CU43" s="175"/>
      <c r="CV43" s="175"/>
      <c r="CW43" s="175"/>
      <c r="CX43" s="175"/>
      <c r="CY43" s="175"/>
      <c r="CZ43" s="175"/>
      <c r="DA43" s="175"/>
      <c r="DB43" s="175"/>
      <c r="DC43" s="175"/>
      <c r="DD43" s="175"/>
      <c r="DE43" s="175"/>
      <c r="DF43" s="175"/>
      <c r="DG43" s="175"/>
      <c r="DH43" s="175"/>
      <c r="DI43" s="175"/>
      <c r="DJ43" s="175"/>
      <c r="DK43" s="175"/>
      <c r="DL43" s="175"/>
      <c r="DM43" s="175"/>
      <c r="DN43" s="175"/>
      <c r="DO43" s="175"/>
      <c r="DP43" s="175"/>
      <c r="DQ43" s="175"/>
      <c r="DR43" s="175"/>
      <c r="DS43" s="175"/>
      <c r="DT43" s="175"/>
      <c r="DU43" s="175"/>
      <c r="DV43" s="175"/>
      <c r="DW43" s="175"/>
      <c r="DX43" s="175"/>
      <c r="DY43" s="175"/>
      <c r="DZ43" s="175"/>
      <c r="EA43" s="175"/>
      <c r="EB43" s="175"/>
      <c r="EC43" s="175"/>
      <c r="ED43" s="175"/>
      <c r="EE43" s="175"/>
      <c r="EF43" s="175"/>
      <c r="EG43" s="175"/>
      <c r="EH43" s="175"/>
      <c r="EI43" s="175"/>
      <c r="EJ43" s="175"/>
      <c r="EK43" s="175"/>
      <c r="EL43" s="175"/>
      <c r="EM43" s="175"/>
      <c r="EN43" s="175"/>
      <c r="EO43" s="175"/>
      <c r="EP43" s="175"/>
      <c r="EQ43" s="175"/>
      <c r="ER43" s="175"/>
      <c r="ES43" s="175"/>
      <c r="ET43" s="175"/>
      <c r="EU43" s="175"/>
      <c r="EV43" s="175"/>
      <c r="EW43" s="175"/>
      <c r="EX43" s="175"/>
      <c r="EY43" s="175"/>
      <c r="EZ43" s="175"/>
      <c r="FA43" s="175"/>
      <c r="FB43" s="175"/>
      <c r="FC43" s="175"/>
      <c r="FD43" s="175"/>
      <c r="FE43" s="175"/>
      <c r="FF43" s="175"/>
      <c r="FG43" s="175"/>
      <c r="FH43" s="175"/>
      <c r="FI43" s="175"/>
      <c r="FJ43" s="175"/>
      <c r="FK43" s="175"/>
      <c r="FL43" s="175"/>
      <c r="FM43" s="175"/>
      <c r="FN43" s="175"/>
      <c r="FO43" s="175"/>
      <c r="FP43" s="175"/>
      <c r="FQ43" s="175"/>
      <c r="FR43" s="175"/>
      <c r="FS43" s="175"/>
      <c r="FT43" s="175"/>
      <c r="FU43" s="175"/>
      <c r="FV43" s="175"/>
      <c r="FW43" s="175"/>
      <c r="FX43" s="175"/>
      <c r="FY43" s="175"/>
      <c r="FZ43" s="175"/>
      <c r="GA43" s="175"/>
      <c r="GB43" s="175"/>
      <c r="GC43" s="175"/>
      <c r="GD43" s="175"/>
      <c r="GE43" s="175"/>
      <c r="GF43" s="175"/>
      <c r="GG43" s="175"/>
      <c r="GH43" s="175"/>
      <c r="GI43" s="175"/>
      <c r="GJ43" s="175"/>
      <c r="GK43" s="175"/>
      <c r="GL43" s="175"/>
      <c r="GM43" s="175"/>
      <c r="GN43" s="175"/>
      <c r="GO43" s="175"/>
      <c r="GP43" s="175"/>
      <c r="GQ43" s="175"/>
      <c r="GR43" s="175"/>
      <c r="GS43" s="175"/>
      <c r="GT43" s="175"/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75"/>
      <c r="HF43" s="175"/>
      <c r="HG43" s="175"/>
      <c r="HH43" s="175"/>
      <c r="HI43" s="175"/>
      <c r="HJ43" s="175"/>
      <c r="HK43" s="175"/>
      <c r="HL43" s="175"/>
      <c r="HM43" s="175"/>
      <c r="HN43" s="175"/>
      <c r="HO43" s="175"/>
      <c r="HP43" s="175"/>
      <c r="HQ43" s="175"/>
      <c r="HR43" s="175"/>
      <c r="HS43" s="175"/>
      <c r="HT43" s="175"/>
      <c r="HU43" s="175"/>
      <c r="HV43" s="175"/>
      <c r="HW43" s="175"/>
      <c r="HX43" s="175"/>
      <c r="HY43" s="175"/>
      <c r="HZ43" s="175"/>
      <c r="IA43" s="175"/>
      <c r="IB43" s="175"/>
      <c r="IC43" s="175"/>
      <c r="ID43" s="175"/>
      <c r="IE43" s="175"/>
      <c r="IF43" s="175"/>
      <c r="IG43" s="175"/>
      <c r="IH43" s="175"/>
      <c r="II43" s="175"/>
      <c r="IJ43" s="175"/>
      <c r="IK43" s="175"/>
      <c r="IL43" s="175"/>
      <c r="IM43" s="175"/>
      <c r="IN43" s="175"/>
      <c r="IO43" s="175"/>
      <c r="IP43" s="175"/>
      <c r="IQ43" s="175"/>
    </row>
    <row r="44" spans="1:251" s="146" customFormat="1" ht="21.75" customHeight="1">
      <c r="A44" s="179">
        <v>37</v>
      </c>
      <c r="B44" s="403" t="s">
        <v>657</v>
      </c>
      <c r="C44" s="404" t="s">
        <v>659</v>
      </c>
      <c r="D44" s="405"/>
      <c r="E44" s="405">
        <v>58</v>
      </c>
      <c r="F44" s="463" t="s">
        <v>660</v>
      </c>
      <c r="G44" s="405" t="s">
        <v>599</v>
      </c>
      <c r="H44" s="400" t="s">
        <v>582</v>
      </c>
      <c r="I44" s="180">
        <f t="shared" si="4"/>
        <v>420000</v>
      </c>
      <c r="J44" s="407" t="s">
        <v>698</v>
      </c>
      <c r="K44" s="183">
        <f t="shared" si="5"/>
        <v>300000</v>
      </c>
      <c r="L44" s="407" t="s">
        <v>704</v>
      </c>
      <c r="M44" s="181">
        <f t="shared" si="6"/>
        <v>300000</v>
      </c>
      <c r="N44" s="181">
        <f t="shared" si="7"/>
        <v>1020000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  <c r="BT44" s="175"/>
      <c r="BU44" s="175"/>
      <c r="BV44" s="175"/>
      <c r="BW44" s="175"/>
      <c r="BX44" s="175"/>
      <c r="BY44" s="175"/>
      <c r="BZ44" s="175"/>
      <c r="CA44" s="175"/>
      <c r="CB44" s="175"/>
      <c r="CC44" s="175"/>
      <c r="CD44" s="175"/>
      <c r="CE44" s="175"/>
      <c r="CF44" s="175"/>
      <c r="CG44" s="175"/>
      <c r="CH44" s="175"/>
      <c r="CI44" s="175"/>
      <c r="CJ44" s="175"/>
      <c r="CK44" s="175"/>
      <c r="CL44" s="175"/>
      <c r="CM44" s="175"/>
      <c r="CN44" s="175"/>
      <c r="CO44" s="175"/>
      <c r="CP44" s="175"/>
      <c r="CQ44" s="175"/>
      <c r="CR44" s="175"/>
      <c r="CS44" s="175"/>
      <c r="CT44" s="175"/>
      <c r="CU44" s="175"/>
      <c r="CV44" s="175"/>
      <c r="CW44" s="175"/>
      <c r="CX44" s="175"/>
      <c r="CY44" s="175"/>
      <c r="CZ44" s="175"/>
      <c r="DA44" s="175"/>
      <c r="DB44" s="175"/>
      <c r="DC44" s="175"/>
      <c r="DD44" s="175"/>
      <c r="DE44" s="175"/>
      <c r="DF44" s="175"/>
      <c r="DG44" s="175"/>
      <c r="DH44" s="175"/>
      <c r="DI44" s="175"/>
      <c r="DJ44" s="175"/>
      <c r="DK44" s="175"/>
      <c r="DL44" s="175"/>
      <c r="DM44" s="175"/>
      <c r="DN44" s="175"/>
      <c r="DO44" s="175"/>
      <c r="DP44" s="175"/>
      <c r="DQ44" s="175"/>
      <c r="DR44" s="175"/>
      <c r="DS44" s="175"/>
      <c r="DT44" s="175"/>
      <c r="DU44" s="175"/>
      <c r="DV44" s="175"/>
      <c r="DW44" s="175"/>
      <c r="DX44" s="175"/>
      <c r="DY44" s="175"/>
      <c r="DZ44" s="175"/>
      <c r="EA44" s="175"/>
      <c r="EB44" s="175"/>
      <c r="EC44" s="175"/>
      <c r="ED44" s="175"/>
      <c r="EE44" s="175"/>
      <c r="EF44" s="175"/>
      <c r="EG44" s="175"/>
      <c r="EH44" s="175"/>
      <c r="EI44" s="175"/>
      <c r="EJ44" s="175"/>
      <c r="EK44" s="175"/>
      <c r="EL44" s="175"/>
      <c r="EM44" s="175"/>
      <c r="EN44" s="175"/>
      <c r="EO44" s="175"/>
      <c r="EP44" s="175"/>
      <c r="EQ44" s="175"/>
      <c r="ER44" s="175"/>
      <c r="ES44" s="175"/>
      <c r="ET44" s="175"/>
      <c r="EU44" s="175"/>
      <c r="EV44" s="175"/>
      <c r="EW44" s="175"/>
      <c r="EX44" s="175"/>
      <c r="EY44" s="175"/>
      <c r="EZ44" s="175"/>
      <c r="FA44" s="175"/>
      <c r="FB44" s="175"/>
      <c r="FC44" s="175"/>
      <c r="FD44" s="175"/>
      <c r="FE44" s="175"/>
      <c r="FF44" s="175"/>
      <c r="FG44" s="175"/>
      <c r="FH44" s="175"/>
      <c r="FI44" s="175"/>
      <c r="FJ44" s="175"/>
      <c r="FK44" s="175"/>
      <c r="FL44" s="175"/>
      <c r="FM44" s="175"/>
      <c r="FN44" s="175"/>
      <c r="FO44" s="175"/>
      <c r="FP44" s="175"/>
      <c r="FQ44" s="175"/>
      <c r="FR44" s="175"/>
      <c r="FS44" s="175"/>
      <c r="FT44" s="175"/>
      <c r="FU44" s="175"/>
      <c r="FV44" s="175"/>
      <c r="FW44" s="175"/>
      <c r="FX44" s="175"/>
      <c r="FY44" s="175"/>
      <c r="FZ44" s="175"/>
      <c r="GA44" s="175"/>
      <c r="GB44" s="175"/>
      <c r="GC44" s="175"/>
      <c r="GD44" s="175"/>
      <c r="GE44" s="175"/>
      <c r="GF44" s="175"/>
      <c r="GG44" s="175"/>
      <c r="GH44" s="175"/>
      <c r="GI44" s="175"/>
      <c r="GJ44" s="175"/>
      <c r="GK44" s="175"/>
      <c r="GL44" s="175"/>
      <c r="GM44" s="175"/>
      <c r="GN44" s="175"/>
      <c r="GO44" s="175"/>
      <c r="GP44" s="175"/>
      <c r="GQ44" s="175"/>
      <c r="GR44" s="175"/>
      <c r="GS44" s="175"/>
      <c r="GT44" s="175"/>
      <c r="GU44" s="175"/>
      <c r="GV44" s="175"/>
      <c r="GW44" s="175"/>
      <c r="GX44" s="175"/>
      <c r="GY44" s="175"/>
      <c r="GZ44" s="175"/>
      <c r="HA44" s="175"/>
      <c r="HB44" s="175"/>
      <c r="HC44" s="175"/>
      <c r="HD44" s="175"/>
      <c r="HE44" s="175"/>
      <c r="HF44" s="175"/>
      <c r="HG44" s="175"/>
      <c r="HH44" s="175"/>
      <c r="HI44" s="175"/>
      <c r="HJ44" s="175"/>
      <c r="HK44" s="175"/>
      <c r="HL44" s="175"/>
      <c r="HM44" s="175"/>
      <c r="HN44" s="175"/>
      <c r="HO44" s="175"/>
      <c r="HP44" s="175"/>
      <c r="HQ44" s="175"/>
      <c r="HR44" s="175"/>
      <c r="HS44" s="175"/>
      <c r="HT44" s="175"/>
      <c r="HU44" s="175"/>
      <c r="HV44" s="175"/>
      <c r="HW44" s="175"/>
      <c r="HX44" s="175"/>
      <c r="HY44" s="175"/>
      <c r="HZ44" s="175"/>
      <c r="IA44" s="175"/>
      <c r="IB44" s="175"/>
      <c r="IC44" s="175"/>
      <c r="ID44" s="175"/>
      <c r="IE44" s="175"/>
      <c r="IF44" s="175"/>
      <c r="IG44" s="175"/>
      <c r="IH44" s="175"/>
      <c r="II44" s="175"/>
      <c r="IJ44" s="175"/>
      <c r="IK44" s="175"/>
      <c r="IL44" s="175"/>
      <c r="IM44" s="175"/>
      <c r="IN44" s="175"/>
      <c r="IO44" s="175"/>
      <c r="IP44" s="175"/>
      <c r="IQ44" s="175"/>
    </row>
    <row r="45" spans="1:251" s="146" customFormat="1" ht="21.75" customHeight="1">
      <c r="A45" s="179">
        <v>38</v>
      </c>
      <c r="B45" s="403" t="s">
        <v>661</v>
      </c>
      <c r="C45" s="404" t="s">
        <v>662</v>
      </c>
      <c r="D45" s="405"/>
      <c r="E45" s="405">
        <v>77</v>
      </c>
      <c r="F45" s="463" t="s">
        <v>650</v>
      </c>
      <c r="G45" s="405" t="s">
        <v>589</v>
      </c>
      <c r="H45" s="400" t="s">
        <v>584</v>
      </c>
      <c r="I45" s="180">
        <f t="shared" si="4"/>
        <v>187500</v>
      </c>
      <c r="J45" s="407" t="s">
        <v>582</v>
      </c>
      <c r="K45" s="183">
        <f t="shared" si="5"/>
        <v>135000</v>
      </c>
      <c r="L45" s="407" t="s">
        <v>581</v>
      </c>
      <c r="M45" s="181">
        <f t="shared" si="6"/>
        <v>135000</v>
      </c>
      <c r="N45" s="181">
        <f t="shared" si="7"/>
        <v>457500</v>
      </c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75"/>
      <c r="BU45" s="175"/>
      <c r="BV45" s="175"/>
      <c r="BW45" s="175"/>
      <c r="BX45" s="175"/>
      <c r="BY45" s="175"/>
      <c r="BZ45" s="175"/>
      <c r="CA45" s="175"/>
      <c r="CB45" s="175"/>
      <c r="CC45" s="175"/>
      <c r="CD45" s="175"/>
      <c r="CE45" s="175"/>
      <c r="CF45" s="175"/>
      <c r="CG45" s="175"/>
      <c r="CH45" s="175"/>
      <c r="CI45" s="175"/>
      <c r="CJ45" s="175"/>
      <c r="CK45" s="175"/>
      <c r="CL45" s="175"/>
      <c r="CM45" s="175"/>
      <c r="CN45" s="175"/>
      <c r="CO45" s="175"/>
      <c r="CP45" s="175"/>
      <c r="CQ45" s="175"/>
      <c r="CR45" s="175"/>
      <c r="CS45" s="175"/>
      <c r="CT45" s="175"/>
      <c r="CU45" s="175"/>
      <c r="CV45" s="175"/>
      <c r="CW45" s="175"/>
      <c r="CX45" s="175"/>
      <c r="CY45" s="175"/>
      <c r="CZ45" s="175"/>
      <c r="DA45" s="175"/>
      <c r="DB45" s="175"/>
      <c r="DC45" s="175"/>
      <c r="DD45" s="175"/>
      <c r="DE45" s="175"/>
      <c r="DF45" s="175"/>
      <c r="DG45" s="175"/>
      <c r="DH45" s="175"/>
      <c r="DI45" s="175"/>
      <c r="DJ45" s="175"/>
      <c r="DK45" s="175"/>
      <c r="DL45" s="175"/>
      <c r="DM45" s="175"/>
      <c r="DN45" s="175"/>
      <c r="DO45" s="175"/>
      <c r="DP45" s="175"/>
      <c r="DQ45" s="175"/>
      <c r="DR45" s="175"/>
      <c r="DS45" s="175"/>
      <c r="DT45" s="175"/>
      <c r="DU45" s="175"/>
      <c r="DV45" s="175"/>
      <c r="DW45" s="175"/>
      <c r="DX45" s="175"/>
      <c r="DY45" s="175"/>
      <c r="DZ45" s="175"/>
      <c r="EA45" s="175"/>
      <c r="EB45" s="175"/>
      <c r="EC45" s="175"/>
      <c r="ED45" s="175"/>
      <c r="EE45" s="175"/>
      <c r="EF45" s="175"/>
      <c r="EG45" s="175"/>
      <c r="EH45" s="175"/>
      <c r="EI45" s="175"/>
      <c r="EJ45" s="175"/>
      <c r="EK45" s="175"/>
      <c r="EL45" s="175"/>
      <c r="EM45" s="175"/>
      <c r="EN45" s="175"/>
      <c r="EO45" s="175"/>
      <c r="EP45" s="175"/>
      <c r="EQ45" s="175"/>
      <c r="ER45" s="175"/>
      <c r="ES45" s="175"/>
      <c r="ET45" s="175"/>
      <c r="EU45" s="175"/>
      <c r="EV45" s="175"/>
      <c r="EW45" s="175"/>
      <c r="EX45" s="175"/>
      <c r="EY45" s="175"/>
      <c r="EZ45" s="175"/>
      <c r="FA45" s="175"/>
      <c r="FB45" s="175"/>
      <c r="FC45" s="175"/>
      <c r="FD45" s="175"/>
      <c r="FE45" s="175"/>
      <c r="FF45" s="175"/>
      <c r="FG45" s="175"/>
      <c r="FH45" s="175"/>
      <c r="FI45" s="175"/>
      <c r="FJ45" s="175"/>
      <c r="FK45" s="175"/>
      <c r="FL45" s="175"/>
      <c r="FM45" s="175"/>
      <c r="FN45" s="175"/>
      <c r="FO45" s="175"/>
      <c r="FP45" s="175"/>
      <c r="FQ45" s="175"/>
      <c r="FR45" s="175"/>
      <c r="FS45" s="175"/>
      <c r="FT45" s="175"/>
      <c r="FU45" s="175"/>
      <c r="FV45" s="175"/>
      <c r="FW45" s="175"/>
      <c r="FX45" s="175"/>
      <c r="FY45" s="175"/>
      <c r="FZ45" s="175"/>
      <c r="GA45" s="175"/>
      <c r="GB45" s="175"/>
      <c r="GC45" s="175"/>
      <c r="GD45" s="175"/>
      <c r="GE45" s="175"/>
      <c r="GF45" s="175"/>
      <c r="GG45" s="175"/>
      <c r="GH45" s="175"/>
      <c r="GI45" s="175"/>
      <c r="GJ45" s="175"/>
      <c r="GK45" s="175"/>
      <c r="GL45" s="175"/>
      <c r="GM45" s="175"/>
      <c r="GN45" s="175"/>
      <c r="GO45" s="175"/>
      <c r="GP45" s="175"/>
      <c r="GQ45" s="175"/>
      <c r="GR45" s="175"/>
      <c r="GS45" s="175"/>
      <c r="GT45" s="175"/>
      <c r="GU45" s="175"/>
      <c r="GV45" s="175"/>
      <c r="GW45" s="175"/>
      <c r="GX45" s="175"/>
      <c r="GY45" s="175"/>
      <c r="GZ45" s="175"/>
      <c r="HA45" s="175"/>
      <c r="HB45" s="175"/>
      <c r="HC45" s="175"/>
      <c r="HD45" s="175"/>
      <c r="HE45" s="175"/>
      <c r="HF45" s="175"/>
      <c r="HG45" s="175"/>
      <c r="HH45" s="175"/>
      <c r="HI45" s="175"/>
      <c r="HJ45" s="175"/>
      <c r="HK45" s="175"/>
      <c r="HL45" s="175"/>
      <c r="HM45" s="175"/>
      <c r="HN45" s="175"/>
      <c r="HO45" s="175"/>
      <c r="HP45" s="175"/>
      <c r="HQ45" s="175"/>
      <c r="HR45" s="175"/>
      <c r="HS45" s="175"/>
      <c r="HT45" s="175"/>
      <c r="HU45" s="175"/>
      <c r="HV45" s="175"/>
      <c r="HW45" s="175"/>
      <c r="HX45" s="175"/>
      <c r="HY45" s="175"/>
      <c r="HZ45" s="175"/>
      <c r="IA45" s="175"/>
      <c r="IB45" s="175"/>
      <c r="IC45" s="175"/>
      <c r="ID45" s="175"/>
      <c r="IE45" s="175"/>
      <c r="IF45" s="175"/>
      <c r="IG45" s="175"/>
      <c r="IH45" s="175"/>
      <c r="II45" s="175"/>
      <c r="IJ45" s="175"/>
      <c r="IK45" s="175"/>
      <c r="IL45" s="175"/>
      <c r="IM45" s="175"/>
      <c r="IN45" s="175"/>
      <c r="IO45" s="175"/>
      <c r="IP45" s="175"/>
      <c r="IQ45" s="175"/>
    </row>
    <row r="46" spans="1:251" s="146" customFormat="1" ht="21.75" customHeight="1">
      <c r="A46" s="179">
        <v>39</v>
      </c>
      <c r="B46" s="403" t="s">
        <v>661</v>
      </c>
      <c r="C46" s="404" t="s">
        <v>663</v>
      </c>
      <c r="D46" s="405"/>
      <c r="E46" s="405">
        <v>61</v>
      </c>
      <c r="F46" s="463" t="s">
        <v>598</v>
      </c>
      <c r="G46" s="405" t="s">
        <v>599</v>
      </c>
      <c r="H46" s="400" t="s">
        <v>582</v>
      </c>
      <c r="I46" s="180">
        <f t="shared" si="4"/>
        <v>420000</v>
      </c>
      <c r="J46" s="407" t="s">
        <v>581</v>
      </c>
      <c r="K46" s="183">
        <f t="shared" si="5"/>
        <v>300000</v>
      </c>
      <c r="L46" s="407" t="s">
        <v>585</v>
      </c>
      <c r="M46" s="181">
        <f t="shared" si="6"/>
        <v>300000</v>
      </c>
      <c r="N46" s="181">
        <f t="shared" si="7"/>
        <v>1020000</v>
      </c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  <c r="BT46" s="175"/>
      <c r="BU46" s="175"/>
      <c r="BV46" s="175"/>
      <c r="BW46" s="175"/>
      <c r="BX46" s="175"/>
      <c r="BY46" s="175"/>
      <c r="BZ46" s="175"/>
      <c r="CA46" s="175"/>
      <c r="CB46" s="175"/>
      <c r="CC46" s="175"/>
      <c r="CD46" s="175"/>
      <c r="CE46" s="175"/>
      <c r="CF46" s="175"/>
      <c r="CG46" s="175"/>
      <c r="CH46" s="175"/>
      <c r="CI46" s="175"/>
      <c r="CJ46" s="175"/>
      <c r="CK46" s="175"/>
      <c r="CL46" s="175"/>
      <c r="CM46" s="175"/>
      <c r="CN46" s="175"/>
      <c r="CO46" s="175"/>
      <c r="CP46" s="175"/>
      <c r="CQ46" s="175"/>
      <c r="CR46" s="175"/>
      <c r="CS46" s="175"/>
      <c r="CT46" s="175"/>
      <c r="CU46" s="175"/>
      <c r="CV46" s="175"/>
      <c r="CW46" s="175"/>
      <c r="CX46" s="175"/>
      <c r="CY46" s="175"/>
      <c r="CZ46" s="175"/>
      <c r="DA46" s="175"/>
      <c r="DB46" s="175"/>
      <c r="DC46" s="175"/>
      <c r="DD46" s="175"/>
      <c r="DE46" s="175"/>
      <c r="DF46" s="175"/>
      <c r="DG46" s="175"/>
      <c r="DH46" s="175"/>
      <c r="DI46" s="175"/>
      <c r="DJ46" s="175"/>
      <c r="DK46" s="175"/>
      <c r="DL46" s="175"/>
      <c r="DM46" s="175"/>
      <c r="DN46" s="175"/>
      <c r="DO46" s="175"/>
      <c r="DP46" s="175"/>
      <c r="DQ46" s="175"/>
      <c r="DR46" s="175"/>
      <c r="DS46" s="175"/>
      <c r="DT46" s="175"/>
      <c r="DU46" s="175"/>
      <c r="DV46" s="175"/>
      <c r="DW46" s="175"/>
      <c r="DX46" s="175"/>
      <c r="DY46" s="175"/>
      <c r="DZ46" s="175"/>
      <c r="EA46" s="175"/>
      <c r="EB46" s="175"/>
      <c r="EC46" s="175"/>
      <c r="ED46" s="175"/>
      <c r="EE46" s="175"/>
      <c r="EF46" s="175"/>
      <c r="EG46" s="175"/>
      <c r="EH46" s="175"/>
      <c r="EI46" s="175"/>
      <c r="EJ46" s="175"/>
      <c r="EK46" s="175"/>
      <c r="EL46" s="175"/>
      <c r="EM46" s="175"/>
      <c r="EN46" s="175"/>
      <c r="EO46" s="175"/>
      <c r="EP46" s="175"/>
      <c r="EQ46" s="175"/>
      <c r="ER46" s="175"/>
      <c r="ES46" s="175"/>
      <c r="ET46" s="175"/>
      <c r="EU46" s="175"/>
      <c r="EV46" s="175"/>
      <c r="EW46" s="175"/>
      <c r="EX46" s="175"/>
      <c r="EY46" s="175"/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175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  <c r="GH46" s="175"/>
      <c r="GI46" s="175"/>
      <c r="GJ46" s="175"/>
      <c r="GK46" s="175"/>
      <c r="GL46" s="175"/>
      <c r="GM46" s="175"/>
      <c r="GN46" s="175"/>
      <c r="GO46" s="175"/>
      <c r="GP46" s="175"/>
      <c r="GQ46" s="175"/>
      <c r="GR46" s="175"/>
      <c r="GS46" s="175"/>
      <c r="GT46" s="175"/>
      <c r="GU46" s="175"/>
      <c r="GV46" s="175"/>
      <c r="GW46" s="175"/>
      <c r="GX46" s="175"/>
      <c r="GY46" s="175"/>
      <c r="GZ46" s="175"/>
      <c r="HA46" s="175"/>
      <c r="HB46" s="175"/>
      <c r="HC46" s="175"/>
      <c r="HD46" s="175"/>
      <c r="HE46" s="175"/>
      <c r="HF46" s="175"/>
      <c r="HG46" s="175"/>
      <c r="HH46" s="175"/>
      <c r="HI46" s="175"/>
      <c r="HJ46" s="175"/>
      <c r="HK46" s="175"/>
      <c r="HL46" s="175"/>
      <c r="HM46" s="175"/>
      <c r="HN46" s="175"/>
      <c r="HO46" s="175"/>
      <c r="HP46" s="175"/>
      <c r="HQ46" s="175"/>
      <c r="HR46" s="175"/>
      <c r="HS46" s="175"/>
      <c r="HT46" s="175"/>
      <c r="HU46" s="175"/>
      <c r="HV46" s="175"/>
      <c r="HW46" s="175"/>
      <c r="HX46" s="175"/>
      <c r="HY46" s="175"/>
      <c r="HZ46" s="175"/>
      <c r="IA46" s="175"/>
      <c r="IB46" s="175"/>
      <c r="IC46" s="175"/>
      <c r="ID46" s="175"/>
      <c r="IE46" s="175"/>
      <c r="IF46" s="175"/>
      <c r="IG46" s="175"/>
      <c r="IH46" s="175"/>
      <c r="II46" s="175"/>
      <c r="IJ46" s="175"/>
      <c r="IK46" s="175"/>
      <c r="IL46" s="175"/>
      <c r="IM46" s="175"/>
      <c r="IN46" s="175"/>
      <c r="IO46" s="175"/>
      <c r="IP46" s="175"/>
      <c r="IQ46" s="175"/>
    </row>
    <row r="47" spans="1:251" s="146" customFormat="1" ht="21.75" customHeight="1">
      <c r="A47" s="179">
        <v>40</v>
      </c>
      <c r="B47" s="403" t="s">
        <v>661</v>
      </c>
      <c r="C47" s="404" t="s">
        <v>664</v>
      </c>
      <c r="D47" s="405">
        <v>19</v>
      </c>
      <c r="E47" s="405"/>
      <c r="F47" s="463" t="s">
        <v>665</v>
      </c>
      <c r="G47" s="405" t="s">
        <v>666</v>
      </c>
      <c r="H47" s="400" t="s">
        <v>580</v>
      </c>
      <c r="I47" s="180">
        <f t="shared" si="4"/>
        <v>187500</v>
      </c>
      <c r="J47" s="407" t="s">
        <v>697</v>
      </c>
      <c r="K47" s="183">
        <f t="shared" si="5"/>
        <v>135000</v>
      </c>
      <c r="L47" s="407" t="s">
        <v>703</v>
      </c>
      <c r="M47" s="181">
        <f t="shared" si="6"/>
        <v>135000</v>
      </c>
      <c r="N47" s="181">
        <f t="shared" si="7"/>
        <v>457500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75"/>
      <c r="BU47" s="175"/>
      <c r="BV47" s="175"/>
      <c r="BW47" s="175"/>
      <c r="BX47" s="175"/>
      <c r="BY47" s="175"/>
      <c r="BZ47" s="175"/>
      <c r="CA47" s="175"/>
      <c r="CB47" s="175"/>
      <c r="CC47" s="175"/>
      <c r="CD47" s="175"/>
      <c r="CE47" s="175"/>
      <c r="CF47" s="175"/>
      <c r="CG47" s="175"/>
      <c r="CH47" s="175"/>
      <c r="CI47" s="175"/>
      <c r="CJ47" s="175"/>
      <c r="CK47" s="175"/>
      <c r="CL47" s="175"/>
      <c r="CM47" s="175"/>
      <c r="CN47" s="175"/>
      <c r="CO47" s="175"/>
      <c r="CP47" s="175"/>
      <c r="CQ47" s="175"/>
      <c r="CR47" s="175"/>
      <c r="CS47" s="175"/>
      <c r="CT47" s="175"/>
      <c r="CU47" s="175"/>
      <c r="CV47" s="175"/>
      <c r="CW47" s="175"/>
      <c r="CX47" s="175"/>
      <c r="CY47" s="175"/>
      <c r="CZ47" s="175"/>
      <c r="DA47" s="175"/>
      <c r="DB47" s="175"/>
      <c r="DC47" s="175"/>
      <c r="DD47" s="175"/>
      <c r="DE47" s="175"/>
      <c r="DF47" s="175"/>
      <c r="DG47" s="175"/>
      <c r="DH47" s="175"/>
      <c r="DI47" s="175"/>
      <c r="DJ47" s="175"/>
      <c r="DK47" s="175"/>
      <c r="DL47" s="175"/>
      <c r="DM47" s="175"/>
      <c r="DN47" s="175"/>
      <c r="DO47" s="175"/>
      <c r="DP47" s="175"/>
      <c r="DQ47" s="175"/>
      <c r="DR47" s="175"/>
      <c r="DS47" s="175"/>
      <c r="DT47" s="175"/>
      <c r="DU47" s="175"/>
      <c r="DV47" s="175"/>
      <c r="DW47" s="175"/>
      <c r="DX47" s="175"/>
      <c r="DY47" s="175"/>
      <c r="DZ47" s="175"/>
      <c r="EA47" s="175"/>
      <c r="EB47" s="175"/>
      <c r="EC47" s="175"/>
      <c r="ED47" s="175"/>
      <c r="EE47" s="175"/>
      <c r="EF47" s="175"/>
      <c r="EG47" s="175"/>
      <c r="EH47" s="175"/>
      <c r="EI47" s="175"/>
      <c r="EJ47" s="175"/>
      <c r="EK47" s="175"/>
      <c r="EL47" s="175"/>
      <c r="EM47" s="175"/>
      <c r="EN47" s="175"/>
      <c r="EO47" s="175"/>
      <c r="EP47" s="175"/>
      <c r="EQ47" s="175"/>
      <c r="ER47" s="175"/>
      <c r="ES47" s="175"/>
      <c r="ET47" s="175"/>
      <c r="EU47" s="175"/>
      <c r="EV47" s="175"/>
      <c r="EW47" s="175"/>
      <c r="EX47" s="175"/>
      <c r="EY47" s="175"/>
      <c r="EZ47" s="175"/>
      <c r="FA47" s="175"/>
      <c r="FB47" s="175"/>
      <c r="FC47" s="175"/>
      <c r="FD47" s="175"/>
      <c r="FE47" s="175"/>
      <c r="FF47" s="175"/>
      <c r="FG47" s="175"/>
      <c r="FH47" s="175"/>
      <c r="FI47" s="175"/>
      <c r="FJ47" s="175"/>
      <c r="FK47" s="175"/>
      <c r="FL47" s="175"/>
      <c r="FM47" s="175"/>
      <c r="FN47" s="175"/>
      <c r="FO47" s="175"/>
      <c r="FP47" s="175"/>
      <c r="FQ47" s="175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175"/>
      <c r="HL47" s="175"/>
      <c r="HM47" s="175"/>
      <c r="HN47" s="175"/>
      <c r="HO47" s="175"/>
      <c r="HP47" s="175"/>
      <c r="HQ47" s="175"/>
      <c r="HR47" s="175"/>
      <c r="HS47" s="175"/>
      <c r="HT47" s="175"/>
      <c r="HU47" s="175"/>
      <c r="HV47" s="175"/>
      <c r="HW47" s="175"/>
      <c r="HX47" s="175"/>
      <c r="HY47" s="175"/>
      <c r="HZ47" s="175"/>
      <c r="IA47" s="175"/>
      <c r="IB47" s="175"/>
      <c r="IC47" s="175"/>
      <c r="ID47" s="175"/>
      <c r="IE47" s="175"/>
      <c r="IF47" s="175"/>
      <c r="IG47" s="175"/>
      <c r="IH47" s="175"/>
      <c r="II47" s="175"/>
      <c r="IJ47" s="175"/>
      <c r="IK47" s="175"/>
      <c r="IL47" s="175"/>
      <c r="IM47" s="175"/>
      <c r="IN47" s="175"/>
      <c r="IO47" s="175"/>
      <c r="IP47" s="175"/>
      <c r="IQ47" s="175"/>
    </row>
    <row r="48" spans="1:251" s="146" customFormat="1" ht="21.75" customHeight="1">
      <c r="A48" s="179">
        <v>41</v>
      </c>
      <c r="B48" s="403" t="s">
        <v>661</v>
      </c>
      <c r="C48" s="404" t="s">
        <v>667</v>
      </c>
      <c r="D48" s="405"/>
      <c r="E48" s="405"/>
      <c r="F48" s="463" t="s">
        <v>668</v>
      </c>
      <c r="G48" s="405" t="s">
        <v>592</v>
      </c>
      <c r="H48" s="400" t="s">
        <v>584</v>
      </c>
      <c r="I48" s="180">
        <f t="shared" si="4"/>
        <v>420000</v>
      </c>
      <c r="J48" s="407" t="s">
        <v>582</v>
      </c>
      <c r="K48" s="183">
        <f t="shared" si="5"/>
        <v>300000</v>
      </c>
      <c r="L48" s="407" t="s">
        <v>698</v>
      </c>
      <c r="M48" s="181">
        <f t="shared" si="6"/>
        <v>300000</v>
      </c>
      <c r="N48" s="181">
        <f t="shared" si="7"/>
        <v>1020000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175"/>
      <c r="BT48" s="175"/>
      <c r="BU48" s="175"/>
      <c r="BV48" s="175"/>
      <c r="BW48" s="175"/>
      <c r="BX48" s="175"/>
      <c r="BY48" s="175"/>
      <c r="BZ48" s="175"/>
      <c r="CA48" s="175"/>
      <c r="CB48" s="175"/>
      <c r="CC48" s="175"/>
      <c r="CD48" s="175"/>
      <c r="CE48" s="175"/>
      <c r="CF48" s="175"/>
      <c r="CG48" s="175"/>
      <c r="CH48" s="175"/>
      <c r="CI48" s="175"/>
      <c r="CJ48" s="175"/>
      <c r="CK48" s="175"/>
      <c r="CL48" s="175"/>
      <c r="CM48" s="175"/>
      <c r="CN48" s="175"/>
      <c r="CO48" s="175"/>
      <c r="CP48" s="175"/>
      <c r="CQ48" s="175"/>
      <c r="CR48" s="175"/>
      <c r="CS48" s="175"/>
      <c r="CT48" s="175"/>
      <c r="CU48" s="175"/>
      <c r="CV48" s="175"/>
      <c r="CW48" s="175"/>
      <c r="CX48" s="175"/>
      <c r="CY48" s="175"/>
      <c r="CZ48" s="175"/>
      <c r="DA48" s="175"/>
      <c r="DB48" s="175"/>
      <c r="DC48" s="175"/>
      <c r="DD48" s="175"/>
      <c r="DE48" s="175"/>
      <c r="DF48" s="175"/>
      <c r="DG48" s="175"/>
      <c r="DH48" s="175"/>
      <c r="DI48" s="175"/>
      <c r="DJ48" s="175"/>
      <c r="DK48" s="175"/>
      <c r="DL48" s="175"/>
      <c r="DM48" s="175"/>
      <c r="DN48" s="175"/>
      <c r="DO48" s="175"/>
      <c r="DP48" s="175"/>
      <c r="DQ48" s="175"/>
      <c r="DR48" s="175"/>
      <c r="DS48" s="175"/>
      <c r="DT48" s="175"/>
      <c r="DU48" s="175"/>
      <c r="DV48" s="175"/>
      <c r="DW48" s="175"/>
      <c r="DX48" s="175"/>
      <c r="DY48" s="175"/>
      <c r="DZ48" s="175"/>
      <c r="EA48" s="175"/>
      <c r="EB48" s="175"/>
      <c r="EC48" s="175"/>
      <c r="ED48" s="175"/>
      <c r="EE48" s="175"/>
      <c r="EF48" s="175"/>
      <c r="EG48" s="175"/>
      <c r="EH48" s="175"/>
      <c r="EI48" s="175"/>
      <c r="EJ48" s="175"/>
      <c r="EK48" s="175"/>
      <c r="EL48" s="175"/>
      <c r="EM48" s="175"/>
      <c r="EN48" s="175"/>
      <c r="EO48" s="175"/>
      <c r="EP48" s="175"/>
      <c r="EQ48" s="175"/>
      <c r="ER48" s="175"/>
      <c r="ES48" s="175"/>
      <c r="ET48" s="175"/>
      <c r="EU48" s="175"/>
      <c r="EV48" s="175"/>
      <c r="EW48" s="175"/>
      <c r="EX48" s="175"/>
      <c r="EY48" s="175"/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175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  <c r="HN48" s="175"/>
      <c r="HO48" s="175"/>
      <c r="HP48" s="175"/>
      <c r="HQ48" s="175"/>
      <c r="HR48" s="175"/>
      <c r="HS48" s="175"/>
      <c r="HT48" s="175"/>
      <c r="HU48" s="175"/>
      <c r="HV48" s="175"/>
      <c r="HW48" s="175"/>
      <c r="HX48" s="175"/>
      <c r="HY48" s="175"/>
      <c r="HZ48" s="175"/>
      <c r="IA48" s="175"/>
      <c r="IB48" s="175"/>
      <c r="IC48" s="175"/>
      <c r="ID48" s="175"/>
      <c r="IE48" s="175"/>
      <c r="IF48" s="175"/>
      <c r="IG48" s="175"/>
      <c r="IH48" s="175"/>
      <c r="II48" s="175"/>
      <c r="IJ48" s="175"/>
      <c r="IK48" s="175"/>
      <c r="IL48" s="175"/>
      <c r="IM48" s="175"/>
      <c r="IN48" s="175"/>
      <c r="IO48" s="175"/>
      <c r="IP48" s="175"/>
      <c r="IQ48" s="175"/>
    </row>
    <row r="49" spans="1:251" s="146" customFormat="1" ht="21.75" customHeight="1">
      <c r="A49" s="179">
        <v>42</v>
      </c>
      <c r="B49" s="403" t="s">
        <v>669</v>
      </c>
      <c r="C49" s="404" t="s">
        <v>670</v>
      </c>
      <c r="D49" s="405"/>
      <c r="E49" s="405">
        <v>22</v>
      </c>
      <c r="F49" s="463" t="s">
        <v>656</v>
      </c>
      <c r="G49" s="405" t="s">
        <v>592</v>
      </c>
      <c r="H49" s="400" t="s">
        <v>584</v>
      </c>
      <c r="I49" s="180">
        <f t="shared" si="4"/>
        <v>420000</v>
      </c>
      <c r="J49" s="407" t="s">
        <v>698</v>
      </c>
      <c r="K49" s="183">
        <f t="shared" si="5"/>
        <v>300000</v>
      </c>
      <c r="L49" s="407" t="s">
        <v>697</v>
      </c>
      <c r="M49" s="181">
        <f t="shared" si="6"/>
        <v>300000</v>
      </c>
      <c r="N49" s="181">
        <f t="shared" si="7"/>
        <v>1020000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75"/>
      <c r="BU49" s="175"/>
      <c r="BV49" s="175"/>
      <c r="BW49" s="175"/>
      <c r="BX49" s="175"/>
      <c r="BY49" s="175"/>
      <c r="BZ49" s="175"/>
      <c r="CA49" s="175"/>
      <c r="CB49" s="175"/>
      <c r="CC49" s="175"/>
      <c r="CD49" s="175"/>
      <c r="CE49" s="175"/>
      <c r="CF49" s="175"/>
      <c r="CG49" s="175"/>
      <c r="CH49" s="175"/>
      <c r="CI49" s="175"/>
      <c r="CJ49" s="175"/>
      <c r="CK49" s="175"/>
      <c r="CL49" s="175"/>
      <c r="CM49" s="175"/>
      <c r="CN49" s="175"/>
      <c r="CO49" s="175"/>
      <c r="CP49" s="175"/>
      <c r="CQ49" s="175"/>
      <c r="CR49" s="175"/>
      <c r="CS49" s="175"/>
      <c r="CT49" s="175"/>
      <c r="CU49" s="175"/>
      <c r="CV49" s="175"/>
      <c r="CW49" s="175"/>
      <c r="CX49" s="175"/>
      <c r="CY49" s="175"/>
      <c r="CZ49" s="175"/>
      <c r="DA49" s="175"/>
      <c r="DB49" s="175"/>
      <c r="DC49" s="175"/>
      <c r="DD49" s="175"/>
      <c r="DE49" s="175"/>
      <c r="DF49" s="175"/>
      <c r="DG49" s="175"/>
      <c r="DH49" s="175"/>
      <c r="DI49" s="175"/>
      <c r="DJ49" s="175"/>
      <c r="DK49" s="175"/>
      <c r="DL49" s="175"/>
      <c r="DM49" s="175"/>
      <c r="DN49" s="175"/>
      <c r="DO49" s="175"/>
      <c r="DP49" s="175"/>
      <c r="DQ49" s="175"/>
      <c r="DR49" s="175"/>
      <c r="DS49" s="175"/>
      <c r="DT49" s="175"/>
      <c r="DU49" s="175"/>
      <c r="DV49" s="175"/>
      <c r="DW49" s="175"/>
      <c r="DX49" s="175"/>
      <c r="DY49" s="175"/>
      <c r="DZ49" s="175"/>
      <c r="EA49" s="175"/>
      <c r="EB49" s="175"/>
      <c r="EC49" s="175"/>
      <c r="ED49" s="175"/>
      <c r="EE49" s="175"/>
      <c r="EF49" s="175"/>
      <c r="EG49" s="175"/>
      <c r="EH49" s="175"/>
      <c r="EI49" s="175"/>
      <c r="EJ49" s="175"/>
      <c r="EK49" s="175"/>
      <c r="EL49" s="175"/>
      <c r="EM49" s="175"/>
      <c r="EN49" s="175"/>
      <c r="EO49" s="175"/>
      <c r="EP49" s="175"/>
      <c r="EQ49" s="175"/>
      <c r="ER49" s="175"/>
      <c r="ES49" s="175"/>
      <c r="ET49" s="175"/>
      <c r="EU49" s="175"/>
      <c r="EV49" s="175"/>
      <c r="EW49" s="175"/>
      <c r="EX49" s="175"/>
      <c r="EY49" s="175"/>
      <c r="EZ49" s="175"/>
      <c r="FA49" s="175"/>
      <c r="FB49" s="175"/>
      <c r="FC49" s="175"/>
      <c r="FD49" s="175"/>
      <c r="FE49" s="175"/>
      <c r="FF49" s="175"/>
      <c r="FG49" s="175"/>
      <c r="FH49" s="175"/>
      <c r="FI49" s="175"/>
      <c r="FJ49" s="175"/>
      <c r="FK49" s="175"/>
      <c r="FL49" s="175"/>
      <c r="FM49" s="175"/>
      <c r="FN49" s="175"/>
      <c r="FO49" s="175"/>
      <c r="FP49" s="175"/>
      <c r="FQ49" s="175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  <c r="HN49" s="175"/>
      <c r="HO49" s="175"/>
      <c r="HP49" s="175"/>
      <c r="HQ49" s="175"/>
      <c r="HR49" s="175"/>
      <c r="HS49" s="175"/>
      <c r="HT49" s="175"/>
      <c r="HU49" s="175"/>
      <c r="HV49" s="175"/>
      <c r="HW49" s="175"/>
      <c r="HX49" s="175"/>
      <c r="HY49" s="175"/>
      <c r="HZ49" s="175"/>
      <c r="IA49" s="175"/>
      <c r="IB49" s="175"/>
      <c r="IC49" s="175"/>
      <c r="ID49" s="175"/>
      <c r="IE49" s="175"/>
      <c r="IF49" s="175"/>
      <c r="IG49" s="175"/>
      <c r="IH49" s="175"/>
      <c r="II49" s="175"/>
      <c r="IJ49" s="175"/>
      <c r="IK49" s="175"/>
      <c r="IL49" s="175"/>
      <c r="IM49" s="175"/>
      <c r="IN49" s="175"/>
      <c r="IO49" s="175"/>
      <c r="IP49" s="175"/>
      <c r="IQ49" s="175"/>
    </row>
    <row r="50" spans="1:251" s="146" customFormat="1" ht="21.75" customHeight="1">
      <c r="A50" s="179">
        <v>43</v>
      </c>
      <c r="B50" s="403" t="s">
        <v>669</v>
      </c>
      <c r="C50" s="404" t="s">
        <v>671</v>
      </c>
      <c r="D50" s="405"/>
      <c r="E50" s="405">
        <v>72</v>
      </c>
      <c r="F50" s="463" t="s">
        <v>672</v>
      </c>
      <c r="G50" s="405" t="s">
        <v>592</v>
      </c>
      <c r="H50" s="400" t="s">
        <v>584</v>
      </c>
      <c r="I50" s="180">
        <f t="shared" si="4"/>
        <v>420000</v>
      </c>
      <c r="J50" s="407" t="s">
        <v>582</v>
      </c>
      <c r="K50" s="183">
        <f t="shared" si="5"/>
        <v>300000</v>
      </c>
      <c r="L50" s="407" t="s">
        <v>698</v>
      </c>
      <c r="M50" s="181">
        <f t="shared" si="6"/>
        <v>300000</v>
      </c>
      <c r="N50" s="181">
        <f t="shared" si="7"/>
        <v>1020000</v>
      </c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  <c r="BT50" s="175"/>
      <c r="BU50" s="175"/>
      <c r="BV50" s="175"/>
      <c r="BW50" s="175"/>
      <c r="BX50" s="175"/>
      <c r="BY50" s="175"/>
      <c r="BZ50" s="175"/>
      <c r="CA50" s="175"/>
      <c r="CB50" s="175"/>
      <c r="CC50" s="175"/>
      <c r="CD50" s="175"/>
      <c r="CE50" s="175"/>
      <c r="CF50" s="175"/>
      <c r="CG50" s="175"/>
      <c r="CH50" s="175"/>
      <c r="CI50" s="175"/>
      <c r="CJ50" s="175"/>
      <c r="CK50" s="175"/>
      <c r="CL50" s="175"/>
      <c r="CM50" s="175"/>
      <c r="CN50" s="175"/>
      <c r="CO50" s="175"/>
      <c r="CP50" s="175"/>
      <c r="CQ50" s="175"/>
      <c r="CR50" s="175"/>
      <c r="CS50" s="175"/>
      <c r="CT50" s="175"/>
      <c r="CU50" s="175"/>
      <c r="CV50" s="175"/>
      <c r="CW50" s="175"/>
      <c r="CX50" s="175"/>
      <c r="CY50" s="175"/>
      <c r="CZ50" s="175"/>
      <c r="DA50" s="175"/>
      <c r="DB50" s="175"/>
      <c r="DC50" s="175"/>
      <c r="DD50" s="175"/>
      <c r="DE50" s="175"/>
      <c r="DF50" s="175"/>
      <c r="DG50" s="175"/>
      <c r="DH50" s="175"/>
      <c r="DI50" s="175"/>
      <c r="DJ50" s="175"/>
      <c r="DK50" s="175"/>
      <c r="DL50" s="175"/>
      <c r="DM50" s="175"/>
      <c r="DN50" s="175"/>
      <c r="DO50" s="175"/>
      <c r="DP50" s="175"/>
      <c r="DQ50" s="175"/>
      <c r="DR50" s="175"/>
      <c r="DS50" s="175"/>
      <c r="DT50" s="175"/>
      <c r="DU50" s="175"/>
      <c r="DV50" s="175"/>
      <c r="DW50" s="175"/>
      <c r="DX50" s="175"/>
      <c r="DY50" s="175"/>
      <c r="DZ50" s="175"/>
      <c r="EA50" s="175"/>
      <c r="EB50" s="175"/>
      <c r="EC50" s="175"/>
      <c r="ED50" s="175"/>
      <c r="EE50" s="175"/>
      <c r="EF50" s="175"/>
      <c r="EG50" s="175"/>
      <c r="EH50" s="175"/>
      <c r="EI50" s="175"/>
      <c r="EJ50" s="175"/>
      <c r="EK50" s="175"/>
      <c r="EL50" s="175"/>
      <c r="EM50" s="175"/>
      <c r="EN50" s="175"/>
      <c r="EO50" s="175"/>
      <c r="EP50" s="175"/>
      <c r="EQ50" s="175"/>
      <c r="ER50" s="175"/>
      <c r="ES50" s="175"/>
      <c r="ET50" s="175"/>
      <c r="EU50" s="175"/>
      <c r="EV50" s="175"/>
      <c r="EW50" s="175"/>
      <c r="EX50" s="175"/>
      <c r="EY50" s="175"/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175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  <c r="HN50" s="175"/>
      <c r="HO50" s="175"/>
      <c r="HP50" s="175"/>
      <c r="HQ50" s="175"/>
      <c r="HR50" s="175"/>
      <c r="HS50" s="175"/>
      <c r="HT50" s="175"/>
      <c r="HU50" s="175"/>
      <c r="HV50" s="175"/>
      <c r="HW50" s="175"/>
      <c r="HX50" s="175"/>
      <c r="HY50" s="175"/>
      <c r="HZ50" s="175"/>
      <c r="IA50" s="175"/>
      <c r="IB50" s="175"/>
      <c r="IC50" s="175"/>
      <c r="ID50" s="175"/>
      <c r="IE50" s="175"/>
      <c r="IF50" s="175"/>
      <c r="IG50" s="175"/>
      <c r="IH50" s="175"/>
      <c r="II50" s="175"/>
      <c r="IJ50" s="175"/>
      <c r="IK50" s="175"/>
      <c r="IL50" s="175"/>
      <c r="IM50" s="175"/>
      <c r="IN50" s="175"/>
      <c r="IO50" s="175"/>
      <c r="IP50" s="175"/>
      <c r="IQ50" s="175"/>
    </row>
    <row r="51" spans="1:251" s="146" customFormat="1" ht="21.75" customHeight="1">
      <c r="A51" s="179">
        <v>44</v>
      </c>
      <c r="B51" s="403" t="s">
        <v>669</v>
      </c>
      <c r="C51" s="404" t="s">
        <v>673</v>
      </c>
      <c r="D51" s="405">
        <v>47</v>
      </c>
      <c r="E51" s="405"/>
      <c r="F51" s="463" t="s">
        <v>656</v>
      </c>
      <c r="G51" s="405" t="s">
        <v>599</v>
      </c>
      <c r="H51" s="400" t="s">
        <v>585</v>
      </c>
      <c r="I51" s="180">
        <f t="shared" si="4"/>
        <v>420000</v>
      </c>
      <c r="J51" s="407" t="s">
        <v>698</v>
      </c>
      <c r="K51" s="183">
        <f t="shared" si="5"/>
        <v>300000</v>
      </c>
      <c r="L51" s="407" t="s">
        <v>704</v>
      </c>
      <c r="M51" s="181">
        <f t="shared" si="6"/>
        <v>300000</v>
      </c>
      <c r="N51" s="181">
        <f t="shared" si="7"/>
        <v>1020000</v>
      </c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175"/>
      <c r="CC51" s="175"/>
      <c r="CD51" s="175"/>
      <c r="CE51" s="175"/>
      <c r="CF51" s="175"/>
      <c r="CG51" s="175"/>
      <c r="CH51" s="175"/>
      <c r="CI51" s="175"/>
      <c r="CJ51" s="175"/>
      <c r="CK51" s="175"/>
      <c r="CL51" s="175"/>
      <c r="CM51" s="175"/>
      <c r="CN51" s="175"/>
      <c r="CO51" s="175"/>
      <c r="CP51" s="175"/>
      <c r="CQ51" s="175"/>
      <c r="CR51" s="175"/>
      <c r="CS51" s="175"/>
      <c r="CT51" s="175"/>
      <c r="CU51" s="175"/>
      <c r="CV51" s="175"/>
      <c r="CW51" s="175"/>
      <c r="CX51" s="175"/>
      <c r="CY51" s="175"/>
      <c r="CZ51" s="175"/>
      <c r="DA51" s="175"/>
      <c r="DB51" s="175"/>
      <c r="DC51" s="175"/>
      <c r="DD51" s="175"/>
      <c r="DE51" s="175"/>
      <c r="DF51" s="175"/>
      <c r="DG51" s="175"/>
      <c r="DH51" s="175"/>
      <c r="DI51" s="175"/>
      <c r="DJ51" s="175"/>
      <c r="DK51" s="175"/>
      <c r="DL51" s="175"/>
      <c r="DM51" s="175"/>
      <c r="DN51" s="175"/>
      <c r="DO51" s="175"/>
      <c r="DP51" s="175"/>
      <c r="DQ51" s="175"/>
      <c r="DR51" s="175"/>
      <c r="DS51" s="175"/>
      <c r="DT51" s="175"/>
      <c r="DU51" s="175"/>
      <c r="DV51" s="175"/>
      <c r="DW51" s="175"/>
      <c r="DX51" s="175"/>
      <c r="DY51" s="175"/>
      <c r="DZ51" s="175"/>
      <c r="EA51" s="175"/>
      <c r="EB51" s="175"/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175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  <c r="HN51" s="175"/>
      <c r="HO51" s="175"/>
      <c r="HP51" s="175"/>
      <c r="HQ51" s="175"/>
      <c r="HR51" s="175"/>
      <c r="HS51" s="175"/>
      <c r="HT51" s="175"/>
      <c r="HU51" s="175"/>
      <c r="HV51" s="175"/>
      <c r="HW51" s="175"/>
      <c r="HX51" s="175"/>
      <c r="HY51" s="175"/>
      <c r="HZ51" s="175"/>
      <c r="IA51" s="175"/>
      <c r="IB51" s="175"/>
      <c r="IC51" s="175"/>
      <c r="ID51" s="175"/>
      <c r="IE51" s="175"/>
      <c r="IF51" s="175"/>
      <c r="IG51" s="175"/>
      <c r="IH51" s="175"/>
      <c r="II51" s="175"/>
      <c r="IJ51" s="175"/>
      <c r="IK51" s="175"/>
      <c r="IL51" s="175"/>
      <c r="IM51" s="175"/>
      <c r="IN51" s="175"/>
      <c r="IO51" s="175"/>
      <c r="IP51" s="175"/>
      <c r="IQ51" s="175"/>
    </row>
    <row r="52" spans="1:251" s="146" customFormat="1" ht="21.75" customHeight="1">
      <c r="A52" s="179">
        <v>45</v>
      </c>
      <c r="B52" s="403" t="s">
        <v>674</v>
      </c>
      <c r="C52" s="404" t="s">
        <v>675</v>
      </c>
      <c r="D52" s="405"/>
      <c r="E52" s="405">
        <v>31</v>
      </c>
      <c r="F52" s="463" t="s">
        <v>598</v>
      </c>
      <c r="G52" s="405" t="s">
        <v>592</v>
      </c>
      <c r="H52" s="400" t="s">
        <v>580</v>
      </c>
      <c r="I52" s="180">
        <f t="shared" si="4"/>
        <v>420000</v>
      </c>
      <c r="J52" s="407" t="s">
        <v>698</v>
      </c>
      <c r="K52" s="183">
        <f t="shared" si="5"/>
        <v>300000</v>
      </c>
      <c r="L52" s="407" t="s">
        <v>701</v>
      </c>
      <c r="M52" s="181">
        <f t="shared" si="6"/>
        <v>300000</v>
      </c>
      <c r="N52" s="181">
        <f t="shared" si="7"/>
        <v>1020000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5"/>
      <c r="CR52" s="175"/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  <c r="DF52" s="175"/>
      <c r="DG52" s="175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C52" s="175"/>
      <c r="ED52" s="175"/>
      <c r="EE52" s="175"/>
      <c r="EF52" s="175"/>
      <c r="EG52" s="175"/>
      <c r="EH52" s="175"/>
      <c r="EI52" s="175"/>
      <c r="EJ52" s="175"/>
      <c r="EK52" s="175"/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175"/>
      <c r="FI52" s="175"/>
      <c r="FJ52" s="175"/>
      <c r="FK52" s="175"/>
      <c r="FL52" s="175"/>
      <c r="FM52" s="175"/>
      <c r="FN52" s="175"/>
      <c r="FO52" s="175"/>
      <c r="FP52" s="175"/>
      <c r="FQ52" s="175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  <c r="HN52" s="175"/>
      <c r="HO52" s="175"/>
      <c r="HP52" s="175"/>
      <c r="HQ52" s="175"/>
      <c r="HR52" s="175"/>
      <c r="HS52" s="175"/>
      <c r="HT52" s="175"/>
      <c r="HU52" s="175"/>
      <c r="HV52" s="175"/>
      <c r="HW52" s="175"/>
      <c r="HX52" s="175"/>
      <c r="HY52" s="175"/>
      <c r="HZ52" s="175"/>
      <c r="IA52" s="175"/>
      <c r="IB52" s="175"/>
      <c r="IC52" s="175"/>
      <c r="ID52" s="175"/>
      <c r="IE52" s="175"/>
      <c r="IF52" s="175"/>
      <c r="IG52" s="175"/>
      <c r="IH52" s="175"/>
      <c r="II52" s="175"/>
      <c r="IJ52" s="175"/>
      <c r="IK52" s="175"/>
      <c r="IL52" s="175"/>
      <c r="IM52" s="175"/>
      <c r="IN52" s="175"/>
      <c r="IO52" s="175"/>
      <c r="IP52" s="175"/>
      <c r="IQ52" s="175"/>
    </row>
    <row r="53" spans="1:251" s="146" customFormat="1" ht="21.75" customHeight="1">
      <c r="A53" s="179">
        <v>46</v>
      </c>
      <c r="B53" s="403" t="s">
        <v>674</v>
      </c>
      <c r="C53" s="404" t="s">
        <v>555</v>
      </c>
      <c r="D53" s="405"/>
      <c r="E53" s="405">
        <v>45</v>
      </c>
      <c r="F53" s="463" t="s">
        <v>598</v>
      </c>
      <c r="G53" s="405" t="s">
        <v>592</v>
      </c>
      <c r="H53" s="400" t="s">
        <v>585</v>
      </c>
      <c r="I53" s="180">
        <f t="shared" si="4"/>
        <v>420000</v>
      </c>
      <c r="J53" s="407" t="s">
        <v>698</v>
      </c>
      <c r="K53" s="183">
        <f t="shared" si="5"/>
        <v>300000</v>
      </c>
      <c r="L53" s="407" t="s">
        <v>704</v>
      </c>
      <c r="M53" s="181">
        <f t="shared" si="6"/>
        <v>300000</v>
      </c>
      <c r="N53" s="181">
        <f t="shared" si="7"/>
        <v>1020000</v>
      </c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  <c r="HN53" s="175"/>
      <c r="HO53" s="175"/>
      <c r="HP53" s="175"/>
      <c r="HQ53" s="175"/>
      <c r="HR53" s="175"/>
      <c r="HS53" s="175"/>
      <c r="HT53" s="175"/>
      <c r="HU53" s="175"/>
      <c r="HV53" s="175"/>
      <c r="HW53" s="175"/>
      <c r="HX53" s="175"/>
      <c r="HY53" s="175"/>
      <c r="HZ53" s="175"/>
      <c r="IA53" s="175"/>
      <c r="IB53" s="175"/>
      <c r="IC53" s="175"/>
      <c r="ID53" s="175"/>
      <c r="IE53" s="175"/>
      <c r="IF53" s="175"/>
      <c r="IG53" s="175"/>
      <c r="IH53" s="175"/>
      <c r="II53" s="175"/>
      <c r="IJ53" s="175"/>
      <c r="IK53" s="175"/>
      <c r="IL53" s="175"/>
      <c r="IM53" s="175"/>
      <c r="IN53" s="175"/>
      <c r="IO53" s="175"/>
      <c r="IP53" s="175"/>
      <c r="IQ53" s="175"/>
    </row>
    <row r="54" spans="1:251" s="146" customFormat="1" ht="21.75" customHeight="1">
      <c r="A54" s="179">
        <v>47</v>
      </c>
      <c r="B54" s="403" t="s">
        <v>674</v>
      </c>
      <c r="C54" s="404" t="s">
        <v>676</v>
      </c>
      <c r="D54" s="405">
        <v>22</v>
      </c>
      <c r="E54" s="405"/>
      <c r="F54" s="463" t="s">
        <v>677</v>
      </c>
      <c r="G54" s="405" t="s">
        <v>666</v>
      </c>
      <c r="H54" s="400" t="s">
        <v>580</v>
      </c>
      <c r="I54" s="180">
        <f t="shared" si="4"/>
        <v>187500</v>
      </c>
      <c r="J54" s="407" t="s">
        <v>698</v>
      </c>
      <c r="K54" s="183">
        <f t="shared" si="5"/>
        <v>135000</v>
      </c>
      <c r="L54" s="407" t="s">
        <v>701</v>
      </c>
      <c r="M54" s="181">
        <f t="shared" si="6"/>
        <v>135000</v>
      </c>
      <c r="N54" s="181">
        <f t="shared" si="7"/>
        <v>457500</v>
      </c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75"/>
      <c r="BU54" s="175"/>
      <c r="BV54" s="175"/>
      <c r="BW54" s="175"/>
      <c r="BX54" s="175"/>
      <c r="BY54" s="175"/>
      <c r="BZ54" s="175"/>
      <c r="CA54" s="175"/>
      <c r="CB54" s="175"/>
      <c r="CC54" s="175"/>
      <c r="CD54" s="175"/>
      <c r="CE54" s="175"/>
      <c r="CF54" s="175"/>
      <c r="CG54" s="175"/>
      <c r="CH54" s="175"/>
      <c r="CI54" s="175"/>
      <c r="CJ54" s="175"/>
      <c r="CK54" s="175"/>
      <c r="CL54" s="175"/>
      <c r="CM54" s="175"/>
      <c r="CN54" s="175"/>
      <c r="CO54" s="175"/>
      <c r="CP54" s="175"/>
      <c r="CQ54" s="175"/>
      <c r="CR54" s="175"/>
      <c r="CS54" s="175"/>
      <c r="CT54" s="175"/>
      <c r="CU54" s="175"/>
      <c r="CV54" s="175"/>
      <c r="CW54" s="175"/>
      <c r="CX54" s="175"/>
      <c r="CY54" s="175"/>
      <c r="CZ54" s="175"/>
      <c r="DA54" s="175"/>
      <c r="DB54" s="175"/>
      <c r="DC54" s="175"/>
      <c r="DD54" s="175"/>
      <c r="DE54" s="175"/>
      <c r="DF54" s="175"/>
      <c r="DG54" s="175"/>
      <c r="DH54" s="175"/>
      <c r="DI54" s="175"/>
      <c r="DJ54" s="175"/>
      <c r="DK54" s="175"/>
      <c r="DL54" s="175"/>
      <c r="DM54" s="175"/>
      <c r="DN54" s="175"/>
      <c r="DO54" s="175"/>
      <c r="DP54" s="175"/>
      <c r="DQ54" s="175"/>
      <c r="DR54" s="175"/>
      <c r="DS54" s="175"/>
      <c r="DT54" s="175"/>
      <c r="DU54" s="175"/>
      <c r="DV54" s="175"/>
      <c r="DW54" s="175"/>
      <c r="DX54" s="175"/>
      <c r="DY54" s="175"/>
      <c r="DZ54" s="175"/>
      <c r="EA54" s="175"/>
      <c r="EB54" s="175"/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175"/>
      <c r="FI54" s="175"/>
      <c r="FJ54" s="175"/>
      <c r="FK54" s="175"/>
      <c r="FL54" s="175"/>
      <c r="FM54" s="175"/>
      <c r="FN54" s="175"/>
      <c r="FO54" s="175"/>
      <c r="FP54" s="175"/>
      <c r="FQ54" s="175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  <c r="HN54" s="175"/>
      <c r="HO54" s="175"/>
      <c r="HP54" s="175"/>
      <c r="HQ54" s="175"/>
      <c r="HR54" s="175"/>
      <c r="HS54" s="175"/>
      <c r="HT54" s="175"/>
      <c r="HU54" s="175"/>
      <c r="HV54" s="175"/>
      <c r="HW54" s="175"/>
      <c r="HX54" s="175"/>
      <c r="HY54" s="175"/>
      <c r="HZ54" s="175"/>
      <c r="IA54" s="175"/>
      <c r="IB54" s="175"/>
      <c r="IC54" s="175"/>
      <c r="ID54" s="175"/>
      <c r="IE54" s="175"/>
      <c r="IF54" s="175"/>
      <c r="IG54" s="175"/>
      <c r="IH54" s="175"/>
      <c r="II54" s="175"/>
      <c r="IJ54" s="175"/>
      <c r="IK54" s="175"/>
      <c r="IL54" s="175"/>
      <c r="IM54" s="175"/>
      <c r="IN54" s="175"/>
      <c r="IO54" s="175"/>
      <c r="IP54" s="175"/>
      <c r="IQ54" s="175"/>
    </row>
    <row r="55" spans="1:251" s="146" customFormat="1" ht="21.75" customHeight="1">
      <c r="A55" s="179">
        <v>48</v>
      </c>
      <c r="B55" s="403" t="s">
        <v>678</v>
      </c>
      <c r="C55" s="404" t="s">
        <v>679</v>
      </c>
      <c r="D55" s="405">
        <v>37</v>
      </c>
      <c r="E55" s="405"/>
      <c r="F55" s="463" t="s">
        <v>598</v>
      </c>
      <c r="G55" s="405" t="s">
        <v>592</v>
      </c>
      <c r="H55" s="400" t="s">
        <v>581</v>
      </c>
      <c r="I55" s="180">
        <f t="shared" si="4"/>
        <v>420000</v>
      </c>
      <c r="J55" s="407" t="s">
        <v>698</v>
      </c>
      <c r="K55" s="183">
        <f t="shared" si="5"/>
        <v>300000</v>
      </c>
      <c r="L55" s="407" t="s">
        <v>705</v>
      </c>
      <c r="M55" s="181">
        <f t="shared" si="6"/>
        <v>300000</v>
      </c>
      <c r="N55" s="181">
        <f t="shared" si="7"/>
        <v>1020000</v>
      </c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  <c r="BT55" s="175"/>
      <c r="BU55" s="175"/>
      <c r="BV55" s="175"/>
      <c r="BW55" s="175"/>
      <c r="BX55" s="175"/>
      <c r="BY55" s="175"/>
      <c r="BZ55" s="175"/>
      <c r="CA55" s="175"/>
      <c r="CB55" s="175"/>
      <c r="CC55" s="175"/>
      <c r="CD55" s="175"/>
      <c r="CE55" s="175"/>
      <c r="CF55" s="175"/>
      <c r="CG55" s="175"/>
      <c r="CH55" s="175"/>
      <c r="CI55" s="175"/>
      <c r="CJ55" s="175"/>
      <c r="CK55" s="175"/>
      <c r="CL55" s="175"/>
      <c r="CM55" s="175"/>
      <c r="CN55" s="175"/>
      <c r="CO55" s="175"/>
      <c r="CP55" s="175"/>
      <c r="CQ55" s="175"/>
      <c r="CR55" s="175"/>
      <c r="CS55" s="175"/>
      <c r="CT55" s="175"/>
      <c r="CU55" s="175"/>
      <c r="CV55" s="175"/>
      <c r="CW55" s="175"/>
      <c r="CX55" s="175"/>
      <c r="CY55" s="175"/>
      <c r="CZ55" s="175"/>
      <c r="DA55" s="175"/>
      <c r="DB55" s="175"/>
      <c r="DC55" s="175"/>
      <c r="DD55" s="175"/>
      <c r="DE55" s="175"/>
      <c r="DF55" s="175"/>
      <c r="DG55" s="175"/>
      <c r="DH55" s="175"/>
      <c r="DI55" s="175"/>
      <c r="DJ55" s="175"/>
      <c r="DK55" s="175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175"/>
      <c r="DW55" s="175"/>
      <c r="DX55" s="175"/>
      <c r="DY55" s="175"/>
      <c r="DZ55" s="175"/>
      <c r="EA55" s="175"/>
      <c r="EB55" s="175"/>
      <c r="EC55" s="175"/>
      <c r="ED55" s="175"/>
      <c r="EE55" s="175"/>
      <c r="EF55" s="175"/>
      <c r="EG55" s="175"/>
      <c r="EH55" s="175"/>
      <c r="EI55" s="175"/>
      <c r="EJ55" s="175"/>
      <c r="EK55" s="175"/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175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  <c r="HN55" s="175"/>
      <c r="HO55" s="175"/>
      <c r="HP55" s="175"/>
      <c r="HQ55" s="175"/>
      <c r="HR55" s="175"/>
      <c r="HS55" s="175"/>
      <c r="HT55" s="175"/>
      <c r="HU55" s="175"/>
      <c r="HV55" s="175"/>
      <c r="HW55" s="175"/>
      <c r="HX55" s="175"/>
      <c r="HY55" s="175"/>
      <c r="HZ55" s="175"/>
      <c r="IA55" s="175"/>
      <c r="IB55" s="175"/>
      <c r="IC55" s="175"/>
      <c r="ID55" s="175"/>
      <c r="IE55" s="175"/>
      <c r="IF55" s="175"/>
      <c r="IG55" s="175"/>
      <c r="IH55" s="175"/>
      <c r="II55" s="175"/>
      <c r="IJ55" s="175"/>
      <c r="IK55" s="175"/>
      <c r="IL55" s="175"/>
      <c r="IM55" s="175"/>
      <c r="IN55" s="175"/>
      <c r="IO55" s="175"/>
      <c r="IP55" s="175"/>
      <c r="IQ55" s="175"/>
    </row>
    <row r="56" spans="1:251" s="146" customFormat="1" ht="21.75" customHeight="1">
      <c r="A56" s="179">
        <v>49</v>
      </c>
      <c r="B56" s="403" t="s">
        <v>678</v>
      </c>
      <c r="C56" s="404" t="s">
        <v>680</v>
      </c>
      <c r="D56" s="405">
        <v>18</v>
      </c>
      <c r="E56" s="405"/>
      <c r="F56" s="463" t="s">
        <v>681</v>
      </c>
      <c r="G56" s="405" t="s">
        <v>592</v>
      </c>
      <c r="H56" s="400" t="s">
        <v>581</v>
      </c>
      <c r="I56" s="180">
        <f t="shared" si="4"/>
        <v>420000</v>
      </c>
      <c r="J56" s="407" t="s">
        <v>698</v>
      </c>
      <c r="K56" s="183">
        <f t="shared" si="5"/>
        <v>300000</v>
      </c>
      <c r="L56" s="407" t="s">
        <v>706</v>
      </c>
      <c r="M56" s="181">
        <f t="shared" si="6"/>
        <v>300000</v>
      </c>
      <c r="N56" s="181">
        <f t="shared" si="7"/>
        <v>1020000</v>
      </c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</row>
    <row r="57" spans="1:251" s="146" customFormat="1" ht="21.75" customHeight="1">
      <c r="A57" s="179">
        <v>50</v>
      </c>
      <c r="B57" s="403" t="s">
        <v>678</v>
      </c>
      <c r="C57" s="404" t="s">
        <v>682</v>
      </c>
      <c r="D57" s="405"/>
      <c r="E57" s="405">
        <v>65</v>
      </c>
      <c r="F57" s="463" t="s">
        <v>591</v>
      </c>
      <c r="G57" s="405" t="s">
        <v>592</v>
      </c>
      <c r="H57" s="400" t="s">
        <v>584</v>
      </c>
      <c r="I57" s="180">
        <f t="shared" si="4"/>
        <v>420000</v>
      </c>
      <c r="J57" s="407" t="s">
        <v>582</v>
      </c>
      <c r="K57" s="183">
        <f t="shared" si="5"/>
        <v>300000</v>
      </c>
      <c r="L57" s="407" t="s">
        <v>698</v>
      </c>
      <c r="M57" s="181">
        <f t="shared" si="6"/>
        <v>300000</v>
      </c>
      <c r="N57" s="181">
        <f t="shared" si="7"/>
        <v>1020000</v>
      </c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</row>
    <row r="58" spans="1:251" s="146" customFormat="1" ht="21.75" customHeight="1">
      <c r="A58" s="179">
        <v>51</v>
      </c>
      <c r="B58" s="403" t="s">
        <v>683</v>
      </c>
      <c r="C58" s="404" t="s">
        <v>684</v>
      </c>
      <c r="D58" s="405">
        <v>19</v>
      </c>
      <c r="E58" s="405"/>
      <c r="F58" s="463" t="s">
        <v>629</v>
      </c>
      <c r="G58" s="405" t="s">
        <v>599</v>
      </c>
      <c r="H58" s="400" t="s">
        <v>582</v>
      </c>
      <c r="I58" s="180">
        <f t="shared" si="4"/>
        <v>420000</v>
      </c>
      <c r="J58" s="407" t="s">
        <v>581</v>
      </c>
      <c r="K58" s="183">
        <f t="shared" si="5"/>
        <v>300000</v>
      </c>
      <c r="L58" s="407" t="s">
        <v>697</v>
      </c>
      <c r="M58" s="181">
        <f t="shared" si="6"/>
        <v>300000</v>
      </c>
      <c r="N58" s="181">
        <f t="shared" si="7"/>
        <v>1020000</v>
      </c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  <c r="IH58" s="175"/>
      <c r="II58" s="175"/>
      <c r="IJ58" s="175"/>
      <c r="IK58" s="175"/>
      <c r="IL58" s="175"/>
      <c r="IM58" s="175"/>
      <c r="IN58" s="175"/>
      <c r="IO58" s="175"/>
      <c r="IP58" s="175"/>
      <c r="IQ58" s="175"/>
    </row>
    <row r="59" spans="1:251" s="146" customFormat="1" ht="21.75" customHeight="1">
      <c r="A59" s="179">
        <v>52</v>
      </c>
      <c r="B59" s="403" t="s">
        <v>683</v>
      </c>
      <c r="C59" s="404" t="s">
        <v>685</v>
      </c>
      <c r="D59" s="405">
        <v>74</v>
      </c>
      <c r="E59" s="405"/>
      <c r="F59" s="463" t="s">
        <v>654</v>
      </c>
      <c r="G59" s="405" t="s">
        <v>592</v>
      </c>
      <c r="H59" s="400" t="s">
        <v>584</v>
      </c>
      <c r="I59" s="180">
        <f t="shared" si="4"/>
        <v>420000</v>
      </c>
      <c r="J59" s="407" t="s">
        <v>582</v>
      </c>
      <c r="K59" s="183">
        <f t="shared" si="5"/>
        <v>300000</v>
      </c>
      <c r="L59" s="407" t="s">
        <v>698</v>
      </c>
      <c r="M59" s="181">
        <f t="shared" si="6"/>
        <v>300000</v>
      </c>
      <c r="N59" s="181">
        <f t="shared" si="7"/>
        <v>1020000</v>
      </c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  <c r="IH59" s="175"/>
      <c r="II59" s="175"/>
      <c r="IJ59" s="175"/>
      <c r="IK59" s="175"/>
      <c r="IL59" s="175"/>
      <c r="IM59" s="175"/>
      <c r="IN59" s="175"/>
      <c r="IO59" s="175"/>
      <c r="IP59" s="175"/>
      <c r="IQ59" s="175"/>
    </row>
    <row r="60" spans="1:251" s="146" customFormat="1" ht="21.75" customHeight="1">
      <c r="A60" s="179">
        <v>53</v>
      </c>
      <c r="B60" s="403" t="s">
        <v>686</v>
      </c>
      <c r="C60" s="404" t="s">
        <v>687</v>
      </c>
      <c r="D60" s="405">
        <v>73</v>
      </c>
      <c r="E60" s="405"/>
      <c r="F60" s="463" t="s">
        <v>688</v>
      </c>
      <c r="G60" s="405" t="s">
        <v>599</v>
      </c>
      <c r="H60" s="400" t="s">
        <v>584</v>
      </c>
      <c r="I60" s="180">
        <f t="shared" si="4"/>
        <v>420000</v>
      </c>
      <c r="J60" s="407" t="s">
        <v>582</v>
      </c>
      <c r="K60" s="183">
        <f t="shared" si="5"/>
        <v>300000</v>
      </c>
      <c r="L60" s="407" t="s">
        <v>704</v>
      </c>
      <c r="M60" s="181">
        <f t="shared" si="6"/>
        <v>300000</v>
      </c>
      <c r="N60" s="181">
        <f t="shared" si="7"/>
        <v>1020000</v>
      </c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  <c r="HT60" s="175"/>
      <c r="HU60" s="175"/>
      <c r="HV60" s="175"/>
      <c r="HW60" s="175"/>
      <c r="HX60" s="175"/>
      <c r="HY60" s="175"/>
      <c r="HZ60" s="175"/>
      <c r="IA60" s="175"/>
      <c r="IB60" s="175"/>
      <c r="IC60" s="175"/>
      <c r="ID60" s="175"/>
      <c r="IE60" s="175"/>
      <c r="IF60" s="175"/>
      <c r="IG60" s="175"/>
      <c r="IH60" s="175"/>
      <c r="II60" s="175"/>
      <c r="IJ60" s="175"/>
      <c r="IK60" s="175"/>
      <c r="IL60" s="175"/>
      <c r="IM60" s="175"/>
      <c r="IN60" s="175"/>
      <c r="IO60" s="175"/>
      <c r="IP60" s="175"/>
      <c r="IQ60" s="175"/>
    </row>
    <row r="61" spans="1:251" s="146" customFormat="1" ht="21.75" customHeight="1">
      <c r="A61" s="179">
        <v>54</v>
      </c>
      <c r="B61" s="403" t="s">
        <v>689</v>
      </c>
      <c r="C61" s="404" t="s">
        <v>690</v>
      </c>
      <c r="D61" s="405">
        <v>18</v>
      </c>
      <c r="E61" s="405"/>
      <c r="F61" s="463" t="s">
        <v>656</v>
      </c>
      <c r="G61" s="405" t="s">
        <v>592</v>
      </c>
      <c r="H61" s="400" t="s">
        <v>580</v>
      </c>
      <c r="I61" s="180">
        <f t="shared" si="4"/>
        <v>420000</v>
      </c>
      <c r="J61" s="407" t="s">
        <v>699</v>
      </c>
      <c r="K61" s="183">
        <f t="shared" si="5"/>
        <v>300000</v>
      </c>
      <c r="L61" s="407" t="s">
        <v>697</v>
      </c>
      <c r="M61" s="181">
        <f t="shared" si="6"/>
        <v>300000</v>
      </c>
      <c r="N61" s="181">
        <f t="shared" si="7"/>
        <v>1020000</v>
      </c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  <c r="HT61" s="175"/>
      <c r="HU61" s="175"/>
      <c r="HV61" s="175"/>
      <c r="HW61" s="175"/>
      <c r="HX61" s="175"/>
      <c r="HY61" s="175"/>
      <c r="HZ61" s="175"/>
      <c r="IA61" s="175"/>
      <c r="IB61" s="175"/>
      <c r="IC61" s="175"/>
      <c r="ID61" s="175"/>
      <c r="IE61" s="175"/>
      <c r="IF61" s="175"/>
      <c r="IG61" s="175"/>
      <c r="IH61" s="175"/>
      <c r="II61" s="175"/>
      <c r="IJ61" s="175"/>
      <c r="IK61" s="175"/>
      <c r="IL61" s="175"/>
      <c r="IM61" s="175"/>
      <c r="IN61" s="175"/>
      <c r="IO61" s="175"/>
      <c r="IP61" s="175"/>
      <c r="IQ61" s="175"/>
    </row>
    <row r="62" spans="1:251" s="146" customFormat="1" ht="21.75" customHeight="1">
      <c r="A62" s="179">
        <v>55</v>
      </c>
      <c r="B62" s="403" t="s">
        <v>707</v>
      </c>
      <c r="C62" s="404" t="s">
        <v>708</v>
      </c>
      <c r="D62" s="405"/>
      <c r="E62" s="405">
        <v>52</v>
      </c>
      <c r="F62" s="404" t="s">
        <v>709</v>
      </c>
      <c r="G62" s="405" t="s">
        <v>710</v>
      </c>
      <c r="H62" s="400" t="s">
        <v>585</v>
      </c>
      <c r="I62" s="180">
        <f t="shared" si="4"/>
        <v>97500</v>
      </c>
      <c r="J62" s="407" t="s">
        <v>702</v>
      </c>
      <c r="K62" s="183">
        <f t="shared" si="5"/>
        <v>75000</v>
      </c>
      <c r="L62" s="407" t="s">
        <v>56</v>
      </c>
      <c r="M62" s="181">
        <f t="shared" si="6"/>
        <v>0</v>
      </c>
      <c r="N62" s="181">
        <f t="shared" si="7"/>
        <v>172500</v>
      </c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  <c r="HT62" s="175"/>
      <c r="HU62" s="175"/>
      <c r="HV62" s="175"/>
      <c r="HW62" s="175"/>
      <c r="HX62" s="175"/>
      <c r="HY62" s="175"/>
      <c r="HZ62" s="175"/>
      <c r="IA62" s="175"/>
      <c r="IB62" s="175"/>
      <c r="IC62" s="175"/>
      <c r="ID62" s="175"/>
      <c r="IE62" s="175"/>
      <c r="IF62" s="175"/>
      <c r="IG62" s="175"/>
      <c r="IH62" s="175"/>
      <c r="II62" s="175"/>
      <c r="IJ62" s="175"/>
      <c r="IK62" s="175"/>
      <c r="IL62" s="175"/>
      <c r="IM62" s="175"/>
      <c r="IN62" s="175"/>
      <c r="IO62" s="175"/>
      <c r="IP62" s="175"/>
      <c r="IQ62" s="175"/>
    </row>
    <row r="63" spans="1:251" s="146" customFormat="1" ht="21.75" customHeight="1">
      <c r="A63" s="179">
        <v>56</v>
      </c>
      <c r="B63" s="403" t="s">
        <v>711</v>
      </c>
      <c r="C63" s="404" t="s">
        <v>587</v>
      </c>
      <c r="D63" s="405">
        <v>67</v>
      </c>
      <c r="E63" s="405"/>
      <c r="F63" s="404" t="s">
        <v>712</v>
      </c>
      <c r="G63" s="405" t="s">
        <v>713</v>
      </c>
      <c r="H63" s="400" t="s">
        <v>585</v>
      </c>
      <c r="I63" s="180">
        <f t="shared" si="4"/>
        <v>97500</v>
      </c>
      <c r="J63" s="407" t="s">
        <v>702</v>
      </c>
      <c r="K63" s="183">
        <f t="shared" si="5"/>
        <v>75000</v>
      </c>
      <c r="L63" s="407" t="s">
        <v>56</v>
      </c>
      <c r="M63" s="181">
        <f t="shared" si="6"/>
        <v>0</v>
      </c>
      <c r="N63" s="181">
        <f t="shared" si="7"/>
        <v>172500</v>
      </c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  <c r="HT63" s="175"/>
      <c r="HU63" s="175"/>
      <c r="HV63" s="175"/>
      <c r="HW63" s="175"/>
      <c r="HX63" s="175"/>
      <c r="HY63" s="175"/>
      <c r="HZ63" s="175"/>
      <c r="IA63" s="175"/>
      <c r="IB63" s="175"/>
      <c r="IC63" s="175"/>
      <c r="ID63" s="175"/>
      <c r="IE63" s="175"/>
      <c r="IF63" s="175"/>
      <c r="IG63" s="175"/>
      <c r="IH63" s="175"/>
      <c r="II63" s="175"/>
      <c r="IJ63" s="175"/>
      <c r="IK63" s="175"/>
      <c r="IL63" s="175"/>
      <c r="IM63" s="175"/>
      <c r="IN63" s="175"/>
      <c r="IO63" s="175"/>
      <c r="IP63" s="175"/>
      <c r="IQ63" s="175"/>
    </row>
    <row r="64" spans="1:251" s="146" customFormat="1" ht="21.75" customHeight="1">
      <c r="A64" s="179">
        <v>57</v>
      </c>
      <c r="B64" s="403" t="s">
        <v>714</v>
      </c>
      <c r="C64" s="404" t="s">
        <v>708</v>
      </c>
      <c r="D64" s="405"/>
      <c r="E64" s="405">
        <v>52</v>
      </c>
      <c r="F64" s="404" t="s">
        <v>715</v>
      </c>
      <c r="G64" s="405" t="s">
        <v>713</v>
      </c>
      <c r="H64" s="400" t="s">
        <v>585</v>
      </c>
      <c r="I64" s="180">
        <f t="shared" si="4"/>
        <v>97500</v>
      </c>
      <c r="J64" s="407" t="s">
        <v>700</v>
      </c>
      <c r="K64" s="183">
        <f t="shared" si="5"/>
        <v>75000</v>
      </c>
      <c r="L64" s="407" t="s">
        <v>56</v>
      </c>
      <c r="M64" s="181">
        <f t="shared" si="6"/>
        <v>0</v>
      </c>
      <c r="N64" s="181">
        <f t="shared" si="7"/>
        <v>172500</v>
      </c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  <c r="IH64" s="175"/>
      <c r="II64" s="175"/>
      <c r="IJ64" s="175"/>
      <c r="IK64" s="175"/>
      <c r="IL64" s="175"/>
      <c r="IM64" s="175"/>
      <c r="IN64" s="175"/>
      <c r="IO64" s="175"/>
      <c r="IP64" s="175"/>
      <c r="IQ64" s="175"/>
    </row>
    <row r="65" spans="1:251" s="146" customFormat="1" ht="21.75" customHeight="1">
      <c r="A65" s="179">
        <v>58</v>
      </c>
      <c r="B65" s="403" t="s">
        <v>716</v>
      </c>
      <c r="C65" s="404" t="s">
        <v>601</v>
      </c>
      <c r="D65" s="405"/>
      <c r="E65" s="405">
        <v>69</v>
      </c>
      <c r="F65" s="404" t="s">
        <v>717</v>
      </c>
      <c r="G65" s="405" t="s">
        <v>713</v>
      </c>
      <c r="H65" s="400" t="s">
        <v>585</v>
      </c>
      <c r="I65" s="180">
        <f t="shared" si="4"/>
        <v>97500</v>
      </c>
      <c r="J65" s="407" t="s">
        <v>695</v>
      </c>
      <c r="K65" s="183">
        <f t="shared" si="5"/>
        <v>75000</v>
      </c>
      <c r="L65" s="407" t="s">
        <v>56</v>
      </c>
      <c r="M65" s="181">
        <f t="shared" si="6"/>
        <v>0</v>
      </c>
      <c r="N65" s="181">
        <f t="shared" si="7"/>
        <v>172500</v>
      </c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75"/>
      <c r="DK65" s="175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175"/>
      <c r="DW65" s="175"/>
      <c r="DX65" s="175"/>
      <c r="DY65" s="175"/>
      <c r="DZ65" s="175"/>
      <c r="EA65" s="175"/>
      <c r="EB65" s="175"/>
      <c r="EC65" s="175"/>
      <c r="ED65" s="175"/>
      <c r="EE65" s="175"/>
      <c r="EF65" s="175"/>
      <c r="EG65" s="175"/>
      <c r="EH65" s="175"/>
      <c r="EI65" s="175"/>
      <c r="EJ65" s="175"/>
      <c r="EK65" s="175"/>
      <c r="EL65" s="175"/>
      <c r="EM65" s="175"/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175"/>
      <c r="FI65" s="175"/>
      <c r="FJ65" s="175"/>
      <c r="FK65" s="175"/>
      <c r="FL65" s="175"/>
      <c r="FM65" s="175"/>
      <c r="FN65" s="175"/>
      <c r="FO65" s="175"/>
      <c r="FP65" s="175"/>
      <c r="FQ65" s="175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  <c r="HN65" s="175"/>
      <c r="HO65" s="175"/>
      <c r="HP65" s="175"/>
      <c r="HQ65" s="175"/>
      <c r="HR65" s="175"/>
      <c r="HS65" s="175"/>
      <c r="HT65" s="175"/>
      <c r="HU65" s="175"/>
      <c r="HV65" s="175"/>
      <c r="HW65" s="175"/>
      <c r="HX65" s="175"/>
      <c r="HY65" s="175"/>
      <c r="HZ65" s="175"/>
      <c r="IA65" s="175"/>
      <c r="IB65" s="175"/>
      <c r="IC65" s="175"/>
      <c r="ID65" s="175"/>
      <c r="IE65" s="175"/>
      <c r="IF65" s="175"/>
      <c r="IG65" s="175"/>
      <c r="IH65" s="175"/>
      <c r="II65" s="175"/>
      <c r="IJ65" s="175"/>
      <c r="IK65" s="175"/>
      <c r="IL65" s="175"/>
      <c r="IM65" s="175"/>
      <c r="IN65" s="175"/>
      <c r="IO65" s="175"/>
      <c r="IP65" s="175"/>
      <c r="IQ65" s="175"/>
    </row>
    <row r="66" spans="1:251" s="146" customFormat="1" ht="21.75" customHeight="1">
      <c r="A66" s="179">
        <v>59</v>
      </c>
      <c r="B66" s="403" t="s">
        <v>718</v>
      </c>
      <c r="C66" s="404" t="s">
        <v>587</v>
      </c>
      <c r="D66" s="405">
        <v>67</v>
      </c>
      <c r="E66" s="405"/>
      <c r="F66" s="404" t="s">
        <v>717</v>
      </c>
      <c r="G66" s="405" t="s">
        <v>713</v>
      </c>
      <c r="H66" s="400" t="s">
        <v>585</v>
      </c>
      <c r="I66" s="180">
        <f t="shared" si="4"/>
        <v>97500</v>
      </c>
      <c r="J66" s="407" t="s">
        <v>692</v>
      </c>
      <c r="K66" s="183">
        <f t="shared" si="5"/>
        <v>75000</v>
      </c>
      <c r="L66" s="407" t="s">
        <v>56</v>
      </c>
      <c r="M66" s="181">
        <f t="shared" si="6"/>
        <v>0</v>
      </c>
      <c r="N66" s="181">
        <f t="shared" si="7"/>
        <v>172500</v>
      </c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  <c r="HN66" s="175"/>
      <c r="HO66" s="175"/>
      <c r="HP66" s="175"/>
      <c r="HQ66" s="175"/>
      <c r="HR66" s="175"/>
      <c r="HS66" s="175"/>
      <c r="HT66" s="175"/>
      <c r="HU66" s="175"/>
      <c r="HV66" s="175"/>
      <c r="HW66" s="175"/>
      <c r="HX66" s="175"/>
      <c r="HY66" s="175"/>
      <c r="HZ66" s="175"/>
      <c r="IA66" s="175"/>
      <c r="IB66" s="175"/>
      <c r="IC66" s="175"/>
      <c r="ID66" s="175"/>
      <c r="IE66" s="175"/>
      <c r="IF66" s="175"/>
      <c r="IG66" s="175"/>
      <c r="IH66" s="175"/>
      <c r="II66" s="175"/>
      <c r="IJ66" s="175"/>
      <c r="IK66" s="175"/>
      <c r="IL66" s="175"/>
      <c r="IM66" s="175"/>
      <c r="IN66" s="175"/>
      <c r="IO66" s="175"/>
      <c r="IP66" s="175"/>
      <c r="IQ66" s="175"/>
    </row>
    <row r="67" spans="1:251" s="146" customFormat="1" ht="21.75" customHeight="1">
      <c r="A67" s="179">
        <v>60</v>
      </c>
      <c r="B67" s="403" t="s">
        <v>719</v>
      </c>
      <c r="C67" s="404" t="s">
        <v>708</v>
      </c>
      <c r="D67" s="405"/>
      <c r="E67" s="405">
        <v>52</v>
      </c>
      <c r="F67" s="404" t="s">
        <v>720</v>
      </c>
      <c r="G67" s="405" t="s">
        <v>713</v>
      </c>
      <c r="H67" s="400" t="s">
        <v>585</v>
      </c>
      <c r="I67" s="180">
        <f t="shared" si="4"/>
        <v>97500</v>
      </c>
      <c r="J67" s="407" t="s">
        <v>695</v>
      </c>
      <c r="K67" s="183">
        <f t="shared" si="5"/>
        <v>75000</v>
      </c>
      <c r="L67" s="407" t="s">
        <v>56</v>
      </c>
      <c r="M67" s="181">
        <f t="shared" si="6"/>
        <v>0</v>
      </c>
      <c r="N67" s="181">
        <f t="shared" si="7"/>
        <v>172500</v>
      </c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  <c r="IH67" s="175"/>
      <c r="II67" s="175"/>
      <c r="IJ67" s="175"/>
      <c r="IK67" s="175"/>
      <c r="IL67" s="175"/>
      <c r="IM67" s="175"/>
      <c r="IN67" s="175"/>
      <c r="IO67" s="175"/>
      <c r="IP67" s="175"/>
      <c r="IQ67" s="175"/>
    </row>
    <row r="68" spans="1:251" s="146" customFormat="1" ht="21.75" customHeight="1">
      <c r="A68" s="179">
        <v>61</v>
      </c>
      <c r="B68" s="403" t="s">
        <v>721</v>
      </c>
      <c r="C68" s="404" t="s">
        <v>601</v>
      </c>
      <c r="D68" s="405"/>
      <c r="E68" s="405">
        <v>69</v>
      </c>
      <c r="F68" s="404" t="s">
        <v>720</v>
      </c>
      <c r="G68" s="405" t="s">
        <v>713</v>
      </c>
      <c r="H68" s="400" t="s">
        <v>585</v>
      </c>
      <c r="I68" s="180">
        <f t="shared" si="4"/>
        <v>97500</v>
      </c>
      <c r="J68" s="407" t="s">
        <v>582</v>
      </c>
      <c r="K68" s="183">
        <f t="shared" si="5"/>
        <v>75000</v>
      </c>
      <c r="L68" s="407" t="s">
        <v>56</v>
      </c>
      <c r="M68" s="181">
        <f t="shared" si="6"/>
        <v>0</v>
      </c>
      <c r="N68" s="181">
        <f t="shared" si="7"/>
        <v>172500</v>
      </c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5"/>
      <c r="CI68" s="175"/>
      <c r="CJ68" s="175"/>
      <c r="CK68" s="175"/>
      <c r="CL68" s="175"/>
      <c r="CM68" s="175"/>
      <c r="CN68" s="175"/>
      <c r="CO68" s="175"/>
      <c r="CP68" s="175"/>
      <c r="CQ68" s="175"/>
      <c r="CR68" s="175"/>
      <c r="CS68" s="175"/>
      <c r="CT68" s="175"/>
      <c r="CU68" s="175"/>
      <c r="CV68" s="175"/>
      <c r="CW68" s="175"/>
      <c r="CX68" s="175"/>
      <c r="CY68" s="175"/>
      <c r="CZ68" s="175"/>
      <c r="DA68" s="175"/>
      <c r="DB68" s="175"/>
      <c r="DC68" s="175"/>
      <c r="DD68" s="175"/>
      <c r="DE68" s="175"/>
      <c r="DF68" s="175"/>
      <c r="DG68" s="175"/>
      <c r="DH68" s="175"/>
      <c r="DI68" s="175"/>
      <c r="DJ68" s="175"/>
      <c r="DK68" s="175"/>
      <c r="DL68" s="175"/>
      <c r="DM68" s="175"/>
      <c r="DN68" s="175"/>
      <c r="DO68" s="175"/>
      <c r="DP68" s="175"/>
      <c r="DQ68" s="175"/>
      <c r="DR68" s="175"/>
      <c r="DS68" s="175"/>
      <c r="DT68" s="175"/>
      <c r="DU68" s="175"/>
      <c r="DV68" s="175"/>
      <c r="DW68" s="175"/>
      <c r="DX68" s="175"/>
      <c r="DY68" s="175"/>
      <c r="DZ68" s="175"/>
      <c r="EA68" s="175"/>
      <c r="EB68" s="175"/>
      <c r="EC68" s="175"/>
      <c r="ED68" s="175"/>
      <c r="EE68" s="175"/>
      <c r="EF68" s="175"/>
      <c r="EG68" s="175"/>
      <c r="EH68" s="175"/>
      <c r="EI68" s="175"/>
      <c r="EJ68" s="175"/>
      <c r="EK68" s="175"/>
      <c r="EL68" s="175"/>
      <c r="EM68" s="175"/>
      <c r="EN68" s="175"/>
      <c r="EO68" s="175"/>
      <c r="EP68" s="175"/>
      <c r="EQ68" s="175"/>
      <c r="ER68" s="175"/>
      <c r="ES68" s="175"/>
      <c r="ET68" s="175"/>
      <c r="EU68" s="175"/>
      <c r="EV68" s="175"/>
      <c r="EW68" s="175"/>
      <c r="EX68" s="175"/>
      <c r="EY68" s="175"/>
      <c r="EZ68" s="175"/>
      <c r="FA68" s="175"/>
      <c r="FB68" s="175"/>
      <c r="FC68" s="175"/>
      <c r="FD68" s="175"/>
      <c r="FE68" s="175"/>
      <c r="FF68" s="175"/>
      <c r="FG68" s="175"/>
      <c r="FH68" s="175"/>
      <c r="FI68" s="175"/>
      <c r="FJ68" s="175"/>
      <c r="FK68" s="175"/>
      <c r="FL68" s="175"/>
      <c r="FM68" s="175"/>
      <c r="FN68" s="175"/>
      <c r="FO68" s="175"/>
      <c r="FP68" s="175"/>
      <c r="FQ68" s="175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  <c r="HN68" s="175"/>
      <c r="HO68" s="175"/>
      <c r="HP68" s="175"/>
      <c r="HQ68" s="175"/>
      <c r="HR68" s="175"/>
      <c r="HS68" s="175"/>
      <c r="HT68" s="175"/>
      <c r="HU68" s="175"/>
      <c r="HV68" s="175"/>
      <c r="HW68" s="175"/>
      <c r="HX68" s="175"/>
      <c r="HY68" s="175"/>
      <c r="HZ68" s="175"/>
      <c r="IA68" s="175"/>
      <c r="IB68" s="175"/>
      <c r="IC68" s="175"/>
      <c r="ID68" s="175"/>
      <c r="IE68" s="175"/>
      <c r="IF68" s="175"/>
      <c r="IG68" s="175"/>
      <c r="IH68" s="175"/>
      <c r="II68" s="175"/>
      <c r="IJ68" s="175"/>
      <c r="IK68" s="175"/>
      <c r="IL68" s="175"/>
      <c r="IM68" s="175"/>
      <c r="IN68" s="175"/>
      <c r="IO68" s="175"/>
      <c r="IP68" s="175"/>
      <c r="IQ68" s="175"/>
    </row>
    <row r="69" spans="1:251" s="146" customFormat="1" ht="21.75" customHeight="1">
      <c r="A69" s="179">
        <v>62</v>
      </c>
      <c r="B69" s="403" t="s">
        <v>600</v>
      </c>
      <c r="C69" s="404" t="s">
        <v>722</v>
      </c>
      <c r="D69" s="405">
        <v>76</v>
      </c>
      <c r="E69" s="405"/>
      <c r="F69" s="404" t="s">
        <v>723</v>
      </c>
      <c r="G69" s="405" t="s">
        <v>713</v>
      </c>
      <c r="H69" s="400" t="s">
        <v>580</v>
      </c>
      <c r="I69" s="180">
        <f t="shared" si="4"/>
        <v>97500</v>
      </c>
      <c r="J69" s="407" t="s">
        <v>696</v>
      </c>
      <c r="K69" s="183">
        <f t="shared" si="5"/>
        <v>75000</v>
      </c>
      <c r="L69" s="407" t="s">
        <v>56</v>
      </c>
      <c r="M69" s="181">
        <f t="shared" si="6"/>
        <v>0</v>
      </c>
      <c r="N69" s="181">
        <f t="shared" si="7"/>
        <v>172500</v>
      </c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  <c r="CH69" s="175"/>
      <c r="CI69" s="175"/>
      <c r="CJ69" s="175"/>
      <c r="CK69" s="175"/>
      <c r="CL69" s="175"/>
      <c r="CM69" s="175"/>
      <c r="CN69" s="175"/>
      <c r="CO69" s="175"/>
      <c r="CP69" s="175"/>
      <c r="CQ69" s="175"/>
      <c r="CR69" s="175"/>
      <c r="CS69" s="175"/>
      <c r="CT69" s="175"/>
      <c r="CU69" s="175"/>
      <c r="CV69" s="175"/>
      <c r="CW69" s="175"/>
      <c r="CX69" s="175"/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5"/>
      <c r="DS69" s="175"/>
      <c r="DT69" s="175"/>
      <c r="DU69" s="175"/>
      <c r="DV69" s="175"/>
      <c r="DW69" s="175"/>
      <c r="DX69" s="175"/>
      <c r="DY69" s="175"/>
      <c r="DZ69" s="175"/>
      <c r="EA69" s="175"/>
      <c r="EB69" s="175"/>
      <c r="EC69" s="175"/>
      <c r="ED69" s="175"/>
      <c r="EE69" s="175"/>
      <c r="EF69" s="175"/>
      <c r="EG69" s="175"/>
      <c r="EH69" s="175"/>
      <c r="EI69" s="175"/>
      <c r="EJ69" s="175"/>
      <c r="EK69" s="175"/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175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  <c r="HN69" s="175"/>
      <c r="HO69" s="175"/>
      <c r="HP69" s="175"/>
      <c r="HQ69" s="175"/>
      <c r="HR69" s="175"/>
      <c r="HS69" s="175"/>
      <c r="HT69" s="175"/>
      <c r="HU69" s="175"/>
      <c r="HV69" s="175"/>
      <c r="HW69" s="175"/>
      <c r="HX69" s="175"/>
      <c r="HY69" s="175"/>
      <c r="HZ69" s="175"/>
      <c r="IA69" s="175"/>
      <c r="IB69" s="175"/>
      <c r="IC69" s="175"/>
      <c r="ID69" s="175"/>
      <c r="IE69" s="175"/>
      <c r="IF69" s="175"/>
      <c r="IG69" s="175"/>
      <c r="IH69" s="175"/>
      <c r="II69" s="175"/>
      <c r="IJ69" s="175"/>
      <c r="IK69" s="175"/>
      <c r="IL69" s="175"/>
      <c r="IM69" s="175"/>
      <c r="IN69" s="175"/>
      <c r="IO69" s="175"/>
      <c r="IP69" s="175"/>
      <c r="IQ69" s="175"/>
    </row>
    <row r="70" spans="1:251" s="146" customFormat="1" ht="21.75" customHeight="1">
      <c r="A70" s="179">
        <v>63</v>
      </c>
      <c r="B70" s="403" t="s">
        <v>724</v>
      </c>
      <c r="C70" s="404" t="s">
        <v>725</v>
      </c>
      <c r="D70" s="405">
        <v>35</v>
      </c>
      <c r="E70" s="405"/>
      <c r="F70" s="404" t="s">
        <v>726</v>
      </c>
      <c r="G70" s="405" t="s">
        <v>713</v>
      </c>
      <c r="H70" s="400" t="s">
        <v>581</v>
      </c>
      <c r="I70" s="180">
        <f t="shared" si="4"/>
        <v>97500</v>
      </c>
      <c r="J70" s="407" t="s">
        <v>694</v>
      </c>
      <c r="K70" s="183">
        <f t="shared" si="5"/>
        <v>75000</v>
      </c>
      <c r="L70" s="407" t="s">
        <v>56</v>
      </c>
      <c r="M70" s="181">
        <f t="shared" si="6"/>
        <v>0</v>
      </c>
      <c r="N70" s="181">
        <f t="shared" si="7"/>
        <v>172500</v>
      </c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  <c r="CH70" s="175"/>
      <c r="CI70" s="175"/>
      <c r="CJ70" s="175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75"/>
      <c r="DK70" s="175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175"/>
      <c r="DW70" s="175"/>
      <c r="DX70" s="175"/>
      <c r="DY70" s="175"/>
      <c r="DZ70" s="175"/>
      <c r="EA70" s="175"/>
      <c r="EB70" s="175"/>
      <c r="EC70" s="175"/>
      <c r="ED70" s="175"/>
      <c r="EE70" s="175"/>
      <c r="EF70" s="175"/>
      <c r="EG70" s="175"/>
      <c r="EH70" s="175"/>
      <c r="EI70" s="175"/>
      <c r="EJ70" s="175"/>
      <c r="EK70" s="175"/>
      <c r="EL70" s="175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175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  <c r="HN70" s="175"/>
      <c r="HO70" s="175"/>
      <c r="HP70" s="175"/>
      <c r="HQ70" s="175"/>
      <c r="HR70" s="175"/>
      <c r="HS70" s="175"/>
      <c r="HT70" s="175"/>
      <c r="HU70" s="175"/>
      <c r="HV70" s="175"/>
      <c r="HW70" s="175"/>
      <c r="HX70" s="175"/>
      <c r="HY70" s="175"/>
      <c r="HZ70" s="175"/>
      <c r="IA70" s="175"/>
      <c r="IB70" s="175"/>
      <c r="IC70" s="175"/>
      <c r="ID70" s="175"/>
      <c r="IE70" s="175"/>
      <c r="IF70" s="175"/>
      <c r="IG70" s="175"/>
      <c r="IH70" s="175"/>
      <c r="II70" s="175"/>
      <c r="IJ70" s="175"/>
      <c r="IK70" s="175"/>
      <c r="IL70" s="175"/>
      <c r="IM70" s="175"/>
      <c r="IN70" s="175"/>
      <c r="IO70" s="175"/>
      <c r="IP70" s="175"/>
      <c r="IQ70" s="175"/>
    </row>
    <row r="71" spans="1:251" s="146" customFormat="1" ht="21.75" customHeight="1">
      <c r="A71" s="179">
        <v>64</v>
      </c>
      <c r="B71" s="403" t="s">
        <v>608</v>
      </c>
      <c r="C71" s="404" t="s">
        <v>727</v>
      </c>
      <c r="D71" s="405">
        <v>68</v>
      </c>
      <c r="E71" s="405"/>
      <c r="F71" s="404" t="s">
        <v>717</v>
      </c>
      <c r="G71" s="405" t="s">
        <v>713</v>
      </c>
      <c r="H71" s="400" t="s">
        <v>580</v>
      </c>
      <c r="I71" s="180">
        <f t="shared" si="4"/>
        <v>97500</v>
      </c>
      <c r="J71" s="407" t="s">
        <v>581</v>
      </c>
      <c r="K71" s="183">
        <f t="shared" si="5"/>
        <v>75000</v>
      </c>
      <c r="L71" s="407" t="s">
        <v>56</v>
      </c>
      <c r="M71" s="181">
        <f t="shared" si="6"/>
        <v>0</v>
      </c>
      <c r="N71" s="181">
        <f t="shared" si="7"/>
        <v>172500</v>
      </c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5"/>
      <c r="EF71" s="175"/>
      <c r="EG71" s="175"/>
      <c r="EH71" s="175"/>
      <c r="EI71" s="175"/>
      <c r="EJ71" s="175"/>
      <c r="EK71" s="175"/>
      <c r="EL71" s="175"/>
      <c r="EM71" s="175"/>
      <c r="EN71" s="175"/>
      <c r="EO71" s="175"/>
      <c r="EP71" s="175"/>
      <c r="EQ71" s="175"/>
      <c r="ER71" s="175"/>
      <c r="ES71" s="175"/>
      <c r="ET71" s="175"/>
      <c r="EU71" s="175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5"/>
      <c r="FG71" s="175"/>
      <c r="FH71" s="175"/>
      <c r="FI71" s="175"/>
      <c r="FJ71" s="175"/>
      <c r="FK71" s="175"/>
      <c r="FL71" s="175"/>
      <c r="FM71" s="175"/>
      <c r="FN71" s="175"/>
      <c r="FO71" s="175"/>
      <c r="FP71" s="175"/>
      <c r="FQ71" s="175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  <c r="HN71" s="175"/>
      <c r="HO71" s="175"/>
      <c r="HP71" s="175"/>
      <c r="HQ71" s="175"/>
      <c r="HR71" s="175"/>
      <c r="HS71" s="175"/>
      <c r="HT71" s="175"/>
      <c r="HU71" s="175"/>
      <c r="HV71" s="175"/>
      <c r="HW71" s="175"/>
      <c r="HX71" s="175"/>
      <c r="HY71" s="175"/>
      <c r="HZ71" s="175"/>
      <c r="IA71" s="175"/>
      <c r="IB71" s="175"/>
      <c r="IC71" s="175"/>
      <c r="ID71" s="175"/>
      <c r="IE71" s="175"/>
      <c r="IF71" s="175"/>
      <c r="IG71" s="175"/>
      <c r="IH71" s="175"/>
      <c r="II71" s="175"/>
      <c r="IJ71" s="175"/>
      <c r="IK71" s="175"/>
      <c r="IL71" s="175"/>
      <c r="IM71" s="175"/>
      <c r="IN71" s="175"/>
      <c r="IO71" s="175"/>
      <c r="IP71" s="175"/>
      <c r="IQ71" s="175"/>
    </row>
    <row r="72" spans="1:251" s="146" customFormat="1" ht="21.75" customHeight="1">
      <c r="A72" s="179">
        <v>65</v>
      </c>
      <c r="B72" s="403" t="s">
        <v>608</v>
      </c>
      <c r="C72" s="404" t="s">
        <v>728</v>
      </c>
      <c r="D72" s="405">
        <v>46</v>
      </c>
      <c r="E72" s="405"/>
      <c r="F72" s="404" t="s">
        <v>717</v>
      </c>
      <c r="G72" s="405" t="s">
        <v>713</v>
      </c>
      <c r="H72" s="400" t="s">
        <v>581</v>
      </c>
      <c r="I72" s="180">
        <f t="shared" si="4"/>
        <v>97500</v>
      </c>
      <c r="J72" s="407" t="s">
        <v>696</v>
      </c>
      <c r="K72" s="183">
        <f t="shared" si="5"/>
        <v>75000</v>
      </c>
      <c r="L72" s="407" t="s">
        <v>56</v>
      </c>
      <c r="M72" s="181">
        <f t="shared" si="6"/>
        <v>0</v>
      </c>
      <c r="N72" s="181">
        <f t="shared" si="7"/>
        <v>172500</v>
      </c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5"/>
      <c r="DS72" s="175"/>
      <c r="DT72" s="175"/>
      <c r="DU72" s="175"/>
      <c r="DV72" s="175"/>
      <c r="DW72" s="175"/>
      <c r="DX72" s="175"/>
      <c r="DY72" s="175"/>
      <c r="DZ72" s="175"/>
      <c r="EA72" s="175"/>
      <c r="EB72" s="175"/>
      <c r="EC72" s="175"/>
      <c r="ED72" s="175"/>
      <c r="EE72" s="175"/>
      <c r="EF72" s="175"/>
      <c r="EG72" s="175"/>
      <c r="EH72" s="175"/>
      <c r="EI72" s="175"/>
      <c r="EJ72" s="175"/>
      <c r="EK72" s="175"/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175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  <c r="HN72" s="175"/>
      <c r="HO72" s="175"/>
      <c r="HP72" s="175"/>
      <c r="HQ72" s="175"/>
      <c r="HR72" s="175"/>
      <c r="HS72" s="175"/>
      <c r="HT72" s="175"/>
      <c r="HU72" s="175"/>
      <c r="HV72" s="175"/>
      <c r="HW72" s="175"/>
      <c r="HX72" s="175"/>
      <c r="HY72" s="175"/>
      <c r="HZ72" s="175"/>
      <c r="IA72" s="175"/>
      <c r="IB72" s="175"/>
      <c r="IC72" s="175"/>
      <c r="ID72" s="175"/>
      <c r="IE72" s="175"/>
      <c r="IF72" s="175"/>
      <c r="IG72" s="175"/>
      <c r="IH72" s="175"/>
      <c r="II72" s="175"/>
      <c r="IJ72" s="175"/>
      <c r="IK72" s="175"/>
      <c r="IL72" s="175"/>
      <c r="IM72" s="175"/>
      <c r="IN72" s="175"/>
      <c r="IO72" s="175"/>
      <c r="IP72" s="175"/>
      <c r="IQ72" s="175"/>
    </row>
    <row r="73" spans="1:251" s="146" customFormat="1" ht="21.75" customHeight="1">
      <c r="A73" s="179">
        <v>66</v>
      </c>
      <c r="B73" s="403" t="s">
        <v>608</v>
      </c>
      <c r="C73" s="404" t="s">
        <v>729</v>
      </c>
      <c r="D73" s="405">
        <v>28</v>
      </c>
      <c r="E73" s="405"/>
      <c r="F73" s="404" t="s">
        <v>726</v>
      </c>
      <c r="G73" s="405" t="s">
        <v>710</v>
      </c>
      <c r="H73" s="400" t="s">
        <v>582</v>
      </c>
      <c r="I73" s="180">
        <f t="shared" si="4"/>
        <v>97500</v>
      </c>
      <c r="J73" s="407" t="s">
        <v>695</v>
      </c>
      <c r="K73" s="183">
        <f t="shared" si="5"/>
        <v>75000</v>
      </c>
      <c r="L73" s="407" t="s">
        <v>56</v>
      </c>
      <c r="M73" s="181">
        <f t="shared" si="6"/>
        <v>0</v>
      </c>
      <c r="N73" s="181">
        <f t="shared" si="7"/>
        <v>172500</v>
      </c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75"/>
      <c r="BU73" s="175"/>
      <c r="BV73" s="175"/>
      <c r="BW73" s="175"/>
      <c r="BX73" s="175"/>
      <c r="BY73" s="175"/>
      <c r="BZ73" s="175"/>
      <c r="CA73" s="175"/>
      <c r="CB73" s="175"/>
      <c r="CC73" s="175"/>
      <c r="CD73" s="175"/>
      <c r="CE73" s="175"/>
      <c r="CF73" s="175"/>
      <c r="CG73" s="175"/>
      <c r="CH73" s="175"/>
      <c r="CI73" s="175"/>
      <c r="CJ73" s="175"/>
      <c r="CK73" s="175"/>
      <c r="CL73" s="175"/>
      <c r="CM73" s="175"/>
      <c r="CN73" s="175"/>
      <c r="CO73" s="175"/>
      <c r="CP73" s="175"/>
      <c r="CQ73" s="175"/>
      <c r="CR73" s="175"/>
      <c r="CS73" s="175"/>
      <c r="CT73" s="175"/>
      <c r="CU73" s="175"/>
      <c r="CV73" s="175"/>
      <c r="CW73" s="175"/>
      <c r="CX73" s="175"/>
      <c r="CY73" s="175"/>
      <c r="CZ73" s="175"/>
      <c r="DA73" s="175"/>
      <c r="DB73" s="175"/>
      <c r="DC73" s="175"/>
      <c r="DD73" s="175"/>
      <c r="DE73" s="175"/>
      <c r="DF73" s="175"/>
      <c r="DG73" s="175"/>
      <c r="DH73" s="175"/>
      <c r="DI73" s="175"/>
      <c r="DJ73" s="175"/>
      <c r="DK73" s="175"/>
      <c r="DL73" s="175"/>
      <c r="DM73" s="175"/>
      <c r="DN73" s="175"/>
      <c r="DO73" s="175"/>
      <c r="DP73" s="175"/>
      <c r="DQ73" s="175"/>
      <c r="DR73" s="175"/>
      <c r="DS73" s="175"/>
      <c r="DT73" s="175"/>
      <c r="DU73" s="175"/>
      <c r="DV73" s="175"/>
      <c r="DW73" s="175"/>
      <c r="DX73" s="175"/>
      <c r="DY73" s="175"/>
      <c r="DZ73" s="175"/>
      <c r="EA73" s="175"/>
      <c r="EB73" s="175"/>
      <c r="EC73" s="175"/>
      <c r="ED73" s="175"/>
      <c r="EE73" s="175"/>
      <c r="EF73" s="175"/>
      <c r="EG73" s="175"/>
      <c r="EH73" s="175"/>
      <c r="EI73" s="175"/>
      <c r="EJ73" s="175"/>
      <c r="EK73" s="175"/>
      <c r="EL73" s="175"/>
      <c r="EM73" s="175"/>
      <c r="EN73" s="175"/>
      <c r="EO73" s="175"/>
      <c r="EP73" s="175"/>
      <c r="EQ73" s="175"/>
      <c r="ER73" s="175"/>
      <c r="ES73" s="175"/>
      <c r="ET73" s="175"/>
      <c r="EU73" s="175"/>
      <c r="EV73" s="175"/>
      <c r="EW73" s="175"/>
      <c r="EX73" s="175"/>
      <c r="EY73" s="175"/>
      <c r="EZ73" s="175"/>
      <c r="FA73" s="175"/>
      <c r="FB73" s="175"/>
      <c r="FC73" s="175"/>
      <c r="FD73" s="175"/>
      <c r="FE73" s="175"/>
      <c r="FF73" s="175"/>
      <c r="FG73" s="175"/>
      <c r="FH73" s="175"/>
      <c r="FI73" s="175"/>
      <c r="FJ73" s="175"/>
      <c r="FK73" s="175"/>
      <c r="FL73" s="175"/>
      <c r="FM73" s="175"/>
      <c r="FN73" s="175"/>
      <c r="FO73" s="175"/>
      <c r="FP73" s="175"/>
      <c r="FQ73" s="175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  <c r="HN73" s="175"/>
      <c r="HO73" s="175"/>
      <c r="HP73" s="175"/>
      <c r="HQ73" s="175"/>
      <c r="HR73" s="175"/>
      <c r="HS73" s="175"/>
      <c r="HT73" s="175"/>
      <c r="HU73" s="175"/>
      <c r="HV73" s="175"/>
      <c r="HW73" s="175"/>
      <c r="HX73" s="175"/>
      <c r="HY73" s="175"/>
      <c r="HZ73" s="175"/>
      <c r="IA73" s="175"/>
      <c r="IB73" s="175"/>
      <c r="IC73" s="175"/>
      <c r="ID73" s="175"/>
      <c r="IE73" s="175"/>
      <c r="IF73" s="175"/>
      <c r="IG73" s="175"/>
      <c r="IH73" s="175"/>
      <c r="II73" s="175"/>
      <c r="IJ73" s="175"/>
      <c r="IK73" s="175"/>
      <c r="IL73" s="175"/>
      <c r="IM73" s="175"/>
      <c r="IN73" s="175"/>
      <c r="IO73" s="175"/>
      <c r="IP73" s="175"/>
      <c r="IQ73" s="175"/>
    </row>
    <row r="74" spans="1:251" s="146" customFormat="1" ht="21.75" customHeight="1">
      <c r="A74" s="179">
        <v>67</v>
      </c>
      <c r="B74" s="403" t="s">
        <v>730</v>
      </c>
      <c r="C74" s="404" t="s">
        <v>731</v>
      </c>
      <c r="D74" s="405"/>
      <c r="E74" s="405">
        <v>19</v>
      </c>
      <c r="F74" s="404" t="s">
        <v>726</v>
      </c>
      <c r="G74" s="405" t="s">
        <v>713</v>
      </c>
      <c r="H74" s="400" t="s">
        <v>580</v>
      </c>
      <c r="I74" s="180">
        <f t="shared" si="4"/>
        <v>97500</v>
      </c>
      <c r="J74" s="407" t="s">
        <v>703</v>
      </c>
      <c r="K74" s="183">
        <f t="shared" si="5"/>
        <v>75000</v>
      </c>
      <c r="L74" s="407" t="s">
        <v>56</v>
      </c>
      <c r="M74" s="181">
        <f t="shared" si="6"/>
        <v>0</v>
      </c>
      <c r="N74" s="181">
        <f t="shared" si="7"/>
        <v>172500</v>
      </c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  <c r="BT74" s="175"/>
      <c r="BU74" s="175"/>
      <c r="BV74" s="175"/>
      <c r="BW74" s="175"/>
      <c r="BX74" s="175"/>
      <c r="BY74" s="175"/>
      <c r="BZ74" s="175"/>
      <c r="CA74" s="175"/>
      <c r="CB74" s="175"/>
      <c r="CC74" s="175"/>
      <c r="CD74" s="175"/>
      <c r="CE74" s="175"/>
      <c r="CF74" s="175"/>
      <c r="CG74" s="175"/>
      <c r="CH74" s="175"/>
      <c r="CI74" s="175"/>
      <c r="CJ74" s="175"/>
      <c r="CK74" s="175"/>
      <c r="CL74" s="175"/>
      <c r="CM74" s="175"/>
      <c r="CN74" s="175"/>
      <c r="CO74" s="175"/>
      <c r="CP74" s="175"/>
      <c r="CQ74" s="175"/>
      <c r="CR74" s="175"/>
      <c r="CS74" s="175"/>
      <c r="CT74" s="175"/>
      <c r="CU74" s="175"/>
      <c r="CV74" s="175"/>
      <c r="CW74" s="175"/>
      <c r="CX74" s="175"/>
      <c r="CY74" s="175"/>
      <c r="CZ74" s="175"/>
      <c r="DA74" s="175"/>
      <c r="DB74" s="175"/>
      <c r="DC74" s="175"/>
      <c r="DD74" s="175"/>
      <c r="DE74" s="175"/>
      <c r="DF74" s="175"/>
      <c r="DG74" s="175"/>
      <c r="DH74" s="175"/>
      <c r="DI74" s="175"/>
      <c r="DJ74" s="175"/>
      <c r="DK74" s="175"/>
      <c r="DL74" s="175"/>
      <c r="DM74" s="175"/>
      <c r="DN74" s="175"/>
      <c r="DO74" s="175"/>
      <c r="DP74" s="175"/>
      <c r="DQ74" s="175"/>
      <c r="DR74" s="175"/>
      <c r="DS74" s="175"/>
      <c r="DT74" s="175"/>
      <c r="DU74" s="175"/>
      <c r="DV74" s="175"/>
      <c r="DW74" s="175"/>
      <c r="DX74" s="175"/>
      <c r="DY74" s="175"/>
      <c r="DZ74" s="175"/>
      <c r="EA74" s="175"/>
      <c r="EB74" s="175"/>
      <c r="EC74" s="175"/>
      <c r="ED74" s="175"/>
      <c r="EE74" s="175"/>
      <c r="EF74" s="175"/>
      <c r="EG74" s="175"/>
      <c r="EH74" s="175"/>
      <c r="EI74" s="175"/>
      <c r="EJ74" s="175"/>
      <c r="EK74" s="175"/>
      <c r="EL74" s="175"/>
      <c r="EM74" s="175"/>
      <c r="EN74" s="175"/>
      <c r="EO74" s="175"/>
      <c r="EP74" s="175"/>
      <c r="EQ74" s="175"/>
      <c r="ER74" s="175"/>
      <c r="ES74" s="175"/>
      <c r="ET74" s="175"/>
      <c r="EU74" s="175"/>
      <c r="EV74" s="175"/>
      <c r="EW74" s="175"/>
      <c r="EX74" s="175"/>
      <c r="EY74" s="175"/>
      <c r="EZ74" s="175"/>
      <c r="FA74" s="175"/>
      <c r="FB74" s="175"/>
      <c r="FC74" s="175"/>
      <c r="FD74" s="175"/>
      <c r="FE74" s="175"/>
      <c r="FF74" s="175"/>
      <c r="FG74" s="175"/>
      <c r="FH74" s="175"/>
      <c r="FI74" s="175"/>
      <c r="FJ74" s="175"/>
      <c r="FK74" s="175"/>
      <c r="FL74" s="175"/>
      <c r="FM74" s="175"/>
      <c r="FN74" s="175"/>
      <c r="FO74" s="175"/>
      <c r="FP74" s="175"/>
      <c r="FQ74" s="175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  <c r="HN74" s="175"/>
      <c r="HO74" s="175"/>
      <c r="HP74" s="175"/>
      <c r="HQ74" s="175"/>
      <c r="HR74" s="175"/>
      <c r="HS74" s="175"/>
      <c r="HT74" s="175"/>
      <c r="HU74" s="175"/>
      <c r="HV74" s="175"/>
      <c r="HW74" s="175"/>
      <c r="HX74" s="175"/>
      <c r="HY74" s="175"/>
      <c r="HZ74" s="175"/>
      <c r="IA74" s="175"/>
      <c r="IB74" s="175"/>
      <c r="IC74" s="175"/>
      <c r="ID74" s="175"/>
      <c r="IE74" s="175"/>
      <c r="IF74" s="175"/>
      <c r="IG74" s="175"/>
      <c r="IH74" s="175"/>
      <c r="II74" s="175"/>
      <c r="IJ74" s="175"/>
      <c r="IK74" s="175"/>
      <c r="IL74" s="175"/>
      <c r="IM74" s="175"/>
      <c r="IN74" s="175"/>
      <c r="IO74" s="175"/>
      <c r="IP74" s="175"/>
      <c r="IQ74" s="175"/>
    </row>
    <row r="75" spans="1:251" s="146" customFormat="1" ht="21.75" customHeight="1">
      <c r="A75" s="179">
        <v>68</v>
      </c>
      <c r="B75" s="403" t="s">
        <v>625</v>
      </c>
      <c r="C75" s="404" t="s">
        <v>732</v>
      </c>
      <c r="D75" s="405">
        <v>57</v>
      </c>
      <c r="E75" s="405"/>
      <c r="F75" s="404" t="s">
        <v>723</v>
      </c>
      <c r="G75" s="405" t="s">
        <v>713</v>
      </c>
      <c r="H75" s="400" t="s">
        <v>581</v>
      </c>
      <c r="I75" s="180">
        <f t="shared" si="4"/>
        <v>97500</v>
      </c>
      <c r="J75" s="407" t="s">
        <v>694</v>
      </c>
      <c r="K75" s="183">
        <f t="shared" si="5"/>
        <v>75000</v>
      </c>
      <c r="L75" s="407" t="s">
        <v>56</v>
      </c>
      <c r="M75" s="181">
        <f t="shared" si="6"/>
        <v>0</v>
      </c>
      <c r="N75" s="181">
        <f t="shared" si="7"/>
        <v>172500</v>
      </c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175"/>
      <c r="CL75" s="175"/>
      <c r="CM75" s="175"/>
      <c r="CN75" s="175"/>
      <c r="CO75" s="175"/>
      <c r="CP75" s="175"/>
      <c r="CQ75" s="175"/>
      <c r="CR75" s="175"/>
      <c r="CS75" s="175"/>
      <c r="CT75" s="175"/>
      <c r="CU75" s="175"/>
      <c r="CV75" s="175"/>
      <c r="CW75" s="175"/>
      <c r="CX75" s="175"/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175"/>
      <c r="DP75" s="175"/>
      <c r="DQ75" s="175"/>
      <c r="DR75" s="175"/>
      <c r="DS75" s="175"/>
      <c r="DT75" s="175"/>
      <c r="DU75" s="175"/>
      <c r="DV75" s="175"/>
      <c r="DW75" s="175"/>
      <c r="DX75" s="175"/>
      <c r="DY75" s="175"/>
      <c r="DZ75" s="175"/>
      <c r="EA75" s="175"/>
      <c r="EB75" s="175"/>
      <c r="EC75" s="175"/>
      <c r="ED75" s="175"/>
      <c r="EE75" s="175"/>
      <c r="EF75" s="175"/>
      <c r="EG75" s="175"/>
      <c r="EH75" s="175"/>
      <c r="EI75" s="175"/>
      <c r="EJ75" s="175"/>
      <c r="EK75" s="175"/>
      <c r="EL75" s="175"/>
      <c r="EM75" s="175"/>
      <c r="EN75" s="175"/>
      <c r="EO75" s="175"/>
      <c r="EP75" s="175"/>
      <c r="EQ75" s="175"/>
      <c r="ER75" s="175"/>
      <c r="ES75" s="175"/>
      <c r="ET75" s="175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175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  <c r="HN75" s="175"/>
      <c r="HO75" s="175"/>
      <c r="HP75" s="175"/>
      <c r="HQ75" s="175"/>
      <c r="HR75" s="175"/>
      <c r="HS75" s="175"/>
      <c r="HT75" s="175"/>
      <c r="HU75" s="175"/>
      <c r="HV75" s="175"/>
      <c r="HW75" s="175"/>
      <c r="HX75" s="175"/>
      <c r="HY75" s="175"/>
      <c r="HZ75" s="175"/>
      <c r="IA75" s="175"/>
      <c r="IB75" s="175"/>
      <c r="IC75" s="175"/>
      <c r="ID75" s="175"/>
      <c r="IE75" s="175"/>
      <c r="IF75" s="175"/>
      <c r="IG75" s="175"/>
      <c r="IH75" s="175"/>
      <c r="II75" s="175"/>
      <c r="IJ75" s="175"/>
      <c r="IK75" s="175"/>
      <c r="IL75" s="175"/>
      <c r="IM75" s="175"/>
      <c r="IN75" s="175"/>
      <c r="IO75" s="175"/>
      <c r="IP75" s="175"/>
      <c r="IQ75" s="175"/>
    </row>
    <row r="76" spans="1:251" s="146" customFormat="1" ht="21.75" customHeight="1">
      <c r="A76" s="179">
        <v>69</v>
      </c>
      <c r="B76" s="403" t="s">
        <v>630</v>
      </c>
      <c r="C76" s="404" t="s">
        <v>722</v>
      </c>
      <c r="D76" s="405">
        <v>76</v>
      </c>
      <c r="E76" s="405"/>
      <c r="F76" s="404" t="s">
        <v>733</v>
      </c>
      <c r="G76" s="405" t="s">
        <v>713</v>
      </c>
      <c r="H76" s="400" t="s">
        <v>580</v>
      </c>
      <c r="I76" s="180">
        <f t="shared" si="4"/>
        <v>97500</v>
      </c>
      <c r="J76" s="407" t="s">
        <v>701</v>
      </c>
      <c r="K76" s="183">
        <f t="shared" si="5"/>
        <v>75000</v>
      </c>
      <c r="L76" s="407" t="s">
        <v>56</v>
      </c>
      <c r="M76" s="181">
        <f t="shared" si="6"/>
        <v>0</v>
      </c>
      <c r="N76" s="181">
        <f t="shared" si="7"/>
        <v>172500</v>
      </c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/>
      <c r="BY76" s="175"/>
      <c r="BZ76" s="175"/>
      <c r="CA76" s="175"/>
      <c r="CB76" s="175"/>
      <c r="CC76" s="175"/>
      <c r="CD76" s="175"/>
      <c r="CE76" s="175"/>
      <c r="CF76" s="175"/>
      <c r="CG76" s="175"/>
      <c r="CH76" s="175"/>
      <c r="CI76" s="175"/>
      <c r="CJ76" s="175"/>
      <c r="CK76" s="175"/>
      <c r="CL76" s="175"/>
      <c r="CM76" s="175"/>
      <c r="CN76" s="175"/>
      <c r="CO76" s="175"/>
      <c r="CP76" s="175"/>
      <c r="CQ76" s="175"/>
      <c r="CR76" s="175"/>
      <c r="CS76" s="175"/>
      <c r="CT76" s="175"/>
      <c r="CU76" s="175"/>
      <c r="CV76" s="175"/>
      <c r="CW76" s="175"/>
      <c r="CX76" s="175"/>
      <c r="CY76" s="175"/>
      <c r="CZ76" s="175"/>
      <c r="DA76" s="175"/>
      <c r="DB76" s="175"/>
      <c r="DC76" s="175"/>
      <c r="DD76" s="175"/>
      <c r="DE76" s="175"/>
      <c r="DF76" s="175"/>
      <c r="DG76" s="175"/>
      <c r="DH76" s="175"/>
      <c r="DI76" s="175"/>
      <c r="DJ76" s="175"/>
      <c r="DK76" s="175"/>
      <c r="DL76" s="175"/>
      <c r="DM76" s="175"/>
      <c r="DN76" s="175"/>
      <c r="DO76" s="175"/>
      <c r="DP76" s="175"/>
      <c r="DQ76" s="175"/>
      <c r="DR76" s="175"/>
      <c r="DS76" s="175"/>
      <c r="DT76" s="175"/>
      <c r="DU76" s="175"/>
      <c r="DV76" s="175"/>
      <c r="DW76" s="175"/>
      <c r="DX76" s="175"/>
      <c r="DY76" s="175"/>
      <c r="DZ76" s="175"/>
      <c r="EA76" s="175"/>
      <c r="EB76" s="175"/>
      <c r="EC76" s="175"/>
      <c r="ED76" s="175"/>
      <c r="EE76" s="175"/>
      <c r="EF76" s="175"/>
      <c r="EG76" s="175"/>
      <c r="EH76" s="175"/>
      <c r="EI76" s="175"/>
      <c r="EJ76" s="175"/>
      <c r="EK76" s="175"/>
      <c r="EL76" s="175"/>
      <c r="EM76" s="175"/>
      <c r="EN76" s="175"/>
      <c r="EO76" s="175"/>
      <c r="EP76" s="175"/>
      <c r="EQ76" s="175"/>
      <c r="ER76" s="175"/>
      <c r="ES76" s="175"/>
      <c r="ET76" s="175"/>
      <c r="EU76" s="175"/>
      <c r="EV76" s="175"/>
      <c r="EW76" s="175"/>
      <c r="EX76" s="175"/>
      <c r="EY76" s="175"/>
      <c r="EZ76" s="175"/>
      <c r="FA76" s="175"/>
      <c r="FB76" s="175"/>
      <c r="FC76" s="175"/>
      <c r="FD76" s="175"/>
      <c r="FE76" s="175"/>
      <c r="FF76" s="175"/>
      <c r="FG76" s="175"/>
      <c r="FH76" s="175"/>
      <c r="FI76" s="175"/>
      <c r="FJ76" s="175"/>
      <c r="FK76" s="175"/>
      <c r="FL76" s="175"/>
      <c r="FM76" s="175"/>
      <c r="FN76" s="175"/>
      <c r="FO76" s="175"/>
      <c r="FP76" s="175"/>
      <c r="FQ76" s="175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  <c r="HN76" s="175"/>
      <c r="HO76" s="175"/>
      <c r="HP76" s="175"/>
      <c r="HQ76" s="175"/>
      <c r="HR76" s="175"/>
      <c r="HS76" s="175"/>
      <c r="HT76" s="175"/>
      <c r="HU76" s="175"/>
      <c r="HV76" s="175"/>
      <c r="HW76" s="175"/>
      <c r="HX76" s="175"/>
      <c r="HY76" s="175"/>
      <c r="HZ76" s="175"/>
      <c r="IA76" s="175"/>
      <c r="IB76" s="175"/>
      <c r="IC76" s="175"/>
      <c r="ID76" s="175"/>
      <c r="IE76" s="175"/>
      <c r="IF76" s="175"/>
      <c r="IG76" s="175"/>
      <c r="IH76" s="175"/>
      <c r="II76" s="175"/>
      <c r="IJ76" s="175"/>
      <c r="IK76" s="175"/>
      <c r="IL76" s="175"/>
      <c r="IM76" s="175"/>
      <c r="IN76" s="175"/>
      <c r="IO76" s="175"/>
      <c r="IP76" s="175"/>
      <c r="IQ76" s="175"/>
    </row>
    <row r="77" spans="1:251" s="146" customFormat="1" ht="21.75" customHeight="1">
      <c r="A77" s="179">
        <v>70</v>
      </c>
      <c r="B77" s="403" t="s">
        <v>634</v>
      </c>
      <c r="C77" s="404" t="s">
        <v>734</v>
      </c>
      <c r="D77" s="405">
        <v>72</v>
      </c>
      <c r="E77" s="405"/>
      <c r="F77" s="404" t="s">
        <v>733</v>
      </c>
      <c r="G77" s="405" t="s">
        <v>713</v>
      </c>
      <c r="H77" s="400" t="s">
        <v>584</v>
      </c>
      <c r="I77" s="180">
        <f t="shared" si="4"/>
        <v>97500</v>
      </c>
      <c r="J77" s="407" t="s">
        <v>702</v>
      </c>
      <c r="K77" s="183">
        <f t="shared" si="5"/>
        <v>75000</v>
      </c>
      <c r="L77" s="407" t="s">
        <v>56</v>
      </c>
      <c r="M77" s="181">
        <f t="shared" si="6"/>
        <v>0</v>
      </c>
      <c r="N77" s="181">
        <f t="shared" si="7"/>
        <v>172500</v>
      </c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/>
      <c r="BY77" s="175"/>
      <c r="BZ77" s="175"/>
      <c r="CA77" s="175"/>
      <c r="CB77" s="175"/>
      <c r="CC77" s="175"/>
      <c r="CD77" s="175"/>
      <c r="CE77" s="175"/>
      <c r="CF77" s="175"/>
      <c r="CG77" s="175"/>
      <c r="CH77" s="175"/>
      <c r="CI77" s="175"/>
      <c r="CJ77" s="175"/>
      <c r="CK77" s="175"/>
      <c r="CL77" s="175"/>
      <c r="CM77" s="175"/>
      <c r="CN77" s="175"/>
      <c r="CO77" s="175"/>
      <c r="CP77" s="175"/>
      <c r="CQ77" s="175"/>
      <c r="CR77" s="175"/>
      <c r="CS77" s="175"/>
      <c r="CT77" s="175"/>
      <c r="CU77" s="175"/>
      <c r="CV77" s="175"/>
      <c r="CW77" s="175"/>
      <c r="CX77" s="175"/>
      <c r="CY77" s="175"/>
      <c r="CZ77" s="175"/>
      <c r="DA77" s="175"/>
      <c r="DB77" s="175"/>
      <c r="DC77" s="175"/>
      <c r="DD77" s="175"/>
      <c r="DE77" s="175"/>
      <c r="DF77" s="175"/>
      <c r="DG77" s="175"/>
      <c r="DH77" s="175"/>
      <c r="DI77" s="175"/>
      <c r="DJ77" s="175"/>
      <c r="DK77" s="175"/>
      <c r="DL77" s="175"/>
      <c r="DM77" s="175"/>
      <c r="DN77" s="175"/>
      <c r="DO77" s="175"/>
      <c r="DP77" s="175"/>
      <c r="DQ77" s="175"/>
      <c r="DR77" s="175"/>
      <c r="DS77" s="175"/>
      <c r="DT77" s="175"/>
      <c r="DU77" s="175"/>
      <c r="DV77" s="175"/>
      <c r="DW77" s="175"/>
      <c r="DX77" s="175"/>
      <c r="DY77" s="175"/>
      <c r="DZ77" s="175"/>
      <c r="EA77" s="175"/>
      <c r="EB77" s="175"/>
      <c r="EC77" s="175"/>
      <c r="ED77" s="175"/>
      <c r="EE77" s="175"/>
      <c r="EF77" s="175"/>
      <c r="EG77" s="175"/>
      <c r="EH77" s="175"/>
      <c r="EI77" s="175"/>
      <c r="EJ77" s="175"/>
      <c r="EK77" s="175"/>
      <c r="EL77" s="175"/>
      <c r="EM77" s="175"/>
      <c r="EN77" s="175"/>
      <c r="EO77" s="175"/>
      <c r="EP77" s="175"/>
      <c r="EQ77" s="175"/>
      <c r="ER77" s="175"/>
      <c r="ES77" s="175"/>
      <c r="ET77" s="175"/>
      <c r="EU77" s="175"/>
      <c r="EV77" s="175"/>
      <c r="EW77" s="175"/>
      <c r="EX77" s="175"/>
      <c r="EY77" s="175"/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175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  <c r="HN77" s="175"/>
      <c r="HO77" s="175"/>
      <c r="HP77" s="175"/>
      <c r="HQ77" s="175"/>
      <c r="HR77" s="175"/>
      <c r="HS77" s="175"/>
      <c r="HT77" s="175"/>
      <c r="HU77" s="175"/>
      <c r="HV77" s="175"/>
      <c r="HW77" s="175"/>
      <c r="HX77" s="175"/>
      <c r="HY77" s="175"/>
      <c r="HZ77" s="175"/>
      <c r="IA77" s="175"/>
      <c r="IB77" s="175"/>
      <c r="IC77" s="175"/>
      <c r="ID77" s="175"/>
      <c r="IE77" s="175"/>
      <c r="IF77" s="175"/>
      <c r="IG77" s="175"/>
      <c r="IH77" s="175"/>
      <c r="II77" s="175"/>
      <c r="IJ77" s="175"/>
      <c r="IK77" s="175"/>
      <c r="IL77" s="175"/>
      <c r="IM77" s="175"/>
      <c r="IN77" s="175"/>
      <c r="IO77" s="175"/>
      <c r="IP77" s="175"/>
      <c r="IQ77" s="175"/>
    </row>
    <row r="78" spans="1:251" s="146" customFormat="1" ht="21.75" customHeight="1">
      <c r="A78" s="179">
        <v>71</v>
      </c>
      <c r="B78" s="403" t="s">
        <v>641</v>
      </c>
      <c r="C78" s="404" t="s">
        <v>735</v>
      </c>
      <c r="D78" s="405"/>
      <c r="E78" s="405">
        <v>15</v>
      </c>
      <c r="F78" s="404" t="s">
        <v>736</v>
      </c>
      <c r="G78" s="405" t="s">
        <v>713</v>
      </c>
      <c r="H78" s="400" t="s">
        <v>585</v>
      </c>
      <c r="I78" s="180">
        <f t="shared" si="4"/>
        <v>97500</v>
      </c>
      <c r="J78" s="407" t="s">
        <v>703</v>
      </c>
      <c r="K78" s="183">
        <f t="shared" si="5"/>
        <v>75000</v>
      </c>
      <c r="L78" s="407" t="s">
        <v>56</v>
      </c>
      <c r="M78" s="181">
        <f t="shared" si="6"/>
        <v>0</v>
      </c>
      <c r="N78" s="181">
        <f t="shared" si="7"/>
        <v>172500</v>
      </c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/>
      <c r="BY78" s="175"/>
      <c r="BZ78" s="175"/>
      <c r="CA78" s="175"/>
      <c r="CB78" s="175"/>
      <c r="CC78" s="175"/>
      <c r="CD78" s="175"/>
      <c r="CE78" s="175"/>
      <c r="CF78" s="175"/>
      <c r="CG78" s="175"/>
      <c r="CH78" s="175"/>
      <c r="CI78" s="175"/>
      <c r="CJ78" s="175"/>
      <c r="CK78" s="175"/>
      <c r="CL78" s="175"/>
      <c r="CM78" s="175"/>
      <c r="CN78" s="175"/>
      <c r="CO78" s="175"/>
      <c r="CP78" s="175"/>
      <c r="CQ78" s="175"/>
      <c r="CR78" s="175"/>
      <c r="CS78" s="175"/>
      <c r="CT78" s="175"/>
      <c r="CU78" s="175"/>
      <c r="CV78" s="175"/>
      <c r="CW78" s="175"/>
      <c r="CX78" s="175"/>
      <c r="CY78" s="175"/>
      <c r="CZ78" s="175"/>
      <c r="DA78" s="175"/>
      <c r="DB78" s="175"/>
      <c r="DC78" s="175"/>
      <c r="DD78" s="175"/>
      <c r="DE78" s="175"/>
      <c r="DF78" s="175"/>
      <c r="DG78" s="175"/>
      <c r="DH78" s="175"/>
      <c r="DI78" s="175"/>
      <c r="DJ78" s="175"/>
      <c r="DK78" s="175"/>
      <c r="DL78" s="175"/>
      <c r="DM78" s="175"/>
      <c r="DN78" s="175"/>
      <c r="DO78" s="175"/>
      <c r="DP78" s="175"/>
      <c r="DQ78" s="175"/>
      <c r="DR78" s="175"/>
      <c r="DS78" s="175"/>
      <c r="DT78" s="175"/>
      <c r="DU78" s="175"/>
      <c r="DV78" s="175"/>
      <c r="DW78" s="175"/>
      <c r="DX78" s="175"/>
      <c r="DY78" s="175"/>
      <c r="DZ78" s="175"/>
      <c r="EA78" s="175"/>
      <c r="EB78" s="175"/>
      <c r="EC78" s="175"/>
      <c r="ED78" s="175"/>
      <c r="EE78" s="175"/>
      <c r="EF78" s="175"/>
      <c r="EG78" s="175"/>
      <c r="EH78" s="175"/>
      <c r="EI78" s="175"/>
      <c r="EJ78" s="175"/>
      <c r="EK78" s="175"/>
      <c r="EL78" s="175"/>
      <c r="EM78" s="175"/>
      <c r="EN78" s="175"/>
      <c r="EO78" s="175"/>
      <c r="EP78" s="175"/>
      <c r="EQ78" s="175"/>
      <c r="ER78" s="175"/>
      <c r="ES78" s="175"/>
      <c r="ET78" s="175"/>
      <c r="EU78" s="175"/>
      <c r="EV78" s="175"/>
      <c r="EW78" s="175"/>
      <c r="EX78" s="175"/>
      <c r="EY78" s="175"/>
      <c r="EZ78" s="175"/>
      <c r="FA78" s="175"/>
      <c r="FB78" s="175"/>
      <c r="FC78" s="175"/>
      <c r="FD78" s="175"/>
      <c r="FE78" s="175"/>
      <c r="FF78" s="175"/>
      <c r="FG78" s="175"/>
      <c r="FH78" s="175"/>
      <c r="FI78" s="175"/>
      <c r="FJ78" s="175"/>
      <c r="FK78" s="175"/>
      <c r="FL78" s="175"/>
      <c r="FM78" s="175"/>
      <c r="FN78" s="175"/>
      <c r="FO78" s="175"/>
      <c r="FP78" s="175"/>
      <c r="FQ78" s="175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  <c r="HN78" s="175"/>
      <c r="HO78" s="175"/>
      <c r="HP78" s="175"/>
      <c r="HQ78" s="175"/>
      <c r="HR78" s="175"/>
      <c r="HS78" s="175"/>
      <c r="HT78" s="175"/>
      <c r="HU78" s="175"/>
      <c r="HV78" s="175"/>
      <c r="HW78" s="175"/>
      <c r="HX78" s="175"/>
      <c r="HY78" s="175"/>
      <c r="HZ78" s="175"/>
      <c r="IA78" s="175"/>
      <c r="IB78" s="175"/>
      <c r="IC78" s="175"/>
      <c r="ID78" s="175"/>
      <c r="IE78" s="175"/>
      <c r="IF78" s="175"/>
      <c r="IG78" s="175"/>
      <c r="IH78" s="175"/>
      <c r="II78" s="175"/>
      <c r="IJ78" s="175"/>
      <c r="IK78" s="175"/>
      <c r="IL78" s="175"/>
      <c r="IM78" s="175"/>
      <c r="IN78" s="175"/>
      <c r="IO78" s="175"/>
      <c r="IP78" s="175"/>
      <c r="IQ78" s="175"/>
    </row>
    <row r="79" spans="1:251" s="146" customFormat="1" ht="21.75" customHeight="1">
      <c r="A79" s="179">
        <v>72</v>
      </c>
      <c r="B79" s="403" t="s">
        <v>648</v>
      </c>
      <c r="C79" s="404" t="s">
        <v>737</v>
      </c>
      <c r="D79" s="405"/>
      <c r="E79" s="405">
        <v>54</v>
      </c>
      <c r="F79" s="404" t="s">
        <v>717</v>
      </c>
      <c r="G79" s="405" t="s">
        <v>713</v>
      </c>
      <c r="H79" s="400" t="s">
        <v>585</v>
      </c>
      <c r="I79" s="180">
        <f t="shared" si="4"/>
        <v>97500</v>
      </c>
      <c r="J79" s="407" t="s">
        <v>704</v>
      </c>
      <c r="K79" s="183">
        <f t="shared" si="5"/>
        <v>75000</v>
      </c>
      <c r="L79" s="407" t="s">
        <v>56</v>
      </c>
      <c r="M79" s="181">
        <f t="shared" si="6"/>
        <v>0</v>
      </c>
      <c r="N79" s="181">
        <f t="shared" si="7"/>
        <v>172500</v>
      </c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  <c r="CM79" s="175"/>
      <c r="CN79" s="175"/>
      <c r="CO79" s="175"/>
      <c r="CP79" s="175"/>
      <c r="CQ79" s="175"/>
      <c r="CR79" s="175"/>
      <c r="CS79" s="175"/>
      <c r="CT79" s="175"/>
      <c r="CU79" s="175"/>
      <c r="CV79" s="175"/>
      <c r="CW79" s="175"/>
      <c r="CX79" s="175"/>
      <c r="CY79" s="175"/>
      <c r="CZ79" s="175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5"/>
      <c r="DL79" s="175"/>
      <c r="DM79" s="175"/>
      <c r="DN79" s="175"/>
      <c r="DO79" s="175"/>
      <c r="DP79" s="175"/>
      <c r="DQ79" s="175"/>
      <c r="DR79" s="175"/>
      <c r="DS79" s="175"/>
      <c r="DT79" s="175"/>
      <c r="DU79" s="175"/>
      <c r="DV79" s="175"/>
      <c r="DW79" s="175"/>
      <c r="DX79" s="175"/>
      <c r="DY79" s="175"/>
      <c r="DZ79" s="175"/>
      <c r="EA79" s="175"/>
      <c r="EB79" s="175"/>
      <c r="EC79" s="175"/>
      <c r="ED79" s="175"/>
      <c r="EE79" s="175"/>
      <c r="EF79" s="175"/>
      <c r="EG79" s="175"/>
      <c r="EH79" s="175"/>
      <c r="EI79" s="175"/>
      <c r="EJ79" s="175"/>
      <c r="EK79" s="175"/>
      <c r="EL79" s="175"/>
      <c r="EM79" s="175"/>
      <c r="EN79" s="175"/>
      <c r="EO79" s="175"/>
      <c r="EP79" s="175"/>
      <c r="EQ79" s="175"/>
      <c r="ER79" s="175"/>
      <c r="ES79" s="175"/>
      <c r="ET79" s="175"/>
      <c r="EU79" s="175"/>
      <c r="EV79" s="175"/>
      <c r="EW79" s="175"/>
      <c r="EX79" s="175"/>
      <c r="EY79" s="175"/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175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  <c r="HN79" s="175"/>
      <c r="HO79" s="175"/>
      <c r="HP79" s="175"/>
      <c r="HQ79" s="175"/>
      <c r="HR79" s="175"/>
      <c r="HS79" s="175"/>
      <c r="HT79" s="175"/>
      <c r="HU79" s="175"/>
      <c r="HV79" s="175"/>
      <c r="HW79" s="175"/>
      <c r="HX79" s="175"/>
      <c r="HY79" s="175"/>
      <c r="HZ79" s="175"/>
      <c r="IA79" s="175"/>
      <c r="IB79" s="175"/>
      <c r="IC79" s="175"/>
      <c r="ID79" s="175"/>
      <c r="IE79" s="175"/>
      <c r="IF79" s="175"/>
      <c r="IG79" s="175"/>
      <c r="IH79" s="175"/>
      <c r="II79" s="175"/>
      <c r="IJ79" s="175"/>
      <c r="IK79" s="175"/>
      <c r="IL79" s="175"/>
      <c r="IM79" s="175"/>
      <c r="IN79" s="175"/>
      <c r="IO79" s="175"/>
      <c r="IP79" s="175"/>
      <c r="IQ79" s="175"/>
    </row>
    <row r="80" spans="1:251" s="146" customFormat="1" ht="21.75" customHeight="1">
      <c r="A80" s="179">
        <v>73</v>
      </c>
      <c r="B80" s="403" t="s">
        <v>648</v>
      </c>
      <c r="C80" s="404" t="s">
        <v>738</v>
      </c>
      <c r="D80" s="405">
        <v>36</v>
      </c>
      <c r="E80" s="405"/>
      <c r="F80" s="404" t="s">
        <v>739</v>
      </c>
      <c r="G80" s="405" t="s">
        <v>713</v>
      </c>
      <c r="H80" s="400" t="s">
        <v>580</v>
      </c>
      <c r="I80" s="180">
        <f t="shared" si="4"/>
        <v>97500</v>
      </c>
      <c r="J80" s="407" t="s">
        <v>694</v>
      </c>
      <c r="K80" s="183">
        <f t="shared" si="5"/>
        <v>75000</v>
      </c>
      <c r="L80" s="407" t="s">
        <v>56</v>
      </c>
      <c r="M80" s="181">
        <f t="shared" si="6"/>
        <v>0</v>
      </c>
      <c r="N80" s="181">
        <f t="shared" si="7"/>
        <v>172500</v>
      </c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175"/>
      <c r="BT80" s="175"/>
      <c r="BU80" s="175"/>
      <c r="BV80" s="175"/>
      <c r="BW80" s="175"/>
      <c r="BX80" s="175"/>
      <c r="BY80" s="175"/>
      <c r="BZ80" s="175"/>
      <c r="CA80" s="175"/>
      <c r="CB80" s="175"/>
      <c r="CC80" s="175"/>
      <c r="CD80" s="175"/>
      <c r="CE80" s="175"/>
      <c r="CF80" s="175"/>
      <c r="CG80" s="175"/>
      <c r="CH80" s="175"/>
      <c r="CI80" s="175"/>
      <c r="CJ80" s="175"/>
      <c r="CK80" s="175"/>
      <c r="CL80" s="175"/>
      <c r="CM80" s="175"/>
      <c r="CN80" s="175"/>
      <c r="CO80" s="175"/>
      <c r="CP80" s="175"/>
      <c r="CQ80" s="175"/>
      <c r="CR80" s="175"/>
      <c r="CS80" s="175"/>
      <c r="CT80" s="175"/>
      <c r="CU80" s="175"/>
      <c r="CV80" s="175"/>
      <c r="CW80" s="175"/>
      <c r="CX80" s="175"/>
      <c r="CY80" s="175"/>
      <c r="CZ80" s="175"/>
      <c r="DA80" s="175"/>
      <c r="DB80" s="175"/>
      <c r="DC80" s="175"/>
      <c r="DD80" s="175"/>
      <c r="DE80" s="175"/>
      <c r="DF80" s="175"/>
      <c r="DG80" s="175"/>
      <c r="DH80" s="175"/>
      <c r="DI80" s="175"/>
      <c r="DJ80" s="175"/>
      <c r="DK80" s="175"/>
      <c r="DL80" s="175"/>
      <c r="DM80" s="175"/>
      <c r="DN80" s="175"/>
      <c r="DO80" s="175"/>
      <c r="DP80" s="175"/>
      <c r="DQ80" s="175"/>
      <c r="DR80" s="175"/>
      <c r="DS80" s="175"/>
      <c r="DT80" s="175"/>
      <c r="DU80" s="175"/>
      <c r="DV80" s="175"/>
      <c r="DW80" s="175"/>
      <c r="DX80" s="175"/>
      <c r="DY80" s="175"/>
      <c r="DZ80" s="175"/>
      <c r="EA80" s="175"/>
      <c r="EB80" s="175"/>
      <c r="EC80" s="175"/>
      <c r="ED80" s="175"/>
      <c r="EE80" s="175"/>
      <c r="EF80" s="175"/>
      <c r="EG80" s="175"/>
      <c r="EH80" s="175"/>
      <c r="EI80" s="175"/>
      <c r="EJ80" s="175"/>
      <c r="EK80" s="175"/>
      <c r="EL80" s="175"/>
      <c r="EM80" s="175"/>
      <c r="EN80" s="175"/>
      <c r="EO80" s="175"/>
      <c r="EP80" s="175"/>
      <c r="EQ80" s="175"/>
      <c r="ER80" s="175"/>
      <c r="ES80" s="175"/>
      <c r="ET80" s="175"/>
      <c r="EU80" s="175"/>
      <c r="EV80" s="175"/>
      <c r="EW80" s="175"/>
      <c r="EX80" s="175"/>
      <c r="EY80" s="175"/>
      <c r="EZ80" s="175"/>
      <c r="FA80" s="175"/>
      <c r="FB80" s="175"/>
      <c r="FC80" s="175"/>
      <c r="FD80" s="175"/>
      <c r="FE80" s="175"/>
      <c r="FF80" s="175"/>
      <c r="FG80" s="175"/>
      <c r="FH80" s="175"/>
      <c r="FI80" s="175"/>
      <c r="FJ80" s="175"/>
      <c r="FK80" s="175"/>
      <c r="FL80" s="175"/>
      <c r="FM80" s="175"/>
      <c r="FN80" s="175"/>
      <c r="FO80" s="175"/>
      <c r="FP80" s="175"/>
      <c r="FQ80" s="175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  <c r="HN80" s="175"/>
      <c r="HO80" s="175"/>
      <c r="HP80" s="175"/>
      <c r="HQ80" s="175"/>
      <c r="HR80" s="175"/>
      <c r="HS80" s="175"/>
      <c r="HT80" s="175"/>
      <c r="HU80" s="175"/>
      <c r="HV80" s="175"/>
      <c r="HW80" s="175"/>
      <c r="HX80" s="175"/>
      <c r="HY80" s="175"/>
      <c r="HZ80" s="175"/>
      <c r="IA80" s="175"/>
      <c r="IB80" s="175"/>
      <c r="IC80" s="175"/>
      <c r="ID80" s="175"/>
      <c r="IE80" s="175"/>
      <c r="IF80" s="175"/>
      <c r="IG80" s="175"/>
      <c r="IH80" s="175"/>
      <c r="II80" s="175"/>
      <c r="IJ80" s="175"/>
      <c r="IK80" s="175"/>
      <c r="IL80" s="175"/>
      <c r="IM80" s="175"/>
      <c r="IN80" s="175"/>
      <c r="IO80" s="175"/>
      <c r="IP80" s="175"/>
      <c r="IQ80" s="175"/>
    </row>
    <row r="81" spans="1:251" s="146" customFormat="1" ht="21.75" customHeight="1">
      <c r="A81" s="179">
        <v>74</v>
      </c>
      <c r="B81" s="403" t="s">
        <v>651</v>
      </c>
      <c r="C81" s="404" t="s">
        <v>740</v>
      </c>
      <c r="D81" s="405"/>
      <c r="E81" s="405">
        <v>48</v>
      </c>
      <c r="F81" s="404" t="s">
        <v>741</v>
      </c>
      <c r="G81" s="405" t="s">
        <v>713</v>
      </c>
      <c r="H81" s="400" t="s">
        <v>580</v>
      </c>
      <c r="I81" s="180">
        <f t="shared" si="4"/>
        <v>97500</v>
      </c>
      <c r="J81" s="407" t="s">
        <v>748</v>
      </c>
      <c r="K81" s="183">
        <f t="shared" si="5"/>
        <v>75000</v>
      </c>
      <c r="L81" s="407" t="s">
        <v>56</v>
      </c>
      <c r="M81" s="181">
        <f t="shared" si="6"/>
        <v>0</v>
      </c>
      <c r="N81" s="181">
        <f t="shared" si="7"/>
        <v>172500</v>
      </c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5"/>
      <c r="DZ81" s="175"/>
      <c r="EA81" s="175"/>
      <c r="EB81" s="175"/>
      <c r="EC81" s="175"/>
      <c r="ED81" s="175"/>
      <c r="EE81" s="175"/>
      <c r="EF81" s="175"/>
      <c r="EG81" s="175"/>
      <c r="EH81" s="175"/>
      <c r="EI81" s="175"/>
      <c r="EJ81" s="175"/>
      <c r="EK81" s="175"/>
      <c r="EL81" s="175"/>
      <c r="EM81" s="175"/>
      <c r="EN81" s="175"/>
      <c r="EO81" s="175"/>
      <c r="EP81" s="175"/>
      <c r="EQ81" s="175"/>
      <c r="ER81" s="175"/>
      <c r="ES81" s="175"/>
      <c r="ET81" s="175"/>
      <c r="EU81" s="175"/>
      <c r="EV81" s="175"/>
      <c r="EW81" s="175"/>
      <c r="EX81" s="175"/>
      <c r="EY81" s="175"/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175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  <c r="HN81" s="175"/>
      <c r="HO81" s="175"/>
      <c r="HP81" s="175"/>
      <c r="HQ81" s="175"/>
      <c r="HR81" s="175"/>
      <c r="HS81" s="175"/>
      <c r="HT81" s="175"/>
      <c r="HU81" s="175"/>
      <c r="HV81" s="175"/>
      <c r="HW81" s="175"/>
      <c r="HX81" s="175"/>
      <c r="HY81" s="175"/>
      <c r="HZ81" s="175"/>
      <c r="IA81" s="175"/>
      <c r="IB81" s="175"/>
      <c r="IC81" s="175"/>
      <c r="ID81" s="175"/>
      <c r="IE81" s="175"/>
      <c r="IF81" s="175"/>
      <c r="IG81" s="175"/>
      <c r="IH81" s="175"/>
      <c r="II81" s="175"/>
      <c r="IJ81" s="175"/>
      <c r="IK81" s="175"/>
      <c r="IL81" s="175"/>
      <c r="IM81" s="175"/>
      <c r="IN81" s="175"/>
      <c r="IO81" s="175"/>
      <c r="IP81" s="175"/>
      <c r="IQ81" s="175"/>
    </row>
    <row r="82" spans="1:251" s="146" customFormat="1" ht="21.75" customHeight="1">
      <c r="A82" s="179">
        <v>75</v>
      </c>
      <c r="B82" s="403" t="s">
        <v>661</v>
      </c>
      <c r="C82" s="404" t="s">
        <v>742</v>
      </c>
      <c r="D82" s="405">
        <v>41</v>
      </c>
      <c r="E82" s="405"/>
      <c r="F82" s="404" t="s">
        <v>739</v>
      </c>
      <c r="G82" s="405" t="s">
        <v>713</v>
      </c>
      <c r="H82" s="400" t="s">
        <v>580</v>
      </c>
      <c r="I82" s="180">
        <f t="shared" si="4"/>
        <v>97500</v>
      </c>
      <c r="J82" s="407" t="s">
        <v>705</v>
      </c>
      <c r="K82" s="183">
        <f t="shared" si="5"/>
        <v>75000</v>
      </c>
      <c r="L82" s="407" t="s">
        <v>56</v>
      </c>
      <c r="M82" s="181">
        <f t="shared" si="6"/>
        <v>0</v>
      </c>
      <c r="N82" s="181">
        <f t="shared" si="7"/>
        <v>172500</v>
      </c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5"/>
      <c r="BI82" s="175"/>
      <c r="BJ82" s="175"/>
      <c r="BK82" s="175"/>
      <c r="BL82" s="175"/>
      <c r="BM82" s="175"/>
      <c r="BN82" s="175"/>
      <c r="BO82" s="175"/>
      <c r="BP82" s="175"/>
      <c r="BQ82" s="175"/>
      <c r="BR82" s="175"/>
      <c r="BS82" s="175"/>
      <c r="BT82" s="175"/>
      <c r="BU82" s="175"/>
      <c r="BV82" s="175"/>
      <c r="BW82" s="175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175"/>
      <c r="DC82" s="175"/>
      <c r="DD82" s="175"/>
      <c r="DE82" s="175"/>
      <c r="DF82" s="175"/>
      <c r="DG82" s="175"/>
      <c r="DH82" s="175"/>
      <c r="DI82" s="175"/>
      <c r="DJ82" s="175"/>
      <c r="DK82" s="175"/>
      <c r="DL82" s="175"/>
      <c r="DM82" s="175"/>
      <c r="DN82" s="175"/>
      <c r="DO82" s="175"/>
      <c r="DP82" s="175"/>
      <c r="DQ82" s="175"/>
      <c r="DR82" s="175"/>
      <c r="DS82" s="175"/>
      <c r="DT82" s="175"/>
      <c r="DU82" s="175"/>
      <c r="DV82" s="175"/>
      <c r="DW82" s="175"/>
      <c r="DX82" s="175"/>
      <c r="DY82" s="175"/>
      <c r="DZ82" s="175"/>
      <c r="EA82" s="175"/>
      <c r="EB82" s="175"/>
      <c r="EC82" s="175"/>
      <c r="ED82" s="175"/>
      <c r="EE82" s="175"/>
      <c r="EF82" s="175"/>
      <c r="EG82" s="175"/>
      <c r="EH82" s="175"/>
      <c r="EI82" s="175"/>
      <c r="EJ82" s="175"/>
      <c r="EK82" s="175"/>
      <c r="EL82" s="175"/>
      <c r="EM82" s="175"/>
      <c r="EN82" s="175"/>
      <c r="EO82" s="175"/>
      <c r="EP82" s="175"/>
      <c r="EQ82" s="175"/>
      <c r="ER82" s="175"/>
      <c r="ES82" s="175"/>
      <c r="ET82" s="175"/>
      <c r="EU82" s="175"/>
      <c r="EV82" s="175"/>
      <c r="EW82" s="175"/>
      <c r="EX82" s="175"/>
      <c r="EY82" s="175"/>
      <c r="EZ82" s="175"/>
      <c r="FA82" s="175"/>
      <c r="FB82" s="175"/>
      <c r="FC82" s="175"/>
      <c r="FD82" s="175"/>
      <c r="FE82" s="175"/>
      <c r="FF82" s="175"/>
      <c r="FG82" s="175"/>
      <c r="FH82" s="175"/>
      <c r="FI82" s="175"/>
      <c r="FJ82" s="175"/>
      <c r="FK82" s="175"/>
      <c r="FL82" s="175"/>
      <c r="FM82" s="175"/>
      <c r="FN82" s="175"/>
      <c r="FO82" s="175"/>
      <c r="FP82" s="175"/>
      <c r="FQ82" s="175"/>
      <c r="FR82" s="175"/>
      <c r="FS82" s="175"/>
      <c r="FT82" s="17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  <c r="HN82" s="175"/>
      <c r="HO82" s="175"/>
      <c r="HP82" s="175"/>
      <c r="HQ82" s="175"/>
      <c r="HR82" s="175"/>
      <c r="HS82" s="175"/>
      <c r="HT82" s="175"/>
      <c r="HU82" s="175"/>
      <c r="HV82" s="175"/>
      <c r="HW82" s="175"/>
      <c r="HX82" s="175"/>
      <c r="HY82" s="175"/>
      <c r="HZ82" s="175"/>
      <c r="IA82" s="175"/>
      <c r="IB82" s="175"/>
      <c r="IC82" s="175"/>
      <c r="ID82" s="175"/>
      <c r="IE82" s="175"/>
      <c r="IF82" s="175"/>
      <c r="IG82" s="175"/>
      <c r="IH82" s="175"/>
      <c r="II82" s="175"/>
      <c r="IJ82" s="175"/>
      <c r="IK82" s="175"/>
      <c r="IL82" s="175"/>
      <c r="IM82" s="175"/>
      <c r="IN82" s="175"/>
      <c r="IO82" s="175"/>
      <c r="IP82" s="175"/>
      <c r="IQ82" s="175"/>
    </row>
    <row r="83" spans="1:251" s="146" customFormat="1" ht="21.75" customHeight="1">
      <c r="A83" s="179">
        <v>76</v>
      </c>
      <c r="B83" s="403" t="s">
        <v>743</v>
      </c>
      <c r="C83" s="404" t="s">
        <v>744</v>
      </c>
      <c r="D83" s="405">
        <v>74</v>
      </c>
      <c r="E83" s="405"/>
      <c r="F83" s="404" t="s">
        <v>723</v>
      </c>
      <c r="G83" s="405" t="s">
        <v>713</v>
      </c>
      <c r="H83" s="400" t="s">
        <v>585</v>
      </c>
      <c r="I83" s="180">
        <f t="shared" si="4"/>
        <v>97500</v>
      </c>
      <c r="J83" s="407" t="s">
        <v>704</v>
      </c>
      <c r="K83" s="183">
        <f t="shared" si="5"/>
        <v>75000</v>
      </c>
      <c r="L83" s="407" t="s">
        <v>56</v>
      </c>
      <c r="M83" s="181">
        <f t="shared" si="6"/>
        <v>0</v>
      </c>
      <c r="N83" s="181">
        <f t="shared" si="7"/>
        <v>172500</v>
      </c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  <c r="BT83" s="175"/>
      <c r="BU83" s="175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  <c r="DL83" s="175"/>
      <c r="DM83" s="175"/>
      <c r="DN83" s="175"/>
      <c r="DO83" s="175"/>
      <c r="DP83" s="175"/>
      <c r="DQ83" s="175"/>
      <c r="DR83" s="175"/>
      <c r="DS83" s="175"/>
      <c r="DT83" s="175"/>
      <c r="DU83" s="175"/>
      <c r="DV83" s="175"/>
      <c r="DW83" s="175"/>
      <c r="DX83" s="175"/>
      <c r="DY83" s="175"/>
      <c r="DZ83" s="175"/>
      <c r="EA83" s="175"/>
      <c r="EB83" s="175"/>
      <c r="EC83" s="175"/>
      <c r="ED83" s="175"/>
      <c r="EE83" s="175"/>
      <c r="EF83" s="175"/>
      <c r="EG83" s="175"/>
      <c r="EH83" s="175"/>
      <c r="EI83" s="175"/>
      <c r="EJ83" s="175"/>
      <c r="EK83" s="175"/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175"/>
      <c r="FI83" s="175"/>
      <c r="FJ83" s="175"/>
      <c r="FK83" s="175"/>
      <c r="FL83" s="175"/>
      <c r="FM83" s="175"/>
      <c r="FN83" s="175"/>
      <c r="FO83" s="175"/>
      <c r="FP83" s="175"/>
      <c r="FQ83" s="175"/>
      <c r="FR83" s="175"/>
      <c r="FS83" s="175"/>
      <c r="FT83" s="175"/>
      <c r="FU83" s="175"/>
      <c r="FV83" s="175"/>
      <c r="FW83" s="175"/>
      <c r="FX83" s="175"/>
      <c r="FY83" s="175"/>
      <c r="FZ83" s="175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  <c r="HN83" s="175"/>
      <c r="HO83" s="175"/>
      <c r="HP83" s="175"/>
      <c r="HQ83" s="175"/>
      <c r="HR83" s="175"/>
      <c r="HS83" s="175"/>
      <c r="HT83" s="175"/>
      <c r="HU83" s="175"/>
      <c r="HV83" s="175"/>
      <c r="HW83" s="175"/>
      <c r="HX83" s="175"/>
      <c r="HY83" s="175"/>
      <c r="HZ83" s="175"/>
      <c r="IA83" s="175"/>
      <c r="IB83" s="175"/>
      <c r="IC83" s="175"/>
      <c r="ID83" s="175"/>
      <c r="IE83" s="175"/>
      <c r="IF83" s="175"/>
      <c r="IG83" s="175"/>
      <c r="IH83" s="175"/>
      <c r="II83" s="175"/>
      <c r="IJ83" s="175"/>
      <c r="IK83" s="175"/>
      <c r="IL83" s="175"/>
      <c r="IM83" s="175"/>
      <c r="IN83" s="175"/>
      <c r="IO83" s="175"/>
      <c r="IP83" s="175"/>
      <c r="IQ83" s="175"/>
    </row>
    <row r="84" spans="1:251" s="146" customFormat="1" ht="21.75" customHeight="1">
      <c r="A84" s="179">
        <v>77</v>
      </c>
      <c r="B84" s="403" t="s">
        <v>669</v>
      </c>
      <c r="C84" s="404" t="s">
        <v>737</v>
      </c>
      <c r="D84" s="405"/>
      <c r="E84" s="405">
        <v>51</v>
      </c>
      <c r="F84" s="404" t="s">
        <v>717</v>
      </c>
      <c r="G84" s="405" t="s">
        <v>713</v>
      </c>
      <c r="H84" s="400" t="s">
        <v>585</v>
      </c>
      <c r="I84" s="180">
        <f t="shared" si="4"/>
        <v>97500</v>
      </c>
      <c r="J84" s="407" t="s">
        <v>704</v>
      </c>
      <c r="K84" s="183">
        <f t="shared" si="5"/>
        <v>75000</v>
      </c>
      <c r="L84" s="407" t="s">
        <v>56</v>
      </c>
      <c r="M84" s="181">
        <f t="shared" si="6"/>
        <v>0</v>
      </c>
      <c r="N84" s="181">
        <f t="shared" si="7"/>
        <v>172500</v>
      </c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75"/>
      <c r="BJ84" s="175"/>
      <c r="BK84" s="175"/>
      <c r="BL84" s="175"/>
      <c r="BM84" s="175"/>
      <c r="BN84" s="175"/>
      <c r="BO84" s="175"/>
      <c r="BP84" s="175"/>
      <c r="BQ84" s="175"/>
      <c r="BR84" s="175"/>
      <c r="BS84" s="175"/>
      <c r="BT84" s="175"/>
      <c r="BU84" s="175"/>
      <c r="BV84" s="175"/>
      <c r="BW84" s="175"/>
      <c r="BX84" s="175"/>
      <c r="BY84" s="175"/>
      <c r="BZ84" s="175"/>
      <c r="CA84" s="175"/>
      <c r="CB84" s="175"/>
      <c r="CC84" s="175"/>
      <c r="CD84" s="175"/>
      <c r="CE84" s="175"/>
      <c r="CF84" s="175"/>
      <c r="CG84" s="175"/>
      <c r="CH84" s="175"/>
      <c r="CI84" s="175"/>
      <c r="CJ84" s="175"/>
      <c r="CK84" s="175"/>
      <c r="CL84" s="175"/>
      <c r="CM84" s="175"/>
      <c r="CN84" s="175"/>
      <c r="CO84" s="175"/>
      <c r="CP84" s="175"/>
      <c r="CQ84" s="175"/>
      <c r="CR84" s="175"/>
      <c r="CS84" s="175"/>
      <c r="CT84" s="175"/>
      <c r="CU84" s="175"/>
      <c r="CV84" s="175"/>
      <c r="CW84" s="175"/>
      <c r="CX84" s="175"/>
      <c r="CY84" s="175"/>
      <c r="CZ84" s="175"/>
      <c r="DA84" s="175"/>
      <c r="DB84" s="175"/>
      <c r="DC84" s="175"/>
      <c r="DD84" s="175"/>
      <c r="DE84" s="175"/>
      <c r="DF84" s="175"/>
      <c r="DG84" s="175"/>
      <c r="DH84" s="175"/>
      <c r="DI84" s="175"/>
      <c r="DJ84" s="175"/>
      <c r="DK84" s="175"/>
      <c r="DL84" s="175"/>
      <c r="DM84" s="175"/>
      <c r="DN84" s="175"/>
      <c r="DO84" s="175"/>
      <c r="DP84" s="175"/>
      <c r="DQ84" s="175"/>
      <c r="DR84" s="175"/>
      <c r="DS84" s="175"/>
      <c r="DT84" s="175"/>
      <c r="DU84" s="175"/>
      <c r="DV84" s="175"/>
      <c r="DW84" s="175"/>
      <c r="DX84" s="175"/>
      <c r="DY84" s="175"/>
      <c r="DZ84" s="175"/>
      <c r="EA84" s="175"/>
      <c r="EB84" s="175"/>
      <c r="EC84" s="175"/>
      <c r="ED84" s="175"/>
      <c r="EE84" s="175"/>
      <c r="EF84" s="175"/>
      <c r="EG84" s="175"/>
      <c r="EH84" s="175"/>
      <c r="EI84" s="175"/>
      <c r="EJ84" s="175"/>
      <c r="EK84" s="175"/>
      <c r="EL84" s="175"/>
      <c r="EM84" s="175"/>
      <c r="EN84" s="175"/>
      <c r="EO84" s="175"/>
      <c r="EP84" s="175"/>
      <c r="EQ84" s="175"/>
      <c r="ER84" s="175"/>
      <c r="ES84" s="175"/>
      <c r="ET84" s="175"/>
      <c r="EU84" s="175"/>
      <c r="EV84" s="175"/>
      <c r="EW84" s="175"/>
      <c r="EX84" s="175"/>
      <c r="EY84" s="175"/>
      <c r="EZ84" s="175"/>
      <c r="FA84" s="175"/>
      <c r="FB84" s="175"/>
      <c r="FC84" s="175"/>
      <c r="FD84" s="175"/>
      <c r="FE84" s="175"/>
      <c r="FF84" s="175"/>
      <c r="FG84" s="175"/>
      <c r="FH84" s="175"/>
      <c r="FI84" s="175"/>
      <c r="FJ84" s="175"/>
      <c r="FK84" s="175"/>
      <c r="FL84" s="175"/>
      <c r="FM84" s="175"/>
      <c r="FN84" s="175"/>
      <c r="FO84" s="175"/>
      <c r="FP84" s="175"/>
      <c r="FQ84" s="175"/>
      <c r="FR84" s="175"/>
      <c r="FS84" s="175"/>
      <c r="FT84" s="175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  <c r="HN84" s="175"/>
      <c r="HO84" s="175"/>
      <c r="HP84" s="175"/>
      <c r="HQ84" s="175"/>
      <c r="HR84" s="175"/>
      <c r="HS84" s="175"/>
      <c r="HT84" s="175"/>
      <c r="HU84" s="175"/>
      <c r="HV84" s="175"/>
      <c r="HW84" s="175"/>
      <c r="HX84" s="175"/>
      <c r="HY84" s="175"/>
      <c r="HZ84" s="175"/>
      <c r="IA84" s="175"/>
      <c r="IB84" s="175"/>
      <c r="IC84" s="175"/>
      <c r="ID84" s="175"/>
      <c r="IE84" s="175"/>
      <c r="IF84" s="175"/>
      <c r="IG84" s="175"/>
      <c r="IH84" s="175"/>
      <c r="II84" s="175"/>
      <c r="IJ84" s="175"/>
      <c r="IK84" s="175"/>
      <c r="IL84" s="175"/>
      <c r="IM84" s="175"/>
      <c r="IN84" s="175"/>
      <c r="IO84" s="175"/>
      <c r="IP84" s="175"/>
      <c r="IQ84" s="175"/>
    </row>
    <row r="85" spans="1:251" s="146" customFormat="1" ht="21.75" customHeight="1">
      <c r="A85" s="179">
        <v>78</v>
      </c>
      <c r="B85" s="403" t="s">
        <v>674</v>
      </c>
      <c r="C85" s="404" t="s">
        <v>745</v>
      </c>
      <c r="D85" s="405"/>
      <c r="E85" s="405">
        <v>21</v>
      </c>
      <c r="F85" s="404" t="s">
        <v>739</v>
      </c>
      <c r="G85" s="405" t="s">
        <v>713</v>
      </c>
      <c r="H85" s="400" t="s">
        <v>581</v>
      </c>
      <c r="I85" s="180">
        <f t="shared" si="4"/>
        <v>97500</v>
      </c>
      <c r="J85" s="407" t="s">
        <v>748</v>
      </c>
      <c r="K85" s="183">
        <f t="shared" si="5"/>
        <v>75000</v>
      </c>
      <c r="L85" s="407" t="s">
        <v>56</v>
      </c>
      <c r="M85" s="181">
        <f t="shared" si="6"/>
        <v>0</v>
      </c>
      <c r="N85" s="181">
        <f t="shared" si="7"/>
        <v>172500</v>
      </c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5"/>
      <c r="CI85" s="175"/>
      <c r="CJ85" s="175"/>
      <c r="CK85" s="175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175"/>
      <c r="DC85" s="175"/>
      <c r="DD85" s="175"/>
      <c r="DE85" s="175"/>
      <c r="DF85" s="175"/>
      <c r="DG85" s="175"/>
      <c r="DH85" s="175"/>
      <c r="DI85" s="175"/>
      <c r="DJ85" s="175"/>
      <c r="DK85" s="175"/>
      <c r="DL85" s="175"/>
      <c r="DM85" s="175"/>
      <c r="DN85" s="175"/>
      <c r="DO85" s="175"/>
      <c r="DP85" s="175"/>
      <c r="DQ85" s="175"/>
      <c r="DR85" s="175"/>
      <c r="DS85" s="175"/>
      <c r="DT85" s="175"/>
      <c r="DU85" s="175"/>
      <c r="DV85" s="175"/>
      <c r="DW85" s="175"/>
      <c r="DX85" s="175"/>
      <c r="DY85" s="175"/>
      <c r="DZ85" s="175"/>
      <c r="EA85" s="175"/>
      <c r="EB85" s="175"/>
      <c r="EC85" s="175"/>
      <c r="ED85" s="175"/>
      <c r="EE85" s="175"/>
      <c r="EF85" s="175"/>
      <c r="EG85" s="175"/>
      <c r="EH85" s="175"/>
      <c r="EI85" s="175"/>
      <c r="EJ85" s="175"/>
      <c r="EK85" s="175"/>
      <c r="EL85" s="175"/>
      <c r="EM85" s="175"/>
      <c r="EN85" s="175"/>
      <c r="EO85" s="175"/>
      <c r="EP85" s="175"/>
      <c r="EQ85" s="175"/>
      <c r="ER85" s="175"/>
      <c r="ES85" s="175"/>
      <c r="ET85" s="175"/>
      <c r="EU85" s="175"/>
      <c r="EV85" s="175"/>
      <c r="EW85" s="175"/>
      <c r="EX85" s="175"/>
      <c r="EY85" s="175"/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175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  <c r="HN85" s="175"/>
      <c r="HO85" s="175"/>
      <c r="HP85" s="175"/>
      <c r="HQ85" s="175"/>
      <c r="HR85" s="175"/>
      <c r="HS85" s="175"/>
      <c r="HT85" s="175"/>
      <c r="HU85" s="175"/>
      <c r="HV85" s="175"/>
      <c r="HW85" s="175"/>
      <c r="HX85" s="175"/>
      <c r="HY85" s="175"/>
      <c r="HZ85" s="175"/>
      <c r="IA85" s="175"/>
      <c r="IB85" s="175"/>
      <c r="IC85" s="175"/>
      <c r="ID85" s="175"/>
      <c r="IE85" s="175"/>
      <c r="IF85" s="175"/>
      <c r="IG85" s="175"/>
      <c r="IH85" s="175"/>
      <c r="II85" s="175"/>
      <c r="IJ85" s="175"/>
      <c r="IK85" s="175"/>
      <c r="IL85" s="175"/>
      <c r="IM85" s="175"/>
      <c r="IN85" s="175"/>
      <c r="IO85" s="175"/>
      <c r="IP85" s="175"/>
      <c r="IQ85" s="175"/>
    </row>
    <row r="86" spans="1:251" s="146" customFormat="1" ht="21.75" customHeight="1">
      <c r="A86" s="179">
        <v>79</v>
      </c>
      <c r="B86" s="403" t="s">
        <v>674</v>
      </c>
      <c r="C86" s="404" t="s">
        <v>746</v>
      </c>
      <c r="D86" s="405"/>
      <c r="E86" s="405">
        <v>85</v>
      </c>
      <c r="F86" s="404" t="s">
        <v>717</v>
      </c>
      <c r="G86" s="405" t="s">
        <v>713</v>
      </c>
      <c r="H86" s="400" t="s">
        <v>580</v>
      </c>
      <c r="I86" s="180">
        <f t="shared" si="4"/>
        <v>97500</v>
      </c>
      <c r="J86" s="407" t="s">
        <v>698</v>
      </c>
      <c r="K86" s="183">
        <f t="shared" si="5"/>
        <v>75000</v>
      </c>
      <c r="L86" s="407" t="s">
        <v>56</v>
      </c>
      <c r="M86" s="181">
        <f t="shared" si="6"/>
        <v>0</v>
      </c>
      <c r="N86" s="181">
        <f t="shared" si="7"/>
        <v>172500</v>
      </c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75"/>
      <c r="CR86" s="175"/>
      <c r="CS86" s="175"/>
      <c r="CT86" s="175"/>
      <c r="CU86" s="175"/>
      <c r="CV86" s="175"/>
      <c r="CW86" s="175"/>
      <c r="CX86" s="175"/>
      <c r="CY86" s="175"/>
      <c r="CZ86" s="175"/>
      <c r="DA86" s="175"/>
      <c r="DB86" s="175"/>
      <c r="DC86" s="175"/>
      <c r="DD86" s="175"/>
      <c r="DE86" s="175"/>
      <c r="DF86" s="175"/>
      <c r="DG86" s="175"/>
      <c r="DH86" s="175"/>
      <c r="DI86" s="175"/>
      <c r="DJ86" s="175"/>
      <c r="DK86" s="175"/>
      <c r="DL86" s="175"/>
      <c r="DM86" s="175"/>
      <c r="DN86" s="175"/>
      <c r="DO86" s="175"/>
      <c r="DP86" s="175"/>
      <c r="DQ86" s="175"/>
      <c r="DR86" s="175"/>
      <c r="DS86" s="175"/>
      <c r="DT86" s="175"/>
      <c r="DU86" s="175"/>
      <c r="DV86" s="175"/>
      <c r="DW86" s="175"/>
      <c r="DX86" s="175"/>
      <c r="DY86" s="175"/>
      <c r="DZ86" s="175"/>
      <c r="EA86" s="175"/>
      <c r="EB86" s="175"/>
      <c r="EC86" s="175"/>
      <c r="ED86" s="175"/>
      <c r="EE86" s="175"/>
      <c r="EF86" s="175"/>
      <c r="EG86" s="175"/>
      <c r="EH86" s="175"/>
      <c r="EI86" s="175"/>
      <c r="EJ86" s="175"/>
      <c r="EK86" s="175"/>
      <c r="EL86" s="175"/>
      <c r="EM86" s="175"/>
      <c r="EN86" s="175"/>
      <c r="EO86" s="175"/>
      <c r="EP86" s="175"/>
      <c r="EQ86" s="175"/>
      <c r="ER86" s="175"/>
      <c r="ES86" s="175"/>
      <c r="ET86" s="175"/>
      <c r="EU86" s="175"/>
      <c r="EV86" s="175"/>
      <c r="EW86" s="175"/>
      <c r="EX86" s="175"/>
      <c r="EY86" s="175"/>
      <c r="EZ86" s="175"/>
      <c r="FA86" s="175"/>
      <c r="FB86" s="175"/>
      <c r="FC86" s="175"/>
      <c r="FD86" s="175"/>
      <c r="FE86" s="175"/>
      <c r="FF86" s="175"/>
      <c r="FG86" s="175"/>
      <c r="FH86" s="175"/>
      <c r="FI86" s="175"/>
      <c r="FJ86" s="175"/>
      <c r="FK86" s="175"/>
      <c r="FL86" s="175"/>
      <c r="FM86" s="175"/>
      <c r="FN86" s="175"/>
      <c r="FO86" s="175"/>
      <c r="FP86" s="175"/>
      <c r="FQ86" s="175"/>
      <c r="FR86" s="175"/>
      <c r="FS86" s="175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  <c r="HN86" s="175"/>
      <c r="HO86" s="175"/>
      <c r="HP86" s="175"/>
      <c r="HQ86" s="175"/>
      <c r="HR86" s="175"/>
      <c r="HS86" s="175"/>
      <c r="HT86" s="175"/>
      <c r="HU86" s="175"/>
      <c r="HV86" s="175"/>
      <c r="HW86" s="175"/>
      <c r="HX86" s="175"/>
      <c r="HY86" s="175"/>
      <c r="HZ86" s="175"/>
      <c r="IA86" s="175"/>
      <c r="IB86" s="175"/>
      <c r="IC86" s="175"/>
      <c r="ID86" s="175"/>
      <c r="IE86" s="175"/>
      <c r="IF86" s="175"/>
      <c r="IG86" s="175"/>
      <c r="IH86" s="175"/>
      <c r="II86" s="175"/>
      <c r="IJ86" s="175"/>
      <c r="IK86" s="175"/>
      <c r="IL86" s="175"/>
      <c r="IM86" s="175"/>
      <c r="IN86" s="175"/>
      <c r="IO86" s="175"/>
      <c r="IP86" s="175"/>
      <c r="IQ86" s="175"/>
    </row>
    <row r="87" spans="1:251" s="146" customFormat="1" ht="21.75" customHeight="1">
      <c r="A87" s="179">
        <v>80</v>
      </c>
      <c r="B87" s="403" t="s">
        <v>674</v>
      </c>
      <c r="C87" s="404" t="s">
        <v>747</v>
      </c>
      <c r="D87" s="405"/>
      <c r="E87" s="405">
        <v>74</v>
      </c>
      <c r="F87" s="404" t="s">
        <v>717</v>
      </c>
      <c r="G87" s="405" t="s">
        <v>713</v>
      </c>
      <c r="H87" s="400" t="s">
        <v>580</v>
      </c>
      <c r="I87" s="180">
        <f t="shared" si="4"/>
        <v>97500</v>
      </c>
      <c r="J87" s="407" t="s">
        <v>698</v>
      </c>
      <c r="K87" s="183">
        <f t="shared" si="5"/>
        <v>75000</v>
      </c>
      <c r="L87" s="407" t="s">
        <v>56</v>
      </c>
      <c r="M87" s="181">
        <f t="shared" si="6"/>
        <v>0</v>
      </c>
      <c r="N87" s="181">
        <f t="shared" si="7"/>
        <v>172500</v>
      </c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  <c r="BT87" s="175"/>
      <c r="BU87" s="175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  <c r="CH87" s="175"/>
      <c r="CI87" s="175"/>
      <c r="CJ87" s="175"/>
      <c r="CK87" s="175"/>
      <c r="CL87" s="175"/>
      <c r="CM87" s="175"/>
      <c r="CN87" s="175"/>
      <c r="CO87" s="175"/>
      <c r="CP87" s="175"/>
      <c r="CQ87" s="175"/>
      <c r="CR87" s="175"/>
      <c r="CS87" s="175"/>
      <c r="CT87" s="175"/>
      <c r="CU87" s="175"/>
      <c r="CV87" s="175"/>
      <c r="CW87" s="175"/>
      <c r="CX87" s="175"/>
      <c r="CY87" s="175"/>
      <c r="CZ87" s="175"/>
      <c r="DA87" s="175"/>
      <c r="DB87" s="175"/>
      <c r="DC87" s="175"/>
      <c r="DD87" s="175"/>
      <c r="DE87" s="175"/>
      <c r="DF87" s="175"/>
      <c r="DG87" s="175"/>
      <c r="DH87" s="175"/>
      <c r="DI87" s="175"/>
      <c r="DJ87" s="175"/>
      <c r="DK87" s="175"/>
      <c r="DL87" s="175"/>
      <c r="DM87" s="175"/>
      <c r="DN87" s="175"/>
      <c r="DO87" s="175"/>
      <c r="DP87" s="175"/>
      <c r="DQ87" s="175"/>
      <c r="DR87" s="175"/>
      <c r="DS87" s="175"/>
      <c r="DT87" s="175"/>
      <c r="DU87" s="175"/>
      <c r="DV87" s="175"/>
      <c r="DW87" s="175"/>
      <c r="DX87" s="175"/>
      <c r="DY87" s="175"/>
      <c r="DZ87" s="175"/>
      <c r="EA87" s="175"/>
      <c r="EB87" s="175"/>
      <c r="EC87" s="175"/>
      <c r="ED87" s="175"/>
      <c r="EE87" s="175"/>
      <c r="EF87" s="175"/>
      <c r="EG87" s="175"/>
      <c r="EH87" s="175"/>
      <c r="EI87" s="175"/>
      <c r="EJ87" s="175"/>
      <c r="EK87" s="175"/>
      <c r="EL87" s="175"/>
      <c r="EM87" s="175"/>
      <c r="EN87" s="175"/>
      <c r="EO87" s="175"/>
      <c r="EP87" s="175"/>
      <c r="EQ87" s="175"/>
      <c r="ER87" s="175"/>
      <c r="ES87" s="175"/>
      <c r="ET87" s="175"/>
      <c r="EU87" s="175"/>
      <c r="EV87" s="175"/>
      <c r="EW87" s="175"/>
      <c r="EX87" s="175"/>
      <c r="EY87" s="175"/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175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  <c r="HN87" s="175"/>
      <c r="HO87" s="175"/>
      <c r="HP87" s="175"/>
      <c r="HQ87" s="175"/>
      <c r="HR87" s="175"/>
      <c r="HS87" s="175"/>
      <c r="HT87" s="175"/>
      <c r="HU87" s="175"/>
      <c r="HV87" s="175"/>
      <c r="HW87" s="175"/>
      <c r="HX87" s="175"/>
      <c r="HY87" s="175"/>
      <c r="HZ87" s="175"/>
      <c r="IA87" s="175"/>
      <c r="IB87" s="175"/>
      <c r="IC87" s="175"/>
      <c r="ID87" s="175"/>
      <c r="IE87" s="175"/>
      <c r="IF87" s="175"/>
      <c r="IG87" s="175"/>
      <c r="IH87" s="175"/>
      <c r="II87" s="175"/>
      <c r="IJ87" s="175"/>
      <c r="IK87" s="175"/>
      <c r="IL87" s="175"/>
      <c r="IM87" s="175"/>
      <c r="IN87" s="175"/>
      <c r="IO87" s="175"/>
      <c r="IP87" s="175"/>
      <c r="IQ87" s="175"/>
    </row>
    <row r="88" spans="1:251" s="147" customFormat="1" ht="21.75" customHeight="1">
      <c r="A88" s="179"/>
      <c r="B88" s="201"/>
      <c r="C88" s="202" t="s">
        <v>71</v>
      </c>
      <c r="D88" s="201"/>
      <c r="E88" s="201"/>
      <c r="F88" s="201"/>
      <c r="G88" s="201"/>
      <c r="H88" s="438"/>
      <c r="I88" s="203">
        <f>SUM(I8:I87)</f>
        <v>22192500</v>
      </c>
      <c r="J88" s="203"/>
      <c r="K88" s="203">
        <f>SUM(K8:K87)</f>
        <v>16005000</v>
      </c>
      <c r="L88" s="203"/>
      <c r="M88" s="203">
        <f>SUM(M8:M87)</f>
        <v>14055000</v>
      </c>
      <c r="N88" s="203">
        <f>SUM(N8:N87)</f>
        <v>52252500</v>
      </c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  <c r="BO88" s="143"/>
      <c r="BP88" s="143"/>
      <c r="BQ88" s="143"/>
      <c r="BR88" s="143"/>
      <c r="BS88" s="143"/>
      <c r="BT88" s="143"/>
      <c r="BU88" s="143"/>
      <c r="BV88" s="143"/>
      <c r="BW88" s="143"/>
      <c r="BX88" s="143"/>
      <c r="BY88" s="143"/>
      <c r="BZ88" s="143"/>
      <c r="CA88" s="143"/>
      <c r="CB88" s="143"/>
      <c r="CC88" s="143"/>
      <c r="CD88" s="143"/>
      <c r="CE88" s="143"/>
      <c r="CF88" s="143"/>
      <c r="CG88" s="143"/>
      <c r="CH88" s="143"/>
      <c r="CI88" s="143"/>
      <c r="CJ88" s="143"/>
      <c r="CK88" s="143"/>
      <c r="CL88" s="143"/>
      <c r="CM88" s="143"/>
      <c r="CN88" s="143"/>
      <c r="CO88" s="143"/>
      <c r="CP88" s="143"/>
      <c r="CQ88" s="143"/>
      <c r="CR88" s="143"/>
      <c r="CS88" s="143"/>
      <c r="CT88" s="143"/>
      <c r="CU88" s="143"/>
      <c r="CV88" s="143"/>
      <c r="CW88" s="143"/>
      <c r="CX88" s="143"/>
      <c r="CY88" s="143"/>
      <c r="CZ88" s="143"/>
      <c r="DA88" s="143"/>
      <c r="DB88" s="143"/>
      <c r="DC88" s="143"/>
      <c r="DD88" s="143"/>
      <c r="DE88" s="143"/>
      <c r="DF88" s="143"/>
      <c r="DG88" s="143"/>
      <c r="DH88" s="143"/>
      <c r="DI88" s="143"/>
      <c r="DJ88" s="143"/>
      <c r="DK88" s="143"/>
      <c r="DL88" s="143"/>
      <c r="DM88" s="143"/>
      <c r="DN88" s="143"/>
      <c r="DO88" s="143"/>
      <c r="DP88" s="143"/>
      <c r="DQ88" s="143"/>
      <c r="DR88" s="143"/>
      <c r="DS88" s="143"/>
      <c r="DT88" s="143"/>
      <c r="DU88" s="143"/>
      <c r="DV88" s="143"/>
      <c r="DW88" s="143"/>
      <c r="DX88" s="143"/>
      <c r="DY88" s="143"/>
      <c r="DZ88" s="143"/>
      <c r="EA88" s="143"/>
      <c r="EB88" s="143"/>
      <c r="EC88" s="143"/>
      <c r="ED88" s="143"/>
      <c r="EE88" s="143"/>
      <c r="EF88" s="143"/>
      <c r="EG88" s="143"/>
      <c r="EH88" s="143"/>
      <c r="EI88" s="143"/>
      <c r="EJ88" s="143"/>
      <c r="EK88" s="143"/>
      <c r="EL88" s="143"/>
      <c r="EM88" s="143"/>
      <c r="EN88" s="143"/>
      <c r="EO88" s="143"/>
      <c r="EP88" s="143"/>
      <c r="EQ88" s="143"/>
      <c r="ER88" s="143"/>
      <c r="ES88" s="143"/>
      <c r="ET88" s="143"/>
      <c r="EU88" s="143"/>
      <c r="EV88" s="143"/>
      <c r="EW88" s="143"/>
      <c r="EX88" s="143"/>
      <c r="EY88" s="143"/>
      <c r="EZ88" s="143"/>
      <c r="FA88" s="143"/>
      <c r="FB88" s="143"/>
      <c r="FC88" s="143"/>
      <c r="FD88" s="143"/>
      <c r="FE88" s="143"/>
      <c r="FF88" s="143"/>
      <c r="FG88" s="143"/>
      <c r="FH88" s="143"/>
      <c r="FI88" s="143"/>
      <c r="FJ88" s="143"/>
      <c r="FK88" s="143"/>
      <c r="FL88" s="143"/>
      <c r="FM88" s="143"/>
      <c r="FN88" s="143"/>
      <c r="FO88" s="143"/>
      <c r="FP88" s="143"/>
      <c r="FQ88" s="143"/>
      <c r="FR88" s="143"/>
      <c r="FS88" s="143"/>
      <c r="FT88" s="143"/>
      <c r="FU88" s="143"/>
      <c r="FV88" s="143"/>
      <c r="FW88" s="143"/>
      <c r="FX88" s="143"/>
      <c r="FY88" s="143"/>
      <c r="FZ88" s="143"/>
      <c r="GA88" s="143"/>
      <c r="GB88" s="143"/>
      <c r="GC88" s="143"/>
      <c r="GD88" s="143"/>
      <c r="GE88" s="143"/>
      <c r="GF88" s="143"/>
      <c r="GG88" s="143"/>
      <c r="GH88" s="143"/>
      <c r="GI88" s="143"/>
      <c r="GJ88" s="143"/>
      <c r="GK88" s="143"/>
      <c r="GL88" s="143"/>
      <c r="GM88" s="143"/>
      <c r="GN88" s="143"/>
      <c r="GO88" s="143"/>
      <c r="GP88" s="143"/>
      <c r="GQ88" s="143"/>
      <c r="GR88" s="143"/>
      <c r="GS88" s="143"/>
      <c r="GT88" s="143"/>
      <c r="GU88" s="143"/>
      <c r="GV88" s="143"/>
      <c r="GW88" s="143"/>
      <c r="GX88" s="143"/>
      <c r="GY88" s="143"/>
      <c r="GZ88" s="143"/>
      <c r="HA88" s="143"/>
      <c r="HB88" s="143"/>
      <c r="HC88" s="143"/>
      <c r="HD88" s="143"/>
      <c r="HE88" s="143"/>
      <c r="HF88" s="143"/>
      <c r="HG88" s="143"/>
      <c r="HH88" s="143"/>
      <c r="HI88" s="143"/>
      <c r="HJ88" s="143"/>
      <c r="HK88" s="143"/>
      <c r="HL88" s="143"/>
      <c r="HM88" s="143"/>
      <c r="HN88" s="143"/>
      <c r="HO88" s="143"/>
      <c r="HP88" s="143"/>
      <c r="HQ88" s="143"/>
      <c r="HR88" s="143"/>
      <c r="HS88" s="143"/>
      <c r="HT88" s="143"/>
      <c r="HU88" s="143"/>
      <c r="HV88" s="143"/>
      <c r="HW88" s="143"/>
      <c r="HX88" s="143"/>
      <c r="HY88" s="143"/>
      <c r="HZ88" s="143"/>
      <c r="IA88" s="143"/>
      <c r="IB88" s="143"/>
      <c r="IC88" s="143"/>
      <c r="ID88" s="143"/>
      <c r="IE88" s="143"/>
      <c r="IF88" s="143"/>
      <c r="IG88" s="143"/>
      <c r="IH88" s="143"/>
      <c r="II88" s="143"/>
      <c r="IJ88" s="143"/>
      <c r="IK88" s="143"/>
      <c r="IL88" s="143"/>
      <c r="IM88" s="143"/>
      <c r="IN88" s="143"/>
      <c r="IO88" s="143"/>
      <c r="IP88" s="143"/>
      <c r="IQ88" s="143"/>
    </row>
    <row r="89" spans="1:251" ht="18.75">
      <c r="A89" s="109"/>
      <c r="B89" s="260"/>
      <c r="C89" s="261"/>
      <c r="D89" s="260"/>
      <c r="E89" s="125"/>
      <c r="F89" s="260"/>
      <c r="G89" s="125"/>
      <c r="H89" s="357"/>
      <c r="I89" s="262"/>
      <c r="J89" s="365"/>
      <c r="K89" s="511" t="s">
        <v>770</v>
      </c>
      <c r="L89" s="511"/>
      <c r="M89" s="511"/>
      <c r="N89" s="511"/>
    </row>
    <row r="90" spans="1:251" ht="18.75">
      <c r="A90" s="109"/>
      <c r="B90" s="510" t="s">
        <v>35</v>
      </c>
      <c r="C90" s="510"/>
      <c r="D90" s="260"/>
      <c r="E90" s="260"/>
      <c r="F90" s="260"/>
      <c r="G90" s="125"/>
      <c r="H90" s="358"/>
      <c r="I90" s="264"/>
      <c r="J90" s="365"/>
      <c r="K90" s="491" t="s">
        <v>21</v>
      </c>
      <c r="L90" s="491"/>
      <c r="M90" s="491"/>
      <c r="N90" s="491"/>
    </row>
    <row r="91" spans="1:251" ht="18.75">
      <c r="A91" s="109"/>
      <c r="B91" s="263"/>
      <c r="C91" s="263"/>
      <c r="D91" s="260"/>
      <c r="E91" s="260"/>
      <c r="F91" s="260"/>
      <c r="G91" s="125"/>
      <c r="H91" s="358"/>
      <c r="I91" s="264"/>
      <c r="J91" s="365"/>
      <c r="K91" s="258"/>
      <c r="L91" s="362"/>
      <c r="M91" s="258"/>
      <c r="N91" s="258"/>
    </row>
    <row r="92" spans="1:251" ht="18.75">
      <c r="B92" s="39"/>
      <c r="C92" s="144"/>
      <c r="D92" s="265"/>
      <c r="E92" s="265"/>
      <c r="F92" s="266"/>
      <c r="G92" s="39"/>
      <c r="I92" s="268"/>
      <c r="J92" s="366"/>
      <c r="K92" s="268"/>
      <c r="L92" s="267"/>
      <c r="M92" s="268"/>
      <c r="N92" s="126"/>
    </row>
    <row r="93" spans="1:251" ht="18.75">
      <c r="B93" s="39"/>
      <c r="C93" s="144"/>
      <c r="D93" s="265"/>
      <c r="E93" s="265"/>
      <c r="F93" s="265"/>
      <c r="G93" s="39"/>
      <c r="I93" s="268"/>
      <c r="J93" s="366"/>
      <c r="K93" s="268"/>
      <c r="L93" s="267"/>
      <c r="M93" s="268"/>
      <c r="N93" s="126"/>
    </row>
    <row r="94" spans="1:251" ht="21.75" customHeight="1">
      <c r="B94" s="492" t="s">
        <v>45</v>
      </c>
      <c r="C94" s="492"/>
      <c r="D94" s="265"/>
      <c r="E94" s="265"/>
      <c r="F94" s="265"/>
      <c r="G94" s="39"/>
      <c r="I94" s="268"/>
      <c r="J94" s="366"/>
      <c r="K94" s="509" t="s">
        <v>152</v>
      </c>
      <c r="L94" s="509"/>
      <c r="M94" s="509"/>
      <c r="N94" s="509"/>
    </row>
    <row r="95" spans="1:251" ht="18.75">
      <c r="B95" s="39"/>
      <c r="C95" s="144"/>
      <c r="D95" s="265"/>
      <c r="E95" s="265"/>
      <c r="F95" s="265"/>
      <c r="G95" s="39"/>
      <c r="I95" s="268"/>
      <c r="J95" s="366"/>
      <c r="K95" s="268"/>
      <c r="L95" s="267"/>
      <c r="M95" s="268"/>
      <c r="N95" s="126"/>
    </row>
    <row r="96" spans="1:251" ht="18.75">
      <c r="B96" s="39"/>
      <c r="C96" s="144"/>
      <c r="D96" s="265"/>
      <c r="E96" s="265"/>
      <c r="F96" s="265"/>
      <c r="G96" s="39"/>
      <c r="I96" s="268"/>
      <c r="J96" s="366"/>
      <c r="K96" s="268"/>
      <c r="L96" s="267"/>
      <c r="M96" s="268"/>
      <c r="N96" s="126"/>
    </row>
    <row r="97" spans="2:14" ht="18.75">
      <c r="B97" s="39"/>
      <c r="C97" s="144"/>
      <c r="D97" s="265"/>
      <c r="E97" s="265"/>
      <c r="F97" s="265"/>
      <c r="G97" s="39"/>
      <c r="I97" s="268"/>
      <c r="J97" s="366"/>
      <c r="K97" s="268"/>
      <c r="L97" s="267"/>
      <c r="M97" s="268"/>
      <c r="N97" s="126"/>
    </row>
    <row r="98" spans="2:14" ht="18.75">
      <c r="B98" s="39"/>
      <c r="C98" s="144"/>
      <c r="D98" s="265"/>
      <c r="E98" s="265"/>
      <c r="F98" s="265"/>
      <c r="G98" s="39"/>
      <c r="I98" s="268"/>
      <c r="J98" s="366"/>
      <c r="K98" s="268"/>
      <c r="L98" s="267"/>
      <c r="M98" s="268"/>
      <c r="N98" s="126"/>
    </row>
    <row r="99" spans="2:14" ht="18.75">
      <c r="B99" s="39"/>
      <c r="C99" s="144"/>
      <c r="D99" s="265"/>
      <c r="E99" s="265"/>
      <c r="F99" s="265"/>
      <c r="G99" s="39"/>
      <c r="I99" s="268"/>
      <c r="J99" s="366"/>
      <c r="K99" s="268"/>
      <c r="L99" s="267"/>
      <c r="M99" s="268"/>
      <c r="N99" s="126"/>
    </row>
  </sheetData>
  <autoFilter ref="A7:WWY90" xr:uid="{00000000-0009-0000-0000-000004000000}"/>
  <sortState xmlns:xlrd2="http://schemas.microsoft.com/office/spreadsheetml/2017/richdata2" ref="A8:WWY87">
    <sortCondition ref="A8:A87"/>
  </sortState>
  <mergeCells count="9">
    <mergeCell ref="A1:E1"/>
    <mergeCell ref="A2:E2"/>
    <mergeCell ref="B3:N3"/>
    <mergeCell ref="A4:N4"/>
    <mergeCell ref="B94:C94"/>
    <mergeCell ref="K94:N94"/>
    <mergeCell ref="B90:C90"/>
    <mergeCell ref="K89:N89"/>
    <mergeCell ref="K90:N90"/>
  </mergeCells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view="pageLayout" topLeftCell="A7" zoomScaleNormal="100" workbookViewId="0">
      <selection activeCell="H25" sqref="H25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01" t="s">
        <v>0</v>
      </c>
      <c r="B1" s="501"/>
      <c r="C1" s="501"/>
    </row>
    <row r="2" spans="1:8" ht="16.5">
      <c r="A2" s="500" t="s">
        <v>75</v>
      </c>
      <c r="B2" s="500"/>
      <c r="C2" s="500"/>
    </row>
    <row r="3" spans="1:8" ht="20.25">
      <c r="A3" s="491" t="s">
        <v>769</v>
      </c>
      <c r="B3" s="491"/>
      <c r="C3" s="491"/>
      <c r="D3" s="491"/>
      <c r="E3" s="491"/>
      <c r="F3" s="491"/>
      <c r="G3" s="125"/>
      <c r="H3" s="2"/>
    </row>
    <row r="4" spans="1:8" ht="20.25">
      <c r="A4" s="512" t="s">
        <v>92</v>
      </c>
      <c r="B4" s="512"/>
      <c r="C4" s="512"/>
      <c r="D4" s="512"/>
      <c r="E4" s="512"/>
      <c r="F4" s="512"/>
      <c r="G4" s="512"/>
      <c r="H4" s="2"/>
    </row>
    <row r="5" spans="1:8" ht="10.5" customHeight="1">
      <c r="B5" s="39"/>
      <c r="C5" s="40"/>
      <c r="D5" s="40"/>
      <c r="H5" s="2"/>
    </row>
    <row r="6" spans="1:8" ht="21" customHeight="1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114" t="s">
        <v>117</v>
      </c>
      <c r="G6" s="47"/>
    </row>
    <row r="7" spans="1:8" ht="21" customHeight="1">
      <c r="A7" s="110">
        <v>1</v>
      </c>
      <c r="B7" s="106" t="s">
        <v>23</v>
      </c>
      <c r="C7" s="107" t="s">
        <v>26</v>
      </c>
      <c r="D7" s="188">
        <v>102006610216</v>
      </c>
      <c r="E7" s="86">
        <f>SUM(SUMIF(phauthuat_BHYT!$H$8:$H$93,"TRIỀU",phauthuat_BHYT!$I$8:$I$93),SUMIF(phauthuat_BHYT!$J$8:$J$93,"TRIỀU",phauthuat_BHYT!$K$8:$K$93),SUMIF(phauthuat_BHYT!$L$8:$L$93,"TRIỀU",phauthuat_BHYT!$M$8:$M$93))</f>
        <v>840000</v>
      </c>
      <c r="F7" s="115"/>
    </row>
    <row r="8" spans="1:8" ht="20.25" customHeight="1">
      <c r="A8" s="110">
        <v>2</v>
      </c>
      <c r="B8" s="106" t="s">
        <v>18</v>
      </c>
      <c r="C8" s="107" t="s">
        <v>26</v>
      </c>
      <c r="D8" s="188">
        <v>103006610215</v>
      </c>
      <c r="E8" s="86">
        <f>SUM(SUMIF(phauthuat_BHYT!$H$8:$H$93,"TẤN",phauthuat_BHYT!$I$8:$I$93),SUMIF(phauthuat_BHYT!$J$8:$J$93,"TẤN",phauthuat_BHYT!$K$8:$K$93),SUMIF(phauthuat_BHYT!$L$8:$L$93,"TẤN",phauthuat_BHYT!$M$8:$M$93))</f>
        <v>420000</v>
      </c>
      <c r="F8" s="115"/>
    </row>
    <row r="9" spans="1:8" ht="16.5">
      <c r="A9" s="110">
        <v>3</v>
      </c>
      <c r="B9" s="106" t="s">
        <v>17</v>
      </c>
      <c r="C9" s="107" t="s">
        <v>26</v>
      </c>
      <c r="D9" s="188">
        <v>100006610218</v>
      </c>
      <c r="E9" s="86">
        <f>SUM(SUMIF(phauthuat_BHYT!$H$8:$H$93,"HOAN",phauthuat_BHYT!$I$8:$I$93),SUMIF(phauthuat_BHYT!$J$8:$J$93,"HOAN",phauthuat_BHYT!$K$8:$K$93),SUMIF(phauthuat_BHYT!$L$8:$L$93,"HOAN",phauthuat_BHYT!$M$8:$M$93))</f>
        <v>7860000</v>
      </c>
      <c r="F9" s="115"/>
    </row>
    <row r="10" spans="1:8" ht="18.75" customHeight="1">
      <c r="A10" s="110">
        <v>4</v>
      </c>
      <c r="B10" s="106" t="s">
        <v>74</v>
      </c>
      <c r="C10" s="107" t="s">
        <v>26</v>
      </c>
      <c r="D10" s="188">
        <v>105001159195</v>
      </c>
      <c r="E10" s="86">
        <f>SUM(SUMIF(phauthuat_BHYT!$H$8:$H$93,"NGUYỆN",phauthuat_BHYT!$I$8:$I$93),SUMIF(phauthuat_BHYT!$J$8:$J$93,"NGUYỆN",phauthuat_BHYT!$K$8:$K$93),SUMIF(phauthuat_BHYT!$L$8:$L$93,"NGUYỆN",phauthuat_BHYT!$M$8:$M$93))</f>
        <v>9390000</v>
      </c>
      <c r="F10" s="115"/>
      <c r="G10" s="41"/>
      <c r="H10" s="41"/>
    </row>
    <row r="11" spans="1:8" ht="17.25" customHeight="1">
      <c r="A11" s="110">
        <v>5</v>
      </c>
      <c r="B11" s="106" t="s">
        <v>72</v>
      </c>
      <c r="C11" s="107" t="s">
        <v>66</v>
      </c>
      <c r="D11" s="188">
        <v>105001225232</v>
      </c>
      <c r="E11" s="86">
        <f>SUM(SUMIF(phauthuat_BHYT!$H$8:$H$93,"ĐIỀN",phauthuat_BHYT!$I$8:$I$93),SUMIF(phauthuat_BHYT!$J$8:$J$93,"ĐIỀN",phauthuat_BHYT!$K$8:$K$93),SUMIF(phauthuat_BHYT!$L$8:$L$93,"ĐIỀN",phauthuat_BHYT!$M$8:$M$93))</f>
        <v>4507500</v>
      </c>
      <c r="F11" s="115"/>
      <c r="G11" s="41"/>
      <c r="H11" s="41"/>
    </row>
    <row r="12" spans="1:8" ht="20.25" customHeight="1">
      <c r="A12" s="110">
        <v>6</v>
      </c>
      <c r="B12" s="106" t="s">
        <v>111</v>
      </c>
      <c r="C12" s="107" t="s">
        <v>66</v>
      </c>
      <c r="D12" s="188">
        <v>107868829237</v>
      </c>
      <c r="E12" s="86">
        <f>SUM(SUMIF(phauthuat_BHYT!$H$8:$H$93,"TOẢN",phauthuat_BHYT!$I$8:$I$93),SUMIF(phauthuat_BHYT!$J$8:$J$93,"TOẢN",phauthuat_BHYT!$K$8:$K$93),SUMIF(phauthuat_BHYT!$L$8:$L$93,"TOẢN",phauthuat_BHYT!$M$8:$M$93))</f>
        <v>5415000</v>
      </c>
      <c r="F12" s="115"/>
      <c r="G12" s="41"/>
      <c r="H12" s="41"/>
    </row>
    <row r="13" spans="1:8" ht="16.5">
      <c r="A13" s="110">
        <v>7</v>
      </c>
      <c r="B13" s="106" t="s">
        <v>84</v>
      </c>
      <c r="C13" s="230" t="s">
        <v>26</v>
      </c>
      <c r="D13" s="278" t="s">
        <v>121</v>
      </c>
      <c r="E13" s="204">
        <f>SUM(SUMIF(phauthuat_BHYT!$H$8:$H$93,"v.tân",phauthuat_BHYT!$I$8:$I$93),SUMIF(phauthuat_BHYT!$J$8:$J$93,"v.tân",phauthuat_BHYT!$K$8:$K$93),SUMIF(phauthuat_BHYT!$L$8:$L$93,"v.tân",phauthuat_BHYT!$M$8:$M$93))</f>
        <v>3855000</v>
      </c>
      <c r="F13" s="231"/>
      <c r="G13" s="41"/>
      <c r="H13" s="41"/>
    </row>
    <row r="14" spans="1:8" ht="16.5">
      <c r="A14" s="110">
        <v>8</v>
      </c>
      <c r="B14" s="106" t="s">
        <v>123</v>
      </c>
      <c r="C14" s="230" t="s">
        <v>26</v>
      </c>
      <c r="D14" s="278" t="s">
        <v>126</v>
      </c>
      <c r="E14" s="204">
        <f>SUM(SUMIF(phauthuat_BHYT!$H$8:$H$93,"TUẤN",phauthuat_BHYT!$I$8:$I$93),SUMIF(phauthuat_BHYT!$J$8:$J$93,"TUẤN",phauthuat_BHYT!$K$8:$K$93),SUMIF(phauthuat_BHYT!$L$8:$L$93,"TUẤN",phauthuat_BHYT!$M$8:$M$93))</f>
        <v>5355000</v>
      </c>
      <c r="F14" s="231"/>
      <c r="G14" s="41"/>
      <c r="H14" s="41"/>
    </row>
    <row r="15" spans="1:8" ht="16.5">
      <c r="A15" s="110">
        <v>9</v>
      </c>
      <c r="B15" s="106" t="s">
        <v>59</v>
      </c>
      <c r="C15" s="230" t="s">
        <v>26</v>
      </c>
      <c r="D15" s="437">
        <v>107004193662</v>
      </c>
      <c r="E15" s="204">
        <f>SUM(SUMIF(phauthuat_BHYT!$H$8:$H$93,"sơn",phauthuat_BHYT!$I$8:$I$93),SUMIF(phauthuat_BHYT!$J$8:$J$93,"sơn",phauthuat_BHYT!$K$8:$K$93),SUMIF(phauthuat_BHYT!$L$8:$L$93,"sơn",phauthuat_BHYT!$M$8:$M$93))</f>
        <v>0</v>
      </c>
      <c r="F15" s="231"/>
      <c r="G15" s="41"/>
      <c r="H15" s="41"/>
    </row>
    <row r="16" spans="1:8" ht="16.5">
      <c r="A16" s="110">
        <v>10</v>
      </c>
      <c r="B16" s="106" t="s">
        <v>260</v>
      </c>
      <c r="C16" s="230" t="s">
        <v>60</v>
      </c>
      <c r="D16" s="435">
        <v>105883051352</v>
      </c>
      <c r="E16" s="204">
        <f>SUM(SUMIF(phauthuat_BHYT!$H$8:$H$93,"kiệt",phauthuat_BHYT!$I$8:$I$93),SUMIF(phauthuat_BHYT!$J$8:$J$93,"kiệt",phauthuat_BHYT!$K$8:$K$93),SUMIF(phauthuat_BHYT!$L$8:$L$93,"kiệt",phauthuat_BHYT!$M$8:$M$93))</f>
        <v>1080000</v>
      </c>
      <c r="F16" s="231"/>
      <c r="G16" s="41"/>
      <c r="H16" s="41"/>
    </row>
    <row r="17" spans="1:8" ht="16.5">
      <c r="A17" s="110">
        <v>11</v>
      </c>
      <c r="B17" s="106" t="s">
        <v>261</v>
      </c>
      <c r="C17" s="230" t="s">
        <v>60</v>
      </c>
      <c r="D17" s="436"/>
      <c r="E17" s="204">
        <f>SUM(SUMIF(phauthuat_BHYT!$H$8:$H$93,"phong",phauthuat_BHYT!$I$8:$I$93),SUMIF(phauthuat_BHYT!$J$8:$J$93,"phong",phauthuat_BHYT!$K$8:$K$93),SUMIF(phauthuat_BHYT!$L$8:$L$93,"phong",phauthuat_BHYT!$M$8:$M$93))</f>
        <v>300000</v>
      </c>
      <c r="F17" s="231"/>
      <c r="G17" s="41"/>
      <c r="H17" s="41"/>
    </row>
    <row r="18" spans="1:8" ht="16.5">
      <c r="A18" s="110">
        <v>12</v>
      </c>
      <c r="B18" s="106" t="s">
        <v>262</v>
      </c>
      <c r="C18" s="230" t="s">
        <v>60</v>
      </c>
      <c r="D18" s="436"/>
      <c r="E18" s="204">
        <f>SUM(SUMIF(phauthuat_BHYT!$H$8:$H$93,"lợi",phauthuat_BHYT!$I$8:$I$93),SUMIF(phauthuat_BHYT!$J$8:$J$93,"lợi",phauthuat_BHYT!$K$8:$K$93),SUMIF(phauthuat_BHYT!$L$8:$L$93,"lợi",phauthuat_BHYT!$M$8:$M$93))</f>
        <v>810000</v>
      </c>
      <c r="F18" s="231"/>
      <c r="G18" s="41"/>
      <c r="H18" s="41"/>
    </row>
    <row r="19" spans="1:8" ht="16.5">
      <c r="A19" s="110">
        <v>13</v>
      </c>
      <c r="B19" s="106" t="s">
        <v>263</v>
      </c>
      <c r="C19" s="230" t="s">
        <v>60</v>
      </c>
      <c r="D19" s="436"/>
      <c r="E19" s="204">
        <f>SUM(SUMIF(phauthuat_BHYT!$H$8:$H$93,"thanh",phauthuat_BHYT!$I$8:$I$93),SUMIF(phauthuat_BHYT!$J$8:$J$93,"thanh",phauthuat_BHYT!$K$8:$K$93),SUMIF(phauthuat_BHYT!$L$8:$L$93,"thanh",phauthuat_BHYT!$M$8:$M$93))</f>
        <v>1020000</v>
      </c>
      <c r="F19" s="231"/>
      <c r="G19" s="41"/>
      <c r="H19" s="41"/>
    </row>
    <row r="20" spans="1:8" ht="16.5">
      <c r="A20" s="110">
        <v>14</v>
      </c>
      <c r="B20" s="106" t="s">
        <v>154</v>
      </c>
      <c r="C20" s="230" t="s">
        <v>60</v>
      </c>
      <c r="D20" s="354">
        <v>105880975165</v>
      </c>
      <c r="E20" s="204">
        <f>SUM(SUMIF(phauthuat_BHYT!$H$8:$H$93,"ĐAN",phauthuat_BHYT!$I$8:$I$93),SUMIF(phauthuat_BHYT!$J$8:$J$93,"ĐAN",phauthuat_BHYT!$K$8:$K$93),SUMIF(phauthuat_BHYT!$L$8:$L$93,"ĐAN",phauthuat_BHYT!$M$8:$M$93))</f>
        <v>945000</v>
      </c>
      <c r="F20" s="231"/>
      <c r="G20" s="41"/>
      <c r="H20" s="41"/>
    </row>
    <row r="21" spans="1:8" ht="16.5">
      <c r="A21" s="110">
        <v>15</v>
      </c>
      <c r="B21" s="106" t="s">
        <v>155</v>
      </c>
      <c r="C21" s="230" t="s">
        <v>60</v>
      </c>
      <c r="D21" s="354">
        <v>102879258199</v>
      </c>
      <c r="E21" s="204">
        <f>SUM(SUMIF(phauthuat_BHYT!$H$8:$H$93,"HẬU",phauthuat_BHYT!$I$8:$I$93),SUMIF(phauthuat_BHYT!$J$8:$J$93,"HẬU",phauthuat_BHYT!$K$8:$K$93),SUMIF(phauthuat_BHYT!$L$8:$L$93,"HẬU",phauthuat_BHYT!$M$8:$M$93))</f>
        <v>1320000</v>
      </c>
      <c r="F21" s="231"/>
      <c r="G21" s="41"/>
      <c r="H21" s="41"/>
    </row>
    <row r="22" spans="1:8" ht="16.5">
      <c r="A22" s="110">
        <v>16</v>
      </c>
      <c r="B22" s="106" t="s">
        <v>156</v>
      </c>
      <c r="C22" s="230" t="s">
        <v>60</v>
      </c>
      <c r="D22" s="355" t="s">
        <v>160</v>
      </c>
      <c r="E22" s="204">
        <f>SUM(SUMIF(phauthuat_BHYT!$H$8:$H$93,"VINH",phauthuat_BHYT!$I$8:$I$93),SUMIF(phauthuat_BHYT!$J$8:$J$93,"VINH",phauthuat_BHYT!$K$8:$K$93),SUMIF(phauthuat_BHYT!$L$8:$L$93,"VINH",phauthuat_BHYT!$M$8:$M$93))</f>
        <v>1530000</v>
      </c>
      <c r="F22" s="231"/>
      <c r="G22" s="41"/>
      <c r="H22" s="41"/>
    </row>
    <row r="23" spans="1:8" ht="16.5">
      <c r="A23" s="110">
        <v>17</v>
      </c>
      <c r="B23" s="106" t="s">
        <v>157</v>
      </c>
      <c r="C23" s="230" t="s">
        <v>60</v>
      </c>
      <c r="D23" s="354">
        <v>109881014321</v>
      </c>
      <c r="E23" s="204">
        <f>SUM(SUMIF(phauthuat_BHYT!$H$8:$H$93,"Q.TẤN",phauthuat_BHYT!$I$8:$I$93),SUMIF(phauthuat_BHYT!$J$8:$J$93,"Q.TẤN",phauthuat_BHYT!$K$8:$K$93),SUMIF(phauthuat_BHYT!$L$8:$L$93,"Q.TẤN",phauthuat_BHYT!$M$8:$M$93))</f>
        <v>1425000</v>
      </c>
      <c r="F23" s="231"/>
      <c r="G23" s="41"/>
      <c r="H23" s="41"/>
    </row>
    <row r="24" spans="1:8" ht="16.5">
      <c r="A24" s="110">
        <v>18</v>
      </c>
      <c r="B24" s="106" t="s">
        <v>158</v>
      </c>
      <c r="C24" s="230" t="s">
        <v>60</v>
      </c>
      <c r="D24" s="354">
        <v>102880994246</v>
      </c>
      <c r="E24" s="204">
        <f>SUM(SUMIF(phauthuat_BHYT!$H$8:$H$93,"HÀO",phauthuat_BHYT!$I$8:$I$93),SUMIF(phauthuat_BHYT!$J$8:$J$93,"HÀO",phauthuat_BHYT!$K$8:$K$93),SUMIF(phauthuat_BHYT!$L$8:$L$93,"HÀO",phauthuat_BHYT!$M$8:$M$93))</f>
        <v>360000</v>
      </c>
      <c r="F24" s="231"/>
      <c r="G24" s="41"/>
      <c r="H24" s="41"/>
    </row>
    <row r="25" spans="1:8" ht="16.5">
      <c r="A25" s="110">
        <v>19</v>
      </c>
      <c r="B25" s="106" t="s">
        <v>159</v>
      </c>
      <c r="C25" s="230" t="s">
        <v>60</v>
      </c>
      <c r="D25" s="356" t="s">
        <v>161</v>
      </c>
      <c r="E25" s="204">
        <f>SUM(SUMIF(phauthuat_BHYT!$H$8:$H$93,"NGUYÊN",phauthuat_BHYT!$I$8:$I$93),SUMIF(phauthuat_BHYT!$J$8:$J$93,"NGUYÊN",phauthuat_BHYT!$K$8:$K$93),SUMIF(phauthuat_BHYT!$L$8:$L$93,"NGUYÊN",phauthuat_BHYT!$M$8:$M$93))</f>
        <v>1335000</v>
      </c>
      <c r="F25" s="231"/>
      <c r="G25" s="41"/>
      <c r="H25" s="41"/>
    </row>
    <row r="26" spans="1:8" ht="16.5">
      <c r="A26" s="110">
        <v>20</v>
      </c>
      <c r="B26" s="106" t="s">
        <v>771</v>
      </c>
      <c r="C26" s="230" t="s">
        <v>60</v>
      </c>
      <c r="D26" s="356" t="s">
        <v>776</v>
      </c>
      <c r="E26" s="204">
        <f>SUM(SUMIF(phauthuat_BHYT!$H$8:$H$93,"NGHIÊM",phauthuat_BHYT!$I$8:$I$93),SUMIF(phauthuat_BHYT!$J$8:$J$93,"NGHIÊM",phauthuat_BHYT!$K$8:$K$93),SUMIF(phauthuat_BHYT!$L$8:$L$93,"NGHIÊM",phauthuat_BHYT!$M$8:$M$93))</f>
        <v>375000</v>
      </c>
      <c r="F26" s="231"/>
      <c r="G26" s="41"/>
      <c r="H26" s="41"/>
    </row>
    <row r="27" spans="1:8" ht="16.5">
      <c r="A27" s="110">
        <v>21</v>
      </c>
      <c r="B27" s="106" t="s">
        <v>772</v>
      </c>
      <c r="C27" s="230" t="s">
        <v>60</v>
      </c>
      <c r="D27" s="558">
        <v>109881609351</v>
      </c>
      <c r="E27" s="204">
        <f>SUM(SUMIF(phauthuat_BHYT!$H$8:$H$93,"CÔNG",phauthuat_BHYT!$I$8:$I$93),SUMIF(phauthuat_BHYT!$J$8:$J$93,"CÔNG",phauthuat_BHYT!$K$8:$K$93),SUMIF(phauthuat_BHYT!$L$8:$L$93,"CÔNG",phauthuat_BHYT!$M$8:$M$93))</f>
        <v>150000</v>
      </c>
      <c r="F27" s="231"/>
      <c r="G27" s="41"/>
      <c r="H27" s="41"/>
    </row>
    <row r="28" spans="1:8" ht="16.5">
      <c r="A28" s="110">
        <v>22</v>
      </c>
      <c r="B28" s="106" t="s">
        <v>773</v>
      </c>
      <c r="C28" s="230" t="s">
        <v>60</v>
      </c>
      <c r="D28" s="356" t="s">
        <v>777</v>
      </c>
      <c r="E28" s="204">
        <f>SUM(SUMIF(phauthuat_BHYT!$H$8:$H$93,"THIỆN",phauthuat_BHYT!$I$8:$I$93),SUMIF(phauthuat_BHYT!$J$8:$J$93,"THIỆN",phauthuat_BHYT!$K$8:$K$93),SUMIF(phauthuat_BHYT!$L$8:$L$93,"THIỆN",phauthuat_BHYT!$M$8:$M$93))</f>
        <v>1425000</v>
      </c>
      <c r="F28" s="231"/>
      <c r="G28" s="41"/>
      <c r="H28" s="41"/>
    </row>
    <row r="29" spans="1:8" ht="16.5">
      <c r="A29" s="110">
        <v>23</v>
      </c>
      <c r="B29" s="106" t="s">
        <v>774</v>
      </c>
      <c r="C29" s="230" t="s">
        <v>60</v>
      </c>
      <c r="D29" s="356"/>
      <c r="E29" s="204">
        <f>SUM(SUMIF(phauthuat_BHYT!$H$8:$H$93,"LINH",phauthuat_BHYT!$I$8:$I$93),SUMIF(phauthuat_BHYT!$J$8:$J$93,"LINH",phauthuat_BHYT!$K$8:$K$93),SUMIF(phauthuat_BHYT!$L$8:$L$93,"LINH",phauthuat_BHYT!$M$8:$M$93))</f>
        <v>300000</v>
      </c>
      <c r="F29" s="231"/>
      <c r="G29" s="41"/>
      <c r="H29" s="41"/>
    </row>
    <row r="30" spans="1:8" ht="16.5">
      <c r="A30" s="110">
        <v>24</v>
      </c>
      <c r="B30" s="106" t="s">
        <v>775</v>
      </c>
      <c r="C30" s="230" t="s">
        <v>60</v>
      </c>
      <c r="D30" s="356" t="s">
        <v>779</v>
      </c>
      <c r="E30" s="204">
        <f>SUM(SUMIF(phauthuat_BHYT!$H$8:$H$93,"ĐỨC",phauthuat_BHYT!$I$8:$I$93),SUMIF(phauthuat_BHYT!$J$8:$J$93,"ĐỨC",phauthuat_BHYT!$K$8:$K$93),SUMIF(phauthuat_BHYT!$L$8:$L$93,"ĐỨC",phauthuat_BHYT!$M$8:$M$93))</f>
        <v>2235000</v>
      </c>
      <c r="F30" s="231"/>
      <c r="G30" s="41"/>
      <c r="H30" s="41"/>
    </row>
    <row r="31" spans="1:8" ht="20.25" customHeight="1">
      <c r="A31" s="106"/>
      <c r="B31" s="116" t="s">
        <v>28</v>
      </c>
      <c r="C31" s="117"/>
      <c r="D31" s="117"/>
      <c r="E31" s="86">
        <f>SUM(E7:E30)</f>
        <v>52252500</v>
      </c>
      <c r="F31" s="118"/>
      <c r="G31" s="49"/>
      <c r="H31" s="43"/>
    </row>
    <row r="32" spans="1:8" ht="12" customHeight="1">
      <c r="A32" s="1"/>
      <c r="B32" s="105"/>
    </row>
    <row r="33" spans="1:7" ht="15.75">
      <c r="D33" s="300" t="s">
        <v>770</v>
      </c>
      <c r="E33" s="300"/>
      <c r="F33" s="300"/>
      <c r="G33" s="300"/>
    </row>
    <row r="34" spans="1:7" ht="18.75">
      <c r="A34" s="491" t="s">
        <v>20</v>
      </c>
      <c r="B34" s="491"/>
      <c r="C34" s="40"/>
      <c r="D34" s="513" t="s">
        <v>21</v>
      </c>
      <c r="E34" s="513"/>
      <c r="F34" s="513"/>
      <c r="G34" s="513"/>
    </row>
    <row r="35" spans="1:7" ht="18.75">
      <c r="A35" s="39"/>
      <c r="B35" s="39"/>
      <c r="C35" s="40"/>
      <c r="D35" s="40"/>
      <c r="E35" s="40"/>
      <c r="F35" s="39"/>
      <c r="G35" s="39"/>
    </row>
    <row r="36" spans="1:7" ht="18.75">
      <c r="A36" s="39"/>
      <c r="B36" s="39"/>
      <c r="C36" s="40"/>
      <c r="D36" s="40"/>
      <c r="E36" s="40"/>
      <c r="F36" s="39"/>
      <c r="G36" s="39"/>
    </row>
    <row r="37" spans="1:7" ht="18.75">
      <c r="A37" s="39"/>
      <c r="B37" s="39"/>
      <c r="C37" s="40"/>
      <c r="D37" s="40"/>
      <c r="E37" s="40"/>
      <c r="F37" s="238"/>
      <c r="G37" s="39"/>
    </row>
    <row r="38" spans="1:7" ht="18.75">
      <c r="A38" s="491" t="s">
        <v>96</v>
      </c>
      <c r="B38" s="491"/>
      <c r="C38" s="40"/>
      <c r="D38" s="301" t="s">
        <v>108</v>
      </c>
      <c r="E38" s="301"/>
      <c r="F38" s="301"/>
      <c r="G38" s="301"/>
    </row>
    <row r="39" spans="1:7" ht="18.75">
      <c r="A39" s="39"/>
      <c r="B39" s="39"/>
      <c r="C39" s="40"/>
      <c r="D39" s="40"/>
      <c r="E39" s="40"/>
      <c r="F39" s="39"/>
      <c r="G39" s="39"/>
    </row>
  </sheetData>
  <mergeCells count="7">
    <mergeCell ref="A4:G4"/>
    <mergeCell ref="A3:F3"/>
    <mergeCell ref="A1:C1"/>
    <mergeCell ref="A2:C2"/>
    <mergeCell ref="A38:B38"/>
    <mergeCell ref="A34:B34"/>
    <mergeCell ref="D34:G34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selection activeCell="K39" sqref="K39"/>
    </sheetView>
  </sheetViews>
  <sheetFormatPr defaultColWidth="9.140625" defaultRowHeight="12.75"/>
  <cols>
    <col min="1" max="1" width="7.140625" style="37" customWidth="1"/>
    <col min="2" max="2" width="24.85546875" style="37" customWidth="1"/>
    <col min="3" max="3" width="14.85546875" style="38" customWidth="1"/>
    <col min="4" max="4" width="17.42578125" style="38" customWidth="1"/>
    <col min="5" max="5" width="12.7109375" style="38" hidden="1" customWidth="1"/>
    <col min="6" max="6" width="17.42578125" style="248" customWidth="1"/>
    <col min="7" max="7" width="13.7109375" style="37" customWidth="1"/>
    <col min="8" max="8" width="16.5703125" style="37" bestFit="1" customWidth="1"/>
    <col min="9" max="9" width="18.28515625" style="37" customWidth="1"/>
    <col min="10" max="16384" width="9.140625" style="37"/>
  </cols>
  <sheetData>
    <row r="1" spans="1:9" ht="16.5">
      <c r="A1" s="501" t="s">
        <v>0</v>
      </c>
      <c r="B1" s="501"/>
      <c r="C1" s="501"/>
    </row>
    <row r="2" spans="1:9" ht="16.5">
      <c r="A2" s="500" t="s">
        <v>75</v>
      </c>
      <c r="B2" s="500"/>
      <c r="C2" s="500"/>
    </row>
    <row r="3" spans="1:9" ht="20.25">
      <c r="A3" s="491" t="s">
        <v>769</v>
      </c>
      <c r="B3" s="491"/>
      <c r="C3" s="491"/>
      <c r="D3" s="491"/>
      <c r="E3" s="491"/>
      <c r="F3" s="491"/>
      <c r="G3" s="491"/>
      <c r="H3" s="2"/>
    </row>
    <row r="4" spans="1:9" ht="20.25">
      <c r="A4" s="512" t="s">
        <v>92</v>
      </c>
      <c r="B4" s="512"/>
      <c r="C4" s="512"/>
      <c r="D4" s="512"/>
      <c r="E4" s="512"/>
      <c r="F4" s="512"/>
      <c r="G4" s="512"/>
      <c r="H4" s="2"/>
    </row>
    <row r="5" spans="1:9" ht="10.5" customHeight="1">
      <c r="B5" s="39"/>
      <c r="C5" s="40"/>
      <c r="D5" s="40"/>
      <c r="H5" s="2"/>
    </row>
    <row r="6" spans="1:9" ht="21" customHeight="1">
      <c r="A6" s="220" t="s">
        <v>2</v>
      </c>
      <c r="B6" s="221" t="s">
        <v>13</v>
      </c>
      <c r="C6" s="222" t="s">
        <v>85</v>
      </c>
      <c r="D6" s="222" t="s">
        <v>114</v>
      </c>
      <c r="E6" s="222" t="s">
        <v>14</v>
      </c>
      <c r="F6" s="222" t="s">
        <v>14</v>
      </c>
      <c r="G6" s="228" t="s">
        <v>15</v>
      </c>
    </row>
    <row r="7" spans="1:9" ht="21" customHeight="1">
      <c r="A7" s="110">
        <v>1</v>
      </c>
      <c r="B7" s="106" t="s">
        <v>23</v>
      </c>
      <c r="C7" s="107" t="s">
        <v>26</v>
      </c>
      <c r="D7" s="188">
        <v>102006610216</v>
      </c>
      <c r="E7" s="223">
        <f>SUM(SUMIF(phauthuat_BHYT!$H$8:$H$93,"TRIỀU",phauthuat_BHYT!$I$8:$I$93),SUMIF(phauthuat_BHYT!$J$8:$J$93,"TRIỀU",phauthuat_BHYT!$K$8:$K$93),SUMIF(phauthuat_BHYT!$L$8:$L$93,"TRIỀU",phauthuat_BHYT!$M$8:$M$93))</f>
        <v>840000</v>
      </c>
      <c r="F7" s="250">
        <f>E7</f>
        <v>840000</v>
      </c>
      <c r="G7" s="136"/>
      <c r="I7" s="339"/>
    </row>
    <row r="8" spans="1:9" ht="20.25" customHeight="1">
      <c r="A8" s="110">
        <v>2</v>
      </c>
      <c r="B8" s="106" t="s">
        <v>18</v>
      </c>
      <c r="C8" s="107" t="s">
        <v>26</v>
      </c>
      <c r="D8" s="188">
        <v>103006610215</v>
      </c>
      <c r="E8" s="223">
        <f>SUM(SUMIF(phauthuat_BHYT!$H$8:$H$93,"TẤN",phauthuat_BHYT!$I$8:$I$93),SUMIF(phauthuat_BHYT!$J$8:$J$93,"TẤN",phauthuat_BHYT!$K$8:$K$93),SUMIF(phauthuat_BHYT!$L$8:$L$93,"TẤN",phauthuat_BHYT!$M$8:$M$93))</f>
        <v>420000</v>
      </c>
      <c r="F8" s="250">
        <f>E8</f>
        <v>420000</v>
      </c>
      <c r="G8" s="136"/>
    </row>
    <row r="9" spans="1:9" ht="16.5">
      <c r="A9" s="110">
        <v>3</v>
      </c>
      <c r="B9" s="106" t="s">
        <v>17</v>
      </c>
      <c r="C9" s="107" t="s">
        <v>26</v>
      </c>
      <c r="D9" s="188">
        <v>100006610218</v>
      </c>
      <c r="E9" s="223">
        <f>SUM(SUMIF(phauthuat_BHYT!$H$8:$H$93,"HOAN",phauthuat_BHYT!$I$8:$I$93),SUMIF(phauthuat_BHYT!$J$8:$J$93,"HOAN",phauthuat_BHYT!$K$8:$K$93),SUMIF(phauthuat_BHYT!$L$8:$L$93,"HOAN",phauthuat_BHYT!$M$8:$M$93))</f>
        <v>7860000</v>
      </c>
      <c r="F9" s="250">
        <f>E9+I27</f>
        <v>14460000</v>
      </c>
      <c r="G9" s="136"/>
    </row>
    <row r="10" spans="1:9" ht="18.75" customHeight="1">
      <c r="A10" s="110">
        <v>4</v>
      </c>
      <c r="B10" s="106" t="s">
        <v>74</v>
      </c>
      <c r="C10" s="107" t="s">
        <v>26</v>
      </c>
      <c r="D10" s="188">
        <v>105001159195</v>
      </c>
      <c r="E10" s="223">
        <f>SUM(SUMIF(phauthuat_BHYT!$H$8:$H$93,"NGUYỆN",phauthuat_BHYT!$I$8:$I$93),SUMIF(phauthuat_BHYT!$J$8:$J$93,"NGUYỆN",phauthuat_BHYT!$K$8:$K$93),SUMIF(phauthuat_BHYT!$L$8:$L$93,"NGUYỆN",phauthuat_BHYT!$M$8:$M$93))</f>
        <v>9390000</v>
      </c>
      <c r="F10" s="250">
        <f>E10</f>
        <v>9390000</v>
      </c>
      <c r="G10" s="224"/>
      <c r="H10" s="41"/>
    </row>
    <row r="11" spans="1:9" ht="17.25" customHeight="1">
      <c r="A11" s="110">
        <v>5</v>
      </c>
      <c r="B11" s="106" t="s">
        <v>72</v>
      </c>
      <c r="C11" s="107" t="s">
        <v>66</v>
      </c>
      <c r="D11" s="188">
        <v>105001225232</v>
      </c>
      <c r="E11" s="223">
        <f>SUM(SUMIF(phauthuat_BHYT!$H$8:$H$93,"ĐIỀN",phauthuat_BHYT!$I$8:$I$93),SUMIF(phauthuat_BHYT!$J$8:$J$93,"ĐIỀN",phauthuat_BHYT!$K$8:$K$93),SUMIF(phauthuat_BHYT!$L$8:$L$93,"ĐIỀN",phauthuat_BHYT!$M$8:$M$93))</f>
        <v>4507500</v>
      </c>
      <c r="F11" s="250">
        <f>E11+I17</f>
        <v>9982500</v>
      </c>
      <c r="G11" s="224"/>
      <c r="H11" s="41"/>
    </row>
    <row r="12" spans="1:9" ht="20.25" customHeight="1">
      <c r="A12" s="110">
        <v>6</v>
      </c>
      <c r="B12" s="106" t="s">
        <v>111</v>
      </c>
      <c r="C12" s="107" t="s">
        <v>66</v>
      </c>
      <c r="D12" s="188">
        <v>107868829237</v>
      </c>
      <c r="E12" s="223">
        <f>SUM(SUMIF(phauthuat_BHYT!$H$8:$H$93,"TOẢN",phauthuat_BHYT!$I$8:$I$93),SUMIF(phauthuat_BHYT!$J$8:$J$93,"TOẢN",phauthuat_BHYT!$K$8:$K$93),SUMIF(phauthuat_BHYT!$L$8:$L$93,"TOẢN",phauthuat_BHYT!$M$8:$M$93))</f>
        <v>5415000</v>
      </c>
      <c r="F12" s="250">
        <f>E12</f>
        <v>5415000</v>
      </c>
      <c r="G12" s="224"/>
      <c r="H12" s="41"/>
    </row>
    <row r="13" spans="1:9" ht="16.5">
      <c r="A13" s="110">
        <v>7</v>
      </c>
      <c r="B13" s="106" t="s">
        <v>94</v>
      </c>
      <c r="C13" s="107" t="s">
        <v>66</v>
      </c>
      <c r="D13" s="188">
        <v>105867664283</v>
      </c>
      <c r="E13" s="223">
        <f>SUM(SUMIF(phauthuat_BHYT!$H$8:$H$93,"giàu",phauthuat_BHYT!$I$8:$I$93),SUMIF(phauthuat_BHYT!$J$8:$J$93,"giàu",phauthuat_BHYT!$K$8:$K$93),SUMIF(phauthuat_BHYT!$L$8:$L$93,"giàu",phauthuat_BHYT!$M$8:$M$93))</f>
        <v>0</v>
      </c>
      <c r="F13" s="250">
        <f>E13+I22</f>
        <v>0</v>
      </c>
      <c r="G13" s="224"/>
      <c r="H13" s="41"/>
    </row>
    <row r="14" spans="1:9" ht="16.5">
      <c r="A14" s="110">
        <v>8</v>
      </c>
      <c r="B14" s="106" t="s">
        <v>84</v>
      </c>
      <c r="C14" s="230" t="s">
        <v>26</v>
      </c>
      <c r="D14" s="278" t="s">
        <v>121</v>
      </c>
      <c r="E14" s="223"/>
      <c r="F14" s="250">
        <f>'lanh tien PT_BHYT'!E13+I29</f>
        <v>6390000</v>
      </c>
      <c r="G14" s="224"/>
      <c r="H14" s="41"/>
    </row>
    <row r="15" spans="1:9" ht="16.5">
      <c r="A15" s="110">
        <v>10</v>
      </c>
      <c r="B15" s="106" t="s">
        <v>123</v>
      </c>
      <c r="C15" s="230" t="s">
        <v>26</v>
      </c>
      <c r="D15" s="278" t="s">
        <v>126</v>
      </c>
      <c r="E15" s="223"/>
      <c r="F15" s="250">
        <f>'lanh tien PT_BHYT'!E14</f>
        <v>5355000</v>
      </c>
      <c r="G15" s="224"/>
      <c r="H15" s="41"/>
    </row>
    <row r="16" spans="1:9" ht="16.5">
      <c r="A16" s="110">
        <v>11</v>
      </c>
      <c r="B16" s="106" t="s">
        <v>59</v>
      </c>
      <c r="C16" s="230" t="s">
        <v>26</v>
      </c>
      <c r="D16" s="437">
        <v>107004193662</v>
      </c>
      <c r="E16" s="223"/>
      <c r="F16" s="250">
        <f>'lanh tien PT_BHYT'!E15</f>
        <v>0</v>
      </c>
      <c r="G16" s="224"/>
      <c r="H16" s="41"/>
    </row>
    <row r="17" spans="1:9" s="324" customFormat="1" ht="16.5" hidden="1">
      <c r="A17" s="368">
        <v>12</v>
      </c>
      <c r="B17" s="316" t="s">
        <v>127</v>
      </c>
      <c r="C17" s="317" t="s">
        <v>60</v>
      </c>
      <c r="D17" s="318"/>
      <c r="E17" s="319"/>
      <c r="F17" s="320"/>
      <c r="G17" s="321"/>
      <c r="H17" s="322" t="s">
        <v>119</v>
      </c>
      <c r="I17" s="323">
        <f>SUM('lanh tien PT_BHYT'!E16:E21)</f>
        <v>5475000</v>
      </c>
    </row>
    <row r="18" spans="1:9" s="324" customFormat="1" ht="16.5" hidden="1">
      <c r="A18" s="368">
        <v>13</v>
      </c>
      <c r="B18" s="316" t="s">
        <v>128</v>
      </c>
      <c r="C18" s="317" t="s">
        <v>60</v>
      </c>
      <c r="D18" s="318"/>
      <c r="E18" s="319"/>
      <c r="F18" s="320"/>
      <c r="G18" s="321"/>
      <c r="H18" s="322"/>
      <c r="I18" s="323"/>
    </row>
    <row r="19" spans="1:9" s="324" customFormat="1" ht="16.5" hidden="1">
      <c r="A19" s="368">
        <v>14</v>
      </c>
      <c r="B19" s="316" t="s">
        <v>129</v>
      </c>
      <c r="C19" s="317" t="s">
        <v>60</v>
      </c>
      <c r="D19" s="318"/>
      <c r="E19" s="319"/>
      <c r="F19" s="320"/>
      <c r="G19" s="321"/>
      <c r="I19" s="323"/>
    </row>
    <row r="20" spans="1:9" s="324" customFormat="1" ht="16.5" hidden="1">
      <c r="A20" s="368">
        <v>15</v>
      </c>
      <c r="B20" s="316" t="s">
        <v>130</v>
      </c>
      <c r="C20" s="317" t="s">
        <v>60</v>
      </c>
      <c r="D20" s="318"/>
      <c r="E20" s="319"/>
      <c r="F20" s="320"/>
      <c r="G20" s="321"/>
      <c r="H20" s="322"/>
      <c r="I20" s="323"/>
    </row>
    <row r="21" spans="1:9" s="324" customFormat="1" ht="16.5" hidden="1">
      <c r="A21" s="368">
        <v>16</v>
      </c>
      <c r="B21" s="316" t="s">
        <v>149</v>
      </c>
      <c r="C21" s="317" t="s">
        <v>60</v>
      </c>
      <c r="D21" s="318"/>
      <c r="E21" s="319"/>
      <c r="F21" s="320"/>
      <c r="G21" s="321"/>
      <c r="H21" s="322"/>
      <c r="I21" s="323"/>
    </row>
    <row r="22" spans="1:9" s="376" customFormat="1" ht="16.5" hidden="1">
      <c r="A22" s="369">
        <v>17</v>
      </c>
      <c r="B22" s="370" t="s">
        <v>150</v>
      </c>
      <c r="C22" s="371" t="s">
        <v>60</v>
      </c>
      <c r="D22" s="372"/>
      <c r="E22" s="373"/>
      <c r="F22" s="374"/>
      <c r="G22" s="375"/>
      <c r="H22" s="325"/>
      <c r="I22" s="326"/>
    </row>
    <row r="23" spans="1:9" s="376" customFormat="1" ht="16.5" hidden="1">
      <c r="A23" s="369">
        <v>18</v>
      </c>
      <c r="B23" s="370" t="s">
        <v>148</v>
      </c>
      <c r="C23" s="371" t="s">
        <v>60</v>
      </c>
      <c r="D23" s="372"/>
      <c r="E23" s="373"/>
      <c r="F23" s="374"/>
      <c r="G23" s="375"/>
      <c r="H23" s="325"/>
      <c r="I23" s="326"/>
    </row>
    <row r="24" spans="1:9" s="376" customFormat="1" ht="16.5" hidden="1">
      <c r="A24" s="369">
        <v>19</v>
      </c>
      <c r="B24" s="370" t="s">
        <v>147</v>
      </c>
      <c r="C24" s="371" t="s">
        <v>60</v>
      </c>
      <c r="D24" s="372"/>
      <c r="E24" s="373"/>
      <c r="F24" s="374"/>
      <c r="G24" s="375"/>
      <c r="H24" s="325"/>
      <c r="I24" s="326"/>
    </row>
    <row r="25" spans="1:9" s="376" customFormat="1" ht="33" hidden="1">
      <c r="A25" s="369">
        <v>20</v>
      </c>
      <c r="B25" s="370" t="s">
        <v>154</v>
      </c>
      <c r="C25" s="371" t="s">
        <v>60</v>
      </c>
      <c r="D25" s="372"/>
      <c r="E25" s="373"/>
      <c r="F25" s="374"/>
      <c r="G25" s="375"/>
      <c r="H25" s="325"/>
      <c r="I25" s="326"/>
    </row>
    <row r="26" spans="1:9" s="376" customFormat="1" ht="16.5" hidden="1">
      <c r="A26" s="369">
        <v>21</v>
      </c>
      <c r="B26" s="370" t="s">
        <v>155</v>
      </c>
      <c r="C26" s="371" t="s">
        <v>60</v>
      </c>
      <c r="D26" s="372"/>
      <c r="E26" s="373"/>
      <c r="F26" s="374"/>
      <c r="G26" s="375"/>
    </row>
    <row r="27" spans="1:9" s="396" customFormat="1" ht="16.5" hidden="1">
      <c r="A27" s="387">
        <v>22</v>
      </c>
      <c r="B27" s="388" t="s">
        <v>156</v>
      </c>
      <c r="C27" s="389" t="s">
        <v>60</v>
      </c>
      <c r="D27" s="390"/>
      <c r="E27" s="391"/>
      <c r="F27" s="392"/>
      <c r="G27" s="393"/>
      <c r="H27" s="394" t="s">
        <v>162</v>
      </c>
      <c r="I27" s="395">
        <f>SUM('lanh tien PT_BHYT'!E22:E28)</f>
        <v>6600000</v>
      </c>
    </row>
    <row r="28" spans="1:9" s="396" customFormat="1" ht="16.5" hidden="1">
      <c r="A28" s="387">
        <v>23</v>
      </c>
      <c r="B28" s="388" t="s">
        <v>157</v>
      </c>
      <c r="C28" s="389" t="s">
        <v>60</v>
      </c>
      <c r="D28" s="390"/>
      <c r="E28" s="391"/>
      <c r="F28" s="392"/>
      <c r="G28" s="393"/>
      <c r="H28" s="394"/>
      <c r="I28" s="395"/>
    </row>
    <row r="29" spans="1:9" s="386" customFormat="1" ht="16.5" hidden="1">
      <c r="A29" s="377">
        <v>24</v>
      </c>
      <c r="B29" s="378" t="s">
        <v>158</v>
      </c>
      <c r="C29" s="379" t="s">
        <v>60</v>
      </c>
      <c r="D29" s="380"/>
      <c r="E29" s="381"/>
      <c r="F29" s="382"/>
      <c r="G29" s="383"/>
      <c r="H29" s="384" t="s">
        <v>323</v>
      </c>
      <c r="I29" s="385">
        <f>SUM('lanh tien PT_BHYT'!E29:E30)</f>
        <v>2535000</v>
      </c>
    </row>
    <row r="30" spans="1:9" s="449" customFormat="1" ht="16.5" hidden="1">
      <c r="A30" s="440">
        <v>25</v>
      </c>
      <c r="B30" s="441" t="s">
        <v>159</v>
      </c>
      <c r="C30" s="442" t="s">
        <v>60</v>
      </c>
      <c r="D30" s="443"/>
      <c r="E30" s="444"/>
      <c r="F30" s="445"/>
      <c r="G30" s="446"/>
      <c r="H30" s="447"/>
      <c r="I30" s="448"/>
    </row>
    <row r="31" spans="1:9" ht="20.25" customHeight="1">
      <c r="A31" s="210"/>
      <c r="B31" s="225" t="s">
        <v>28</v>
      </c>
      <c r="C31" s="226"/>
      <c r="D31" s="226"/>
      <c r="E31" s="223">
        <f>SUM(E7:E15)</f>
        <v>28432500</v>
      </c>
      <c r="F31" s="247">
        <f>SUM(F7:F22)</f>
        <v>52252500</v>
      </c>
      <c r="G31" s="227"/>
      <c r="H31" s="105"/>
    </row>
    <row r="32" spans="1:9" ht="12" customHeight="1">
      <c r="A32" s="1"/>
      <c r="B32" s="105"/>
      <c r="H32" s="41"/>
    </row>
    <row r="33" spans="1:7" ht="15.75">
      <c r="D33" s="502" t="s">
        <v>770</v>
      </c>
      <c r="E33" s="502"/>
      <c r="F33" s="502"/>
      <c r="G33" s="502"/>
    </row>
    <row r="34" spans="1:7" ht="18.75">
      <c r="A34" s="491" t="s">
        <v>20</v>
      </c>
      <c r="B34" s="491"/>
      <c r="C34" s="40"/>
      <c r="D34" s="513" t="s">
        <v>21</v>
      </c>
      <c r="E34" s="513"/>
      <c r="F34" s="513"/>
      <c r="G34" s="513"/>
    </row>
    <row r="35" spans="1:7" ht="18.75">
      <c r="A35" s="39"/>
      <c r="B35" s="39"/>
      <c r="C35" s="40"/>
      <c r="D35" s="40"/>
      <c r="E35" s="40"/>
      <c r="F35" s="244"/>
      <c r="G35" s="39"/>
    </row>
    <row r="36" spans="1:7" ht="18.75">
      <c r="A36" s="39"/>
      <c r="B36" s="39"/>
      <c r="C36" s="40"/>
      <c r="D36" s="40"/>
      <c r="E36" s="40"/>
      <c r="F36" s="244"/>
      <c r="G36" s="39"/>
    </row>
    <row r="37" spans="1:7" ht="18.75">
      <c r="A37" s="39"/>
      <c r="B37" s="39"/>
      <c r="C37" s="40"/>
      <c r="D37" s="40"/>
      <c r="E37" s="40"/>
      <c r="F37" s="249"/>
      <c r="G37" s="39"/>
    </row>
    <row r="38" spans="1:7" ht="24.75" customHeight="1">
      <c r="A38" s="491" t="s">
        <v>45</v>
      </c>
      <c r="B38" s="491"/>
      <c r="C38" s="40"/>
      <c r="D38" s="513" t="s">
        <v>108</v>
      </c>
      <c r="E38" s="513"/>
      <c r="F38" s="513"/>
      <c r="G38" s="513"/>
    </row>
  </sheetData>
  <mergeCells count="9">
    <mergeCell ref="A38:B38"/>
    <mergeCell ref="D38:G38"/>
    <mergeCell ref="A34:B34"/>
    <mergeCell ref="D34:G34"/>
    <mergeCell ref="A1:C1"/>
    <mergeCell ref="A2:C2"/>
    <mergeCell ref="A4:G4"/>
    <mergeCell ref="D33:G33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K26" sqref="K26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60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01" t="s">
        <v>0</v>
      </c>
      <c r="B1" s="501"/>
    </row>
    <row r="2" spans="1:7" ht="16.5">
      <c r="A2" s="500" t="s">
        <v>44</v>
      </c>
      <c r="B2" s="500"/>
    </row>
    <row r="3" spans="1:7" ht="20.25">
      <c r="A3" s="516" t="s">
        <v>769</v>
      </c>
      <c r="B3" s="516"/>
      <c r="C3" s="516"/>
      <c r="D3" s="516"/>
      <c r="E3" s="516"/>
      <c r="G3" s="2"/>
    </row>
    <row r="4" spans="1:7" ht="21" customHeight="1">
      <c r="A4" s="517" t="s">
        <v>76</v>
      </c>
      <c r="B4" s="517"/>
      <c r="C4" s="517"/>
      <c r="D4" s="517"/>
      <c r="E4" s="517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4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12000000*0.25</f>
        <v>3000000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12000000*0.25</f>
        <v>3000000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84" t="s">
        <v>26</v>
      </c>
      <c r="D14" s="70" t="s">
        <v>56</v>
      </c>
      <c r="E14" s="185"/>
      <c r="F14" s="41"/>
      <c r="G14" s="41"/>
    </row>
    <row r="15" spans="1:7" s="324" customFormat="1" ht="16.5">
      <c r="A15" s="457">
        <v>9</v>
      </c>
      <c r="B15" s="458" t="s">
        <v>94</v>
      </c>
      <c r="C15" s="459" t="s">
        <v>26</v>
      </c>
      <c r="D15" s="460" t="s">
        <v>56</v>
      </c>
      <c r="E15" s="461"/>
      <c r="F15" s="462"/>
      <c r="G15" s="462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324" customFormat="1" ht="16.5">
      <c r="A17" s="457">
        <v>11</v>
      </c>
      <c r="B17" s="458" t="s">
        <v>124</v>
      </c>
      <c r="C17" s="459" t="s">
        <v>26</v>
      </c>
      <c r="D17" s="460" t="s">
        <v>56</v>
      </c>
      <c r="E17" s="461"/>
      <c r="F17" s="462"/>
      <c r="G17" s="462"/>
    </row>
    <row r="18" spans="1:7" ht="16.5">
      <c r="A18" s="65">
        <v>12</v>
      </c>
      <c r="B18" s="62" t="s">
        <v>125</v>
      </c>
      <c r="C18" s="55" t="s">
        <v>26</v>
      </c>
      <c r="D18" s="70">
        <f>12000000*0.25</f>
        <v>3000000</v>
      </c>
      <c r="E18" s="53"/>
      <c r="F18" s="41"/>
      <c r="G18" s="41"/>
    </row>
    <row r="19" spans="1:7" s="473" customFormat="1" ht="16.5">
      <c r="A19" s="475">
        <v>13</v>
      </c>
      <c r="B19" s="468" t="s">
        <v>321</v>
      </c>
      <c r="C19" s="469" t="s">
        <v>26</v>
      </c>
      <c r="D19" s="470">
        <f>12000000*0.125</f>
        <v>1500000</v>
      </c>
      <c r="E19" s="471"/>
      <c r="F19" s="472"/>
      <c r="G19" s="472"/>
    </row>
    <row r="20" spans="1:7" s="473" customFormat="1" ht="16.5">
      <c r="A20" s="474">
        <v>14</v>
      </c>
      <c r="B20" s="468" t="s">
        <v>322</v>
      </c>
      <c r="C20" s="469" t="s">
        <v>26</v>
      </c>
      <c r="D20" s="470">
        <f>12000000*0.125</f>
        <v>1500000</v>
      </c>
      <c r="E20" s="471"/>
      <c r="F20" s="472"/>
      <c r="G20" s="472"/>
    </row>
    <row r="21" spans="1:7" ht="16.5">
      <c r="A21" s="66"/>
      <c r="B21" s="67" t="s">
        <v>28</v>
      </c>
      <c r="C21" s="68"/>
      <c r="D21" s="70">
        <f>SUM(D7:D20)</f>
        <v>12000000</v>
      </c>
      <c r="E21" s="64"/>
      <c r="F21" s="49"/>
      <c r="G21" s="43"/>
    </row>
    <row r="22" spans="1:7">
      <c r="B22" s="43"/>
    </row>
    <row r="23" spans="1:7">
      <c r="D23" s="504" t="s">
        <v>120</v>
      </c>
      <c r="E23" s="504"/>
    </row>
    <row r="24" spans="1:7">
      <c r="A24" s="514" t="s">
        <v>20</v>
      </c>
      <c r="B24" s="514"/>
      <c r="D24" s="515" t="s">
        <v>21</v>
      </c>
      <c r="E24" s="515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L39"/>
  <sheetViews>
    <sheetView topLeftCell="A4" workbookViewId="0">
      <selection activeCell="P19" sqref="P19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339" bestFit="1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501" t="s">
        <v>0</v>
      </c>
      <c r="B1" s="501"/>
    </row>
    <row r="2" spans="1:7" ht="16.5">
      <c r="A2" s="500" t="s">
        <v>44</v>
      </c>
      <c r="B2" s="500"/>
    </row>
    <row r="3" spans="1:7" ht="20.25">
      <c r="B3" s="518" t="s">
        <v>266</v>
      </c>
      <c r="C3" s="518"/>
      <c r="D3" s="518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6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563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563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563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563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563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563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563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563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563"/>
      <c r="F15" s="41"/>
      <c r="G15" s="43">
        <f>156835+2786922+430040+555554+167000</f>
        <v>4096351</v>
      </c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563"/>
      <c r="F16" s="41"/>
      <c r="G16" s="41">
        <f>G15*9</f>
        <v>36867159</v>
      </c>
    </row>
    <row r="17" spans="1:12" ht="16.5">
      <c r="A17" s="65">
        <v>11</v>
      </c>
      <c r="B17" s="62" t="s">
        <v>57</v>
      </c>
      <c r="C17" s="55" t="s">
        <v>58</v>
      </c>
      <c r="D17" s="56" t="s">
        <v>56</v>
      </c>
      <c r="E17" s="563"/>
      <c r="F17" s="41"/>
      <c r="G17" s="41">
        <f>G16/19</f>
        <v>1940376.7894736843</v>
      </c>
    </row>
    <row r="18" spans="1:12" ht="16.5">
      <c r="A18" s="65">
        <v>12</v>
      </c>
      <c r="B18" s="62" t="s">
        <v>62</v>
      </c>
      <c r="C18" s="55" t="s">
        <v>58</v>
      </c>
      <c r="D18" s="56" t="s">
        <v>56</v>
      </c>
      <c r="E18" s="563"/>
      <c r="F18" s="41"/>
      <c r="G18" s="561">
        <f>G17*2</f>
        <v>3880753.5789473685</v>
      </c>
    </row>
    <row r="19" spans="1:12" ht="16.5">
      <c r="A19" s="65"/>
      <c r="B19" s="76"/>
      <c r="C19" s="55"/>
      <c r="D19" s="56"/>
      <c r="E19" s="564"/>
      <c r="F19" s="48"/>
      <c r="G19" s="41"/>
    </row>
    <row r="20" spans="1:12" ht="18" customHeight="1">
      <c r="A20" s="65">
        <v>1</v>
      </c>
      <c r="B20" s="76" t="s">
        <v>45</v>
      </c>
      <c r="C20" s="55" t="s">
        <v>27</v>
      </c>
      <c r="D20" s="56">
        <f>G27</f>
        <v>3196228.7368421052</v>
      </c>
      <c r="E20" s="565">
        <f>G18</f>
        <v>3880753.5789473685</v>
      </c>
      <c r="G20" s="41"/>
      <c r="H20" s="237"/>
      <c r="I20" s="41"/>
    </row>
    <row r="21" spans="1:12" ht="16.5">
      <c r="A21" s="65">
        <v>2</v>
      </c>
      <c r="B21" s="76" t="s">
        <v>65</v>
      </c>
      <c r="C21" s="55" t="s">
        <v>27</v>
      </c>
      <c r="D21" s="56">
        <f>D20</f>
        <v>3196228.7368421052</v>
      </c>
      <c r="E21" s="565">
        <f>E20</f>
        <v>3880753.5789473685</v>
      </c>
      <c r="F21" s="48"/>
      <c r="G21" s="43"/>
      <c r="I21" s="41"/>
    </row>
    <row r="22" spans="1:12" ht="16.5">
      <c r="A22" s="65">
        <v>3</v>
      </c>
      <c r="B22" s="76" t="s">
        <v>70</v>
      </c>
      <c r="C22" s="55" t="s">
        <v>27</v>
      </c>
      <c r="D22" s="56">
        <f>D20</f>
        <v>3196228.7368421052</v>
      </c>
      <c r="E22" s="565">
        <f>E20</f>
        <v>3880753.5789473685</v>
      </c>
      <c r="F22" s="48"/>
      <c r="H22" s="41"/>
    </row>
    <row r="23" spans="1:12" ht="16.5">
      <c r="A23" s="65">
        <v>4</v>
      </c>
      <c r="B23" s="76" t="s">
        <v>82</v>
      </c>
      <c r="C23" s="55" t="s">
        <v>27</v>
      </c>
      <c r="D23" s="56">
        <f>D20</f>
        <v>3196228.7368421052</v>
      </c>
      <c r="E23" s="565">
        <f>E20</f>
        <v>3880753.5789473685</v>
      </c>
      <c r="F23" s="48"/>
      <c r="G23" s="43"/>
      <c r="H23" s="41"/>
      <c r="I23" s="56"/>
      <c r="L23" s="37">
        <f>1500000/9</f>
        <v>166666.66666666666</v>
      </c>
    </row>
    <row r="24" spans="1:12" ht="16.5">
      <c r="A24" s="65">
        <v>5</v>
      </c>
      <c r="B24" s="76" t="s">
        <v>46</v>
      </c>
      <c r="C24" s="55" t="s">
        <v>27</v>
      </c>
      <c r="D24" s="56">
        <f>D20</f>
        <v>3196228.7368421052</v>
      </c>
      <c r="E24" s="565">
        <f>E20</f>
        <v>3880753.5789473685</v>
      </c>
      <c r="F24" s="48"/>
      <c r="G24" s="43">
        <f>156835+2786922+430040</f>
        <v>3373797</v>
      </c>
      <c r="H24" s="41"/>
    </row>
    <row r="25" spans="1:12" ht="16.5">
      <c r="A25" s="65">
        <v>6</v>
      </c>
      <c r="B25" s="76" t="s">
        <v>112</v>
      </c>
      <c r="C25" s="55" t="s">
        <v>27</v>
      </c>
      <c r="D25" s="56">
        <f>D20</f>
        <v>3196228.7368421052</v>
      </c>
      <c r="E25" s="565">
        <f>E20</f>
        <v>3880753.5789473685</v>
      </c>
      <c r="F25" s="48"/>
      <c r="G25" s="43">
        <f>G24*9</f>
        <v>30364173</v>
      </c>
      <c r="H25" s="41"/>
    </row>
    <row r="26" spans="1:12" ht="16.5">
      <c r="A26" s="65">
        <v>7</v>
      </c>
      <c r="B26" s="76" t="s">
        <v>93</v>
      </c>
      <c r="C26" s="55" t="s">
        <v>27</v>
      </c>
      <c r="D26" s="56" t="s">
        <v>56</v>
      </c>
      <c r="E26" s="565"/>
      <c r="F26" s="48"/>
      <c r="G26" s="43">
        <f>G25/19</f>
        <v>1598114.3684210526</v>
      </c>
      <c r="H26" s="41"/>
    </row>
    <row r="27" spans="1:12" ht="16.5">
      <c r="A27" s="65">
        <v>8</v>
      </c>
      <c r="B27" s="76" t="s">
        <v>73</v>
      </c>
      <c r="C27" s="55" t="s">
        <v>27</v>
      </c>
      <c r="D27" s="56">
        <f>D20</f>
        <v>3196228.7368421052</v>
      </c>
      <c r="E27" s="565">
        <f>E20</f>
        <v>3880753.5789473685</v>
      </c>
      <c r="F27" s="48"/>
      <c r="G27" s="43">
        <f>G26*2</f>
        <v>3196228.7368421052</v>
      </c>
      <c r="H27" s="41"/>
    </row>
    <row r="28" spans="1:12" ht="16.5">
      <c r="A28" s="65">
        <v>9</v>
      </c>
      <c r="B28" s="76" t="s">
        <v>143</v>
      </c>
      <c r="C28" s="55" t="s">
        <v>27</v>
      </c>
      <c r="D28" s="56">
        <f>D20</f>
        <v>3196228.7368421052</v>
      </c>
      <c r="E28" s="565">
        <f>E20</f>
        <v>3880753.5789473685</v>
      </c>
      <c r="F28" s="48"/>
      <c r="G28" s="43"/>
      <c r="H28" s="41"/>
    </row>
    <row r="29" spans="1:12" ht="16.5">
      <c r="A29" s="65">
        <v>10</v>
      </c>
      <c r="B29" s="76" t="s">
        <v>144</v>
      </c>
      <c r="C29" s="55" t="s">
        <v>27</v>
      </c>
      <c r="D29" s="56">
        <f>D28</f>
        <v>3196228.7368421052</v>
      </c>
      <c r="E29" s="565">
        <f>E20</f>
        <v>3880753.5789473685</v>
      </c>
      <c r="F29" s="48"/>
      <c r="G29" s="43"/>
      <c r="H29" s="41"/>
    </row>
    <row r="30" spans="1:12" ht="16.5">
      <c r="A30" s="65">
        <v>11</v>
      </c>
      <c r="B30" s="76" t="s">
        <v>55</v>
      </c>
      <c r="C30" s="55" t="s">
        <v>61</v>
      </c>
      <c r="D30" s="56">
        <f>G26+4</f>
        <v>1598118.3684210526</v>
      </c>
      <c r="E30" s="565">
        <f>G17+6</f>
        <v>1940382.7894736843</v>
      </c>
      <c r="F30" s="48"/>
      <c r="G30" s="479"/>
      <c r="H30" s="41"/>
    </row>
    <row r="31" spans="1:12" ht="16.5">
      <c r="A31" s="66"/>
      <c r="B31" s="67" t="s">
        <v>28</v>
      </c>
      <c r="C31" s="68"/>
      <c r="D31" s="56">
        <f>SUM(D20:D30)</f>
        <v>30364176.999999996</v>
      </c>
      <c r="E31" s="566">
        <f>SUM(E20:E30)</f>
        <v>36867165</v>
      </c>
      <c r="F31" s="49"/>
      <c r="G31" s="41"/>
    </row>
    <row r="32" spans="1:12" ht="27.75" customHeight="1">
      <c r="A32" s="1"/>
      <c r="B32" s="43"/>
    </row>
    <row r="33" spans="1:5">
      <c r="B33" s="43"/>
    </row>
    <row r="34" spans="1:5">
      <c r="D34" s="504" t="s">
        <v>69</v>
      </c>
      <c r="E34" s="504"/>
    </row>
    <row r="35" spans="1:5">
      <c r="A35" s="514" t="s">
        <v>20</v>
      </c>
      <c r="B35" s="514"/>
      <c r="D35" s="515" t="s">
        <v>21</v>
      </c>
      <c r="E35" s="515"/>
    </row>
    <row r="39" spans="1:5">
      <c r="C39" s="46"/>
    </row>
  </sheetData>
  <mergeCells count="6">
    <mergeCell ref="A1:B1"/>
    <mergeCell ref="A2:B2"/>
    <mergeCell ref="B3:D3"/>
    <mergeCell ref="D34:E34"/>
    <mergeCell ref="A35:B35"/>
    <mergeCell ref="D35:E3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751"/>
  <sheetViews>
    <sheetView topLeftCell="B1" zoomScaleNormal="100" workbookViewId="0">
      <pane xSplit="5" ySplit="6" topLeftCell="G467" activePane="bottomRight" state="frozen"/>
      <selection activeCell="B1" sqref="B1"/>
      <selection pane="topRight" activeCell="G1" sqref="G1"/>
      <selection pane="bottomLeft" activeCell="B7" sqref="B7"/>
      <selection pane="bottomRight" activeCell="M482" sqref="M482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315" customWidth="1"/>
    <col min="4" max="4" width="25.42578125" style="99" customWidth="1"/>
    <col min="5" max="5" width="8.7109375" style="229" customWidth="1"/>
    <col min="6" max="6" width="44.42578125" style="146" customWidth="1"/>
    <col min="7" max="7" width="9" style="156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312"/>
      <c r="D1" s="91"/>
      <c r="E1" s="303"/>
      <c r="F1" s="276"/>
      <c r="G1" s="233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8" t="s">
        <v>86</v>
      </c>
      <c r="C2" s="313"/>
      <c r="D2" s="108"/>
      <c r="E2" s="308"/>
      <c r="G2" s="233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21" t="s">
        <v>50</v>
      </c>
      <c r="C3" s="521"/>
      <c r="D3" s="521"/>
      <c r="E3" s="521"/>
      <c r="F3" s="521"/>
      <c r="G3" s="521"/>
      <c r="H3" s="521"/>
      <c r="I3" s="521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22" t="s">
        <v>413</v>
      </c>
      <c r="C4" s="522"/>
      <c r="D4" s="522"/>
      <c r="E4" s="522"/>
      <c r="F4" s="522"/>
      <c r="G4" s="522"/>
      <c r="H4" s="522"/>
      <c r="I4" s="522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7" customFormat="1" ht="18.75" customHeight="1">
      <c r="B5" s="520" t="s">
        <v>2</v>
      </c>
      <c r="C5" s="520" t="s">
        <v>103</v>
      </c>
      <c r="D5" s="520" t="s">
        <v>48</v>
      </c>
      <c r="E5" s="520" t="s">
        <v>49</v>
      </c>
      <c r="F5" s="519" t="s">
        <v>102</v>
      </c>
      <c r="G5" s="519" t="s">
        <v>53</v>
      </c>
      <c r="H5" s="519" t="s">
        <v>52</v>
      </c>
      <c r="I5" s="519" t="s">
        <v>51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8"/>
      <c r="DB5" s="218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18"/>
      <c r="DR5" s="218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18"/>
      <c r="EG5" s="218"/>
      <c r="EH5" s="218"/>
      <c r="EI5" s="218"/>
      <c r="EJ5" s="218"/>
      <c r="EK5" s="218"/>
      <c r="EL5" s="218"/>
      <c r="EM5" s="218"/>
      <c r="EN5" s="218"/>
      <c r="EO5" s="218"/>
      <c r="EP5" s="218"/>
      <c r="EQ5" s="218"/>
      <c r="ER5" s="218"/>
      <c r="ES5" s="218"/>
      <c r="ET5" s="218"/>
      <c r="EU5" s="218"/>
      <c r="EV5" s="218"/>
      <c r="EW5" s="218"/>
      <c r="EX5" s="218"/>
      <c r="EY5" s="218"/>
      <c r="EZ5" s="218"/>
      <c r="FA5" s="218"/>
      <c r="FB5" s="218"/>
      <c r="FC5" s="218"/>
      <c r="FD5" s="218"/>
      <c r="FE5" s="218"/>
      <c r="FF5" s="218"/>
      <c r="FG5" s="218"/>
      <c r="FH5" s="218"/>
      <c r="FI5" s="218"/>
      <c r="FJ5" s="218"/>
      <c r="FK5" s="218"/>
      <c r="FL5" s="218"/>
      <c r="FM5" s="218"/>
      <c r="FN5" s="218"/>
      <c r="FO5" s="218"/>
      <c r="FP5" s="218"/>
      <c r="FQ5" s="218"/>
      <c r="FR5" s="218"/>
      <c r="FS5" s="218"/>
      <c r="FT5" s="218"/>
      <c r="FU5" s="218"/>
      <c r="FV5" s="218"/>
      <c r="FW5" s="218"/>
      <c r="FX5" s="218"/>
      <c r="FY5" s="218"/>
      <c r="FZ5" s="218"/>
      <c r="GA5" s="218"/>
      <c r="GB5" s="218"/>
      <c r="GC5" s="218"/>
      <c r="GD5" s="218"/>
      <c r="GE5" s="218"/>
    </row>
    <row r="6" spans="2:187" s="147" customFormat="1" ht="16.5" customHeight="1">
      <c r="B6" s="520"/>
      <c r="C6" s="520"/>
      <c r="D6" s="520"/>
      <c r="E6" s="520"/>
      <c r="F6" s="519"/>
      <c r="G6" s="519"/>
      <c r="H6" s="519"/>
      <c r="I6" s="519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8"/>
      <c r="BY6" s="218"/>
      <c r="BZ6" s="218"/>
      <c r="CA6" s="218"/>
      <c r="CB6" s="218"/>
      <c r="CC6" s="218"/>
      <c r="CD6" s="218"/>
      <c r="CE6" s="218"/>
      <c r="CF6" s="218"/>
      <c r="CG6" s="218"/>
      <c r="CH6" s="218"/>
      <c r="CI6" s="218"/>
      <c r="CJ6" s="218"/>
      <c r="CK6" s="218"/>
      <c r="CL6" s="218"/>
      <c r="CM6" s="218"/>
      <c r="CN6" s="218"/>
      <c r="CO6" s="218"/>
      <c r="CP6" s="218"/>
      <c r="CQ6" s="218"/>
      <c r="CR6" s="218"/>
      <c r="CS6" s="218"/>
      <c r="CT6" s="218"/>
      <c r="CU6" s="218"/>
      <c r="CV6" s="218"/>
      <c r="CW6" s="218"/>
      <c r="CX6" s="218"/>
      <c r="CY6" s="218"/>
      <c r="CZ6" s="218"/>
      <c r="DA6" s="218"/>
      <c r="DB6" s="218"/>
      <c r="DC6" s="218"/>
      <c r="DD6" s="218"/>
      <c r="DE6" s="218"/>
      <c r="DF6" s="218"/>
      <c r="DG6" s="218"/>
      <c r="DH6" s="218"/>
      <c r="DI6" s="218"/>
      <c r="DJ6" s="218"/>
      <c r="DK6" s="218"/>
      <c r="DL6" s="218"/>
      <c r="DM6" s="218"/>
      <c r="DN6" s="218"/>
      <c r="DO6" s="218"/>
      <c r="DP6" s="218"/>
      <c r="DQ6" s="218"/>
      <c r="DR6" s="218"/>
      <c r="DS6" s="218"/>
      <c r="DT6" s="218"/>
      <c r="DU6" s="218"/>
      <c r="DV6" s="218"/>
      <c r="DW6" s="218"/>
      <c r="DX6" s="218"/>
      <c r="DY6" s="218"/>
      <c r="DZ6" s="218"/>
      <c r="EA6" s="218"/>
      <c r="EB6" s="218"/>
      <c r="EC6" s="218"/>
      <c r="ED6" s="218"/>
      <c r="EE6" s="218"/>
      <c r="EF6" s="218"/>
      <c r="EG6" s="218"/>
      <c r="EH6" s="218"/>
      <c r="EI6" s="218"/>
      <c r="EJ6" s="218"/>
      <c r="EK6" s="218"/>
      <c r="EL6" s="218"/>
      <c r="EM6" s="218"/>
      <c r="EN6" s="218"/>
      <c r="EO6" s="218"/>
      <c r="EP6" s="218"/>
      <c r="EQ6" s="218"/>
      <c r="ER6" s="218"/>
      <c r="ES6" s="218"/>
      <c r="ET6" s="218"/>
      <c r="EU6" s="218"/>
      <c r="EV6" s="218"/>
      <c r="EW6" s="218"/>
      <c r="EX6" s="218"/>
      <c r="EY6" s="218"/>
      <c r="EZ6" s="218"/>
      <c r="FA6" s="218"/>
      <c r="FB6" s="218"/>
      <c r="FC6" s="218"/>
      <c r="FD6" s="218"/>
      <c r="FE6" s="218"/>
      <c r="FF6" s="218"/>
      <c r="FG6" s="218"/>
      <c r="FH6" s="218"/>
      <c r="FI6" s="218"/>
      <c r="FJ6" s="218"/>
      <c r="FK6" s="218"/>
      <c r="FL6" s="218"/>
      <c r="FM6" s="218"/>
      <c r="FN6" s="218"/>
      <c r="FO6" s="218"/>
      <c r="FP6" s="218"/>
      <c r="FQ6" s="218"/>
      <c r="FR6" s="218"/>
      <c r="FS6" s="218"/>
      <c r="FT6" s="218"/>
      <c r="FU6" s="218"/>
      <c r="FV6" s="218"/>
      <c r="FW6" s="218"/>
      <c r="FX6" s="218"/>
      <c r="FY6" s="218"/>
      <c r="FZ6" s="218"/>
      <c r="GA6" s="218"/>
      <c r="GB6" s="218"/>
      <c r="GC6" s="218"/>
      <c r="GD6" s="218"/>
      <c r="GE6" s="218"/>
    </row>
    <row r="7" spans="2:187" s="259" customFormat="1" ht="16.5" customHeight="1">
      <c r="B7" s="251">
        <v>1</v>
      </c>
      <c r="C7" s="486" t="s">
        <v>443</v>
      </c>
      <c r="D7" s="486" t="s">
        <v>444</v>
      </c>
      <c r="E7" s="486" t="s">
        <v>200</v>
      </c>
      <c r="F7" s="486" t="s">
        <v>216</v>
      </c>
      <c r="G7" s="487">
        <v>1</v>
      </c>
      <c r="H7" s="488">
        <v>500000</v>
      </c>
      <c r="I7" s="252">
        <f>H7*25%*75%</f>
        <v>93750</v>
      </c>
      <c r="J7" s="219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</row>
    <row r="8" spans="2:187" s="259" customFormat="1" ht="16.5" customHeight="1">
      <c r="B8" s="251">
        <v>2</v>
      </c>
      <c r="C8" s="486" t="s">
        <v>414</v>
      </c>
      <c r="D8" s="486" t="s">
        <v>415</v>
      </c>
      <c r="E8" s="486" t="s">
        <v>203</v>
      </c>
      <c r="F8" s="486" t="s">
        <v>167</v>
      </c>
      <c r="G8" s="487">
        <v>4</v>
      </c>
      <c r="H8" s="488">
        <v>400000</v>
      </c>
      <c r="I8" s="252">
        <f t="shared" ref="I8:I66" si="0">H8*25%*75%</f>
        <v>75000</v>
      </c>
      <c r="J8" s="219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7"/>
      <c r="CZ8" s="147"/>
      <c r="DA8" s="147"/>
      <c r="DB8" s="147"/>
      <c r="DC8" s="147"/>
      <c r="DD8" s="147"/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7"/>
      <c r="DP8" s="147"/>
      <c r="DQ8" s="147"/>
      <c r="DR8" s="147"/>
      <c r="DS8" s="147"/>
      <c r="DT8" s="147"/>
      <c r="DU8" s="147"/>
      <c r="DV8" s="147"/>
      <c r="DW8" s="147"/>
      <c r="DX8" s="147"/>
      <c r="DY8" s="147"/>
      <c r="DZ8" s="147"/>
      <c r="EA8" s="147"/>
      <c r="EB8" s="147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7"/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7"/>
      <c r="FJ8" s="147"/>
      <c r="FK8" s="147"/>
      <c r="FL8" s="147"/>
      <c r="FM8" s="147"/>
      <c r="FN8" s="147"/>
      <c r="FO8" s="147"/>
      <c r="FP8" s="147"/>
      <c r="FQ8" s="147"/>
      <c r="FR8" s="147"/>
      <c r="FS8" s="147"/>
      <c r="FT8" s="147"/>
      <c r="FU8" s="147"/>
      <c r="FV8" s="147"/>
      <c r="FW8" s="147"/>
      <c r="FX8" s="147"/>
      <c r="FY8" s="147"/>
      <c r="FZ8" s="147"/>
      <c r="GA8" s="147"/>
      <c r="GB8" s="147"/>
      <c r="GC8" s="147"/>
      <c r="GD8" s="147"/>
      <c r="GE8" s="147"/>
    </row>
    <row r="9" spans="2:187" s="259" customFormat="1" ht="16.5" customHeight="1">
      <c r="B9" s="251">
        <v>3</v>
      </c>
      <c r="C9" s="486" t="s">
        <v>414</v>
      </c>
      <c r="D9" s="486" t="s">
        <v>267</v>
      </c>
      <c r="E9" s="486" t="s">
        <v>230</v>
      </c>
      <c r="F9" s="486" t="s">
        <v>167</v>
      </c>
      <c r="G9" s="487">
        <v>5</v>
      </c>
      <c r="H9" s="488">
        <v>500000</v>
      </c>
      <c r="I9" s="252">
        <f t="shared" si="0"/>
        <v>93750</v>
      </c>
      <c r="J9" s="283"/>
    </row>
    <row r="10" spans="2:187" s="259" customFormat="1" ht="16.5" customHeight="1">
      <c r="B10" s="251">
        <v>4</v>
      </c>
      <c r="C10" s="486" t="s">
        <v>414</v>
      </c>
      <c r="D10" s="486" t="s">
        <v>267</v>
      </c>
      <c r="E10" s="486" t="s">
        <v>230</v>
      </c>
      <c r="F10" s="486" t="s">
        <v>169</v>
      </c>
      <c r="G10" s="487">
        <v>4</v>
      </c>
      <c r="H10" s="488">
        <v>400000</v>
      </c>
      <c r="I10" s="252">
        <f t="shared" si="0"/>
        <v>75000</v>
      </c>
      <c r="J10" s="219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147"/>
      <c r="FL10" s="147"/>
      <c r="FM10" s="147"/>
      <c r="FN10" s="147"/>
      <c r="FO10" s="147"/>
      <c r="FP10" s="147"/>
      <c r="FQ10" s="147"/>
      <c r="FR10" s="147"/>
      <c r="FS10" s="147"/>
      <c r="FT10" s="147"/>
      <c r="FU10" s="147"/>
      <c r="FV10" s="147"/>
      <c r="FW10" s="147"/>
      <c r="FX10" s="147"/>
      <c r="FY10" s="147"/>
      <c r="FZ10" s="147"/>
      <c r="GA10" s="147"/>
      <c r="GB10" s="147"/>
      <c r="GC10" s="147"/>
      <c r="GD10" s="147"/>
      <c r="GE10" s="147"/>
    </row>
    <row r="11" spans="2:187" s="259" customFormat="1" ht="16.5" customHeight="1">
      <c r="B11" s="251">
        <v>5</v>
      </c>
      <c r="C11" s="486" t="s">
        <v>414</v>
      </c>
      <c r="D11" s="486" t="s">
        <v>415</v>
      </c>
      <c r="E11" s="486" t="s">
        <v>203</v>
      </c>
      <c r="F11" s="486" t="s">
        <v>445</v>
      </c>
      <c r="G11" s="487">
        <v>1</v>
      </c>
      <c r="H11" s="488">
        <v>535000</v>
      </c>
      <c r="I11" s="252">
        <f t="shared" si="0"/>
        <v>100312.5</v>
      </c>
      <c r="J11" s="219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7"/>
      <c r="BY11" s="147"/>
      <c r="BZ11" s="147"/>
      <c r="CA11" s="147"/>
      <c r="CB11" s="147"/>
      <c r="CC11" s="147"/>
      <c r="CD11" s="147"/>
      <c r="CE11" s="147"/>
      <c r="CF11" s="147"/>
      <c r="CG11" s="147"/>
      <c r="CH11" s="147"/>
      <c r="CI11" s="147"/>
      <c r="CJ11" s="147"/>
      <c r="CK11" s="147"/>
      <c r="CL11" s="147"/>
      <c r="CM11" s="147"/>
      <c r="CN11" s="147"/>
      <c r="CO11" s="147"/>
      <c r="CP11" s="147"/>
      <c r="CQ11" s="147"/>
      <c r="CR11" s="147"/>
      <c r="CS11" s="147"/>
      <c r="CT11" s="147"/>
      <c r="CU11" s="147"/>
      <c r="CV11" s="147"/>
      <c r="CW11" s="147"/>
      <c r="CX11" s="147"/>
      <c r="CY11" s="147"/>
      <c r="CZ11" s="147"/>
      <c r="DA11" s="147"/>
      <c r="DB11" s="147"/>
      <c r="DC11" s="147"/>
      <c r="DD11" s="147"/>
      <c r="DE11" s="147"/>
      <c r="DF11" s="147"/>
      <c r="DG11" s="147"/>
      <c r="DH11" s="147"/>
      <c r="DI11" s="147"/>
      <c r="DJ11" s="147"/>
      <c r="DK11" s="147"/>
      <c r="DL11" s="147"/>
      <c r="DM11" s="147"/>
      <c r="DN11" s="147"/>
      <c r="DO11" s="147"/>
      <c r="DP11" s="147"/>
      <c r="DQ11" s="147"/>
      <c r="DR11" s="147"/>
      <c r="DS11" s="147"/>
      <c r="DT11" s="147"/>
      <c r="DU11" s="147"/>
      <c r="DV11" s="147"/>
      <c r="DW11" s="147"/>
      <c r="DX11" s="147"/>
      <c r="DY11" s="147"/>
      <c r="DZ11" s="147"/>
      <c r="EA11" s="147"/>
      <c r="EB11" s="147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</row>
    <row r="12" spans="2:187" s="259" customFormat="1" ht="16.5" customHeight="1">
      <c r="B12" s="251">
        <v>6</v>
      </c>
      <c r="C12" s="486" t="s">
        <v>325</v>
      </c>
      <c r="D12" s="486" t="s">
        <v>280</v>
      </c>
      <c r="E12" s="486" t="s">
        <v>186</v>
      </c>
      <c r="F12" s="486" t="s">
        <v>201</v>
      </c>
      <c r="G12" s="487">
        <v>1</v>
      </c>
      <c r="H12" s="488">
        <v>100000</v>
      </c>
      <c r="I12" s="252">
        <f t="shared" si="0"/>
        <v>18750</v>
      </c>
      <c r="J12" s="219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</row>
    <row r="13" spans="2:187" s="259" customFormat="1" ht="16.5" customHeight="1">
      <c r="B13" s="251">
        <v>7</v>
      </c>
      <c r="C13" s="486" t="s">
        <v>325</v>
      </c>
      <c r="D13" s="486" t="s">
        <v>303</v>
      </c>
      <c r="E13" s="486" t="s">
        <v>190</v>
      </c>
      <c r="F13" s="486" t="s">
        <v>171</v>
      </c>
      <c r="G13" s="487">
        <v>1</v>
      </c>
      <c r="H13" s="488">
        <v>100000</v>
      </c>
      <c r="I13" s="252">
        <f t="shared" si="0"/>
        <v>18750</v>
      </c>
      <c r="J13" s="219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</row>
    <row r="14" spans="2:187" s="259" customFormat="1" ht="16.5" customHeight="1">
      <c r="B14" s="251">
        <v>8</v>
      </c>
      <c r="C14" s="486" t="s">
        <v>325</v>
      </c>
      <c r="D14" s="486" t="s">
        <v>293</v>
      </c>
      <c r="E14" s="486" t="s">
        <v>138</v>
      </c>
      <c r="F14" s="486" t="s">
        <v>171</v>
      </c>
      <c r="G14" s="487">
        <v>1</v>
      </c>
      <c r="H14" s="488">
        <v>100000</v>
      </c>
      <c r="I14" s="252">
        <f t="shared" si="0"/>
        <v>18750</v>
      </c>
      <c r="J14" s="219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</row>
    <row r="15" spans="2:187" s="259" customFormat="1" ht="16.5" customHeight="1">
      <c r="B15" s="251">
        <v>9</v>
      </c>
      <c r="C15" s="486" t="s">
        <v>325</v>
      </c>
      <c r="D15" s="486" t="s">
        <v>446</v>
      </c>
      <c r="E15" s="486" t="s">
        <v>139</v>
      </c>
      <c r="F15" s="486" t="s">
        <v>167</v>
      </c>
      <c r="G15" s="487">
        <v>3</v>
      </c>
      <c r="H15" s="488">
        <v>300000</v>
      </c>
      <c r="I15" s="252">
        <f t="shared" si="0"/>
        <v>56250</v>
      </c>
      <c r="J15" s="219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</row>
    <row r="16" spans="2:187" s="259" customFormat="1" ht="16.5" customHeight="1">
      <c r="B16" s="251">
        <v>10</v>
      </c>
      <c r="C16" s="486" t="s">
        <v>325</v>
      </c>
      <c r="D16" s="486" t="s">
        <v>268</v>
      </c>
      <c r="E16" s="486" t="s">
        <v>223</v>
      </c>
      <c r="F16" s="486" t="s">
        <v>171</v>
      </c>
      <c r="G16" s="487">
        <v>1</v>
      </c>
      <c r="H16" s="488">
        <v>100000</v>
      </c>
      <c r="I16" s="252">
        <f t="shared" si="0"/>
        <v>18750</v>
      </c>
      <c r="J16" s="219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</row>
    <row r="17" spans="2:187" s="259" customFormat="1" ht="16.5" customHeight="1">
      <c r="B17" s="251">
        <v>11</v>
      </c>
      <c r="C17" s="486" t="s">
        <v>325</v>
      </c>
      <c r="D17" s="486" t="s">
        <v>292</v>
      </c>
      <c r="E17" s="486" t="s">
        <v>166</v>
      </c>
      <c r="F17" s="486" t="s">
        <v>171</v>
      </c>
      <c r="G17" s="487">
        <v>1</v>
      </c>
      <c r="H17" s="488">
        <v>100000</v>
      </c>
      <c r="I17" s="252">
        <f t="shared" si="0"/>
        <v>18750</v>
      </c>
      <c r="J17" s="219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</row>
    <row r="18" spans="2:187" s="259" customFormat="1" ht="16.5" customHeight="1">
      <c r="B18" s="251">
        <v>12</v>
      </c>
      <c r="C18" s="486" t="s">
        <v>325</v>
      </c>
      <c r="D18" s="486" t="s">
        <v>447</v>
      </c>
      <c r="E18" s="486" t="s">
        <v>205</v>
      </c>
      <c r="F18" s="486" t="s">
        <v>169</v>
      </c>
      <c r="G18" s="487">
        <v>3</v>
      </c>
      <c r="H18" s="488">
        <v>300000</v>
      </c>
      <c r="I18" s="252">
        <f t="shared" si="0"/>
        <v>56250</v>
      </c>
      <c r="J18" s="219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7"/>
    </row>
    <row r="19" spans="2:187" s="259" customFormat="1" ht="16.5" customHeight="1">
      <c r="B19" s="251">
        <v>13</v>
      </c>
      <c r="C19" s="486" t="s">
        <v>325</v>
      </c>
      <c r="D19" s="486" t="s">
        <v>416</v>
      </c>
      <c r="E19" s="486" t="s">
        <v>176</v>
      </c>
      <c r="F19" s="486" t="s">
        <v>167</v>
      </c>
      <c r="G19" s="487">
        <v>10</v>
      </c>
      <c r="H19" s="488">
        <v>1000000</v>
      </c>
      <c r="I19" s="252">
        <f t="shared" si="0"/>
        <v>187500</v>
      </c>
      <c r="J19" s="219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  <c r="CD19" s="147"/>
      <c r="CE19" s="147"/>
      <c r="CF19" s="147"/>
      <c r="CG19" s="147"/>
      <c r="CH19" s="147"/>
      <c r="CI19" s="147"/>
      <c r="CJ19" s="147"/>
      <c r="CK19" s="147"/>
      <c r="CL19" s="147"/>
      <c r="CM19" s="147"/>
      <c r="CN19" s="147"/>
      <c r="CO19" s="147"/>
      <c r="CP19" s="147"/>
      <c r="CQ19" s="147"/>
      <c r="CR19" s="147"/>
      <c r="CS19" s="147"/>
      <c r="CT19" s="147"/>
      <c r="CU19" s="147"/>
      <c r="CV19" s="147"/>
      <c r="CW19" s="147"/>
      <c r="CX19" s="147"/>
      <c r="CY19" s="147"/>
      <c r="CZ19" s="147"/>
      <c r="DA19" s="147"/>
      <c r="DB19" s="147"/>
      <c r="DC19" s="147"/>
      <c r="DD19" s="147"/>
      <c r="DE19" s="147"/>
      <c r="DF19" s="147"/>
      <c r="DG19" s="147"/>
      <c r="DH19" s="147"/>
      <c r="DI19" s="147"/>
      <c r="DJ19" s="147"/>
      <c r="DK19" s="147"/>
      <c r="DL19" s="147"/>
      <c r="DM19" s="147"/>
      <c r="DN19" s="147"/>
      <c r="DO19" s="147"/>
      <c r="DP19" s="147"/>
      <c r="DQ19" s="147"/>
      <c r="DR19" s="147"/>
      <c r="DS19" s="147"/>
      <c r="DT19" s="147"/>
      <c r="DU19" s="147"/>
      <c r="DV19" s="147"/>
      <c r="DW19" s="147"/>
      <c r="DX19" s="147"/>
      <c r="DY19" s="147"/>
      <c r="DZ19" s="147"/>
      <c r="EA19" s="147"/>
      <c r="EB19" s="147"/>
      <c r="EC19" s="147"/>
      <c r="ED19" s="147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147"/>
      <c r="FD19" s="147"/>
      <c r="FE19" s="147"/>
      <c r="FF19" s="147"/>
      <c r="FG19" s="147"/>
      <c r="FH19" s="147"/>
      <c r="FI19" s="147"/>
      <c r="FJ19" s="147"/>
      <c r="FK19" s="147"/>
      <c r="FL19" s="147"/>
      <c r="FM19" s="147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  <c r="FZ19" s="147"/>
      <c r="GA19" s="147"/>
      <c r="GB19" s="147"/>
      <c r="GC19" s="147"/>
      <c r="GD19" s="147"/>
      <c r="GE19" s="147"/>
    </row>
    <row r="20" spans="2:187" s="259" customFormat="1" ht="16.5" customHeight="1">
      <c r="B20" s="251">
        <v>14</v>
      </c>
      <c r="C20" s="486" t="s">
        <v>325</v>
      </c>
      <c r="D20" s="486" t="s">
        <v>446</v>
      </c>
      <c r="E20" s="486" t="s">
        <v>139</v>
      </c>
      <c r="F20" s="486" t="s">
        <v>169</v>
      </c>
      <c r="G20" s="487">
        <v>4</v>
      </c>
      <c r="H20" s="488">
        <v>400000</v>
      </c>
      <c r="I20" s="252">
        <f t="shared" si="0"/>
        <v>75000</v>
      </c>
      <c r="J20" s="219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  <c r="CD20" s="147"/>
      <c r="CE20" s="147"/>
      <c r="CF20" s="147"/>
      <c r="CG20" s="147"/>
      <c r="CH20" s="147"/>
      <c r="CI20" s="147"/>
      <c r="CJ20" s="147"/>
      <c r="CK20" s="147"/>
      <c r="CL20" s="147"/>
      <c r="CM20" s="147"/>
      <c r="CN20" s="147"/>
      <c r="CO20" s="147"/>
      <c r="CP20" s="147"/>
      <c r="CQ20" s="147"/>
      <c r="CR20" s="147"/>
      <c r="CS20" s="147"/>
      <c r="CT20" s="147"/>
      <c r="CU20" s="147"/>
      <c r="CV20" s="147"/>
      <c r="CW20" s="147"/>
      <c r="CX20" s="147"/>
      <c r="CY20" s="147"/>
      <c r="CZ20" s="147"/>
      <c r="DA20" s="147"/>
      <c r="DB20" s="147"/>
      <c r="DC20" s="147"/>
      <c r="DD20" s="147"/>
      <c r="DE20" s="147"/>
      <c r="DF20" s="147"/>
      <c r="DG20" s="147"/>
      <c r="DH20" s="147"/>
      <c r="DI20" s="147"/>
      <c r="DJ20" s="147"/>
      <c r="DK20" s="147"/>
      <c r="DL20" s="147"/>
      <c r="DM20" s="147"/>
      <c r="DN20" s="147"/>
      <c r="DO20" s="147"/>
      <c r="DP20" s="147"/>
      <c r="DQ20" s="147"/>
      <c r="DR20" s="147"/>
      <c r="DS20" s="147"/>
      <c r="DT20" s="147"/>
      <c r="DU20" s="147"/>
      <c r="DV20" s="147"/>
      <c r="DW20" s="147"/>
      <c r="DX20" s="147"/>
      <c r="DY20" s="147"/>
      <c r="DZ20" s="147"/>
      <c r="EA20" s="147"/>
      <c r="EB20" s="147"/>
      <c r="EC20" s="147"/>
      <c r="ED20" s="147"/>
      <c r="EE20" s="147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  <c r="EU20" s="147"/>
      <c r="EV20" s="147"/>
      <c r="EW20" s="147"/>
      <c r="EX20" s="147"/>
      <c r="EY20" s="147"/>
      <c r="EZ20" s="147"/>
      <c r="FA20" s="147"/>
      <c r="FB20" s="147"/>
      <c r="FC20" s="147"/>
      <c r="FD20" s="147"/>
      <c r="FE20" s="147"/>
      <c r="FF20" s="147"/>
      <c r="FG20" s="147"/>
      <c r="FH20" s="147"/>
      <c r="FI20" s="147"/>
      <c r="FJ20" s="147"/>
      <c r="FK20" s="147"/>
      <c r="FL20" s="147"/>
      <c r="FM20" s="147"/>
      <c r="FN20" s="147"/>
      <c r="FO20" s="147"/>
      <c r="FP20" s="147"/>
      <c r="FQ20" s="147"/>
      <c r="FR20" s="147"/>
      <c r="FS20" s="147"/>
      <c r="FT20" s="147"/>
      <c r="FU20" s="147"/>
      <c r="FV20" s="147"/>
      <c r="FW20" s="147"/>
      <c r="FX20" s="147"/>
      <c r="FY20" s="147"/>
      <c r="FZ20" s="147"/>
      <c r="GA20" s="147"/>
      <c r="GB20" s="147"/>
      <c r="GC20" s="147"/>
      <c r="GD20" s="147"/>
      <c r="GE20" s="147"/>
    </row>
    <row r="21" spans="2:187" s="259" customFormat="1" ht="16.5" customHeight="1">
      <c r="B21" s="251">
        <v>15</v>
      </c>
      <c r="C21" s="486" t="s">
        <v>325</v>
      </c>
      <c r="D21" s="486" t="s">
        <v>448</v>
      </c>
      <c r="E21" s="486" t="s">
        <v>181</v>
      </c>
      <c r="F21" s="486" t="s">
        <v>167</v>
      </c>
      <c r="G21" s="487">
        <v>5</v>
      </c>
      <c r="H21" s="488">
        <v>500000</v>
      </c>
      <c r="I21" s="252">
        <f t="shared" si="0"/>
        <v>93750</v>
      </c>
      <c r="J21" s="219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7"/>
      <c r="CR21" s="147"/>
      <c r="CS21" s="147"/>
      <c r="CT21" s="147"/>
      <c r="CU21" s="147"/>
      <c r="CV21" s="147"/>
      <c r="CW21" s="147"/>
      <c r="CX21" s="147"/>
      <c r="CY21" s="147"/>
      <c r="CZ21" s="147"/>
      <c r="DA21" s="147"/>
      <c r="DB21" s="147"/>
      <c r="DC21" s="147"/>
      <c r="DD21" s="147"/>
      <c r="DE21" s="147"/>
      <c r="DF21" s="147"/>
      <c r="DG21" s="147"/>
      <c r="DH21" s="147"/>
      <c r="DI21" s="147"/>
      <c r="DJ21" s="147"/>
      <c r="DK21" s="147"/>
      <c r="DL21" s="147"/>
      <c r="DM21" s="147"/>
      <c r="DN21" s="147"/>
      <c r="DO21" s="147"/>
      <c r="DP21" s="147"/>
      <c r="DQ21" s="147"/>
      <c r="DR21" s="147"/>
      <c r="DS21" s="147"/>
      <c r="DT21" s="147"/>
      <c r="DU21" s="147"/>
      <c r="DV21" s="147"/>
      <c r="DW21" s="147"/>
      <c r="DX21" s="147"/>
      <c r="DY21" s="147"/>
      <c r="DZ21" s="147"/>
      <c r="EA21" s="147"/>
      <c r="EB21" s="147"/>
      <c r="EC21" s="147"/>
      <c r="ED21" s="147"/>
      <c r="EE21" s="147"/>
      <c r="EF21" s="147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7"/>
      <c r="ER21" s="147"/>
      <c r="ES21" s="147"/>
      <c r="ET21" s="147"/>
      <c r="EU21" s="147"/>
      <c r="EV21" s="147"/>
      <c r="EW21" s="147"/>
      <c r="EX21" s="147"/>
      <c r="EY21" s="147"/>
      <c r="EZ21" s="147"/>
      <c r="FA21" s="147"/>
      <c r="FB21" s="147"/>
      <c r="FC21" s="147"/>
      <c r="FD21" s="147"/>
      <c r="FE21" s="147"/>
      <c r="FF21" s="147"/>
      <c r="FG21" s="147"/>
      <c r="FH21" s="147"/>
      <c r="FI21" s="147"/>
      <c r="FJ21" s="147"/>
      <c r="FK21" s="147"/>
      <c r="FL21" s="147"/>
      <c r="FM21" s="147"/>
      <c r="FN21" s="147"/>
      <c r="FO21" s="147"/>
      <c r="FP21" s="147"/>
      <c r="FQ21" s="147"/>
      <c r="FR21" s="147"/>
      <c r="FS21" s="147"/>
      <c r="FT21" s="147"/>
      <c r="FU21" s="147"/>
      <c r="FV21" s="147"/>
      <c r="FW21" s="147"/>
      <c r="FX21" s="147"/>
      <c r="FY21" s="147"/>
      <c r="FZ21" s="147"/>
      <c r="GA21" s="147"/>
      <c r="GB21" s="147"/>
      <c r="GC21" s="147"/>
      <c r="GD21" s="147"/>
      <c r="GE21" s="147"/>
    </row>
    <row r="22" spans="2:187" s="259" customFormat="1" ht="16.5" customHeight="1">
      <c r="B22" s="251">
        <v>16</v>
      </c>
      <c r="C22" s="486" t="s">
        <v>325</v>
      </c>
      <c r="D22" s="486" t="s">
        <v>449</v>
      </c>
      <c r="E22" s="486" t="s">
        <v>190</v>
      </c>
      <c r="F22" s="486" t="s">
        <v>175</v>
      </c>
      <c r="G22" s="487">
        <v>1</v>
      </c>
      <c r="H22" s="488">
        <v>100000</v>
      </c>
      <c r="I22" s="252">
        <f t="shared" si="0"/>
        <v>18750</v>
      </c>
      <c r="J22" s="283"/>
    </row>
    <row r="23" spans="2:187" s="259" customFormat="1" ht="16.5" customHeight="1">
      <c r="B23" s="251">
        <v>17</v>
      </c>
      <c r="C23" s="486" t="s">
        <v>325</v>
      </c>
      <c r="D23" s="486" t="s">
        <v>448</v>
      </c>
      <c r="E23" s="486" t="s">
        <v>181</v>
      </c>
      <c r="F23" s="486" t="s">
        <v>169</v>
      </c>
      <c r="G23" s="487">
        <v>5</v>
      </c>
      <c r="H23" s="488">
        <v>500000</v>
      </c>
      <c r="I23" s="252">
        <f t="shared" si="0"/>
        <v>93750</v>
      </c>
      <c r="J23" s="283"/>
    </row>
    <row r="24" spans="2:187" s="259" customFormat="1" ht="16.5" customHeight="1">
      <c r="B24" s="251">
        <v>18</v>
      </c>
      <c r="C24" s="486" t="s">
        <v>325</v>
      </c>
      <c r="D24" s="486" t="s">
        <v>222</v>
      </c>
      <c r="E24" s="486" t="s">
        <v>170</v>
      </c>
      <c r="F24" s="486" t="s">
        <v>175</v>
      </c>
      <c r="G24" s="487">
        <v>1</v>
      </c>
      <c r="H24" s="488">
        <v>100000</v>
      </c>
      <c r="I24" s="252">
        <f t="shared" si="0"/>
        <v>18750</v>
      </c>
      <c r="J24" s="283"/>
    </row>
    <row r="25" spans="2:187" s="259" customFormat="1" ht="16.5" customHeight="1">
      <c r="B25" s="251">
        <v>19</v>
      </c>
      <c r="C25" s="486" t="s">
        <v>325</v>
      </c>
      <c r="D25" s="486" t="s">
        <v>296</v>
      </c>
      <c r="E25" s="486" t="s">
        <v>135</v>
      </c>
      <c r="F25" s="486" t="s">
        <v>171</v>
      </c>
      <c r="G25" s="487">
        <v>1</v>
      </c>
      <c r="H25" s="488">
        <v>100000</v>
      </c>
      <c r="I25" s="252">
        <f t="shared" si="0"/>
        <v>18750</v>
      </c>
      <c r="J25" s="283"/>
    </row>
    <row r="26" spans="2:187" s="259" customFormat="1" ht="16.5" customHeight="1">
      <c r="B26" s="251">
        <v>20</v>
      </c>
      <c r="C26" s="486" t="s">
        <v>325</v>
      </c>
      <c r="D26" s="486" t="s">
        <v>301</v>
      </c>
      <c r="E26" s="486" t="s">
        <v>214</v>
      </c>
      <c r="F26" s="486" t="s">
        <v>171</v>
      </c>
      <c r="G26" s="487">
        <v>1</v>
      </c>
      <c r="H26" s="488">
        <v>100000</v>
      </c>
      <c r="I26" s="252">
        <f t="shared" si="0"/>
        <v>18750</v>
      </c>
      <c r="J26" s="283"/>
    </row>
    <row r="27" spans="2:187" s="259" customFormat="1" ht="16.5" customHeight="1">
      <c r="B27" s="251">
        <v>21</v>
      </c>
      <c r="C27" s="486" t="s">
        <v>325</v>
      </c>
      <c r="D27" s="486" t="s">
        <v>313</v>
      </c>
      <c r="E27" s="486" t="s">
        <v>239</v>
      </c>
      <c r="F27" s="486" t="s">
        <v>171</v>
      </c>
      <c r="G27" s="487">
        <v>1</v>
      </c>
      <c r="H27" s="488">
        <v>100000</v>
      </c>
      <c r="I27" s="252">
        <f t="shared" si="0"/>
        <v>18750</v>
      </c>
      <c r="J27" s="283"/>
    </row>
    <row r="28" spans="2:187" s="259" customFormat="1" ht="16.5" customHeight="1">
      <c r="B28" s="251">
        <v>22</v>
      </c>
      <c r="C28" s="486" t="s">
        <v>325</v>
      </c>
      <c r="D28" s="486" t="s">
        <v>416</v>
      </c>
      <c r="E28" s="486" t="s">
        <v>176</v>
      </c>
      <c r="F28" s="486" t="s">
        <v>169</v>
      </c>
      <c r="G28" s="487">
        <v>6</v>
      </c>
      <c r="H28" s="488">
        <v>600000</v>
      </c>
      <c r="I28" s="252">
        <f t="shared" si="0"/>
        <v>112500</v>
      </c>
      <c r="J28" s="283"/>
    </row>
    <row r="29" spans="2:187" s="259" customFormat="1" ht="16.5" customHeight="1">
      <c r="B29" s="251">
        <v>23</v>
      </c>
      <c r="C29" s="486" t="s">
        <v>325</v>
      </c>
      <c r="D29" s="486" t="s">
        <v>269</v>
      </c>
      <c r="E29" s="486" t="s">
        <v>198</v>
      </c>
      <c r="F29" s="486" t="s">
        <v>201</v>
      </c>
      <c r="G29" s="487">
        <v>1</v>
      </c>
      <c r="H29" s="488">
        <v>100000</v>
      </c>
      <c r="I29" s="252">
        <f t="shared" si="0"/>
        <v>18750</v>
      </c>
      <c r="J29" s="283"/>
    </row>
    <row r="30" spans="2:187" s="259" customFormat="1" ht="16.5" customHeight="1">
      <c r="B30" s="251">
        <v>24</v>
      </c>
      <c r="C30" s="486" t="s">
        <v>325</v>
      </c>
      <c r="D30" s="486" t="s">
        <v>280</v>
      </c>
      <c r="E30" s="486" t="s">
        <v>186</v>
      </c>
      <c r="F30" s="486" t="s">
        <v>228</v>
      </c>
      <c r="G30" s="487">
        <v>1</v>
      </c>
      <c r="H30" s="488">
        <v>400000</v>
      </c>
      <c r="I30" s="252">
        <f t="shared" si="0"/>
        <v>75000</v>
      </c>
      <c r="J30" s="283"/>
    </row>
    <row r="31" spans="2:187" s="259" customFormat="1" ht="16.5" customHeight="1">
      <c r="B31" s="251">
        <v>25</v>
      </c>
      <c r="C31" s="486" t="s">
        <v>325</v>
      </c>
      <c r="D31" s="486" t="s">
        <v>284</v>
      </c>
      <c r="E31" s="486" t="s">
        <v>180</v>
      </c>
      <c r="F31" s="486" t="s">
        <v>169</v>
      </c>
      <c r="G31" s="487">
        <v>1</v>
      </c>
      <c r="H31" s="488">
        <v>100000</v>
      </c>
      <c r="I31" s="252">
        <f t="shared" si="0"/>
        <v>18750</v>
      </c>
      <c r="J31" s="283"/>
    </row>
    <row r="32" spans="2:187" s="259" customFormat="1" ht="16.5" customHeight="1">
      <c r="B32" s="251">
        <v>26</v>
      </c>
      <c r="C32" s="486" t="s">
        <v>325</v>
      </c>
      <c r="D32" s="486" t="s">
        <v>311</v>
      </c>
      <c r="E32" s="486" t="s">
        <v>232</v>
      </c>
      <c r="F32" s="486" t="s">
        <v>171</v>
      </c>
      <c r="G32" s="487">
        <v>1</v>
      </c>
      <c r="H32" s="488">
        <v>100000</v>
      </c>
      <c r="I32" s="252">
        <f t="shared" si="0"/>
        <v>18750</v>
      </c>
      <c r="J32" s="219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  <c r="EB32" s="147"/>
      <c r="EC32" s="147"/>
      <c r="ED32" s="147"/>
      <c r="EE32" s="147"/>
      <c r="EF32" s="147"/>
      <c r="EG32" s="147"/>
      <c r="EH32" s="147"/>
      <c r="EI32" s="147"/>
      <c r="EJ32" s="147"/>
      <c r="EK32" s="147"/>
      <c r="EL32" s="147"/>
      <c r="EM32" s="147"/>
      <c r="EN32" s="147"/>
      <c r="EO32" s="147"/>
      <c r="EP32" s="147"/>
      <c r="EQ32" s="147"/>
      <c r="ER32" s="147"/>
      <c r="ES32" s="147"/>
      <c r="ET32" s="147"/>
      <c r="EU32" s="147"/>
      <c r="EV32" s="147"/>
      <c r="EW32" s="147"/>
      <c r="EX32" s="147"/>
      <c r="EY32" s="147"/>
      <c r="EZ32" s="147"/>
      <c r="FA32" s="147"/>
      <c r="FB32" s="147"/>
      <c r="FC32" s="147"/>
      <c r="FD32" s="147"/>
      <c r="FE32" s="147"/>
      <c r="FF32" s="147"/>
      <c r="FG32" s="147"/>
      <c r="FH32" s="147"/>
      <c r="FI32" s="147"/>
      <c r="FJ32" s="147"/>
      <c r="FK32" s="147"/>
      <c r="FL32" s="147"/>
      <c r="FM32" s="147"/>
      <c r="FN32" s="147"/>
      <c r="FO32" s="147"/>
      <c r="FP32" s="147"/>
      <c r="FQ32" s="147"/>
      <c r="FR32" s="147"/>
      <c r="FS32" s="147"/>
      <c r="FT32" s="147"/>
      <c r="FU32" s="147"/>
      <c r="FV32" s="147"/>
      <c r="FW32" s="147"/>
      <c r="FX32" s="147"/>
      <c r="FY32" s="147"/>
      <c r="FZ32" s="147"/>
      <c r="GA32" s="147"/>
      <c r="GB32" s="147"/>
      <c r="GC32" s="147"/>
      <c r="GD32" s="147"/>
      <c r="GE32" s="147"/>
    </row>
    <row r="33" spans="2:187" s="259" customFormat="1" ht="16.5" customHeight="1">
      <c r="B33" s="251">
        <v>27</v>
      </c>
      <c r="C33" s="486" t="s">
        <v>325</v>
      </c>
      <c r="D33" s="486" t="s">
        <v>268</v>
      </c>
      <c r="E33" s="486" t="s">
        <v>223</v>
      </c>
      <c r="F33" s="486" t="s">
        <v>238</v>
      </c>
      <c r="G33" s="487">
        <v>1</v>
      </c>
      <c r="H33" s="488">
        <v>101800</v>
      </c>
      <c r="I33" s="252">
        <f t="shared" si="0"/>
        <v>19087.5</v>
      </c>
      <c r="J33" s="219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  <c r="CD33" s="147"/>
      <c r="CE33" s="147"/>
      <c r="CF33" s="147"/>
      <c r="CG33" s="147"/>
      <c r="CH33" s="147"/>
      <c r="CI33" s="147"/>
      <c r="CJ33" s="147"/>
      <c r="CK33" s="147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  <c r="DL33" s="147"/>
      <c r="DM33" s="147"/>
      <c r="DN33" s="147"/>
      <c r="DO33" s="147"/>
      <c r="DP33" s="147"/>
      <c r="DQ33" s="147"/>
      <c r="DR33" s="147"/>
      <c r="DS33" s="147"/>
      <c r="DT33" s="147"/>
      <c r="DU33" s="147"/>
      <c r="DV33" s="147"/>
      <c r="DW33" s="147"/>
      <c r="DX33" s="147"/>
      <c r="DY33" s="147"/>
      <c r="DZ33" s="147"/>
      <c r="EA33" s="147"/>
      <c r="EB33" s="147"/>
      <c r="EC33" s="147"/>
      <c r="ED33" s="147"/>
      <c r="EE33" s="147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7"/>
      <c r="ER33" s="147"/>
      <c r="ES33" s="147"/>
      <c r="ET33" s="147"/>
      <c r="EU33" s="147"/>
      <c r="EV33" s="147"/>
      <c r="EW33" s="147"/>
      <c r="EX33" s="147"/>
      <c r="EY33" s="147"/>
      <c r="EZ33" s="147"/>
      <c r="FA33" s="147"/>
      <c r="FB33" s="147"/>
      <c r="FC33" s="147"/>
      <c r="FD33" s="147"/>
      <c r="FE33" s="147"/>
      <c r="FF33" s="147"/>
      <c r="FG33" s="147"/>
      <c r="FH33" s="147"/>
      <c r="FI33" s="147"/>
      <c r="FJ33" s="147"/>
      <c r="FK33" s="147"/>
      <c r="FL33" s="147"/>
      <c r="FM33" s="147"/>
      <c r="FN33" s="147"/>
      <c r="FO33" s="147"/>
      <c r="FP33" s="147"/>
      <c r="FQ33" s="147"/>
      <c r="FR33" s="147"/>
      <c r="FS33" s="147"/>
      <c r="FT33" s="147"/>
      <c r="FU33" s="147"/>
      <c r="FV33" s="147"/>
      <c r="FW33" s="147"/>
      <c r="FX33" s="147"/>
      <c r="FY33" s="147"/>
      <c r="FZ33" s="147"/>
      <c r="GA33" s="147"/>
      <c r="GB33" s="147"/>
      <c r="GC33" s="147"/>
      <c r="GD33" s="147"/>
      <c r="GE33" s="147"/>
    </row>
    <row r="34" spans="2:187" s="259" customFormat="1" ht="16.5" customHeight="1">
      <c r="B34" s="251">
        <v>28</v>
      </c>
      <c r="C34" s="486" t="s">
        <v>325</v>
      </c>
      <c r="D34" s="486" t="s">
        <v>450</v>
      </c>
      <c r="E34" s="486" t="s">
        <v>177</v>
      </c>
      <c r="F34" s="486" t="s">
        <v>210</v>
      </c>
      <c r="G34" s="487">
        <v>1</v>
      </c>
      <c r="H34" s="488">
        <v>372700</v>
      </c>
      <c r="I34" s="252">
        <f t="shared" si="0"/>
        <v>69881.25</v>
      </c>
      <c r="J34" s="219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  <c r="DN34" s="147"/>
      <c r="DO34" s="147"/>
      <c r="DP34" s="147"/>
      <c r="DQ34" s="147"/>
      <c r="DR34" s="147"/>
      <c r="DS34" s="147"/>
      <c r="DT34" s="147"/>
      <c r="DU34" s="147"/>
      <c r="DV34" s="147"/>
      <c r="DW34" s="147"/>
      <c r="DX34" s="147"/>
      <c r="DY34" s="147"/>
      <c r="DZ34" s="147"/>
      <c r="EA34" s="147"/>
      <c r="EB34" s="147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147"/>
      <c r="FD34" s="147"/>
      <c r="FE34" s="147"/>
      <c r="FF34" s="147"/>
      <c r="FG34" s="147"/>
      <c r="FH34" s="147"/>
      <c r="FI34" s="147"/>
      <c r="FJ34" s="147"/>
      <c r="FK34" s="147"/>
      <c r="FL34" s="147"/>
      <c r="FM34" s="147"/>
      <c r="FN34" s="147"/>
      <c r="FO34" s="147"/>
      <c r="FP34" s="147"/>
      <c r="FQ34" s="147"/>
      <c r="FR34" s="147"/>
      <c r="FS34" s="147"/>
      <c r="FT34" s="147"/>
      <c r="FU34" s="147"/>
      <c r="FV34" s="147"/>
      <c r="FW34" s="147"/>
      <c r="FX34" s="147"/>
      <c r="FY34" s="147"/>
      <c r="FZ34" s="147"/>
      <c r="GA34" s="147"/>
      <c r="GB34" s="147"/>
      <c r="GC34" s="147"/>
      <c r="GD34" s="147"/>
      <c r="GE34" s="147"/>
    </row>
    <row r="35" spans="2:187" s="259" customFormat="1" ht="16.5" customHeight="1">
      <c r="B35" s="251">
        <v>29</v>
      </c>
      <c r="C35" s="486" t="s">
        <v>332</v>
      </c>
      <c r="D35" s="486" t="s">
        <v>451</v>
      </c>
      <c r="E35" s="486" t="s">
        <v>213</v>
      </c>
      <c r="F35" s="486" t="s">
        <v>175</v>
      </c>
      <c r="G35" s="487">
        <v>4</v>
      </c>
      <c r="H35" s="488">
        <v>400000</v>
      </c>
      <c r="I35" s="252">
        <f t="shared" si="0"/>
        <v>75000</v>
      </c>
      <c r="J35" s="219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  <c r="DN35" s="147"/>
      <c r="DO35" s="147"/>
      <c r="DP35" s="147"/>
      <c r="DQ35" s="147"/>
      <c r="DR35" s="147"/>
      <c r="DS35" s="147"/>
      <c r="DT35" s="147"/>
      <c r="DU35" s="147"/>
      <c r="DV35" s="147"/>
      <c r="DW35" s="147"/>
      <c r="DX35" s="147"/>
      <c r="DY35" s="147"/>
      <c r="DZ35" s="147"/>
      <c r="EA35" s="147"/>
      <c r="EB35" s="147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147"/>
      <c r="FD35" s="147"/>
      <c r="FE35" s="147"/>
      <c r="FF35" s="147"/>
      <c r="FG35" s="147"/>
      <c r="FH35" s="147"/>
      <c r="FI35" s="147"/>
      <c r="FJ35" s="147"/>
      <c r="FK35" s="147"/>
      <c r="FL35" s="147"/>
      <c r="FM35" s="147"/>
      <c r="FN35" s="147"/>
      <c r="FO35" s="147"/>
      <c r="FP35" s="147"/>
      <c r="FQ35" s="147"/>
      <c r="FR35" s="147"/>
      <c r="FS35" s="147"/>
      <c r="FT35" s="147"/>
      <c r="FU35" s="147"/>
      <c r="FV35" s="147"/>
      <c r="FW35" s="147"/>
      <c r="FX35" s="147"/>
      <c r="FY35" s="147"/>
      <c r="FZ35" s="147"/>
      <c r="GA35" s="147"/>
      <c r="GB35" s="147"/>
      <c r="GC35" s="147"/>
      <c r="GD35" s="147"/>
      <c r="GE35" s="147"/>
    </row>
    <row r="36" spans="2:187" s="259" customFormat="1" ht="16.5" customHeight="1">
      <c r="B36" s="251">
        <v>30</v>
      </c>
      <c r="C36" s="486" t="s">
        <v>332</v>
      </c>
      <c r="D36" s="486" t="s">
        <v>307</v>
      </c>
      <c r="E36" s="486" t="s">
        <v>229</v>
      </c>
      <c r="F36" s="486" t="s">
        <v>169</v>
      </c>
      <c r="G36" s="487">
        <v>1</v>
      </c>
      <c r="H36" s="488">
        <v>100000</v>
      </c>
      <c r="I36" s="252">
        <f t="shared" si="0"/>
        <v>18750</v>
      </c>
      <c r="J36" s="219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  <c r="DN36" s="147"/>
      <c r="DO36" s="147"/>
      <c r="DP36" s="147"/>
      <c r="DQ36" s="147"/>
      <c r="DR36" s="147"/>
      <c r="DS36" s="147"/>
      <c r="DT36" s="147"/>
      <c r="DU36" s="147"/>
      <c r="DV36" s="147"/>
      <c r="DW36" s="147"/>
      <c r="DX36" s="147"/>
      <c r="DY36" s="147"/>
      <c r="DZ36" s="147"/>
      <c r="EA36" s="147"/>
      <c r="EB36" s="147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7"/>
      <c r="ER36" s="147"/>
      <c r="ES36" s="147"/>
      <c r="ET36" s="147"/>
      <c r="EU36" s="147"/>
      <c r="EV36" s="147"/>
      <c r="EW36" s="147"/>
      <c r="EX36" s="147"/>
      <c r="EY36" s="147"/>
      <c r="EZ36" s="147"/>
      <c r="FA36" s="147"/>
      <c r="FB36" s="147"/>
      <c r="FC36" s="147"/>
      <c r="FD36" s="147"/>
      <c r="FE36" s="147"/>
      <c r="FF36" s="147"/>
      <c r="FG36" s="147"/>
      <c r="FH36" s="147"/>
      <c r="FI36" s="147"/>
      <c r="FJ36" s="147"/>
      <c r="FK36" s="147"/>
      <c r="FL36" s="147"/>
      <c r="FM36" s="147"/>
      <c r="FN36" s="147"/>
      <c r="FO36" s="147"/>
      <c r="FP36" s="147"/>
      <c r="FQ36" s="147"/>
      <c r="FR36" s="147"/>
      <c r="FS36" s="147"/>
      <c r="FT36" s="147"/>
      <c r="FU36" s="147"/>
      <c r="FV36" s="147"/>
      <c r="FW36" s="147"/>
      <c r="FX36" s="147"/>
      <c r="FY36" s="147"/>
      <c r="FZ36" s="147"/>
      <c r="GA36" s="147"/>
      <c r="GB36" s="147"/>
      <c r="GC36" s="147"/>
      <c r="GD36" s="147"/>
      <c r="GE36" s="147"/>
    </row>
    <row r="37" spans="2:187" s="259" customFormat="1" ht="16.5" customHeight="1">
      <c r="B37" s="251">
        <v>31</v>
      </c>
      <c r="C37" s="486" t="s">
        <v>332</v>
      </c>
      <c r="D37" s="486" t="s">
        <v>300</v>
      </c>
      <c r="E37" s="486" t="s">
        <v>241</v>
      </c>
      <c r="F37" s="486" t="s">
        <v>221</v>
      </c>
      <c r="G37" s="487">
        <v>1</v>
      </c>
      <c r="H37" s="488">
        <v>120000</v>
      </c>
      <c r="I37" s="252">
        <f t="shared" si="0"/>
        <v>22500</v>
      </c>
      <c r="J37" s="219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  <c r="DN37" s="147"/>
      <c r="DO37" s="147"/>
      <c r="DP37" s="147"/>
      <c r="DQ37" s="147"/>
      <c r="DR37" s="147"/>
      <c r="DS37" s="147"/>
      <c r="DT37" s="147"/>
      <c r="DU37" s="147"/>
      <c r="DV37" s="147"/>
      <c r="DW37" s="147"/>
      <c r="DX37" s="147"/>
      <c r="DY37" s="147"/>
      <c r="DZ37" s="147"/>
      <c r="EA37" s="147"/>
      <c r="EB37" s="147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U37" s="147"/>
      <c r="EV37" s="147"/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K37" s="147"/>
      <c r="FL37" s="147"/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  <c r="GB37" s="147"/>
      <c r="GC37" s="147"/>
      <c r="GD37" s="147"/>
      <c r="GE37" s="147"/>
    </row>
    <row r="38" spans="2:187" s="259" customFormat="1" ht="16.5" customHeight="1">
      <c r="B38" s="251">
        <v>32</v>
      </c>
      <c r="C38" s="486" t="s">
        <v>332</v>
      </c>
      <c r="D38" s="486" t="s">
        <v>290</v>
      </c>
      <c r="E38" s="486" t="s">
        <v>137</v>
      </c>
      <c r="F38" s="486" t="s">
        <v>171</v>
      </c>
      <c r="G38" s="487">
        <v>1</v>
      </c>
      <c r="H38" s="488">
        <v>40300</v>
      </c>
      <c r="I38" s="252">
        <f t="shared" si="0"/>
        <v>7556.25</v>
      </c>
      <c r="J38" s="219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7"/>
      <c r="BV38" s="147"/>
      <c r="BW38" s="147"/>
      <c r="BX38" s="147"/>
      <c r="BY38" s="147"/>
      <c r="BZ38" s="147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  <c r="DN38" s="147"/>
      <c r="DO38" s="147"/>
      <c r="DP38" s="147"/>
      <c r="DQ38" s="147"/>
      <c r="DR38" s="147"/>
      <c r="DS38" s="147"/>
      <c r="DT38" s="147"/>
      <c r="DU38" s="147"/>
      <c r="DV38" s="147"/>
      <c r="DW38" s="147"/>
      <c r="DX38" s="147"/>
      <c r="DY38" s="147"/>
      <c r="DZ38" s="147"/>
      <c r="EA38" s="147"/>
      <c r="EB38" s="147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7"/>
      <c r="ER38" s="147"/>
      <c r="ES38" s="147"/>
      <c r="ET38" s="147"/>
      <c r="EU38" s="147"/>
      <c r="EV38" s="147"/>
      <c r="EW38" s="147"/>
      <c r="EX38" s="147"/>
      <c r="EY38" s="147"/>
      <c r="EZ38" s="147"/>
      <c r="FA38" s="147"/>
      <c r="FB38" s="147"/>
      <c r="FC38" s="147"/>
      <c r="FD38" s="147"/>
      <c r="FE38" s="147"/>
      <c r="FF38" s="147"/>
      <c r="FG38" s="147"/>
      <c r="FH38" s="147"/>
      <c r="FI38" s="147"/>
      <c r="FJ38" s="147"/>
      <c r="FK38" s="147"/>
      <c r="FL38" s="147"/>
      <c r="FM38" s="147"/>
      <c r="FN38" s="147"/>
      <c r="FO38" s="147"/>
      <c r="FP38" s="147"/>
      <c r="FQ38" s="147"/>
      <c r="FR38" s="147"/>
      <c r="FS38" s="147"/>
      <c r="FT38" s="147"/>
      <c r="FU38" s="147"/>
      <c r="FV38" s="147"/>
      <c r="FW38" s="147"/>
      <c r="FX38" s="147"/>
      <c r="FY38" s="147"/>
      <c r="FZ38" s="147"/>
      <c r="GA38" s="147"/>
      <c r="GB38" s="147"/>
      <c r="GC38" s="147"/>
      <c r="GD38" s="147"/>
      <c r="GE38" s="147"/>
    </row>
    <row r="39" spans="2:187" s="259" customFormat="1" ht="16.5" customHeight="1">
      <c r="B39" s="251">
        <v>33</v>
      </c>
      <c r="C39" s="486" t="s">
        <v>332</v>
      </c>
      <c r="D39" s="486" t="s">
        <v>451</v>
      </c>
      <c r="E39" s="486" t="s">
        <v>213</v>
      </c>
      <c r="F39" s="486" t="s">
        <v>167</v>
      </c>
      <c r="G39" s="487">
        <v>5</v>
      </c>
      <c r="H39" s="488">
        <v>500000</v>
      </c>
      <c r="I39" s="252">
        <f t="shared" si="0"/>
        <v>93750</v>
      </c>
      <c r="J39" s="219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  <c r="DN39" s="147"/>
      <c r="DO39" s="147"/>
      <c r="DP39" s="147"/>
      <c r="DQ39" s="147"/>
      <c r="DR39" s="147"/>
      <c r="DS39" s="147"/>
      <c r="DT39" s="147"/>
      <c r="DU39" s="147"/>
      <c r="DV39" s="147"/>
      <c r="DW39" s="147"/>
      <c r="DX39" s="147"/>
      <c r="DY39" s="147"/>
      <c r="DZ39" s="147"/>
      <c r="EA39" s="147"/>
      <c r="EB39" s="147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7"/>
      <c r="ER39" s="147"/>
      <c r="ES39" s="147"/>
      <c r="ET39" s="147"/>
      <c r="EU39" s="147"/>
      <c r="EV39" s="147"/>
      <c r="EW39" s="147"/>
      <c r="EX39" s="147"/>
      <c r="EY39" s="147"/>
      <c r="EZ39" s="147"/>
      <c r="FA39" s="147"/>
      <c r="FB39" s="147"/>
      <c r="FC39" s="147"/>
      <c r="FD39" s="147"/>
      <c r="FE39" s="147"/>
      <c r="FF39" s="147"/>
      <c r="FG39" s="147"/>
      <c r="FH39" s="147"/>
      <c r="FI39" s="147"/>
      <c r="FJ39" s="147"/>
      <c r="FK39" s="147"/>
      <c r="FL39" s="147"/>
      <c r="FM39" s="147"/>
      <c r="FN39" s="147"/>
      <c r="FO39" s="147"/>
      <c r="FP39" s="147"/>
      <c r="FQ39" s="147"/>
      <c r="FR39" s="147"/>
      <c r="FS39" s="147"/>
      <c r="FT39" s="147"/>
      <c r="FU39" s="147"/>
      <c r="FV39" s="147"/>
      <c r="FW39" s="147"/>
      <c r="FX39" s="147"/>
      <c r="FY39" s="147"/>
      <c r="FZ39" s="147"/>
      <c r="GA39" s="147"/>
      <c r="GB39" s="147"/>
      <c r="GC39" s="147"/>
      <c r="GD39" s="147"/>
      <c r="GE39" s="147"/>
    </row>
    <row r="40" spans="2:187" s="259" customFormat="1" ht="16.5" customHeight="1">
      <c r="B40" s="251">
        <v>34</v>
      </c>
      <c r="C40" s="486" t="s">
        <v>332</v>
      </c>
      <c r="D40" s="486" t="s">
        <v>316</v>
      </c>
      <c r="E40" s="486" t="s">
        <v>180</v>
      </c>
      <c r="F40" s="486" t="s">
        <v>221</v>
      </c>
      <c r="G40" s="487">
        <v>1</v>
      </c>
      <c r="H40" s="488">
        <v>120000</v>
      </c>
      <c r="I40" s="252">
        <f t="shared" si="0"/>
        <v>22500</v>
      </c>
      <c r="J40" s="219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  <c r="DL40" s="147"/>
      <c r="DM40" s="147"/>
      <c r="DN40" s="147"/>
      <c r="DO40" s="147"/>
      <c r="DP40" s="147"/>
      <c r="DQ40" s="147"/>
      <c r="DR40" s="147"/>
      <c r="DS40" s="147"/>
      <c r="DT40" s="147"/>
      <c r="DU40" s="147"/>
      <c r="DV40" s="147"/>
      <c r="DW40" s="147"/>
      <c r="DX40" s="147"/>
      <c r="DY40" s="147"/>
      <c r="DZ40" s="147"/>
      <c r="EA40" s="147"/>
      <c r="EB40" s="147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147"/>
      <c r="FD40" s="147"/>
      <c r="FE40" s="147"/>
      <c r="FF40" s="147"/>
      <c r="FG40" s="147"/>
      <c r="FH40" s="147"/>
      <c r="FI40" s="147"/>
      <c r="FJ40" s="147"/>
      <c r="FK40" s="147"/>
      <c r="FL40" s="147"/>
      <c r="FM40" s="147"/>
      <c r="FN40" s="147"/>
      <c r="FO40" s="147"/>
      <c r="FP40" s="147"/>
      <c r="FQ40" s="147"/>
      <c r="FR40" s="147"/>
      <c r="FS40" s="147"/>
      <c r="FT40" s="147"/>
      <c r="FU40" s="147"/>
      <c r="FV40" s="147"/>
      <c r="FW40" s="147"/>
      <c r="FX40" s="147"/>
      <c r="FY40" s="147"/>
      <c r="FZ40" s="147"/>
      <c r="GA40" s="147"/>
      <c r="GB40" s="147"/>
      <c r="GC40" s="147"/>
      <c r="GD40" s="147"/>
      <c r="GE40" s="147"/>
    </row>
    <row r="41" spans="2:187" s="259" customFormat="1" ht="16.5" customHeight="1">
      <c r="B41" s="251">
        <v>35</v>
      </c>
      <c r="C41" s="486" t="s">
        <v>332</v>
      </c>
      <c r="D41" s="486" t="s">
        <v>315</v>
      </c>
      <c r="E41" s="486" t="s">
        <v>204</v>
      </c>
      <c r="F41" s="486" t="s">
        <v>171</v>
      </c>
      <c r="G41" s="487">
        <v>1</v>
      </c>
      <c r="H41" s="488">
        <v>40300</v>
      </c>
      <c r="I41" s="252">
        <f t="shared" si="0"/>
        <v>7556.25</v>
      </c>
      <c r="J41" s="219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  <c r="DN41" s="147"/>
      <c r="DO41" s="147"/>
      <c r="DP41" s="147"/>
      <c r="DQ41" s="147"/>
      <c r="DR41" s="147"/>
      <c r="DS41" s="147"/>
      <c r="DT41" s="147"/>
      <c r="DU41" s="147"/>
      <c r="DV41" s="147"/>
      <c r="DW41" s="147"/>
      <c r="DX41" s="147"/>
      <c r="DY41" s="147"/>
      <c r="DZ41" s="147"/>
      <c r="EA41" s="147"/>
      <c r="EB41" s="147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K41" s="147"/>
      <c r="FL41" s="147"/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  <c r="GB41" s="147"/>
      <c r="GC41" s="147"/>
      <c r="GD41" s="147"/>
      <c r="GE41" s="147"/>
    </row>
    <row r="42" spans="2:187" s="259" customFormat="1" ht="16.5" customHeight="1">
      <c r="B42" s="251">
        <v>36</v>
      </c>
      <c r="C42" s="486" t="s">
        <v>332</v>
      </c>
      <c r="D42" s="486" t="s">
        <v>218</v>
      </c>
      <c r="E42" s="486" t="s">
        <v>174</v>
      </c>
      <c r="F42" s="486" t="s">
        <v>221</v>
      </c>
      <c r="G42" s="487">
        <v>1</v>
      </c>
      <c r="H42" s="488">
        <v>120000</v>
      </c>
      <c r="I42" s="252">
        <f t="shared" si="0"/>
        <v>22500</v>
      </c>
      <c r="J42" s="219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  <c r="DN42" s="147"/>
      <c r="DO42" s="147"/>
      <c r="DP42" s="147"/>
      <c r="DQ42" s="147"/>
      <c r="DR42" s="147"/>
      <c r="DS42" s="147"/>
      <c r="DT42" s="147"/>
      <c r="DU42" s="147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147"/>
      <c r="FD42" s="147"/>
      <c r="FE42" s="147"/>
      <c r="FF42" s="147"/>
      <c r="FG42" s="147"/>
      <c r="FH42" s="147"/>
      <c r="FI42" s="147"/>
      <c r="FJ42" s="147"/>
      <c r="FK42" s="147"/>
      <c r="FL42" s="147"/>
      <c r="FM42" s="147"/>
      <c r="FN42" s="147"/>
      <c r="FO42" s="147"/>
      <c r="FP42" s="147"/>
      <c r="FQ42" s="147"/>
      <c r="FR42" s="147"/>
      <c r="FS42" s="147"/>
      <c r="FT42" s="147"/>
      <c r="FU42" s="147"/>
      <c r="FV42" s="147"/>
      <c r="FW42" s="147"/>
      <c r="FX42" s="147"/>
      <c r="FY42" s="147"/>
      <c r="FZ42" s="147"/>
      <c r="GA42" s="147"/>
      <c r="GB42" s="147"/>
      <c r="GC42" s="147"/>
      <c r="GD42" s="147"/>
      <c r="GE42" s="147"/>
    </row>
    <row r="43" spans="2:187" s="259" customFormat="1" ht="16.5" customHeight="1">
      <c r="B43" s="251">
        <v>37</v>
      </c>
      <c r="C43" s="486" t="s">
        <v>332</v>
      </c>
      <c r="D43" s="486" t="s">
        <v>295</v>
      </c>
      <c r="E43" s="486" t="s">
        <v>286</v>
      </c>
      <c r="F43" s="486" t="s">
        <v>221</v>
      </c>
      <c r="G43" s="487">
        <v>1</v>
      </c>
      <c r="H43" s="488">
        <v>120000</v>
      </c>
      <c r="I43" s="252">
        <f t="shared" si="0"/>
        <v>22500</v>
      </c>
      <c r="J43" s="219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47"/>
      <c r="DT43" s="147"/>
      <c r="DU43" s="147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147"/>
      <c r="FD43" s="147"/>
      <c r="FE43" s="147"/>
      <c r="FF43" s="147"/>
      <c r="FG43" s="147"/>
      <c r="FH43" s="147"/>
      <c r="FI43" s="147"/>
      <c r="FJ43" s="147"/>
      <c r="FK43" s="147"/>
      <c r="FL43" s="147"/>
      <c r="FM43" s="147"/>
      <c r="FN43" s="147"/>
      <c r="FO43" s="147"/>
      <c r="FP43" s="147"/>
      <c r="FQ43" s="147"/>
      <c r="FR43" s="147"/>
      <c r="FS43" s="147"/>
      <c r="FT43" s="147"/>
      <c r="FU43" s="147"/>
      <c r="FV43" s="147"/>
      <c r="FW43" s="147"/>
      <c r="FX43" s="147"/>
      <c r="FY43" s="147"/>
      <c r="FZ43" s="147"/>
      <c r="GA43" s="147"/>
      <c r="GB43" s="147"/>
      <c r="GC43" s="147"/>
      <c r="GD43" s="147"/>
      <c r="GE43" s="147"/>
    </row>
    <row r="44" spans="2:187" s="259" customFormat="1" ht="16.5" customHeight="1">
      <c r="B44" s="251">
        <v>38</v>
      </c>
      <c r="C44" s="486" t="s">
        <v>332</v>
      </c>
      <c r="D44" s="486" t="s">
        <v>304</v>
      </c>
      <c r="E44" s="486" t="s">
        <v>133</v>
      </c>
      <c r="F44" s="486" t="s">
        <v>221</v>
      </c>
      <c r="G44" s="487">
        <v>1</v>
      </c>
      <c r="H44" s="488">
        <v>120000</v>
      </c>
      <c r="I44" s="252">
        <f t="shared" si="0"/>
        <v>22500</v>
      </c>
      <c r="J44" s="219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  <c r="DN44" s="147"/>
      <c r="DO44" s="147"/>
      <c r="DP44" s="147"/>
      <c r="DQ44" s="147"/>
      <c r="DR44" s="147"/>
      <c r="DS44" s="147"/>
      <c r="DT44" s="147"/>
      <c r="DU44" s="147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147"/>
      <c r="FD44" s="147"/>
      <c r="FE44" s="147"/>
      <c r="FF44" s="147"/>
      <c r="FG44" s="147"/>
      <c r="FH44" s="147"/>
      <c r="FI44" s="147"/>
      <c r="FJ44" s="147"/>
      <c r="FK44" s="147"/>
      <c r="FL44" s="147"/>
      <c r="FM44" s="147"/>
      <c r="FN44" s="147"/>
      <c r="FO44" s="147"/>
      <c r="FP44" s="147"/>
      <c r="FQ44" s="147"/>
      <c r="FR44" s="147"/>
      <c r="FS44" s="147"/>
      <c r="FT44" s="147"/>
      <c r="FU44" s="147"/>
      <c r="FV44" s="147"/>
      <c r="FW44" s="147"/>
      <c r="FX44" s="147"/>
      <c r="FY44" s="147"/>
      <c r="FZ44" s="147"/>
      <c r="GA44" s="147"/>
      <c r="GB44" s="147"/>
      <c r="GC44" s="147"/>
      <c r="GD44" s="147"/>
      <c r="GE44" s="147"/>
    </row>
    <row r="45" spans="2:187" s="259" customFormat="1" ht="16.5" customHeight="1">
      <c r="B45" s="251">
        <v>39</v>
      </c>
      <c r="C45" s="486" t="s">
        <v>332</v>
      </c>
      <c r="D45" s="486" t="s">
        <v>297</v>
      </c>
      <c r="E45" s="486" t="s">
        <v>212</v>
      </c>
      <c r="F45" s="486" t="s">
        <v>221</v>
      </c>
      <c r="G45" s="487">
        <v>1</v>
      </c>
      <c r="H45" s="488">
        <v>120000</v>
      </c>
      <c r="I45" s="252">
        <f t="shared" si="0"/>
        <v>22500</v>
      </c>
      <c r="J45" s="219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7"/>
      <c r="FF45" s="147"/>
      <c r="FG45" s="147"/>
      <c r="FH45" s="147"/>
      <c r="FI45" s="147"/>
      <c r="FJ45" s="147"/>
      <c r="FK45" s="147"/>
      <c r="FL45" s="147"/>
      <c r="FM45" s="147"/>
      <c r="FN45" s="147"/>
      <c r="FO45" s="147"/>
      <c r="FP45" s="147"/>
      <c r="FQ45" s="147"/>
      <c r="FR45" s="147"/>
      <c r="FS45" s="147"/>
      <c r="FT45" s="147"/>
      <c r="FU45" s="147"/>
      <c r="FV45" s="147"/>
      <c r="FW45" s="147"/>
      <c r="FX45" s="147"/>
      <c r="FY45" s="147"/>
      <c r="FZ45" s="147"/>
      <c r="GA45" s="147"/>
      <c r="GB45" s="147"/>
      <c r="GC45" s="147"/>
      <c r="GD45" s="147"/>
      <c r="GE45" s="147"/>
    </row>
    <row r="46" spans="2:187" s="259" customFormat="1" ht="16.5" customHeight="1">
      <c r="B46" s="251">
        <v>40</v>
      </c>
      <c r="C46" s="486" t="s">
        <v>332</v>
      </c>
      <c r="D46" s="486" t="s">
        <v>291</v>
      </c>
      <c r="E46" s="486" t="s">
        <v>229</v>
      </c>
      <c r="F46" s="486" t="s">
        <v>171</v>
      </c>
      <c r="G46" s="487">
        <v>1</v>
      </c>
      <c r="H46" s="488">
        <v>40300</v>
      </c>
      <c r="I46" s="252">
        <f t="shared" si="0"/>
        <v>7556.25</v>
      </c>
      <c r="J46" s="219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  <c r="DN46" s="147"/>
      <c r="DO46" s="147"/>
      <c r="DP46" s="147"/>
      <c r="DQ46" s="147"/>
      <c r="DR46" s="147"/>
      <c r="DS46" s="147"/>
      <c r="DT46" s="147"/>
      <c r="DU46" s="147"/>
      <c r="DV46" s="147"/>
      <c r="DW46" s="147"/>
      <c r="DX46" s="147"/>
      <c r="DY46" s="147"/>
      <c r="DZ46" s="147"/>
      <c r="EA46" s="147"/>
      <c r="EB46" s="147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7"/>
      <c r="FJ46" s="147"/>
      <c r="FK46" s="147"/>
      <c r="FL46" s="147"/>
      <c r="FM46" s="147"/>
      <c r="FN46" s="147"/>
      <c r="FO46" s="147"/>
      <c r="FP46" s="147"/>
      <c r="FQ46" s="147"/>
      <c r="FR46" s="147"/>
      <c r="FS46" s="147"/>
      <c r="FT46" s="147"/>
      <c r="FU46" s="147"/>
      <c r="FV46" s="147"/>
      <c r="FW46" s="147"/>
      <c r="FX46" s="147"/>
      <c r="FY46" s="147"/>
      <c r="FZ46" s="147"/>
      <c r="GA46" s="147"/>
      <c r="GB46" s="147"/>
      <c r="GC46" s="147"/>
      <c r="GD46" s="147"/>
      <c r="GE46" s="147"/>
    </row>
    <row r="47" spans="2:187" s="259" customFormat="1" ht="16.5" customHeight="1">
      <c r="B47" s="251">
        <v>41</v>
      </c>
      <c r="C47" s="486" t="s">
        <v>332</v>
      </c>
      <c r="D47" s="486" t="s">
        <v>452</v>
      </c>
      <c r="E47" s="486" t="s">
        <v>453</v>
      </c>
      <c r="F47" s="486" t="s">
        <v>167</v>
      </c>
      <c r="G47" s="487">
        <v>7</v>
      </c>
      <c r="H47" s="488">
        <v>700000</v>
      </c>
      <c r="I47" s="252">
        <f t="shared" si="0"/>
        <v>131250</v>
      </c>
      <c r="J47" s="219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7"/>
      <c r="DH47" s="147"/>
      <c r="DI47" s="147"/>
      <c r="DJ47" s="147"/>
      <c r="DK47" s="147"/>
      <c r="DL47" s="147"/>
      <c r="DM47" s="147"/>
      <c r="DN47" s="147"/>
      <c r="DO47" s="147"/>
      <c r="DP47" s="147"/>
      <c r="DQ47" s="147"/>
      <c r="DR47" s="147"/>
      <c r="DS47" s="147"/>
      <c r="DT47" s="147"/>
      <c r="DU47" s="147"/>
      <c r="DV47" s="147"/>
      <c r="DW47" s="147"/>
      <c r="DX47" s="147"/>
      <c r="DY47" s="147"/>
      <c r="DZ47" s="147"/>
      <c r="EA47" s="147"/>
      <c r="EB47" s="147"/>
      <c r="EC47" s="147"/>
      <c r="ED47" s="147"/>
      <c r="EE47" s="147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7"/>
      <c r="ER47" s="147"/>
      <c r="ES47" s="147"/>
      <c r="ET47" s="147"/>
      <c r="EU47" s="147"/>
      <c r="EV47" s="147"/>
      <c r="EW47" s="147"/>
      <c r="EX47" s="147"/>
      <c r="EY47" s="147"/>
      <c r="EZ47" s="147"/>
      <c r="FA47" s="147"/>
      <c r="FB47" s="147"/>
      <c r="FC47" s="147"/>
      <c r="FD47" s="147"/>
      <c r="FE47" s="147"/>
      <c r="FF47" s="147"/>
      <c r="FG47" s="147"/>
      <c r="FH47" s="147"/>
      <c r="FI47" s="147"/>
      <c r="FJ47" s="147"/>
      <c r="FK47" s="147"/>
      <c r="FL47" s="147"/>
      <c r="FM47" s="147"/>
      <c r="FN47" s="147"/>
      <c r="FO47" s="147"/>
      <c r="FP47" s="147"/>
      <c r="FQ47" s="147"/>
      <c r="FR47" s="147"/>
      <c r="FS47" s="147"/>
      <c r="FT47" s="147"/>
      <c r="FU47" s="147"/>
      <c r="FV47" s="147"/>
      <c r="FW47" s="147"/>
      <c r="FX47" s="147"/>
      <c r="FY47" s="147"/>
      <c r="FZ47" s="147"/>
      <c r="GA47" s="147"/>
      <c r="GB47" s="147"/>
      <c r="GC47" s="147"/>
      <c r="GD47" s="147"/>
      <c r="GE47" s="147"/>
    </row>
    <row r="48" spans="2:187" s="259" customFormat="1" ht="16.5" customHeight="1">
      <c r="B48" s="251">
        <v>42</v>
      </c>
      <c r="C48" s="486" t="s">
        <v>332</v>
      </c>
      <c r="D48" s="486" t="s">
        <v>452</v>
      </c>
      <c r="E48" s="486" t="s">
        <v>453</v>
      </c>
      <c r="F48" s="486" t="s">
        <v>175</v>
      </c>
      <c r="G48" s="487">
        <v>4</v>
      </c>
      <c r="H48" s="488">
        <v>400000</v>
      </c>
      <c r="I48" s="252">
        <f t="shared" si="0"/>
        <v>75000</v>
      </c>
      <c r="J48" s="219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  <c r="CC48" s="147"/>
      <c r="CD48" s="147"/>
      <c r="CE48" s="147"/>
      <c r="CF48" s="147"/>
      <c r="CG48" s="147"/>
      <c r="CH48" s="147"/>
      <c r="CI48" s="147"/>
      <c r="CJ48" s="147"/>
      <c r="CK48" s="147"/>
      <c r="CL48" s="147"/>
      <c r="CM48" s="147"/>
      <c r="CN48" s="147"/>
      <c r="CO48" s="147"/>
      <c r="CP48" s="147"/>
      <c r="CQ48" s="147"/>
      <c r="CR48" s="147"/>
      <c r="CS48" s="147"/>
      <c r="CT48" s="147"/>
      <c r="CU48" s="147"/>
      <c r="CV48" s="147"/>
      <c r="CW48" s="147"/>
      <c r="CX48" s="147"/>
      <c r="CY48" s="147"/>
      <c r="CZ48" s="147"/>
      <c r="DA48" s="147"/>
      <c r="DB48" s="147"/>
      <c r="DC48" s="147"/>
      <c r="DD48" s="147"/>
      <c r="DE48" s="147"/>
      <c r="DF48" s="147"/>
      <c r="DG48" s="147"/>
      <c r="DH48" s="147"/>
      <c r="DI48" s="147"/>
      <c r="DJ48" s="147"/>
      <c r="DK48" s="147"/>
      <c r="DL48" s="147"/>
      <c r="DM48" s="147"/>
      <c r="DN48" s="147"/>
      <c r="DO48" s="147"/>
      <c r="DP48" s="147"/>
      <c r="DQ48" s="147"/>
      <c r="DR48" s="147"/>
      <c r="DS48" s="147"/>
      <c r="DT48" s="147"/>
      <c r="DU48" s="147"/>
      <c r="DV48" s="147"/>
      <c r="DW48" s="147"/>
      <c r="DX48" s="147"/>
      <c r="DY48" s="147"/>
      <c r="DZ48" s="147"/>
      <c r="EA48" s="147"/>
      <c r="EB48" s="147"/>
      <c r="EC48" s="147"/>
      <c r="ED48" s="147"/>
      <c r="EE48" s="147"/>
      <c r="EF48" s="147"/>
      <c r="EG48" s="147"/>
      <c r="EH48" s="147"/>
      <c r="EI48" s="147"/>
      <c r="EJ48" s="147"/>
      <c r="EK48" s="147"/>
      <c r="EL48" s="147"/>
      <c r="EM48" s="147"/>
      <c r="EN48" s="147"/>
      <c r="EO48" s="147"/>
      <c r="EP48" s="147"/>
      <c r="EQ48" s="147"/>
      <c r="ER48" s="147"/>
      <c r="ES48" s="147"/>
      <c r="ET48" s="147"/>
      <c r="EU48" s="147"/>
      <c r="EV48" s="147"/>
      <c r="EW48" s="147"/>
      <c r="EX48" s="147"/>
      <c r="EY48" s="147"/>
      <c r="EZ48" s="147"/>
      <c r="FA48" s="147"/>
      <c r="FB48" s="147"/>
      <c r="FC48" s="147"/>
      <c r="FD48" s="147"/>
      <c r="FE48" s="147"/>
      <c r="FF48" s="147"/>
      <c r="FG48" s="147"/>
      <c r="FH48" s="147"/>
      <c r="FI48" s="147"/>
      <c r="FJ48" s="147"/>
      <c r="FK48" s="147"/>
      <c r="FL48" s="147"/>
      <c r="FM48" s="147"/>
      <c r="FN48" s="147"/>
      <c r="FO48" s="147"/>
      <c r="FP48" s="147"/>
      <c r="FQ48" s="147"/>
      <c r="FR48" s="147"/>
      <c r="FS48" s="147"/>
      <c r="FT48" s="147"/>
      <c r="FU48" s="147"/>
      <c r="FV48" s="147"/>
      <c r="FW48" s="147"/>
      <c r="FX48" s="147"/>
      <c r="FY48" s="147"/>
      <c r="FZ48" s="147"/>
      <c r="GA48" s="147"/>
      <c r="GB48" s="147"/>
      <c r="GC48" s="147"/>
      <c r="GD48" s="147"/>
      <c r="GE48" s="147"/>
    </row>
    <row r="49" spans="2:187" s="259" customFormat="1" ht="16.5" customHeight="1">
      <c r="B49" s="251">
        <v>43</v>
      </c>
      <c r="C49" s="486" t="s">
        <v>332</v>
      </c>
      <c r="D49" s="486" t="s">
        <v>310</v>
      </c>
      <c r="E49" s="486" t="s">
        <v>194</v>
      </c>
      <c r="F49" s="486" t="s">
        <v>171</v>
      </c>
      <c r="G49" s="487">
        <v>1</v>
      </c>
      <c r="H49" s="488">
        <v>100000</v>
      </c>
      <c r="I49" s="252">
        <f t="shared" si="0"/>
        <v>18750</v>
      </c>
      <c r="J49" s="219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  <c r="CC49" s="147"/>
      <c r="CD49" s="147"/>
      <c r="CE49" s="147"/>
      <c r="CF49" s="147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47"/>
      <c r="CR49" s="147"/>
      <c r="CS49" s="147"/>
      <c r="CT49" s="147"/>
      <c r="CU49" s="147"/>
      <c r="CV49" s="147"/>
      <c r="CW49" s="147"/>
      <c r="CX49" s="147"/>
      <c r="CY49" s="147"/>
      <c r="CZ49" s="147"/>
      <c r="DA49" s="147"/>
      <c r="DB49" s="147"/>
      <c r="DC49" s="147"/>
      <c r="DD49" s="147"/>
      <c r="DE49" s="147"/>
      <c r="DF49" s="147"/>
      <c r="DG49" s="147"/>
      <c r="DH49" s="147"/>
      <c r="DI49" s="147"/>
      <c r="DJ49" s="147"/>
      <c r="DK49" s="147"/>
      <c r="DL49" s="147"/>
      <c r="DM49" s="147"/>
      <c r="DN49" s="147"/>
      <c r="DO49" s="147"/>
      <c r="DP49" s="147"/>
      <c r="DQ49" s="147"/>
      <c r="DR49" s="147"/>
      <c r="DS49" s="147"/>
      <c r="DT49" s="147"/>
      <c r="DU49" s="147"/>
      <c r="DV49" s="147"/>
      <c r="DW49" s="147"/>
      <c r="DX49" s="147"/>
      <c r="DY49" s="147"/>
      <c r="DZ49" s="147"/>
      <c r="EA49" s="147"/>
      <c r="EB49" s="147"/>
      <c r="EC49" s="147"/>
      <c r="ED49" s="147"/>
      <c r="EE49" s="147"/>
      <c r="EF49" s="147"/>
      <c r="EG49" s="147"/>
      <c r="EH49" s="147"/>
      <c r="EI49" s="147"/>
      <c r="EJ49" s="147"/>
      <c r="EK49" s="147"/>
      <c r="EL49" s="147"/>
      <c r="EM49" s="147"/>
      <c r="EN49" s="147"/>
      <c r="EO49" s="147"/>
      <c r="EP49" s="147"/>
      <c r="EQ49" s="147"/>
      <c r="ER49" s="147"/>
      <c r="ES49" s="147"/>
      <c r="ET49" s="147"/>
      <c r="EU49" s="147"/>
      <c r="EV49" s="147"/>
      <c r="EW49" s="147"/>
      <c r="EX49" s="147"/>
      <c r="EY49" s="147"/>
      <c r="EZ49" s="147"/>
      <c r="FA49" s="147"/>
      <c r="FB49" s="147"/>
      <c r="FC49" s="147"/>
      <c r="FD49" s="147"/>
      <c r="FE49" s="147"/>
      <c r="FF49" s="147"/>
      <c r="FG49" s="147"/>
      <c r="FH49" s="147"/>
      <c r="FI49" s="147"/>
      <c r="FJ49" s="147"/>
      <c r="FK49" s="147"/>
      <c r="FL49" s="147"/>
      <c r="FM49" s="147"/>
      <c r="FN49" s="147"/>
      <c r="FO49" s="147"/>
      <c r="FP49" s="147"/>
      <c r="FQ49" s="147"/>
      <c r="FR49" s="147"/>
      <c r="FS49" s="147"/>
      <c r="FT49" s="147"/>
      <c r="FU49" s="147"/>
      <c r="FV49" s="147"/>
      <c r="FW49" s="147"/>
      <c r="FX49" s="147"/>
      <c r="FY49" s="147"/>
      <c r="FZ49" s="147"/>
      <c r="GA49" s="147"/>
      <c r="GB49" s="147"/>
      <c r="GC49" s="147"/>
      <c r="GD49" s="147"/>
      <c r="GE49" s="147"/>
    </row>
    <row r="50" spans="2:187" s="259" customFormat="1" ht="16.5" customHeight="1">
      <c r="B50" s="251">
        <v>44</v>
      </c>
      <c r="C50" s="486" t="s">
        <v>332</v>
      </c>
      <c r="D50" s="486" t="s">
        <v>289</v>
      </c>
      <c r="E50" s="486" t="s">
        <v>239</v>
      </c>
      <c r="F50" s="486" t="s">
        <v>171</v>
      </c>
      <c r="G50" s="487">
        <v>1</v>
      </c>
      <c r="H50" s="488">
        <v>40300</v>
      </c>
      <c r="I50" s="252">
        <f t="shared" si="0"/>
        <v>7556.25</v>
      </c>
      <c r="J50" s="219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  <c r="DL50" s="147"/>
      <c r="DM50" s="147"/>
      <c r="DN50" s="147"/>
      <c r="DO50" s="147"/>
      <c r="DP50" s="147"/>
      <c r="DQ50" s="147"/>
      <c r="DR50" s="147"/>
      <c r="DS50" s="147"/>
      <c r="DT50" s="147"/>
      <c r="DU50" s="147"/>
      <c r="DV50" s="147"/>
      <c r="DW50" s="147"/>
      <c r="DX50" s="147"/>
      <c r="DY50" s="147"/>
      <c r="DZ50" s="147"/>
      <c r="EA50" s="147"/>
      <c r="EB50" s="147"/>
      <c r="EC50" s="147"/>
      <c r="ED50" s="147"/>
      <c r="EE50" s="147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7"/>
      <c r="ER50" s="147"/>
      <c r="ES50" s="147"/>
      <c r="ET50" s="147"/>
      <c r="EU50" s="147"/>
      <c r="EV50" s="147"/>
      <c r="EW50" s="147"/>
      <c r="EX50" s="147"/>
      <c r="EY50" s="147"/>
      <c r="EZ50" s="147"/>
      <c r="FA50" s="147"/>
      <c r="FB50" s="147"/>
      <c r="FC50" s="147"/>
      <c r="FD50" s="147"/>
      <c r="FE50" s="147"/>
      <c r="FF50" s="147"/>
      <c r="FG50" s="147"/>
      <c r="FH50" s="147"/>
      <c r="FI50" s="147"/>
      <c r="FJ50" s="147"/>
      <c r="FK50" s="147"/>
      <c r="FL50" s="147"/>
      <c r="FM50" s="147"/>
      <c r="FN50" s="147"/>
      <c r="FO50" s="147"/>
      <c r="FP50" s="147"/>
      <c r="FQ50" s="147"/>
      <c r="FR50" s="147"/>
      <c r="FS50" s="147"/>
      <c r="FT50" s="147"/>
      <c r="FU50" s="147"/>
      <c r="FV50" s="147"/>
      <c r="FW50" s="147"/>
      <c r="FX50" s="147"/>
      <c r="FY50" s="147"/>
      <c r="FZ50" s="147"/>
      <c r="GA50" s="147"/>
      <c r="GB50" s="147"/>
      <c r="GC50" s="147"/>
      <c r="GD50" s="147"/>
      <c r="GE50" s="147"/>
    </row>
    <row r="51" spans="2:187" s="259" customFormat="1" ht="16.5" customHeight="1">
      <c r="B51" s="251">
        <v>45</v>
      </c>
      <c r="C51" s="486" t="s">
        <v>332</v>
      </c>
      <c r="D51" s="486" t="s">
        <v>308</v>
      </c>
      <c r="E51" s="486" t="s">
        <v>223</v>
      </c>
      <c r="F51" s="486" t="s">
        <v>221</v>
      </c>
      <c r="G51" s="487">
        <v>1</v>
      </c>
      <c r="H51" s="488">
        <v>120000</v>
      </c>
      <c r="I51" s="252">
        <f t="shared" si="0"/>
        <v>22500</v>
      </c>
      <c r="J51" s="219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47"/>
      <c r="DD51" s="147"/>
      <c r="DE51" s="147"/>
      <c r="DF51" s="147"/>
      <c r="DG51" s="147"/>
      <c r="DH51" s="147"/>
      <c r="DI51" s="147"/>
      <c r="DJ51" s="147"/>
      <c r="DK51" s="147"/>
      <c r="DL51" s="147"/>
      <c r="DM51" s="147"/>
      <c r="DN51" s="147"/>
      <c r="DO51" s="147"/>
      <c r="DP51" s="147"/>
      <c r="DQ51" s="147"/>
      <c r="DR51" s="147"/>
      <c r="DS51" s="147"/>
      <c r="DT51" s="147"/>
      <c r="DU51" s="147"/>
      <c r="DV51" s="147"/>
      <c r="DW51" s="147"/>
      <c r="DX51" s="147"/>
      <c r="DY51" s="147"/>
      <c r="DZ51" s="147"/>
      <c r="EA51" s="147"/>
      <c r="EB51" s="147"/>
      <c r="EC51" s="147"/>
      <c r="ED51" s="147"/>
      <c r="EE51" s="147"/>
      <c r="EF51" s="147"/>
      <c r="EG51" s="147"/>
      <c r="EH51" s="147"/>
      <c r="EI51" s="147"/>
      <c r="EJ51" s="147"/>
      <c r="EK51" s="147"/>
      <c r="EL51" s="147"/>
      <c r="EM51" s="147"/>
      <c r="EN51" s="147"/>
      <c r="EO51" s="147"/>
      <c r="EP51" s="147"/>
      <c r="EQ51" s="147"/>
      <c r="ER51" s="147"/>
      <c r="ES51" s="147"/>
      <c r="ET51" s="147"/>
      <c r="EU51" s="147"/>
      <c r="EV51" s="147"/>
      <c r="EW51" s="147"/>
      <c r="EX51" s="147"/>
      <c r="EY51" s="147"/>
      <c r="EZ51" s="147"/>
      <c r="FA51" s="147"/>
      <c r="FB51" s="147"/>
      <c r="FC51" s="147"/>
      <c r="FD51" s="147"/>
      <c r="FE51" s="147"/>
      <c r="FF51" s="147"/>
      <c r="FG51" s="147"/>
      <c r="FH51" s="147"/>
      <c r="FI51" s="147"/>
      <c r="FJ51" s="147"/>
      <c r="FK51" s="147"/>
      <c r="FL51" s="147"/>
      <c r="FM51" s="147"/>
      <c r="FN51" s="147"/>
      <c r="FO51" s="147"/>
      <c r="FP51" s="147"/>
      <c r="FQ51" s="147"/>
      <c r="FR51" s="147"/>
      <c r="FS51" s="147"/>
      <c r="FT51" s="147"/>
      <c r="FU51" s="147"/>
      <c r="FV51" s="147"/>
      <c r="FW51" s="147"/>
      <c r="FX51" s="147"/>
      <c r="FY51" s="147"/>
      <c r="FZ51" s="147"/>
      <c r="GA51" s="147"/>
      <c r="GB51" s="147"/>
      <c r="GC51" s="147"/>
      <c r="GD51" s="147"/>
      <c r="GE51" s="147"/>
    </row>
    <row r="52" spans="2:187" s="259" customFormat="1" ht="16.5" customHeight="1">
      <c r="B52" s="251">
        <v>46</v>
      </c>
      <c r="C52" s="486" t="s">
        <v>334</v>
      </c>
      <c r="D52" s="486" t="s">
        <v>454</v>
      </c>
      <c r="E52" s="486" t="s">
        <v>180</v>
      </c>
      <c r="F52" s="486" t="s">
        <v>216</v>
      </c>
      <c r="G52" s="487">
        <v>1</v>
      </c>
      <c r="H52" s="488">
        <v>500000</v>
      </c>
      <c r="I52" s="252">
        <f t="shared" si="0"/>
        <v>93750</v>
      </c>
      <c r="J52" s="219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7"/>
      <c r="CD52" s="147"/>
      <c r="CE52" s="147"/>
      <c r="CF52" s="147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47"/>
      <c r="CR52" s="147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47"/>
      <c r="DD52" s="147"/>
      <c r="DE52" s="147"/>
      <c r="DF52" s="147"/>
      <c r="DG52" s="147"/>
      <c r="DH52" s="147"/>
      <c r="DI52" s="147"/>
      <c r="DJ52" s="147"/>
      <c r="DK52" s="147"/>
      <c r="DL52" s="147"/>
      <c r="DM52" s="147"/>
      <c r="DN52" s="147"/>
      <c r="DO52" s="147"/>
      <c r="DP52" s="147"/>
      <c r="DQ52" s="147"/>
      <c r="DR52" s="147"/>
      <c r="DS52" s="147"/>
      <c r="DT52" s="147"/>
      <c r="DU52" s="147"/>
      <c r="DV52" s="147"/>
      <c r="DW52" s="147"/>
      <c r="DX52" s="147"/>
      <c r="DY52" s="147"/>
      <c r="DZ52" s="147"/>
      <c r="EA52" s="147"/>
      <c r="EB52" s="147"/>
      <c r="EC52" s="147"/>
      <c r="ED52" s="147"/>
      <c r="EE52" s="147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7"/>
      <c r="ER52" s="147"/>
      <c r="ES52" s="147"/>
      <c r="ET52" s="147"/>
      <c r="EU52" s="147"/>
      <c r="EV52" s="147"/>
      <c r="EW52" s="147"/>
      <c r="EX52" s="147"/>
      <c r="EY52" s="147"/>
      <c r="EZ52" s="147"/>
      <c r="FA52" s="147"/>
      <c r="FB52" s="147"/>
      <c r="FC52" s="147"/>
      <c r="FD52" s="147"/>
      <c r="FE52" s="147"/>
      <c r="FF52" s="147"/>
      <c r="FG52" s="147"/>
      <c r="FH52" s="147"/>
      <c r="FI52" s="147"/>
      <c r="FJ52" s="147"/>
      <c r="FK52" s="147"/>
      <c r="FL52" s="147"/>
      <c r="FM52" s="147"/>
      <c r="FN52" s="147"/>
      <c r="FO52" s="147"/>
      <c r="FP52" s="147"/>
      <c r="FQ52" s="147"/>
      <c r="FR52" s="147"/>
      <c r="FS52" s="147"/>
      <c r="FT52" s="147"/>
      <c r="FU52" s="147"/>
      <c r="FV52" s="147"/>
      <c r="FW52" s="147"/>
      <c r="FX52" s="147"/>
      <c r="FY52" s="147"/>
      <c r="FZ52" s="147"/>
      <c r="GA52" s="147"/>
      <c r="GB52" s="147"/>
      <c r="GC52" s="147"/>
      <c r="GD52" s="147"/>
      <c r="GE52" s="147"/>
    </row>
    <row r="53" spans="2:187" s="259" customFormat="1" ht="16.5" customHeight="1">
      <c r="B53" s="251">
        <v>47</v>
      </c>
      <c r="C53" s="486" t="s">
        <v>334</v>
      </c>
      <c r="D53" s="486" t="s">
        <v>294</v>
      </c>
      <c r="E53" s="486" t="s">
        <v>226</v>
      </c>
      <c r="F53" s="486" t="s">
        <v>171</v>
      </c>
      <c r="G53" s="487">
        <v>1</v>
      </c>
      <c r="H53" s="488">
        <v>40300</v>
      </c>
      <c r="I53" s="252">
        <f t="shared" si="0"/>
        <v>7556.25</v>
      </c>
      <c r="J53" s="219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CL53" s="147"/>
      <c r="CM53" s="147"/>
      <c r="CN53" s="147"/>
      <c r="CO53" s="147"/>
      <c r="CP53" s="147"/>
      <c r="CQ53" s="147"/>
      <c r="CR53" s="147"/>
      <c r="CS53" s="147"/>
      <c r="CT53" s="147"/>
      <c r="CU53" s="147"/>
      <c r="CV53" s="147"/>
      <c r="CW53" s="147"/>
      <c r="CX53" s="147"/>
      <c r="CY53" s="147"/>
      <c r="CZ53" s="147"/>
      <c r="DA53" s="147"/>
      <c r="DB53" s="147"/>
      <c r="DC53" s="147"/>
      <c r="DD53" s="147"/>
      <c r="DE53" s="147"/>
      <c r="DF53" s="147"/>
      <c r="DG53" s="147"/>
      <c r="DH53" s="147"/>
      <c r="DI53" s="147"/>
      <c r="DJ53" s="147"/>
      <c r="DK53" s="147"/>
      <c r="DL53" s="147"/>
      <c r="DM53" s="147"/>
      <c r="DN53" s="147"/>
      <c r="DO53" s="147"/>
      <c r="DP53" s="147"/>
      <c r="DQ53" s="147"/>
      <c r="DR53" s="147"/>
      <c r="DS53" s="147"/>
      <c r="DT53" s="147"/>
      <c r="DU53" s="147"/>
      <c r="DV53" s="147"/>
      <c r="DW53" s="147"/>
      <c r="DX53" s="147"/>
      <c r="DY53" s="147"/>
      <c r="DZ53" s="147"/>
      <c r="EA53" s="147"/>
      <c r="EB53" s="147"/>
      <c r="EC53" s="147"/>
      <c r="ED53" s="147"/>
      <c r="EE53" s="147"/>
      <c r="EF53" s="147"/>
      <c r="EG53" s="147"/>
      <c r="EH53" s="147"/>
      <c r="EI53" s="147"/>
      <c r="EJ53" s="147"/>
      <c r="EK53" s="147"/>
      <c r="EL53" s="147"/>
      <c r="EM53" s="147"/>
      <c r="EN53" s="147"/>
      <c r="EO53" s="147"/>
      <c r="EP53" s="147"/>
      <c r="EQ53" s="147"/>
      <c r="ER53" s="147"/>
      <c r="ES53" s="147"/>
      <c r="ET53" s="147"/>
      <c r="EU53" s="147"/>
      <c r="EV53" s="147"/>
      <c r="EW53" s="147"/>
      <c r="EX53" s="147"/>
      <c r="EY53" s="147"/>
      <c r="EZ53" s="147"/>
      <c r="FA53" s="147"/>
      <c r="FB53" s="147"/>
      <c r="FC53" s="147"/>
      <c r="FD53" s="147"/>
      <c r="FE53" s="147"/>
      <c r="FF53" s="147"/>
      <c r="FG53" s="147"/>
      <c r="FH53" s="147"/>
      <c r="FI53" s="147"/>
      <c r="FJ53" s="147"/>
      <c r="FK53" s="147"/>
      <c r="FL53" s="147"/>
      <c r="FM53" s="147"/>
      <c r="FN53" s="147"/>
      <c r="FO53" s="147"/>
      <c r="FP53" s="147"/>
      <c r="FQ53" s="147"/>
      <c r="FR53" s="147"/>
      <c r="FS53" s="147"/>
      <c r="FT53" s="147"/>
      <c r="FU53" s="147"/>
      <c r="FV53" s="147"/>
      <c r="FW53" s="147"/>
      <c r="FX53" s="147"/>
      <c r="FY53" s="147"/>
      <c r="FZ53" s="147"/>
      <c r="GA53" s="147"/>
      <c r="GB53" s="147"/>
      <c r="GC53" s="147"/>
      <c r="GD53" s="147"/>
      <c r="GE53" s="147"/>
    </row>
    <row r="54" spans="2:187" s="259" customFormat="1" ht="16.5" customHeight="1">
      <c r="B54" s="251">
        <v>48</v>
      </c>
      <c r="C54" s="486" t="s">
        <v>334</v>
      </c>
      <c r="D54" s="486" t="s">
        <v>455</v>
      </c>
      <c r="E54" s="486" t="s">
        <v>225</v>
      </c>
      <c r="F54" s="486" t="s">
        <v>171</v>
      </c>
      <c r="G54" s="487">
        <v>1</v>
      </c>
      <c r="H54" s="488">
        <v>40300</v>
      </c>
      <c r="I54" s="252">
        <f t="shared" si="0"/>
        <v>7556.25</v>
      </c>
      <c r="J54" s="219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147"/>
      <c r="CN54" s="147"/>
      <c r="CO54" s="147"/>
      <c r="CP54" s="147"/>
      <c r="CQ54" s="147"/>
      <c r="CR54" s="147"/>
      <c r="CS54" s="147"/>
      <c r="CT54" s="147"/>
      <c r="CU54" s="147"/>
      <c r="CV54" s="147"/>
      <c r="CW54" s="147"/>
      <c r="CX54" s="147"/>
      <c r="CY54" s="147"/>
      <c r="CZ54" s="147"/>
      <c r="DA54" s="147"/>
      <c r="DB54" s="147"/>
      <c r="DC54" s="147"/>
      <c r="DD54" s="147"/>
      <c r="DE54" s="147"/>
      <c r="DF54" s="147"/>
      <c r="DG54" s="147"/>
      <c r="DH54" s="147"/>
      <c r="DI54" s="147"/>
      <c r="DJ54" s="147"/>
      <c r="DK54" s="147"/>
      <c r="DL54" s="147"/>
      <c r="DM54" s="147"/>
      <c r="DN54" s="147"/>
      <c r="DO54" s="147"/>
      <c r="DP54" s="147"/>
      <c r="DQ54" s="147"/>
      <c r="DR54" s="147"/>
      <c r="DS54" s="147"/>
      <c r="DT54" s="147"/>
      <c r="DU54" s="147"/>
      <c r="DV54" s="147"/>
      <c r="DW54" s="147"/>
      <c r="DX54" s="147"/>
      <c r="DY54" s="147"/>
      <c r="DZ54" s="147"/>
      <c r="EA54" s="147"/>
      <c r="EB54" s="147"/>
      <c r="EC54" s="147"/>
      <c r="ED54" s="147"/>
      <c r="EE54" s="147"/>
      <c r="EF54" s="147"/>
      <c r="EG54" s="147"/>
      <c r="EH54" s="147"/>
      <c r="EI54" s="147"/>
      <c r="EJ54" s="147"/>
      <c r="EK54" s="147"/>
      <c r="EL54" s="147"/>
      <c r="EM54" s="147"/>
      <c r="EN54" s="147"/>
      <c r="EO54" s="147"/>
      <c r="EP54" s="147"/>
      <c r="EQ54" s="147"/>
      <c r="ER54" s="147"/>
      <c r="ES54" s="147"/>
      <c r="ET54" s="147"/>
      <c r="EU54" s="147"/>
      <c r="EV54" s="147"/>
      <c r="EW54" s="147"/>
      <c r="EX54" s="147"/>
      <c r="EY54" s="147"/>
      <c r="EZ54" s="147"/>
      <c r="FA54" s="147"/>
      <c r="FB54" s="147"/>
      <c r="FC54" s="147"/>
      <c r="FD54" s="147"/>
      <c r="FE54" s="147"/>
      <c r="FF54" s="147"/>
      <c r="FG54" s="147"/>
      <c r="FH54" s="147"/>
      <c r="FI54" s="147"/>
      <c r="FJ54" s="147"/>
      <c r="FK54" s="147"/>
      <c r="FL54" s="147"/>
      <c r="FM54" s="147"/>
      <c r="FN54" s="147"/>
      <c r="FO54" s="147"/>
      <c r="FP54" s="147"/>
      <c r="FQ54" s="147"/>
      <c r="FR54" s="147"/>
      <c r="FS54" s="147"/>
      <c r="FT54" s="147"/>
      <c r="FU54" s="147"/>
      <c r="FV54" s="147"/>
      <c r="FW54" s="147"/>
      <c r="FX54" s="147"/>
      <c r="FY54" s="147"/>
      <c r="FZ54" s="147"/>
      <c r="GA54" s="147"/>
      <c r="GB54" s="147"/>
      <c r="GC54" s="147"/>
      <c r="GD54" s="147"/>
      <c r="GE54" s="147"/>
    </row>
    <row r="55" spans="2:187" s="259" customFormat="1" ht="16.5" customHeight="1">
      <c r="B55" s="251">
        <v>49</v>
      </c>
      <c r="C55" s="486" t="s">
        <v>334</v>
      </c>
      <c r="D55" s="486" t="s">
        <v>417</v>
      </c>
      <c r="E55" s="486" t="s">
        <v>139</v>
      </c>
      <c r="F55" s="486" t="s">
        <v>178</v>
      </c>
      <c r="G55" s="487">
        <v>1</v>
      </c>
      <c r="H55" s="488">
        <v>200000</v>
      </c>
      <c r="I55" s="252">
        <f t="shared" si="0"/>
        <v>37500</v>
      </c>
      <c r="J55" s="283"/>
    </row>
    <row r="56" spans="2:187" s="259" customFormat="1" ht="16.5" customHeight="1">
      <c r="B56" s="251">
        <v>50</v>
      </c>
      <c r="C56" s="486" t="s">
        <v>334</v>
      </c>
      <c r="D56" s="486" t="s">
        <v>299</v>
      </c>
      <c r="E56" s="486" t="s">
        <v>232</v>
      </c>
      <c r="F56" s="486" t="s">
        <v>209</v>
      </c>
      <c r="G56" s="487">
        <v>1</v>
      </c>
      <c r="H56" s="488">
        <v>200000</v>
      </c>
      <c r="I56" s="252">
        <f t="shared" si="0"/>
        <v>37500</v>
      </c>
      <c r="J56" s="283"/>
    </row>
    <row r="57" spans="2:187" s="259" customFormat="1" ht="16.5" customHeight="1">
      <c r="B57" s="251">
        <v>51</v>
      </c>
      <c r="C57" s="486" t="s">
        <v>334</v>
      </c>
      <c r="D57" s="486" t="s">
        <v>299</v>
      </c>
      <c r="E57" s="486" t="s">
        <v>232</v>
      </c>
      <c r="F57" s="486" t="s">
        <v>171</v>
      </c>
      <c r="G57" s="487">
        <v>1</v>
      </c>
      <c r="H57" s="488">
        <v>100000</v>
      </c>
      <c r="I57" s="252">
        <f t="shared" si="0"/>
        <v>18750</v>
      </c>
      <c r="J57" s="283"/>
    </row>
    <row r="58" spans="2:187" s="174" customFormat="1" ht="16.5" customHeight="1">
      <c r="B58" s="251">
        <v>52</v>
      </c>
      <c r="C58" s="486" t="s">
        <v>334</v>
      </c>
      <c r="D58" s="486" t="s">
        <v>417</v>
      </c>
      <c r="E58" s="486" t="s">
        <v>139</v>
      </c>
      <c r="F58" s="486" t="s">
        <v>167</v>
      </c>
      <c r="G58" s="487">
        <v>20</v>
      </c>
      <c r="H58" s="488">
        <v>2000000</v>
      </c>
      <c r="I58" s="252">
        <f t="shared" si="0"/>
        <v>375000</v>
      </c>
      <c r="J58" s="337"/>
    </row>
    <row r="59" spans="2:187" s="174" customFormat="1" ht="16.5" customHeight="1">
      <c r="B59" s="251">
        <v>53</v>
      </c>
      <c r="C59" s="486" t="s">
        <v>334</v>
      </c>
      <c r="D59" s="486" t="s">
        <v>417</v>
      </c>
      <c r="E59" s="486" t="s">
        <v>139</v>
      </c>
      <c r="F59" s="486" t="s">
        <v>169</v>
      </c>
      <c r="G59" s="487">
        <v>5</v>
      </c>
      <c r="H59" s="488">
        <v>500000</v>
      </c>
      <c r="I59" s="252">
        <f t="shared" si="0"/>
        <v>93750</v>
      </c>
      <c r="J59" s="337"/>
    </row>
    <row r="60" spans="2:187" s="174" customFormat="1" ht="16.5" customHeight="1">
      <c r="B60" s="251">
        <v>54</v>
      </c>
      <c r="C60" s="486" t="s">
        <v>334</v>
      </c>
      <c r="D60" s="486" t="s">
        <v>456</v>
      </c>
      <c r="E60" s="486" t="s">
        <v>181</v>
      </c>
      <c r="F60" s="486" t="s">
        <v>169</v>
      </c>
      <c r="G60" s="487">
        <v>8</v>
      </c>
      <c r="H60" s="488">
        <v>800000</v>
      </c>
      <c r="I60" s="252">
        <f t="shared" si="0"/>
        <v>150000</v>
      </c>
      <c r="J60" s="337"/>
    </row>
    <row r="61" spans="2:187" s="174" customFormat="1" ht="16.5" customHeight="1">
      <c r="B61" s="251">
        <v>55</v>
      </c>
      <c r="C61" s="486" t="s">
        <v>334</v>
      </c>
      <c r="D61" s="486" t="s">
        <v>305</v>
      </c>
      <c r="E61" s="486" t="s">
        <v>191</v>
      </c>
      <c r="F61" s="486" t="s">
        <v>171</v>
      </c>
      <c r="G61" s="487">
        <v>1</v>
      </c>
      <c r="H61" s="488">
        <v>40300</v>
      </c>
      <c r="I61" s="252">
        <f t="shared" si="0"/>
        <v>7556.25</v>
      </c>
      <c r="J61" s="337"/>
    </row>
    <row r="62" spans="2:187" s="174" customFormat="1" ht="16.5" customHeight="1">
      <c r="B62" s="251">
        <v>56</v>
      </c>
      <c r="C62" s="486" t="s">
        <v>334</v>
      </c>
      <c r="D62" s="486" t="s">
        <v>299</v>
      </c>
      <c r="E62" s="486" t="s">
        <v>232</v>
      </c>
      <c r="F62" s="486" t="s">
        <v>178</v>
      </c>
      <c r="G62" s="487">
        <v>1</v>
      </c>
      <c r="H62" s="488">
        <v>200000</v>
      </c>
      <c r="I62" s="252">
        <f t="shared" si="0"/>
        <v>37500</v>
      </c>
      <c r="J62" s="337"/>
    </row>
    <row r="63" spans="2:187" s="174" customFormat="1" ht="16.5" customHeight="1">
      <c r="B63" s="251">
        <v>57</v>
      </c>
      <c r="C63" s="486" t="s">
        <v>334</v>
      </c>
      <c r="D63" s="486" t="s">
        <v>418</v>
      </c>
      <c r="E63" s="486" t="s">
        <v>180</v>
      </c>
      <c r="F63" s="486" t="s">
        <v>167</v>
      </c>
      <c r="G63" s="487">
        <v>20</v>
      </c>
      <c r="H63" s="488">
        <v>2000000</v>
      </c>
      <c r="I63" s="252">
        <f t="shared" si="0"/>
        <v>375000</v>
      </c>
      <c r="J63" s="337"/>
    </row>
    <row r="64" spans="2:187" s="259" customFormat="1" ht="16.5" customHeight="1">
      <c r="B64" s="251">
        <v>58</v>
      </c>
      <c r="C64" s="486" t="s">
        <v>334</v>
      </c>
      <c r="D64" s="486" t="s">
        <v>298</v>
      </c>
      <c r="E64" s="486" t="s">
        <v>182</v>
      </c>
      <c r="F64" s="486" t="s">
        <v>171</v>
      </c>
      <c r="G64" s="487">
        <v>1</v>
      </c>
      <c r="H64" s="488">
        <v>40300</v>
      </c>
      <c r="I64" s="252">
        <f t="shared" si="0"/>
        <v>7556.25</v>
      </c>
      <c r="J64" s="219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  <c r="CC64" s="147"/>
      <c r="CD64" s="147"/>
      <c r="CE64" s="147"/>
      <c r="CF64" s="147"/>
      <c r="CG64" s="147"/>
      <c r="CH64" s="147"/>
      <c r="CI64" s="147"/>
      <c r="CJ64" s="147"/>
      <c r="CK64" s="147"/>
      <c r="CL64" s="147"/>
      <c r="CM64" s="147"/>
      <c r="CN64" s="147"/>
      <c r="CO64" s="147"/>
      <c r="CP64" s="147"/>
      <c r="CQ64" s="147"/>
      <c r="CR64" s="147"/>
      <c r="CS64" s="147"/>
      <c r="CT64" s="147"/>
      <c r="CU64" s="147"/>
      <c r="CV64" s="147"/>
      <c r="CW64" s="147"/>
      <c r="CX64" s="147"/>
      <c r="CY64" s="147"/>
      <c r="CZ64" s="147"/>
      <c r="DA64" s="147"/>
      <c r="DB64" s="147"/>
      <c r="DC64" s="147"/>
      <c r="DD64" s="147"/>
      <c r="DE64" s="147"/>
      <c r="DF64" s="147"/>
      <c r="DG64" s="147"/>
      <c r="DH64" s="147"/>
      <c r="DI64" s="147"/>
      <c r="DJ64" s="147"/>
      <c r="DK64" s="147"/>
      <c r="DL64" s="147"/>
      <c r="DM64" s="147"/>
      <c r="DN64" s="147"/>
      <c r="DO64" s="147"/>
      <c r="DP64" s="147"/>
      <c r="DQ64" s="147"/>
      <c r="DR64" s="147"/>
      <c r="DS64" s="147"/>
      <c r="DT64" s="147"/>
      <c r="DU64" s="147"/>
      <c r="DV64" s="147"/>
      <c r="DW64" s="147"/>
      <c r="DX64" s="147"/>
      <c r="DY64" s="147"/>
      <c r="DZ64" s="147"/>
      <c r="EA64" s="147"/>
      <c r="EB64" s="147"/>
      <c r="EC64" s="147"/>
      <c r="ED64" s="147"/>
      <c r="EE64" s="147"/>
      <c r="EF64" s="147"/>
      <c r="EG64" s="147"/>
      <c r="EH64" s="147"/>
      <c r="EI64" s="147"/>
      <c r="EJ64" s="147"/>
      <c r="EK64" s="147"/>
      <c r="EL64" s="147"/>
      <c r="EM64" s="147"/>
      <c r="EN64" s="147"/>
      <c r="EO64" s="147"/>
      <c r="EP64" s="147"/>
      <c r="EQ64" s="147"/>
      <c r="ER64" s="147"/>
      <c r="ES64" s="147"/>
      <c r="ET64" s="147"/>
      <c r="EU64" s="147"/>
      <c r="EV64" s="147"/>
      <c r="EW64" s="147"/>
      <c r="EX64" s="147"/>
      <c r="EY64" s="147"/>
      <c r="EZ64" s="147"/>
      <c r="FA64" s="147"/>
      <c r="FB64" s="147"/>
      <c r="FC64" s="147"/>
      <c r="FD64" s="147"/>
      <c r="FE64" s="147"/>
      <c r="FF64" s="147"/>
      <c r="FG64" s="147"/>
      <c r="FH64" s="147"/>
      <c r="FI64" s="147"/>
      <c r="FJ64" s="147"/>
      <c r="FK64" s="147"/>
      <c r="FL64" s="147"/>
      <c r="FM64" s="147"/>
      <c r="FN64" s="147"/>
      <c r="FO64" s="147"/>
      <c r="FP64" s="147"/>
      <c r="FQ64" s="147"/>
      <c r="FR64" s="147"/>
      <c r="FS64" s="147"/>
      <c r="FT64" s="147"/>
      <c r="FU64" s="147"/>
      <c r="FV64" s="147"/>
      <c r="FW64" s="147"/>
      <c r="FX64" s="147"/>
      <c r="FY64" s="147"/>
      <c r="FZ64" s="147"/>
      <c r="GA64" s="147"/>
      <c r="GB64" s="147"/>
      <c r="GC64" s="147"/>
      <c r="GD64" s="147"/>
      <c r="GE64" s="147"/>
    </row>
    <row r="65" spans="2:187" s="259" customFormat="1" ht="16.5" customHeight="1">
      <c r="B65" s="251">
        <v>59</v>
      </c>
      <c r="C65" s="486" t="s">
        <v>334</v>
      </c>
      <c r="D65" s="486" t="s">
        <v>418</v>
      </c>
      <c r="E65" s="486" t="s">
        <v>180</v>
      </c>
      <c r="F65" s="486" t="s">
        <v>169</v>
      </c>
      <c r="G65" s="487">
        <v>14</v>
      </c>
      <c r="H65" s="488">
        <v>1400000</v>
      </c>
      <c r="I65" s="252">
        <f t="shared" si="0"/>
        <v>262500</v>
      </c>
      <c r="J65" s="219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  <c r="CC65" s="147"/>
      <c r="CD65" s="147"/>
      <c r="CE65" s="147"/>
      <c r="CF65" s="147"/>
      <c r="CG65" s="147"/>
      <c r="CH65" s="147"/>
      <c r="CI65" s="147"/>
      <c r="CJ65" s="147"/>
      <c r="CK65" s="147"/>
      <c r="CL65" s="147"/>
      <c r="CM65" s="147"/>
      <c r="CN65" s="147"/>
      <c r="CO65" s="147"/>
      <c r="CP65" s="147"/>
      <c r="CQ65" s="147"/>
      <c r="CR65" s="147"/>
      <c r="CS65" s="147"/>
      <c r="CT65" s="147"/>
      <c r="CU65" s="147"/>
      <c r="CV65" s="147"/>
      <c r="CW65" s="147"/>
      <c r="CX65" s="147"/>
      <c r="CY65" s="147"/>
      <c r="CZ65" s="147"/>
      <c r="DA65" s="147"/>
      <c r="DB65" s="147"/>
      <c r="DC65" s="147"/>
      <c r="DD65" s="147"/>
      <c r="DE65" s="147"/>
      <c r="DF65" s="147"/>
      <c r="DG65" s="147"/>
      <c r="DH65" s="147"/>
      <c r="DI65" s="147"/>
      <c r="DJ65" s="147"/>
      <c r="DK65" s="147"/>
      <c r="DL65" s="147"/>
      <c r="DM65" s="147"/>
      <c r="DN65" s="147"/>
      <c r="DO65" s="147"/>
      <c r="DP65" s="147"/>
      <c r="DQ65" s="147"/>
      <c r="DR65" s="147"/>
      <c r="DS65" s="147"/>
      <c r="DT65" s="147"/>
      <c r="DU65" s="147"/>
      <c r="DV65" s="147"/>
      <c r="DW65" s="147"/>
      <c r="DX65" s="147"/>
      <c r="DY65" s="147"/>
      <c r="DZ65" s="147"/>
      <c r="EA65" s="147"/>
      <c r="EB65" s="147"/>
      <c r="EC65" s="147"/>
      <c r="ED65" s="147"/>
      <c r="EE65" s="147"/>
      <c r="EF65" s="147"/>
      <c r="EG65" s="147"/>
      <c r="EH65" s="147"/>
      <c r="EI65" s="147"/>
      <c r="EJ65" s="147"/>
      <c r="EK65" s="147"/>
      <c r="EL65" s="147"/>
      <c r="EM65" s="147"/>
      <c r="EN65" s="147"/>
      <c r="EO65" s="147"/>
      <c r="EP65" s="147"/>
      <c r="EQ65" s="147"/>
      <c r="ER65" s="147"/>
      <c r="ES65" s="147"/>
      <c r="ET65" s="147"/>
      <c r="EU65" s="147"/>
      <c r="EV65" s="147"/>
      <c r="EW65" s="147"/>
      <c r="EX65" s="147"/>
      <c r="EY65" s="147"/>
      <c r="EZ65" s="147"/>
      <c r="FA65" s="147"/>
      <c r="FB65" s="147"/>
      <c r="FC65" s="147"/>
      <c r="FD65" s="147"/>
      <c r="FE65" s="147"/>
      <c r="FF65" s="147"/>
      <c r="FG65" s="147"/>
      <c r="FH65" s="147"/>
      <c r="FI65" s="147"/>
      <c r="FJ65" s="147"/>
      <c r="FK65" s="147"/>
      <c r="FL65" s="147"/>
      <c r="FM65" s="147"/>
      <c r="FN65" s="147"/>
      <c r="FO65" s="147"/>
      <c r="FP65" s="147"/>
      <c r="FQ65" s="147"/>
      <c r="FR65" s="147"/>
      <c r="FS65" s="147"/>
      <c r="FT65" s="147"/>
      <c r="FU65" s="147"/>
      <c r="FV65" s="147"/>
      <c r="FW65" s="147"/>
      <c r="FX65" s="147"/>
      <c r="FY65" s="147"/>
      <c r="FZ65" s="147"/>
      <c r="GA65" s="147"/>
      <c r="GB65" s="147"/>
      <c r="GC65" s="147"/>
      <c r="GD65" s="147"/>
      <c r="GE65" s="147"/>
    </row>
    <row r="66" spans="2:187" s="259" customFormat="1" ht="16.5" customHeight="1">
      <c r="B66" s="251">
        <v>60</v>
      </c>
      <c r="C66" s="486" t="s">
        <v>334</v>
      </c>
      <c r="D66" s="486" t="s">
        <v>306</v>
      </c>
      <c r="E66" s="486" t="s">
        <v>181</v>
      </c>
      <c r="F66" s="486" t="s">
        <v>171</v>
      </c>
      <c r="G66" s="487">
        <v>1</v>
      </c>
      <c r="H66" s="488">
        <v>100000</v>
      </c>
      <c r="I66" s="252">
        <f t="shared" si="0"/>
        <v>18750</v>
      </c>
      <c r="J66" s="219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147"/>
      <c r="CV66" s="147"/>
      <c r="CW66" s="147"/>
      <c r="CX66" s="147"/>
      <c r="CY66" s="147"/>
      <c r="CZ66" s="147"/>
      <c r="DA66" s="147"/>
      <c r="DB66" s="147"/>
      <c r="DC66" s="147"/>
      <c r="DD66" s="147"/>
      <c r="DE66" s="147"/>
      <c r="DF66" s="147"/>
      <c r="DG66" s="147"/>
      <c r="DH66" s="147"/>
      <c r="DI66" s="147"/>
      <c r="DJ66" s="147"/>
      <c r="DK66" s="147"/>
      <c r="DL66" s="147"/>
      <c r="DM66" s="147"/>
      <c r="DN66" s="147"/>
      <c r="DO66" s="147"/>
      <c r="DP66" s="147"/>
      <c r="DQ66" s="147"/>
      <c r="DR66" s="147"/>
      <c r="DS66" s="147"/>
      <c r="DT66" s="147"/>
      <c r="DU66" s="147"/>
      <c r="DV66" s="147"/>
      <c r="DW66" s="147"/>
      <c r="DX66" s="147"/>
      <c r="DY66" s="147"/>
      <c r="DZ66" s="147"/>
      <c r="EA66" s="147"/>
      <c r="EB66" s="147"/>
      <c r="EC66" s="147"/>
      <c r="ED66" s="147"/>
      <c r="EE66" s="147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7"/>
      <c r="ER66" s="147"/>
      <c r="ES66" s="147"/>
      <c r="ET66" s="147"/>
      <c r="EU66" s="147"/>
      <c r="EV66" s="147"/>
      <c r="EW66" s="147"/>
      <c r="EX66" s="147"/>
      <c r="EY66" s="147"/>
      <c r="EZ66" s="147"/>
      <c r="FA66" s="147"/>
      <c r="FB66" s="147"/>
      <c r="FC66" s="147"/>
      <c r="FD66" s="147"/>
      <c r="FE66" s="147"/>
      <c r="FF66" s="147"/>
      <c r="FG66" s="147"/>
      <c r="FH66" s="147"/>
      <c r="FI66" s="147"/>
      <c r="FJ66" s="147"/>
      <c r="FK66" s="147"/>
      <c r="FL66" s="147"/>
      <c r="FM66" s="147"/>
      <c r="FN66" s="147"/>
      <c r="FO66" s="147"/>
      <c r="FP66" s="147"/>
      <c r="FQ66" s="147"/>
      <c r="FR66" s="147"/>
      <c r="FS66" s="147"/>
      <c r="FT66" s="147"/>
      <c r="FU66" s="147"/>
      <c r="FV66" s="147"/>
      <c r="FW66" s="147"/>
      <c r="FX66" s="147"/>
      <c r="FY66" s="147"/>
      <c r="FZ66" s="147"/>
      <c r="GA66" s="147"/>
      <c r="GB66" s="147"/>
      <c r="GC66" s="147"/>
      <c r="GD66" s="147"/>
      <c r="GE66" s="147"/>
    </row>
    <row r="67" spans="2:187" s="147" customFormat="1" ht="16.5" customHeight="1">
      <c r="B67" s="251">
        <v>61</v>
      </c>
      <c r="C67" s="486" t="s">
        <v>334</v>
      </c>
      <c r="D67" s="486" t="s">
        <v>457</v>
      </c>
      <c r="E67" s="486" t="s">
        <v>183</v>
      </c>
      <c r="F67" s="486" t="s">
        <v>167</v>
      </c>
      <c r="G67" s="487">
        <v>9</v>
      </c>
      <c r="H67" s="488">
        <v>900000</v>
      </c>
      <c r="I67" s="252">
        <f t="shared" ref="I67:I121" si="1">H67*25%*75%</f>
        <v>168750</v>
      </c>
      <c r="J67" s="219"/>
    </row>
    <row r="68" spans="2:187" s="259" customFormat="1" ht="16.5" customHeight="1">
      <c r="B68" s="251">
        <v>62</v>
      </c>
      <c r="C68" s="486" t="s">
        <v>334</v>
      </c>
      <c r="D68" s="486" t="s">
        <v>318</v>
      </c>
      <c r="E68" s="486" t="s">
        <v>227</v>
      </c>
      <c r="F68" s="486" t="s">
        <v>169</v>
      </c>
      <c r="G68" s="487">
        <v>1</v>
      </c>
      <c r="H68" s="488">
        <v>40300</v>
      </c>
      <c r="I68" s="252">
        <f t="shared" si="1"/>
        <v>7556.25</v>
      </c>
      <c r="J68" s="219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  <c r="CC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147"/>
      <c r="CO68" s="147"/>
      <c r="CP68" s="147"/>
      <c r="CQ68" s="147"/>
      <c r="CR68" s="147"/>
      <c r="CS68" s="147"/>
      <c r="CT68" s="147"/>
      <c r="CU68" s="147"/>
      <c r="CV68" s="147"/>
      <c r="CW68" s="147"/>
      <c r="CX68" s="147"/>
      <c r="CY68" s="147"/>
      <c r="CZ68" s="147"/>
      <c r="DA68" s="147"/>
      <c r="DB68" s="147"/>
      <c r="DC68" s="147"/>
      <c r="DD68" s="147"/>
      <c r="DE68" s="147"/>
      <c r="DF68" s="147"/>
      <c r="DG68" s="147"/>
      <c r="DH68" s="147"/>
      <c r="DI68" s="147"/>
      <c r="DJ68" s="147"/>
      <c r="DK68" s="147"/>
      <c r="DL68" s="147"/>
      <c r="DM68" s="147"/>
      <c r="DN68" s="147"/>
      <c r="DO68" s="147"/>
      <c r="DP68" s="147"/>
      <c r="DQ68" s="147"/>
      <c r="DR68" s="147"/>
      <c r="DS68" s="147"/>
      <c r="DT68" s="147"/>
      <c r="DU68" s="147"/>
      <c r="DV68" s="147"/>
      <c r="DW68" s="147"/>
      <c r="DX68" s="147"/>
      <c r="DY68" s="147"/>
      <c r="DZ68" s="147"/>
      <c r="EA68" s="147"/>
      <c r="EB68" s="147"/>
      <c r="EC68" s="147"/>
      <c r="ED68" s="147"/>
      <c r="EE68" s="147"/>
      <c r="EF68" s="147"/>
      <c r="EG68" s="147"/>
      <c r="EH68" s="147"/>
      <c r="EI68" s="147"/>
      <c r="EJ68" s="147"/>
      <c r="EK68" s="147"/>
      <c r="EL68" s="147"/>
      <c r="EM68" s="147"/>
      <c r="EN68" s="147"/>
      <c r="EO68" s="147"/>
      <c r="EP68" s="147"/>
      <c r="EQ68" s="147"/>
      <c r="ER68" s="147"/>
      <c r="ES68" s="147"/>
      <c r="ET68" s="147"/>
      <c r="EU68" s="147"/>
      <c r="EV68" s="147"/>
      <c r="EW68" s="147"/>
      <c r="EX68" s="147"/>
      <c r="EY68" s="147"/>
      <c r="EZ68" s="147"/>
      <c r="FA68" s="147"/>
      <c r="FB68" s="147"/>
      <c r="FC68" s="147"/>
      <c r="FD68" s="147"/>
      <c r="FE68" s="147"/>
      <c r="FF68" s="147"/>
      <c r="FG68" s="147"/>
      <c r="FH68" s="147"/>
      <c r="FI68" s="147"/>
      <c r="FJ68" s="147"/>
      <c r="FK68" s="147"/>
      <c r="FL68" s="147"/>
      <c r="FM68" s="147"/>
      <c r="FN68" s="147"/>
      <c r="FO68" s="147"/>
      <c r="FP68" s="147"/>
      <c r="FQ68" s="147"/>
      <c r="FR68" s="147"/>
      <c r="FS68" s="147"/>
      <c r="FT68" s="147"/>
      <c r="FU68" s="147"/>
      <c r="FV68" s="147"/>
      <c r="FW68" s="147"/>
      <c r="FX68" s="147"/>
      <c r="FY68" s="147"/>
      <c r="FZ68" s="147"/>
      <c r="GA68" s="147"/>
      <c r="GB68" s="147"/>
      <c r="GC68" s="147"/>
      <c r="GD68" s="147"/>
      <c r="GE68" s="147"/>
    </row>
    <row r="69" spans="2:187" s="259" customFormat="1" ht="16.5" customHeight="1">
      <c r="B69" s="251">
        <v>63</v>
      </c>
      <c r="C69" s="486" t="s">
        <v>334</v>
      </c>
      <c r="D69" s="486" t="s">
        <v>458</v>
      </c>
      <c r="E69" s="486" t="s">
        <v>203</v>
      </c>
      <c r="F69" s="486" t="s">
        <v>459</v>
      </c>
      <c r="G69" s="487">
        <v>1</v>
      </c>
      <c r="H69" s="488">
        <v>400000</v>
      </c>
      <c r="I69" s="252">
        <f t="shared" si="1"/>
        <v>75000</v>
      </c>
      <c r="J69" s="219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  <c r="CC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147"/>
      <c r="CO69" s="147"/>
      <c r="CP69" s="147"/>
      <c r="CQ69" s="147"/>
      <c r="CR69" s="147"/>
      <c r="CS69" s="147"/>
      <c r="CT69" s="147"/>
      <c r="CU69" s="147"/>
      <c r="CV69" s="147"/>
      <c r="CW69" s="147"/>
      <c r="CX69" s="147"/>
      <c r="CY69" s="147"/>
      <c r="CZ69" s="147"/>
      <c r="DA69" s="147"/>
      <c r="DB69" s="147"/>
      <c r="DC69" s="147"/>
      <c r="DD69" s="147"/>
      <c r="DE69" s="147"/>
      <c r="DF69" s="147"/>
      <c r="DG69" s="147"/>
      <c r="DH69" s="147"/>
      <c r="DI69" s="147"/>
      <c r="DJ69" s="147"/>
      <c r="DK69" s="147"/>
      <c r="DL69" s="147"/>
      <c r="DM69" s="147"/>
      <c r="DN69" s="147"/>
      <c r="DO69" s="147"/>
      <c r="DP69" s="147"/>
      <c r="DQ69" s="147"/>
      <c r="DR69" s="147"/>
      <c r="DS69" s="147"/>
      <c r="DT69" s="147"/>
      <c r="DU69" s="147"/>
      <c r="DV69" s="147"/>
      <c r="DW69" s="147"/>
      <c r="DX69" s="147"/>
      <c r="DY69" s="147"/>
      <c r="DZ69" s="147"/>
      <c r="EA69" s="147"/>
      <c r="EB69" s="147"/>
      <c r="EC69" s="147"/>
      <c r="ED69" s="147"/>
      <c r="EE69" s="147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7"/>
      <c r="ER69" s="147"/>
      <c r="ES69" s="147"/>
      <c r="ET69" s="147"/>
      <c r="EU69" s="147"/>
      <c r="EV69" s="147"/>
      <c r="EW69" s="147"/>
      <c r="EX69" s="147"/>
      <c r="EY69" s="147"/>
      <c r="EZ69" s="147"/>
      <c r="FA69" s="147"/>
      <c r="FB69" s="147"/>
      <c r="FC69" s="147"/>
      <c r="FD69" s="147"/>
      <c r="FE69" s="147"/>
      <c r="FF69" s="147"/>
      <c r="FG69" s="147"/>
      <c r="FH69" s="147"/>
      <c r="FI69" s="147"/>
      <c r="FJ69" s="147"/>
      <c r="FK69" s="147"/>
      <c r="FL69" s="147"/>
      <c r="FM69" s="147"/>
      <c r="FN69" s="147"/>
      <c r="FO69" s="147"/>
      <c r="FP69" s="147"/>
      <c r="FQ69" s="147"/>
      <c r="FR69" s="147"/>
      <c r="FS69" s="147"/>
      <c r="FT69" s="147"/>
      <c r="FU69" s="147"/>
      <c r="FV69" s="147"/>
      <c r="FW69" s="147"/>
      <c r="FX69" s="147"/>
      <c r="FY69" s="147"/>
      <c r="FZ69" s="147"/>
      <c r="GA69" s="147"/>
      <c r="GB69" s="147"/>
      <c r="GC69" s="147"/>
      <c r="GD69" s="147"/>
      <c r="GE69" s="147"/>
    </row>
    <row r="70" spans="2:187" s="259" customFormat="1" ht="16.5" customHeight="1">
      <c r="B70" s="251">
        <v>64</v>
      </c>
      <c r="C70" s="486" t="s">
        <v>334</v>
      </c>
      <c r="D70" s="486" t="s">
        <v>275</v>
      </c>
      <c r="E70" s="486" t="s">
        <v>460</v>
      </c>
      <c r="F70" s="486" t="s">
        <v>175</v>
      </c>
      <c r="G70" s="487">
        <v>4</v>
      </c>
      <c r="H70" s="488">
        <v>400000</v>
      </c>
      <c r="I70" s="252">
        <f t="shared" si="1"/>
        <v>75000</v>
      </c>
      <c r="J70" s="283"/>
    </row>
    <row r="71" spans="2:187" s="259" customFormat="1" ht="16.5" customHeight="1">
      <c r="B71" s="251">
        <v>65</v>
      </c>
      <c r="C71" s="486" t="s">
        <v>334</v>
      </c>
      <c r="D71" s="486" t="s">
        <v>456</v>
      </c>
      <c r="E71" s="486" t="s">
        <v>181</v>
      </c>
      <c r="F71" s="486" t="s">
        <v>167</v>
      </c>
      <c r="G71" s="487">
        <v>15</v>
      </c>
      <c r="H71" s="488">
        <v>1500000</v>
      </c>
      <c r="I71" s="252">
        <f t="shared" si="1"/>
        <v>281250</v>
      </c>
      <c r="J71" s="219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  <c r="CC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147"/>
      <c r="CO71" s="147"/>
      <c r="CP71" s="147"/>
      <c r="CQ71" s="147"/>
      <c r="CR71" s="147"/>
      <c r="CS71" s="147"/>
      <c r="CT71" s="147"/>
      <c r="CU71" s="147"/>
      <c r="CV71" s="147"/>
      <c r="CW71" s="147"/>
      <c r="CX71" s="147"/>
      <c r="CY71" s="147"/>
      <c r="CZ71" s="147"/>
      <c r="DA71" s="147"/>
      <c r="DB71" s="147"/>
      <c r="DC71" s="147"/>
      <c r="DD71" s="147"/>
      <c r="DE71" s="147"/>
      <c r="DF71" s="147"/>
      <c r="DG71" s="147"/>
      <c r="DH71" s="147"/>
      <c r="DI71" s="147"/>
      <c r="DJ71" s="147"/>
      <c r="DK71" s="147"/>
      <c r="DL71" s="147"/>
      <c r="DM71" s="147"/>
      <c r="DN71" s="147"/>
      <c r="DO71" s="147"/>
      <c r="DP71" s="147"/>
      <c r="DQ71" s="147"/>
      <c r="DR71" s="147"/>
      <c r="DS71" s="147"/>
      <c r="DT71" s="147"/>
      <c r="DU71" s="147"/>
      <c r="DV71" s="147"/>
      <c r="DW71" s="147"/>
      <c r="DX71" s="147"/>
      <c r="DY71" s="147"/>
      <c r="DZ71" s="147"/>
      <c r="EA71" s="147"/>
      <c r="EB71" s="147"/>
      <c r="EC71" s="147"/>
      <c r="ED71" s="147"/>
      <c r="EE71" s="147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7"/>
      <c r="ER71" s="147"/>
      <c r="ES71" s="147"/>
      <c r="ET71" s="147"/>
      <c r="EU71" s="147"/>
      <c r="EV71" s="147"/>
      <c r="EW71" s="147"/>
      <c r="EX71" s="147"/>
      <c r="EY71" s="147"/>
      <c r="EZ71" s="147"/>
      <c r="FA71" s="147"/>
      <c r="FB71" s="147"/>
      <c r="FC71" s="147"/>
      <c r="FD71" s="147"/>
      <c r="FE71" s="147"/>
      <c r="FF71" s="147"/>
      <c r="FG71" s="147"/>
      <c r="FH71" s="147"/>
      <c r="FI71" s="147"/>
      <c r="FJ71" s="147"/>
      <c r="FK71" s="147"/>
      <c r="FL71" s="147"/>
      <c r="FM71" s="147"/>
      <c r="FN71" s="147"/>
      <c r="FO71" s="147"/>
      <c r="FP71" s="147"/>
      <c r="FQ71" s="147"/>
      <c r="FR71" s="147"/>
      <c r="FS71" s="147"/>
      <c r="FT71" s="147"/>
      <c r="FU71" s="147"/>
      <c r="FV71" s="147"/>
      <c r="FW71" s="147"/>
      <c r="FX71" s="147"/>
      <c r="FY71" s="147"/>
      <c r="FZ71" s="147"/>
      <c r="GA71" s="147"/>
      <c r="GB71" s="147"/>
      <c r="GC71" s="147"/>
      <c r="GD71" s="147"/>
      <c r="GE71" s="147"/>
    </row>
    <row r="72" spans="2:187" s="174" customFormat="1" ht="16.5" customHeight="1">
      <c r="B72" s="251">
        <v>66</v>
      </c>
      <c r="C72" s="486" t="s">
        <v>334</v>
      </c>
      <c r="D72" s="486" t="s">
        <v>457</v>
      </c>
      <c r="E72" s="486" t="s">
        <v>183</v>
      </c>
      <c r="F72" s="486" t="s">
        <v>461</v>
      </c>
      <c r="G72" s="487">
        <v>6</v>
      </c>
      <c r="H72" s="488">
        <v>900000</v>
      </c>
      <c r="I72" s="252">
        <f t="shared" si="1"/>
        <v>168750</v>
      </c>
      <c r="J72" s="337"/>
    </row>
    <row r="73" spans="2:187" s="174" customFormat="1" ht="16.5" customHeight="1">
      <c r="B73" s="251">
        <v>67</v>
      </c>
      <c r="C73" s="486" t="s">
        <v>334</v>
      </c>
      <c r="D73" s="486" t="s">
        <v>275</v>
      </c>
      <c r="E73" s="486" t="s">
        <v>460</v>
      </c>
      <c r="F73" s="486" t="s">
        <v>167</v>
      </c>
      <c r="G73" s="487">
        <v>4</v>
      </c>
      <c r="H73" s="488">
        <v>400000</v>
      </c>
      <c r="I73" s="252">
        <f t="shared" si="1"/>
        <v>75000</v>
      </c>
      <c r="J73" s="337"/>
    </row>
    <row r="74" spans="2:187" s="174" customFormat="1" ht="16.5" customHeight="1">
      <c r="B74" s="251">
        <v>68</v>
      </c>
      <c r="C74" s="486" t="s">
        <v>334</v>
      </c>
      <c r="D74" s="486" t="s">
        <v>462</v>
      </c>
      <c r="E74" s="486" t="s">
        <v>227</v>
      </c>
      <c r="F74" s="486" t="s">
        <v>233</v>
      </c>
      <c r="G74" s="487">
        <v>1</v>
      </c>
      <c r="H74" s="488">
        <v>400000</v>
      </c>
      <c r="I74" s="252">
        <f t="shared" si="1"/>
        <v>75000</v>
      </c>
      <c r="J74" s="337"/>
    </row>
    <row r="75" spans="2:187" s="174" customFormat="1" ht="16.5" customHeight="1">
      <c r="B75" s="251">
        <v>69</v>
      </c>
      <c r="C75" s="486" t="s">
        <v>463</v>
      </c>
      <c r="D75" s="486" t="s">
        <v>464</v>
      </c>
      <c r="E75" s="486" t="s">
        <v>194</v>
      </c>
      <c r="F75" s="486" t="s">
        <v>175</v>
      </c>
      <c r="G75" s="487">
        <v>2</v>
      </c>
      <c r="H75" s="488">
        <v>200000</v>
      </c>
      <c r="I75" s="252">
        <f t="shared" si="1"/>
        <v>37500</v>
      </c>
      <c r="J75" s="337"/>
    </row>
    <row r="76" spans="2:187" s="174" customFormat="1" ht="16.5" customHeight="1">
      <c r="B76" s="251">
        <v>70</v>
      </c>
      <c r="C76" s="486" t="s">
        <v>463</v>
      </c>
      <c r="D76" s="486" t="s">
        <v>465</v>
      </c>
      <c r="E76" s="486" t="s">
        <v>211</v>
      </c>
      <c r="F76" s="486" t="s">
        <v>236</v>
      </c>
      <c r="G76" s="487">
        <v>1</v>
      </c>
      <c r="H76" s="488">
        <v>342000</v>
      </c>
      <c r="I76" s="252">
        <f t="shared" si="1"/>
        <v>64125</v>
      </c>
      <c r="J76" s="337"/>
    </row>
    <row r="77" spans="2:187" s="174" customFormat="1" ht="16.5" customHeight="1">
      <c r="B77" s="251">
        <v>71</v>
      </c>
      <c r="C77" s="486" t="s">
        <v>463</v>
      </c>
      <c r="D77" s="486" t="s">
        <v>464</v>
      </c>
      <c r="E77" s="486" t="s">
        <v>194</v>
      </c>
      <c r="F77" s="486" t="s">
        <v>178</v>
      </c>
      <c r="G77" s="487">
        <v>1</v>
      </c>
      <c r="H77" s="488">
        <v>200000</v>
      </c>
      <c r="I77" s="252">
        <f t="shared" si="1"/>
        <v>37500</v>
      </c>
      <c r="J77" s="337"/>
    </row>
    <row r="78" spans="2:187" s="174" customFormat="1" ht="16.5" customHeight="1">
      <c r="B78" s="251">
        <v>72</v>
      </c>
      <c r="C78" s="486" t="s">
        <v>466</v>
      </c>
      <c r="D78" s="486" t="s">
        <v>467</v>
      </c>
      <c r="E78" s="486" t="s">
        <v>173</v>
      </c>
      <c r="F78" s="486" t="s">
        <v>216</v>
      </c>
      <c r="G78" s="487">
        <v>1</v>
      </c>
      <c r="H78" s="488">
        <v>372700</v>
      </c>
      <c r="I78" s="252">
        <f t="shared" si="1"/>
        <v>69881.25</v>
      </c>
      <c r="J78" s="337"/>
    </row>
    <row r="79" spans="2:187" s="174" customFormat="1" ht="16.5" customHeight="1">
      <c r="B79" s="251">
        <v>73</v>
      </c>
      <c r="C79" s="486" t="s">
        <v>340</v>
      </c>
      <c r="D79" s="486" t="s">
        <v>319</v>
      </c>
      <c r="E79" s="486" t="s">
        <v>193</v>
      </c>
      <c r="F79" s="486" t="s">
        <v>171</v>
      </c>
      <c r="G79" s="487">
        <v>1</v>
      </c>
      <c r="H79" s="488">
        <v>40300</v>
      </c>
      <c r="I79" s="252">
        <f t="shared" si="1"/>
        <v>7556.25</v>
      </c>
      <c r="J79" s="337"/>
    </row>
    <row r="80" spans="2:187" s="174" customFormat="1" ht="16.5" customHeight="1">
      <c r="B80" s="251">
        <v>74</v>
      </c>
      <c r="C80" s="489" t="s">
        <v>340</v>
      </c>
      <c r="D80" s="489" t="s">
        <v>468</v>
      </c>
      <c r="E80" s="489" t="s">
        <v>199</v>
      </c>
      <c r="F80" s="489" t="s">
        <v>167</v>
      </c>
      <c r="G80" s="490">
        <v>2</v>
      </c>
      <c r="H80" s="490">
        <v>200000</v>
      </c>
      <c r="I80" s="252">
        <f t="shared" si="1"/>
        <v>37500</v>
      </c>
      <c r="J80" s="337"/>
    </row>
    <row r="81" spans="2:10" s="174" customFormat="1" ht="16.5" customHeight="1">
      <c r="B81" s="251">
        <v>75</v>
      </c>
      <c r="C81" s="489" t="s">
        <v>340</v>
      </c>
      <c r="D81" s="489" t="s">
        <v>469</v>
      </c>
      <c r="E81" s="489" t="s">
        <v>142</v>
      </c>
      <c r="F81" s="489" t="s">
        <v>167</v>
      </c>
      <c r="G81" s="490">
        <v>4</v>
      </c>
      <c r="H81" s="490">
        <v>400000</v>
      </c>
      <c r="I81" s="252">
        <f t="shared" si="1"/>
        <v>75000</v>
      </c>
      <c r="J81" s="337"/>
    </row>
    <row r="82" spans="2:10" s="174" customFormat="1" ht="16.5" customHeight="1">
      <c r="B82" s="251">
        <v>76</v>
      </c>
      <c r="C82" s="489" t="s">
        <v>340</v>
      </c>
      <c r="D82" s="489" t="s">
        <v>470</v>
      </c>
      <c r="E82" s="489" t="s">
        <v>138</v>
      </c>
      <c r="F82" s="489" t="s">
        <v>167</v>
      </c>
      <c r="G82" s="490">
        <v>3</v>
      </c>
      <c r="H82" s="490">
        <v>300000</v>
      </c>
      <c r="I82" s="252">
        <f t="shared" si="1"/>
        <v>56250</v>
      </c>
      <c r="J82" s="337"/>
    </row>
    <row r="83" spans="2:10" s="174" customFormat="1" ht="16.5" customHeight="1">
      <c r="B83" s="251">
        <v>77</v>
      </c>
      <c r="C83" s="489" t="s">
        <v>340</v>
      </c>
      <c r="D83" s="489" t="s">
        <v>471</v>
      </c>
      <c r="E83" s="489" t="s">
        <v>239</v>
      </c>
      <c r="F83" s="489" t="s">
        <v>167</v>
      </c>
      <c r="G83" s="490">
        <v>1</v>
      </c>
      <c r="H83" s="490">
        <v>100000</v>
      </c>
      <c r="I83" s="252">
        <f t="shared" si="1"/>
        <v>18750</v>
      </c>
      <c r="J83" s="337"/>
    </row>
    <row r="84" spans="2:10" s="174" customFormat="1" ht="16.5" customHeight="1">
      <c r="B84" s="251">
        <v>78</v>
      </c>
      <c r="C84" s="489" t="s">
        <v>340</v>
      </c>
      <c r="D84" s="489" t="s">
        <v>472</v>
      </c>
      <c r="E84" s="489" t="s">
        <v>241</v>
      </c>
      <c r="F84" s="489" t="s">
        <v>175</v>
      </c>
      <c r="G84" s="490">
        <v>4</v>
      </c>
      <c r="H84" s="490">
        <v>400000</v>
      </c>
      <c r="I84" s="252">
        <f t="shared" si="1"/>
        <v>75000</v>
      </c>
      <c r="J84" s="337"/>
    </row>
    <row r="85" spans="2:10" s="174" customFormat="1" ht="16.5" customHeight="1">
      <c r="B85" s="251">
        <v>79</v>
      </c>
      <c r="C85" s="489" t="s">
        <v>340</v>
      </c>
      <c r="D85" s="489" t="s">
        <v>282</v>
      </c>
      <c r="E85" s="489" t="s">
        <v>140</v>
      </c>
      <c r="F85" s="489" t="s">
        <v>201</v>
      </c>
      <c r="G85" s="490">
        <v>1</v>
      </c>
      <c r="H85" s="490">
        <v>100000</v>
      </c>
      <c r="I85" s="252">
        <f t="shared" si="1"/>
        <v>18750</v>
      </c>
      <c r="J85" s="337"/>
    </row>
    <row r="86" spans="2:10" s="174" customFormat="1" ht="16.5" customHeight="1">
      <c r="B86" s="251">
        <v>80</v>
      </c>
      <c r="C86" s="489" t="s">
        <v>340</v>
      </c>
      <c r="D86" s="489" t="s">
        <v>469</v>
      </c>
      <c r="E86" s="489" t="s">
        <v>142</v>
      </c>
      <c r="F86" s="489" t="s">
        <v>175</v>
      </c>
      <c r="G86" s="490">
        <v>3</v>
      </c>
      <c r="H86" s="490">
        <v>300000</v>
      </c>
      <c r="I86" s="252">
        <f t="shared" si="1"/>
        <v>56250</v>
      </c>
      <c r="J86" s="337"/>
    </row>
    <row r="87" spans="2:10" s="174" customFormat="1" ht="16.5" customHeight="1">
      <c r="B87" s="251">
        <v>81</v>
      </c>
      <c r="C87" s="489" t="s">
        <v>340</v>
      </c>
      <c r="D87" s="489" t="s">
        <v>470</v>
      </c>
      <c r="E87" s="489" t="s">
        <v>138</v>
      </c>
      <c r="F87" s="489" t="s">
        <v>175</v>
      </c>
      <c r="G87" s="490">
        <v>4</v>
      </c>
      <c r="H87" s="490">
        <v>400000</v>
      </c>
      <c r="I87" s="252">
        <f t="shared" si="1"/>
        <v>75000</v>
      </c>
      <c r="J87" s="337"/>
    </row>
    <row r="88" spans="2:10" s="174" customFormat="1" ht="16.5" customHeight="1">
      <c r="B88" s="251">
        <v>82</v>
      </c>
      <c r="C88" s="489" t="s">
        <v>340</v>
      </c>
      <c r="D88" s="489" t="s">
        <v>416</v>
      </c>
      <c r="E88" s="489" t="s">
        <v>176</v>
      </c>
      <c r="F88" s="489" t="s">
        <v>171</v>
      </c>
      <c r="G88" s="490">
        <v>1</v>
      </c>
      <c r="H88" s="490">
        <v>100000</v>
      </c>
      <c r="I88" s="252">
        <f t="shared" si="1"/>
        <v>18750</v>
      </c>
      <c r="J88" s="337"/>
    </row>
    <row r="89" spans="2:10" s="174" customFormat="1" ht="16.5" customHeight="1">
      <c r="B89" s="251">
        <v>83</v>
      </c>
      <c r="C89" s="489" t="s">
        <v>340</v>
      </c>
      <c r="D89" s="489" t="s">
        <v>281</v>
      </c>
      <c r="E89" s="489" t="s">
        <v>140</v>
      </c>
      <c r="F89" s="489" t="s">
        <v>201</v>
      </c>
      <c r="G89" s="490">
        <v>1</v>
      </c>
      <c r="H89" s="490">
        <v>100000</v>
      </c>
      <c r="I89" s="252">
        <f t="shared" si="1"/>
        <v>18750</v>
      </c>
      <c r="J89" s="337"/>
    </row>
    <row r="90" spans="2:10" s="174" customFormat="1" ht="16.5" customHeight="1">
      <c r="B90" s="251">
        <v>84</v>
      </c>
      <c r="C90" s="489" t="s">
        <v>340</v>
      </c>
      <c r="D90" s="489" t="s">
        <v>468</v>
      </c>
      <c r="E90" s="489" t="s">
        <v>199</v>
      </c>
      <c r="F90" s="489" t="s">
        <v>175</v>
      </c>
      <c r="G90" s="490">
        <v>2</v>
      </c>
      <c r="H90" s="490">
        <v>200000</v>
      </c>
      <c r="I90" s="252">
        <f t="shared" si="1"/>
        <v>37500</v>
      </c>
      <c r="J90" s="337"/>
    </row>
    <row r="91" spans="2:10" s="174" customFormat="1" ht="16.5" customHeight="1">
      <c r="B91" s="251">
        <v>85</v>
      </c>
      <c r="C91" s="489" t="s">
        <v>340</v>
      </c>
      <c r="D91" s="489" t="s">
        <v>471</v>
      </c>
      <c r="E91" s="489" t="s">
        <v>239</v>
      </c>
      <c r="F91" s="489" t="s">
        <v>207</v>
      </c>
      <c r="G91" s="490">
        <v>1</v>
      </c>
      <c r="H91" s="490">
        <v>101800</v>
      </c>
      <c r="I91" s="252">
        <f t="shared" si="1"/>
        <v>19087.5</v>
      </c>
      <c r="J91" s="337"/>
    </row>
    <row r="92" spans="2:10" s="174" customFormat="1" ht="16.5" customHeight="1">
      <c r="B92" s="251">
        <v>86</v>
      </c>
      <c r="C92" s="489" t="s">
        <v>340</v>
      </c>
      <c r="D92" s="489" t="s">
        <v>434</v>
      </c>
      <c r="E92" s="489" t="s">
        <v>139</v>
      </c>
      <c r="F92" s="489" t="s">
        <v>197</v>
      </c>
      <c r="G92" s="490">
        <v>1</v>
      </c>
      <c r="H92" s="490">
        <v>400000</v>
      </c>
      <c r="I92" s="252">
        <f t="shared" si="1"/>
        <v>75000</v>
      </c>
      <c r="J92" s="337"/>
    </row>
    <row r="93" spans="2:10" s="174" customFormat="1" ht="16.5" customHeight="1">
      <c r="B93" s="251">
        <v>87</v>
      </c>
      <c r="C93" s="489" t="s">
        <v>340</v>
      </c>
      <c r="D93" s="489" t="s">
        <v>472</v>
      </c>
      <c r="E93" s="489" t="s">
        <v>241</v>
      </c>
      <c r="F93" s="489" t="s">
        <v>167</v>
      </c>
      <c r="G93" s="490">
        <v>7</v>
      </c>
      <c r="H93" s="490">
        <v>700000</v>
      </c>
      <c r="I93" s="252">
        <f t="shared" si="1"/>
        <v>131250</v>
      </c>
      <c r="J93" s="337"/>
    </row>
    <row r="94" spans="2:10" s="174" customFormat="1" ht="16.5" customHeight="1">
      <c r="B94" s="251">
        <v>88</v>
      </c>
      <c r="C94" s="489" t="s">
        <v>340</v>
      </c>
      <c r="D94" s="489" t="s">
        <v>473</v>
      </c>
      <c r="E94" s="489" t="s">
        <v>173</v>
      </c>
      <c r="F94" s="489" t="s">
        <v>224</v>
      </c>
      <c r="G94" s="490">
        <v>1</v>
      </c>
      <c r="H94" s="490">
        <v>257000</v>
      </c>
      <c r="I94" s="252">
        <f t="shared" si="1"/>
        <v>48187.5</v>
      </c>
      <c r="J94" s="337"/>
    </row>
    <row r="95" spans="2:10" s="174" customFormat="1" ht="16.5" customHeight="1">
      <c r="B95" s="251">
        <v>89</v>
      </c>
      <c r="C95" s="489" t="s">
        <v>343</v>
      </c>
      <c r="D95" s="489" t="s">
        <v>474</v>
      </c>
      <c r="E95" s="489" t="s">
        <v>186</v>
      </c>
      <c r="F95" s="489" t="s">
        <v>167</v>
      </c>
      <c r="G95" s="490">
        <v>6</v>
      </c>
      <c r="H95" s="490">
        <v>600000</v>
      </c>
      <c r="I95" s="252">
        <f t="shared" si="1"/>
        <v>112500</v>
      </c>
      <c r="J95" s="337"/>
    </row>
    <row r="96" spans="2:10" s="174" customFormat="1" ht="16.5" customHeight="1">
      <c r="B96" s="251">
        <v>90</v>
      </c>
      <c r="C96" s="489" t="s">
        <v>343</v>
      </c>
      <c r="D96" s="489" t="s">
        <v>475</v>
      </c>
      <c r="E96" s="489" t="s">
        <v>476</v>
      </c>
      <c r="F96" s="489" t="s">
        <v>167</v>
      </c>
      <c r="G96" s="490">
        <v>1</v>
      </c>
      <c r="H96" s="490">
        <v>100000</v>
      </c>
      <c r="I96" s="252">
        <f t="shared" si="1"/>
        <v>18750</v>
      </c>
      <c r="J96" s="337"/>
    </row>
    <row r="97" spans="2:187" s="174" customFormat="1" ht="16.5" customHeight="1">
      <c r="B97" s="251">
        <v>91</v>
      </c>
      <c r="C97" s="489" t="s">
        <v>343</v>
      </c>
      <c r="D97" s="489" t="s">
        <v>477</v>
      </c>
      <c r="E97" s="489" t="s">
        <v>194</v>
      </c>
      <c r="F97" s="489" t="s">
        <v>167</v>
      </c>
      <c r="G97" s="490">
        <v>1</v>
      </c>
      <c r="H97" s="490">
        <v>100000</v>
      </c>
      <c r="I97" s="252">
        <f t="shared" si="1"/>
        <v>18750</v>
      </c>
      <c r="J97" s="337"/>
    </row>
    <row r="98" spans="2:187" s="174" customFormat="1" ht="16.5" customHeight="1">
      <c r="B98" s="251">
        <v>92</v>
      </c>
      <c r="C98" s="489" t="s">
        <v>343</v>
      </c>
      <c r="D98" s="489" t="s">
        <v>419</v>
      </c>
      <c r="E98" s="489" t="s">
        <v>302</v>
      </c>
      <c r="F98" s="489" t="s">
        <v>167</v>
      </c>
      <c r="G98" s="490">
        <v>5</v>
      </c>
      <c r="H98" s="490">
        <v>500000</v>
      </c>
      <c r="I98" s="252">
        <f t="shared" si="1"/>
        <v>93750</v>
      </c>
      <c r="J98" s="337"/>
    </row>
    <row r="99" spans="2:187" s="174" customFormat="1" ht="16.5" customHeight="1">
      <c r="B99" s="251">
        <v>93</v>
      </c>
      <c r="C99" s="489" t="s">
        <v>343</v>
      </c>
      <c r="D99" s="489" t="s">
        <v>478</v>
      </c>
      <c r="E99" s="489" t="s">
        <v>200</v>
      </c>
      <c r="F99" s="489" t="s">
        <v>169</v>
      </c>
      <c r="G99" s="490">
        <v>1</v>
      </c>
      <c r="H99" s="490">
        <v>40300</v>
      </c>
      <c r="I99" s="252">
        <f t="shared" si="1"/>
        <v>7556.25</v>
      </c>
      <c r="J99" s="337"/>
    </row>
    <row r="100" spans="2:187" s="259" customFormat="1" ht="16.5" customHeight="1">
      <c r="B100" s="251">
        <v>94</v>
      </c>
      <c r="C100" s="489" t="s">
        <v>343</v>
      </c>
      <c r="D100" s="489" t="s">
        <v>317</v>
      </c>
      <c r="E100" s="489" t="s">
        <v>166</v>
      </c>
      <c r="F100" s="489" t="s">
        <v>169</v>
      </c>
      <c r="G100" s="490">
        <v>1</v>
      </c>
      <c r="H100" s="490">
        <v>100000</v>
      </c>
      <c r="I100" s="252">
        <f t="shared" si="1"/>
        <v>18750</v>
      </c>
      <c r="J100" s="283"/>
    </row>
    <row r="101" spans="2:187" s="259" customFormat="1" ht="16.5" customHeight="1">
      <c r="B101" s="251">
        <v>95</v>
      </c>
      <c r="C101" s="489" t="s">
        <v>343</v>
      </c>
      <c r="D101" s="489" t="s">
        <v>479</v>
      </c>
      <c r="E101" s="489" t="s">
        <v>135</v>
      </c>
      <c r="F101" s="489" t="s">
        <v>169</v>
      </c>
      <c r="G101" s="490">
        <v>9</v>
      </c>
      <c r="H101" s="490">
        <v>900000</v>
      </c>
      <c r="I101" s="252">
        <f t="shared" si="1"/>
        <v>168750</v>
      </c>
      <c r="J101" s="283"/>
    </row>
    <row r="102" spans="2:187" s="174" customFormat="1" ht="16.5" customHeight="1">
      <c r="B102" s="251">
        <v>96</v>
      </c>
      <c r="C102" s="489" t="s">
        <v>343</v>
      </c>
      <c r="D102" s="489" t="s">
        <v>283</v>
      </c>
      <c r="E102" s="489" t="s">
        <v>205</v>
      </c>
      <c r="F102" s="489" t="s">
        <v>201</v>
      </c>
      <c r="G102" s="490">
        <v>1</v>
      </c>
      <c r="H102" s="490">
        <v>100000</v>
      </c>
      <c r="I102" s="252">
        <f t="shared" si="1"/>
        <v>18750</v>
      </c>
      <c r="J102" s="337"/>
    </row>
    <row r="103" spans="2:187" s="174" customFormat="1" ht="16.5" customHeight="1">
      <c r="B103" s="251">
        <v>97</v>
      </c>
      <c r="C103" s="489" t="s">
        <v>343</v>
      </c>
      <c r="D103" s="489" t="s">
        <v>475</v>
      </c>
      <c r="E103" s="489" t="s">
        <v>476</v>
      </c>
      <c r="F103" s="489" t="s">
        <v>178</v>
      </c>
      <c r="G103" s="490">
        <v>1</v>
      </c>
      <c r="H103" s="490">
        <v>200000</v>
      </c>
      <c r="I103" s="252">
        <f t="shared" si="1"/>
        <v>37500</v>
      </c>
      <c r="J103" s="337"/>
    </row>
    <row r="104" spans="2:187" s="174" customFormat="1" ht="16.5" customHeight="1">
      <c r="B104" s="251">
        <v>98</v>
      </c>
      <c r="C104" s="489" t="s">
        <v>343</v>
      </c>
      <c r="D104" s="489" t="s">
        <v>479</v>
      </c>
      <c r="E104" s="489" t="s">
        <v>135</v>
      </c>
      <c r="F104" s="489" t="s">
        <v>167</v>
      </c>
      <c r="G104" s="490">
        <v>13</v>
      </c>
      <c r="H104" s="490">
        <v>1300000</v>
      </c>
      <c r="I104" s="252">
        <f t="shared" si="1"/>
        <v>243750</v>
      </c>
      <c r="J104" s="337"/>
    </row>
    <row r="105" spans="2:187" s="174" customFormat="1" ht="16.5" customHeight="1">
      <c r="B105" s="251">
        <v>99</v>
      </c>
      <c r="C105" s="489" t="s">
        <v>343</v>
      </c>
      <c r="D105" s="489" t="s">
        <v>475</v>
      </c>
      <c r="E105" s="489" t="s">
        <v>476</v>
      </c>
      <c r="F105" s="489" t="s">
        <v>169</v>
      </c>
      <c r="G105" s="490">
        <v>1</v>
      </c>
      <c r="H105" s="490">
        <v>100000</v>
      </c>
      <c r="I105" s="252">
        <f t="shared" si="1"/>
        <v>18750</v>
      </c>
      <c r="J105" s="337"/>
    </row>
    <row r="106" spans="2:187" s="174" customFormat="1" ht="16.5" customHeight="1">
      <c r="B106" s="251">
        <v>100</v>
      </c>
      <c r="C106" s="489" t="s">
        <v>343</v>
      </c>
      <c r="D106" s="489" t="s">
        <v>480</v>
      </c>
      <c r="E106" s="489" t="s">
        <v>202</v>
      </c>
      <c r="F106" s="489" t="s">
        <v>197</v>
      </c>
      <c r="G106" s="490">
        <v>1</v>
      </c>
      <c r="H106" s="490">
        <v>400000</v>
      </c>
      <c r="I106" s="252">
        <f t="shared" si="1"/>
        <v>75000</v>
      </c>
      <c r="J106" s="337"/>
    </row>
    <row r="107" spans="2:187" s="259" customFormat="1" ht="16.5" customHeight="1">
      <c r="B107" s="251">
        <v>101</v>
      </c>
      <c r="C107" s="489" t="s">
        <v>343</v>
      </c>
      <c r="D107" s="489" t="s">
        <v>419</v>
      </c>
      <c r="E107" s="489" t="s">
        <v>302</v>
      </c>
      <c r="F107" s="489" t="s">
        <v>169</v>
      </c>
      <c r="G107" s="490">
        <v>5</v>
      </c>
      <c r="H107" s="490">
        <v>500000</v>
      </c>
      <c r="I107" s="252">
        <f t="shared" si="1"/>
        <v>93750</v>
      </c>
      <c r="J107" s="283"/>
    </row>
    <row r="108" spans="2:187" s="259" customFormat="1" ht="16.5" customHeight="1">
      <c r="B108" s="251">
        <v>102</v>
      </c>
      <c r="C108" s="489" t="s">
        <v>343</v>
      </c>
      <c r="D108" s="489" t="s">
        <v>481</v>
      </c>
      <c r="E108" s="489" t="s">
        <v>229</v>
      </c>
      <c r="F108" s="489" t="s">
        <v>219</v>
      </c>
      <c r="G108" s="490">
        <v>1</v>
      </c>
      <c r="H108" s="490">
        <v>300000</v>
      </c>
      <c r="I108" s="252">
        <f t="shared" si="1"/>
        <v>56250</v>
      </c>
      <c r="J108" s="283"/>
    </row>
    <row r="109" spans="2:187" s="259" customFormat="1" ht="16.5" customHeight="1">
      <c r="B109" s="251">
        <v>103</v>
      </c>
      <c r="C109" s="489" t="s">
        <v>343</v>
      </c>
      <c r="D109" s="489" t="s">
        <v>477</v>
      </c>
      <c r="E109" s="489" t="s">
        <v>194</v>
      </c>
      <c r="F109" s="489" t="s">
        <v>169</v>
      </c>
      <c r="G109" s="490">
        <v>2</v>
      </c>
      <c r="H109" s="490">
        <v>200000</v>
      </c>
      <c r="I109" s="252">
        <f t="shared" si="1"/>
        <v>37500</v>
      </c>
      <c r="J109" s="283"/>
    </row>
    <row r="110" spans="2:187" s="259" customFormat="1" ht="16.5" customHeight="1">
      <c r="B110" s="251">
        <v>104</v>
      </c>
      <c r="C110" s="489" t="s">
        <v>343</v>
      </c>
      <c r="D110" s="489" t="s">
        <v>481</v>
      </c>
      <c r="E110" s="489" t="s">
        <v>229</v>
      </c>
      <c r="F110" s="489" t="s">
        <v>167</v>
      </c>
      <c r="G110" s="490">
        <v>4</v>
      </c>
      <c r="H110" s="490">
        <v>400000</v>
      </c>
      <c r="I110" s="252">
        <f t="shared" si="1"/>
        <v>75000</v>
      </c>
      <c r="J110" s="283"/>
    </row>
    <row r="111" spans="2:187" s="259" customFormat="1" ht="16.5" customHeight="1">
      <c r="B111" s="251">
        <v>105</v>
      </c>
      <c r="C111" s="489" t="s">
        <v>343</v>
      </c>
      <c r="D111" s="489" t="s">
        <v>481</v>
      </c>
      <c r="E111" s="489" t="s">
        <v>229</v>
      </c>
      <c r="F111" s="489" t="s">
        <v>169</v>
      </c>
      <c r="G111" s="490">
        <v>3</v>
      </c>
      <c r="H111" s="490">
        <v>300000</v>
      </c>
      <c r="I111" s="252">
        <f t="shared" si="1"/>
        <v>56250</v>
      </c>
      <c r="J111" s="283"/>
    </row>
    <row r="112" spans="2:187" s="147" customFormat="1" ht="16.5" customHeight="1">
      <c r="B112" s="251">
        <v>106</v>
      </c>
      <c r="C112" s="489" t="s">
        <v>346</v>
      </c>
      <c r="D112" s="489" t="s">
        <v>330</v>
      </c>
      <c r="E112" s="489" t="s">
        <v>227</v>
      </c>
      <c r="F112" s="489" t="s">
        <v>171</v>
      </c>
      <c r="G112" s="490">
        <v>1</v>
      </c>
      <c r="H112" s="490">
        <v>40300</v>
      </c>
      <c r="I112" s="252">
        <f t="shared" si="1"/>
        <v>7556.25</v>
      </c>
      <c r="J112" s="283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59"/>
      <c r="BK112" s="259"/>
      <c r="BL112" s="259"/>
      <c r="BM112" s="259"/>
      <c r="BN112" s="259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59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  <c r="CO112" s="259"/>
      <c r="CP112" s="259"/>
      <c r="CQ112" s="259"/>
      <c r="CR112" s="259"/>
      <c r="CS112" s="259"/>
      <c r="CT112" s="259"/>
      <c r="CU112" s="259"/>
      <c r="CV112" s="259"/>
      <c r="CW112" s="259"/>
      <c r="CX112" s="259"/>
      <c r="CY112" s="259"/>
      <c r="CZ112" s="259"/>
      <c r="DA112" s="259"/>
      <c r="DB112" s="259"/>
      <c r="DC112" s="259"/>
      <c r="DD112" s="259"/>
      <c r="DE112" s="259"/>
      <c r="DF112" s="259"/>
      <c r="DG112" s="259"/>
      <c r="DH112" s="259"/>
      <c r="DI112" s="259"/>
      <c r="DJ112" s="259"/>
      <c r="DK112" s="259"/>
      <c r="DL112" s="259"/>
      <c r="DM112" s="259"/>
      <c r="DN112" s="259"/>
      <c r="DO112" s="259"/>
      <c r="DP112" s="259"/>
      <c r="DQ112" s="259"/>
      <c r="DR112" s="259"/>
      <c r="DS112" s="259"/>
      <c r="DT112" s="259"/>
      <c r="DU112" s="259"/>
      <c r="DV112" s="259"/>
      <c r="DW112" s="259"/>
      <c r="DX112" s="259"/>
      <c r="DY112" s="259"/>
      <c r="DZ112" s="259"/>
      <c r="EA112" s="259"/>
      <c r="EB112" s="259"/>
      <c r="EC112" s="259"/>
      <c r="ED112" s="259"/>
      <c r="EE112" s="259"/>
      <c r="EF112" s="259"/>
      <c r="EG112" s="259"/>
      <c r="EH112" s="259"/>
      <c r="EI112" s="259"/>
      <c r="EJ112" s="259"/>
      <c r="EK112" s="259"/>
      <c r="EL112" s="259"/>
      <c r="EM112" s="259"/>
      <c r="EN112" s="259"/>
      <c r="EO112" s="259"/>
      <c r="EP112" s="259"/>
      <c r="EQ112" s="259"/>
      <c r="ER112" s="259"/>
      <c r="ES112" s="259"/>
      <c r="ET112" s="259"/>
      <c r="EU112" s="259"/>
      <c r="EV112" s="259"/>
      <c r="EW112" s="259"/>
      <c r="EX112" s="259"/>
      <c r="EY112" s="259"/>
      <c r="EZ112" s="259"/>
      <c r="FA112" s="259"/>
      <c r="FB112" s="259"/>
      <c r="FC112" s="259"/>
      <c r="FD112" s="259"/>
      <c r="FE112" s="259"/>
      <c r="FF112" s="259"/>
      <c r="FG112" s="259"/>
      <c r="FH112" s="259"/>
      <c r="FI112" s="259"/>
      <c r="FJ112" s="259"/>
      <c r="FK112" s="259"/>
      <c r="FL112" s="259"/>
      <c r="FM112" s="259"/>
      <c r="FN112" s="259"/>
      <c r="FO112" s="259"/>
      <c r="FP112" s="259"/>
      <c r="FQ112" s="259"/>
      <c r="FR112" s="259"/>
      <c r="FS112" s="259"/>
      <c r="FT112" s="259"/>
      <c r="FU112" s="259"/>
      <c r="FV112" s="259"/>
      <c r="FW112" s="259"/>
      <c r="FX112" s="259"/>
      <c r="FY112" s="259"/>
      <c r="FZ112" s="259"/>
      <c r="GA112" s="259"/>
      <c r="GB112" s="259"/>
      <c r="GC112" s="259"/>
      <c r="GD112" s="259"/>
      <c r="GE112" s="259"/>
    </row>
    <row r="113" spans="2:187" s="147" customFormat="1" ht="16.5" customHeight="1">
      <c r="B113" s="251">
        <v>107</v>
      </c>
      <c r="C113" s="489" t="s">
        <v>346</v>
      </c>
      <c r="D113" s="489" t="s">
        <v>308</v>
      </c>
      <c r="E113" s="489" t="s">
        <v>223</v>
      </c>
      <c r="F113" s="489" t="s">
        <v>167</v>
      </c>
      <c r="G113" s="490">
        <v>3</v>
      </c>
      <c r="H113" s="490">
        <v>300000</v>
      </c>
      <c r="I113" s="252">
        <f t="shared" si="1"/>
        <v>56250</v>
      </c>
      <c r="J113" s="283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59"/>
      <c r="BK113" s="259"/>
      <c r="BL113" s="259"/>
      <c r="BM113" s="259"/>
      <c r="BN113" s="259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59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  <c r="CO113" s="259"/>
      <c r="CP113" s="259"/>
      <c r="CQ113" s="259"/>
      <c r="CR113" s="259"/>
      <c r="CS113" s="259"/>
      <c r="CT113" s="259"/>
      <c r="CU113" s="259"/>
      <c r="CV113" s="259"/>
      <c r="CW113" s="259"/>
      <c r="CX113" s="259"/>
      <c r="CY113" s="259"/>
      <c r="CZ113" s="259"/>
      <c r="DA113" s="259"/>
      <c r="DB113" s="259"/>
      <c r="DC113" s="259"/>
      <c r="DD113" s="259"/>
      <c r="DE113" s="259"/>
      <c r="DF113" s="259"/>
      <c r="DG113" s="259"/>
      <c r="DH113" s="259"/>
      <c r="DI113" s="259"/>
      <c r="DJ113" s="259"/>
      <c r="DK113" s="259"/>
      <c r="DL113" s="259"/>
      <c r="DM113" s="259"/>
      <c r="DN113" s="259"/>
      <c r="DO113" s="259"/>
      <c r="DP113" s="259"/>
      <c r="DQ113" s="259"/>
      <c r="DR113" s="259"/>
      <c r="DS113" s="259"/>
      <c r="DT113" s="259"/>
      <c r="DU113" s="259"/>
      <c r="DV113" s="259"/>
      <c r="DW113" s="259"/>
      <c r="DX113" s="259"/>
      <c r="DY113" s="259"/>
      <c r="DZ113" s="259"/>
      <c r="EA113" s="259"/>
      <c r="EB113" s="259"/>
      <c r="EC113" s="259"/>
      <c r="ED113" s="259"/>
      <c r="EE113" s="259"/>
      <c r="EF113" s="259"/>
      <c r="EG113" s="259"/>
      <c r="EH113" s="259"/>
      <c r="EI113" s="259"/>
      <c r="EJ113" s="259"/>
      <c r="EK113" s="259"/>
      <c r="EL113" s="259"/>
      <c r="EM113" s="259"/>
      <c r="EN113" s="259"/>
      <c r="EO113" s="259"/>
      <c r="EP113" s="259"/>
      <c r="EQ113" s="259"/>
      <c r="ER113" s="259"/>
      <c r="ES113" s="259"/>
      <c r="ET113" s="259"/>
      <c r="EU113" s="259"/>
      <c r="EV113" s="259"/>
      <c r="EW113" s="259"/>
      <c r="EX113" s="259"/>
      <c r="EY113" s="259"/>
      <c r="EZ113" s="259"/>
      <c r="FA113" s="259"/>
      <c r="FB113" s="259"/>
      <c r="FC113" s="259"/>
      <c r="FD113" s="259"/>
      <c r="FE113" s="259"/>
      <c r="FF113" s="259"/>
      <c r="FG113" s="259"/>
      <c r="FH113" s="259"/>
      <c r="FI113" s="259"/>
      <c r="FJ113" s="259"/>
      <c r="FK113" s="259"/>
      <c r="FL113" s="259"/>
      <c r="FM113" s="259"/>
      <c r="FN113" s="259"/>
      <c r="FO113" s="259"/>
      <c r="FP113" s="259"/>
      <c r="FQ113" s="259"/>
      <c r="FR113" s="259"/>
      <c r="FS113" s="259"/>
      <c r="FT113" s="259"/>
      <c r="FU113" s="259"/>
      <c r="FV113" s="259"/>
      <c r="FW113" s="259"/>
      <c r="FX113" s="259"/>
      <c r="FY113" s="259"/>
      <c r="FZ113" s="259"/>
      <c r="GA113" s="259"/>
      <c r="GB113" s="259"/>
      <c r="GC113" s="259"/>
      <c r="GD113" s="259"/>
      <c r="GE113" s="259"/>
    </row>
    <row r="114" spans="2:187" s="147" customFormat="1" ht="16.5" customHeight="1">
      <c r="B114" s="251">
        <v>108</v>
      </c>
      <c r="C114" s="489" t="s">
        <v>346</v>
      </c>
      <c r="D114" s="489" t="s">
        <v>314</v>
      </c>
      <c r="E114" s="489" t="s">
        <v>135</v>
      </c>
      <c r="F114" s="489" t="s">
        <v>171</v>
      </c>
      <c r="G114" s="490">
        <v>1</v>
      </c>
      <c r="H114" s="490">
        <v>100000</v>
      </c>
      <c r="I114" s="252">
        <f t="shared" si="1"/>
        <v>18750</v>
      </c>
      <c r="J114" s="283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59"/>
      <c r="BK114" s="259"/>
      <c r="BL114" s="259"/>
      <c r="BM114" s="259"/>
      <c r="BN114" s="259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59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  <c r="CO114" s="259"/>
      <c r="CP114" s="259"/>
      <c r="CQ114" s="259"/>
      <c r="CR114" s="259"/>
      <c r="CS114" s="259"/>
      <c r="CT114" s="259"/>
      <c r="CU114" s="259"/>
      <c r="CV114" s="259"/>
      <c r="CW114" s="259"/>
      <c r="CX114" s="259"/>
      <c r="CY114" s="259"/>
      <c r="CZ114" s="259"/>
      <c r="DA114" s="259"/>
      <c r="DB114" s="259"/>
      <c r="DC114" s="259"/>
      <c r="DD114" s="259"/>
      <c r="DE114" s="259"/>
      <c r="DF114" s="259"/>
      <c r="DG114" s="259"/>
      <c r="DH114" s="259"/>
      <c r="DI114" s="259"/>
      <c r="DJ114" s="259"/>
      <c r="DK114" s="259"/>
      <c r="DL114" s="259"/>
      <c r="DM114" s="259"/>
      <c r="DN114" s="259"/>
      <c r="DO114" s="259"/>
      <c r="DP114" s="259"/>
      <c r="DQ114" s="259"/>
      <c r="DR114" s="259"/>
      <c r="DS114" s="259"/>
      <c r="DT114" s="259"/>
      <c r="DU114" s="259"/>
      <c r="DV114" s="259"/>
      <c r="DW114" s="259"/>
      <c r="DX114" s="259"/>
      <c r="DY114" s="259"/>
      <c r="DZ114" s="259"/>
      <c r="EA114" s="259"/>
      <c r="EB114" s="259"/>
      <c r="EC114" s="259"/>
      <c r="ED114" s="259"/>
      <c r="EE114" s="259"/>
      <c r="EF114" s="259"/>
      <c r="EG114" s="259"/>
      <c r="EH114" s="259"/>
      <c r="EI114" s="259"/>
      <c r="EJ114" s="259"/>
      <c r="EK114" s="259"/>
      <c r="EL114" s="259"/>
      <c r="EM114" s="259"/>
      <c r="EN114" s="259"/>
      <c r="EO114" s="259"/>
      <c r="EP114" s="259"/>
      <c r="EQ114" s="259"/>
      <c r="ER114" s="259"/>
      <c r="ES114" s="259"/>
      <c r="ET114" s="259"/>
      <c r="EU114" s="259"/>
      <c r="EV114" s="259"/>
      <c r="EW114" s="259"/>
      <c r="EX114" s="259"/>
      <c r="EY114" s="259"/>
      <c r="EZ114" s="259"/>
      <c r="FA114" s="259"/>
      <c r="FB114" s="259"/>
      <c r="FC114" s="259"/>
      <c r="FD114" s="259"/>
      <c r="FE114" s="259"/>
      <c r="FF114" s="259"/>
      <c r="FG114" s="259"/>
      <c r="FH114" s="259"/>
      <c r="FI114" s="259"/>
      <c r="FJ114" s="259"/>
      <c r="FK114" s="259"/>
      <c r="FL114" s="259"/>
      <c r="FM114" s="259"/>
      <c r="FN114" s="259"/>
      <c r="FO114" s="259"/>
      <c r="FP114" s="259"/>
      <c r="FQ114" s="259"/>
      <c r="FR114" s="259"/>
      <c r="FS114" s="259"/>
      <c r="FT114" s="259"/>
      <c r="FU114" s="259"/>
      <c r="FV114" s="259"/>
      <c r="FW114" s="259"/>
      <c r="FX114" s="259"/>
      <c r="FY114" s="259"/>
      <c r="FZ114" s="259"/>
      <c r="GA114" s="259"/>
      <c r="GB114" s="259"/>
      <c r="GC114" s="259"/>
      <c r="GD114" s="259"/>
      <c r="GE114" s="259"/>
    </row>
    <row r="115" spans="2:187" s="147" customFormat="1" ht="16.5" customHeight="1">
      <c r="B115" s="251">
        <v>109</v>
      </c>
      <c r="C115" s="489" t="s">
        <v>346</v>
      </c>
      <c r="D115" s="489" t="s">
        <v>482</v>
      </c>
      <c r="E115" s="489" t="s">
        <v>141</v>
      </c>
      <c r="F115" s="489" t="s">
        <v>175</v>
      </c>
      <c r="G115" s="490">
        <v>1</v>
      </c>
      <c r="H115" s="490">
        <v>100000</v>
      </c>
      <c r="I115" s="252">
        <f t="shared" si="1"/>
        <v>18750</v>
      </c>
      <c r="J115" s="283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59"/>
      <c r="BK115" s="259"/>
      <c r="BL115" s="259"/>
      <c r="BM115" s="259"/>
      <c r="BN115" s="259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59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  <c r="CO115" s="259"/>
      <c r="CP115" s="259"/>
      <c r="CQ115" s="259"/>
      <c r="CR115" s="259"/>
      <c r="CS115" s="259"/>
      <c r="CT115" s="259"/>
      <c r="CU115" s="259"/>
      <c r="CV115" s="259"/>
      <c r="CW115" s="259"/>
      <c r="CX115" s="259"/>
      <c r="CY115" s="259"/>
      <c r="CZ115" s="259"/>
      <c r="DA115" s="259"/>
      <c r="DB115" s="259"/>
      <c r="DC115" s="259"/>
      <c r="DD115" s="259"/>
      <c r="DE115" s="259"/>
      <c r="DF115" s="259"/>
      <c r="DG115" s="259"/>
      <c r="DH115" s="259"/>
      <c r="DI115" s="259"/>
      <c r="DJ115" s="259"/>
      <c r="DK115" s="259"/>
      <c r="DL115" s="259"/>
      <c r="DM115" s="259"/>
      <c r="DN115" s="259"/>
      <c r="DO115" s="259"/>
      <c r="DP115" s="259"/>
      <c r="DQ115" s="259"/>
      <c r="DR115" s="259"/>
      <c r="DS115" s="259"/>
      <c r="DT115" s="259"/>
      <c r="DU115" s="259"/>
      <c r="DV115" s="259"/>
      <c r="DW115" s="259"/>
      <c r="DX115" s="259"/>
      <c r="DY115" s="259"/>
      <c r="DZ115" s="259"/>
      <c r="EA115" s="259"/>
      <c r="EB115" s="259"/>
      <c r="EC115" s="259"/>
      <c r="ED115" s="259"/>
      <c r="EE115" s="259"/>
      <c r="EF115" s="259"/>
      <c r="EG115" s="259"/>
      <c r="EH115" s="259"/>
      <c r="EI115" s="259"/>
      <c r="EJ115" s="259"/>
      <c r="EK115" s="259"/>
      <c r="EL115" s="259"/>
      <c r="EM115" s="259"/>
      <c r="EN115" s="259"/>
      <c r="EO115" s="259"/>
      <c r="EP115" s="259"/>
      <c r="EQ115" s="259"/>
      <c r="ER115" s="259"/>
      <c r="ES115" s="259"/>
      <c r="ET115" s="259"/>
      <c r="EU115" s="259"/>
      <c r="EV115" s="259"/>
      <c r="EW115" s="259"/>
      <c r="EX115" s="259"/>
      <c r="EY115" s="259"/>
      <c r="EZ115" s="259"/>
      <c r="FA115" s="259"/>
      <c r="FB115" s="259"/>
      <c r="FC115" s="259"/>
      <c r="FD115" s="259"/>
      <c r="FE115" s="259"/>
      <c r="FF115" s="259"/>
      <c r="FG115" s="259"/>
      <c r="FH115" s="259"/>
      <c r="FI115" s="259"/>
      <c r="FJ115" s="259"/>
      <c r="FK115" s="259"/>
      <c r="FL115" s="259"/>
      <c r="FM115" s="259"/>
      <c r="FN115" s="259"/>
      <c r="FO115" s="259"/>
      <c r="FP115" s="259"/>
      <c r="FQ115" s="259"/>
      <c r="FR115" s="259"/>
      <c r="FS115" s="259"/>
      <c r="FT115" s="259"/>
      <c r="FU115" s="259"/>
      <c r="FV115" s="259"/>
      <c r="FW115" s="259"/>
      <c r="FX115" s="259"/>
      <c r="FY115" s="259"/>
      <c r="FZ115" s="259"/>
      <c r="GA115" s="259"/>
      <c r="GB115" s="259"/>
      <c r="GC115" s="259"/>
      <c r="GD115" s="259"/>
      <c r="GE115" s="259"/>
    </row>
    <row r="116" spans="2:187" s="147" customFormat="1" ht="16.5" customHeight="1">
      <c r="B116" s="251">
        <v>110</v>
      </c>
      <c r="C116" s="489" t="s">
        <v>346</v>
      </c>
      <c r="D116" s="489" t="s">
        <v>483</v>
      </c>
      <c r="E116" s="489" t="s">
        <v>181</v>
      </c>
      <c r="F116" s="489" t="s">
        <v>175</v>
      </c>
      <c r="G116" s="490">
        <v>5</v>
      </c>
      <c r="H116" s="490">
        <v>500000</v>
      </c>
      <c r="I116" s="252">
        <f t="shared" si="1"/>
        <v>93750</v>
      </c>
      <c r="J116" s="283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59"/>
      <c r="BK116" s="259"/>
      <c r="BL116" s="259"/>
      <c r="BM116" s="259"/>
      <c r="BN116" s="259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59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  <c r="CO116" s="259"/>
      <c r="CP116" s="259"/>
      <c r="CQ116" s="259"/>
      <c r="CR116" s="259"/>
      <c r="CS116" s="259"/>
      <c r="CT116" s="259"/>
      <c r="CU116" s="259"/>
      <c r="CV116" s="259"/>
      <c r="CW116" s="259"/>
      <c r="CX116" s="259"/>
      <c r="CY116" s="259"/>
      <c r="CZ116" s="259"/>
      <c r="DA116" s="259"/>
      <c r="DB116" s="259"/>
      <c r="DC116" s="259"/>
      <c r="DD116" s="259"/>
      <c r="DE116" s="259"/>
      <c r="DF116" s="259"/>
      <c r="DG116" s="259"/>
      <c r="DH116" s="259"/>
      <c r="DI116" s="259"/>
      <c r="DJ116" s="259"/>
      <c r="DK116" s="259"/>
      <c r="DL116" s="259"/>
      <c r="DM116" s="259"/>
      <c r="DN116" s="259"/>
      <c r="DO116" s="259"/>
      <c r="DP116" s="259"/>
      <c r="DQ116" s="259"/>
      <c r="DR116" s="259"/>
      <c r="DS116" s="259"/>
      <c r="DT116" s="259"/>
      <c r="DU116" s="259"/>
      <c r="DV116" s="259"/>
      <c r="DW116" s="259"/>
      <c r="DX116" s="259"/>
      <c r="DY116" s="259"/>
      <c r="DZ116" s="259"/>
      <c r="EA116" s="259"/>
      <c r="EB116" s="259"/>
      <c r="EC116" s="259"/>
      <c r="ED116" s="259"/>
      <c r="EE116" s="259"/>
      <c r="EF116" s="259"/>
      <c r="EG116" s="259"/>
      <c r="EH116" s="259"/>
      <c r="EI116" s="259"/>
      <c r="EJ116" s="259"/>
      <c r="EK116" s="259"/>
      <c r="EL116" s="259"/>
      <c r="EM116" s="259"/>
      <c r="EN116" s="259"/>
      <c r="EO116" s="259"/>
      <c r="EP116" s="259"/>
      <c r="EQ116" s="259"/>
      <c r="ER116" s="259"/>
      <c r="ES116" s="259"/>
      <c r="ET116" s="259"/>
      <c r="EU116" s="259"/>
      <c r="EV116" s="259"/>
      <c r="EW116" s="259"/>
      <c r="EX116" s="259"/>
      <c r="EY116" s="259"/>
      <c r="EZ116" s="259"/>
      <c r="FA116" s="259"/>
      <c r="FB116" s="259"/>
      <c r="FC116" s="259"/>
      <c r="FD116" s="259"/>
      <c r="FE116" s="259"/>
      <c r="FF116" s="259"/>
      <c r="FG116" s="259"/>
      <c r="FH116" s="259"/>
      <c r="FI116" s="259"/>
      <c r="FJ116" s="259"/>
      <c r="FK116" s="259"/>
      <c r="FL116" s="259"/>
      <c r="FM116" s="259"/>
      <c r="FN116" s="259"/>
      <c r="FO116" s="259"/>
      <c r="FP116" s="259"/>
      <c r="FQ116" s="259"/>
      <c r="FR116" s="259"/>
      <c r="FS116" s="259"/>
      <c r="FT116" s="259"/>
      <c r="FU116" s="259"/>
      <c r="FV116" s="259"/>
      <c r="FW116" s="259"/>
      <c r="FX116" s="259"/>
      <c r="FY116" s="259"/>
      <c r="FZ116" s="259"/>
      <c r="GA116" s="259"/>
      <c r="GB116" s="259"/>
      <c r="GC116" s="259"/>
      <c r="GD116" s="259"/>
      <c r="GE116" s="259"/>
    </row>
    <row r="117" spans="2:187" s="174" customFormat="1" ht="16.5" customHeight="1">
      <c r="B117" s="251">
        <v>111</v>
      </c>
      <c r="C117" s="489" t="s">
        <v>346</v>
      </c>
      <c r="D117" s="489" t="s">
        <v>484</v>
      </c>
      <c r="E117" s="489" t="s">
        <v>205</v>
      </c>
      <c r="F117" s="489" t="s">
        <v>175</v>
      </c>
      <c r="G117" s="490">
        <v>1</v>
      </c>
      <c r="H117" s="490">
        <v>100000</v>
      </c>
      <c r="I117" s="252">
        <f t="shared" si="1"/>
        <v>18750</v>
      </c>
      <c r="J117" s="337"/>
    </row>
    <row r="118" spans="2:187" s="174" customFormat="1" ht="16.5" customHeight="1">
      <c r="B118" s="251">
        <v>112</v>
      </c>
      <c r="C118" s="489" t="s">
        <v>346</v>
      </c>
      <c r="D118" s="489" t="s">
        <v>485</v>
      </c>
      <c r="E118" s="489" t="s">
        <v>139</v>
      </c>
      <c r="F118" s="489" t="s">
        <v>169</v>
      </c>
      <c r="G118" s="490">
        <v>1</v>
      </c>
      <c r="H118" s="490">
        <v>100000</v>
      </c>
      <c r="I118" s="252">
        <f t="shared" si="1"/>
        <v>18750</v>
      </c>
      <c r="J118" s="337"/>
    </row>
    <row r="119" spans="2:187" s="174" customFormat="1" ht="16.5" customHeight="1">
      <c r="B119" s="251">
        <v>113</v>
      </c>
      <c r="C119" s="489" t="s">
        <v>346</v>
      </c>
      <c r="D119" s="489" t="s">
        <v>269</v>
      </c>
      <c r="E119" s="489" t="s">
        <v>215</v>
      </c>
      <c r="F119" s="489" t="s">
        <v>209</v>
      </c>
      <c r="G119" s="490">
        <v>1</v>
      </c>
      <c r="H119" s="490">
        <v>200000</v>
      </c>
      <c r="I119" s="252">
        <f t="shared" si="1"/>
        <v>37500</v>
      </c>
      <c r="J119" s="337"/>
    </row>
    <row r="120" spans="2:187" s="174" customFormat="1" ht="16.5" customHeight="1">
      <c r="B120" s="251">
        <v>114</v>
      </c>
      <c r="C120" s="489" t="s">
        <v>346</v>
      </c>
      <c r="D120" s="489" t="s">
        <v>483</v>
      </c>
      <c r="E120" s="489" t="s">
        <v>181</v>
      </c>
      <c r="F120" s="489" t="s">
        <v>167</v>
      </c>
      <c r="G120" s="490">
        <v>4</v>
      </c>
      <c r="H120" s="490">
        <v>400000</v>
      </c>
      <c r="I120" s="252">
        <f t="shared" si="1"/>
        <v>75000</v>
      </c>
      <c r="J120" s="337"/>
    </row>
    <row r="121" spans="2:187" s="174" customFormat="1" ht="16.5" customHeight="1">
      <c r="B121" s="251">
        <v>115</v>
      </c>
      <c r="C121" s="489" t="s">
        <v>346</v>
      </c>
      <c r="D121" s="489" t="s">
        <v>276</v>
      </c>
      <c r="E121" s="489" t="s">
        <v>166</v>
      </c>
      <c r="F121" s="489" t="s">
        <v>209</v>
      </c>
      <c r="G121" s="490">
        <v>1</v>
      </c>
      <c r="H121" s="490">
        <v>200000</v>
      </c>
      <c r="I121" s="252">
        <f t="shared" si="1"/>
        <v>37500</v>
      </c>
      <c r="J121" s="337"/>
    </row>
    <row r="122" spans="2:187" s="174" customFormat="1" ht="16.5" customHeight="1">
      <c r="B122" s="251">
        <v>116</v>
      </c>
      <c r="C122" s="489" t="s">
        <v>346</v>
      </c>
      <c r="D122" s="489" t="s">
        <v>482</v>
      </c>
      <c r="E122" s="489" t="s">
        <v>141</v>
      </c>
      <c r="F122" s="489" t="s">
        <v>167</v>
      </c>
      <c r="G122" s="490">
        <v>1</v>
      </c>
      <c r="H122" s="490">
        <v>100000</v>
      </c>
      <c r="I122" s="252">
        <f t="shared" ref="I122:I177" si="2">H122*25%*75%</f>
        <v>18750</v>
      </c>
      <c r="J122" s="337"/>
    </row>
    <row r="123" spans="2:187" s="147" customFormat="1" ht="16.5" customHeight="1">
      <c r="B123" s="251">
        <v>117</v>
      </c>
      <c r="C123" s="489" t="s">
        <v>346</v>
      </c>
      <c r="D123" s="489" t="s">
        <v>486</v>
      </c>
      <c r="E123" s="489" t="s">
        <v>168</v>
      </c>
      <c r="F123" s="489" t="s">
        <v>487</v>
      </c>
      <c r="G123" s="490">
        <v>1</v>
      </c>
      <c r="H123" s="490">
        <v>547000</v>
      </c>
      <c r="I123" s="252">
        <f t="shared" si="2"/>
        <v>102562.5</v>
      </c>
      <c r="J123" s="219"/>
    </row>
    <row r="124" spans="2:187" s="147" customFormat="1" ht="16.5" customHeight="1">
      <c r="B124" s="251">
        <v>118</v>
      </c>
      <c r="C124" s="489" t="s">
        <v>351</v>
      </c>
      <c r="D124" s="489" t="s">
        <v>448</v>
      </c>
      <c r="E124" s="489" t="s">
        <v>181</v>
      </c>
      <c r="F124" s="489" t="s">
        <v>171</v>
      </c>
      <c r="G124" s="490">
        <v>1</v>
      </c>
      <c r="H124" s="490">
        <v>100000</v>
      </c>
      <c r="I124" s="252">
        <f t="shared" si="2"/>
        <v>18750</v>
      </c>
      <c r="J124" s="219"/>
    </row>
    <row r="125" spans="2:187" s="147" customFormat="1" ht="16.5" customHeight="1">
      <c r="B125" s="251">
        <v>119</v>
      </c>
      <c r="C125" s="489" t="s">
        <v>351</v>
      </c>
      <c r="D125" s="489" t="s">
        <v>456</v>
      </c>
      <c r="E125" s="489" t="s">
        <v>181</v>
      </c>
      <c r="F125" s="489" t="s">
        <v>171</v>
      </c>
      <c r="G125" s="490">
        <v>1</v>
      </c>
      <c r="H125" s="490">
        <v>100000</v>
      </c>
      <c r="I125" s="252">
        <f t="shared" si="2"/>
        <v>18750</v>
      </c>
      <c r="J125" s="219"/>
    </row>
    <row r="126" spans="2:187" s="174" customFormat="1" ht="16.5" customHeight="1">
      <c r="B126" s="251">
        <v>120</v>
      </c>
      <c r="C126" s="489" t="s">
        <v>351</v>
      </c>
      <c r="D126" s="489" t="s">
        <v>488</v>
      </c>
      <c r="E126" s="489" t="s">
        <v>186</v>
      </c>
      <c r="F126" s="489" t="s">
        <v>461</v>
      </c>
      <c r="G126" s="490">
        <v>1</v>
      </c>
      <c r="H126" s="490">
        <v>150000</v>
      </c>
      <c r="I126" s="252">
        <f t="shared" si="2"/>
        <v>28125</v>
      </c>
      <c r="J126" s="337"/>
    </row>
    <row r="127" spans="2:187" s="174" customFormat="1" ht="16.5" customHeight="1">
      <c r="B127" s="251">
        <v>121</v>
      </c>
      <c r="C127" s="489" t="s">
        <v>351</v>
      </c>
      <c r="D127" s="489" t="s">
        <v>270</v>
      </c>
      <c r="E127" s="489" t="s">
        <v>142</v>
      </c>
      <c r="F127" s="489" t="s">
        <v>197</v>
      </c>
      <c r="G127" s="490">
        <v>1</v>
      </c>
      <c r="H127" s="490">
        <v>400000</v>
      </c>
      <c r="I127" s="252">
        <f t="shared" si="2"/>
        <v>75000</v>
      </c>
      <c r="J127" s="337"/>
    </row>
    <row r="128" spans="2:187" s="174" customFormat="1" ht="16.5" customHeight="1">
      <c r="B128" s="251">
        <v>122</v>
      </c>
      <c r="C128" s="489" t="s">
        <v>351</v>
      </c>
      <c r="D128" s="489" t="s">
        <v>452</v>
      </c>
      <c r="E128" s="489" t="s">
        <v>453</v>
      </c>
      <c r="F128" s="489" t="s">
        <v>171</v>
      </c>
      <c r="G128" s="490">
        <v>1</v>
      </c>
      <c r="H128" s="490">
        <v>100000</v>
      </c>
      <c r="I128" s="252">
        <f t="shared" si="2"/>
        <v>18750</v>
      </c>
      <c r="J128" s="337"/>
    </row>
    <row r="129" spans="2:10" s="174" customFormat="1" ht="16.5" customHeight="1">
      <c r="B129" s="251">
        <v>123</v>
      </c>
      <c r="C129" s="489" t="s">
        <v>351</v>
      </c>
      <c r="D129" s="489" t="s">
        <v>288</v>
      </c>
      <c r="E129" s="489" t="s">
        <v>164</v>
      </c>
      <c r="F129" s="489" t="s">
        <v>216</v>
      </c>
      <c r="G129" s="490">
        <v>1</v>
      </c>
      <c r="H129" s="490">
        <v>500000</v>
      </c>
      <c r="I129" s="252">
        <f t="shared" si="2"/>
        <v>93750</v>
      </c>
      <c r="J129" s="337"/>
    </row>
    <row r="130" spans="2:10" s="174" customFormat="1" ht="16.5" customHeight="1">
      <c r="B130" s="251">
        <v>124</v>
      </c>
      <c r="C130" s="489" t="s">
        <v>353</v>
      </c>
      <c r="D130" s="489" t="s">
        <v>489</v>
      </c>
      <c r="E130" s="489" t="s">
        <v>174</v>
      </c>
      <c r="F130" s="489" t="s">
        <v>228</v>
      </c>
      <c r="G130" s="490">
        <v>1</v>
      </c>
      <c r="H130" s="490">
        <v>400000</v>
      </c>
      <c r="I130" s="252">
        <f t="shared" si="2"/>
        <v>75000</v>
      </c>
      <c r="J130" s="337"/>
    </row>
    <row r="131" spans="2:10" s="174" customFormat="1" ht="16.5" customHeight="1">
      <c r="B131" s="251">
        <v>125</v>
      </c>
      <c r="C131" s="489" t="s">
        <v>353</v>
      </c>
      <c r="D131" s="489" t="s">
        <v>490</v>
      </c>
      <c r="E131" s="489" t="s">
        <v>214</v>
      </c>
      <c r="F131" s="489" t="s">
        <v>175</v>
      </c>
      <c r="G131" s="490">
        <v>1</v>
      </c>
      <c r="H131" s="490">
        <v>100000</v>
      </c>
      <c r="I131" s="252">
        <f t="shared" si="2"/>
        <v>18750</v>
      </c>
      <c r="J131" s="337"/>
    </row>
    <row r="132" spans="2:10" s="147" customFormat="1" ht="16.5" customHeight="1">
      <c r="B132" s="251">
        <v>126</v>
      </c>
      <c r="C132" s="489" t="s">
        <v>353</v>
      </c>
      <c r="D132" s="489" t="s">
        <v>491</v>
      </c>
      <c r="E132" s="489" t="s">
        <v>192</v>
      </c>
      <c r="F132" s="489" t="s">
        <v>492</v>
      </c>
      <c r="G132" s="490">
        <v>1</v>
      </c>
      <c r="H132" s="490">
        <v>547000</v>
      </c>
      <c r="I132" s="252">
        <f t="shared" si="2"/>
        <v>102562.5</v>
      </c>
      <c r="J132" s="219"/>
    </row>
    <row r="133" spans="2:10" s="147" customFormat="1" ht="16.5" customHeight="1">
      <c r="B133" s="251">
        <v>127</v>
      </c>
      <c r="C133" s="489" t="s">
        <v>353</v>
      </c>
      <c r="D133" s="489" t="s">
        <v>489</v>
      </c>
      <c r="E133" s="489" t="s">
        <v>174</v>
      </c>
      <c r="F133" s="489" t="s">
        <v>175</v>
      </c>
      <c r="G133" s="490">
        <v>2</v>
      </c>
      <c r="H133" s="490">
        <v>200000</v>
      </c>
      <c r="I133" s="252">
        <f t="shared" si="2"/>
        <v>37500</v>
      </c>
      <c r="J133" s="219"/>
    </row>
    <row r="134" spans="2:10" s="147" customFormat="1" ht="16.5" customHeight="1">
      <c r="B134" s="251">
        <v>128</v>
      </c>
      <c r="C134" s="489" t="s">
        <v>353</v>
      </c>
      <c r="D134" s="489" t="s">
        <v>493</v>
      </c>
      <c r="E134" s="489" t="s">
        <v>239</v>
      </c>
      <c r="F134" s="489" t="s">
        <v>175</v>
      </c>
      <c r="G134" s="490">
        <v>4</v>
      </c>
      <c r="H134" s="490">
        <v>400000</v>
      </c>
      <c r="I134" s="252">
        <f t="shared" si="2"/>
        <v>75000</v>
      </c>
      <c r="J134" s="219"/>
    </row>
    <row r="135" spans="2:10" s="147" customFormat="1" ht="16.5" customHeight="1">
      <c r="B135" s="251">
        <v>129</v>
      </c>
      <c r="C135" s="489" t="s">
        <v>353</v>
      </c>
      <c r="D135" s="489" t="s">
        <v>494</v>
      </c>
      <c r="E135" s="489" t="s">
        <v>239</v>
      </c>
      <c r="F135" s="489" t="s">
        <v>167</v>
      </c>
      <c r="G135" s="490">
        <v>3</v>
      </c>
      <c r="H135" s="490">
        <v>300000</v>
      </c>
      <c r="I135" s="252">
        <f t="shared" si="2"/>
        <v>56250</v>
      </c>
      <c r="J135" s="219"/>
    </row>
    <row r="136" spans="2:10" s="147" customFormat="1" ht="16.5" customHeight="1">
      <c r="B136" s="251">
        <v>130</v>
      </c>
      <c r="C136" s="489" t="s">
        <v>353</v>
      </c>
      <c r="D136" s="489" t="s">
        <v>451</v>
      </c>
      <c r="E136" s="489" t="s">
        <v>213</v>
      </c>
      <c r="F136" s="489" t="s">
        <v>171</v>
      </c>
      <c r="G136" s="490">
        <v>1</v>
      </c>
      <c r="H136" s="490">
        <v>100000</v>
      </c>
      <c r="I136" s="252">
        <f t="shared" si="2"/>
        <v>18750</v>
      </c>
      <c r="J136" s="219"/>
    </row>
    <row r="137" spans="2:10" s="147" customFormat="1" ht="16.5" customHeight="1">
      <c r="B137" s="251">
        <v>131</v>
      </c>
      <c r="C137" s="489" t="s">
        <v>353</v>
      </c>
      <c r="D137" s="489" t="s">
        <v>435</v>
      </c>
      <c r="E137" s="489" t="s">
        <v>211</v>
      </c>
      <c r="F137" s="489" t="s">
        <v>167</v>
      </c>
      <c r="G137" s="490">
        <v>1</v>
      </c>
      <c r="H137" s="490">
        <v>100000</v>
      </c>
      <c r="I137" s="252">
        <f t="shared" si="2"/>
        <v>18750</v>
      </c>
      <c r="J137" s="219"/>
    </row>
    <row r="138" spans="2:10" s="147" customFormat="1" ht="16.5" customHeight="1">
      <c r="B138" s="251">
        <v>132</v>
      </c>
      <c r="C138" s="489" t="s">
        <v>353</v>
      </c>
      <c r="D138" s="489" t="s">
        <v>273</v>
      </c>
      <c r="E138" s="489" t="s">
        <v>187</v>
      </c>
      <c r="F138" s="489" t="s">
        <v>167</v>
      </c>
      <c r="G138" s="490">
        <v>14</v>
      </c>
      <c r="H138" s="490">
        <v>1400000</v>
      </c>
      <c r="I138" s="252">
        <f t="shared" si="2"/>
        <v>262500</v>
      </c>
      <c r="J138" s="219"/>
    </row>
    <row r="139" spans="2:10" s="147" customFormat="1" ht="16.5" customHeight="1">
      <c r="B139" s="251">
        <v>133</v>
      </c>
      <c r="C139" s="489" t="s">
        <v>353</v>
      </c>
      <c r="D139" s="489" t="s">
        <v>287</v>
      </c>
      <c r="E139" s="489" t="s">
        <v>180</v>
      </c>
      <c r="F139" s="489" t="s">
        <v>201</v>
      </c>
      <c r="G139" s="490">
        <v>1</v>
      </c>
      <c r="H139" s="490">
        <v>100000</v>
      </c>
      <c r="I139" s="252">
        <f t="shared" si="2"/>
        <v>18750</v>
      </c>
      <c r="J139" s="219"/>
    </row>
    <row r="140" spans="2:10" s="147" customFormat="1" ht="16.5" customHeight="1">
      <c r="B140" s="251">
        <v>134</v>
      </c>
      <c r="C140" s="489" t="s">
        <v>353</v>
      </c>
      <c r="D140" s="489" t="s">
        <v>493</v>
      </c>
      <c r="E140" s="489" t="s">
        <v>239</v>
      </c>
      <c r="F140" s="489" t="s">
        <v>167</v>
      </c>
      <c r="G140" s="490">
        <v>8</v>
      </c>
      <c r="H140" s="490">
        <v>800000</v>
      </c>
      <c r="I140" s="252">
        <f t="shared" si="2"/>
        <v>150000</v>
      </c>
      <c r="J140" s="219"/>
    </row>
    <row r="141" spans="2:10" s="174" customFormat="1" ht="16.5" customHeight="1">
      <c r="B141" s="251">
        <v>135</v>
      </c>
      <c r="C141" s="489" t="s">
        <v>353</v>
      </c>
      <c r="D141" s="489" t="s">
        <v>495</v>
      </c>
      <c r="E141" s="489" t="s">
        <v>231</v>
      </c>
      <c r="F141" s="489" t="s">
        <v>228</v>
      </c>
      <c r="G141" s="490">
        <v>1</v>
      </c>
      <c r="H141" s="490">
        <v>400000</v>
      </c>
      <c r="I141" s="252">
        <f t="shared" si="2"/>
        <v>75000</v>
      </c>
      <c r="J141" s="337"/>
    </row>
    <row r="142" spans="2:10" s="174" customFormat="1" ht="16.5" customHeight="1">
      <c r="B142" s="251">
        <v>136</v>
      </c>
      <c r="C142" s="489" t="s">
        <v>353</v>
      </c>
      <c r="D142" s="489" t="s">
        <v>435</v>
      </c>
      <c r="E142" s="489" t="s">
        <v>211</v>
      </c>
      <c r="F142" s="489" t="s">
        <v>496</v>
      </c>
      <c r="G142" s="490">
        <v>1</v>
      </c>
      <c r="H142" s="490">
        <v>101800</v>
      </c>
      <c r="I142" s="252">
        <f t="shared" si="2"/>
        <v>19087.5</v>
      </c>
      <c r="J142" s="337"/>
    </row>
    <row r="143" spans="2:10" s="174" customFormat="1" ht="16.5" customHeight="1">
      <c r="B143" s="251">
        <v>137</v>
      </c>
      <c r="C143" s="489" t="s">
        <v>353</v>
      </c>
      <c r="D143" s="489" t="s">
        <v>489</v>
      </c>
      <c r="E143" s="489" t="s">
        <v>174</v>
      </c>
      <c r="F143" s="489" t="s">
        <v>167</v>
      </c>
      <c r="G143" s="490">
        <v>3</v>
      </c>
      <c r="H143" s="490">
        <v>300000</v>
      </c>
      <c r="I143" s="252">
        <f t="shared" si="2"/>
        <v>56250</v>
      </c>
      <c r="J143" s="337"/>
    </row>
    <row r="144" spans="2:10" s="174" customFormat="1" ht="16.5" customHeight="1">
      <c r="B144" s="251">
        <v>138</v>
      </c>
      <c r="C144" s="489" t="s">
        <v>353</v>
      </c>
      <c r="D144" s="489" t="s">
        <v>494</v>
      </c>
      <c r="E144" s="489" t="s">
        <v>239</v>
      </c>
      <c r="F144" s="489" t="s">
        <v>175</v>
      </c>
      <c r="G144" s="490">
        <v>2</v>
      </c>
      <c r="H144" s="490">
        <v>200000</v>
      </c>
      <c r="I144" s="252">
        <f t="shared" si="2"/>
        <v>37500</v>
      </c>
      <c r="J144" s="337"/>
    </row>
    <row r="145" spans="2:10" s="174" customFormat="1" ht="16.5" customHeight="1">
      <c r="B145" s="251">
        <v>139</v>
      </c>
      <c r="C145" s="489" t="s">
        <v>353</v>
      </c>
      <c r="D145" s="489" t="s">
        <v>491</v>
      </c>
      <c r="E145" s="489" t="s">
        <v>192</v>
      </c>
      <c r="F145" s="489" t="s">
        <v>167</v>
      </c>
      <c r="G145" s="490">
        <v>4</v>
      </c>
      <c r="H145" s="490">
        <v>400000</v>
      </c>
      <c r="I145" s="252">
        <f t="shared" si="2"/>
        <v>75000</v>
      </c>
      <c r="J145" s="337"/>
    </row>
    <row r="146" spans="2:10" s="174" customFormat="1" ht="16.5" customHeight="1">
      <c r="B146" s="251">
        <v>140</v>
      </c>
      <c r="C146" s="489" t="s">
        <v>353</v>
      </c>
      <c r="D146" s="489" t="s">
        <v>495</v>
      </c>
      <c r="E146" s="489" t="s">
        <v>231</v>
      </c>
      <c r="F146" s="489" t="s">
        <v>175</v>
      </c>
      <c r="G146" s="490">
        <v>3</v>
      </c>
      <c r="H146" s="490">
        <v>300000</v>
      </c>
      <c r="I146" s="252">
        <f t="shared" si="2"/>
        <v>56250</v>
      </c>
      <c r="J146" s="337"/>
    </row>
    <row r="147" spans="2:10" s="174" customFormat="1" ht="16.5" customHeight="1">
      <c r="B147" s="251">
        <v>141</v>
      </c>
      <c r="C147" s="489" t="s">
        <v>353</v>
      </c>
      <c r="D147" s="489" t="s">
        <v>495</v>
      </c>
      <c r="E147" s="489" t="s">
        <v>231</v>
      </c>
      <c r="F147" s="489" t="s">
        <v>238</v>
      </c>
      <c r="G147" s="490">
        <v>1</v>
      </c>
      <c r="H147" s="490">
        <v>101800</v>
      </c>
      <c r="I147" s="252">
        <f t="shared" si="2"/>
        <v>19087.5</v>
      </c>
      <c r="J147" s="337"/>
    </row>
    <row r="148" spans="2:10" s="174" customFormat="1" ht="16.5" customHeight="1">
      <c r="B148" s="251">
        <v>142</v>
      </c>
      <c r="C148" s="489" t="s">
        <v>353</v>
      </c>
      <c r="D148" s="489" t="s">
        <v>495</v>
      </c>
      <c r="E148" s="489" t="s">
        <v>231</v>
      </c>
      <c r="F148" s="489" t="s">
        <v>167</v>
      </c>
      <c r="G148" s="490">
        <v>3</v>
      </c>
      <c r="H148" s="490">
        <v>300000</v>
      </c>
      <c r="I148" s="252">
        <f t="shared" si="2"/>
        <v>56250</v>
      </c>
      <c r="J148" s="337"/>
    </row>
    <row r="149" spans="2:10" s="174" customFormat="1" ht="16.5" customHeight="1">
      <c r="B149" s="251">
        <v>143</v>
      </c>
      <c r="C149" s="489" t="s">
        <v>353</v>
      </c>
      <c r="D149" s="489" t="s">
        <v>271</v>
      </c>
      <c r="E149" s="489" t="s">
        <v>189</v>
      </c>
      <c r="F149" s="489" t="s">
        <v>201</v>
      </c>
      <c r="G149" s="490">
        <v>1</v>
      </c>
      <c r="H149" s="490">
        <v>100000</v>
      </c>
      <c r="I149" s="252">
        <f t="shared" si="2"/>
        <v>18750</v>
      </c>
      <c r="J149" s="337"/>
    </row>
    <row r="150" spans="2:10" s="174" customFormat="1" ht="16.5" customHeight="1">
      <c r="B150" s="251">
        <v>144</v>
      </c>
      <c r="C150" s="489" t="s">
        <v>497</v>
      </c>
      <c r="D150" s="489" t="s">
        <v>498</v>
      </c>
      <c r="E150" s="489" t="s">
        <v>499</v>
      </c>
      <c r="F150" s="489" t="s">
        <v>167</v>
      </c>
      <c r="G150" s="490">
        <v>1</v>
      </c>
      <c r="H150" s="490">
        <v>100000</v>
      </c>
      <c r="I150" s="252">
        <f t="shared" si="2"/>
        <v>18750</v>
      </c>
      <c r="J150" s="337"/>
    </row>
    <row r="151" spans="2:10" s="147" customFormat="1" ht="16.5" customHeight="1">
      <c r="B151" s="251">
        <v>145</v>
      </c>
      <c r="C151" s="489" t="s">
        <v>497</v>
      </c>
      <c r="D151" s="489" t="s">
        <v>500</v>
      </c>
      <c r="E151" s="489" t="s">
        <v>195</v>
      </c>
      <c r="F151" s="489" t="s">
        <v>216</v>
      </c>
      <c r="G151" s="490">
        <v>1</v>
      </c>
      <c r="H151" s="490">
        <v>500000</v>
      </c>
      <c r="I151" s="252">
        <f t="shared" si="2"/>
        <v>93750</v>
      </c>
      <c r="J151" s="219"/>
    </row>
    <row r="152" spans="2:10" s="147" customFormat="1" ht="16.5" customHeight="1">
      <c r="B152" s="251">
        <v>146</v>
      </c>
      <c r="C152" s="489" t="s">
        <v>358</v>
      </c>
      <c r="D152" s="489" t="s">
        <v>420</v>
      </c>
      <c r="E152" s="489" t="s">
        <v>179</v>
      </c>
      <c r="F152" s="489" t="s">
        <v>167</v>
      </c>
      <c r="G152" s="490">
        <v>7</v>
      </c>
      <c r="H152" s="490">
        <v>700000</v>
      </c>
      <c r="I152" s="252">
        <f t="shared" si="2"/>
        <v>131250</v>
      </c>
      <c r="J152" s="219"/>
    </row>
    <row r="153" spans="2:10" s="147" customFormat="1" ht="16.5" customHeight="1">
      <c r="B153" s="251">
        <v>147</v>
      </c>
      <c r="C153" s="489" t="s">
        <v>358</v>
      </c>
      <c r="D153" s="489" t="s">
        <v>501</v>
      </c>
      <c r="E153" s="489" t="s">
        <v>181</v>
      </c>
      <c r="F153" s="489" t="s">
        <v>169</v>
      </c>
      <c r="G153" s="490">
        <v>2</v>
      </c>
      <c r="H153" s="490">
        <v>200000</v>
      </c>
      <c r="I153" s="252">
        <f t="shared" si="2"/>
        <v>37500</v>
      </c>
      <c r="J153" s="219"/>
    </row>
    <row r="154" spans="2:10" s="147" customFormat="1" ht="16.5" customHeight="1">
      <c r="B154" s="251">
        <v>148</v>
      </c>
      <c r="C154" s="489" t="s">
        <v>358</v>
      </c>
      <c r="D154" s="489" t="s">
        <v>275</v>
      </c>
      <c r="E154" s="489" t="s">
        <v>460</v>
      </c>
      <c r="F154" s="489" t="s">
        <v>221</v>
      </c>
      <c r="G154" s="490">
        <v>1</v>
      </c>
      <c r="H154" s="490">
        <v>120000</v>
      </c>
      <c r="I154" s="252">
        <f t="shared" si="2"/>
        <v>22500</v>
      </c>
      <c r="J154" s="219"/>
    </row>
    <row r="155" spans="2:10" s="147" customFormat="1" ht="16.5" customHeight="1">
      <c r="B155" s="251">
        <v>149</v>
      </c>
      <c r="C155" s="489" t="s">
        <v>358</v>
      </c>
      <c r="D155" s="489" t="s">
        <v>502</v>
      </c>
      <c r="E155" s="489" t="s">
        <v>142</v>
      </c>
      <c r="F155" s="489" t="s">
        <v>169</v>
      </c>
      <c r="G155" s="490">
        <v>5</v>
      </c>
      <c r="H155" s="490">
        <v>500000</v>
      </c>
      <c r="I155" s="252">
        <f t="shared" si="2"/>
        <v>93750</v>
      </c>
      <c r="J155" s="219"/>
    </row>
    <row r="156" spans="2:10" s="147" customFormat="1" ht="16.5" customHeight="1">
      <c r="B156" s="251">
        <v>150</v>
      </c>
      <c r="C156" s="489" t="s">
        <v>358</v>
      </c>
      <c r="D156" s="489" t="s">
        <v>278</v>
      </c>
      <c r="E156" s="489" t="s">
        <v>170</v>
      </c>
      <c r="F156" s="489" t="s">
        <v>201</v>
      </c>
      <c r="G156" s="490">
        <v>1</v>
      </c>
      <c r="H156" s="490">
        <v>100000</v>
      </c>
      <c r="I156" s="252">
        <f t="shared" si="2"/>
        <v>18750</v>
      </c>
      <c r="J156" s="219"/>
    </row>
    <row r="157" spans="2:10" s="147" customFormat="1" ht="16.5" customHeight="1">
      <c r="B157" s="251">
        <v>151</v>
      </c>
      <c r="C157" s="489" t="s">
        <v>358</v>
      </c>
      <c r="D157" s="489" t="s">
        <v>502</v>
      </c>
      <c r="E157" s="489" t="s">
        <v>142</v>
      </c>
      <c r="F157" s="489" t="s">
        <v>167</v>
      </c>
      <c r="G157" s="490">
        <v>6</v>
      </c>
      <c r="H157" s="490">
        <v>600000</v>
      </c>
      <c r="I157" s="252">
        <f t="shared" si="2"/>
        <v>112500</v>
      </c>
      <c r="J157" s="219"/>
    </row>
    <row r="158" spans="2:10" s="147" customFormat="1" ht="16.5" customHeight="1">
      <c r="B158" s="251">
        <v>152</v>
      </c>
      <c r="C158" s="489" t="s">
        <v>358</v>
      </c>
      <c r="D158" s="489" t="s">
        <v>503</v>
      </c>
      <c r="E158" s="489" t="s">
        <v>190</v>
      </c>
      <c r="F158" s="489" t="s">
        <v>169</v>
      </c>
      <c r="G158" s="490">
        <v>3</v>
      </c>
      <c r="H158" s="490">
        <v>300000</v>
      </c>
      <c r="I158" s="252">
        <f t="shared" si="2"/>
        <v>56250</v>
      </c>
      <c r="J158" s="219"/>
    </row>
    <row r="159" spans="2:10" s="147" customFormat="1" ht="16.5" customHeight="1">
      <c r="B159" s="251">
        <v>153</v>
      </c>
      <c r="C159" s="489" t="s">
        <v>358</v>
      </c>
      <c r="D159" s="489" t="s">
        <v>504</v>
      </c>
      <c r="E159" s="489" t="s">
        <v>505</v>
      </c>
      <c r="F159" s="489" t="s">
        <v>169</v>
      </c>
      <c r="G159" s="490">
        <v>2</v>
      </c>
      <c r="H159" s="490">
        <v>200000</v>
      </c>
      <c r="I159" s="252">
        <f t="shared" si="2"/>
        <v>37500</v>
      </c>
      <c r="J159" s="219"/>
    </row>
    <row r="160" spans="2:10" s="147" customFormat="1" ht="16.5" customHeight="1">
      <c r="B160" s="251">
        <v>154</v>
      </c>
      <c r="C160" s="489" t="s">
        <v>358</v>
      </c>
      <c r="D160" s="489" t="s">
        <v>506</v>
      </c>
      <c r="E160" s="489" t="s">
        <v>184</v>
      </c>
      <c r="F160" s="489" t="s">
        <v>169</v>
      </c>
      <c r="G160" s="490">
        <v>2</v>
      </c>
      <c r="H160" s="490">
        <v>200000</v>
      </c>
      <c r="I160" s="252">
        <f t="shared" si="2"/>
        <v>37500</v>
      </c>
      <c r="J160" s="219"/>
    </row>
    <row r="161" spans="2:10" s="147" customFormat="1" ht="16.5" customHeight="1">
      <c r="B161" s="251">
        <v>155</v>
      </c>
      <c r="C161" s="489" t="s">
        <v>358</v>
      </c>
      <c r="D161" s="489" t="s">
        <v>418</v>
      </c>
      <c r="E161" s="489" t="s">
        <v>180</v>
      </c>
      <c r="F161" s="489" t="s">
        <v>171</v>
      </c>
      <c r="G161" s="490">
        <v>1</v>
      </c>
      <c r="H161" s="490">
        <v>100000</v>
      </c>
      <c r="I161" s="252">
        <f t="shared" si="2"/>
        <v>18750</v>
      </c>
      <c r="J161" s="219"/>
    </row>
    <row r="162" spans="2:10" s="147" customFormat="1" ht="16.5" customHeight="1">
      <c r="B162" s="251">
        <v>156</v>
      </c>
      <c r="C162" s="489" t="s">
        <v>358</v>
      </c>
      <c r="D162" s="489" t="s">
        <v>420</v>
      </c>
      <c r="E162" s="489" t="s">
        <v>179</v>
      </c>
      <c r="F162" s="489" t="s">
        <v>175</v>
      </c>
      <c r="G162" s="490">
        <v>5</v>
      </c>
      <c r="H162" s="490">
        <v>500000</v>
      </c>
      <c r="I162" s="252">
        <f t="shared" si="2"/>
        <v>93750</v>
      </c>
      <c r="J162" s="219"/>
    </row>
    <row r="163" spans="2:10" s="147" customFormat="1" ht="16.5" customHeight="1">
      <c r="B163" s="251">
        <v>157</v>
      </c>
      <c r="C163" s="489" t="s">
        <v>358</v>
      </c>
      <c r="D163" s="489" t="s">
        <v>504</v>
      </c>
      <c r="E163" s="489" t="s">
        <v>505</v>
      </c>
      <c r="F163" s="489" t="s">
        <v>167</v>
      </c>
      <c r="G163" s="490">
        <v>1</v>
      </c>
      <c r="H163" s="490">
        <v>100000</v>
      </c>
      <c r="I163" s="252">
        <f t="shared" si="2"/>
        <v>18750</v>
      </c>
      <c r="J163" s="219"/>
    </row>
    <row r="164" spans="2:10" s="147" customFormat="1" ht="16.5" customHeight="1">
      <c r="B164" s="251">
        <v>158</v>
      </c>
      <c r="C164" s="489" t="s">
        <v>358</v>
      </c>
      <c r="D164" s="489" t="s">
        <v>501</v>
      </c>
      <c r="E164" s="489" t="s">
        <v>181</v>
      </c>
      <c r="F164" s="489" t="s">
        <v>167</v>
      </c>
      <c r="G164" s="490">
        <v>4</v>
      </c>
      <c r="H164" s="490">
        <v>400000</v>
      </c>
      <c r="I164" s="252">
        <f t="shared" si="2"/>
        <v>75000</v>
      </c>
      <c r="J164" s="219"/>
    </row>
    <row r="165" spans="2:10" s="147" customFormat="1" ht="16.5" customHeight="1">
      <c r="B165" s="251">
        <v>159</v>
      </c>
      <c r="C165" s="489" t="s">
        <v>358</v>
      </c>
      <c r="D165" s="489" t="s">
        <v>503</v>
      </c>
      <c r="E165" s="489" t="s">
        <v>190</v>
      </c>
      <c r="F165" s="489" t="s">
        <v>167</v>
      </c>
      <c r="G165" s="490">
        <v>4</v>
      </c>
      <c r="H165" s="490">
        <v>400000</v>
      </c>
      <c r="I165" s="252">
        <f t="shared" si="2"/>
        <v>75000</v>
      </c>
      <c r="J165" s="219"/>
    </row>
    <row r="166" spans="2:10" s="147" customFormat="1" ht="16.5" customHeight="1">
      <c r="B166" s="251">
        <v>160</v>
      </c>
      <c r="C166" s="489" t="s">
        <v>358</v>
      </c>
      <c r="D166" s="489" t="s">
        <v>506</v>
      </c>
      <c r="E166" s="489" t="s">
        <v>184</v>
      </c>
      <c r="F166" s="489" t="s">
        <v>167</v>
      </c>
      <c r="G166" s="490">
        <v>3</v>
      </c>
      <c r="H166" s="490">
        <v>300000</v>
      </c>
      <c r="I166" s="252">
        <f t="shared" si="2"/>
        <v>56250</v>
      </c>
      <c r="J166" s="219"/>
    </row>
    <row r="167" spans="2:10" s="147" customFormat="1" ht="16.5" customHeight="1">
      <c r="B167" s="251">
        <v>161</v>
      </c>
      <c r="C167" s="489" t="s">
        <v>362</v>
      </c>
      <c r="D167" s="489" t="s">
        <v>422</v>
      </c>
      <c r="E167" s="489" t="s">
        <v>213</v>
      </c>
      <c r="F167" s="489" t="s">
        <v>167</v>
      </c>
      <c r="G167" s="490">
        <v>8</v>
      </c>
      <c r="H167" s="490">
        <v>800000</v>
      </c>
      <c r="I167" s="252">
        <f t="shared" si="2"/>
        <v>150000</v>
      </c>
      <c r="J167" s="219"/>
    </row>
    <row r="168" spans="2:10" s="147" customFormat="1" ht="16.5" customHeight="1">
      <c r="B168" s="251">
        <v>162</v>
      </c>
      <c r="C168" s="489" t="s">
        <v>362</v>
      </c>
      <c r="D168" s="489" t="s">
        <v>267</v>
      </c>
      <c r="E168" s="489" t="s">
        <v>230</v>
      </c>
      <c r="F168" s="489" t="s">
        <v>167</v>
      </c>
      <c r="G168" s="490">
        <v>6</v>
      </c>
      <c r="H168" s="490">
        <v>600000</v>
      </c>
      <c r="I168" s="252">
        <f t="shared" si="2"/>
        <v>112500</v>
      </c>
      <c r="J168" s="219"/>
    </row>
    <row r="169" spans="2:10" s="147" customFormat="1" ht="16.5" customHeight="1">
      <c r="B169" s="251">
        <v>163</v>
      </c>
      <c r="C169" s="489" t="s">
        <v>362</v>
      </c>
      <c r="D169" s="489" t="s">
        <v>484</v>
      </c>
      <c r="E169" s="489" t="s">
        <v>205</v>
      </c>
      <c r="F169" s="489" t="s">
        <v>171</v>
      </c>
      <c r="G169" s="490">
        <v>1</v>
      </c>
      <c r="H169" s="490">
        <v>40300</v>
      </c>
      <c r="I169" s="252">
        <f t="shared" si="2"/>
        <v>7556.25</v>
      </c>
      <c r="J169" s="219"/>
    </row>
    <row r="170" spans="2:10" s="147" customFormat="1" ht="16.5" customHeight="1">
      <c r="B170" s="251">
        <v>164</v>
      </c>
      <c r="C170" s="489" t="s">
        <v>362</v>
      </c>
      <c r="D170" s="489" t="s">
        <v>470</v>
      </c>
      <c r="E170" s="489" t="s">
        <v>138</v>
      </c>
      <c r="F170" s="489" t="s">
        <v>171</v>
      </c>
      <c r="G170" s="490">
        <v>1</v>
      </c>
      <c r="H170" s="490">
        <v>40300</v>
      </c>
      <c r="I170" s="252">
        <f t="shared" si="2"/>
        <v>7556.25</v>
      </c>
      <c r="J170" s="219"/>
    </row>
    <row r="171" spans="2:10" s="147" customFormat="1" ht="16.5" customHeight="1">
      <c r="B171" s="251">
        <v>165</v>
      </c>
      <c r="C171" s="489" t="s">
        <v>362</v>
      </c>
      <c r="D171" s="489" t="s">
        <v>507</v>
      </c>
      <c r="E171" s="489" t="s">
        <v>204</v>
      </c>
      <c r="F171" s="489" t="s">
        <v>167</v>
      </c>
      <c r="G171" s="490">
        <v>7</v>
      </c>
      <c r="H171" s="490">
        <v>700000</v>
      </c>
      <c r="I171" s="252">
        <f t="shared" si="2"/>
        <v>131250</v>
      </c>
      <c r="J171" s="219"/>
    </row>
    <row r="172" spans="2:10" s="147" customFormat="1" ht="16.5" customHeight="1">
      <c r="B172" s="251">
        <v>166</v>
      </c>
      <c r="C172" s="489" t="s">
        <v>362</v>
      </c>
      <c r="D172" s="489" t="s">
        <v>345</v>
      </c>
      <c r="E172" s="489" t="s">
        <v>137</v>
      </c>
      <c r="F172" s="489" t="s">
        <v>169</v>
      </c>
      <c r="G172" s="490">
        <v>1</v>
      </c>
      <c r="H172" s="490">
        <v>100000</v>
      </c>
      <c r="I172" s="252">
        <f t="shared" si="2"/>
        <v>18750</v>
      </c>
      <c r="J172" s="219"/>
    </row>
    <row r="173" spans="2:10" s="147" customFormat="1" ht="16.5" customHeight="1">
      <c r="B173" s="251">
        <v>167</v>
      </c>
      <c r="C173" s="489" t="s">
        <v>362</v>
      </c>
      <c r="D173" s="489" t="s">
        <v>421</v>
      </c>
      <c r="E173" s="489" t="s">
        <v>186</v>
      </c>
      <c r="F173" s="489" t="s">
        <v>167</v>
      </c>
      <c r="G173" s="490">
        <v>8</v>
      </c>
      <c r="H173" s="490">
        <v>800000</v>
      </c>
      <c r="I173" s="252">
        <f t="shared" si="2"/>
        <v>150000</v>
      </c>
      <c r="J173" s="219"/>
    </row>
    <row r="174" spans="2:10" s="147" customFormat="1" ht="16.5" customHeight="1">
      <c r="B174" s="251">
        <v>168</v>
      </c>
      <c r="C174" s="489" t="s">
        <v>362</v>
      </c>
      <c r="D174" s="489" t="s">
        <v>478</v>
      </c>
      <c r="E174" s="489" t="s">
        <v>200</v>
      </c>
      <c r="F174" s="489" t="s">
        <v>169</v>
      </c>
      <c r="G174" s="490">
        <v>1</v>
      </c>
      <c r="H174" s="490">
        <v>40300</v>
      </c>
      <c r="I174" s="252">
        <f t="shared" si="2"/>
        <v>7556.25</v>
      </c>
      <c r="J174" s="219"/>
    </row>
    <row r="175" spans="2:10" s="147" customFormat="1" ht="16.5" customHeight="1">
      <c r="B175" s="251">
        <v>169</v>
      </c>
      <c r="C175" s="489" t="s">
        <v>362</v>
      </c>
      <c r="D175" s="489" t="s">
        <v>395</v>
      </c>
      <c r="E175" s="489" t="s">
        <v>200</v>
      </c>
      <c r="F175" s="489" t="s">
        <v>169</v>
      </c>
      <c r="G175" s="490">
        <v>1</v>
      </c>
      <c r="H175" s="490">
        <v>100000</v>
      </c>
      <c r="I175" s="252">
        <f t="shared" si="2"/>
        <v>18750</v>
      </c>
      <c r="J175" s="219"/>
    </row>
    <row r="176" spans="2:10" s="147" customFormat="1" ht="16.5" customHeight="1">
      <c r="B176" s="251">
        <v>170</v>
      </c>
      <c r="C176" s="489" t="s">
        <v>362</v>
      </c>
      <c r="D176" s="489" t="s">
        <v>421</v>
      </c>
      <c r="E176" s="489" t="s">
        <v>186</v>
      </c>
      <c r="F176" s="489" t="s">
        <v>175</v>
      </c>
      <c r="G176" s="490">
        <v>3</v>
      </c>
      <c r="H176" s="490">
        <v>300000</v>
      </c>
      <c r="I176" s="252">
        <f t="shared" si="2"/>
        <v>56250</v>
      </c>
      <c r="J176" s="219"/>
    </row>
    <row r="177" spans="2:187" s="147" customFormat="1" ht="16.5" customHeight="1">
      <c r="B177" s="251">
        <v>171</v>
      </c>
      <c r="C177" s="489" t="s">
        <v>362</v>
      </c>
      <c r="D177" s="489" t="s">
        <v>419</v>
      </c>
      <c r="E177" s="489" t="s">
        <v>302</v>
      </c>
      <c r="F177" s="489" t="s">
        <v>169</v>
      </c>
      <c r="G177" s="490">
        <v>1</v>
      </c>
      <c r="H177" s="490">
        <v>40300</v>
      </c>
      <c r="I177" s="252">
        <f t="shared" si="2"/>
        <v>7556.25</v>
      </c>
      <c r="J177" s="219"/>
    </row>
    <row r="178" spans="2:187" s="147" customFormat="1" ht="16.5" customHeight="1">
      <c r="B178" s="251">
        <v>172</v>
      </c>
      <c r="C178" s="489" t="s">
        <v>362</v>
      </c>
      <c r="D178" s="489" t="s">
        <v>475</v>
      </c>
      <c r="E178" s="489" t="s">
        <v>476</v>
      </c>
      <c r="F178" s="489" t="s">
        <v>169</v>
      </c>
      <c r="G178" s="490">
        <v>1</v>
      </c>
      <c r="H178" s="490">
        <v>100000</v>
      </c>
      <c r="I178" s="252">
        <f t="shared" ref="I178:I234" si="3">H178*25%*75%</f>
        <v>18750</v>
      </c>
      <c r="J178" s="219"/>
    </row>
    <row r="179" spans="2:187" s="147" customFormat="1" ht="16.5" customHeight="1">
      <c r="B179" s="251">
        <v>173</v>
      </c>
      <c r="C179" s="489" t="s">
        <v>362</v>
      </c>
      <c r="D179" s="489" t="s">
        <v>472</v>
      </c>
      <c r="E179" s="489" t="s">
        <v>241</v>
      </c>
      <c r="F179" s="489" t="s">
        <v>169</v>
      </c>
      <c r="G179" s="490">
        <v>1</v>
      </c>
      <c r="H179" s="490">
        <v>40300</v>
      </c>
      <c r="I179" s="252">
        <f t="shared" si="3"/>
        <v>7556.25</v>
      </c>
      <c r="J179" s="219"/>
    </row>
    <row r="180" spans="2:187" s="147" customFormat="1" ht="16.5" customHeight="1">
      <c r="B180" s="251">
        <v>174</v>
      </c>
      <c r="C180" s="489" t="s">
        <v>362</v>
      </c>
      <c r="D180" s="489" t="s">
        <v>309</v>
      </c>
      <c r="E180" s="489" t="s">
        <v>142</v>
      </c>
      <c r="F180" s="489" t="s">
        <v>201</v>
      </c>
      <c r="G180" s="490">
        <v>1</v>
      </c>
      <c r="H180" s="490">
        <v>100000</v>
      </c>
      <c r="I180" s="252">
        <f t="shared" si="3"/>
        <v>18750</v>
      </c>
      <c r="J180" s="219"/>
    </row>
    <row r="181" spans="2:187" s="147" customFormat="1" ht="16.5" customHeight="1">
      <c r="B181" s="251">
        <v>175</v>
      </c>
      <c r="C181" s="489" t="s">
        <v>362</v>
      </c>
      <c r="D181" s="489" t="s">
        <v>267</v>
      </c>
      <c r="E181" s="489" t="s">
        <v>230</v>
      </c>
      <c r="F181" s="489" t="s">
        <v>175</v>
      </c>
      <c r="G181" s="490">
        <v>4</v>
      </c>
      <c r="H181" s="490">
        <v>400000</v>
      </c>
      <c r="I181" s="252">
        <f t="shared" si="3"/>
        <v>75000</v>
      </c>
      <c r="J181" s="219"/>
    </row>
    <row r="182" spans="2:187" s="147" customFormat="1" ht="16.5" customHeight="1">
      <c r="B182" s="251">
        <v>176</v>
      </c>
      <c r="C182" s="489" t="s">
        <v>362</v>
      </c>
      <c r="D182" s="489" t="s">
        <v>469</v>
      </c>
      <c r="E182" s="489" t="s">
        <v>142</v>
      </c>
      <c r="F182" s="489" t="s">
        <v>171</v>
      </c>
      <c r="G182" s="490">
        <v>1</v>
      </c>
      <c r="H182" s="490">
        <v>40300</v>
      </c>
      <c r="I182" s="252">
        <f t="shared" si="3"/>
        <v>7556.25</v>
      </c>
      <c r="J182" s="219"/>
    </row>
    <row r="183" spans="2:187" s="147" customFormat="1" ht="16.5" customHeight="1">
      <c r="B183" s="251">
        <v>177</v>
      </c>
      <c r="C183" s="489" t="s">
        <v>362</v>
      </c>
      <c r="D183" s="489" t="s">
        <v>508</v>
      </c>
      <c r="E183" s="489" t="s">
        <v>138</v>
      </c>
      <c r="F183" s="489" t="s">
        <v>216</v>
      </c>
      <c r="G183" s="490">
        <v>1</v>
      </c>
      <c r="H183" s="490">
        <v>500000</v>
      </c>
      <c r="I183" s="252">
        <f t="shared" si="3"/>
        <v>93750</v>
      </c>
      <c r="J183" s="283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59"/>
      <c r="BK183" s="259"/>
      <c r="BL183" s="259"/>
      <c r="BM183" s="259"/>
      <c r="BN183" s="259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59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  <c r="CO183" s="259"/>
      <c r="CP183" s="259"/>
      <c r="CQ183" s="259"/>
      <c r="CR183" s="259"/>
      <c r="CS183" s="259"/>
      <c r="CT183" s="259"/>
      <c r="CU183" s="259"/>
      <c r="CV183" s="259"/>
      <c r="CW183" s="259"/>
      <c r="CX183" s="259"/>
      <c r="CY183" s="259"/>
      <c r="CZ183" s="259"/>
      <c r="DA183" s="259"/>
      <c r="DB183" s="259"/>
      <c r="DC183" s="259"/>
      <c r="DD183" s="259"/>
      <c r="DE183" s="259"/>
      <c r="DF183" s="259"/>
      <c r="DG183" s="259"/>
      <c r="DH183" s="259"/>
      <c r="DI183" s="259"/>
      <c r="DJ183" s="259"/>
      <c r="DK183" s="259"/>
      <c r="DL183" s="259"/>
      <c r="DM183" s="259"/>
      <c r="DN183" s="259"/>
      <c r="DO183" s="259"/>
      <c r="DP183" s="259"/>
      <c r="DQ183" s="259"/>
      <c r="DR183" s="259"/>
      <c r="DS183" s="259"/>
      <c r="DT183" s="259"/>
      <c r="DU183" s="259"/>
      <c r="DV183" s="259"/>
      <c r="DW183" s="259"/>
      <c r="DX183" s="259"/>
      <c r="DY183" s="259"/>
      <c r="DZ183" s="259"/>
      <c r="EA183" s="259"/>
      <c r="EB183" s="259"/>
      <c r="EC183" s="259"/>
      <c r="ED183" s="259"/>
      <c r="EE183" s="259"/>
      <c r="EF183" s="259"/>
      <c r="EG183" s="259"/>
      <c r="EH183" s="259"/>
      <c r="EI183" s="259"/>
      <c r="EJ183" s="259"/>
      <c r="EK183" s="259"/>
      <c r="EL183" s="259"/>
      <c r="EM183" s="259"/>
      <c r="EN183" s="259"/>
      <c r="EO183" s="259"/>
      <c r="EP183" s="259"/>
      <c r="EQ183" s="259"/>
      <c r="ER183" s="259"/>
      <c r="ES183" s="259"/>
      <c r="ET183" s="259"/>
      <c r="EU183" s="259"/>
      <c r="EV183" s="259"/>
      <c r="EW183" s="259"/>
      <c r="EX183" s="259"/>
      <c r="EY183" s="259"/>
      <c r="EZ183" s="259"/>
      <c r="FA183" s="259"/>
      <c r="FB183" s="259"/>
      <c r="FC183" s="259"/>
      <c r="FD183" s="259"/>
      <c r="FE183" s="259"/>
      <c r="FF183" s="259"/>
      <c r="FG183" s="259"/>
      <c r="FH183" s="259"/>
      <c r="FI183" s="259"/>
      <c r="FJ183" s="259"/>
      <c r="FK183" s="259"/>
      <c r="FL183" s="259"/>
      <c r="FM183" s="259"/>
      <c r="FN183" s="259"/>
      <c r="FO183" s="259"/>
      <c r="FP183" s="259"/>
      <c r="FQ183" s="259"/>
      <c r="FR183" s="259"/>
      <c r="FS183" s="259"/>
      <c r="FT183" s="259"/>
      <c r="FU183" s="259"/>
      <c r="FV183" s="259"/>
      <c r="FW183" s="259"/>
      <c r="FX183" s="259"/>
      <c r="FY183" s="259"/>
      <c r="FZ183" s="259"/>
      <c r="GA183" s="259"/>
      <c r="GB183" s="259"/>
      <c r="GC183" s="259"/>
      <c r="GD183" s="259"/>
      <c r="GE183" s="259"/>
    </row>
    <row r="184" spans="2:187" s="147" customFormat="1" ht="16.5" customHeight="1">
      <c r="B184" s="251">
        <v>178</v>
      </c>
      <c r="C184" s="489" t="s">
        <v>365</v>
      </c>
      <c r="D184" s="489" t="s">
        <v>509</v>
      </c>
      <c r="E184" s="489" t="s">
        <v>142</v>
      </c>
      <c r="F184" s="489" t="s">
        <v>169</v>
      </c>
      <c r="G184" s="490">
        <v>13</v>
      </c>
      <c r="H184" s="490">
        <v>1300000</v>
      </c>
      <c r="I184" s="252">
        <f t="shared" si="3"/>
        <v>243750</v>
      </c>
      <c r="J184" s="219"/>
    </row>
    <row r="185" spans="2:187" s="147" customFormat="1" ht="16.5" customHeight="1">
      <c r="B185" s="251">
        <v>179</v>
      </c>
      <c r="C185" s="489" t="s">
        <v>365</v>
      </c>
      <c r="D185" s="489" t="s">
        <v>423</v>
      </c>
      <c r="E185" s="489" t="s">
        <v>202</v>
      </c>
      <c r="F185" s="489" t="s">
        <v>175</v>
      </c>
      <c r="G185" s="490">
        <v>2</v>
      </c>
      <c r="H185" s="490">
        <v>200000</v>
      </c>
      <c r="I185" s="252">
        <f t="shared" si="3"/>
        <v>37500</v>
      </c>
      <c r="J185" s="219"/>
    </row>
    <row r="186" spans="2:187" s="147" customFormat="1" ht="16.5" customHeight="1">
      <c r="B186" s="251">
        <v>180</v>
      </c>
      <c r="C186" s="489" t="s">
        <v>365</v>
      </c>
      <c r="D186" s="489" t="s">
        <v>482</v>
      </c>
      <c r="E186" s="489" t="s">
        <v>141</v>
      </c>
      <c r="F186" s="489" t="s">
        <v>171</v>
      </c>
      <c r="G186" s="490">
        <v>1</v>
      </c>
      <c r="H186" s="490">
        <v>100000</v>
      </c>
      <c r="I186" s="252">
        <f t="shared" si="3"/>
        <v>18750</v>
      </c>
      <c r="J186" s="219"/>
    </row>
    <row r="187" spans="2:187" s="147" customFormat="1" ht="16.5" customHeight="1">
      <c r="B187" s="251">
        <v>181</v>
      </c>
      <c r="C187" s="489" t="s">
        <v>365</v>
      </c>
      <c r="D187" s="489" t="s">
        <v>348</v>
      </c>
      <c r="E187" s="489" t="s">
        <v>193</v>
      </c>
      <c r="F187" s="489" t="s">
        <v>169</v>
      </c>
      <c r="G187" s="490">
        <v>1</v>
      </c>
      <c r="H187" s="490">
        <v>40300</v>
      </c>
      <c r="I187" s="252">
        <f t="shared" si="3"/>
        <v>7556.25</v>
      </c>
      <c r="J187" s="219"/>
    </row>
    <row r="188" spans="2:187" s="147" customFormat="1" ht="16.5" customHeight="1">
      <c r="B188" s="251">
        <v>182</v>
      </c>
      <c r="C188" s="489" t="s">
        <v>365</v>
      </c>
      <c r="D188" s="489" t="s">
        <v>467</v>
      </c>
      <c r="E188" s="489" t="s">
        <v>173</v>
      </c>
      <c r="F188" s="489" t="s">
        <v>209</v>
      </c>
      <c r="G188" s="490">
        <v>1</v>
      </c>
      <c r="H188" s="490">
        <v>200000</v>
      </c>
      <c r="I188" s="252">
        <f t="shared" si="3"/>
        <v>37500</v>
      </c>
      <c r="J188" s="219"/>
    </row>
    <row r="189" spans="2:187" s="147" customFormat="1" ht="16.5" customHeight="1">
      <c r="B189" s="251">
        <v>183</v>
      </c>
      <c r="C189" s="489" t="s">
        <v>365</v>
      </c>
      <c r="D189" s="489" t="s">
        <v>423</v>
      </c>
      <c r="E189" s="489" t="s">
        <v>202</v>
      </c>
      <c r="F189" s="489" t="s">
        <v>167</v>
      </c>
      <c r="G189" s="490">
        <v>3</v>
      </c>
      <c r="H189" s="490">
        <v>300000</v>
      </c>
      <c r="I189" s="252">
        <f t="shared" si="3"/>
        <v>56250</v>
      </c>
      <c r="J189" s="219"/>
    </row>
    <row r="190" spans="2:187" s="147" customFormat="1" ht="16.5" customHeight="1">
      <c r="B190" s="251">
        <v>184</v>
      </c>
      <c r="C190" s="489" t="s">
        <v>365</v>
      </c>
      <c r="D190" s="489" t="s">
        <v>510</v>
      </c>
      <c r="E190" s="489" t="s">
        <v>227</v>
      </c>
      <c r="F190" s="489" t="s">
        <v>167</v>
      </c>
      <c r="G190" s="490">
        <v>5</v>
      </c>
      <c r="H190" s="490">
        <v>500000</v>
      </c>
      <c r="I190" s="252">
        <f t="shared" si="3"/>
        <v>93750</v>
      </c>
      <c r="J190" s="219"/>
    </row>
    <row r="191" spans="2:187" s="147" customFormat="1" ht="16.5" customHeight="1">
      <c r="B191" s="251">
        <v>185</v>
      </c>
      <c r="C191" s="489" t="s">
        <v>365</v>
      </c>
      <c r="D191" s="489" t="s">
        <v>511</v>
      </c>
      <c r="E191" s="489" t="s">
        <v>217</v>
      </c>
      <c r="F191" s="489" t="s">
        <v>167</v>
      </c>
      <c r="G191" s="490">
        <v>11</v>
      </c>
      <c r="H191" s="490">
        <v>1100000</v>
      </c>
      <c r="I191" s="252">
        <f t="shared" si="3"/>
        <v>206250</v>
      </c>
      <c r="J191" s="219"/>
    </row>
    <row r="192" spans="2:187" s="147" customFormat="1" ht="16.5" customHeight="1">
      <c r="B192" s="251">
        <v>186</v>
      </c>
      <c r="C192" s="489" t="s">
        <v>365</v>
      </c>
      <c r="D192" s="489" t="s">
        <v>511</v>
      </c>
      <c r="E192" s="489" t="s">
        <v>217</v>
      </c>
      <c r="F192" s="489" t="s">
        <v>169</v>
      </c>
      <c r="G192" s="490">
        <v>9</v>
      </c>
      <c r="H192" s="490">
        <v>900000</v>
      </c>
      <c r="I192" s="252">
        <f t="shared" si="3"/>
        <v>168750</v>
      </c>
      <c r="J192" s="219"/>
    </row>
    <row r="193" spans="2:187" s="147" customFormat="1" ht="16.5" customHeight="1">
      <c r="B193" s="251">
        <v>187</v>
      </c>
      <c r="C193" s="489" t="s">
        <v>365</v>
      </c>
      <c r="D193" s="489" t="s">
        <v>490</v>
      </c>
      <c r="E193" s="489" t="s">
        <v>214</v>
      </c>
      <c r="F193" s="489" t="s">
        <v>171</v>
      </c>
      <c r="G193" s="490">
        <v>1</v>
      </c>
      <c r="H193" s="490">
        <v>100000</v>
      </c>
      <c r="I193" s="252">
        <f t="shared" si="3"/>
        <v>18750</v>
      </c>
      <c r="J193" s="219"/>
    </row>
    <row r="194" spans="2:187" s="147" customFormat="1" ht="16.5" customHeight="1">
      <c r="B194" s="251">
        <v>188</v>
      </c>
      <c r="C194" s="489" t="s">
        <v>365</v>
      </c>
      <c r="D194" s="489" t="s">
        <v>512</v>
      </c>
      <c r="E194" s="489" t="s">
        <v>232</v>
      </c>
      <c r="F194" s="489" t="s">
        <v>169</v>
      </c>
      <c r="G194" s="490">
        <v>1</v>
      </c>
      <c r="H194" s="490">
        <v>100000</v>
      </c>
      <c r="I194" s="252">
        <f t="shared" si="3"/>
        <v>18750</v>
      </c>
      <c r="J194" s="219"/>
    </row>
    <row r="195" spans="2:187" s="147" customFormat="1" ht="16.5" customHeight="1">
      <c r="B195" s="251">
        <v>189</v>
      </c>
      <c r="C195" s="489" t="s">
        <v>365</v>
      </c>
      <c r="D195" s="489" t="s">
        <v>424</v>
      </c>
      <c r="E195" s="489" t="s">
        <v>213</v>
      </c>
      <c r="F195" s="489" t="s">
        <v>167</v>
      </c>
      <c r="G195" s="490">
        <v>5</v>
      </c>
      <c r="H195" s="490">
        <v>500000</v>
      </c>
      <c r="I195" s="252">
        <f t="shared" si="3"/>
        <v>93750</v>
      </c>
      <c r="J195" s="219"/>
    </row>
    <row r="196" spans="2:187" s="147" customFormat="1" ht="16.5" customHeight="1">
      <c r="B196" s="251">
        <v>190</v>
      </c>
      <c r="C196" s="489" t="s">
        <v>365</v>
      </c>
      <c r="D196" s="489" t="s">
        <v>511</v>
      </c>
      <c r="E196" s="489" t="s">
        <v>217</v>
      </c>
      <c r="F196" s="489" t="s">
        <v>207</v>
      </c>
      <c r="G196" s="490">
        <v>1</v>
      </c>
      <c r="H196" s="490">
        <v>101800</v>
      </c>
      <c r="I196" s="252">
        <f t="shared" si="3"/>
        <v>19087.5</v>
      </c>
      <c r="J196" s="219"/>
    </row>
    <row r="197" spans="2:187" s="147" customFormat="1" ht="16.5" customHeight="1">
      <c r="B197" s="251">
        <v>191</v>
      </c>
      <c r="C197" s="489" t="s">
        <v>365</v>
      </c>
      <c r="D197" s="489" t="s">
        <v>510</v>
      </c>
      <c r="E197" s="489" t="s">
        <v>227</v>
      </c>
      <c r="F197" s="489" t="s">
        <v>513</v>
      </c>
      <c r="G197" s="490">
        <v>5</v>
      </c>
      <c r="H197" s="490">
        <v>750000</v>
      </c>
      <c r="I197" s="252">
        <f t="shared" si="3"/>
        <v>140625</v>
      </c>
      <c r="J197" s="283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59"/>
      <c r="BK197" s="259"/>
      <c r="BL197" s="259"/>
      <c r="BM197" s="259"/>
      <c r="BN197" s="259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59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  <c r="CO197" s="259"/>
      <c r="CP197" s="259"/>
      <c r="CQ197" s="259"/>
      <c r="CR197" s="259"/>
      <c r="CS197" s="259"/>
      <c r="CT197" s="259"/>
      <c r="CU197" s="259"/>
      <c r="CV197" s="259"/>
      <c r="CW197" s="259"/>
      <c r="CX197" s="259"/>
      <c r="CY197" s="259"/>
      <c r="CZ197" s="259"/>
      <c r="DA197" s="259"/>
      <c r="DB197" s="259"/>
      <c r="DC197" s="259"/>
      <c r="DD197" s="259"/>
      <c r="DE197" s="259"/>
      <c r="DF197" s="259"/>
      <c r="DG197" s="259"/>
      <c r="DH197" s="259"/>
      <c r="DI197" s="259"/>
      <c r="DJ197" s="259"/>
      <c r="DK197" s="259"/>
      <c r="DL197" s="259"/>
      <c r="DM197" s="259"/>
      <c r="DN197" s="259"/>
      <c r="DO197" s="259"/>
      <c r="DP197" s="259"/>
      <c r="DQ197" s="259"/>
      <c r="DR197" s="259"/>
      <c r="DS197" s="259"/>
      <c r="DT197" s="259"/>
      <c r="DU197" s="259"/>
      <c r="DV197" s="259"/>
      <c r="DW197" s="259"/>
      <c r="DX197" s="259"/>
      <c r="DY197" s="259"/>
      <c r="DZ197" s="259"/>
      <c r="EA197" s="259"/>
      <c r="EB197" s="259"/>
      <c r="EC197" s="259"/>
      <c r="ED197" s="259"/>
      <c r="EE197" s="259"/>
      <c r="EF197" s="259"/>
      <c r="EG197" s="259"/>
      <c r="EH197" s="259"/>
      <c r="EI197" s="259"/>
      <c r="EJ197" s="259"/>
      <c r="EK197" s="259"/>
      <c r="EL197" s="259"/>
      <c r="EM197" s="259"/>
      <c r="EN197" s="259"/>
      <c r="EO197" s="259"/>
      <c r="EP197" s="259"/>
      <c r="EQ197" s="259"/>
      <c r="ER197" s="259"/>
      <c r="ES197" s="259"/>
      <c r="ET197" s="259"/>
      <c r="EU197" s="259"/>
      <c r="EV197" s="259"/>
      <c r="EW197" s="259"/>
      <c r="EX197" s="259"/>
      <c r="EY197" s="259"/>
      <c r="EZ197" s="259"/>
      <c r="FA197" s="259"/>
      <c r="FB197" s="259"/>
      <c r="FC197" s="259"/>
      <c r="FD197" s="259"/>
      <c r="FE197" s="259"/>
      <c r="FF197" s="259"/>
      <c r="FG197" s="259"/>
      <c r="FH197" s="259"/>
      <c r="FI197" s="259"/>
      <c r="FJ197" s="259"/>
      <c r="FK197" s="259"/>
      <c r="FL197" s="259"/>
      <c r="FM197" s="259"/>
      <c r="FN197" s="259"/>
      <c r="FO197" s="259"/>
      <c r="FP197" s="259"/>
      <c r="FQ197" s="259"/>
      <c r="FR197" s="259"/>
      <c r="FS197" s="259"/>
      <c r="FT197" s="259"/>
      <c r="FU197" s="259"/>
      <c r="FV197" s="259"/>
      <c r="FW197" s="259"/>
      <c r="FX197" s="259"/>
      <c r="FY197" s="259"/>
      <c r="FZ197" s="259"/>
      <c r="GA197" s="259"/>
      <c r="GB197" s="259"/>
      <c r="GC197" s="259"/>
      <c r="GD197" s="259"/>
      <c r="GE197" s="259"/>
    </row>
    <row r="198" spans="2:187" s="147" customFormat="1" ht="16.5" customHeight="1">
      <c r="B198" s="251">
        <v>192</v>
      </c>
      <c r="C198" s="489" t="s">
        <v>365</v>
      </c>
      <c r="D198" s="489" t="s">
        <v>510</v>
      </c>
      <c r="E198" s="489" t="s">
        <v>227</v>
      </c>
      <c r="F198" s="489" t="s">
        <v>169</v>
      </c>
      <c r="G198" s="490">
        <v>13</v>
      </c>
      <c r="H198" s="490">
        <v>1300000</v>
      </c>
      <c r="I198" s="252">
        <f t="shared" si="3"/>
        <v>243750</v>
      </c>
      <c r="J198" s="283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59"/>
      <c r="BK198" s="259"/>
      <c r="BL198" s="259"/>
      <c r="BM198" s="259"/>
      <c r="BN198" s="259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59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  <c r="CO198" s="259"/>
      <c r="CP198" s="259"/>
      <c r="CQ198" s="259"/>
      <c r="CR198" s="259"/>
      <c r="CS198" s="259"/>
      <c r="CT198" s="259"/>
      <c r="CU198" s="259"/>
      <c r="CV198" s="259"/>
      <c r="CW198" s="259"/>
      <c r="CX198" s="259"/>
      <c r="CY198" s="259"/>
      <c r="CZ198" s="259"/>
      <c r="DA198" s="259"/>
      <c r="DB198" s="259"/>
      <c r="DC198" s="259"/>
      <c r="DD198" s="259"/>
      <c r="DE198" s="259"/>
      <c r="DF198" s="259"/>
      <c r="DG198" s="259"/>
      <c r="DH198" s="259"/>
      <c r="DI198" s="259"/>
      <c r="DJ198" s="259"/>
      <c r="DK198" s="259"/>
      <c r="DL198" s="259"/>
      <c r="DM198" s="259"/>
      <c r="DN198" s="259"/>
      <c r="DO198" s="259"/>
      <c r="DP198" s="259"/>
      <c r="DQ198" s="259"/>
      <c r="DR198" s="259"/>
      <c r="DS198" s="259"/>
      <c r="DT198" s="259"/>
      <c r="DU198" s="259"/>
      <c r="DV198" s="259"/>
      <c r="DW198" s="259"/>
      <c r="DX198" s="259"/>
      <c r="DY198" s="259"/>
      <c r="DZ198" s="259"/>
      <c r="EA198" s="259"/>
      <c r="EB198" s="259"/>
      <c r="EC198" s="259"/>
      <c r="ED198" s="259"/>
      <c r="EE198" s="259"/>
      <c r="EF198" s="259"/>
      <c r="EG198" s="259"/>
      <c r="EH198" s="259"/>
      <c r="EI198" s="259"/>
      <c r="EJ198" s="259"/>
      <c r="EK198" s="259"/>
      <c r="EL198" s="259"/>
      <c r="EM198" s="259"/>
      <c r="EN198" s="259"/>
      <c r="EO198" s="259"/>
      <c r="EP198" s="259"/>
      <c r="EQ198" s="259"/>
      <c r="ER198" s="259"/>
      <c r="ES198" s="259"/>
      <c r="ET198" s="259"/>
      <c r="EU198" s="259"/>
      <c r="EV198" s="259"/>
      <c r="EW198" s="259"/>
      <c r="EX198" s="259"/>
      <c r="EY198" s="259"/>
      <c r="EZ198" s="259"/>
      <c r="FA198" s="259"/>
      <c r="FB198" s="259"/>
      <c r="FC198" s="259"/>
      <c r="FD198" s="259"/>
      <c r="FE198" s="259"/>
      <c r="FF198" s="259"/>
      <c r="FG198" s="259"/>
      <c r="FH198" s="259"/>
      <c r="FI198" s="259"/>
      <c r="FJ198" s="259"/>
      <c r="FK198" s="259"/>
      <c r="FL198" s="259"/>
      <c r="FM198" s="259"/>
      <c r="FN198" s="259"/>
      <c r="FO198" s="259"/>
      <c r="FP198" s="259"/>
      <c r="FQ198" s="259"/>
      <c r="FR198" s="259"/>
      <c r="FS198" s="259"/>
      <c r="FT198" s="259"/>
      <c r="FU198" s="259"/>
      <c r="FV198" s="259"/>
      <c r="FW198" s="259"/>
      <c r="FX198" s="259"/>
      <c r="FY198" s="259"/>
      <c r="FZ198" s="259"/>
      <c r="GA198" s="259"/>
      <c r="GB198" s="259"/>
      <c r="GC198" s="259"/>
      <c r="GD198" s="259"/>
      <c r="GE198" s="259"/>
    </row>
    <row r="199" spans="2:187" s="147" customFormat="1" ht="16.5" customHeight="1">
      <c r="B199" s="251">
        <v>193</v>
      </c>
      <c r="C199" s="489" t="s">
        <v>365</v>
      </c>
      <c r="D199" s="489" t="s">
        <v>425</v>
      </c>
      <c r="E199" s="489" t="s">
        <v>234</v>
      </c>
      <c r="F199" s="489" t="s">
        <v>169</v>
      </c>
      <c r="G199" s="490">
        <v>7</v>
      </c>
      <c r="H199" s="490">
        <v>700000</v>
      </c>
      <c r="I199" s="252">
        <f t="shared" si="3"/>
        <v>131250</v>
      </c>
      <c r="J199" s="219"/>
    </row>
    <row r="200" spans="2:187" s="147" customFormat="1" ht="16.5" customHeight="1">
      <c r="B200" s="251">
        <v>194</v>
      </c>
      <c r="C200" s="489" t="s">
        <v>365</v>
      </c>
      <c r="D200" s="489" t="s">
        <v>457</v>
      </c>
      <c r="E200" s="489" t="s">
        <v>183</v>
      </c>
      <c r="F200" s="489" t="s">
        <v>169</v>
      </c>
      <c r="G200" s="490">
        <v>6</v>
      </c>
      <c r="H200" s="490">
        <v>600000</v>
      </c>
      <c r="I200" s="252">
        <f t="shared" si="3"/>
        <v>112500</v>
      </c>
      <c r="J200" s="219"/>
    </row>
    <row r="201" spans="2:187" s="147" customFormat="1" ht="16.5" customHeight="1">
      <c r="B201" s="251">
        <v>195</v>
      </c>
      <c r="C201" s="489" t="s">
        <v>365</v>
      </c>
      <c r="D201" s="489" t="s">
        <v>424</v>
      </c>
      <c r="E201" s="489" t="s">
        <v>213</v>
      </c>
      <c r="F201" s="489" t="s">
        <v>175</v>
      </c>
      <c r="G201" s="490">
        <v>5</v>
      </c>
      <c r="H201" s="490">
        <v>500000</v>
      </c>
      <c r="I201" s="252">
        <f t="shared" si="3"/>
        <v>93750</v>
      </c>
      <c r="J201" s="219"/>
    </row>
    <row r="202" spans="2:187" s="147" customFormat="1" ht="16.5" customHeight="1">
      <c r="B202" s="251">
        <v>196</v>
      </c>
      <c r="C202" s="489" t="s">
        <v>365</v>
      </c>
      <c r="D202" s="489" t="s">
        <v>280</v>
      </c>
      <c r="E202" s="489" t="s">
        <v>186</v>
      </c>
      <c r="F202" s="489" t="s">
        <v>209</v>
      </c>
      <c r="G202" s="490">
        <v>1</v>
      </c>
      <c r="H202" s="490">
        <v>200000</v>
      </c>
      <c r="I202" s="252">
        <f t="shared" si="3"/>
        <v>37500</v>
      </c>
      <c r="J202" s="219"/>
    </row>
    <row r="203" spans="2:187" s="147" customFormat="1" ht="16.5" customHeight="1">
      <c r="B203" s="251">
        <v>197</v>
      </c>
      <c r="C203" s="489" t="s">
        <v>365</v>
      </c>
      <c r="D203" s="489" t="s">
        <v>509</v>
      </c>
      <c r="E203" s="489" t="s">
        <v>142</v>
      </c>
      <c r="F203" s="489" t="s">
        <v>167</v>
      </c>
      <c r="G203" s="490">
        <v>11</v>
      </c>
      <c r="H203" s="490">
        <v>1100000</v>
      </c>
      <c r="I203" s="252">
        <f t="shared" si="3"/>
        <v>206250</v>
      </c>
      <c r="J203" s="283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59"/>
      <c r="BK203" s="259"/>
      <c r="BL203" s="259"/>
      <c r="BM203" s="259"/>
      <c r="BN203" s="259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59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  <c r="CO203" s="259"/>
      <c r="CP203" s="259"/>
      <c r="CQ203" s="259"/>
      <c r="CR203" s="259"/>
      <c r="CS203" s="259"/>
      <c r="CT203" s="259"/>
      <c r="CU203" s="259"/>
      <c r="CV203" s="259"/>
      <c r="CW203" s="259"/>
      <c r="CX203" s="259"/>
      <c r="CY203" s="259"/>
      <c r="CZ203" s="259"/>
      <c r="DA203" s="259"/>
      <c r="DB203" s="259"/>
      <c r="DC203" s="259"/>
      <c r="DD203" s="259"/>
      <c r="DE203" s="259"/>
      <c r="DF203" s="259"/>
      <c r="DG203" s="259"/>
      <c r="DH203" s="259"/>
      <c r="DI203" s="259"/>
      <c r="DJ203" s="259"/>
      <c r="DK203" s="259"/>
      <c r="DL203" s="259"/>
      <c r="DM203" s="259"/>
      <c r="DN203" s="259"/>
      <c r="DO203" s="259"/>
      <c r="DP203" s="259"/>
      <c r="DQ203" s="259"/>
      <c r="DR203" s="259"/>
      <c r="DS203" s="259"/>
      <c r="DT203" s="259"/>
      <c r="DU203" s="259"/>
      <c r="DV203" s="259"/>
      <c r="DW203" s="259"/>
      <c r="DX203" s="259"/>
      <c r="DY203" s="259"/>
      <c r="DZ203" s="259"/>
      <c r="EA203" s="259"/>
      <c r="EB203" s="259"/>
      <c r="EC203" s="259"/>
      <c r="ED203" s="259"/>
      <c r="EE203" s="259"/>
      <c r="EF203" s="259"/>
      <c r="EG203" s="259"/>
      <c r="EH203" s="259"/>
      <c r="EI203" s="259"/>
      <c r="EJ203" s="259"/>
      <c r="EK203" s="259"/>
      <c r="EL203" s="259"/>
      <c r="EM203" s="259"/>
      <c r="EN203" s="259"/>
      <c r="EO203" s="259"/>
      <c r="EP203" s="259"/>
      <c r="EQ203" s="259"/>
      <c r="ER203" s="259"/>
      <c r="ES203" s="259"/>
      <c r="ET203" s="259"/>
      <c r="EU203" s="259"/>
      <c r="EV203" s="259"/>
      <c r="EW203" s="259"/>
      <c r="EX203" s="259"/>
      <c r="EY203" s="259"/>
      <c r="EZ203" s="259"/>
      <c r="FA203" s="259"/>
      <c r="FB203" s="259"/>
      <c r="FC203" s="259"/>
      <c r="FD203" s="259"/>
      <c r="FE203" s="259"/>
      <c r="FF203" s="259"/>
      <c r="FG203" s="259"/>
      <c r="FH203" s="259"/>
      <c r="FI203" s="259"/>
      <c r="FJ203" s="259"/>
      <c r="FK203" s="259"/>
      <c r="FL203" s="259"/>
      <c r="FM203" s="259"/>
      <c r="FN203" s="259"/>
      <c r="FO203" s="259"/>
      <c r="FP203" s="259"/>
      <c r="FQ203" s="259"/>
      <c r="FR203" s="259"/>
      <c r="FS203" s="259"/>
      <c r="FT203" s="259"/>
      <c r="FU203" s="259"/>
      <c r="FV203" s="259"/>
      <c r="FW203" s="259"/>
      <c r="FX203" s="259"/>
      <c r="FY203" s="259"/>
      <c r="FZ203" s="259"/>
      <c r="GA203" s="259"/>
      <c r="GB203" s="259"/>
      <c r="GC203" s="259"/>
      <c r="GD203" s="259"/>
      <c r="GE203" s="259"/>
    </row>
    <row r="204" spans="2:187" s="147" customFormat="1" ht="16.5" customHeight="1">
      <c r="B204" s="251">
        <v>198</v>
      </c>
      <c r="C204" s="489" t="s">
        <v>365</v>
      </c>
      <c r="D204" s="489" t="s">
        <v>509</v>
      </c>
      <c r="E204" s="489" t="s">
        <v>142</v>
      </c>
      <c r="F204" s="489" t="s">
        <v>513</v>
      </c>
      <c r="G204" s="490">
        <v>5</v>
      </c>
      <c r="H204" s="490">
        <v>750000</v>
      </c>
      <c r="I204" s="252">
        <f t="shared" si="3"/>
        <v>140625</v>
      </c>
      <c r="J204" s="283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59"/>
      <c r="BK204" s="259"/>
      <c r="BL204" s="259"/>
      <c r="BM204" s="259"/>
      <c r="BN204" s="259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59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  <c r="CO204" s="259"/>
      <c r="CP204" s="259"/>
      <c r="CQ204" s="259"/>
      <c r="CR204" s="259"/>
      <c r="CS204" s="259"/>
      <c r="CT204" s="259"/>
      <c r="CU204" s="259"/>
      <c r="CV204" s="259"/>
      <c r="CW204" s="259"/>
      <c r="CX204" s="259"/>
      <c r="CY204" s="259"/>
      <c r="CZ204" s="259"/>
      <c r="DA204" s="259"/>
      <c r="DB204" s="259"/>
      <c r="DC204" s="259"/>
      <c r="DD204" s="259"/>
      <c r="DE204" s="259"/>
      <c r="DF204" s="259"/>
      <c r="DG204" s="259"/>
      <c r="DH204" s="259"/>
      <c r="DI204" s="259"/>
      <c r="DJ204" s="259"/>
      <c r="DK204" s="259"/>
      <c r="DL204" s="259"/>
      <c r="DM204" s="259"/>
      <c r="DN204" s="259"/>
      <c r="DO204" s="259"/>
      <c r="DP204" s="259"/>
      <c r="DQ204" s="259"/>
      <c r="DR204" s="259"/>
      <c r="DS204" s="259"/>
      <c r="DT204" s="259"/>
      <c r="DU204" s="259"/>
      <c r="DV204" s="259"/>
      <c r="DW204" s="259"/>
      <c r="DX204" s="259"/>
      <c r="DY204" s="259"/>
      <c r="DZ204" s="259"/>
      <c r="EA204" s="259"/>
      <c r="EB204" s="259"/>
      <c r="EC204" s="259"/>
      <c r="ED204" s="259"/>
      <c r="EE204" s="259"/>
      <c r="EF204" s="259"/>
      <c r="EG204" s="259"/>
      <c r="EH204" s="259"/>
      <c r="EI204" s="259"/>
      <c r="EJ204" s="259"/>
      <c r="EK204" s="259"/>
      <c r="EL204" s="259"/>
      <c r="EM204" s="259"/>
      <c r="EN204" s="259"/>
      <c r="EO204" s="259"/>
      <c r="EP204" s="259"/>
      <c r="EQ204" s="259"/>
      <c r="ER204" s="259"/>
      <c r="ES204" s="259"/>
      <c r="ET204" s="259"/>
      <c r="EU204" s="259"/>
      <c r="EV204" s="259"/>
      <c r="EW204" s="259"/>
      <c r="EX204" s="259"/>
      <c r="EY204" s="259"/>
      <c r="EZ204" s="259"/>
      <c r="FA204" s="259"/>
      <c r="FB204" s="259"/>
      <c r="FC204" s="259"/>
      <c r="FD204" s="259"/>
      <c r="FE204" s="259"/>
      <c r="FF204" s="259"/>
      <c r="FG204" s="259"/>
      <c r="FH204" s="259"/>
      <c r="FI204" s="259"/>
      <c r="FJ204" s="259"/>
      <c r="FK204" s="259"/>
      <c r="FL204" s="259"/>
      <c r="FM204" s="259"/>
      <c r="FN204" s="259"/>
      <c r="FO204" s="259"/>
      <c r="FP204" s="259"/>
      <c r="FQ204" s="259"/>
      <c r="FR204" s="259"/>
      <c r="FS204" s="259"/>
      <c r="FT204" s="259"/>
      <c r="FU204" s="259"/>
      <c r="FV204" s="259"/>
      <c r="FW204" s="259"/>
      <c r="FX204" s="259"/>
      <c r="FY204" s="259"/>
      <c r="FZ204" s="259"/>
      <c r="GA204" s="259"/>
      <c r="GB204" s="259"/>
      <c r="GC204" s="259"/>
      <c r="GD204" s="259"/>
      <c r="GE204" s="259"/>
    </row>
    <row r="205" spans="2:187" s="147" customFormat="1" ht="16.5" customHeight="1">
      <c r="B205" s="251">
        <v>199</v>
      </c>
      <c r="C205" s="489" t="s">
        <v>365</v>
      </c>
      <c r="D205" s="489" t="s">
        <v>457</v>
      </c>
      <c r="E205" s="489" t="s">
        <v>183</v>
      </c>
      <c r="F205" s="489" t="s">
        <v>167</v>
      </c>
      <c r="G205" s="490">
        <v>6</v>
      </c>
      <c r="H205" s="490">
        <v>600000</v>
      </c>
      <c r="I205" s="252">
        <f t="shared" si="3"/>
        <v>112500</v>
      </c>
      <c r="J205" s="283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59"/>
      <c r="BK205" s="259"/>
      <c r="BL205" s="259"/>
      <c r="BM205" s="259"/>
      <c r="BN205" s="259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59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  <c r="CO205" s="259"/>
      <c r="CP205" s="259"/>
      <c r="CQ205" s="259"/>
      <c r="CR205" s="259"/>
      <c r="CS205" s="259"/>
      <c r="CT205" s="259"/>
      <c r="CU205" s="259"/>
      <c r="CV205" s="259"/>
      <c r="CW205" s="259"/>
      <c r="CX205" s="259"/>
      <c r="CY205" s="259"/>
      <c r="CZ205" s="259"/>
      <c r="DA205" s="259"/>
      <c r="DB205" s="259"/>
      <c r="DC205" s="259"/>
      <c r="DD205" s="259"/>
      <c r="DE205" s="259"/>
      <c r="DF205" s="259"/>
      <c r="DG205" s="259"/>
      <c r="DH205" s="259"/>
      <c r="DI205" s="259"/>
      <c r="DJ205" s="259"/>
      <c r="DK205" s="259"/>
      <c r="DL205" s="259"/>
      <c r="DM205" s="259"/>
      <c r="DN205" s="259"/>
      <c r="DO205" s="259"/>
      <c r="DP205" s="259"/>
      <c r="DQ205" s="259"/>
      <c r="DR205" s="259"/>
      <c r="DS205" s="259"/>
      <c r="DT205" s="259"/>
      <c r="DU205" s="259"/>
      <c r="DV205" s="259"/>
      <c r="DW205" s="259"/>
      <c r="DX205" s="259"/>
      <c r="DY205" s="259"/>
      <c r="DZ205" s="259"/>
      <c r="EA205" s="259"/>
      <c r="EB205" s="259"/>
      <c r="EC205" s="259"/>
      <c r="ED205" s="259"/>
      <c r="EE205" s="259"/>
      <c r="EF205" s="259"/>
      <c r="EG205" s="259"/>
      <c r="EH205" s="259"/>
      <c r="EI205" s="259"/>
      <c r="EJ205" s="259"/>
      <c r="EK205" s="259"/>
      <c r="EL205" s="259"/>
      <c r="EM205" s="259"/>
      <c r="EN205" s="259"/>
      <c r="EO205" s="259"/>
      <c r="EP205" s="259"/>
      <c r="EQ205" s="259"/>
      <c r="ER205" s="259"/>
      <c r="ES205" s="259"/>
      <c r="ET205" s="259"/>
      <c r="EU205" s="259"/>
      <c r="EV205" s="259"/>
      <c r="EW205" s="259"/>
      <c r="EX205" s="259"/>
      <c r="EY205" s="259"/>
      <c r="EZ205" s="259"/>
      <c r="FA205" s="259"/>
      <c r="FB205" s="259"/>
      <c r="FC205" s="259"/>
      <c r="FD205" s="259"/>
      <c r="FE205" s="259"/>
      <c r="FF205" s="259"/>
      <c r="FG205" s="259"/>
      <c r="FH205" s="259"/>
      <c r="FI205" s="259"/>
      <c r="FJ205" s="259"/>
      <c r="FK205" s="259"/>
      <c r="FL205" s="259"/>
      <c r="FM205" s="259"/>
      <c r="FN205" s="259"/>
      <c r="FO205" s="259"/>
      <c r="FP205" s="259"/>
      <c r="FQ205" s="259"/>
      <c r="FR205" s="259"/>
      <c r="FS205" s="259"/>
      <c r="FT205" s="259"/>
      <c r="FU205" s="259"/>
      <c r="FV205" s="259"/>
      <c r="FW205" s="259"/>
      <c r="FX205" s="259"/>
      <c r="FY205" s="259"/>
      <c r="FZ205" s="259"/>
      <c r="GA205" s="259"/>
      <c r="GB205" s="259"/>
      <c r="GC205" s="259"/>
      <c r="GD205" s="259"/>
      <c r="GE205" s="259"/>
    </row>
    <row r="206" spans="2:187" s="147" customFormat="1" ht="16.5" customHeight="1">
      <c r="B206" s="251">
        <v>200</v>
      </c>
      <c r="C206" s="489" t="s">
        <v>365</v>
      </c>
      <c r="D206" s="489" t="s">
        <v>512</v>
      </c>
      <c r="E206" s="489" t="s">
        <v>232</v>
      </c>
      <c r="F206" s="489" t="s">
        <v>167</v>
      </c>
      <c r="G206" s="490">
        <v>1</v>
      </c>
      <c r="H206" s="490">
        <v>100000</v>
      </c>
      <c r="I206" s="252">
        <f t="shared" si="3"/>
        <v>18750</v>
      </c>
      <c r="J206" s="283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59"/>
      <c r="BK206" s="259"/>
      <c r="BL206" s="259"/>
      <c r="BM206" s="259"/>
      <c r="BN206" s="259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59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  <c r="CO206" s="259"/>
      <c r="CP206" s="259"/>
      <c r="CQ206" s="259"/>
      <c r="CR206" s="259"/>
      <c r="CS206" s="259"/>
      <c r="CT206" s="259"/>
      <c r="CU206" s="259"/>
      <c r="CV206" s="259"/>
      <c r="CW206" s="259"/>
      <c r="CX206" s="259"/>
      <c r="CY206" s="259"/>
      <c r="CZ206" s="259"/>
      <c r="DA206" s="259"/>
      <c r="DB206" s="259"/>
      <c r="DC206" s="259"/>
      <c r="DD206" s="259"/>
      <c r="DE206" s="259"/>
      <c r="DF206" s="259"/>
      <c r="DG206" s="259"/>
      <c r="DH206" s="259"/>
      <c r="DI206" s="259"/>
      <c r="DJ206" s="259"/>
      <c r="DK206" s="259"/>
      <c r="DL206" s="259"/>
      <c r="DM206" s="259"/>
      <c r="DN206" s="259"/>
      <c r="DO206" s="259"/>
      <c r="DP206" s="259"/>
      <c r="DQ206" s="259"/>
      <c r="DR206" s="259"/>
      <c r="DS206" s="259"/>
      <c r="DT206" s="259"/>
      <c r="DU206" s="259"/>
      <c r="DV206" s="259"/>
      <c r="DW206" s="259"/>
      <c r="DX206" s="259"/>
      <c r="DY206" s="259"/>
      <c r="DZ206" s="259"/>
      <c r="EA206" s="259"/>
      <c r="EB206" s="259"/>
      <c r="EC206" s="259"/>
      <c r="ED206" s="259"/>
      <c r="EE206" s="259"/>
      <c r="EF206" s="259"/>
      <c r="EG206" s="259"/>
      <c r="EH206" s="259"/>
      <c r="EI206" s="259"/>
      <c r="EJ206" s="259"/>
      <c r="EK206" s="259"/>
      <c r="EL206" s="259"/>
      <c r="EM206" s="259"/>
      <c r="EN206" s="259"/>
      <c r="EO206" s="259"/>
      <c r="EP206" s="259"/>
      <c r="EQ206" s="259"/>
      <c r="ER206" s="259"/>
      <c r="ES206" s="259"/>
      <c r="ET206" s="259"/>
      <c r="EU206" s="259"/>
      <c r="EV206" s="259"/>
      <c r="EW206" s="259"/>
      <c r="EX206" s="259"/>
      <c r="EY206" s="259"/>
      <c r="EZ206" s="259"/>
      <c r="FA206" s="259"/>
      <c r="FB206" s="259"/>
      <c r="FC206" s="259"/>
      <c r="FD206" s="259"/>
      <c r="FE206" s="259"/>
      <c r="FF206" s="259"/>
      <c r="FG206" s="259"/>
      <c r="FH206" s="259"/>
      <c r="FI206" s="259"/>
      <c r="FJ206" s="259"/>
      <c r="FK206" s="259"/>
      <c r="FL206" s="259"/>
      <c r="FM206" s="259"/>
      <c r="FN206" s="259"/>
      <c r="FO206" s="259"/>
      <c r="FP206" s="259"/>
      <c r="FQ206" s="259"/>
      <c r="FR206" s="259"/>
      <c r="FS206" s="259"/>
      <c r="FT206" s="259"/>
      <c r="FU206" s="259"/>
      <c r="FV206" s="259"/>
      <c r="FW206" s="259"/>
      <c r="FX206" s="259"/>
      <c r="FY206" s="259"/>
      <c r="FZ206" s="259"/>
      <c r="GA206" s="259"/>
      <c r="GB206" s="259"/>
      <c r="GC206" s="259"/>
      <c r="GD206" s="259"/>
      <c r="GE206" s="259"/>
    </row>
    <row r="207" spans="2:187" s="147" customFormat="1" ht="16.5" customHeight="1">
      <c r="B207" s="251">
        <v>201</v>
      </c>
      <c r="C207" s="489" t="s">
        <v>365</v>
      </c>
      <c r="D207" s="489" t="s">
        <v>514</v>
      </c>
      <c r="E207" s="489" t="s">
        <v>515</v>
      </c>
      <c r="F207" s="489" t="s">
        <v>208</v>
      </c>
      <c r="G207" s="490">
        <v>1</v>
      </c>
      <c r="H207" s="490">
        <v>500000</v>
      </c>
      <c r="I207" s="252">
        <f t="shared" si="3"/>
        <v>93750</v>
      </c>
      <c r="J207" s="283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59"/>
      <c r="BK207" s="259"/>
      <c r="BL207" s="259"/>
      <c r="BM207" s="259"/>
      <c r="BN207" s="259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59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  <c r="CO207" s="259"/>
      <c r="CP207" s="259"/>
      <c r="CQ207" s="259"/>
      <c r="CR207" s="259"/>
      <c r="CS207" s="259"/>
      <c r="CT207" s="259"/>
      <c r="CU207" s="259"/>
      <c r="CV207" s="259"/>
      <c r="CW207" s="259"/>
      <c r="CX207" s="259"/>
      <c r="CY207" s="259"/>
      <c r="CZ207" s="259"/>
      <c r="DA207" s="259"/>
      <c r="DB207" s="259"/>
      <c r="DC207" s="259"/>
      <c r="DD207" s="259"/>
      <c r="DE207" s="259"/>
      <c r="DF207" s="259"/>
      <c r="DG207" s="259"/>
      <c r="DH207" s="259"/>
      <c r="DI207" s="259"/>
      <c r="DJ207" s="259"/>
      <c r="DK207" s="259"/>
      <c r="DL207" s="259"/>
      <c r="DM207" s="259"/>
      <c r="DN207" s="259"/>
      <c r="DO207" s="259"/>
      <c r="DP207" s="259"/>
      <c r="DQ207" s="259"/>
      <c r="DR207" s="259"/>
      <c r="DS207" s="259"/>
      <c r="DT207" s="259"/>
      <c r="DU207" s="259"/>
      <c r="DV207" s="259"/>
      <c r="DW207" s="259"/>
      <c r="DX207" s="259"/>
      <c r="DY207" s="259"/>
      <c r="DZ207" s="259"/>
      <c r="EA207" s="259"/>
      <c r="EB207" s="259"/>
      <c r="EC207" s="259"/>
      <c r="ED207" s="259"/>
      <c r="EE207" s="259"/>
      <c r="EF207" s="259"/>
      <c r="EG207" s="259"/>
      <c r="EH207" s="259"/>
      <c r="EI207" s="259"/>
      <c r="EJ207" s="259"/>
      <c r="EK207" s="259"/>
      <c r="EL207" s="259"/>
      <c r="EM207" s="259"/>
      <c r="EN207" s="259"/>
      <c r="EO207" s="259"/>
      <c r="EP207" s="259"/>
      <c r="EQ207" s="259"/>
      <c r="ER207" s="259"/>
      <c r="ES207" s="259"/>
      <c r="ET207" s="259"/>
      <c r="EU207" s="259"/>
      <c r="EV207" s="259"/>
      <c r="EW207" s="259"/>
      <c r="EX207" s="259"/>
      <c r="EY207" s="259"/>
      <c r="EZ207" s="259"/>
      <c r="FA207" s="259"/>
      <c r="FB207" s="259"/>
      <c r="FC207" s="259"/>
      <c r="FD207" s="259"/>
      <c r="FE207" s="259"/>
      <c r="FF207" s="259"/>
      <c r="FG207" s="259"/>
      <c r="FH207" s="259"/>
      <c r="FI207" s="259"/>
      <c r="FJ207" s="259"/>
      <c r="FK207" s="259"/>
      <c r="FL207" s="259"/>
      <c r="FM207" s="259"/>
      <c r="FN207" s="259"/>
      <c r="FO207" s="259"/>
      <c r="FP207" s="259"/>
      <c r="FQ207" s="259"/>
      <c r="FR207" s="259"/>
      <c r="FS207" s="259"/>
      <c r="FT207" s="259"/>
      <c r="FU207" s="259"/>
      <c r="FV207" s="259"/>
      <c r="FW207" s="259"/>
      <c r="FX207" s="259"/>
      <c r="FY207" s="259"/>
      <c r="FZ207" s="259"/>
      <c r="GA207" s="259"/>
      <c r="GB207" s="259"/>
      <c r="GC207" s="259"/>
      <c r="GD207" s="259"/>
      <c r="GE207" s="259"/>
    </row>
    <row r="208" spans="2:187" s="147" customFormat="1" ht="16.5" customHeight="1">
      <c r="B208" s="251">
        <v>202</v>
      </c>
      <c r="C208" s="489" t="s">
        <v>368</v>
      </c>
      <c r="D208" s="489" t="s">
        <v>516</v>
      </c>
      <c r="E208" s="489" t="s">
        <v>188</v>
      </c>
      <c r="F208" s="489" t="s">
        <v>167</v>
      </c>
      <c r="G208" s="490">
        <v>1</v>
      </c>
      <c r="H208" s="490">
        <v>100000</v>
      </c>
      <c r="I208" s="252">
        <f t="shared" si="3"/>
        <v>18750</v>
      </c>
      <c r="J208" s="219"/>
    </row>
    <row r="209" spans="2:187" s="147" customFormat="1" ht="16.5" customHeight="1">
      <c r="B209" s="251">
        <v>203</v>
      </c>
      <c r="C209" s="489" t="s">
        <v>368</v>
      </c>
      <c r="D209" s="489" t="s">
        <v>428</v>
      </c>
      <c r="E209" s="489" t="s">
        <v>200</v>
      </c>
      <c r="F209" s="489" t="s">
        <v>167</v>
      </c>
      <c r="G209" s="490">
        <v>6</v>
      </c>
      <c r="H209" s="490">
        <v>600000</v>
      </c>
      <c r="I209" s="252">
        <f t="shared" si="3"/>
        <v>112500</v>
      </c>
      <c r="J209" s="219"/>
    </row>
    <row r="210" spans="2:187" s="147" customFormat="1" ht="16.5" customHeight="1">
      <c r="B210" s="251">
        <v>204</v>
      </c>
      <c r="C210" s="489" t="s">
        <v>368</v>
      </c>
      <c r="D210" s="489" t="s">
        <v>429</v>
      </c>
      <c r="E210" s="489" t="s">
        <v>179</v>
      </c>
      <c r="F210" s="489" t="s">
        <v>167</v>
      </c>
      <c r="G210" s="490">
        <v>5</v>
      </c>
      <c r="H210" s="490">
        <v>500000</v>
      </c>
      <c r="I210" s="252">
        <f t="shared" si="3"/>
        <v>93750</v>
      </c>
      <c r="J210" s="219"/>
    </row>
    <row r="211" spans="2:187" s="147" customFormat="1" ht="16.5" customHeight="1">
      <c r="B211" s="251">
        <v>205</v>
      </c>
      <c r="C211" s="489" t="s">
        <v>368</v>
      </c>
      <c r="D211" s="489" t="s">
        <v>494</v>
      </c>
      <c r="E211" s="489" t="s">
        <v>239</v>
      </c>
      <c r="F211" s="489" t="s">
        <v>171</v>
      </c>
      <c r="G211" s="490">
        <v>1</v>
      </c>
      <c r="H211" s="490">
        <v>40300</v>
      </c>
      <c r="I211" s="252">
        <f t="shared" si="3"/>
        <v>7556.25</v>
      </c>
      <c r="J211" s="219"/>
    </row>
    <row r="212" spans="2:187" s="147" customFormat="1" ht="16.5" customHeight="1">
      <c r="B212" s="251">
        <v>206</v>
      </c>
      <c r="C212" s="489" t="s">
        <v>368</v>
      </c>
      <c r="D212" s="489" t="s">
        <v>429</v>
      </c>
      <c r="E212" s="489" t="s">
        <v>179</v>
      </c>
      <c r="F212" s="489" t="s">
        <v>175</v>
      </c>
      <c r="G212" s="490">
        <v>5</v>
      </c>
      <c r="H212" s="490">
        <v>500000</v>
      </c>
      <c r="I212" s="252">
        <f t="shared" si="3"/>
        <v>93750</v>
      </c>
      <c r="J212" s="283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59"/>
      <c r="BK212" s="259"/>
      <c r="BL212" s="259"/>
      <c r="BM212" s="259"/>
      <c r="BN212" s="259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59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  <c r="CO212" s="259"/>
      <c r="CP212" s="259"/>
      <c r="CQ212" s="259"/>
      <c r="CR212" s="259"/>
      <c r="CS212" s="259"/>
      <c r="CT212" s="259"/>
      <c r="CU212" s="259"/>
      <c r="CV212" s="259"/>
      <c r="CW212" s="259"/>
      <c r="CX212" s="259"/>
      <c r="CY212" s="259"/>
      <c r="CZ212" s="259"/>
      <c r="DA212" s="259"/>
      <c r="DB212" s="259"/>
      <c r="DC212" s="259"/>
      <c r="DD212" s="259"/>
      <c r="DE212" s="259"/>
      <c r="DF212" s="259"/>
      <c r="DG212" s="259"/>
      <c r="DH212" s="259"/>
      <c r="DI212" s="259"/>
      <c r="DJ212" s="259"/>
      <c r="DK212" s="259"/>
      <c r="DL212" s="259"/>
      <c r="DM212" s="259"/>
      <c r="DN212" s="259"/>
      <c r="DO212" s="259"/>
      <c r="DP212" s="259"/>
      <c r="DQ212" s="259"/>
      <c r="DR212" s="259"/>
      <c r="DS212" s="259"/>
      <c r="DT212" s="259"/>
      <c r="DU212" s="259"/>
      <c r="DV212" s="259"/>
      <c r="DW212" s="259"/>
      <c r="DX212" s="259"/>
      <c r="DY212" s="259"/>
      <c r="DZ212" s="259"/>
      <c r="EA212" s="259"/>
      <c r="EB212" s="259"/>
      <c r="EC212" s="259"/>
      <c r="ED212" s="259"/>
      <c r="EE212" s="259"/>
      <c r="EF212" s="259"/>
      <c r="EG212" s="259"/>
      <c r="EH212" s="259"/>
      <c r="EI212" s="259"/>
      <c r="EJ212" s="259"/>
      <c r="EK212" s="259"/>
      <c r="EL212" s="259"/>
      <c r="EM212" s="259"/>
      <c r="EN212" s="259"/>
      <c r="EO212" s="259"/>
      <c r="EP212" s="259"/>
      <c r="EQ212" s="259"/>
      <c r="ER212" s="259"/>
      <c r="ES212" s="259"/>
      <c r="ET212" s="259"/>
      <c r="EU212" s="259"/>
      <c r="EV212" s="259"/>
      <c r="EW212" s="259"/>
      <c r="EX212" s="259"/>
      <c r="EY212" s="259"/>
      <c r="EZ212" s="259"/>
      <c r="FA212" s="259"/>
      <c r="FB212" s="259"/>
      <c r="FC212" s="259"/>
      <c r="FD212" s="259"/>
      <c r="FE212" s="259"/>
      <c r="FF212" s="259"/>
      <c r="FG212" s="259"/>
      <c r="FH212" s="259"/>
      <c r="FI212" s="259"/>
      <c r="FJ212" s="259"/>
      <c r="FK212" s="259"/>
      <c r="FL212" s="259"/>
      <c r="FM212" s="259"/>
      <c r="FN212" s="259"/>
      <c r="FO212" s="259"/>
      <c r="FP212" s="259"/>
      <c r="FQ212" s="259"/>
      <c r="FR212" s="259"/>
      <c r="FS212" s="259"/>
      <c r="FT212" s="259"/>
      <c r="FU212" s="259"/>
      <c r="FV212" s="259"/>
      <c r="FW212" s="259"/>
      <c r="FX212" s="259"/>
      <c r="FY212" s="259"/>
      <c r="FZ212" s="259"/>
      <c r="GA212" s="259"/>
      <c r="GB212" s="259"/>
      <c r="GC212" s="259"/>
      <c r="GD212" s="259"/>
      <c r="GE212" s="259"/>
    </row>
    <row r="213" spans="2:187" s="147" customFormat="1" ht="16.5" customHeight="1">
      <c r="B213" s="251">
        <v>207</v>
      </c>
      <c r="C213" s="489" t="s">
        <v>368</v>
      </c>
      <c r="D213" s="489" t="s">
        <v>516</v>
      </c>
      <c r="E213" s="489" t="s">
        <v>188</v>
      </c>
      <c r="F213" s="489" t="s">
        <v>175</v>
      </c>
      <c r="G213" s="490">
        <v>1</v>
      </c>
      <c r="H213" s="490">
        <v>100000</v>
      </c>
      <c r="I213" s="252">
        <f t="shared" si="3"/>
        <v>18750</v>
      </c>
      <c r="J213" s="283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59"/>
      <c r="BK213" s="259"/>
      <c r="BL213" s="259"/>
      <c r="BM213" s="259"/>
      <c r="BN213" s="259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59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  <c r="CO213" s="259"/>
      <c r="CP213" s="259"/>
      <c r="CQ213" s="259"/>
      <c r="CR213" s="259"/>
      <c r="CS213" s="259"/>
      <c r="CT213" s="259"/>
      <c r="CU213" s="259"/>
      <c r="CV213" s="259"/>
      <c r="CW213" s="259"/>
      <c r="CX213" s="259"/>
      <c r="CY213" s="259"/>
      <c r="CZ213" s="259"/>
      <c r="DA213" s="259"/>
      <c r="DB213" s="259"/>
      <c r="DC213" s="259"/>
      <c r="DD213" s="259"/>
      <c r="DE213" s="259"/>
      <c r="DF213" s="259"/>
      <c r="DG213" s="259"/>
      <c r="DH213" s="259"/>
      <c r="DI213" s="259"/>
      <c r="DJ213" s="259"/>
      <c r="DK213" s="259"/>
      <c r="DL213" s="259"/>
      <c r="DM213" s="259"/>
      <c r="DN213" s="259"/>
      <c r="DO213" s="259"/>
      <c r="DP213" s="259"/>
      <c r="DQ213" s="259"/>
      <c r="DR213" s="259"/>
      <c r="DS213" s="259"/>
      <c r="DT213" s="259"/>
      <c r="DU213" s="259"/>
      <c r="DV213" s="259"/>
      <c r="DW213" s="259"/>
      <c r="DX213" s="259"/>
      <c r="DY213" s="259"/>
      <c r="DZ213" s="259"/>
      <c r="EA213" s="259"/>
      <c r="EB213" s="259"/>
      <c r="EC213" s="259"/>
      <c r="ED213" s="259"/>
      <c r="EE213" s="259"/>
      <c r="EF213" s="259"/>
      <c r="EG213" s="259"/>
      <c r="EH213" s="259"/>
      <c r="EI213" s="259"/>
      <c r="EJ213" s="259"/>
      <c r="EK213" s="259"/>
      <c r="EL213" s="259"/>
      <c r="EM213" s="259"/>
      <c r="EN213" s="259"/>
      <c r="EO213" s="259"/>
      <c r="EP213" s="259"/>
      <c r="EQ213" s="259"/>
      <c r="ER213" s="259"/>
      <c r="ES213" s="259"/>
      <c r="ET213" s="259"/>
      <c r="EU213" s="259"/>
      <c r="EV213" s="259"/>
      <c r="EW213" s="259"/>
      <c r="EX213" s="259"/>
      <c r="EY213" s="259"/>
      <c r="EZ213" s="259"/>
      <c r="FA213" s="259"/>
      <c r="FB213" s="259"/>
      <c r="FC213" s="259"/>
      <c r="FD213" s="259"/>
      <c r="FE213" s="259"/>
      <c r="FF213" s="259"/>
      <c r="FG213" s="259"/>
      <c r="FH213" s="259"/>
      <c r="FI213" s="259"/>
      <c r="FJ213" s="259"/>
      <c r="FK213" s="259"/>
      <c r="FL213" s="259"/>
      <c r="FM213" s="259"/>
      <c r="FN213" s="259"/>
      <c r="FO213" s="259"/>
      <c r="FP213" s="259"/>
      <c r="FQ213" s="259"/>
      <c r="FR213" s="259"/>
      <c r="FS213" s="259"/>
      <c r="FT213" s="259"/>
      <c r="FU213" s="259"/>
      <c r="FV213" s="259"/>
      <c r="FW213" s="259"/>
      <c r="FX213" s="259"/>
      <c r="FY213" s="259"/>
      <c r="FZ213" s="259"/>
      <c r="GA213" s="259"/>
      <c r="GB213" s="259"/>
      <c r="GC213" s="259"/>
      <c r="GD213" s="259"/>
      <c r="GE213" s="259"/>
    </row>
    <row r="214" spans="2:187" s="147" customFormat="1" ht="16.5" customHeight="1">
      <c r="B214" s="251">
        <v>208</v>
      </c>
      <c r="C214" s="489" t="s">
        <v>368</v>
      </c>
      <c r="D214" s="489" t="s">
        <v>426</v>
      </c>
      <c r="E214" s="489" t="s">
        <v>427</v>
      </c>
      <c r="F214" s="489" t="s">
        <v>175</v>
      </c>
      <c r="G214" s="490">
        <v>6</v>
      </c>
      <c r="H214" s="490">
        <v>600000</v>
      </c>
      <c r="I214" s="252">
        <f t="shared" si="3"/>
        <v>112500</v>
      </c>
      <c r="J214" s="283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59"/>
      <c r="BK214" s="259"/>
      <c r="BL214" s="259"/>
      <c r="BM214" s="259"/>
      <c r="BN214" s="259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59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  <c r="CO214" s="259"/>
      <c r="CP214" s="259"/>
      <c r="CQ214" s="259"/>
      <c r="CR214" s="259"/>
      <c r="CS214" s="259"/>
      <c r="CT214" s="259"/>
      <c r="CU214" s="259"/>
      <c r="CV214" s="259"/>
      <c r="CW214" s="259"/>
      <c r="CX214" s="259"/>
      <c r="CY214" s="259"/>
      <c r="CZ214" s="259"/>
      <c r="DA214" s="259"/>
      <c r="DB214" s="259"/>
      <c r="DC214" s="259"/>
      <c r="DD214" s="259"/>
      <c r="DE214" s="259"/>
      <c r="DF214" s="259"/>
      <c r="DG214" s="259"/>
      <c r="DH214" s="259"/>
      <c r="DI214" s="259"/>
      <c r="DJ214" s="259"/>
      <c r="DK214" s="259"/>
      <c r="DL214" s="259"/>
      <c r="DM214" s="259"/>
      <c r="DN214" s="259"/>
      <c r="DO214" s="259"/>
      <c r="DP214" s="259"/>
      <c r="DQ214" s="259"/>
      <c r="DR214" s="259"/>
      <c r="DS214" s="259"/>
      <c r="DT214" s="259"/>
      <c r="DU214" s="259"/>
      <c r="DV214" s="259"/>
      <c r="DW214" s="259"/>
      <c r="DX214" s="259"/>
      <c r="DY214" s="259"/>
      <c r="DZ214" s="259"/>
      <c r="EA214" s="259"/>
      <c r="EB214" s="259"/>
      <c r="EC214" s="259"/>
      <c r="ED214" s="259"/>
      <c r="EE214" s="259"/>
      <c r="EF214" s="259"/>
      <c r="EG214" s="259"/>
      <c r="EH214" s="259"/>
      <c r="EI214" s="259"/>
      <c r="EJ214" s="259"/>
      <c r="EK214" s="259"/>
      <c r="EL214" s="259"/>
      <c r="EM214" s="259"/>
      <c r="EN214" s="259"/>
      <c r="EO214" s="259"/>
      <c r="EP214" s="259"/>
      <c r="EQ214" s="259"/>
      <c r="ER214" s="259"/>
      <c r="ES214" s="259"/>
      <c r="ET214" s="259"/>
      <c r="EU214" s="259"/>
      <c r="EV214" s="259"/>
      <c r="EW214" s="259"/>
      <c r="EX214" s="259"/>
      <c r="EY214" s="259"/>
      <c r="EZ214" s="259"/>
      <c r="FA214" s="259"/>
      <c r="FB214" s="259"/>
      <c r="FC214" s="259"/>
      <c r="FD214" s="259"/>
      <c r="FE214" s="259"/>
      <c r="FF214" s="259"/>
      <c r="FG214" s="259"/>
      <c r="FH214" s="259"/>
      <c r="FI214" s="259"/>
      <c r="FJ214" s="259"/>
      <c r="FK214" s="259"/>
      <c r="FL214" s="259"/>
      <c r="FM214" s="259"/>
      <c r="FN214" s="259"/>
      <c r="FO214" s="259"/>
      <c r="FP214" s="259"/>
      <c r="FQ214" s="259"/>
      <c r="FR214" s="259"/>
      <c r="FS214" s="259"/>
      <c r="FT214" s="259"/>
      <c r="FU214" s="259"/>
      <c r="FV214" s="259"/>
      <c r="FW214" s="259"/>
      <c r="FX214" s="259"/>
      <c r="FY214" s="259"/>
      <c r="FZ214" s="259"/>
      <c r="GA214" s="259"/>
      <c r="GB214" s="259"/>
      <c r="GC214" s="259"/>
      <c r="GD214" s="259"/>
      <c r="GE214" s="259"/>
    </row>
    <row r="215" spans="2:187" s="147" customFormat="1" ht="16.5" customHeight="1">
      <c r="B215" s="251">
        <v>209</v>
      </c>
      <c r="C215" s="489" t="s">
        <v>368</v>
      </c>
      <c r="D215" s="489" t="s">
        <v>426</v>
      </c>
      <c r="E215" s="489" t="s">
        <v>427</v>
      </c>
      <c r="F215" s="489" t="s">
        <v>167</v>
      </c>
      <c r="G215" s="490">
        <v>6</v>
      </c>
      <c r="H215" s="490">
        <v>600000</v>
      </c>
      <c r="I215" s="252">
        <f t="shared" si="3"/>
        <v>112500</v>
      </c>
      <c r="J215" s="283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59"/>
      <c r="BK215" s="259"/>
      <c r="BL215" s="259"/>
      <c r="BM215" s="259"/>
      <c r="BN215" s="259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59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  <c r="CO215" s="259"/>
      <c r="CP215" s="259"/>
      <c r="CQ215" s="259"/>
      <c r="CR215" s="259"/>
      <c r="CS215" s="259"/>
      <c r="CT215" s="259"/>
      <c r="CU215" s="259"/>
      <c r="CV215" s="259"/>
      <c r="CW215" s="259"/>
      <c r="CX215" s="259"/>
      <c r="CY215" s="259"/>
      <c r="CZ215" s="259"/>
      <c r="DA215" s="259"/>
      <c r="DB215" s="259"/>
      <c r="DC215" s="259"/>
      <c r="DD215" s="259"/>
      <c r="DE215" s="259"/>
      <c r="DF215" s="259"/>
      <c r="DG215" s="259"/>
      <c r="DH215" s="259"/>
      <c r="DI215" s="259"/>
      <c r="DJ215" s="259"/>
      <c r="DK215" s="259"/>
      <c r="DL215" s="259"/>
      <c r="DM215" s="259"/>
      <c r="DN215" s="259"/>
      <c r="DO215" s="259"/>
      <c r="DP215" s="259"/>
      <c r="DQ215" s="259"/>
      <c r="DR215" s="259"/>
      <c r="DS215" s="259"/>
      <c r="DT215" s="259"/>
      <c r="DU215" s="259"/>
      <c r="DV215" s="259"/>
      <c r="DW215" s="259"/>
      <c r="DX215" s="259"/>
      <c r="DY215" s="259"/>
      <c r="DZ215" s="259"/>
      <c r="EA215" s="259"/>
      <c r="EB215" s="259"/>
      <c r="EC215" s="259"/>
      <c r="ED215" s="259"/>
      <c r="EE215" s="259"/>
      <c r="EF215" s="259"/>
      <c r="EG215" s="259"/>
      <c r="EH215" s="259"/>
      <c r="EI215" s="259"/>
      <c r="EJ215" s="259"/>
      <c r="EK215" s="259"/>
      <c r="EL215" s="259"/>
      <c r="EM215" s="259"/>
      <c r="EN215" s="259"/>
      <c r="EO215" s="259"/>
      <c r="EP215" s="259"/>
      <c r="EQ215" s="259"/>
      <c r="ER215" s="259"/>
      <c r="ES215" s="259"/>
      <c r="ET215" s="259"/>
      <c r="EU215" s="259"/>
      <c r="EV215" s="259"/>
      <c r="EW215" s="259"/>
      <c r="EX215" s="259"/>
      <c r="EY215" s="259"/>
      <c r="EZ215" s="259"/>
      <c r="FA215" s="259"/>
      <c r="FB215" s="259"/>
      <c r="FC215" s="259"/>
      <c r="FD215" s="259"/>
      <c r="FE215" s="259"/>
      <c r="FF215" s="259"/>
      <c r="FG215" s="259"/>
      <c r="FH215" s="259"/>
      <c r="FI215" s="259"/>
      <c r="FJ215" s="259"/>
      <c r="FK215" s="259"/>
      <c r="FL215" s="259"/>
      <c r="FM215" s="259"/>
      <c r="FN215" s="259"/>
      <c r="FO215" s="259"/>
      <c r="FP215" s="259"/>
      <c r="FQ215" s="259"/>
      <c r="FR215" s="259"/>
      <c r="FS215" s="259"/>
      <c r="FT215" s="259"/>
      <c r="FU215" s="259"/>
      <c r="FV215" s="259"/>
      <c r="FW215" s="259"/>
      <c r="FX215" s="259"/>
      <c r="FY215" s="259"/>
      <c r="FZ215" s="259"/>
      <c r="GA215" s="259"/>
      <c r="GB215" s="259"/>
      <c r="GC215" s="259"/>
      <c r="GD215" s="259"/>
      <c r="GE215" s="259"/>
    </row>
    <row r="216" spans="2:187" s="147" customFormat="1" ht="16.5" customHeight="1">
      <c r="B216" s="251">
        <v>210</v>
      </c>
      <c r="C216" s="489" t="s">
        <v>368</v>
      </c>
      <c r="D216" s="489" t="s">
        <v>446</v>
      </c>
      <c r="E216" s="489" t="s">
        <v>139</v>
      </c>
      <c r="F216" s="489" t="s">
        <v>175</v>
      </c>
      <c r="G216" s="490">
        <v>1</v>
      </c>
      <c r="H216" s="490">
        <v>64300</v>
      </c>
      <c r="I216" s="252">
        <f t="shared" si="3"/>
        <v>12056.25</v>
      </c>
      <c r="J216" s="283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59"/>
      <c r="BK216" s="259"/>
      <c r="BL216" s="259"/>
      <c r="BM216" s="259"/>
      <c r="BN216" s="259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59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  <c r="CO216" s="259"/>
      <c r="CP216" s="259"/>
      <c r="CQ216" s="259"/>
      <c r="CR216" s="259"/>
      <c r="CS216" s="259"/>
      <c r="CT216" s="259"/>
      <c r="CU216" s="259"/>
      <c r="CV216" s="259"/>
      <c r="CW216" s="259"/>
      <c r="CX216" s="259"/>
      <c r="CY216" s="259"/>
      <c r="CZ216" s="259"/>
      <c r="DA216" s="259"/>
      <c r="DB216" s="259"/>
      <c r="DC216" s="259"/>
      <c r="DD216" s="259"/>
      <c r="DE216" s="259"/>
      <c r="DF216" s="259"/>
      <c r="DG216" s="259"/>
      <c r="DH216" s="259"/>
      <c r="DI216" s="259"/>
      <c r="DJ216" s="259"/>
      <c r="DK216" s="259"/>
      <c r="DL216" s="259"/>
      <c r="DM216" s="259"/>
      <c r="DN216" s="259"/>
      <c r="DO216" s="259"/>
      <c r="DP216" s="259"/>
      <c r="DQ216" s="259"/>
      <c r="DR216" s="259"/>
      <c r="DS216" s="259"/>
      <c r="DT216" s="259"/>
      <c r="DU216" s="259"/>
      <c r="DV216" s="259"/>
      <c r="DW216" s="259"/>
      <c r="DX216" s="259"/>
      <c r="DY216" s="259"/>
      <c r="DZ216" s="259"/>
      <c r="EA216" s="259"/>
      <c r="EB216" s="259"/>
      <c r="EC216" s="259"/>
      <c r="ED216" s="259"/>
      <c r="EE216" s="259"/>
      <c r="EF216" s="259"/>
      <c r="EG216" s="259"/>
      <c r="EH216" s="259"/>
      <c r="EI216" s="259"/>
      <c r="EJ216" s="259"/>
      <c r="EK216" s="259"/>
      <c r="EL216" s="259"/>
      <c r="EM216" s="259"/>
      <c r="EN216" s="259"/>
      <c r="EO216" s="259"/>
      <c r="EP216" s="259"/>
      <c r="EQ216" s="259"/>
      <c r="ER216" s="259"/>
      <c r="ES216" s="259"/>
      <c r="ET216" s="259"/>
      <c r="EU216" s="259"/>
      <c r="EV216" s="259"/>
      <c r="EW216" s="259"/>
      <c r="EX216" s="259"/>
      <c r="EY216" s="259"/>
      <c r="EZ216" s="259"/>
      <c r="FA216" s="259"/>
      <c r="FB216" s="259"/>
      <c r="FC216" s="259"/>
      <c r="FD216" s="259"/>
      <c r="FE216" s="259"/>
      <c r="FF216" s="259"/>
      <c r="FG216" s="259"/>
      <c r="FH216" s="259"/>
      <c r="FI216" s="259"/>
      <c r="FJ216" s="259"/>
      <c r="FK216" s="259"/>
      <c r="FL216" s="259"/>
      <c r="FM216" s="259"/>
      <c r="FN216" s="259"/>
      <c r="FO216" s="259"/>
      <c r="FP216" s="259"/>
      <c r="FQ216" s="259"/>
      <c r="FR216" s="259"/>
      <c r="FS216" s="259"/>
      <c r="FT216" s="259"/>
      <c r="FU216" s="259"/>
      <c r="FV216" s="259"/>
      <c r="FW216" s="259"/>
      <c r="FX216" s="259"/>
      <c r="FY216" s="259"/>
      <c r="FZ216" s="259"/>
      <c r="GA216" s="259"/>
      <c r="GB216" s="259"/>
      <c r="GC216" s="259"/>
      <c r="GD216" s="259"/>
      <c r="GE216" s="259"/>
    </row>
    <row r="217" spans="2:187" s="147" customFormat="1" ht="16.5" customHeight="1">
      <c r="B217" s="251">
        <v>211</v>
      </c>
      <c r="C217" s="489" t="s">
        <v>368</v>
      </c>
      <c r="D217" s="489" t="s">
        <v>426</v>
      </c>
      <c r="E217" s="489" t="s">
        <v>427</v>
      </c>
      <c r="F217" s="489" t="s">
        <v>207</v>
      </c>
      <c r="G217" s="490">
        <v>1</v>
      </c>
      <c r="H217" s="490">
        <v>101800</v>
      </c>
      <c r="I217" s="252">
        <f t="shared" si="3"/>
        <v>19087.5</v>
      </c>
      <c r="J217" s="283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59"/>
      <c r="BK217" s="259"/>
      <c r="BL217" s="259"/>
      <c r="BM217" s="259"/>
      <c r="BN217" s="259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59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  <c r="CO217" s="259"/>
      <c r="CP217" s="259"/>
      <c r="CQ217" s="259"/>
      <c r="CR217" s="259"/>
      <c r="CS217" s="259"/>
      <c r="CT217" s="259"/>
      <c r="CU217" s="259"/>
      <c r="CV217" s="259"/>
      <c r="CW217" s="259"/>
      <c r="CX217" s="259"/>
      <c r="CY217" s="259"/>
      <c r="CZ217" s="259"/>
      <c r="DA217" s="259"/>
      <c r="DB217" s="259"/>
      <c r="DC217" s="259"/>
      <c r="DD217" s="259"/>
      <c r="DE217" s="259"/>
      <c r="DF217" s="259"/>
      <c r="DG217" s="259"/>
      <c r="DH217" s="259"/>
      <c r="DI217" s="259"/>
      <c r="DJ217" s="259"/>
      <c r="DK217" s="259"/>
      <c r="DL217" s="259"/>
      <c r="DM217" s="259"/>
      <c r="DN217" s="259"/>
      <c r="DO217" s="259"/>
      <c r="DP217" s="259"/>
      <c r="DQ217" s="259"/>
      <c r="DR217" s="259"/>
      <c r="DS217" s="259"/>
      <c r="DT217" s="259"/>
      <c r="DU217" s="259"/>
      <c r="DV217" s="259"/>
      <c r="DW217" s="259"/>
      <c r="DX217" s="259"/>
      <c r="DY217" s="259"/>
      <c r="DZ217" s="259"/>
      <c r="EA217" s="259"/>
      <c r="EB217" s="259"/>
      <c r="EC217" s="259"/>
      <c r="ED217" s="259"/>
      <c r="EE217" s="259"/>
      <c r="EF217" s="259"/>
      <c r="EG217" s="259"/>
      <c r="EH217" s="259"/>
      <c r="EI217" s="259"/>
      <c r="EJ217" s="259"/>
      <c r="EK217" s="259"/>
      <c r="EL217" s="259"/>
      <c r="EM217" s="259"/>
      <c r="EN217" s="259"/>
      <c r="EO217" s="259"/>
      <c r="EP217" s="259"/>
      <c r="EQ217" s="259"/>
      <c r="ER217" s="259"/>
      <c r="ES217" s="259"/>
      <c r="ET217" s="259"/>
      <c r="EU217" s="259"/>
      <c r="EV217" s="259"/>
      <c r="EW217" s="259"/>
      <c r="EX217" s="259"/>
      <c r="EY217" s="259"/>
      <c r="EZ217" s="259"/>
      <c r="FA217" s="259"/>
      <c r="FB217" s="259"/>
      <c r="FC217" s="259"/>
      <c r="FD217" s="259"/>
      <c r="FE217" s="259"/>
      <c r="FF217" s="259"/>
      <c r="FG217" s="259"/>
      <c r="FH217" s="259"/>
      <c r="FI217" s="259"/>
      <c r="FJ217" s="259"/>
      <c r="FK217" s="259"/>
      <c r="FL217" s="259"/>
      <c r="FM217" s="259"/>
      <c r="FN217" s="259"/>
      <c r="FO217" s="259"/>
      <c r="FP217" s="259"/>
      <c r="FQ217" s="259"/>
      <c r="FR217" s="259"/>
      <c r="FS217" s="259"/>
      <c r="FT217" s="259"/>
      <c r="FU217" s="259"/>
      <c r="FV217" s="259"/>
      <c r="FW217" s="259"/>
      <c r="FX217" s="259"/>
      <c r="FY217" s="259"/>
      <c r="FZ217" s="259"/>
      <c r="GA217" s="259"/>
      <c r="GB217" s="259"/>
      <c r="GC217" s="259"/>
      <c r="GD217" s="259"/>
      <c r="GE217" s="259"/>
    </row>
    <row r="218" spans="2:187" s="147" customFormat="1" ht="16.5" customHeight="1">
      <c r="B218" s="251">
        <v>212</v>
      </c>
      <c r="C218" s="489" t="s">
        <v>368</v>
      </c>
      <c r="D218" s="489" t="s">
        <v>428</v>
      </c>
      <c r="E218" s="489" t="s">
        <v>200</v>
      </c>
      <c r="F218" s="489" t="s">
        <v>175</v>
      </c>
      <c r="G218" s="490">
        <v>8</v>
      </c>
      <c r="H218" s="490">
        <v>800000</v>
      </c>
      <c r="I218" s="252">
        <f t="shared" si="3"/>
        <v>150000</v>
      </c>
      <c r="J218" s="283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59"/>
      <c r="BK218" s="259"/>
      <c r="BL218" s="259"/>
      <c r="BM218" s="259"/>
      <c r="BN218" s="259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59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  <c r="CO218" s="259"/>
      <c r="CP218" s="259"/>
      <c r="CQ218" s="259"/>
      <c r="CR218" s="259"/>
      <c r="CS218" s="259"/>
      <c r="CT218" s="259"/>
      <c r="CU218" s="259"/>
      <c r="CV218" s="259"/>
      <c r="CW218" s="259"/>
      <c r="CX218" s="259"/>
      <c r="CY218" s="259"/>
      <c r="CZ218" s="259"/>
      <c r="DA218" s="259"/>
      <c r="DB218" s="259"/>
      <c r="DC218" s="259"/>
      <c r="DD218" s="259"/>
      <c r="DE218" s="259"/>
      <c r="DF218" s="259"/>
      <c r="DG218" s="259"/>
      <c r="DH218" s="259"/>
      <c r="DI218" s="259"/>
      <c r="DJ218" s="259"/>
      <c r="DK218" s="259"/>
      <c r="DL218" s="259"/>
      <c r="DM218" s="259"/>
      <c r="DN218" s="259"/>
      <c r="DO218" s="259"/>
      <c r="DP218" s="259"/>
      <c r="DQ218" s="259"/>
      <c r="DR218" s="259"/>
      <c r="DS218" s="259"/>
      <c r="DT218" s="259"/>
      <c r="DU218" s="259"/>
      <c r="DV218" s="259"/>
      <c r="DW218" s="259"/>
      <c r="DX218" s="259"/>
      <c r="DY218" s="259"/>
      <c r="DZ218" s="259"/>
      <c r="EA218" s="259"/>
      <c r="EB218" s="259"/>
      <c r="EC218" s="259"/>
      <c r="ED218" s="259"/>
      <c r="EE218" s="259"/>
      <c r="EF218" s="259"/>
      <c r="EG218" s="259"/>
      <c r="EH218" s="259"/>
      <c r="EI218" s="259"/>
      <c r="EJ218" s="259"/>
      <c r="EK218" s="259"/>
      <c r="EL218" s="259"/>
      <c r="EM218" s="259"/>
      <c r="EN218" s="259"/>
      <c r="EO218" s="259"/>
      <c r="EP218" s="259"/>
      <c r="EQ218" s="259"/>
      <c r="ER218" s="259"/>
      <c r="ES218" s="259"/>
      <c r="ET218" s="259"/>
      <c r="EU218" s="259"/>
      <c r="EV218" s="259"/>
      <c r="EW218" s="259"/>
      <c r="EX218" s="259"/>
      <c r="EY218" s="259"/>
      <c r="EZ218" s="259"/>
      <c r="FA218" s="259"/>
      <c r="FB218" s="259"/>
      <c r="FC218" s="259"/>
      <c r="FD218" s="259"/>
      <c r="FE218" s="259"/>
      <c r="FF218" s="259"/>
      <c r="FG218" s="259"/>
      <c r="FH218" s="259"/>
      <c r="FI218" s="259"/>
      <c r="FJ218" s="259"/>
      <c r="FK218" s="259"/>
      <c r="FL218" s="259"/>
      <c r="FM218" s="259"/>
      <c r="FN218" s="259"/>
      <c r="FO218" s="259"/>
      <c r="FP218" s="259"/>
      <c r="FQ218" s="259"/>
      <c r="FR218" s="259"/>
      <c r="FS218" s="259"/>
      <c r="FT218" s="259"/>
      <c r="FU218" s="259"/>
      <c r="FV218" s="259"/>
      <c r="FW218" s="259"/>
      <c r="FX218" s="259"/>
      <c r="FY218" s="259"/>
      <c r="FZ218" s="259"/>
      <c r="GA218" s="259"/>
      <c r="GB218" s="259"/>
      <c r="GC218" s="259"/>
      <c r="GD218" s="259"/>
      <c r="GE218" s="259"/>
    </row>
    <row r="219" spans="2:187" s="147" customFormat="1" ht="16.5" customHeight="1">
      <c r="B219" s="251">
        <v>213</v>
      </c>
      <c r="C219" s="489" t="s">
        <v>517</v>
      </c>
      <c r="D219" s="489" t="s">
        <v>491</v>
      </c>
      <c r="E219" s="489" t="s">
        <v>192</v>
      </c>
      <c r="F219" s="489" t="s">
        <v>518</v>
      </c>
      <c r="G219" s="490">
        <v>1</v>
      </c>
      <c r="H219" s="490">
        <v>400000</v>
      </c>
      <c r="I219" s="252">
        <f t="shared" si="3"/>
        <v>75000</v>
      </c>
      <c r="J219" s="283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59"/>
      <c r="BK219" s="259"/>
      <c r="BL219" s="259"/>
      <c r="BM219" s="259"/>
      <c r="BN219" s="259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59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  <c r="CO219" s="259"/>
      <c r="CP219" s="259"/>
      <c r="CQ219" s="259"/>
      <c r="CR219" s="259"/>
      <c r="CS219" s="259"/>
      <c r="CT219" s="259"/>
      <c r="CU219" s="259"/>
      <c r="CV219" s="259"/>
      <c r="CW219" s="259"/>
      <c r="CX219" s="259"/>
      <c r="CY219" s="259"/>
      <c r="CZ219" s="259"/>
      <c r="DA219" s="259"/>
      <c r="DB219" s="259"/>
      <c r="DC219" s="259"/>
      <c r="DD219" s="259"/>
      <c r="DE219" s="259"/>
      <c r="DF219" s="259"/>
      <c r="DG219" s="259"/>
      <c r="DH219" s="259"/>
      <c r="DI219" s="259"/>
      <c r="DJ219" s="259"/>
      <c r="DK219" s="259"/>
      <c r="DL219" s="259"/>
      <c r="DM219" s="259"/>
      <c r="DN219" s="259"/>
      <c r="DO219" s="259"/>
      <c r="DP219" s="259"/>
      <c r="DQ219" s="259"/>
      <c r="DR219" s="259"/>
      <c r="DS219" s="259"/>
      <c r="DT219" s="259"/>
      <c r="DU219" s="259"/>
      <c r="DV219" s="259"/>
      <c r="DW219" s="259"/>
      <c r="DX219" s="259"/>
      <c r="DY219" s="259"/>
      <c r="DZ219" s="259"/>
      <c r="EA219" s="259"/>
      <c r="EB219" s="259"/>
      <c r="EC219" s="259"/>
      <c r="ED219" s="259"/>
      <c r="EE219" s="259"/>
      <c r="EF219" s="259"/>
      <c r="EG219" s="259"/>
      <c r="EH219" s="259"/>
      <c r="EI219" s="259"/>
      <c r="EJ219" s="259"/>
      <c r="EK219" s="259"/>
      <c r="EL219" s="259"/>
      <c r="EM219" s="259"/>
      <c r="EN219" s="259"/>
      <c r="EO219" s="259"/>
      <c r="EP219" s="259"/>
      <c r="EQ219" s="259"/>
      <c r="ER219" s="259"/>
      <c r="ES219" s="259"/>
      <c r="ET219" s="259"/>
      <c r="EU219" s="259"/>
      <c r="EV219" s="259"/>
      <c r="EW219" s="259"/>
      <c r="EX219" s="259"/>
      <c r="EY219" s="259"/>
      <c r="EZ219" s="259"/>
      <c r="FA219" s="259"/>
      <c r="FB219" s="259"/>
      <c r="FC219" s="259"/>
      <c r="FD219" s="259"/>
      <c r="FE219" s="259"/>
      <c r="FF219" s="259"/>
      <c r="FG219" s="259"/>
      <c r="FH219" s="259"/>
      <c r="FI219" s="259"/>
      <c r="FJ219" s="259"/>
      <c r="FK219" s="259"/>
      <c r="FL219" s="259"/>
      <c r="FM219" s="259"/>
      <c r="FN219" s="259"/>
      <c r="FO219" s="259"/>
      <c r="FP219" s="259"/>
      <c r="FQ219" s="259"/>
      <c r="FR219" s="259"/>
      <c r="FS219" s="259"/>
      <c r="FT219" s="259"/>
      <c r="FU219" s="259"/>
      <c r="FV219" s="259"/>
      <c r="FW219" s="259"/>
      <c r="FX219" s="259"/>
      <c r="FY219" s="259"/>
      <c r="FZ219" s="259"/>
      <c r="GA219" s="259"/>
      <c r="GB219" s="259"/>
      <c r="GC219" s="259"/>
      <c r="GD219" s="259"/>
      <c r="GE219" s="259"/>
    </row>
    <row r="220" spans="2:187" s="147" customFormat="1" ht="16.5" customHeight="1">
      <c r="B220" s="251">
        <v>214</v>
      </c>
      <c r="C220" s="489" t="s">
        <v>517</v>
      </c>
      <c r="D220" s="489" t="s">
        <v>270</v>
      </c>
      <c r="E220" s="489" t="s">
        <v>196</v>
      </c>
      <c r="F220" s="489" t="s">
        <v>169</v>
      </c>
      <c r="G220" s="490">
        <v>3</v>
      </c>
      <c r="H220" s="490">
        <v>300000</v>
      </c>
      <c r="I220" s="252">
        <f t="shared" si="3"/>
        <v>56250</v>
      </c>
      <c r="J220" s="283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59"/>
      <c r="BK220" s="259"/>
      <c r="BL220" s="259"/>
      <c r="BM220" s="259"/>
      <c r="BN220" s="259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59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  <c r="CO220" s="259"/>
      <c r="CP220" s="259"/>
      <c r="CQ220" s="259"/>
      <c r="CR220" s="259"/>
      <c r="CS220" s="259"/>
      <c r="CT220" s="259"/>
      <c r="CU220" s="259"/>
      <c r="CV220" s="259"/>
      <c r="CW220" s="259"/>
      <c r="CX220" s="259"/>
      <c r="CY220" s="259"/>
      <c r="CZ220" s="259"/>
      <c r="DA220" s="259"/>
      <c r="DB220" s="259"/>
      <c r="DC220" s="259"/>
      <c r="DD220" s="259"/>
      <c r="DE220" s="259"/>
      <c r="DF220" s="259"/>
      <c r="DG220" s="259"/>
      <c r="DH220" s="259"/>
      <c r="DI220" s="259"/>
      <c r="DJ220" s="259"/>
      <c r="DK220" s="259"/>
      <c r="DL220" s="259"/>
      <c r="DM220" s="259"/>
      <c r="DN220" s="259"/>
      <c r="DO220" s="259"/>
      <c r="DP220" s="259"/>
      <c r="DQ220" s="259"/>
      <c r="DR220" s="259"/>
      <c r="DS220" s="259"/>
      <c r="DT220" s="259"/>
      <c r="DU220" s="259"/>
      <c r="DV220" s="259"/>
      <c r="DW220" s="259"/>
      <c r="DX220" s="259"/>
      <c r="DY220" s="259"/>
      <c r="DZ220" s="259"/>
      <c r="EA220" s="259"/>
      <c r="EB220" s="259"/>
      <c r="EC220" s="259"/>
      <c r="ED220" s="259"/>
      <c r="EE220" s="259"/>
      <c r="EF220" s="259"/>
      <c r="EG220" s="259"/>
      <c r="EH220" s="259"/>
      <c r="EI220" s="259"/>
      <c r="EJ220" s="259"/>
      <c r="EK220" s="259"/>
      <c r="EL220" s="259"/>
      <c r="EM220" s="259"/>
      <c r="EN220" s="259"/>
      <c r="EO220" s="259"/>
      <c r="EP220" s="259"/>
      <c r="EQ220" s="259"/>
      <c r="ER220" s="259"/>
      <c r="ES220" s="259"/>
      <c r="ET220" s="259"/>
      <c r="EU220" s="259"/>
      <c r="EV220" s="259"/>
      <c r="EW220" s="259"/>
      <c r="EX220" s="259"/>
      <c r="EY220" s="259"/>
      <c r="EZ220" s="259"/>
      <c r="FA220" s="259"/>
      <c r="FB220" s="259"/>
      <c r="FC220" s="259"/>
      <c r="FD220" s="259"/>
      <c r="FE220" s="259"/>
      <c r="FF220" s="259"/>
      <c r="FG220" s="259"/>
      <c r="FH220" s="259"/>
      <c r="FI220" s="259"/>
      <c r="FJ220" s="259"/>
      <c r="FK220" s="259"/>
      <c r="FL220" s="259"/>
      <c r="FM220" s="259"/>
      <c r="FN220" s="259"/>
      <c r="FO220" s="259"/>
      <c r="FP220" s="259"/>
      <c r="FQ220" s="259"/>
      <c r="FR220" s="259"/>
      <c r="FS220" s="259"/>
      <c r="FT220" s="259"/>
      <c r="FU220" s="259"/>
      <c r="FV220" s="259"/>
      <c r="FW220" s="259"/>
      <c r="FX220" s="259"/>
      <c r="FY220" s="259"/>
      <c r="FZ220" s="259"/>
      <c r="GA220" s="259"/>
      <c r="GB220" s="259"/>
      <c r="GC220" s="259"/>
      <c r="GD220" s="259"/>
      <c r="GE220" s="259"/>
    </row>
    <row r="221" spans="2:187" s="147" customFormat="1" ht="16.5" customHeight="1">
      <c r="B221" s="251">
        <v>215</v>
      </c>
      <c r="C221" s="489" t="s">
        <v>517</v>
      </c>
      <c r="D221" s="489" t="s">
        <v>519</v>
      </c>
      <c r="E221" s="489" t="s">
        <v>520</v>
      </c>
      <c r="F221" s="489" t="s">
        <v>167</v>
      </c>
      <c r="G221" s="490">
        <v>4</v>
      </c>
      <c r="H221" s="490">
        <v>400000</v>
      </c>
      <c r="I221" s="252">
        <f t="shared" si="3"/>
        <v>75000</v>
      </c>
      <c r="J221" s="283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59"/>
      <c r="BK221" s="259"/>
      <c r="BL221" s="259"/>
      <c r="BM221" s="259"/>
      <c r="BN221" s="259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59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  <c r="CO221" s="259"/>
      <c r="CP221" s="259"/>
      <c r="CQ221" s="259"/>
      <c r="CR221" s="259"/>
      <c r="CS221" s="259"/>
      <c r="CT221" s="259"/>
      <c r="CU221" s="259"/>
      <c r="CV221" s="259"/>
      <c r="CW221" s="259"/>
      <c r="CX221" s="259"/>
      <c r="CY221" s="259"/>
      <c r="CZ221" s="259"/>
      <c r="DA221" s="259"/>
      <c r="DB221" s="259"/>
      <c r="DC221" s="259"/>
      <c r="DD221" s="259"/>
      <c r="DE221" s="259"/>
      <c r="DF221" s="259"/>
      <c r="DG221" s="259"/>
      <c r="DH221" s="259"/>
      <c r="DI221" s="259"/>
      <c r="DJ221" s="259"/>
      <c r="DK221" s="259"/>
      <c r="DL221" s="259"/>
      <c r="DM221" s="259"/>
      <c r="DN221" s="259"/>
      <c r="DO221" s="259"/>
      <c r="DP221" s="259"/>
      <c r="DQ221" s="259"/>
      <c r="DR221" s="259"/>
      <c r="DS221" s="259"/>
      <c r="DT221" s="259"/>
      <c r="DU221" s="259"/>
      <c r="DV221" s="259"/>
      <c r="DW221" s="259"/>
      <c r="DX221" s="259"/>
      <c r="DY221" s="259"/>
      <c r="DZ221" s="259"/>
      <c r="EA221" s="259"/>
      <c r="EB221" s="259"/>
      <c r="EC221" s="259"/>
      <c r="ED221" s="259"/>
      <c r="EE221" s="259"/>
      <c r="EF221" s="259"/>
      <c r="EG221" s="259"/>
      <c r="EH221" s="259"/>
      <c r="EI221" s="259"/>
      <c r="EJ221" s="259"/>
      <c r="EK221" s="259"/>
      <c r="EL221" s="259"/>
      <c r="EM221" s="259"/>
      <c r="EN221" s="259"/>
      <c r="EO221" s="259"/>
      <c r="EP221" s="259"/>
      <c r="EQ221" s="259"/>
      <c r="ER221" s="259"/>
      <c r="ES221" s="259"/>
      <c r="ET221" s="259"/>
      <c r="EU221" s="259"/>
      <c r="EV221" s="259"/>
      <c r="EW221" s="259"/>
      <c r="EX221" s="259"/>
      <c r="EY221" s="259"/>
      <c r="EZ221" s="259"/>
      <c r="FA221" s="259"/>
      <c r="FB221" s="259"/>
      <c r="FC221" s="259"/>
      <c r="FD221" s="259"/>
      <c r="FE221" s="259"/>
      <c r="FF221" s="259"/>
      <c r="FG221" s="259"/>
      <c r="FH221" s="259"/>
      <c r="FI221" s="259"/>
      <c r="FJ221" s="259"/>
      <c r="FK221" s="259"/>
      <c r="FL221" s="259"/>
      <c r="FM221" s="259"/>
      <c r="FN221" s="259"/>
      <c r="FO221" s="259"/>
      <c r="FP221" s="259"/>
      <c r="FQ221" s="259"/>
      <c r="FR221" s="259"/>
      <c r="FS221" s="259"/>
      <c r="FT221" s="259"/>
      <c r="FU221" s="259"/>
      <c r="FV221" s="259"/>
      <c r="FW221" s="259"/>
      <c r="FX221" s="259"/>
      <c r="FY221" s="259"/>
      <c r="FZ221" s="259"/>
      <c r="GA221" s="259"/>
      <c r="GB221" s="259"/>
      <c r="GC221" s="259"/>
      <c r="GD221" s="259"/>
      <c r="GE221" s="259"/>
    </row>
    <row r="222" spans="2:187" s="147" customFormat="1" ht="16.5" customHeight="1">
      <c r="B222" s="251">
        <v>216</v>
      </c>
      <c r="C222" s="489" t="s">
        <v>517</v>
      </c>
      <c r="D222" s="489" t="s">
        <v>521</v>
      </c>
      <c r="E222" s="489" t="s">
        <v>213</v>
      </c>
      <c r="F222" s="489" t="s">
        <v>197</v>
      </c>
      <c r="G222" s="490">
        <v>1</v>
      </c>
      <c r="H222" s="490">
        <v>400000</v>
      </c>
      <c r="I222" s="252">
        <f t="shared" si="3"/>
        <v>75000</v>
      </c>
      <c r="J222" s="283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59"/>
      <c r="BK222" s="259"/>
      <c r="BL222" s="259"/>
      <c r="BM222" s="259"/>
      <c r="BN222" s="259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59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  <c r="CO222" s="259"/>
      <c r="CP222" s="259"/>
      <c r="CQ222" s="259"/>
      <c r="CR222" s="259"/>
      <c r="CS222" s="259"/>
      <c r="CT222" s="259"/>
      <c r="CU222" s="259"/>
      <c r="CV222" s="259"/>
      <c r="CW222" s="259"/>
      <c r="CX222" s="259"/>
      <c r="CY222" s="259"/>
      <c r="CZ222" s="259"/>
      <c r="DA222" s="259"/>
      <c r="DB222" s="259"/>
      <c r="DC222" s="259"/>
      <c r="DD222" s="259"/>
      <c r="DE222" s="259"/>
      <c r="DF222" s="259"/>
      <c r="DG222" s="259"/>
      <c r="DH222" s="259"/>
      <c r="DI222" s="259"/>
      <c r="DJ222" s="259"/>
      <c r="DK222" s="259"/>
      <c r="DL222" s="259"/>
      <c r="DM222" s="259"/>
      <c r="DN222" s="259"/>
      <c r="DO222" s="259"/>
      <c r="DP222" s="259"/>
      <c r="DQ222" s="259"/>
      <c r="DR222" s="259"/>
      <c r="DS222" s="259"/>
      <c r="DT222" s="259"/>
      <c r="DU222" s="259"/>
      <c r="DV222" s="259"/>
      <c r="DW222" s="259"/>
      <c r="DX222" s="259"/>
      <c r="DY222" s="259"/>
      <c r="DZ222" s="259"/>
      <c r="EA222" s="259"/>
      <c r="EB222" s="259"/>
      <c r="EC222" s="259"/>
      <c r="ED222" s="259"/>
      <c r="EE222" s="259"/>
      <c r="EF222" s="259"/>
      <c r="EG222" s="259"/>
      <c r="EH222" s="259"/>
      <c r="EI222" s="259"/>
      <c r="EJ222" s="259"/>
      <c r="EK222" s="259"/>
      <c r="EL222" s="259"/>
      <c r="EM222" s="259"/>
      <c r="EN222" s="259"/>
      <c r="EO222" s="259"/>
      <c r="EP222" s="259"/>
      <c r="EQ222" s="259"/>
      <c r="ER222" s="259"/>
      <c r="ES222" s="259"/>
      <c r="ET222" s="259"/>
      <c r="EU222" s="259"/>
      <c r="EV222" s="259"/>
      <c r="EW222" s="259"/>
      <c r="EX222" s="259"/>
      <c r="EY222" s="259"/>
      <c r="EZ222" s="259"/>
      <c r="FA222" s="259"/>
      <c r="FB222" s="259"/>
      <c r="FC222" s="259"/>
      <c r="FD222" s="259"/>
      <c r="FE222" s="259"/>
      <c r="FF222" s="259"/>
      <c r="FG222" s="259"/>
      <c r="FH222" s="259"/>
      <c r="FI222" s="259"/>
      <c r="FJ222" s="259"/>
      <c r="FK222" s="259"/>
      <c r="FL222" s="259"/>
      <c r="FM222" s="259"/>
      <c r="FN222" s="259"/>
      <c r="FO222" s="259"/>
      <c r="FP222" s="259"/>
      <c r="FQ222" s="259"/>
      <c r="FR222" s="259"/>
      <c r="FS222" s="259"/>
      <c r="FT222" s="259"/>
      <c r="FU222" s="259"/>
      <c r="FV222" s="259"/>
      <c r="FW222" s="259"/>
      <c r="FX222" s="259"/>
      <c r="FY222" s="259"/>
      <c r="FZ222" s="259"/>
      <c r="GA222" s="259"/>
      <c r="GB222" s="259"/>
      <c r="GC222" s="259"/>
      <c r="GD222" s="259"/>
      <c r="GE222" s="259"/>
    </row>
    <row r="223" spans="2:187" s="147" customFormat="1" ht="16.5" customHeight="1">
      <c r="B223" s="251">
        <v>217</v>
      </c>
      <c r="C223" s="489" t="s">
        <v>517</v>
      </c>
      <c r="D223" s="489" t="s">
        <v>522</v>
      </c>
      <c r="E223" s="489" t="s">
        <v>133</v>
      </c>
      <c r="F223" s="489" t="s">
        <v>175</v>
      </c>
      <c r="G223" s="490">
        <v>2</v>
      </c>
      <c r="H223" s="490">
        <v>200000</v>
      </c>
      <c r="I223" s="252">
        <f t="shared" si="3"/>
        <v>37500</v>
      </c>
      <c r="J223" s="283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59"/>
      <c r="BK223" s="259"/>
      <c r="BL223" s="259"/>
      <c r="BM223" s="259"/>
      <c r="BN223" s="259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59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  <c r="CO223" s="259"/>
      <c r="CP223" s="259"/>
      <c r="CQ223" s="259"/>
      <c r="CR223" s="259"/>
      <c r="CS223" s="259"/>
      <c r="CT223" s="259"/>
      <c r="CU223" s="259"/>
      <c r="CV223" s="259"/>
      <c r="CW223" s="259"/>
      <c r="CX223" s="259"/>
      <c r="CY223" s="259"/>
      <c r="CZ223" s="259"/>
      <c r="DA223" s="259"/>
      <c r="DB223" s="259"/>
      <c r="DC223" s="259"/>
      <c r="DD223" s="259"/>
      <c r="DE223" s="259"/>
      <c r="DF223" s="259"/>
      <c r="DG223" s="259"/>
      <c r="DH223" s="259"/>
      <c r="DI223" s="259"/>
      <c r="DJ223" s="259"/>
      <c r="DK223" s="259"/>
      <c r="DL223" s="259"/>
      <c r="DM223" s="259"/>
      <c r="DN223" s="259"/>
      <c r="DO223" s="259"/>
      <c r="DP223" s="259"/>
      <c r="DQ223" s="259"/>
      <c r="DR223" s="259"/>
      <c r="DS223" s="259"/>
      <c r="DT223" s="259"/>
      <c r="DU223" s="259"/>
      <c r="DV223" s="259"/>
      <c r="DW223" s="259"/>
      <c r="DX223" s="259"/>
      <c r="DY223" s="259"/>
      <c r="DZ223" s="259"/>
      <c r="EA223" s="259"/>
      <c r="EB223" s="259"/>
      <c r="EC223" s="259"/>
      <c r="ED223" s="259"/>
      <c r="EE223" s="259"/>
      <c r="EF223" s="259"/>
      <c r="EG223" s="259"/>
      <c r="EH223" s="259"/>
      <c r="EI223" s="259"/>
      <c r="EJ223" s="259"/>
      <c r="EK223" s="259"/>
      <c r="EL223" s="259"/>
      <c r="EM223" s="259"/>
      <c r="EN223" s="259"/>
      <c r="EO223" s="259"/>
      <c r="EP223" s="259"/>
      <c r="EQ223" s="259"/>
      <c r="ER223" s="259"/>
      <c r="ES223" s="259"/>
      <c r="ET223" s="259"/>
      <c r="EU223" s="259"/>
      <c r="EV223" s="259"/>
      <c r="EW223" s="259"/>
      <c r="EX223" s="259"/>
      <c r="EY223" s="259"/>
      <c r="EZ223" s="259"/>
      <c r="FA223" s="259"/>
      <c r="FB223" s="259"/>
      <c r="FC223" s="259"/>
      <c r="FD223" s="259"/>
      <c r="FE223" s="259"/>
      <c r="FF223" s="259"/>
      <c r="FG223" s="259"/>
      <c r="FH223" s="259"/>
      <c r="FI223" s="259"/>
      <c r="FJ223" s="259"/>
      <c r="FK223" s="259"/>
      <c r="FL223" s="259"/>
      <c r="FM223" s="259"/>
      <c r="FN223" s="259"/>
      <c r="FO223" s="259"/>
      <c r="FP223" s="259"/>
      <c r="FQ223" s="259"/>
      <c r="FR223" s="259"/>
      <c r="FS223" s="259"/>
      <c r="FT223" s="259"/>
      <c r="FU223" s="259"/>
      <c r="FV223" s="259"/>
      <c r="FW223" s="259"/>
      <c r="FX223" s="259"/>
      <c r="FY223" s="259"/>
      <c r="FZ223" s="259"/>
      <c r="GA223" s="259"/>
      <c r="GB223" s="259"/>
      <c r="GC223" s="259"/>
      <c r="GD223" s="259"/>
      <c r="GE223" s="259"/>
    </row>
    <row r="224" spans="2:187" s="147" customFormat="1" ht="16.5" customHeight="1">
      <c r="B224" s="251">
        <v>218</v>
      </c>
      <c r="C224" s="489" t="s">
        <v>517</v>
      </c>
      <c r="D224" s="489" t="s">
        <v>523</v>
      </c>
      <c r="E224" s="489" t="s">
        <v>212</v>
      </c>
      <c r="F224" s="489" t="s">
        <v>167</v>
      </c>
      <c r="G224" s="490">
        <v>4</v>
      </c>
      <c r="H224" s="490">
        <v>400000</v>
      </c>
      <c r="I224" s="252">
        <f t="shared" si="3"/>
        <v>75000</v>
      </c>
      <c r="J224" s="283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59"/>
      <c r="BK224" s="259"/>
      <c r="BL224" s="259"/>
      <c r="BM224" s="259"/>
      <c r="BN224" s="259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59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  <c r="CO224" s="259"/>
      <c r="CP224" s="259"/>
      <c r="CQ224" s="259"/>
      <c r="CR224" s="259"/>
      <c r="CS224" s="259"/>
      <c r="CT224" s="259"/>
      <c r="CU224" s="259"/>
      <c r="CV224" s="259"/>
      <c r="CW224" s="259"/>
      <c r="CX224" s="259"/>
      <c r="CY224" s="259"/>
      <c r="CZ224" s="259"/>
      <c r="DA224" s="259"/>
      <c r="DB224" s="259"/>
      <c r="DC224" s="259"/>
      <c r="DD224" s="259"/>
      <c r="DE224" s="259"/>
      <c r="DF224" s="259"/>
      <c r="DG224" s="259"/>
      <c r="DH224" s="259"/>
      <c r="DI224" s="259"/>
      <c r="DJ224" s="259"/>
      <c r="DK224" s="259"/>
      <c r="DL224" s="259"/>
      <c r="DM224" s="259"/>
      <c r="DN224" s="259"/>
      <c r="DO224" s="259"/>
      <c r="DP224" s="259"/>
      <c r="DQ224" s="259"/>
      <c r="DR224" s="259"/>
      <c r="DS224" s="259"/>
      <c r="DT224" s="259"/>
      <c r="DU224" s="259"/>
      <c r="DV224" s="259"/>
      <c r="DW224" s="259"/>
      <c r="DX224" s="259"/>
      <c r="DY224" s="259"/>
      <c r="DZ224" s="259"/>
      <c r="EA224" s="259"/>
      <c r="EB224" s="259"/>
      <c r="EC224" s="259"/>
      <c r="ED224" s="259"/>
      <c r="EE224" s="259"/>
      <c r="EF224" s="259"/>
      <c r="EG224" s="259"/>
      <c r="EH224" s="259"/>
      <c r="EI224" s="259"/>
      <c r="EJ224" s="259"/>
      <c r="EK224" s="259"/>
      <c r="EL224" s="259"/>
      <c r="EM224" s="259"/>
      <c r="EN224" s="259"/>
      <c r="EO224" s="259"/>
      <c r="EP224" s="259"/>
      <c r="EQ224" s="259"/>
      <c r="ER224" s="259"/>
      <c r="ES224" s="259"/>
      <c r="ET224" s="259"/>
      <c r="EU224" s="259"/>
      <c r="EV224" s="259"/>
      <c r="EW224" s="259"/>
      <c r="EX224" s="259"/>
      <c r="EY224" s="259"/>
      <c r="EZ224" s="259"/>
      <c r="FA224" s="259"/>
      <c r="FB224" s="259"/>
      <c r="FC224" s="259"/>
      <c r="FD224" s="259"/>
      <c r="FE224" s="259"/>
      <c r="FF224" s="259"/>
      <c r="FG224" s="259"/>
      <c r="FH224" s="259"/>
      <c r="FI224" s="259"/>
      <c r="FJ224" s="259"/>
      <c r="FK224" s="259"/>
      <c r="FL224" s="259"/>
      <c r="FM224" s="259"/>
      <c r="FN224" s="259"/>
      <c r="FO224" s="259"/>
      <c r="FP224" s="259"/>
      <c r="FQ224" s="259"/>
      <c r="FR224" s="259"/>
      <c r="FS224" s="259"/>
      <c r="FT224" s="259"/>
      <c r="FU224" s="259"/>
      <c r="FV224" s="259"/>
      <c r="FW224" s="259"/>
      <c r="FX224" s="259"/>
      <c r="FY224" s="259"/>
      <c r="FZ224" s="259"/>
      <c r="GA224" s="259"/>
      <c r="GB224" s="259"/>
      <c r="GC224" s="259"/>
      <c r="GD224" s="259"/>
      <c r="GE224" s="259"/>
    </row>
    <row r="225" spans="2:187" s="147" customFormat="1" ht="16.5" customHeight="1">
      <c r="B225" s="251">
        <v>219</v>
      </c>
      <c r="C225" s="489" t="s">
        <v>517</v>
      </c>
      <c r="D225" s="489" t="s">
        <v>524</v>
      </c>
      <c r="E225" s="489" t="s">
        <v>220</v>
      </c>
      <c r="F225" s="489" t="s">
        <v>169</v>
      </c>
      <c r="G225" s="490">
        <v>1</v>
      </c>
      <c r="H225" s="490">
        <v>40300</v>
      </c>
      <c r="I225" s="252">
        <f t="shared" si="3"/>
        <v>7556.25</v>
      </c>
      <c r="J225" s="283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59"/>
      <c r="BK225" s="259"/>
      <c r="BL225" s="259"/>
      <c r="BM225" s="259"/>
      <c r="BN225" s="259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59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  <c r="CO225" s="259"/>
      <c r="CP225" s="259"/>
      <c r="CQ225" s="259"/>
      <c r="CR225" s="259"/>
      <c r="CS225" s="259"/>
      <c r="CT225" s="259"/>
      <c r="CU225" s="259"/>
      <c r="CV225" s="259"/>
      <c r="CW225" s="259"/>
      <c r="CX225" s="259"/>
      <c r="CY225" s="259"/>
      <c r="CZ225" s="259"/>
      <c r="DA225" s="259"/>
      <c r="DB225" s="259"/>
      <c r="DC225" s="259"/>
      <c r="DD225" s="259"/>
      <c r="DE225" s="259"/>
      <c r="DF225" s="259"/>
      <c r="DG225" s="259"/>
      <c r="DH225" s="259"/>
      <c r="DI225" s="259"/>
      <c r="DJ225" s="259"/>
      <c r="DK225" s="259"/>
      <c r="DL225" s="259"/>
      <c r="DM225" s="259"/>
      <c r="DN225" s="259"/>
      <c r="DO225" s="259"/>
      <c r="DP225" s="259"/>
      <c r="DQ225" s="259"/>
      <c r="DR225" s="259"/>
      <c r="DS225" s="259"/>
      <c r="DT225" s="259"/>
      <c r="DU225" s="259"/>
      <c r="DV225" s="259"/>
      <c r="DW225" s="259"/>
      <c r="DX225" s="259"/>
      <c r="DY225" s="259"/>
      <c r="DZ225" s="259"/>
      <c r="EA225" s="259"/>
      <c r="EB225" s="259"/>
      <c r="EC225" s="259"/>
      <c r="ED225" s="259"/>
      <c r="EE225" s="259"/>
      <c r="EF225" s="259"/>
      <c r="EG225" s="259"/>
      <c r="EH225" s="259"/>
      <c r="EI225" s="259"/>
      <c r="EJ225" s="259"/>
      <c r="EK225" s="259"/>
      <c r="EL225" s="259"/>
      <c r="EM225" s="259"/>
      <c r="EN225" s="259"/>
      <c r="EO225" s="259"/>
      <c r="EP225" s="259"/>
      <c r="EQ225" s="259"/>
      <c r="ER225" s="259"/>
      <c r="ES225" s="259"/>
      <c r="ET225" s="259"/>
      <c r="EU225" s="259"/>
      <c r="EV225" s="259"/>
      <c r="EW225" s="259"/>
      <c r="EX225" s="259"/>
      <c r="EY225" s="259"/>
      <c r="EZ225" s="259"/>
      <c r="FA225" s="259"/>
      <c r="FB225" s="259"/>
      <c r="FC225" s="259"/>
      <c r="FD225" s="259"/>
      <c r="FE225" s="259"/>
      <c r="FF225" s="259"/>
      <c r="FG225" s="259"/>
      <c r="FH225" s="259"/>
      <c r="FI225" s="259"/>
      <c r="FJ225" s="259"/>
      <c r="FK225" s="259"/>
      <c r="FL225" s="259"/>
      <c r="FM225" s="259"/>
      <c r="FN225" s="259"/>
      <c r="FO225" s="259"/>
      <c r="FP225" s="259"/>
      <c r="FQ225" s="259"/>
      <c r="FR225" s="259"/>
      <c r="FS225" s="259"/>
      <c r="FT225" s="259"/>
      <c r="FU225" s="259"/>
      <c r="FV225" s="259"/>
      <c r="FW225" s="259"/>
      <c r="FX225" s="259"/>
      <c r="FY225" s="259"/>
      <c r="FZ225" s="259"/>
      <c r="GA225" s="259"/>
      <c r="GB225" s="259"/>
      <c r="GC225" s="259"/>
      <c r="GD225" s="259"/>
      <c r="GE225" s="259"/>
    </row>
    <row r="226" spans="2:187" s="147" customFormat="1" ht="16.5" customHeight="1">
      <c r="B226" s="251">
        <v>220</v>
      </c>
      <c r="C226" s="489" t="s">
        <v>517</v>
      </c>
      <c r="D226" s="489" t="s">
        <v>525</v>
      </c>
      <c r="E226" s="489" t="s">
        <v>142</v>
      </c>
      <c r="F226" s="489" t="s">
        <v>197</v>
      </c>
      <c r="G226" s="490">
        <v>1</v>
      </c>
      <c r="H226" s="490">
        <v>400000</v>
      </c>
      <c r="I226" s="252">
        <f t="shared" si="3"/>
        <v>75000</v>
      </c>
      <c r="J226" s="283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59"/>
      <c r="BK226" s="259"/>
      <c r="BL226" s="259"/>
      <c r="BM226" s="259"/>
      <c r="BN226" s="259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59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  <c r="CO226" s="259"/>
      <c r="CP226" s="259"/>
      <c r="CQ226" s="259"/>
      <c r="CR226" s="259"/>
      <c r="CS226" s="259"/>
      <c r="CT226" s="259"/>
      <c r="CU226" s="259"/>
      <c r="CV226" s="259"/>
      <c r="CW226" s="259"/>
      <c r="CX226" s="259"/>
      <c r="CY226" s="259"/>
      <c r="CZ226" s="259"/>
      <c r="DA226" s="259"/>
      <c r="DB226" s="259"/>
      <c r="DC226" s="259"/>
      <c r="DD226" s="259"/>
      <c r="DE226" s="259"/>
      <c r="DF226" s="259"/>
      <c r="DG226" s="259"/>
      <c r="DH226" s="259"/>
      <c r="DI226" s="259"/>
      <c r="DJ226" s="259"/>
      <c r="DK226" s="259"/>
      <c r="DL226" s="259"/>
      <c r="DM226" s="259"/>
      <c r="DN226" s="259"/>
      <c r="DO226" s="259"/>
      <c r="DP226" s="259"/>
      <c r="DQ226" s="259"/>
      <c r="DR226" s="259"/>
      <c r="DS226" s="259"/>
      <c r="DT226" s="259"/>
      <c r="DU226" s="259"/>
      <c r="DV226" s="259"/>
      <c r="DW226" s="259"/>
      <c r="DX226" s="259"/>
      <c r="DY226" s="259"/>
      <c r="DZ226" s="259"/>
      <c r="EA226" s="259"/>
      <c r="EB226" s="259"/>
      <c r="EC226" s="259"/>
      <c r="ED226" s="259"/>
      <c r="EE226" s="259"/>
      <c r="EF226" s="259"/>
      <c r="EG226" s="259"/>
      <c r="EH226" s="259"/>
      <c r="EI226" s="259"/>
      <c r="EJ226" s="259"/>
      <c r="EK226" s="259"/>
      <c r="EL226" s="259"/>
      <c r="EM226" s="259"/>
      <c r="EN226" s="259"/>
      <c r="EO226" s="259"/>
      <c r="EP226" s="259"/>
      <c r="EQ226" s="259"/>
      <c r="ER226" s="259"/>
      <c r="ES226" s="259"/>
      <c r="ET226" s="259"/>
      <c r="EU226" s="259"/>
      <c r="EV226" s="259"/>
      <c r="EW226" s="259"/>
      <c r="EX226" s="259"/>
      <c r="EY226" s="259"/>
      <c r="EZ226" s="259"/>
      <c r="FA226" s="259"/>
      <c r="FB226" s="259"/>
      <c r="FC226" s="259"/>
      <c r="FD226" s="259"/>
      <c r="FE226" s="259"/>
      <c r="FF226" s="259"/>
      <c r="FG226" s="259"/>
      <c r="FH226" s="259"/>
      <c r="FI226" s="259"/>
      <c r="FJ226" s="259"/>
      <c r="FK226" s="259"/>
      <c r="FL226" s="259"/>
      <c r="FM226" s="259"/>
      <c r="FN226" s="259"/>
      <c r="FO226" s="259"/>
      <c r="FP226" s="259"/>
      <c r="FQ226" s="259"/>
      <c r="FR226" s="259"/>
      <c r="FS226" s="259"/>
      <c r="FT226" s="259"/>
      <c r="FU226" s="259"/>
      <c r="FV226" s="259"/>
      <c r="FW226" s="259"/>
      <c r="FX226" s="259"/>
      <c r="FY226" s="259"/>
      <c r="FZ226" s="259"/>
      <c r="GA226" s="259"/>
      <c r="GB226" s="259"/>
      <c r="GC226" s="259"/>
      <c r="GD226" s="259"/>
      <c r="GE226" s="259"/>
    </row>
    <row r="227" spans="2:187" s="147" customFormat="1" ht="16.5" customHeight="1">
      <c r="B227" s="251">
        <v>221</v>
      </c>
      <c r="C227" s="489" t="s">
        <v>517</v>
      </c>
      <c r="D227" s="489" t="s">
        <v>270</v>
      </c>
      <c r="E227" s="489" t="s">
        <v>196</v>
      </c>
      <c r="F227" s="489" t="s">
        <v>167</v>
      </c>
      <c r="G227" s="490">
        <v>2</v>
      </c>
      <c r="H227" s="490">
        <v>200000</v>
      </c>
      <c r="I227" s="252">
        <f t="shared" si="3"/>
        <v>37500</v>
      </c>
      <c r="J227" s="283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59"/>
      <c r="BK227" s="259"/>
      <c r="BL227" s="259"/>
      <c r="BM227" s="259"/>
      <c r="BN227" s="259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59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  <c r="CO227" s="259"/>
      <c r="CP227" s="259"/>
      <c r="CQ227" s="259"/>
      <c r="CR227" s="259"/>
      <c r="CS227" s="259"/>
      <c r="CT227" s="259"/>
      <c r="CU227" s="259"/>
      <c r="CV227" s="259"/>
      <c r="CW227" s="259"/>
      <c r="CX227" s="259"/>
      <c r="CY227" s="259"/>
      <c r="CZ227" s="259"/>
      <c r="DA227" s="259"/>
      <c r="DB227" s="259"/>
      <c r="DC227" s="259"/>
      <c r="DD227" s="259"/>
      <c r="DE227" s="259"/>
      <c r="DF227" s="259"/>
      <c r="DG227" s="259"/>
      <c r="DH227" s="259"/>
      <c r="DI227" s="259"/>
      <c r="DJ227" s="259"/>
      <c r="DK227" s="259"/>
      <c r="DL227" s="259"/>
      <c r="DM227" s="259"/>
      <c r="DN227" s="259"/>
      <c r="DO227" s="259"/>
      <c r="DP227" s="259"/>
      <c r="DQ227" s="259"/>
      <c r="DR227" s="259"/>
      <c r="DS227" s="259"/>
      <c r="DT227" s="259"/>
      <c r="DU227" s="259"/>
      <c r="DV227" s="259"/>
      <c r="DW227" s="259"/>
      <c r="DX227" s="259"/>
      <c r="DY227" s="259"/>
      <c r="DZ227" s="259"/>
      <c r="EA227" s="259"/>
      <c r="EB227" s="259"/>
      <c r="EC227" s="259"/>
      <c r="ED227" s="259"/>
      <c r="EE227" s="259"/>
      <c r="EF227" s="259"/>
      <c r="EG227" s="259"/>
      <c r="EH227" s="259"/>
      <c r="EI227" s="259"/>
      <c r="EJ227" s="259"/>
      <c r="EK227" s="259"/>
      <c r="EL227" s="259"/>
      <c r="EM227" s="259"/>
      <c r="EN227" s="259"/>
      <c r="EO227" s="259"/>
      <c r="EP227" s="259"/>
      <c r="EQ227" s="259"/>
      <c r="ER227" s="259"/>
      <c r="ES227" s="259"/>
      <c r="ET227" s="259"/>
      <c r="EU227" s="259"/>
      <c r="EV227" s="259"/>
      <c r="EW227" s="259"/>
      <c r="EX227" s="259"/>
      <c r="EY227" s="259"/>
      <c r="EZ227" s="259"/>
      <c r="FA227" s="259"/>
      <c r="FB227" s="259"/>
      <c r="FC227" s="259"/>
      <c r="FD227" s="259"/>
      <c r="FE227" s="259"/>
      <c r="FF227" s="259"/>
      <c r="FG227" s="259"/>
      <c r="FH227" s="259"/>
      <c r="FI227" s="259"/>
      <c r="FJ227" s="259"/>
      <c r="FK227" s="259"/>
      <c r="FL227" s="259"/>
      <c r="FM227" s="259"/>
      <c r="FN227" s="259"/>
      <c r="FO227" s="259"/>
      <c r="FP227" s="259"/>
      <c r="FQ227" s="259"/>
      <c r="FR227" s="259"/>
      <c r="FS227" s="259"/>
      <c r="FT227" s="259"/>
      <c r="FU227" s="259"/>
      <c r="FV227" s="259"/>
      <c r="FW227" s="259"/>
      <c r="FX227" s="259"/>
      <c r="FY227" s="259"/>
      <c r="FZ227" s="259"/>
      <c r="GA227" s="259"/>
      <c r="GB227" s="259"/>
      <c r="GC227" s="259"/>
      <c r="GD227" s="259"/>
      <c r="GE227" s="259"/>
    </row>
    <row r="228" spans="2:187" s="147" customFormat="1" ht="16.5" customHeight="1">
      <c r="B228" s="251">
        <v>222</v>
      </c>
      <c r="C228" s="489" t="s">
        <v>517</v>
      </c>
      <c r="D228" s="489" t="s">
        <v>522</v>
      </c>
      <c r="E228" s="489" t="s">
        <v>133</v>
      </c>
      <c r="F228" s="489" t="s">
        <v>167</v>
      </c>
      <c r="G228" s="490">
        <v>3</v>
      </c>
      <c r="H228" s="490">
        <v>300000</v>
      </c>
      <c r="I228" s="252">
        <f t="shared" si="3"/>
        <v>56250</v>
      </c>
      <c r="J228" s="283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59"/>
      <c r="BK228" s="259"/>
      <c r="BL228" s="259"/>
      <c r="BM228" s="259"/>
      <c r="BN228" s="259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59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  <c r="CO228" s="259"/>
      <c r="CP228" s="259"/>
      <c r="CQ228" s="259"/>
      <c r="CR228" s="259"/>
      <c r="CS228" s="259"/>
      <c r="CT228" s="259"/>
      <c r="CU228" s="259"/>
      <c r="CV228" s="259"/>
      <c r="CW228" s="259"/>
      <c r="CX228" s="259"/>
      <c r="CY228" s="259"/>
      <c r="CZ228" s="259"/>
      <c r="DA228" s="259"/>
      <c r="DB228" s="259"/>
      <c r="DC228" s="259"/>
      <c r="DD228" s="259"/>
      <c r="DE228" s="259"/>
      <c r="DF228" s="259"/>
      <c r="DG228" s="259"/>
      <c r="DH228" s="259"/>
      <c r="DI228" s="259"/>
      <c r="DJ228" s="259"/>
      <c r="DK228" s="259"/>
      <c r="DL228" s="259"/>
      <c r="DM228" s="259"/>
      <c r="DN228" s="259"/>
      <c r="DO228" s="259"/>
      <c r="DP228" s="259"/>
      <c r="DQ228" s="259"/>
      <c r="DR228" s="259"/>
      <c r="DS228" s="259"/>
      <c r="DT228" s="259"/>
      <c r="DU228" s="259"/>
      <c r="DV228" s="259"/>
      <c r="DW228" s="259"/>
      <c r="DX228" s="259"/>
      <c r="DY228" s="259"/>
      <c r="DZ228" s="259"/>
      <c r="EA228" s="259"/>
      <c r="EB228" s="259"/>
      <c r="EC228" s="259"/>
      <c r="ED228" s="259"/>
      <c r="EE228" s="259"/>
      <c r="EF228" s="259"/>
      <c r="EG228" s="259"/>
      <c r="EH228" s="259"/>
      <c r="EI228" s="259"/>
      <c r="EJ228" s="259"/>
      <c r="EK228" s="259"/>
      <c r="EL228" s="259"/>
      <c r="EM228" s="259"/>
      <c r="EN228" s="259"/>
      <c r="EO228" s="259"/>
      <c r="EP228" s="259"/>
      <c r="EQ228" s="259"/>
      <c r="ER228" s="259"/>
      <c r="ES228" s="259"/>
      <c r="ET228" s="259"/>
      <c r="EU228" s="259"/>
      <c r="EV228" s="259"/>
      <c r="EW228" s="259"/>
      <c r="EX228" s="259"/>
      <c r="EY228" s="259"/>
      <c r="EZ228" s="259"/>
      <c r="FA228" s="259"/>
      <c r="FB228" s="259"/>
      <c r="FC228" s="259"/>
      <c r="FD228" s="259"/>
      <c r="FE228" s="259"/>
      <c r="FF228" s="259"/>
      <c r="FG228" s="259"/>
      <c r="FH228" s="259"/>
      <c r="FI228" s="259"/>
      <c r="FJ228" s="259"/>
      <c r="FK228" s="259"/>
      <c r="FL228" s="259"/>
      <c r="FM228" s="259"/>
      <c r="FN228" s="259"/>
      <c r="FO228" s="259"/>
      <c r="FP228" s="259"/>
      <c r="FQ228" s="259"/>
      <c r="FR228" s="259"/>
      <c r="FS228" s="259"/>
      <c r="FT228" s="259"/>
      <c r="FU228" s="259"/>
      <c r="FV228" s="259"/>
      <c r="FW228" s="259"/>
      <c r="FX228" s="259"/>
      <c r="FY228" s="259"/>
      <c r="FZ228" s="259"/>
      <c r="GA228" s="259"/>
      <c r="GB228" s="259"/>
      <c r="GC228" s="259"/>
      <c r="GD228" s="259"/>
      <c r="GE228" s="259"/>
    </row>
    <row r="229" spans="2:187" s="147" customFormat="1" ht="16.5" customHeight="1">
      <c r="B229" s="251">
        <v>223</v>
      </c>
      <c r="C229" s="489" t="s">
        <v>517</v>
      </c>
      <c r="D229" s="489" t="s">
        <v>526</v>
      </c>
      <c r="E229" s="489" t="s">
        <v>202</v>
      </c>
      <c r="F229" s="489" t="s">
        <v>224</v>
      </c>
      <c r="G229" s="490">
        <v>1</v>
      </c>
      <c r="H229" s="490">
        <v>257000</v>
      </c>
      <c r="I229" s="252">
        <f t="shared" si="3"/>
        <v>48187.5</v>
      </c>
      <c r="J229" s="283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59"/>
      <c r="BK229" s="259"/>
      <c r="BL229" s="259"/>
      <c r="BM229" s="259"/>
      <c r="BN229" s="259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59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  <c r="CO229" s="259"/>
      <c r="CP229" s="259"/>
      <c r="CQ229" s="259"/>
      <c r="CR229" s="259"/>
      <c r="CS229" s="259"/>
      <c r="CT229" s="259"/>
      <c r="CU229" s="259"/>
      <c r="CV229" s="259"/>
      <c r="CW229" s="259"/>
      <c r="CX229" s="259"/>
      <c r="CY229" s="259"/>
      <c r="CZ229" s="259"/>
      <c r="DA229" s="259"/>
      <c r="DB229" s="259"/>
      <c r="DC229" s="259"/>
      <c r="DD229" s="259"/>
      <c r="DE229" s="259"/>
      <c r="DF229" s="259"/>
      <c r="DG229" s="259"/>
      <c r="DH229" s="259"/>
      <c r="DI229" s="259"/>
      <c r="DJ229" s="259"/>
      <c r="DK229" s="259"/>
      <c r="DL229" s="259"/>
      <c r="DM229" s="259"/>
      <c r="DN229" s="259"/>
      <c r="DO229" s="259"/>
      <c r="DP229" s="259"/>
      <c r="DQ229" s="259"/>
      <c r="DR229" s="259"/>
      <c r="DS229" s="259"/>
      <c r="DT229" s="259"/>
      <c r="DU229" s="259"/>
      <c r="DV229" s="259"/>
      <c r="DW229" s="259"/>
      <c r="DX229" s="259"/>
      <c r="DY229" s="259"/>
      <c r="DZ229" s="259"/>
      <c r="EA229" s="259"/>
      <c r="EB229" s="259"/>
      <c r="EC229" s="259"/>
      <c r="ED229" s="259"/>
      <c r="EE229" s="259"/>
      <c r="EF229" s="259"/>
      <c r="EG229" s="259"/>
      <c r="EH229" s="259"/>
      <c r="EI229" s="259"/>
      <c r="EJ229" s="259"/>
      <c r="EK229" s="259"/>
      <c r="EL229" s="259"/>
      <c r="EM229" s="259"/>
      <c r="EN229" s="259"/>
      <c r="EO229" s="259"/>
      <c r="EP229" s="259"/>
      <c r="EQ229" s="259"/>
      <c r="ER229" s="259"/>
      <c r="ES229" s="259"/>
      <c r="ET229" s="259"/>
      <c r="EU229" s="259"/>
      <c r="EV229" s="259"/>
      <c r="EW229" s="259"/>
      <c r="EX229" s="259"/>
      <c r="EY229" s="259"/>
      <c r="EZ229" s="259"/>
      <c r="FA229" s="259"/>
      <c r="FB229" s="259"/>
      <c r="FC229" s="259"/>
      <c r="FD229" s="259"/>
      <c r="FE229" s="259"/>
      <c r="FF229" s="259"/>
      <c r="FG229" s="259"/>
      <c r="FH229" s="259"/>
      <c r="FI229" s="259"/>
      <c r="FJ229" s="259"/>
      <c r="FK229" s="259"/>
      <c r="FL229" s="259"/>
      <c r="FM229" s="259"/>
      <c r="FN229" s="259"/>
      <c r="FO229" s="259"/>
      <c r="FP229" s="259"/>
      <c r="FQ229" s="259"/>
      <c r="FR229" s="259"/>
      <c r="FS229" s="259"/>
      <c r="FT229" s="259"/>
      <c r="FU229" s="259"/>
      <c r="FV229" s="259"/>
      <c r="FW229" s="259"/>
      <c r="FX229" s="259"/>
      <c r="FY229" s="259"/>
      <c r="FZ229" s="259"/>
      <c r="GA229" s="259"/>
      <c r="GB229" s="259"/>
      <c r="GC229" s="259"/>
      <c r="GD229" s="259"/>
      <c r="GE229" s="259"/>
    </row>
    <row r="230" spans="2:187" s="147" customFormat="1" ht="16.5" customHeight="1">
      <c r="B230" s="251">
        <v>224</v>
      </c>
      <c r="C230" s="489" t="s">
        <v>517</v>
      </c>
      <c r="D230" s="489" t="s">
        <v>527</v>
      </c>
      <c r="E230" s="489" t="s">
        <v>220</v>
      </c>
      <c r="F230" s="489" t="s">
        <v>208</v>
      </c>
      <c r="G230" s="490">
        <v>1</v>
      </c>
      <c r="H230" s="490">
        <v>372700</v>
      </c>
      <c r="I230" s="252">
        <f t="shared" si="3"/>
        <v>69881.25</v>
      </c>
      <c r="J230" s="283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59"/>
      <c r="BK230" s="259"/>
      <c r="BL230" s="259"/>
      <c r="BM230" s="259"/>
      <c r="BN230" s="259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59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  <c r="CO230" s="259"/>
      <c r="CP230" s="259"/>
      <c r="CQ230" s="259"/>
      <c r="CR230" s="259"/>
      <c r="CS230" s="259"/>
      <c r="CT230" s="259"/>
      <c r="CU230" s="259"/>
      <c r="CV230" s="259"/>
      <c r="CW230" s="259"/>
      <c r="CX230" s="259"/>
      <c r="CY230" s="259"/>
      <c r="CZ230" s="259"/>
      <c r="DA230" s="259"/>
      <c r="DB230" s="259"/>
      <c r="DC230" s="259"/>
      <c r="DD230" s="259"/>
      <c r="DE230" s="259"/>
      <c r="DF230" s="259"/>
      <c r="DG230" s="259"/>
      <c r="DH230" s="259"/>
      <c r="DI230" s="259"/>
      <c r="DJ230" s="259"/>
      <c r="DK230" s="259"/>
      <c r="DL230" s="259"/>
      <c r="DM230" s="259"/>
      <c r="DN230" s="259"/>
      <c r="DO230" s="259"/>
      <c r="DP230" s="259"/>
      <c r="DQ230" s="259"/>
      <c r="DR230" s="259"/>
      <c r="DS230" s="259"/>
      <c r="DT230" s="259"/>
      <c r="DU230" s="259"/>
      <c r="DV230" s="259"/>
      <c r="DW230" s="259"/>
      <c r="DX230" s="259"/>
      <c r="DY230" s="259"/>
      <c r="DZ230" s="259"/>
      <c r="EA230" s="259"/>
      <c r="EB230" s="259"/>
      <c r="EC230" s="259"/>
      <c r="ED230" s="259"/>
      <c r="EE230" s="259"/>
      <c r="EF230" s="259"/>
      <c r="EG230" s="259"/>
      <c r="EH230" s="259"/>
      <c r="EI230" s="259"/>
      <c r="EJ230" s="259"/>
      <c r="EK230" s="259"/>
      <c r="EL230" s="259"/>
      <c r="EM230" s="259"/>
      <c r="EN230" s="259"/>
      <c r="EO230" s="259"/>
      <c r="EP230" s="259"/>
      <c r="EQ230" s="259"/>
      <c r="ER230" s="259"/>
      <c r="ES230" s="259"/>
      <c r="ET230" s="259"/>
      <c r="EU230" s="259"/>
      <c r="EV230" s="259"/>
      <c r="EW230" s="259"/>
      <c r="EX230" s="259"/>
      <c r="EY230" s="259"/>
      <c r="EZ230" s="259"/>
      <c r="FA230" s="259"/>
      <c r="FB230" s="259"/>
      <c r="FC230" s="259"/>
      <c r="FD230" s="259"/>
      <c r="FE230" s="259"/>
      <c r="FF230" s="259"/>
      <c r="FG230" s="259"/>
      <c r="FH230" s="259"/>
      <c r="FI230" s="259"/>
      <c r="FJ230" s="259"/>
      <c r="FK230" s="259"/>
      <c r="FL230" s="259"/>
      <c r="FM230" s="259"/>
      <c r="FN230" s="259"/>
      <c r="FO230" s="259"/>
      <c r="FP230" s="259"/>
      <c r="FQ230" s="259"/>
      <c r="FR230" s="259"/>
      <c r="FS230" s="259"/>
      <c r="FT230" s="259"/>
      <c r="FU230" s="259"/>
      <c r="FV230" s="259"/>
      <c r="FW230" s="259"/>
      <c r="FX230" s="259"/>
      <c r="FY230" s="259"/>
      <c r="FZ230" s="259"/>
      <c r="GA230" s="259"/>
      <c r="GB230" s="259"/>
      <c r="GC230" s="259"/>
      <c r="GD230" s="259"/>
      <c r="GE230" s="259"/>
    </row>
    <row r="231" spans="2:187" s="147" customFormat="1" ht="16.5" customHeight="1">
      <c r="B231" s="251">
        <v>225</v>
      </c>
      <c r="C231" s="489" t="s">
        <v>430</v>
      </c>
      <c r="D231" s="489" t="s">
        <v>281</v>
      </c>
      <c r="E231" s="489" t="s">
        <v>140</v>
      </c>
      <c r="F231" s="489" t="s">
        <v>167</v>
      </c>
      <c r="G231" s="490">
        <v>1</v>
      </c>
      <c r="H231" s="490">
        <v>100000</v>
      </c>
      <c r="I231" s="252">
        <f t="shared" si="3"/>
        <v>18750</v>
      </c>
      <c r="J231" s="283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59"/>
      <c r="BK231" s="259"/>
      <c r="BL231" s="259"/>
      <c r="BM231" s="259"/>
      <c r="BN231" s="259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59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  <c r="CO231" s="259"/>
      <c r="CP231" s="259"/>
      <c r="CQ231" s="259"/>
      <c r="CR231" s="259"/>
      <c r="CS231" s="259"/>
      <c r="CT231" s="259"/>
      <c r="CU231" s="259"/>
      <c r="CV231" s="259"/>
      <c r="CW231" s="259"/>
      <c r="CX231" s="259"/>
      <c r="CY231" s="259"/>
      <c r="CZ231" s="259"/>
      <c r="DA231" s="259"/>
      <c r="DB231" s="259"/>
      <c r="DC231" s="259"/>
      <c r="DD231" s="259"/>
      <c r="DE231" s="259"/>
      <c r="DF231" s="259"/>
      <c r="DG231" s="259"/>
      <c r="DH231" s="259"/>
      <c r="DI231" s="259"/>
      <c r="DJ231" s="259"/>
      <c r="DK231" s="259"/>
      <c r="DL231" s="259"/>
      <c r="DM231" s="259"/>
      <c r="DN231" s="259"/>
      <c r="DO231" s="259"/>
      <c r="DP231" s="259"/>
      <c r="DQ231" s="259"/>
      <c r="DR231" s="259"/>
      <c r="DS231" s="259"/>
      <c r="DT231" s="259"/>
      <c r="DU231" s="259"/>
      <c r="DV231" s="259"/>
      <c r="DW231" s="259"/>
      <c r="DX231" s="259"/>
      <c r="DY231" s="259"/>
      <c r="DZ231" s="259"/>
      <c r="EA231" s="259"/>
      <c r="EB231" s="259"/>
      <c r="EC231" s="259"/>
      <c r="ED231" s="259"/>
      <c r="EE231" s="259"/>
      <c r="EF231" s="259"/>
      <c r="EG231" s="259"/>
      <c r="EH231" s="259"/>
      <c r="EI231" s="259"/>
      <c r="EJ231" s="259"/>
      <c r="EK231" s="259"/>
      <c r="EL231" s="259"/>
      <c r="EM231" s="259"/>
      <c r="EN231" s="259"/>
      <c r="EO231" s="259"/>
      <c r="EP231" s="259"/>
      <c r="EQ231" s="259"/>
      <c r="ER231" s="259"/>
      <c r="ES231" s="259"/>
      <c r="ET231" s="259"/>
      <c r="EU231" s="259"/>
      <c r="EV231" s="259"/>
      <c r="EW231" s="259"/>
      <c r="EX231" s="259"/>
      <c r="EY231" s="259"/>
      <c r="EZ231" s="259"/>
      <c r="FA231" s="259"/>
      <c r="FB231" s="259"/>
      <c r="FC231" s="259"/>
      <c r="FD231" s="259"/>
      <c r="FE231" s="259"/>
      <c r="FF231" s="259"/>
      <c r="FG231" s="259"/>
      <c r="FH231" s="259"/>
      <c r="FI231" s="259"/>
      <c r="FJ231" s="259"/>
      <c r="FK231" s="259"/>
      <c r="FL231" s="259"/>
      <c r="FM231" s="259"/>
      <c r="FN231" s="259"/>
      <c r="FO231" s="259"/>
      <c r="FP231" s="259"/>
      <c r="FQ231" s="259"/>
      <c r="FR231" s="259"/>
      <c r="FS231" s="259"/>
      <c r="FT231" s="259"/>
      <c r="FU231" s="259"/>
      <c r="FV231" s="259"/>
      <c r="FW231" s="259"/>
      <c r="FX231" s="259"/>
      <c r="FY231" s="259"/>
      <c r="FZ231" s="259"/>
      <c r="GA231" s="259"/>
      <c r="GB231" s="259"/>
      <c r="GC231" s="259"/>
      <c r="GD231" s="259"/>
      <c r="GE231" s="259"/>
    </row>
    <row r="232" spans="2:187" s="147" customFormat="1" ht="16.5" customHeight="1">
      <c r="B232" s="251">
        <v>226</v>
      </c>
      <c r="C232" s="489" t="s">
        <v>430</v>
      </c>
      <c r="D232" s="489" t="s">
        <v>281</v>
      </c>
      <c r="E232" s="489" t="s">
        <v>140</v>
      </c>
      <c r="F232" s="489" t="s">
        <v>175</v>
      </c>
      <c r="G232" s="490">
        <v>1</v>
      </c>
      <c r="H232" s="490">
        <v>100000</v>
      </c>
      <c r="I232" s="252">
        <f t="shared" si="3"/>
        <v>18750</v>
      </c>
      <c r="J232" s="283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59"/>
      <c r="BK232" s="259"/>
      <c r="BL232" s="259"/>
      <c r="BM232" s="259"/>
      <c r="BN232" s="259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59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  <c r="CO232" s="259"/>
      <c r="CP232" s="259"/>
      <c r="CQ232" s="259"/>
      <c r="CR232" s="259"/>
      <c r="CS232" s="259"/>
      <c r="CT232" s="259"/>
      <c r="CU232" s="259"/>
      <c r="CV232" s="259"/>
      <c r="CW232" s="259"/>
      <c r="CX232" s="259"/>
      <c r="CY232" s="259"/>
      <c r="CZ232" s="259"/>
      <c r="DA232" s="259"/>
      <c r="DB232" s="259"/>
      <c r="DC232" s="259"/>
      <c r="DD232" s="259"/>
      <c r="DE232" s="259"/>
      <c r="DF232" s="259"/>
      <c r="DG232" s="259"/>
      <c r="DH232" s="259"/>
      <c r="DI232" s="259"/>
      <c r="DJ232" s="259"/>
      <c r="DK232" s="259"/>
      <c r="DL232" s="259"/>
      <c r="DM232" s="259"/>
      <c r="DN232" s="259"/>
      <c r="DO232" s="259"/>
      <c r="DP232" s="259"/>
      <c r="DQ232" s="259"/>
      <c r="DR232" s="259"/>
      <c r="DS232" s="259"/>
      <c r="DT232" s="259"/>
      <c r="DU232" s="259"/>
      <c r="DV232" s="259"/>
      <c r="DW232" s="259"/>
      <c r="DX232" s="259"/>
      <c r="DY232" s="259"/>
      <c r="DZ232" s="259"/>
      <c r="EA232" s="259"/>
      <c r="EB232" s="259"/>
      <c r="EC232" s="259"/>
      <c r="ED232" s="259"/>
      <c r="EE232" s="259"/>
      <c r="EF232" s="259"/>
      <c r="EG232" s="259"/>
      <c r="EH232" s="259"/>
      <c r="EI232" s="259"/>
      <c r="EJ232" s="259"/>
      <c r="EK232" s="259"/>
      <c r="EL232" s="259"/>
      <c r="EM232" s="259"/>
      <c r="EN232" s="259"/>
      <c r="EO232" s="259"/>
      <c r="EP232" s="259"/>
      <c r="EQ232" s="259"/>
      <c r="ER232" s="259"/>
      <c r="ES232" s="259"/>
      <c r="ET232" s="259"/>
      <c r="EU232" s="259"/>
      <c r="EV232" s="259"/>
      <c r="EW232" s="259"/>
      <c r="EX232" s="259"/>
      <c r="EY232" s="259"/>
      <c r="EZ232" s="259"/>
      <c r="FA232" s="259"/>
      <c r="FB232" s="259"/>
      <c r="FC232" s="259"/>
      <c r="FD232" s="259"/>
      <c r="FE232" s="259"/>
      <c r="FF232" s="259"/>
      <c r="FG232" s="259"/>
      <c r="FH232" s="259"/>
      <c r="FI232" s="259"/>
      <c r="FJ232" s="259"/>
      <c r="FK232" s="259"/>
      <c r="FL232" s="259"/>
      <c r="FM232" s="259"/>
      <c r="FN232" s="259"/>
      <c r="FO232" s="259"/>
      <c r="FP232" s="259"/>
      <c r="FQ232" s="259"/>
      <c r="FR232" s="259"/>
      <c r="FS232" s="259"/>
      <c r="FT232" s="259"/>
      <c r="FU232" s="259"/>
      <c r="FV232" s="259"/>
      <c r="FW232" s="259"/>
      <c r="FX232" s="259"/>
      <c r="FY232" s="259"/>
      <c r="FZ232" s="259"/>
      <c r="GA232" s="259"/>
      <c r="GB232" s="259"/>
      <c r="GC232" s="259"/>
      <c r="GD232" s="259"/>
      <c r="GE232" s="259"/>
    </row>
    <row r="233" spans="2:187" s="147" customFormat="1" ht="16.5" customHeight="1">
      <c r="B233" s="251">
        <v>227</v>
      </c>
      <c r="C233" s="489" t="s">
        <v>528</v>
      </c>
      <c r="D233" s="489" t="s">
        <v>529</v>
      </c>
      <c r="E233" s="489" t="s">
        <v>220</v>
      </c>
      <c r="F233" s="489" t="s">
        <v>233</v>
      </c>
      <c r="G233" s="490">
        <v>1</v>
      </c>
      <c r="H233" s="490">
        <v>257000</v>
      </c>
      <c r="I233" s="252">
        <f t="shared" si="3"/>
        <v>48187.5</v>
      </c>
      <c r="J233" s="283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59"/>
      <c r="BK233" s="259"/>
      <c r="BL233" s="259"/>
      <c r="BM233" s="259"/>
      <c r="BN233" s="259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59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  <c r="CO233" s="259"/>
      <c r="CP233" s="259"/>
      <c r="CQ233" s="259"/>
      <c r="CR233" s="259"/>
      <c r="CS233" s="259"/>
      <c r="CT233" s="259"/>
      <c r="CU233" s="259"/>
      <c r="CV233" s="259"/>
      <c r="CW233" s="259"/>
      <c r="CX233" s="259"/>
      <c r="CY233" s="259"/>
      <c r="CZ233" s="259"/>
      <c r="DA233" s="259"/>
      <c r="DB233" s="259"/>
      <c r="DC233" s="259"/>
      <c r="DD233" s="259"/>
      <c r="DE233" s="259"/>
      <c r="DF233" s="259"/>
      <c r="DG233" s="259"/>
      <c r="DH233" s="259"/>
      <c r="DI233" s="259"/>
      <c r="DJ233" s="259"/>
      <c r="DK233" s="259"/>
      <c r="DL233" s="259"/>
      <c r="DM233" s="259"/>
      <c r="DN233" s="259"/>
      <c r="DO233" s="259"/>
      <c r="DP233" s="259"/>
      <c r="DQ233" s="259"/>
      <c r="DR233" s="259"/>
      <c r="DS233" s="259"/>
      <c r="DT233" s="259"/>
      <c r="DU233" s="259"/>
      <c r="DV233" s="259"/>
      <c r="DW233" s="259"/>
      <c r="DX233" s="259"/>
      <c r="DY233" s="259"/>
      <c r="DZ233" s="259"/>
      <c r="EA233" s="259"/>
      <c r="EB233" s="259"/>
      <c r="EC233" s="259"/>
      <c r="ED233" s="259"/>
      <c r="EE233" s="259"/>
      <c r="EF233" s="259"/>
      <c r="EG233" s="259"/>
      <c r="EH233" s="259"/>
      <c r="EI233" s="259"/>
      <c r="EJ233" s="259"/>
      <c r="EK233" s="259"/>
      <c r="EL233" s="259"/>
      <c r="EM233" s="259"/>
      <c r="EN233" s="259"/>
      <c r="EO233" s="259"/>
      <c r="EP233" s="259"/>
      <c r="EQ233" s="259"/>
      <c r="ER233" s="259"/>
      <c r="ES233" s="259"/>
      <c r="ET233" s="259"/>
      <c r="EU233" s="259"/>
      <c r="EV233" s="259"/>
      <c r="EW233" s="259"/>
      <c r="EX233" s="259"/>
      <c r="EY233" s="259"/>
      <c r="EZ233" s="259"/>
      <c r="FA233" s="259"/>
      <c r="FB233" s="259"/>
      <c r="FC233" s="259"/>
      <c r="FD233" s="259"/>
      <c r="FE233" s="259"/>
      <c r="FF233" s="259"/>
      <c r="FG233" s="259"/>
      <c r="FH233" s="259"/>
      <c r="FI233" s="259"/>
      <c r="FJ233" s="259"/>
      <c r="FK233" s="259"/>
      <c r="FL233" s="259"/>
      <c r="FM233" s="259"/>
      <c r="FN233" s="259"/>
      <c r="FO233" s="259"/>
      <c r="FP233" s="259"/>
      <c r="FQ233" s="259"/>
      <c r="FR233" s="259"/>
      <c r="FS233" s="259"/>
      <c r="FT233" s="259"/>
      <c r="FU233" s="259"/>
      <c r="FV233" s="259"/>
      <c r="FW233" s="259"/>
      <c r="FX233" s="259"/>
      <c r="FY233" s="259"/>
      <c r="FZ233" s="259"/>
      <c r="GA233" s="259"/>
      <c r="GB233" s="259"/>
      <c r="GC233" s="259"/>
      <c r="GD233" s="259"/>
      <c r="GE233" s="259"/>
    </row>
    <row r="234" spans="2:187" s="147" customFormat="1" ht="16.5" customHeight="1">
      <c r="B234" s="251">
        <v>228</v>
      </c>
      <c r="C234" s="489" t="s">
        <v>371</v>
      </c>
      <c r="D234" s="489" t="s">
        <v>504</v>
      </c>
      <c r="E234" s="489" t="s">
        <v>505</v>
      </c>
      <c r="F234" s="489" t="s">
        <v>171</v>
      </c>
      <c r="G234" s="490">
        <v>1</v>
      </c>
      <c r="H234" s="490">
        <v>40300</v>
      </c>
      <c r="I234" s="252">
        <f t="shared" si="3"/>
        <v>7556.25</v>
      </c>
      <c r="J234" s="283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59"/>
      <c r="BK234" s="259"/>
      <c r="BL234" s="259"/>
      <c r="BM234" s="259"/>
      <c r="BN234" s="259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59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  <c r="CO234" s="259"/>
      <c r="CP234" s="259"/>
      <c r="CQ234" s="259"/>
      <c r="CR234" s="259"/>
      <c r="CS234" s="259"/>
      <c r="CT234" s="259"/>
      <c r="CU234" s="259"/>
      <c r="CV234" s="259"/>
      <c r="CW234" s="259"/>
      <c r="CX234" s="259"/>
      <c r="CY234" s="259"/>
      <c r="CZ234" s="259"/>
      <c r="DA234" s="259"/>
      <c r="DB234" s="259"/>
      <c r="DC234" s="259"/>
      <c r="DD234" s="259"/>
      <c r="DE234" s="259"/>
      <c r="DF234" s="259"/>
      <c r="DG234" s="259"/>
      <c r="DH234" s="259"/>
      <c r="DI234" s="259"/>
      <c r="DJ234" s="259"/>
      <c r="DK234" s="259"/>
      <c r="DL234" s="259"/>
      <c r="DM234" s="259"/>
      <c r="DN234" s="259"/>
      <c r="DO234" s="259"/>
      <c r="DP234" s="259"/>
      <c r="DQ234" s="259"/>
      <c r="DR234" s="259"/>
      <c r="DS234" s="259"/>
      <c r="DT234" s="259"/>
      <c r="DU234" s="259"/>
      <c r="DV234" s="259"/>
      <c r="DW234" s="259"/>
      <c r="DX234" s="259"/>
      <c r="DY234" s="259"/>
      <c r="DZ234" s="259"/>
      <c r="EA234" s="259"/>
      <c r="EB234" s="259"/>
      <c r="EC234" s="259"/>
      <c r="ED234" s="259"/>
      <c r="EE234" s="259"/>
      <c r="EF234" s="259"/>
      <c r="EG234" s="259"/>
      <c r="EH234" s="259"/>
      <c r="EI234" s="259"/>
      <c r="EJ234" s="259"/>
      <c r="EK234" s="259"/>
      <c r="EL234" s="259"/>
      <c r="EM234" s="259"/>
      <c r="EN234" s="259"/>
      <c r="EO234" s="259"/>
      <c r="EP234" s="259"/>
      <c r="EQ234" s="259"/>
      <c r="ER234" s="259"/>
      <c r="ES234" s="259"/>
      <c r="ET234" s="259"/>
      <c r="EU234" s="259"/>
      <c r="EV234" s="259"/>
      <c r="EW234" s="259"/>
      <c r="EX234" s="259"/>
      <c r="EY234" s="259"/>
      <c r="EZ234" s="259"/>
      <c r="FA234" s="259"/>
      <c r="FB234" s="259"/>
      <c r="FC234" s="259"/>
      <c r="FD234" s="259"/>
      <c r="FE234" s="259"/>
      <c r="FF234" s="259"/>
      <c r="FG234" s="259"/>
      <c r="FH234" s="259"/>
      <c r="FI234" s="259"/>
      <c r="FJ234" s="259"/>
      <c r="FK234" s="259"/>
      <c r="FL234" s="259"/>
      <c r="FM234" s="259"/>
      <c r="FN234" s="259"/>
      <c r="FO234" s="259"/>
      <c r="FP234" s="259"/>
      <c r="FQ234" s="259"/>
      <c r="FR234" s="259"/>
      <c r="FS234" s="259"/>
      <c r="FT234" s="259"/>
      <c r="FU234" s="259"/>
      <c r="FV234" s="259"/>
      <c r="FW234" s="259"/>
      <c r="FX234" s="259"/>
      <c r="FY234" s="259"/>
      <c r="FZ234" s="259"/>
      <c r="GA234" s="259"/>
      <c r="GB234" s="259"/>
      <c r="GC234" s="259"/>
      <c r="GD234" s="259"/>
      <c r="GE234" s="259"/>
    </row>
    <row r="235" spans="2:187" s="147" customFormat="1" ht="16.5" customHeight="1">
      <c r="B235" s="251">
        <v>229</v>
      </c>
      <c r="C235" s="489" t="s">
        <v>371</v>
      </c>
      <c r="D235" s="489" t="s">
        <v>277</v>
      </c>
      <c r="E235" s="489" t="s">
        <v>212</v>
      </c>
      <c r="F235" s="489" t="s">
        <v>175</v>
      </c>
      <c r="G235" s="490">
        <v>4</v>
      </c>
      <c r="H235" s="490">
        <v>400000</v>
      </c>
      <c r="I235" s="252">
        <f t="shared" ref="I235:I294" si="4">H235*25%*75%</f>
        <v>75000</v>
      </c>
      <c r="J235" s="283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59"/>
      <c r="BK235" s="259"/>
      <c r="BL235" s="259"/>
      <c r="BM235" s="259"/>
      <c r="BN235" s="259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59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  <c r="CO235" s="259"/>
      <c r="CP235" s="259"/>
      <c r="CQ235" s="259"/>
      <c r="CR235" s="259"/>
      <c r="CS235" s="259"/>
      <c r="CT235" s="259"/>
      <c r="CU235" s="259"/>
      <c r="CV235" s="259"/>
      <c r="CW235" s="259"/>
      <c r="CX235" s="259"/>
      <c r="CY235" s="259"/>
      <c r="CZ235" s="259"/>
      <c r="DA235" s="259"/>
      <c r="DB235" s="259"/>
      <c r="DC235" s="259"/>
      <c r="DD235" s="259"/>
      <c r="DE235" s="259"/>
      <c r="DF235" s="259"/>
      <c r="DG235" s="259"/>
      <c r="DH235" s="259"/>
      <c r="DI235" s="259"/>
      <c r="DJ235" s="259"/>
      <c r="DK235" s="259"/>
      <c r="DL235" s="259"/>
      <c r="DM235" s="259"/>
      <c r="DN235" s="259"/>
      <c r="DO235" s="259"/>
      <c r="DP235" s="259"/>
      <c r="DQ235" s="259"/>
      <c r="DR235" s="259"/>
      <c r="DS235" s="259"/>
      <c r="DT235" s="259"/>
      <c r="DU235" s="259"/>
      <c r="DV235" s="259"/>
      <c r="DW235" s="259"/>
      <c r="DX235" s="259"/>
      <c r="DY235" s="259"/>
      <c r="DZ235" s="259"/>
      <c r="EA235" s="259"/>
      <c r="EB235" s="259"/>
      <c r="EC235" s="259"/>
      <c r="ED235" s="259"/>
      <c r="EE235" s="259"/>
      <c r="EF235" s="259"/>
      <c r="EG235" s="259"/>
      <c r="EH235" s="259"/>
      <c r="EI235" s="259"/>
      <c r="EJ235" s="259"/>
      <c r="EK235" s="259"/>
      <c r="EL235" s="259"/>
      <c r="EM235" s="259"/>
      <c r="EN235" s="259"/>
      <c r="EO235" s="259"/>
      <c r="EP235" s="259"/>
      <c r="EQ235" s="259"/>
      <c r="ER235" s="259"/>
      <c r="ES235" s="259"/>
      <c r="ET235" s="259"/>
      <c r="EU235" s="259"/>
      <c r="EV235" s="259"/>
      <c r="EW235" s="259"/>
      <c r="EX235" s="259"/>
      <c r="EY235" s="259"/>
      <c r="EZ235" s="259"/>
      <c r="FA235" s="259"/>
      <c r="FB235" s="259"/>
      <c r="FC235" s="259"/>
      <c r="FD235" s="259"/>
      <c r="FE235" s="259"/>
      <c r="FF235" s="259"/>
      <c r="FG235" s="259"/>
      <c r="FH235" s="259"/>
      <c r="FI235" s="259"/>
      <c r="FJ235" s="259"/>
      <c r="FK235" s="259"/>
      <c r="FL235" s="259"/>
      <c r="FM235" s="259"/>
      <c r="FN235" s="259"/>
      <c r="FO235" s="259"/>
      <c r="FP235" s="259"/>
      <c r="FQ235" s="259"/>
      <c r="FR235" s="259"/>
      <c r="FS235" s="259"/>
      <c r="FT235" s="259"/>
      <c r="FU235" s="259"/>
      <c r="FV235" s="259"/>
      <c r="FW235" s="259"/>
      <c r="FX235" s="259"/>
      <c r="FY235" s="259"/>
      <c r="FZ235" s="259"/>
      <c r="GA235" s="259"/>
      <c r="GB235" s="259"/>
      <c r="GC235" s="259"/>
      <c r="GD235" s="259"/>
      <c r="GE235" s="259"/>
    </row>
    <row r="236" spans="2:187" s="147" customFormat="1" ht="16.5" customHeight="1">
      <c r="B236" s="251">
        <v>230</v>
      </c>
      <c r="C236" s="489" t="s">
        <v>371</v>
      </c>
      <c r="D236" s="489" t="s">
        <v>359</v>
      </c>
      <c r="E236" s="489" t="s">
        <v>183</v>
      </c>
      <c r="F236" s="489" t="s">
        <v>171</v>
      </c>
      <c r="G236" s="490">
        <v>1</v>
      </c>
      <c r="H236" s="490">
        <v>100000</v>
      </c>
      <c r="I236" s="252">
        <f t="shared" si="4"/>
        <v>18750</v>
      </c>
      <c r="J236" s="283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59"/>
      <c r="BK236" s="259"/>
      <c r="BL236" s="259"/>
      <c r="BM236" s="259"/>
      <c r="BN236" s="259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59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  <c r="CO236" s="259"/>
      <c r="CP236" s="259"/>
      <c r="CQ236" s="259"/>
      <c r="CR236" s="259"/>
      <c r="CS236" s="259"/>
      <c r="CT236" s="259"/>
      <c r="CU236" s="259"/>
      <c r="CV236" s="259"/>
      <c r="CW236" s="259"/>
      <c r="CX236" s="259"/>
      <c r="CY236" s="259"/>
      <c r="CZ236" s="259"/>
      <c r="DA236" s="259"/>
      <c r="DB236" s="259"/>
      <c r="DC236" s="259"/>
      <c r="DD236" s="259"/>
      <c r="DE236" s="259"/>
      <c r="DF236" s="259"/>
      <c r="DG236" s="259"/>
      <c r="DH236" s="259"/>
      <c r="DI236" s="259"/>
      <c r="DJ236" s="259"/>
      <c r="DK236" s="259"/>
      <c r="DL236" s="259"/>
      <c r="DM236" s="259"/>
      <c r="DN236" s="259"/>
      <c r="DO236" s="259"/>
      <c r="DP236" s="259"/>
      <c r="DQ236" s="259"/>
      <c r="DR236" s="259"/>
      <c r="DS236" s="259"/>
      <c r="DT236" s="259"/>
      <c r="DU236" s="259"/>
      <c r="DV236" s="259"/>
      <c r="DW236" s="259"/>
      <c r="DX236" s="259"/>
      <c r="DY236" s="259"/>
      <c r="DZ236" s="259"/>
      <c r="EA236" s="259"/>
      <c r="EB236" s="259"/>
      <c r="EC236" s="259"/>
      <c r="ED236" s="259"/>
      <c r="EE236" s="259"/>
      <c r="EF236" s="259"/>
      <c r="EG236" s="259"/>
      <c r="EH236" s="259"/>
      <c r="EI236" s="259"/>
      <c r="EJ236" s="259"/>
      <c r="EK236" s="259"/>
      <c r="EL236" s="259"/>
      <c r="EM236" s="259"/>
      <c r="EN236" s="259"/>
      <c r="EO236" s="259"/>
      <c r="EP236" s="259"/>
      <c r="EQ236" s="259"/>
      <c r="ER236" s="259"/>
      <c r="ES236" s="259"/>
      <c r="ET236" s="259"/>
      <c r="EU236" s="259"/>
      <c r="EV236" s="259"/>
      <c r="EW236" s="259"/>
      <c r="EX236" s="259"/>
      <c r="EY236" s="259"/>
      <c r="EZ236" s="259"/>
      <c r="FA236" s="259"/>
      <c r="FB236" s="259"/>
      <c r="FC236" s="259"/>
      <c r="FD236" s="259"/>
      <c r="FE236" s="259"/>
      <c r="FF236" s="259"/>
      <c r="FG236" s="259"/>
      <c r="FH236" s="259"/>
      <c r="FI236" s="259"/>
      <c r="FJ236" s="259"/>
      <c r="FK236" s="259"/>
      <c r="FL236" s="259"/>
      <c r="FM236" s="259"/>
      <c r="FN236" s="259"/>
      <c r="FO236" s="259"/>
      <c r="FP236" s="259"/>
      <c r="FQ236" s="259"/>
      <c r="FR236" s="259"/>
      <c r="FS236" s="259"/>
      <c r="FT236" s="259"/>
      <c r="FU236" s="259"/>
      <c r="FV236" s="259"/>
      <c r="FW236" s="259"/>
      <c r="FX236" s="259"/>
      <c r="FY236" s="259"/>
      <c r="FZ236" s="259"/>
      <c r="GA236" s="259"/>
      <c r="GB236" s="259"/>
      <c r="GC236" s="259"/>
      <c r="GD236" s="259"/>
      <c r="GE236" s="259"/>
    </row>
    <row r="237" spans="2:187" s="147" customFormat="1" ht="16.5" customHeight="1">
      <c r="B237" s="251">
        <v>231</v>
      </c>
      <c r="C237" s="489" t="s">
        <v>371</v>
      </c>
      <c r="D237" s="489" t="s">
        <v>530</v>
      </c>
      <c r="E237" s="489" t="s">
        <v>302</v>
      </c>
      <c r="F237" s="489" t="s">
        <v>167</v>
      </c>
      <c r="G237" s="490">
        <v>7</v>
      </c>
      <c r="H237" s="490">
        <v>700000</v>
      </c>
      <c r="I237" s="252">
        <f t="shared" si="4"/>
        <v>131250</v>
      </c>
      <c r="J237" s="283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59"/>
      <c r="BK237" s="259"/>
      <c r="BL237" s="259"/>
      <c r="BM237" s="259"/>
      <c r="BN237" s="259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59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  <c r="CO237" s="259"/>
      <c r="CP237" s="259"/>
      <c r="CQ237" s="259"/>
      <c r="CR237" s="259"/>
      <c r="CS237" s="259"/>
      <c r="CT237" s="259"/>
      <c r="CU237" s="259"/>
      <c r="CV237" s="259"/>
      <c r="CW237" s="259"/>
      <c r="CX237" s="259"/>
      <c r="CY237" s="259"/>
      <c r="CZ237" s="259"/>
      <c r="DA237" s="259"/>
      <c r="DB237" s="259"/>
      <c r="DC237" s="259"/>
      <c r="DD237" s="259"/>
      <c r="DE237" s="259"/>
      <c r="DF237" s="259"/>
      <c r="DG237" s="259"/>
      <c r="DH237" s="259"/>
      <c r="DI237" s="259"/>
      <c r="DJ237" s="259"/>
      <c r="DK237" s="259"/>
      <c r="DL237" s="259"/>
      <c r="DM237" s="259"/>
      <c r="DN237" s="259"/>
      <c r="DO237" s="259"/>
      <c r="DP237" s="259"/>
      <c r="DQ237" s="259"/>
      <c r="DR237" s="259"/>
      <c r="DS237" s="259"/>
      <c r="DT237" s="259"/>
      <c r="DU237" s="259"/>
      <c r="DV237" s="259"/>
      <c r="DW237" s="259"/>
      <c r="DX237" s="259"/>
      <c r="DY237" s="259"/>
      <c r="DZ237" s="259"/>
      <c r="EA237" s="259"/>
      <c r="EB237" s="259"/>
      <c r="EC237" s="259"/>
      <c r="ED237" s="259"/>
      <c r="EE237" s="259"/>
      <c r="EF237" s="259"/>
      <c r="EG237" s="259"/>
      <c r="EH237" s="259"/>
      <c r="EI237" s="259"/>
      <c r="EJ237" s="259"/>
      <c r="EK237" s="259"/>
      <c r="EL237" s="259"/>
      <c r="EM237" s="259"/>
      <c r="EN237" s="259"/>
      <c r="EO237" s="259"/>
      <c r="EP237" s="259"/>
      <c r="EQ237" s="259"/>
      <c r="ER237" s="259"/>
      <c r="ES237" s="259"/>
      <c r="ET237" s="259"/>
      <c r="EU237" s="259"/>
      <c r="EV237" s="259"/>
      <c r="EW237" s="259"/>
      <c r="EX237" s="259"/>
      <c r="EY237" s="259"/>
      <c r="EZ237" s="259"/>
      <c r="FA237" s="259"/>
      <c r="FB237" s="259"/>
      <c r="FC237" s="259"/>
      <c r="FD237" s="259"/>
      <c r="FE237" s="259"/>
      <c r="FF237" s="259"/>
      <c r="FG237" s="259"/>
      <c r="FH237" s="259"/>
      <c r="FI237" s="259"/>
      <c r="FJ237" s="259"/>
      <c r="FK237" s="259"/>
      <c r="FL237" s="259"/>
      <c r="FM237" s="259"/>
      <c r="FN237" s="259"/>
      <c r="FO237" s="259"/>
      <c r="FP237" s="259"/>
      <c r="FQ237" s="259"/>
      <c r="FR237" s="259"/>
      <c r="FS237" s="259"/>
      <c r="FT237" s="259"/>
      <c r="FU237" s="259"/>
      <c r="FV237" s="259"/>
      <c r="FW237" s="259"/>
      <c r="FX237" s="259"/>
      <c r="FY237" s="259"/>
      <c r="FZ237" s="259"/>
      <c r="GA237" s="259"/>
      <c r="GB237" s="259"/>
      <c r="GC237" s="259"/>
      <c r="GD237" s="259"/>
      <c r="GE237" s="259"/>
    </row>
    <row r="238" spans="2:187" s="147" customFormat="1" ht="16.5" customHeight="1">
      <c r="B238" s="251">
        <v>232</v>
      </c>
      <c r="C238" s="489" t="s">
        <v>371</v>
      </c>
      <c r="D238" s="489" t="s">
        <v>493</v>
      </c>
      <c r="E238" s="489" t="s">
        <v>239</v>
      </c>
      <c r="F238" s="489" t="s">
        <v>221</v>
      </c>
      <c r="G238" s="490">
        <v>1</v>
      </c>
      <c r="H238" s="490">
        <v>120000</v>
      </c>
      <c r="I238" s="252">
        <f t="shared" si="4"/>
        <v>22500</v>
      </c>
      <c r="J238" s="283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59"/>
      <c r="BK238" s="259"/>
      <c r="BL238" s="259"/>
      <c r="BM238" s="259"/>
      <c r="BN238" s="259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59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  <c r="CO238" s="259"/>
      <c r="CP238" s="259"/>
      <c r="CQ238" s="259"/>
      <c r="CR238" s="259"/>
      <c r="CS238" s="259"/>
      <c r="CT238" s="259"/>
      <c r="CU238" s="259"/>
      <c r="CV238" s="259"/>
      <c r="CW238" s="259"/>
      <c r="CX238" s="259"/>
      <c r="CY238" s="259"/>
      <c r="CZ238" s="259"/>
      <c r="DA238" s="259"/>
      <c r="DB238" s="259"/>
      <c r="DC238" s="259"/>
      <c r="DD238" s="259"/>
      <c r="DE238" s="259"/>
      <c r="DF238" s="259"/>
      <c r="DG238" s="259"/>
      <c r="DH238" s="259"/>
      <c r="DI238" s="259"/>
      <c r="DJ238" s="259"/>
      <c r="DK238" s="259"/>
      <c r="DL238" s="259"/>
      <c r="DM238" s="259"/>
      <c r="DN238" s="259"/>
      <c r="DO238" s="259"/>
      <c r="DP238" s="259"/>
      <c r="DQ238" s="259"/>
      <c r="DR238" s="259"/>
      <c r="DS238" s="259"/>
      <c r="DT238" s="259"/>
      <c r="DU238" s="259"/>
      <c r="DV238" s="259"/>
      <c r="DW238" s="259"/>
      <c r="DX238" s="259"/>
      <c r="DY238" s="259"/>
      <c r="DZ238" s="259"/>
      <c r="EA238" s="259"/>
      <c r="EB238" s="259"/>
      <c r="EC238" s="259"/>
      <c r="ED238" s="259"/>
      <c r="EE238" s="259"/>
      <c r="EF238" s="259"/>
      <c r="EG238" s="259"/>
      <c r="EH238" s="259"/>
      <c r="EI238" s="259"/>
      <c r="EJ238" s="259"/>
      <c r="EK238" s="259"/>
      <c r="EL238" s="259"/>
      <c r="EM238" s="259"/>
      <c r="EN238" s="259"/>
      <c r="EO238" s="259"/>
      <c r="EP238" s="259"/>
      <c r="EQ238" s="259"/>
      <c r="ER238" s="259"/>
      <c r="ES238" s="259"/>
      <c r="ET238" s="259"/>
      <c r="EU238" s="259"/>
      <c r="EV238" s="259"/>
      <c r="EW238" s="259"/>
      <c r="EX238" s="259"/>
      <c r="EY238" s="259"/>
      <c r="EZ238" s="259"/>
      <c r="FA238" s="259"/>
      <c r="FB238" s="259"/>
      <c r="FC238" s="259"/>
      <c r="FD238" s="259"/>
      <c r="FE238" s="259"/>
      <c r="FF238" s="259"/>
      <c r="FG238" s="259"/>
      <c r="FH238" s="259"/>
      <c r="FI238" s="259"/>
      <c r="FJ238" s="259"/>
      <c r="FK238" s="259"/>
      <c r="FL238" s="259"/>
      <c r="FM238" s="259"/>
      <c r="FN238" s="259"/>
      <c r="FO238" s="259"/>
      <c r="FP238" s="259"/>
      <c r="FQ238" s="259"/>
      <c r="FR238" s="259"/>
      <c r="FS238" s="259"/>
      <c r="FT238" s="259"/>
      <c r="FU238" s="259"/>
      <c r="FV238" s="259"/>
      <c r="FW238" s="259"/>
      <c r="FX238" s="259"/>
      <c r="FY238" s="259"/>
      <c r="FZ238" s="259"/>
      <c r="GA238" s="259"/>
      <c r="GB238" s="259"/>
      <c r="GC238" s="259"/>
      <c r="GD238" s="259"/>
      <c r="GE238" s="259"/>
    </row>
    <row r="239" spans="2:187" s="147" customFormat="1" ht="16.5" customHeight="1">
      <c r="B239" s="251">
        <v>233</v>
      </c>
      <c r="C239" s="489" t="s">
        <v>371</v>
      </c>
      <c r="D239" s="489" t="s">
        <v>432</v>
      </c>
      <c r="E239" s="489" t="s">
        <v>205</v>
      </c>
      <c r="F239" s="489" t="s">
        <v>167</v>
      </c>
      <c r="G239" s="490">
        <v>4</v>
      </c>
      <c r="H239" s="490">
        <v>400000</v>
      </c>
      <c r="I239" s="252">
        <f t="shared" si="4"/>
        <v>75000</v>
      </c>
      <c r="J239" s="219"/>
    </row>
    <row r="240" spans="2:187" s="147" customFormat="1" ht="16.5" customHeight="1">
      <c r="B240" s="251">
        <v>234</v>
      </c>
      <c r="C240" s="489" t="s">
        <v>371</v>
      </c>
      <c r="D240" s="489" t="s">
        <v>319</v>
      </c>
      <c r="E240" s="489" t="s">
        <v>193</v>
      </c>
      <c r="F240" s="489" t="s">
        <v>206</v>
      </c>
      <c r="G240" s="490">
        <v>1</v>
      </c>
      <c r="H240" s="490">
        <v>300000</v>
      </c>
      <c r="I240" s="252">
        <f t="shared" si="4"/>
        <v>56250</v>
      </c>
      <c r="J240" s="219"/>
    </row>
    <row r="241" spans="2:187" s="147" customFormat="1" ht="16.5" customHeight="1">
      <c r="B241" s="251">
        <v>235</v>
      </c>
      <c r="C241" s="489" t="s">
        <v>371</v>
      </c>
      <c r="D241" s="489" t="s">
        <v>531</v>
      </c>
      <c r="E241" s="489" t="s">
        <v>137</v>
      </c>
      <c r="F241" s="489" t="s">
        <v>216</v>
      </c>
      <c r="G241" s="490">
        <v>1</v>
      </c>
      <c r="H241" s="490">
        <v>500000</v>
      </c>
      <c r="I241" s="252">
        <f t="shared" si="4"/>
        <v>93750</v>
      </c>
      <c r="J241" s="219"/>
    </row>
    <row r="242" spans="2:187" s="147" customFormat="1" ht="16.5" customHeight="1">
      <c r="B242" s="251">
        <v>236</v>
      </c>
      <c r="C242" s="489" t="s">
        <v>371</v>
      </c>
      <c r="D242" s="489" t="s">
        <v>431</v>
      </c>
      <c r="E242" s="489" t="s">
        <v>211</v>
      </c>
      <c r="F242" s="489" t="s">
        <v>175</v>
      </c>
      <c r="G242" s="490">
        <v>4</v>
      </c>
      <c r="H242" s="490">
        <v>400000</v>
      </c>
      <c r="I242" s="252">
        <f t="shared" si="4"/>
        <v>75000</v>
      </c>
      <c r="J242" s="219"/>
    </row>
    <row r="243" spans="2:187" s="147" customFormat="1" ht="16.5" customHeight="1">
      <c r="B243" s="251">
        <v>237</v>
      </c>
      <c r="C243" s="489" t="s">
        <v>371</v>
      </c>
      <c r="D243" s="489" t="s">
        <v>185</v>
      </c>
      <c r="E243" s="489" t="s">
        <v>186</v>
      </c>
      <c r="F243" s="489" t="s">
        <v>167</v>
      </c>
      <c r="G243" s="490">
        <v>7</v>
      </c>
      <c r="H243" s="490">
        <v>700000</v>
      </c>
      <c r="I243" s="252">
        <f t="shared" si="4"/>
        <v>131250</v>
      </c>
      <c r="J243" s="219"/>
    </row>
    <row r="244" spans="2:187" s="147" customFormat="1" ht="16.5" customHeight="1">
      <c r="B244" s="251">
        <v>238</v>
      </c>
      <c r="C244" s="489" t="s">
        <v>371</v>
      </c>
      <c r="D244" s="489" t="s">
        <v>432</v>
      </c>
      <c r="E244" s="489" t="s">
        <v>205</v>
      </c>
      <c r="F244" s="489" t="s">
        <v>175</v>
      </c>
      <c r="G244" s="490">
        <v>3</v>
      </c>
      <c r="H244" s="490">
        <v>300000</v>
      </c>
      <c r="I244" s="252">
        <f t="shared" si="4"/>
        <v>56250</v>
      </c>
      <c r="J244" s="219"/>
    </row>
    <row r="245" spans="2:187" s="147" customFormat="1" ht="16.5" customHeight="1">
      <c r="B245" s="251">
        <v>239</v>
      </c>
      <c r="C245" s="489" t="s">
        <v>371</v>
      </c>
      <c r="D245" s="489" t="s">
        <v>185</v>
      </c>
      <c r="E245" s="489" t="s">
        <v>186</v>
      </c>
      <c r="F245" s="489" t="s">
        <v>175</v>
      </c>
      <c r="G245" s="490">
        <v>9</v>
      </c>
      <c r="H245" s="490">
        <v>900000</v>
      </c>
      <c r="I245" s="252">
        <f t="shared" si="4"/>
        <v>168750</v>
      </c>
      <c r="J245" s="219"/>
    </row>
    <row r="246" spans="2:187" s="147" customFormat="1" ht="16.5" customHeight="1">
      <c r="B246" s="251">
        <v>240</v>
      </c>
      <c r="C246" s="489" t="s">
        <v>371</v>
      </c>
      <c r="D246" s="489" t="s">
        <v>277</v>
      </c>
      <c r="E246" s="489" t="s">
        <v>212</v>
      </c>
      <c r="F246" s="489" t="s">
        <v>167</v>
      </c>
      <c r="G246" s="490">
        <v>6</v>
      </c>
      <c r="H246" s="490">
        <v>600000</v>
      </c>
      <c r="I246" s="252">
        <f t="shared" si="4"/>
        <v>112500</v>
      </c>
      <c r="J246" s="219"/>
    </row>
    <row r="247" spans="2:187" s="147" customFormat="1" ht="16.5" customHeight="1">
      <c r="B247" s="251">
        <v>241</v>
      </c>
      <c r="C247" s="489" t="s">
        <v>371</v>
      </c>
      <c r="D247" s="489" t="s">
        <v>397</v>
      </c>
      <c r="E247" s="489" t="s">
        <v>229</v>
      </c>
      <c r="F247" s="489" t="s">
        <v>171</v>
      </c>
      <c r="G247" s="490">
        <v>1</v>
      </c>
      <c r="H247" s="490">
        <v>100000</v>
      </c>
      <c r="I247" s="252">
        <f t="shared" si="4"/>
        <v>18750</v>
      </c>
      <c r="J247" s="219"/>
    </row>
    <row r="248" spans="2:187" s="147" customFormat="1" ht="16.5" customHeight="1">
      <c r="B248" s="251">
        <v>242</v>
      </c>
      <c r="C248" s="489" t="s">
        <v>371</v>
      </c>
      <c r="D248" s="489" t="s">
        <v>431</v>
      </c>
      <c r="E248" s="489" t="s">
        <v>211</v>
      </c>
      <c r="F248" s="489" t="s">
        <v>167</v>
      </c>
      <c r="G248" s="490">
        <v>4</v>
      </c>
      <c r="H248" s="490">
        <v>400000</v>
      </c>
      <c r="I248" s="252">
        <f t="shared" si="4"/>
        <v>75000</v>
      </c>
      <c r="J248" s="219"/>
    </row>
    <row r="249" spans="2:187" s="147" customFormat="1" ht="16.5" customHeight="1">
      <c r="B249" s="251">
        <v>243</v>
      </c>
      <c r="C249" s="489" t="s">
        <v>374</v>
      </c>
      <c r="D249" s="489" t="s">
        <v>421</v>
      </c>
      <c r="E249" s="489" t="s">
        <v>186</v>
      </c>
      <c r="F249" s="489" t="s">
        <v>169</v>
      </c>
      <c r="G249" s="490">
        <v>1</v>
      </c>
      <c r="H249" s="490">
        <v>100000</v>
      </c>
      <c r="I249" s="252">
        <f t="shared" si="4"/>
        <v>18750</v>
      </c>
      <c r="J249" s="219"/>
    </row>
    <row r="250" spans="2:187" s="147" customFormat="1" ht="16.5" customHeight="1">
      <c r="B250" s="251">
        <v>244</v>
      </c>
      <c r="C250" s="489" t="s">
        <v>374</v>
      </c>
      <c r="D250" s="489" t="s">
        <v>532</v>
      </c>
      <c r="E250" s="489" t="s">
        <v>190</v>
      </c>
      <c r="F250" s="489" t="s">
        <v>169</v>
      </c>
      <c r="G250" s="490">
        <v>1</v>
      </c>
      <c r="H250" s="490">
        <v>100000</v>
      </c>
      <c r="I250" s="252">
        <f t="shared" si="4"/>
        <v>18750</v>
      </c>
      <c r="J250" s="219"/>
    </row>
    <row r="251" spans="2:187" s="147" customFormat="1" ht="16.5" customHeight="1">
      <c r="B251" s="251">
        <v>245</v>
      </c>
      <c r="C251" s="489" t="s">
        <v>374</v>
      </c>
      <c r="D251" s="489" t="s">
        <v>533</v>
      </c>
      <c r="E251" s="489" t="s">
        <v>187</v>
      </c>
      <c r="F251" s="489" t="s">
        <v>169</v>
      </c>
      <c r="G251" s="490">
        <v>12</v>
      </c>
      <c r="H251" s="490">
        <v>1200000</v>
      </c>
      <c r="I251" s="252">
        <f t="shared" si="4"/>
        <v>225000</v>
      </c>
      <c r="J251" s="219"/>
    </row>
    <row r="252" spans="2:187" s="147" customFormat="1" ht="16.5" customHeight="1">
      <c r="B252" s="251">
        <v>246</v>
      </c>
      <c r="C252" s="489" t="s">
        <v>374</v>
      </c>
      <c r="D252" s="489" t="s">
        <v>489</v>
      </c>
      <c r="E252" s="489" t="s">
        <v>174</v>
      </c>
      <c r="F252" s="489" t="s">
        <v>169</v>
      </c>
      <c r="G252" s="490">
        <v>1</v>
      </c>
      <c r="H252" s="490">
        <v>100000</v>
      </c>
      <c r="I252" s="252">
        <f t="shared" si="4"/>
        <v>18750</v>
      </c>
      <c r="J252" s="219"/>
    </row>
    <row r="253" spans="2:187" s="147" customFormat="1" ht="16.5" customHeight="1">
      <c r="B253" s="251">
        <v>247</v>
      </c>
      <c r="C253" s="489" t="s">
        <v>374</v>
      </c>
      <c r="D253" s="489" t="s">
        <v>534</v>
      </c>
      <c r="E253" s="489" t="s">
        <v>194</v>
      </c>
      <c r="F253" s="489" t="s">
        <v>175</v>
      </c>
      <c r="G253" s="490">
        <v>3</v>
      </c>
      <c r="H253" s="490">
        <v>300000</v>
      </c>
      <c r="I253" s="252">
        <f t="shared" si="4"/>
        <v>56250</v>
      </c>
      <c r="J253" s="219"/>
    </row>
    <row r="254" spans="2:187" s="147" customFormat="1" ht="16.5" customHeight="1">
      <c r="B254" s="251">
        <v>248</v>
      </c>
      <c r="C254" s="489" t="s">
        <v>374</v>
      </c>
      <c r="D254" s="489" t="s">
        <v>534</v>
      </c>
      <c r="E254" s="489" t="s">
        <v>194</v>
      </c>
      <c r="F254" s="489" t="s">
        <v>167</v>
      </c>
      <c r="G254" s="490">
        <v>2</v>
      </c>
      <c r="H254" s="490">
        <v>200000</v>
      </c>
      <c r="I254" s="252">
        <f t="shared" si="4"/>
        <v>37500</v>
      </c>
      <c r="J254" s="283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59"/>
      <c r="BK254" s="259"/>
      <c r="BL254" s="259"/>
      <c r="BM254" s="259"/>
      <c r="BN254" s="259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59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  <c r="CO254" s="259"/>
      <c r="CP254" s="259"/>
      <c r="CQ254" s="259"/>
      <c r="CR254" s="259"/>
      <c r="CS254" s="259"/>
      <c r="CT254" s="259"/>
      <c r="CU254" s="259"/>
      <c r="CV254" s="259"/>
      <c r="CW254" s="259"/>
      <c r="CX254" s="259"/>
      <c r="CY254" s="259"/>
      <c r="CZ254" s="259"/>
      <c r="DA254" s="259"/>
      <c r="DB254" s="259"/>
      <c r="DC254" s="259"/>
      <c r="DD254" s="259"/>
      <c r="DE254" s="259"/>
      <c r="DF254" s="259"/>
      <c r="DG254" s="259"/>
      <c r="DH254" s="259"/>
      <c r="DI254" s="259"/>
      <c r="DJ254" s="259"/>
      <c r="DK254" s="259"/>
      <c r="DL254" s="259"/>
      <c r="DM254" s="259"/>
      <c r="DN254" s="259"/>
      <c r="DO254" s="259"/>
      <c r="DP254" s="259"/>
      <c r="DQ254" s="259"/>
      <c r="DR254" s="259"/>
      <c r="DS254" s="259"/>
      <c r="DT254" s="259"/>
      <c r="DU254" s="259"/>
      <c r="DV254" s="259"/>
      <c r="DW254" s="259"/>
      <c r="DX254" s="259"/>
      <c r="DY254" s="259"/>
      <c r="DZ254" s="259"/>
      <c r="EA254" s="259"/>
      <c r="EB254" s="259"/>
      <c r="EC254" s="259"/>
      <c r="ED254" s="259"/>
      <c r="EE254" s="259"/>
      <c r="EF254" s="259"/>
      <c r="EG254" s="259"/>
      <c r="EH254" s="259"/>
      <c r="EI254" s="259"/>
      <c r="EJ254" s="259"/>
      <c r="EK254" s="259"/>
      <c r="EL254" s="259"/>
      <c r="EM254" s="259"/>
      <c r="EN254" s="259"/>
      <c r="EO254" s="259"/>
      <c r="EP254" s="259"/>
      <c r="EQ254" s="259"/>
      <c r="ER254" s="259"/>
      <c r="ES254" s="259"/>
      <c r="ET254" s="259"/>
      <c r="EU254" s="259"/>
      <c r="EV254" s="259"/>
      <c r="EW254" s="259"/>
      <c r="EX254" s="259"/>
      <c r="EY254" s="259"/>
      <c r="EZ254" s="259"/>
      <c r="FA254" s="259"/>
      <c r="FB254" s="259"/>
      <c r="FC254" s="259"/>
      <c r="FD254" s="259"/>
      <c r="FE254" s="259"/>
      <c r="FF254" s="259"/>
      <c r="FG254" s="259"/>
      <c r="FH254" s="259"/>
      <c r="FI254" s="259"/>
      <c r="FJ254" s="259"/>
      <c r="FK254" s="259"/>
      <c r="FL254" s="259"/>
      <c r="FM254" s="259"/>
      <c r="FN254" s="259"/>
      <c r="FO254" s="259"/>
      <c r="FP254" s="259"/>
      <c r="FQ254" s="259"/>
      <c r="FR254" s="259"/>
      <c r="FS254" s="259"/>
      <c r="FT254" s="259"/>
      <c r="FU254" s="259"/>
      <c r="FV254" s="259"/>
      <c r="FW254" s="259"/>
      <c r="FX254" s="259"/>
      <c r="FY254" s="259"/>
      <c r="FZ254" s="259"/>
      <c r="GA254" s="259"/>
      <c r="GB254" s="259"/>
      <c r="GC254" s="259"/>
      <c r="GD254" s="259"/>
      <c r="GE254" s="259"/>
    </row>
    <row r="255" spans="2:187" s="147" customFormat="1" ht="16.5" customHeight="1">
      <c r="B255" s="251">
        <v>249</v>
      </c>
      <c r="C255" s="489" t="s">
        <v>374</v>
      </c>
      <c r="D255" s="489" t="s">
        <v>506</v>
      </c>
      <c r="E255" s="489" t="s">
        <v>184</v>
      </c>
      <c r="F255" s="489" t="s">
        <v>169</v>
      </c>
      <c r="G255" s="490">
        <v>1</v>
      </c>
      <c r="H255" s="490">
        <v>100000</v>
      </c>
      <c r="I255" s="252">
        <f t="shared" si="4"/>
        <v>18750</v>
      </c>
      <c r="J255" s="283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59"/>
      <c r="BK255" s="259"/>
      <c r="BL255" s="259"/>
      <c r="BM255" s="259"/>
      <c r="BN255" s="259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59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  <c r="CO255" s="259"/>
      <c r="CP255" s="259"/>
      <c r="CQ255" s="259"/>
      <c r="CR255" s="259"/>
      <c r="CS255" s="259"/>
      <c r="CT255" s="259"/>
      <c r="CU255" s="259"/>
      <c r="CV255" s="259"/>
      <c r="CW255" s="259"/>
      <c r="CX255" s="259"/>
      <c r="CY255" s="259"/>
      <c r="CZ255" s="259"/>
      <c r="DA255" s="259"/>
      <c r="DB255" s="259"/>
      <c r="DC255" s="259"/>
      <c r="DD255" s="259"/>
      <c r="DE255" s="259"/>
      <c r="DF255" s="259"/>
      <c r="DG255" s="259"/>
      <c r="DH255" s="259"/>
      <c r="DI255" s="259"/>
      <c r="DJ255" s="259"/>
      <c r="DK255" s="259"/>
      <c r="DL255" s="259"/>
      <c r="DM255" s="259"/>
      <c r="DN255" s="259"/>
      <c r="DO255" s="259"/>
      <c r="DP255" s="259"/>
      <c r="DQ255" s="259"/>
      <c r="DR255" s="259"/>
      <c r="DS255" s="259"/>
      <c r="DT255" s="259"/>
      <c r="DU255" s="259"/>
      <c r="DV255" s="259"/>
      <c r="DW255" s="259"/>
      <c r="DX255" s="259"/>
      <c r="DY255" s="259"/>
      <c r="DZ255" s="259"/>
      <c r="EA255" s="259"/>
      <c r="EB255" s="259"/>
      <c r="EC255" s="259"/>
      <c r="ED255" s="259"/>
      <c r="EE255" s="259"/>
      <c r="EF255" s="259"/>
      <c r="EG255" s="259"/>
      <c r="EH255" s="259"/>
      <c r="EI255" s="259"/>
      <c r="EJ255" s="259"/>
      <c r="EK255" s="259"/>
      <c r="EL255" s="259"/>
      <c r="EM255" s="259"/>
      <c r="EN255" s="259"/>
      <c r="EO255" s="259"/>
      <c r="EP255" s="259"/>
      <c r="EQ255" s="259"/>
      <c r="ER255" s="259"/>
      <c r="ES255" s="259"/>
      <c r="ET255" s="259"/>
      <c r="EU255" s="259"/>
      <c r="EV255" s="259"/>
      <c r="EW255" s="259"/>
      <c r="EX255" s="259"/>
      <c r="EY255" s="259"/>
      <c r="EZ255" s="259"/>
      <c r="FA255" s="259"/>
      <c r="FB255" s="259"/>
      <c r="FC255" s="259"/>
      <c r="FD255" s="259"/>
      <c r="FE255" s="259"/>
      <c r="FF255" s="259"/>
      <c r="FG255" s="259"/>
      <c r="FH255" s="259"/>
      <c r="FI255" s="259"/>
      <c r="FJ255" s="259"/>
      <c r="FK255" s="259"/>
      <c r="FL255" s="259"/>
      <c r="FM255" s="259"/>
      <c r="FN255" s="259"/>
      <c r="FO255" s="259"/>
      <c r="FP255" s="259"/>
      <c r="FQ255" s="259"/>
      <c r="FR255" s="259"/>
      <c r="FS255" s="259"/>
      <c r="FT255" s="259"/>
      <c r="FU255" s="259"/>
      <c r="FV255" s="259"/>
      <c r="FW255" s="259"/>
      <c r="FX255" s="259"/>
      <c r="FY255" s="259"/>
      <c r="FZ255" s="259"/>
      <c r="GA255" s="259"/>
      <c r="GB255" s="259"/>
      <c r="GC255" s="259"/>
      <c r="GD255" s="259"/>
      <c r="GE255" s="259"/>
    </row>
    <row r="256" spans="2:187" s="147" customFormat="1" ht="16.5" customHeight="1">
      <c r="B256" s="251">
        <v>250</v>
      </c>
      <c r="C256" s="489" t="s">
        <v>374</v>
      </c>
      <c r="D256" s="489" t="s">
        <v>420</v>
      </c>
      <c r="E256" s="489" t="s">
        <v>179</v>
      </c>
      <c r="F256" s="489" t="s">
        <v>169</v>
      </c>
      <c r="G256" s="490">
        <v>1</v>
      </c>
      <c r="H256" s="490">
        <v>100000</v>
      </c>
      <c r="I256" s="252">
        <f t="shared" si="4"/>
        <v>18750</v>
      </c>
      <c r="J256" s="283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59"/>
      <c r="BK256" s="259"/>
      <c r="BL256" s="259"/>
      <c r="BM256" s="259"/>
      <c r="BN256" s="259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59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  <c r="CO256" s="259"/>
      <c r="CP256" s="259"/>
      <c r="CQ256" s="259"/>
      <c r="CR256" s="259"/>
      <c r="CS256" s="259"/>
      <c r="CT256" s="259"/>
      <c r="CU256" s="259"/>
      <c r="CV256" s="259"/>
      <c r="CW256" s="259"/>
      <c r="CX256" s="259"/>
      <c r="CY256" s="259"/>
      <c r="CZ256" s="259"/>
      <c r="DA256" s="259"/>
      <c r="DB256" s="259"/>
      <c r="DC256" s="259"/>
      <c r="DD256" s="259"/>
      <c r="DE256" s="259"/>
      <c r="DF256" s="259"/>
      <c r="DG256" s="259"/>
      <c r="DH256" s="259"/>
      <c r="DI256" s="259"/>
      <c r="DJ256" s="259"/>
      <c r="DK256" s="259"/>
      <c r="DL256" s="259"/>
      <c r="DM256" s="259"/>
      <c r="DN256" s="259"/>
      <c r="DO256" s="259"/>
      <c r="DP256" s="259"/>
      <c r="DQ256" s="259"/>
      <c r="DR256" s="259"/>
      <c r="DS256" s="259"/>
      <c r="DT256" s="259"/>
      <c r="DU256" s="259"/>
      <c r="DV256" s="259"/>
      <c r="DW256" s="259"/>
      <c r="DX256" s="259"/>
      <c r="DY256" s="259"/>
      <c r="DZ256" s="259"/>
      <c r="EA256" s="259"/>
      <c r="EB256" s="259"/>
      <c r="EC256" s="259"/>
      <c r="ED256" s="259"/>
      <c r="EE256" s="259"/>
      <c r="EF256" s="259"/>
      <c r="EG256" s="259"/>
      <c r="EH256" s="259"/>
      <c r="EI256" s="259"/>
      <c r="EJ256" s="259"/>
      <c r="EK256" s="259"/>
      <c r="EL256" s="259"/>
      <c r="EM256" s="259"/>
      <c r="EN256" s="259"/>
      <c r="EO256" s="259"/>
      <c r="EP256" s="259"/>
      <c r="EQ256" s="259"/>
      <c r="ER256" s="259"/>
      <c r="ES256" s="259"/>
      <c r="ET256" s="259"/>
      <c r="EU256" s="259"/>
      <c r="EV256" s="259"/>
      <c r="EW256" s="259"/>
      <c r="EX256" s="259"/>
      <c r="EY256" s="259"/>
      <c r="EZ256" s="259"/>
      <c r="FA256" s="259"/>
      <c r="FB256" s="259"/>
      <c r="FC256" s="259"/>
      <c r="FD256" s="259"/>
      <c r="FE256" s="259"/>
      <c r="FF256" s="259"/>
      <c r="FG256" s="259"/>
      <c r="FH256" s="259"/>
      <c r="FI256" s="259"/>
      <c r="FJ256" s="259"/>
      <c r="FK256" s="259"/>
      <c r="FL256" s="259"/>
      <c r="FM256" s="259"/>
      <c r="FN256" s="259"/>
      <c r="FO256" s="259"/>
      <c r="FP256" s="259"/>
      <c r="FQ256" s="259"/>
      <c r="FR256" s="259"/>
      <c r="FS256" s="259"/>
      <c r="FT256" s="259"/>
      <c r="FU256" s="259"/>
      <c r="FV256" s="259"/>
      <c r="FW256" s="259"/>
      <c r="FX256" s="259"/>
      <c r="FY256" s="259"/>
      <c r="FZ256" s="259"/>
      <c r="GA256" s="259"/>
      <c r="GB256" s="259"/>
      <c r="GC256" s="259"/>
      <c r="GD256" s="259"/>
      <c r="GE256" s="259"/>
    </row>
    <row r="257" spans="2:187" s="147" customFormat="1" ht="16.5" customHeight="1">
      <c r="B257" s="251">
        <v>251</v>
      </c>
      <c r="C257" s="489" t="s">
        <v>374</v>
      </c>
      <c r="D257" s="489" t="s">
        <v>457</v>
      </c>
      <c r="E257" s="489" t="s">
        <v>183</v>
      </c>
      <c r="F257" s="489" t="s">
        <v>169</v>
      </c>
      <c r="G257" s="490">
        <v>1</v>
      </c>
      <c r="H257" s="490">
        <v>100000</v>
      </c>
      <c r="I257" s="252">
        <f t="shared" si="4"/>
        <v>18750</v>
      </c>
      <c r="J257" s="283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59"/>
      <c r="BK257" s="259"/>
      <c r="BL257" s="259"/>
      <c r="BM257" s="259"/>
      <c r="BN257" s="259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59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  <c r="CO257" s="259"/>
      <c r="CP257" s="259"/>
      <c r="CQ257" s="259"/>
      <c r="CR257" s="259"/>
      <c r="CS257" s="259"/>
      <c r="CT257" s="259"/>
      <c r="CU257" s="259"/>
      <c r="CV257" s="259"/>
      <c r="CW257" s="259"/>
      <c r="CX257" s="259"/>
      <c r="CY257" s="259"/>
      <c r="CZ257" s="259"/>
      <c r="DA257" s="259"/>
      <c r="DB257" s="259"/>
      <c r="DC257" s="259"/>
      <c r="DD257" s="259"/>
      <c r="DE257" s="259"/>
      <c r="DF257" s="259"/>
      <c r="DG257" s="259"/>
      <c r="DH257" s="259"/>
      <c r="DI257" s="259"/>
      <c r="DJ257" s="259"/>
      <c r="DK257" s="259"/>
      <c r="DL257" s="259"/>
      <c r="DM257" s="259"/>
      <c r="DN257" s="259"/>
      <c r="DO257" s="259"/>
      <c r="DP257" s="259"/>
      <c r="DQ257" s="259"/>
      <c r="DR257" s="259"/>
      <c r="DS257" s="259"/>
      <c r="DT257" s="259"/>
      <c r="DU257" s="259"/>
      <c r="DV257" s="259"/>
      <c r="DW257" s="259"/>
      <c r="DX257" s="259"/>
      <c r="DY257" s="259"/>
      <c r="DZ257" s="259"/>
      <c r="EA257" s="259"/>
      <c r="EB257" s="259"/>
      <c r="EC257" s="259"/>
      <c r="ED257" s="259"/>
      <c r="EE257" s="259"/>
      <c r="EF257" s="259"/>
      <c r="EG257" s="259"/>
      <c r="EH257" s="259"/>
      <c r="EI257" s="259"/>
      <c r="EJ257" s="259"/>
      <c r="EK257" s="259"/>
      <c r="EL257" s="259"/>
      <c r="EM257" s="259"/>
      <c r="EN257" s="259"/>
      <c r="EO257" s="259"/>
      <c r="EP257" s="259"/>
      <c r="EQ257" s="259"/>
      <c r="ER257" s="259"/>
      <c r="ES257" s="259"/>
      <c r="ET257" s="259"/>
      <c r="EU257" s="259"/>
      <c r="EV257" s="259"/>
      <c r="EW257" s="259"/>
      <c r="EX257" s="259"/>
      <c r="EY257" s="259"/>
      <c r="EZ257" s="259"/>
      <c r="FA257" s="259"/>
      <c r="FB257" s="259"/>
      <c r="FC257" s="259"/>
      <c r="FD257" s="259"/>
      <c r="FE257" s="259"/>
      <c r="FF257" s="259"/>
      <c r="FG257" s="259"/>
      <c r="FH257" s="259"/>
      <c r="FI257" s="259"/>
      <c r="FJ257" s="259"/>
      <c r="FK257" s="259"/>
      <c r="FL257" s="259"/>
      <c r="FM257" s="259"/>
      <c r="FN257" s="259"/>
      <c r="FO257" s="259"/>
      <c r="FP257" s="259"/>
      <c r="FQ257" s="259"/>
      <c r="FR257" s="259"/>
      <c r="FS257" s="259"/>
      <c r="FT257" s="259"/>
      <c r="FU257" s="259"/>
      <c r="FV257" s="259"/>
      <c r="FW257" s="259"/>
      <c r="FX257" s="259"/>
      <c r="FY257" s="259"/>
      <c r="FZ257" s="259"/>
      <c r="GA257" s="259"/>
      <c r="GB257" s="259"/>
      <c r="GC257" s="259"/>
      <c r="GD257" s="259"/>
      <c r="GE257" s="259"/>
    </row>
    <row r="258" spans="2:187" s="147" customFormat="1" ht="16.5" customHeight="1">
      <c r="B258" s="251">
        <v>252</v>
      </c>
      <c r="C258" s="489" t="s">
        <v>374</v>
      </c>
      <c r="D258" s="489" t="s">
        <v>533</v>
      </c>
      <c r="E258" s="489" t="s">
        <v>187</v>
      </c>
      <c r="F258" s="489" t="s">
        <v>167</v>
      </c>
      <c r="G258" s="490">
        <v>12</v>
      </c>
      <c r="H258" s="490">
        <v>1200000</v>
      </c>
      <c r="I258" s="252">
        <f t="shared" si="4"/>
        <v>225000</v>
      </c>
      <c r="J258" s="283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59"/>
      <c r="BK258" s="259"/>
      <c r="BL258" s="259"/>
      <c r="BM258" s="259"/>
      <c r="BN258" s="259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59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  <c r="CO258" s="259"/>
      <c r="CP258" s="259"/>
      <c r="CQ258" s="259"/>
      <c r="CR258" s="259"/>
      <c r="CS258" s="259"/>
      <c r="CT258" s="259"/>
      <c r="CU258" s="259"/>
      <c r="CV258" s="259"/>
      <c r="CW258" s="259"/>
      <c r="CX258" s="259"/>
      <c r="CY258" s="259"/>
      <c r="CZ258" s="259"/>
      <c r="DA258" s="259"/>
      <c r="DB258" s="259"/>
      <c r="DC258" s="259"/>
      <c r="DD258" s="259"/>
      <c r="DE258" s="259"/>
      <c r="DF258" s="259"/>
      <c r="DG258" s="259"/>
      <c r="DH258" s="259"/>
      <c r="DI258" s="259"/>
      <c r="DJ258" s="259"/>
      <c r="DK258" s="259"/>
      <c r="DL258" s="259"/>
      <c r="DM258" s="259"/>
      <c r="DN258" s="259"/>
      <c r="DO258" s="259"/>
      <c r="DP258" s="259"/>
      <c r="DQ258" s="259"/>
      <c r="DR258" s="259"/>
      <c r="DS258" s="259"/>
      <c r="DT258" s="259"/>
      <c r="DU258" s="259"/>
      <c r="DV258" s="259"/>
      <c r="DW258" s="259"/>
      <c r="DX258" s="259"/>
      <c r="DY258" s="259"/>
      <c r="DZ258" s="259"/>
      <c r="EA258" s="259"/>
      <c r="EB258" s="259"/>
      <c r="EC258" s="259"/>
      <c r="ED258" s="259"/>
      <c r="EE258" s="259"/>
      <c r="EF258" s="259"/>
      <c r="EG258" s="259"/>
      <c r="EH258" s="259"/>
      <c r="EI258" s="259"/>
      <c r="EJ258" s="259"/>
      <c r="EK258" s="259"/>
      <c r="EL258" s="259"/>
      <c r="EM258" s="259"/>
      <c r="EN258" s="259"/>
      <c r="EO258" s="259"/>
      <c r="EP258" s="259"/>
      <c r="EQ258" s="259"/>
      <c r="ER258" s="259"/>
      <c r="ES258" s="259"/>
      <c r="ET258" s="259"/>
      <c r="EU258" s="259"/>
      <c r="EV258" s="259"/>
      <c r="EW258" s="259"/>
      <c r="EX258" s="259"/>
      <c r="EY258" s="259"/>
      <c r="EZ258" s="259"/>
      <c r="FA258" s="259"/>
      <c r="FB258" s="259"/>
      <c r="FC258" s="259"/>
      <c r="FD258" s="259"/>
      <c r="FE258" s="259"/>
      <c r="FF258" s="259"/>
      <c r="FG258" s="259"/>
      <c r="FH258" s="259"/>
      <c r="FI258" s="259"/>
      <c r="FJ258" s="259"/>
      <c r="FK258" s="259"/>
      <c r="FL258" s="259"/>
      <c r="FM258" s="259"/>
      <c r="FN258" s="259"/>
      <c r="FO258" s="259"/>
      <c r="FP258" s="259"/>
      <c r="FQ258" s="259"/>
      <c r="FR258" s="259"/>
      <c r="FS258" s="259"/>
      <c r="FT258" s="259"/>
      <c r="FU258" s="259"/>
      <c r="FV258" s="259"/>
      <c r="FW258" s="259"/>
      <c r="FX258" s="259"/>
      <c r="FY258" s="259"/>
      <c r="FZ258" s="259"/>
      <c r="GA258" s="259"/>
      <c r="GB258" s="259"/>
      <c r="GC258" s="259"/>
      <c r="GD258" s="259"/>
      <c r="GE258" s="259"/>
    </row>
    <row r="259" spans="2:187" s="147" customFormat="1" ht="16.5" customHeight="1">
      <c r="B259" s="251">
        <v>253</v>
      </c>
      <c r="C259" s="489" t="s">
        <v>374</v>
      </c>
      <c r="D259" s="489" t="s">
        <v>535</v>
      </c>
      <c r="E259" s="489" t="s">
        <v>141</v>
      </c>
      <c r="F259" s="489" t="s">
        <v>167</v>
      </c>
      <c r="G259" s="490">
        <v>3</v>
      </c>
      <c r="H259" s="490">
        <v>300000</v>
      </c>
      <c r="I259" s="252">
        <f t="shared" si="4"/>
        <v>56250</v>
      </c>
      <c r="J259" s="283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59"/>
      <c r="BK259" s="259"/>
      <c r="BL259" s="259"/>
      <c r="BM259" s="259"/>
      <c r="BN259" s="259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59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  <c r="CO259" s="259"/>
      <c r="CP259" s="259"/>
      <c r="CQ259" s="259"/>
      <c r="CR259" s="259"/>
      <c r="CS259" s="259"/>
      <c r="CT259" s="259"/>
      <c r="CU259" s="259"/>
      <c r="CV259" s="259"/>
      <c r="CW259" s="259"/>
      <c r="CX259" s="259"/>
      <c r="CY259" s="259"/>
      <c r="CZ259" s="259"/>
      <c r="DA259" s="259"/>
      <c r="DB259" s="259"/>
      <c r="DC259" s="259"/>
      <c r="DD259" s="259"/>
      <c r="DE259" s="259"/>
      <c r="DF259" s="259"/>
      <c r="DG259" s="259"/>
      <c r="DH259" s="259"/>
      <c r="DI259" s="259"/>
      <c r="DJ259" s="259"/>
      <c r="DK259" s="259"/>
      <c r="DL259" s="259"/>
      <c r="DM259" s="259"/>
      <c r="DN259" s="259"/>
      <c r="DO259" s="259"/>
      <c r="DP259" s="259"/>
      <c r="DQ259" s="259"/>
      <c r="DR259" s="259"/>
      <c r="DS259" s="259"/>
      <c r="DT259" s="259"/>
      <c r="DU259" s="259"/>
      <c r="DV259" s="259"/>
      <c r="DW259" s="259"/>
      <c r="DX259" s="259"/>
      <c r="DY259" s="259"/>
      <c r="DZ259" s="259"/>
      <c r="EA259" s="259"/>
      <c r="EB259" s="259"/>
      <c r="EC259" s="259"/>
      <c r="ED259" s="259"/>
      <c r="EE259" s="259"/>
      <c r="EF259" s="259"/>
      <c r="EG259" s="259"/>
      <c r="EH259" s="259"/>
      <c r="EI259" s="259"/>
      <c r="EJ259" s="259"/>
      <c r="EK259" s="259"/>
      <c r="EL259" s="259"/>
      <c r="EM259" s="259"/>
      <c r="EN259" s="259"/>
      <c r="EO259" s="259"/>
      <c r="EP259" s="259"/>
      <c r="EQ259" s="259"/>
      <c r="ER259" s="259"/>
      <c r="ES259" s="259"/>
      <c r="ET259" s="259"/>
      <c r="EU259" s="259"/>
      <c r="EV259" s="259"/>
      <c r="EW259" s="259"/>
      <c r="EX259" s="259"/>
      <c r="EY259" s="259"/>
      <c r="EZ259" s="259"/>
      <c r="FA259" s="259"/>
      <c r="FB259" s="259"/>
      <c r="FC259" s="259"/>
      <c r="FD259" s="259"/>
      <c r="FE259" s="259"/>
      <c r="FF259" s="259"/>
      <c r="FG259" s="259"/>
      <c r="FH259" s="259"/>
      <c r="FI259" s="259"/>
      <c r="FJ259" s="259"/>
      <c r="FK259" s="259"/>
      <c r="FL259" s="259"/>
      <c r="FM259" s="259"/>
      <c r="FN259" s="259"/>
      <c r="FO259" s="259"/>
      <c r="FP259" s="259"/>
      <c r="FQ259" s="259"/>
      <c r="FR259" s="259"/>
      <c r="FS259" s="259"/>
      <c r="FT259" s="259"/>
      <c r="FU259" s="259"/>
      <c r="FV259" s="259"/>
      <c r="FW259" s="259"/>
      <c r="FX259" s="259"/>
      <c r="FY259" s="259"/>
      <c r="FZ259" s="259"/>
      <c r="GA259" s="259"/>
      <c r="GB259" s="259"/>
      <c r="GC259" s="259"/>
      <c r="GD259" s="259"/>
      <c r="GE259" s="259"/>
    </row>
    <row r="260" spans="2:187" s="147" customFormat="1" ht="16.5" customHeight="1">
      <c r="B260" s="251">
        <v>254</v>
      </c>
      <c r="C260" s="489" t="s">
        <v>374</v>
      </c>
      <c r="D260" s="489" t="s">
        <v>535</v>
      </c>
      <c r="E260" s="489" t="s">
        <v>141</v>
      </c>
      <c r="F260" s="489" t="s">
        <v>169</v>
      </c>
      <c r="G260" s="490">
        <v>4</v>
      </c>
      <c r="H260" s="490">
        <v>400000</v>
      </c>
      <c r="I260" s="252">
        <f t="shared" si="4"/>
        <v>75000</v>
      </c>
      <c r="J260" s="283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59"/>
      <c r="BK260" s="259"/>
      <c r="BL260" s="259"/>
      <c r="BM260" s="259"/>
      <c r="BN260" s="259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59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  <c r="CO260" s="259"/>
      <c r="CP260" s="259"/>
      <c r="CQ260" s="259"/>
      <c r="CR260" s="259"/>
      <c r="CS260" s="259"/>
      <c r="CT260" s="259"/>
      <c r="CU260" s="259"/>
      <c r="CV260" s="259"/>
      <c r="CW260" s="259"/>
      <c r="CX260" s="259"/>
      <c r="CY260" s="259"/>
      <c r="CZ260" s="259"/>
      <c r="DA260" s="259"/>
      <c r="DB260" s="259"/>
      <c r="DC260" s="259"/>
      <c r="DD260" s="259"/>
      <c r="DE260" s="259"/>
      <c r="DF260" s="259"/>
      <c r="DG260" s="259"/>
      <c r="DH260" s="259"/>
      <c r="DI260" s="259"/>
      <c r="DJ260" s="259"/>
      <c r="DK260" s="259"/>
      <c r="DL260" s="259"/>
      <c r="DM260" s="259"/>
      <c r="DN260" s="259"/>
      <c r="DO260" s="259"/>
      <c r="DP260" s="259"/>
      <c r="DQ260" s="259"/>
      <c r="DR260" s="259"/>
      <c r="DS260" s="259"/>
      <c r="DT260" s="259"/>
      <c r="DU260" s="259"/>
      <c r="DV260" s="259"/>
      <c r="DW260" s="259"/>
      <c r="DX260" s="259"/>
      <c r="DY260" s="259"/>
      <c r="DZ260" s="259"/>
      <c r="EA260" s="259"/>
      <c r="EB260" s="259"/>
      <c r="EC260" s="259"/>
      <c r="ED260" s="259"/>
      <c r="EE260" s="259"/>
      <c r="EF260" s="259"/>
      <c r="EG260" s="259"/>
      <c r="EH260" s="259"/>
      <c r="EI260" s="259"/>
      <c r="EJ260" s="259"/>
      <c r="EK260" s="259"/>
      <c r="EL260" s="259"/>
      <c r="EM260" s="259"/>
      <c r="EN260" s="259"/>
      <c r="EO260" s="259"/>
      <c r="EP260" s="259"/>
      <c r="EQ260" s="259"/>
      <c r="ER260" s="259"/>
      <c r="ES260" s="259"/>
      <c r="ET260" s="259"/>
      <c r="EU260" s="259"/>
      <c r="EV260" s="259"/>
      <c r="EW260" s="259"/>
      <c r="EX260" s="259"/>
      <c r="EY260" s="259"/>
      <c r="EZ260" s="259"/>
      <c r="FA260" s="259"/>
      <c r="FB260" s="259"/>
      <c r="FC260" s="259"/>
      <c r="FD260" s="259"/>
      <c r="FE260" s="259"/>
      <c r="FF260" s="259"/>
      <c r="FG260" s="259"/>
      <c r="FH260" s="259"/>
      <c r="FI260" s="259"/>
      <c r="FJ260" s="259"/>
      <c r="FK260" s="259"/>
      <c r="FL260" s="259"/>
      <c r="FM260" s="259"/>
      <c r="FN260" s="259"/>
      <c r="FO260" s="259"/>
      <c r="FP260" s="259"/>
      <c r="FQ260" s="259"/>
      <c r="FR260" s="259"/>
      <c r="FS260" s="259"/>
      <c r="FT260" s="259"/>
      <c r="FU260" s="259"/>
      <c r="FV260" s="259"/>
      <c r="FW260" s="259"/>
      <c r="FX260" s="259"/>
      <c r="FY260" s="259"/>
      <c r="FZ260" s="259"/>
      <c r="GA260" s="259"/>
      <c r="GB260" s="259"/>
      <c r="GC260" s="259"/>
      <c r="GD260" s="259"/>
      <c r="GE260" s="259"/>
    </row>
    <row r="261" spans="2:187" s="147" customFormat="1" ht="16.5" customHeight="1">
      <c r="B261" s="251">
        <v>255</v>
      </c>
      <c r="C261" s="489" t="s">
        <v>374</v>
      </c>
      <c r="D261" s="489" t="s">
        <v>536</v>
      </c>
      <c r="E261" s="489" t="s">
        <v>204</v>
      </c>
      <c r="F261" s="489" t="s">
        <v>461</v>
      </c>
      <c r="G261" s="490">
        <v>1</v>
      </c>
      <c r="H261" s="490">
        <v>150000</v>
      </c>
      <c r="I261" s="252">
        <f t="shared" si="4"/>
        <v>28125</v>
      </c>
      <c r="J261" s="283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59"/>
      <c r="BK261" s="259"/>
      <c r="BL261" s="259"/>
      <c r="BM261" s="259"/>
      <c r="BN261" s="259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59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  <c r="CO261" s="259"/>
      <c r="CP261" s="259"/>
      <c r="CQ261" s="259"/>
      <c r="CR261" s="259"/>
      <c r="CS261" s="259"/>
      <c r="CT261" s="259"/>
      <c r="CU261" s="259"/>
      <c r="CV261" s="259"/>
      <c r="CW261" s="259"/>
      <c r="CX261" s="259"/>
      <c r="CY261" s="259"/>
      <c r="CZ261" s="259"/>
      <c r="DA261" s="259"/>
      <c r="DB261" s="259"/>
      <c r="DC261" s="259"/>
      <c r="DD261" s="259"/>
      <c r="DE261" s="259"/>
      <c r="DF261" s="259"/>
      <c r="DG261" s="259"/>
      <c r="DH261" s="259"/>
      <c r="DI261" s="259"/>
      <c r="DJ261" s="259"/>
      <c r="DK261" s="259"/>
      <c r="DL261" s="259"/>
      <c r="DM261" s="259"/>
      <c r="DN261" s="259"/>
      <c r="DO261" s="259"/>
      <c r="DP261" s="259"/>
      <c r="DQ261" s="259"/>
      <c r="DR261" s="259"/>
      <c r="DS261" s="259"/>
      <c r="DT261" s="259"/>
      <c r="DU261" s="259"/>
      <c r="DV261" s="259"/>
      <c r="DW261" s="259"/>
      <c r="DX261" s="259"/>
      <c r="DY261" s="259"/>
      <c r="DZ261" s="259"/>
      <c r="EA261" s="259"/>
      <c r="EB261" s="259"/>
      <c r="EC261" s="259"/>
      <c r="ED261" s="259"/>
      <c r="EE261" s="259"/>
      <c r="EF261" s="259"/>
      <c r="EG261" s="259"/>
      <c r="EH261" s="259"/>
      <c r="EI261" s="259"/>
      <c r="EJ261" s="259"/>
      <c r="EK261" s="259"/>
      <c r="EL261" s="259"/>
      <c r="EM261" s="259"/>
      <c r="EN261" s="259"/>
      <c r="EO261" s="259"/>
      <c r="EP261" s="259"/>
      <c r="EQ261" s="259"/>
      <c r="ER261" s="259"/>
      <c r="ES261" s="259"/>
      <c r="ET261" s="259"/>
      <c r="EU261" s="259"/>
      <c r="EV261" s="259"/>
      <c r="EW261" s="259"/>
      <c r="EX261" s="259"/>
      <c r="EY261" s="259"/>
      <c r="EZ261" s="259"/>
      <c r="FA261" s="259"/>
      <c r="FB261" s="259"/>
      <c r="FC261" s="259"/>
      <c r="FD261" s="259"/>
      <c r="FE261" s="259"/>
      <c r="FF261" s="259"/>
      <c r="FG261" s="259"/>
      <c r="FH261" s="259"/>
      <c r="FI261" s="259"/>
      <c r="FJ261" s="259"/>
      <c r="FK261" s="259"/>
      <c r="FL261" s="259"/>
      <c r="FM261" s="259"/>
      <c r="FN261" s="259"/>
      <c r="FO261" s="259"/>
      <c r="FP261" s="259"/>
      <c r="FQ261" s="259"/>
      <c r="FR261" s="259"/>
      <c r="FS261" s="259"/>
      <c r="FT261" s="259"/>
      <c r="FU261" s="259"/>
      <c r="FV261" s="259"/>
      <c r="FW261" s="259"/>
      <c r="FX261" s="259"/>
      <c r="FY261" s="259"/>
      <c r="FZ261" s="259"/>
      <c r="GA261" s="259"/>
      <c r="GB261" s="259"/>
      <c r="GC261" s="259"/>
      <c r="GD261" s="259"/>
      <c r="GE261" s="259"/>
    </row>
    <row r="262" spans="2:187" s="147" customFormat="1" ht="16.5" customHeight="1">
      <c r="B262" s="251">
        <v>256</v>
      </c>
      <c r="C262" s="489" t="s">
        <v>374</v>
      </c>
      <c r="D262" s="489" t="s">
        <v>537</v>
      </c>
      <c r="E262" s="489" t="s">
        <v>180</v>
      </c>
      <c r="F262" s="489" t="s">
        <v>169</v>
      </c>
      <c r="G262" s="490">
        <v>1</v>
      </c>
      <c r="H262" s="490">
        <v>100000</v>
      </c>
      <c r="I262" s="252">
        <f t="shared" si="4"/>
        <v>18750</v>
      </c>
      <c r="J262" s="283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59"/>
      <c r="BK262" s="259"/>
      <c r="BL262" s="259"/>
      <c r="BM262" s="259"/>
      <c r="BN262" s="259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59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  <c r="CO262" s="259"/>
      <c r="CP262" s="259"/>
      <c r="CQ262" s="259"/>
      <c r="CR262" s="259"/>
      <c r="CS262" s="259"/>
      <c r="CT262" s="259"/>
      <c r="CU262" s="259"/>
      <c r="CV262" s="259"/>
      <c r="CW262" s="259"/>
      <c r="CX262" s="259"/>
      <c r="CY262" s="259"/>
      <c r="CZ262" s="259"/>
      <c r="DA262" s="259"/>
      <c r="DB262" s="259"/>
      <c r="DC262" s="259"/>
      <c r="DD262" s="259"/>
      <c r="DE262" s="259"/>
      <c r="DF262" s="259"/>
      <c r="DG262" s="259"/>
      <c r="DH262" s="259"/>
      <c r="DI262" s="259"/>
      <c r="DJ262" s="259"/>
      <c r="DK262" s="259"/>
      <c r="DL262" s="259"/>
      <c r="DM262" s="259"/>
      <c r="DN262" s="259"/>
      <c r="DO262" s="259"/>
      <c r="DP262" s="259"/>
      <c r="DQ262" s="259"/>
      <c r="DR262" s="259"/>
      <c r="DS262" s="259"/>
      <c r="DT262" s="259"/>
      <c r="DU262" s="259"/>
      <c r="DV262" s="259"/>
      <c r="DW262" s="259"/>
      <c r="DX262" s="259"/>
      <c r="DY262" s="259"/>
      <c r="DZ262" s="259"/>
      <c r="EA262" s="259"/>
      <c r="EB262" s="259"/>
      <c r="EC262" s="259"/>
      <c r="ED262" s="259"/>
      <c r="EE262" s="259"/>
      <c r="EF262" s="259"/>
      <c r="EG262" s="259"/>
      <c r="EH262" s="259"/>
      <c r="EI262" s="259"/>
      <c r="EJ262" s="259"/>
      <c r="EK262" s="259"/>
      <c r="EL262" s="259"/>
      <c r="EM262" s="259"/>
      <c r="EN262" s="259"/>
      <c r="EO262" s="259"/>
      <c r="EP262" s="259"/>
      <c r="EQ262" s="259"/>
      <c r="ER262" s="259"/>
      <c r="ES262" s="259"/>
      <c r="ET262" s="259"/>
      <c r="EU262" s="259"/>
      <c r="EV262" s="259"/>
      <c r="EW262" s="259"/>
      <c r="EX262" s="259"/>
      <c r="EY262" s="259"/>
      <c r="EZ262" s="259"/>
      <c r="FA262" s="259"/>
      <c r="FB262" s="259"/>
      <c r="FC262" s="259"/>
      <c r="FD262" s="259"/>
      <c r="FE262" s="259"/>
      <c r="FF262" s="259"/>
      <c r="FG262" s="259"/>
      <c r="FH262" s="259"/>
      <c r="FI262" s="259"/>
      <c r="FJ262" s="259"/>
      <c r="FK262" s="259"/>
      <c r="FL262" s="259"/>
      <c r="FM262" s="259"/>
      <c r="FN262" s="259"/>
      <c r="FO262" s="259"/>
      <c r="FP262" s="259"/>
      <c r="FQ262" s="259"/>
      <c r="FR262" s="259"/>
      <c r="FS262" s="259"/>
      <c r="FT262" s="259"/>
      <c r="FU262" s="259"/>
      <c r="FV262" s="259"/>
      <c r="FW262" s="259"/>
      <c r="FX262" s="259"/>
      <c r="FY262" s="259"/>
      <c r="FZ262" s="259"/>
      <c r="GA262" s="259"/>
      <c r="GB262" s="259"/>
      <c r="GC262" s="259"/>
      <c r="GD262" s="259"/>
      <c r="GE262" s="259"/>
    </row>
    <row r="263" spans="2:187" s="147" customFormat="1" ht="16.5" customHeight="1">
      <c r="B263" s="251">
        <v>257</v>
      </c>
      <c r="C263" s="489" t="s">
        <v>374</v>
      </c>
      <c r="D263" s="489" t="s">
        <v>483</v>
      </c>
      <c r="E263" s="489" t="s">
        <v>181</v>
      </c>
      <c r="F263" s="489" t="s">
        <v>169</v>
      </c>
      <c r="G263" s="490">
        <v>1</v>
      </c>
      <c r="H263" s="490">
        <v>40300</v>
      </c>
      <c r="I263" s="252">
        <f t="shared" si="4"/>
        <v>7556.25</v>
      </c>
      <c r="J263" s="283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59"/>
      <c r="BK263" s="259"/>
      <c r="BL263" s="259"/>
      <c r="BM263" s="259"/>
      <c r="BN263" s="259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59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  <c r="CO263" s="259"/>
      <c r="CP263" s="259"/>
      <c r="CQ263" s="259"/>
      <c r="CR263" s="259"/>
      <c r="CS263" s="259"/>
      <c r="CT263" s="259"/>
      <c r="CU263" s="259"/>
      <c r="CV263" s="259"/>
      <c r="CW263" s="259"/>
      <c r="CX263" s="259"/>
      <c r="CY263" s="259"/>
      <c r="CZ263" s="259"/>
      <c r="DA263" s="259"/>
      <c r="DB263" s="259"/>
      <c r="DC263" s="259"/>
      <c r="DD263" s="259"/>
      <c r="DE263" s="259"/>
      <c r="DF263" s="259"/>
      <c r="DG263" s="259"/>
      <c r="DH263" s="259"/>
      <c r="DI263" s="259"/>
      <c r="DJ263" s="259"/>
      <c r="DK263" s="259"/>
      <c r="DL263" s="259"/>
      <c r="DM263" s="259"/>
      <c r="DN263" s="259"/>
      <c r="DO263" s="259"/>
      <c r="DP263" s="259"/>
      <c r="DQ263" s="259"/>
      <c r="DR263" s="259"/>
      <c r="DS263" s="259"/>
      <c r="DT263" s="259"/>
      <c r="DU263" s="259"/>
      <c r="DV263" s="259"/>
      <c r="DW263" s="259"/>
      <c r="DX263" s="259"/>
      <c r="DY263" s="259"/>
      <c r="DZ263" s="259"/>
      <c r="EA263" s="259"/>
      <c r="EB263" s="259"/>
      <c r="EC263" s="259"/>
      <c r="ED263" s="259"/>
      <c r="EE263" s="259"/>
      <c r="EF263" s="259"/>
      <c r="EG263" s="259"/>
      <c r="EH263" s="259"/>
      <c r="EI263" s="259"/>
      <c r="EJ263" s="259"/>
      <c r="EK263" s="259"/>
      <c r="EL263" s="259"/>
      <c r="EM263" s="259"/>
      <c r="EN263" s="259"/>
      <c r="EO263" s="259"/>
      <c r="EP263" s="259"/>
      <c r="EQ263" s="259"/>
      <c r="ER263" s="259"/>
      <c r="ES263" s="259"/>
      <c r="ET263" s="259"/>
      <c r="EU263" s="259"/>
      <c r="EV263" s="259"/>
      <c r="EW263" s="259"/>
      <c r="EX263" s="259"/>
      <c r="EY263" s="259"/>
      <c r="EZ263" s="259"/>
      <c r="FA263" s="259"/>
      <c r="FB263" s="259"/>
      <c r="FC263" s="259"/>
      <c r="FD263" s="259"/>
      <c r="FE263" s="259"/>
      <c r="FF263" s="259"/>
      <c r="FG263" s="259"/>
      <c r="FH263" s="259"/>
      <c r="FI263" s="259"/>
      <c r="FJ263" s="259"/>
      <c r="FK263" s="259"/>
      <c r="FL263" s="259"/>
      <c r="FM263" s="259"/>
      <c r="FN263" s="259"/>
      <c r="FO263" s="259"/>
      <c r="FP263" s="259"/>
      <c r="FQ263" s="259"/>
      <c r="FR263" s="259"/>
      <c r="FS263" s="259"/>
      <c r="FT263" s="259"/>
      <c r="FU263" s="259"/>
      <c r="FV263" s="259"/>
      <c r="FW263" s="259"/>
      <c r="FX263" s="259"/>
      <c r="FY263" s="259"/>
      <c r="FZ263" s="259"/>
      <c r="GA263" s="259"/>
      <c r="GB263" s="259"/>
      <c r="GC263" s="259"/>
      <c r="GD263" s="259"/>
      <c r="GE263" s="259"/>
    </row>
    <row r="264" spans="2:187" s="147" customFormat="1" ht="16.5" customHeight="1">
      <c r="B264" s="251">
        <v>258</v>
      </c>
      <c r="C264" s="489" t="s">
        <v>377</v>
      </c>
      <c r="D264" s="489" t="s">
        <v>538</v>
      </c>
      <c r="E264" s="489" t="s">
        <v>225</v>
      </c>
      <c r="F264" s="489" t="s">
        <v>175</v>
      </c>
      <c r="G264" s="490">
        <v>1</v>
      </c>
      <c r="H264" s="490">
        <v>100000</v>
      </c>
      <c r="I264" s="252">
        <f t="shared" si="4"/>
        <v>18750</v>
      </c>
      <c r="J264" s="283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59"/>
      <c r="BK264" s="259"/>
      <c r="BL264" s="259"/>
      <c r="BM264" s="259"/>
      <c r="BN264" s="259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59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  <c r="CO264" s="259"/>
      <c r="CP264" s="259"/>
      <c r="CQ264" s="259"/>
      <c r="CR264" s="259"/>
      <c r="CS264" s="259"/>
      <c r="CT264" s="259"/>
      <c r="CU264" s="259"/>
      <c r="CV264" s="259"/>
      <c r="CW264" s="259"/>
      <c r="CX264" s="259"/>
      <c r="CY264" s="259"/>
      <c r="CZ264" s="259"/>
      <c r="DA264" s="259"/>
      <c r="DB264" s="259"/>
      <c r="DC264" s="259"/>
      <c r="DD264" s="259"/>
      <c r="DE264" s="259"/>
      <c r="DF264" s="259"/>
      <c r="DG264" s="259"/>
      <c r="DH264" s="259"/>
      <c r="DI264" s="259"/>
      <c r="DJ264" s="259"/>
      <c r="DK264" s="259"/>
      <c r="DL264" s="259"/>
      <c r="DM264" s="259"/>
      <c r="DN264" s="259"/>
      <c r="DO264" s="259"/>
      <c r="DP264" s="259"/>
      <c r="DQ264" s="259"/>
      <c r="DR264" s="259"/>
      <c r="DS264" s="259"/>
      <c r="DT264" s="259"/>
      <c r="DU264" s="259"/>
      <c r="DV264" s="259"/>
      <c r="DW264" s="259"/>
      <c r="DX264" s="259"/>
      <c r="DY264" s="259"/>
      <c r="DZ264" s="259"/>
      <c r="EA264" s="259"/>
      <c r="EB264" s="259"/>
      <c r="EC264" s="259"/>
      <c r="ED264" s="259"/>
      <c r="EE264" s="259"/>
      <c r="EF264" s="259"/>
      <c r="EG264" s="259"/>
      <c r="EH264" s="259"/>
      <c r="EI264" s="259"/>
      <c r="EJ264" s="259"/>
      <c r="EK264" s="259"/>
      <c r="EL264" s="259"/>
      <c r="EM264" s="259"/>
      <c r="EN264" s="259"/>
      <c r="EO264" s="259"/>
      <c r="EP264" s="259"/>
      <c r="EQ264" s="259"/>
      <c r="ER264" s="259"/>
      <c r="ES264" s="259"/>
      <c r="ET264" s="259"/>
      <c r="EU264" s="259"/>
      <c r="EV264" s="259"/>
      <c r="EW264" s="259"/>
      <c r="EX264" s="259"/>
      <c r="EY264" s="259"/>
      <c r="EZ264" s="259"/>
      <c r="FA264" s="259"/>
      <c r="FB264" s="259"/>
      <c r="FC264" s="259"/>
      <c r="FD264" s="259"/>
      <c r="FE264" s="259"/>
      <c r="FF264" s="259"/>
      <c r="FG264" s="259"/>
      <c r="FH264" s="259"/>
      <c r="FI264" s="259"/>
      <c r="FJ264" s="259"/>
      <c r="FK264" s="259"/>
      <c r="FL264" s="259"/>
      <c r="FM264" s="259"/>
      <c r="FN264" s="259"/>
      <c r="FO264" s="259"/>
      <c r="FP264" s="259"/>
      <c r="FQ264" s="259"/>
      <c r="FR264" s="259"/>
      <c r="FS264" s="259"/>
      <c r="FT264" s="259"/>
      <c r="FU264" s="259"/>
      <c r="FV264" s="259"/>
      <c r="FW264" s="259"/>
      <c r="FX264" s="259"/>
      <c r="FY264" s="259"/>
      <c r="FZ264" s="259"/>
      <c r="GA264" s="259"/>
      <c r="GB264" s="259"/>
      <c r="GC264" s="259"/>
      <c r="GD264" s="259"/>
      <c r="GE264" s="259"/>
    </row>
    <row r="265" spans="2:187" s="147" customFormat="1" ht="16.5" customHeight="1">
      <c r="B265" s="251">
        <v>259</v>
      </c>
      <c r="C265" s="489" t="s">
        <v>377</v>
      </c>
      <c r="D265" s="489" t="s">
        <v>424</v>
      </c>
      <c r="E265" s="489" t="s">
        <v>213</v>
      </c>
      <c r="F265" s="489" t="s">
        <v>175</v>
      </c>
      <c r="G265" s="490">
        <v>3</v>
      </c>
      <c r="H265" s="490">
        <v>300000</v>
      </c>
      <c r="I265" s="252">
        <f t="shared" si="4"/>
        <v>56250</v>
      </c>
      <c r="J265" s="283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59"/>
      <c r="BK265" s="259"/>
      <c r="BL265" s="259"/>
      <c r="BM265" s="259"/>
      <c r="BN265" s="259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59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  <c r="CO265" s="259"/>
      <c r="CP265" s="259"/>
      <c r="CQ265" s="259"/>
      <c r="CR265" s="259"/>
      <c r="CS265" s="259"/>
      <c r="CT265" s="259"/>
      <c r="CU265" s="259"/>
      <c r="CV265" s="259"/>
      <c r="CW265" s="259"/>
      <c r="CX265" s="259"/>
      <c r="CY265" s="259"/>
      <c r="CZ265" s="259"/>
      <c r="DA265" s="259"/>
      <c r="DB265" s="259"/>
      <c r="DC265" s="259"/>
      <c r="DD265" s="259"/>
      <c r="DE265" s="259"/>
      <c r="DF265" s="259"/>
      <c r="DG265" s="259"/>
      <c r="DH265" s="259"/>
      <c r="DI265" s="259"/>
      <c r="DJ265" s="259"/>
      <c r="DK265" s="259"/>
      <c r="DL265" s="259"/>
      <c r="DM265" s="259"/>
      <c r="DN265" s="259"/>
      <c r="DO265" s="259"/>
      <c r="DP265" s="259"/>
      <c r="DQ265" s="259"/>
      <c r="DR265" s="259"/>
      <c r="DS265" s="259"/>
      <c r="DT265" s="259"/>
      <c r="DU265" s="259"/>
      <c r="DV265" s="259"/>
      <c r="DW265" s="259"/>
      <c r="DX265" s="259"/>
      <c r="DY265" s="259"/>
      <c r="DZ265" s="259"/>
      <c r="EA265" s="259"/>
      <c r="EB265" s="259"/>
      <c r="EC265" s="259"/>
      <c r="ED265" s="259"/>
      <c r="EE265" s="259"/>
      <c r="EF265" s="259"/>
      <c r="EG265" s="259"/>
      <c r="EH265" s="259"/>
      <c r="EI265" s="259"/>
      <c r="EJ265" s="259"/>
      <c r="EK265" s="259"/>
      <c r="EL265" s="259"/>
      <c r="EM265" s="259"/>
      <c r="EN265" s="259"/>
      <c r="EO265" s="259"/>
      <c r="EP265" s="259"/>
      <c r="EQ265" s="259"/>
      <c r="ER265" s="259"/>
      <c r="ES265" s="259"/>
      <c r="ET265" s="259"/>
      <c r="EU265" s="259"/>
      <c r="EV265" s="259"/>
      <c r="EW265" s="259"/>
      <c r="EX265" s="259"/>
      <c r="EY265" s="259"/>
      <c r="EZ265" s="259"/>
      <c r="FA265" s="259"/>
      <c r="FB265" s="259"/>
      <c r="FC265" s="259"/>
      <c r="FD265" s="259"/>
      <c r="FE265" s="259"/>
      <c r="FF265" s="259"/>
      <c r="FG265" s="259"/>
      <c r="FH265" s="259"/>
      <c r="FI265" s="259"/>
      <c r="FJ265" s="259"/>
      <c r="FK265" s="259"/>
      <c r="FL265" s="259"/>
      <c r="FM265" s="259"/>
      <c r="FN265" s="259"/>
      <c r="FO265" s="259"/>
      <c r="FP265" s="259"/>
      <c r="FQ265" s="259"/>
      <c r="FR265" s="259"/>
      <c r="FS265" s="259"/>
      <c r="FT265" s="259"/>
      <c r="FU265" s="259"/>
      <c r="FV265" s="259"/>
      <c r="FW265" s="259"/>
      <c r="FX265" s="259"/>
      <c r="FY265" s="259"/>
      <c r="FZ265" s="259"/>
      <c r="GA265" s="259"/>
      <c r="GB265" s="259"/>
      <c r="GC265" s="259"/>
      <c r="GD265" s="259"/>
      <c r="GE265" s="259"/>
    </row>
    <row r="266" spans="2:187" s="147" customFormat="1" ht="16.5" customHeight="1">
      <c r="B266" s="251">
        <v>260</v>
      </c>
      <c r="C266" s="489" t="s">
        <v>377</v>
      </c>
      <c r="D266" s="489" t="s">
        <v>312</v>
      </c>
      <c r="E266" s="489" t="s">
        <v>142</v>
      </c>
      <c r="F266" s="489" t="s">
        <v>167</v>
      </c>
      <c r="G266" s="490">
        <v>7</v>
      </c>
      <c r="H266" s="490">
        <v>700000</v>
      </c>
      <c r="I266" s="252">
        <f t="shared" si="4"/>
        <v>131250</v>
      </c>
      <c r="J266" s="283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59"/>
      <c r="BK266" s="259"/>
      <c r="BL266" s="259"/>
      <c r="BM266" s="259"/>
      <c r="BN266" s="259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59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  <c r="CO266" s="259"/>
      <c r="CP266" s="259"/>
      <c r="CQ266" s="259"/>
      <c r="CR266" s="259"/>
      <c r="CS266" s="259"/>
      <c r="CT266" s="259"/>
      <c r="CU266" s="259"/>
      <c r="CV266" s="259"/>
      <c r="CW266" s="259"/>
      <c r="CX266" s="259"/>
      <c r="CY266" s="259"/>
      <c r="CZ266" s="259"/>
      <c r="DA266" s="259"/>
      <c r="DB266" s="259"/>
      <c r="DC266" s="259"/>
      <c r="DD266" s="259"/>
      <c r="DE266" s="259"/>
      <c r="DF266" s="259"/>
      <c r="DG266" s="259"/>
      <c r="DH266" s="259"/>
      <c r="DI266" s="259"/>
      <c r="DJ266" s="259"/>
      <c r="DK266" s="259"/>
      <c r="DL266" s="259"/>
      <c r="DM266" s="259"/>
      <c r="DN266" s="259"/>
      <c r="DO266" s="259"/>
      <c r="DP266" s="259"/>
      <c r="DQ266" s="259"/>
      <c r="DR266" s="259"/>
      <c r="DS266" s="259"/>
      <c r="DT266" s="259"/>
      <c r="DU266" s="259"/>
      <c r="DV266" s="259"/>
      <c r="DW266" s="259"/>
      <c r="DX266" s="259"/>
      <c r="DY266" s="259"/>
      <c r="DZ266" s="259"/>
      <c r="EA266" s="259"/>
      <c r="EB266" s="259"/>
      <c r="EC266" s="259"/>
      <c r="ED266" s="259"/>
      <c r="EE266" s="259"/>
      <c r="EF266" s="259"/>
      <c r="EG266" s="259"/>
      <c r="EH266" s="259"/>
      <c r="EI266" s="259"/>
      <c r="EJ266" s="259"/>
      <c r="EK266" s="259"/>
      <c r="EL266" s="259"/>
      <c r="EM266" s="259"/>
      <c r="EN266" s="259"/>
      <c r="EO266" s="259"/>
      <c r="EP266" s="259"/>
      <c r="EQ266" s="259"/>
      <c r="ER266" s="259"/>
      <c r="ES266" s="259"/>
      <c r="ET266" s="259"/>
      <c r="EU266" s="259"/>
      <c r="EV266" s="259"/>
      <c r="EW266" s="259"/>
      <c r="EX266" s="259"/>
      <c r="EY266" s="259"/>
      <c r="EZ266" s="259"/>
      <c r="FA266" s="259"/>
      <c r="FB266" s="259"/>
      <c r="FC266" s="259"/>
      <c r="FD266" s="259"/>
      <c r="FE266" s="259"/>
      <c r="FF266" s="259"/>
      <c r="FG266" s="259"/>
      <c r="FH266" s="259"/>
      <c r="FI266" s="259"/>
      <c r="FJ266" s="259"/>
      <c r="FK266" s="259"/>
      <c r="FL266" s="259"/>
      <c r="FM266" s="259"/>
      <c r="FN266" s="259"/>
      <c r="FO266" s="259"/>
      <c r="FP266" s="259"/>
      <c r="FQ266" s="259"/>
      <c r="FR266" s="259"/>
      <c r="FS266" s="259"/>
      <c r="FT266" s="259"/>
      <c r="FU266" s="259"/>
      <c r="FV266" s="259"/>
      <c r="FW266" s="259"/>
      <c r="FX266" s="259"/>
      <c r="FY266" s="259"/>
      <c r="FZ266" s="259"/>
      <c r="GA266" s="259"/>
      <c r="GB266" s="259"/>
      <c r="GC266" s="259"/>
      <c r="GD266" s="259"/>
      <c r="GE266" s="259"/>
    </row>
    <row r="267" spans="2:187" s="147" customFormat="1" ht="16.5" customHeight="1">
      <c r="B267" s="251">
        <v>261</v>
      </c>
      <c r="C267" s="489" t="s">
        <v>377</v>
      </c>
      <c r="D267" s="489" t="s">
        <v>539</v>
      </c>
      <c r="E267" s="489" t="s">
        <v>133</v>
      </c>
      <c r="F267" s="489" t="s">
        <v>169</v>
      </c>
      <c r="G267" s="490">
        <v>1</v>
      </c>
      <c r="H267" s="490">
        <v>40300</v>
      </c>
      <c r="I267" s="252">
        <f t="shared" si="4"/>
        <v>7556.25</v>
      </c>
      <c r="J267" s="283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59"/>
      <c r="BK267" s="259"/>
      <c r="BL267" s="259"/>
      <c r="BM267" s="259"/>
      <c r="BN267" s="259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59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  <c r="CO267" s="259"/>
      <c r="CP267" s="259"/>
      <c r="CQ267" s="259"/>
      <c r="CR267" s="259"/>
      <c r="CS267" s="259"/>
      <c r="CT267" s="259"/>
      <c r="CU267" s="259"/>
      <c r="CV267" s="259"/>
      <c r="CW267" s="259"/>
      <c r="CX267" s="259"/>
      <c r="CY267" s="259"/>
      <c r="CZ267" s="259"/>
      <c r="DA267" s="259"/>
      <c r="DB267" s="259"/>
      <c r="DC267" s="259"/>
      <c r="DD267" s="259"/>
      <c r="DE267" s="259"/>
      <c r="DF267" s="259"/>
      <c r="DG267" s="259"/>
      <c r="DH267" s="259"/>
      <c r="DI267" s="259"/>
      <c r="DJ267" s="259"/>
      <c r="DK267" s="259"/>
      <c r="DL267" s="259"/>
      <c r="DM267" s="259"/>
      <c r="DN267" s="259"/>
      <c r="DO267" s="259"/>
      <c r="DP267" s="259"/>
      <c r="DQ267" s="259"/>
      <c r="DR267" s="259"/>
      <c r="DS267" s="259"/>
      <c r="DT267" s="259"/>
      <c r="DU267" s="259"/>
      <c r="DV267" s="259"/>
      <c r="DW267" s="259"/>
      <c r="DX267" s="259"/>
      <c r="DY267" s="259"/>
      <c r="DZ267" s="259"/>
      <c r="EA267" s="259"/>
      <c r="EB267" s="259"/>
      <c r="EC267" s="259"/>
      <c r="ED267" s="259"/>
      <c r="EE267" s="259"/>
      <c r="EF267" s="259"/>
      <c r="EG267" s="259"/>
      <c r="EH267" s="259"/>
      <c r="EI267" s="259"/>
      <c r="EJ267" s="259"/>
      <c r="EK267" s="259"/>
      <c r="EL267" s="259"/>
      <c r="EM267" s="259"/>
      <c r="EN267" s="259"/>
      <c r="EO267" s="259"/>
      <c r="EP267" s="259"/>
      <c r="EQ267" s="259"/>
      <c r="ER267" s="259"/>
      <c r="ES267" s="259"/>
      <c r="ET267" s="259"/>
      <c r="EU267" s="259"/>
      <c r="EV267" s="259"/>
      <c r="EW267" s="259"/>
      <c r="EX267" s="259"/>
      <c r="EY267" s="259"/>
      <c r="EZ267" s="259"/>
      <c r="FA267" s="259"/>
      <c r="FB267" s="259"/>
      <c r="FC267" s="259"/>
      <c r="FD267" s="259"/>
      <c r="FE267" s="259"/>
      <c r="FF267" s="259"/>
      <c r="FG267" s="259"/>
      <c r="FH267" s="259"/>
      <c r="FI267" s="259"/>
      <c r="FJ267" s="259"/>
      <c r="FK267" s="259"/>
      <c r="FL267" s="259"/>
      <c r="FM267" s="259"/>
      <c r="FN267" s="259"/>
      <c r="FO267" s="259"/>
      <c r="FP267" s="259"/>
      <c r="FQ267" s="259"/>
      <c r="FR267" s="259"/>
      <c r="FS267" s="259"/>
      <c r="FT267" s="259"/>
      <c r="FU267" s="259"/>
      <c r="FV267" s="259"/>
      <c r="FW267" s="259"/>
      <c r="FX267" s="259"/>
      <c r="FY267" s="259"/>
      <c r="FZ267" s="259"/>
      <c r="GA267" s="259"/>
      <c r="GB267" s="259"/>
      <c r="GC267" s="259"/>
      <c r="GD267" s="259"/>
      <c r="GE267" s="259"/>
    </row>
    <row r="268" spans="2:187" s="147" customFormat="1" ht="16.5" customHeight="1">
      <c r="B268" s="251">
        <v>262</v>
      </c>
      <c r="C268" s="489" t="s">
        <v>377</v>
      </c>
      <c r="D268" s="489" t="s">
        <v>501</v>
      </c>
      <c r="E268" s="489" t="s">
        <v>181</v>
      </c>
      <c r="F268" s="489" t="s">
        <v>171</v>
      </c>
      <c r="G268" s="490">
        <v>1</v>
      </c>
      <c r="H268" s="490">
        <v>40300</v>
      </c>
      <c r="I268" s="252">
        <f t="shared" si="4"/>
        <v>7556.25</v>
      </c>
      <c r="J268" s="283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59"/>
      <c r="BK268" s="259"/>
      <c r="BL268" s="259"/>
      <c r="BM268" s="259"/>
      <c r="BN268" s="259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59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  <c r="CO268" s="259"/>
      <c r="CP268" s="259"/>
      <c r="CQ268" s="259"/>
      <c r="CR268" s="259"/>
      <c r="CS268" s="259"/>
      <c r="CT268" s="259"/>
      <c r="CU268" s="259"/>
      <c r="CV268" s="259"/>
      <c r="CW268" s="259"/>
      <c r="CX268" s="259"/>
      <c r="CY268" s="259"/>
      <c r="CZ268" s="259"/>
      <c r="DA268" s="259"/>
      <c r="DB268" s="259"/>
      <c r="DC268" s="259"/>
      <c r="DD268" s="259"/>
      <c r="DE268" s="259"/>
      <c r="DF268" s="259"/>
      <c r="DG268" s="259"/>
      <c r="DH268" s="259"/>
      <c r="DI268" s="259"/>
      <c r="DJ268" s="259"/>
      <c r="DK268" s="259"/>
      <c r="DL268" s="259"/>
      <c r="DM268" s="259"/>
      <c r="DN268" s="259"/>
      <c r="DO268" s="259"/>
      <c r="DP268" s="259"/>
      <c r="DQ268" s="259"/>
      <c r="DR268" s="259"/>
      <c r="DS268" s="259"/>
      <c r="DT268" s="259"/>
      <c r="DU268" s="259"/>
      <c r="DV268" s="259"/>
      <c r="DW268" s="259"/>
      <c r="DX268" s="259"/>
      <c r="DY268" s="259"/>
      <c r="DZ268" s="259"/>
      <c r="EA268" s="259"/>
      <c r="EB268" s="259"/>
      <c r="EC268" s="259"/>
      <c r="ED268" s="259"/>
      <c r="EE268" s="259"/>
      <c r="EF268" s="259"/>
      <c r="EG268" s="259"/>
      <c r="EH268" s="259"/>
      <c r="EI268" s="259"/>
      <c r="EJ268" s="259"/>
      <c r="EK268" s="259"/>
      <c r="EL268" s="259"/>
      <c r="EM268" s="259"/>
      <c r="EN268" s="259"/>
      <c r="EO268" s="259"/>
      <c r="EP268" s="259"/>
      <c r="EQ268" s="259"/>
      <c r="ER268" s="259"/>
      <c r="ES268" s="259"/>
      <c r="ET268" s="259"/>
      <c r="EU268" s="259"/>
      <c r="EV268" s="259"/>
      <c r="EW268" s="259"/>
      <c r="EX268" s="259"/>
      <c r="EY268" s="259"/>
      <c r="EZ268" s="259"/>
      <c r="FA268" s="259"/>
      <c r="FB268" s="259"/>
      <c r="FC268" s="259"/>
      <c r="FD268" s="259"/>
      <c r="FE268" s="259"/>
      <c r="FF268" s="259"/>
      <c r="FG268" s="259"/>
      <c r="FH268" s="259"/>
      <c r="FI268" s="259"/>
      <c r="FJ268" s="259"/>
      <c r="FK268" s="259"/>
      <c r="FL268" s="259"/>
      <c r="FM268" s="259"/>
      <c r="FN268" s="259"/>
      <c r="FO268" s="259"/>
      <c r="FP268" s="259"/>
      <c r="FQ268" s="259"/>
      <c r="FR268" s="259"/>
      <c r="FS268" s="259"/>
      <c r="FT268" s="259"/>
      <c r="FU268" s="259"/>
      <c r="FV268" s="259"/>
      <c r="FW268" s="259"/>
      <c r="FX268" s="259"/>
      <c r="FY268" s="259"/>
      <c r="FZ268" s="259"/>
      <c r="GA268" s="259"/>
      <c r="GB268" s="259"/>
      <c r="GC268" s="259"/>
      <c r="GD268" s="259"/>
      <c r="GE268" s="259"/>
    </row>
    <row r="269" spans="2:187" s="147" customFormat="1" ht="16.5" customHeight="1">
      <c r="B269" s="251">
        <v>263</v>
      </c>
      <c r="C269" s="489" t="s">
        <v>377</v>
      </c>
      <c r="D269" s="489" t="s">
        <v>540</v>
      </c>
      <c r="E269" s="489" t="s">
        <v>541</v>
      </c>
      <c r="F269" s="489" t="s">
        <v>167</v>
      </c>
      <c r="G269" s="490">
        <v>8</v>
      </c>
      <c r="H269" s="490">
        <v>800000</v>
      </c>
      <c r="I269" s="252">
        <f t="shared" si="4"/>
        <v>150000</v>
      </c>
      <c r="J269" s="283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59"/>
      <c r="BK269" s="259"/>
      <c r="BL269" s="259"/>
      <c r="BM269" s="259"/>
      <c r="BN269" s="259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59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  <c r="CO269" s="259"/>
      <c r="CP269" s="259"/>
      <c r="CQ269" s="259"/>
      <c r="CR269" s="259"/>
      <c r="CS269" s="259"/>
      <c r="CT269" s="259"/>
      <c r="CU269" s="259"/>
      <c r="CV269" s="259"/>
      <c r="CW269" s="259"/>
      <c r="CX269" s="259"/>
      <c r="CY269" s="259"/>
      <c r="CZ269" s="259"/>
      <c r="DA269" s="259"/>
      <c r="DB269" s="259"/>
      <c r="DC269" s="259"/>
      <c r="DD269" s="259"/>
      <c r="DE269" s="259"/>
      <c r="DF269" s="259"/>
      <c r="DG269" s="259"/>
      <c r="DH269" s="259"/>
      <c r="DI269" s="259"/>
      <c r="DJ269" s="259"/>
      <c r="DK269" s="259"/>
      <c r="DL269" s="259"/>
      <c r="DM269" s="259"/>
      <c r="DN269" s="259"/>
      <c r="DO269" s="259"/>
      <c r="DP269" s="259"/>
      <c r="DQ269" s="259"/>
      <c r="DR269" s="259"/>
      <c r="DS269" s="259"/>
      <c r="DT269" s="259"/>
      <c r="DU269" s="259"/>
      <c r="DV269" s="259"/>
      <c r="DW269" s="259"/>
      <c r="DX269" s="259"/>
      <c r="DY269" s="259"/>
      <c r="DZ269" s="259"/>
      <c r="EA269" s="259"/>
      <c r="EB269" s="259"/>
      <c r="EC269" s="259"/>
      <c r="ED269" s="259"/>
      <c r="EE269" s="259"/>
      <c r="EF269" s="259"/>
      <c r="EG269" s="259"/>
      <c r="EH269" s="259"/>
      <c r="EI269" s="259"/>
      <c r="EJ269" s="259"/>
      <c r="EK269" s="259"/>
      <c r="EL269" s="259"/>
      <c r="EM269" s="259"/>
      <c r="EN269" s="259"/>
      <c r="EO269" s="259"/>
      <c r="EP269" s="259"/>
      <c r="EQ269" s="259"/>
      <c r="ER269" s="259"/>
      <c r="ES269" s="259"/>
      <c r="ET269" s="259"/>
      <c r="EU269" s="259"/>
      <c r="EV269" s="259"/>
      <c r="EW269" s="259"/>
      <c r="EX269" s="259"/>
      <c r="EY269" s="259"/>
      <c r="EZ269" s="259"/>
      <c r="FA269" s="259"/>
      <c r="FB269" s="259"/>
      <c r="FC269" s="259"/>
      <c r="FD269" s="259"/>
      <c r="FE269" s="259"/>
      <c r="FF269" s="259"/>
      <c r="FG269" s="259"/>
      <c r="FH269" s="259"/>
      <c r="FI269" s="259"/>
      <c r="FJ269" s="259"/>
      <c r="FK269" s="259"/>
      <c r="FL269" s="259"/>
      <c r="FM269" s="259"/>
      <c r="FN269" s="259"/>
      <c r="FO269" s="259"/>
      <c r="FP269" s="259"/>
      <c r="FQ269" s="259"/>
      <c r="FR269" s="259"/>
      <c r="FS269" s="259"/>
      <c r="FT269" s="259"/>
      <c r="FU269" s="259"/>
      <c r="FV269" s="259"/>
      <c r="FW269" s="259"/>
      <c r="FX269" s="259"/>
      <c r="FY269" s="259"/>
      <c r="FZ269" s="259"/>
      <c r="GA269" s="259"/>
      <c r="GB269" s="259"/>
      <c r="GC269" s="259"/>
      <c r="GD269" s="259"/>
      <c r="GE269" s="259"/>
    </row>
    <row r="270" spans="2:187" s="147" customFormat="1" ht="16.5" customHeight="1">
      <c r="B270" s="251">
        <v>264</v>
      </c>
      <c r="C270" s="489" t="s">
        <v>377</v>
      </c>
      <c r="D270" s="489" t="s">
        <v>424</v>
      </c>
      <c r="E270" s="489" t="s">
        <v>213</v>
      </c>
      <c r="F270" s="489" t="s">
        <v>167</v>
      </c>
      <c r="G270" s="490">
        <v>5</v>
      </c>
      <c r="H270" s="490">
        <v>500000</v>
      </c>
      <c r="I270" s="252">
        <f t="shared" si="4"/>
        <v>93750</v>
      </c>
      <c r="J270" s="283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59"/>
      <c r="BK270" s="259"/>
      <c r="BL270" s="259"/>
      <c r="BM270" s="259"/>
      <c r="BN270" s="259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59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  <c r="CO270" s="259"/>
      <c r="CP270" s="259"/>
      <c r="CQ270" s="259"/>
      <c r="CR270" s="259"/>
      <c r="CS270" s="259"/>
      <c r="CT270" s="259"/>
      <c r="CU270" s="259"/>
      <c r="CV270" s="259"/>
      <c r="CW270" s="259"/>
      <c r="CX270" s="259"/>
      <c r="CY270" s="259"/>
      <c r="CZ270" s="259"/>
      <c r="DA270" s="259"/>
      <c r="DB270" s="259"/>
      <c r="DC270" s="259"/>
      <c r="DD270" s="259"/>
      <c r="DE270" s="259"/>
      <c r="DF270" s="259"/>
      <c r="DG270" s="259"/>
      <c r="DH270" s="259"/>
      <c r="DI270" s="259"/>
      <c r="DJ270" s="259"/>
      <c r="DK270" s="259"/>
      <c r="DL270" s="259"/>
      <c r="DM270" s="259"/>
      <c r="DN270" s="259"/>
      <c r="DO270" s="259"/>
      <c r="DP270" s="259"/>
      <c r="DQ270" s="259"/>
      <c r="DR270" s="259"/>
      <c r="DS270" s="259"/>
      <c r="DT270" s="259"/>
      <c r="DU270" s="259"/>
      <c r="DV270" s="259"/>
      <c r="DW270" s="259"/>
      <c r="DX270" s="259"/>
      <c r="DY270" s="259"/>
      <c r="DZ270" s="259"/>
      <c r="EA270" s="259"/>
      <c r="EB270" s="259"/>
      <c r="EC270" s="259"/>
      <c r="ED270" s="259"/>
      <c r="EE270" s="259"/>
      <c r="EF270" s="259"/>
      <c r="EG270" s="259"/>
      <c r="EH270" s="259"/>
      <c r="EI270" s="259"/>
      <c r="EJ270" s="259"/>
      <c r="EK270" s="259"/>
      <c r="EL270" s="259"/>
      <c r="EM270" s="259"/>
      <c r="EN270" s="259"/>
      <c r="EO270" s="259"/>
      <c r="EP270" s="259"/>
      <c r="EQ270" s="259"/>
      <c r="ER270" s="259"/>
      <c r="ES270" s="259"/>
      <c r="ET270" s="259"/>
      <c r="EU270" s="259"/>
      <c r="EV270" s="259"/>
      <c r="EW270" s="259"/>
      <c r="EX270" s="259"/>
      <c r="EY270" s="259"/>
      <c r="EZ270" s="259"/>
      <c r="FA270" s="259"/>
      <c r="FB270" s="259"/>
      <c r="FC270" s="259"/>
      <c r="FD270" s="259"/>
      <c r="FE270" s="259"/>
      <c r="FF270" s="259"/>
      <c r="FG270" s="259"/>
      <c r="FH270" s="259"/>
      <c r="FI270" s="259"/>
      <c r="FJ270" s="259"/>
      <c r="FK270" s="259"/>
      <c r="FL270" s="259"/>
      <c r="FM270" s="259"/>
      <c r="FN270" s="259"/>
      <c r="FO270" s="259"/>
      <c r="FP270" s="259"/>
      <c r="FQ270" s="259"/>
      <c r="FR270" s="259"/>
      <c r="FS270" s="259"/>
      <c r="FT270" s="259"/>
      <c r="FU270" s="259"/>
      <c r="FV270" s="259"/>
      <c r="FW270" s="259"/>
      <c r="FX270" s="259"/>
      <c r="FY270" s="259"/>
      <c r="FZ270" s="259"/>
      <c r="GA270" s="259"/>
      <c r="GB270" s="259"/>
      <c r="GC270" s="259"/>
      <c r="GD270" s="259"/>
      <c r="GE270" s="259"/>
    </row>
    <row r="271" spans="2:187" s="147" customFormat="1" ht="16.5" customHeight="1">
      <c r="B271" s="251">
        <v>265</v>
      </c>
      <c r="C271" s="489" t="s">
        <v>377</v>
      </c>
      <c r="D271" s="489" t="s">
        <v>542</v>
      </c>
      <c r="E271" s="489" t="s">
        <v>142</v>
      </c>
      <c r="F271" s="489" t="s">
        <v>167</v>
      </c>
      <c r="G271" s="490">
        <v>6</v>
      </c>
      <c r="H271" s="490">
        <v>600000</v>
      </c>
      <c r="I271" s="252">
        <f t="shared" si="4"/>
        <v>112500</v>
      </c>
      <c r="J271" s="219"/>
    </row>
    <row r="272" spans="2:187" s="147" customFormat="1" ht="16.5" customHeight="1">
      <c r="B272" s="251">
        <v>266</v>
      </c>
      <c r="C272" s="489" t="s">
        <v>377</v>
      </c>
      <c r="D272" s="489" t="s">
        <v>348</v>
      </c>
      <c r="E272" s="489" t="s">
        <v>193</v>
      </c>
      <c r="F272" s="489" t="s">
        <v>169</v>
      </c>
      <c r="G272" s="490">
        <v>1</v>
      </c>
      <c r="H272" s="490">
        <v>40300</v>
      </c>
      <c r="I272" s="252">
        <f t="shared" si="4"/>
        <v>7556.25</v>
      </c>
      <c r="J272" s="219"/>
    </row>
    <row r="273" spans="2:10" s="147" customFormat="1" ht="16.5" customHeight="1">
      <c r="B273" s="251">
        <v>267</v>
      </c>
      <c r="C273" s="489" t="s">
        <v>377</v>
      </c>
      <c r="D273" s="489" t="s">
        <v>538</v>
      </c>
      <c r="E273" s="489" t="s">
        <v>225</v>
      </c>
      <c r="F273" s="489" t="s">
        <v>167</v>
      </c>
      <c r="G273" s="490">
        <v>1</v>
      </c>
      <c r="H273" s="490">
        <v>100000</v>
      </c>
      <c r="I273" s="252">
        <f t="shared" si="4"/>
        <v>18750</v>
      </c>
      <c r="J273" s="219"/>
    </row>
    <row r="274" spans="2:10" s="147" customFormat="1" ht="16.5" customHeight="1">
      <c r="B274" s="251">
        <v>268</v>
      </c>
      <c r="C274" s="489" t="s">
        <v>382</v>
      </c>
      <c r="D274" s="489" t="s">
        <v>543</v>
      </c>
      <c r="E274" s="489" t="s">
        <v>239</v>
      </c>
      <c r="F274" s="489" t="s">
        <v>169</v>
      </c>
      <c r="G274" s="490">
        <v>3</v>
      </c>
      <c r="H274" s="490">
        <v>300000</v>
      </c>
      <c r="I274" s="252">
        <f t="shared" si="4"/>
        <v>56250</v>
      </c>
      <c r="J274" s="219"/>
    </row>
    <row r="275" spans="2:10" s="147" customFormat="1" ht="16.5" customHeight="1">
      <c r="B275" s="251">
        <v>269</v>
      </c>
      <c r="C275" s="489" t="s">
        <v>382</v>
      </c>
      <c r="D275" s="489" t="s">
        <v>544</v>
      </c>
      <c r="E275" s="489" t="s">
        <v>166</v>
      </c>
      <c r="F275" s="489" t="s">
        <v>169</v>
      </c>
      <c r="G275" s="490">
        <v>4</v>
      </c>
      <c r="H275" s="490">
        <v>400000</v>
      </c>
      <c r="I275" s="252">
        <f t="shared" si="4"/>
        <v>75000</v>
      </c>
      <c r="J275" s="219"/>
    </row>
    <row r="276" spans="2:10" s="147" customFormat="1" ht="16.5" customHeight="1">
      <c r="B276" s="251">
        <v>270</v>
      </c>
      <c r="C276" s="489" t="s">
        <v>382</v>
      </c>
      <c r="D276" s="489" t="s">
        <v>545</v>
      </c>
      <c r="E276" s="489" t="s">
        <v>205</v>
      </c>
      <c r="F276" s="489" t="s">
        <v>169</v>
      </c>
      <c r="G276" s="490">
        <v>3</v>
      </c>
      <c r="H276" s="490">
        <v>300000</v>
      </c>
      <c r="I276" s="252">
        <f t="shared" si="4"/>
        <v>56250</v>
      </c>
      <c r="J276" s="219"/>
    </row>
    <row r="277" spans="2:10" s="147" customFormat="1" ht="16.5" customHeight="1">
      <c r="B277" s="251">
        <v>271</v>
      </c>
      <c r="C277" s="489" t="s">
        <v>382</v>
      </c>
      <c r="D277" s="489" t="s">
        <v>545</v>
      </c>
      <c r="E277" s="489" t="s">
        <v>205</v>
      </c>
      <c r="F277" s="489" t="s">
        <v>167</v>
      </c>
      <c r="G277" s="490">
        <v>6</v>
      </c>
      <c r="H277" s="490">
        <v>600000</v>
      </c>
      <c r="I277" s="252">
        <f t="shared" si="4"/>
        <v>112500</v>
      </c>
      <c r="J277" s="219"/>
    </row>
    <row r="278" spans="2:10" s="147" customFormat="1" ht="16.5" customHeight="1">
      <c r="B278" s="251">
        <v>272</v>
      </c>
      <c r="C278" s="489" t="s">
        <v>382</v>
      </c>
      <c r="D278" s="489" t="s">
        <v>546</v>
      </c>
      <c r="E278" s="489" t="s">
        <v>200</v>
      </c>
      <c r="F278" s="489" t="s">
        <v>167</v>
      </c>
      <c r="G278" s="490">
        <v>4</v>
      </c>
      <c r="H278" s="490">
        <v>400000</v>
      </c>
      <c r="I278" s="252">
        <f t="shared" si="4"/>
        <v>75000</v>
      </c>
      <c r="J278" s="219"/>
    </row>
    <row r="279" spans="2:10" s="147" customFormat="1" ht="16.5" customHeight="1">
      <c r="B279" s="251">
        <v>273</v>
      </c>
      <c r="C279" s="489" t="s">
        <v>382</v>
      </c>
      <c r="D279" s="489" t="s">
        <v>547</v>
      </c>
      <c r="E279" s="489" t="s">
        <v>192</v>
      </c>
      <c r="F279" s="489" t="s">
        <v>175</v>
      </c>
      <c r="G279" s="490">
        <v>5</v>
      </c>
      <c r="H279" s="490">
        <v>500000</v>
      </c>
      <c r="I279" s="252">
        <f t="shared" si="4"/>
        <v>93750</v>
      </c>
      <c r="J279" s="219"/>
    </row>
    <row r="280" spans="2:10" s="147" customFormat="1" ht="16.5" customHeight="1">
      <c r="B280" s="251">
        <v>274</v>
      </c>
      <c r="C280" s="489" t="s">
        <v>382</v>
      </c>
      <c r="D280" s="489" t="s">
        <v>502</v>
      </c>
      <c r="E280" s="489" t="s">
        <v>142</v>
      </c>
      <c r="F280" s="489" t="s">
        <v>171</v>
      </c>
      <c r="G280" s="490">
        <v>1</v>
      </c>
      <c r="H280" s="490">
        <v>100000</v>
      </c>
      <c r="I280" s="252">
        <f t="shared" si="4"/>
        <v>18750</v>
      </c>
      <c r="J280" s="219"/>
    </row>
    <row r="281" spans="2:10" s="147" customFormat="1" ht="16.5" customHeight="1">
      <c r="B281" s="251">
        <v>275</v>
      </c>
      <c r="C281" s="489" t="s">
        <v>382</v>
      </c>
      <c r="D281" s="489" t="s">
        <v>548</v>
      </c>
      <c r="E281" s="489" t="s">
        <v>234</v>
      </c>
      <c r="F281" s="489" t="s">
        <v>167</v>
      </c>
      <c r="G281" s="490">
        <v>5</v>
      </c>
      <c r="H281" s="490">
        <v>500000</v>
      </c>
      <c r="I281" s="252">
        <f t="shared" si="4"/>
        <v>93750</v>
      </c>
      <c r="J281" s="219"/>
    </row>
    <row r="282" spans="2:10" s="147" customFormat="1" ht="16.5" customHeight="1">
      <c r="B282" s="251">
        <v>276</v>
      </c>
      <c r="C282" s="489" t="s">
        <v>382</v>
      </c>
      <c r="D282" s="489" t="s">
        <v>547</v>
      </c>
      <c r="E282" s="489" t="s">
        <v>192</v>
      </c>
      <c r="F282" s="489" t="s">
        <v>167</v>
      </c>
      <c r="G282" s="490">
        <v>5</v>
      </c>
      <c r="H282" s="490">
        <v>500000</v>
      </c>
      <c r="I282" s="252">
        <f t="shared" si="4"/>
        <v>93750</v>
      </c>
      <c r="J282" s="219"/>
    </row>
    <row r="283" spans="2:10" s="147" customFormat="1" ht="16.5" customHeight="1">
      <c r="B283" s="251">
        <v>277</v>
      </c>
      <c r="C283" s="489" t="s">
        <v>382</v>
      </c>
      <c r="D283" s="489" t="s">
        <v>433</v>
      </c>
      <c r="E283" s="489" t="s">
        <v>203</v>
      </c>
      <c r="F283" s="489" t="s">
        <v>169</v>
      </c>
      <c r="G283" s="490">
        <v>9</v>
      </c>
      <c r="H283" s="490">
        <v>900000</v>
      </c>
      <c r="I283" s="252">
        <f t="shared" si="4"/>
        <v>168750</v>
      </c>
      <c r="J283" s="219"/>
    </row>
    <row r="284" spans="2:10" s="147" customFormat="1" ht="16.5" customHeight="1">
      <c r="B284" s="251">
        <v>278</v>
      </c>
      <c r="C284" s="489" t="s">
        <v>382</v>
      </c>
      <c r="D284" s="489" t="s">
        <v>544</v>
      </c>
      <c r="E284" s="489" t="s">
        <v>166</v>
      </c>
      <c r="F284" s="489" t="s">
        <v>167</v>
      </c>
      <c r="G284" s="490">
        <v>5</v>
      </c>
      <c r="H284" s="490">
        <v>500000</v>
      </c>
      <c r="I284" s="252">
        <f t="shared" si="4"/>
        <v>93750</v>
      </c>
      <c r="J284" s="219"/>
    </row>
    <row r="285" spans="2:10" s="147" customFormat="1" ht="16.5" customHeight="1">
      <c r="B285" s="251">
        <v>279</v>
      </c>
      <c r="C285" s="489" t="s">
        <v>382</v>
      </c>
      <c r="D285" s="489" t="s">
        <v>433</v>
      </c>
      <c r="E285" s="489" t="s">
        <v>203</v>
      </c>
      <c r="F285" s="489" t="s">
        <v>207</v>
      </c>
      <c r="G285" s="490">
        <v>1</v>
      </c>
      <c r="H285" s="490">
        <v>101800</v>
      </c>
      <c r="I285" s="252">
        <f t="shared" si="4"/>
        <v>19087.5</v>
      </c>
      <c r="J285" s="219"/>
    </row>
    <row r="286" spans="2:10" s="147" customFormat="1" ht="16.5" customHeight="1">
      <c r="B286" s="251">
        <v>280</v>
      </c>
      <c r="C286" s="489" t="s">
        <v>382</v>
      </c>
      <c r="D286" s="489" t="s">
        <v>543</v>
      </c>
      <c r="E286" s="489" t="s">
        <v>239</v>
      </c>
      <c r="F286" s="489" t="s">
        <v>167</v>
      </c>
      <c r="G286" s="490">
        <v>7</v>
      </c>
      <c r="H286" s="490">
        <v>700000</v>
      </c>
      <c r="I286" s="252">
        <f t="shared" si="4"/>
        <v>131250</v>
      </c>
      <c r="J286" s="219"/>
    </row>
    <row r="287" spans="2:10" s="147" customFormat="1" ht="16.5" customHeight="1">
      <c r="B287" s="251">
        <v>281</v>
      </c>
      <c r="C287" s="489" t="s">
        <v>382</v>
      </c>
      <c r="D287" s="489" t="s">
        <v>433</v>
      </c>
      <c r="E287" s="489" t="s">
        <v>203</v>
      </c>
      <c r="F287" s="489" t="s">
        <v>167</v>
      </c>
      <c r="G287" s="490">
        <v>15</v>
      </c>
      <c r="H287" s="490">
        <v>1500000</v>
      </c>
      <c r="I287" s="252">
        <f t="shared" si="4"/>
        <v>281250</v>
      </c>
      <c r="J287" s="219"/>
    </row>
    <row r="288" spans="2:10" s="147" customFormat="1" ht="16.5" customHeight="1">
      <c r="B288" s="251">
        <v>282</v>
      </c>
      <c r="C288" s="489" t="s">
        <v>382</v>
      </c>
      <c r="D288" s="489" t="s">
        <v>549</v>
      </c>
      <c r="E288" s="489" t="s">
        <v>230</v>
      </c>
      <c r="F288" s="489" t="s">
        <v>167</v>
      </c>
      <c r="G288" s="490">
        <v>2</v>
      </c>
      <c r="H288" s="490">
        <v>200000</v>
      </c>
      <c r="I288" s="252">
        <f t="shared" si="4"/>
        <v>37500</v>
      </c>
      <c r="J288" s="219"/>
    </row>
    <row r="289" spans="2:10" s="147" customFormat="1" ht="16.5" customHeight="1">
      <c r="B289" s="251">
        <v>283</v>
      </c>
      <c r="C289" s="489" t="s">
        <v>382</v>
      </c>
      <c r="D289" s="489" t="s">
        <v>550</v>
      </c>
      <c r="E289" s="489" t="s">
        <v>230</v>
      </c>
      <c r="F289" s="489" t="s">
        <v>178</v>
      </c>
      <c r="G289" s="490">
        <v>1</v>
      </c>
      <c r="H289" s="490">
        <v>200000</v>
      </c>
      <c r="I289" s="252">
        <f t="shared" si="4"/>
        <v>37500</v>
      </c>
      <c r="J289" s="219"/>
    </row>
    <row r="290" spans="2:10" s="147" customFormat="1" ht="16.5" customHeight="1">
      <c r="B290" s="251">
        <v>284</v>
      </c>
      <c r="C290" s="489" t="s">
        <v>406</v>
      </c>
      <c r="D290" s="489" t="s">
        <v>551</v>
      </c>
      <c r="E290" s="489" t="s">
        <v>133</v>
      </c>
      <c r="F290" s="489" t="s">
        <v>167</v>
      </c>
      <c r="G290" s="490">
        <v>1</v>
      </c>
      <c r="H290" s="490">
        <v>100000</v>
      </c>
      <c r="I290" s="252">
        <f t="shared" si="4"/>
        <v>18750</v>
      </c>
      <c r="J290" s="219"/>
    </row>
    <row r="291" spans="2:10" s="147" customFormat="1" ht="16.5" customHeight="1">
      <c r="B291" s="251">
        <v>285</v>
      </c>
      <c r="C291" s="489" t="s">
        <v>406</v>
      </c>
      <c r="D291" s="489" t="s">
        <v>552</v>
      </c>
      <c r="E291" s="489" t="s">
        <v>476</v>
      </c>
      <c r="F291" s="489" t="s">
        <v>175</v>
      </c>
      <c r="G291" s="490">
        <v>3</v>
      </c>
      <c r="H291" s="490">
        <v>300000</v>
      </c>
      <c r="I291" s="252">
        <f t="shared" si="4"/>
        <v>56250</v>
      </c>
      <c r="J291" s="219"/>
    </row>
    <row r="292" spans="2:10" s="147" customFormat="1" ht="16.5" customHeight="1">
      <c r="B292" s="251">
        <v>286</v>
      </c>
      <c r="C292" s="489" t="s">
        <v>406</v>
      </c>
      <c r="D292" s="489" t="s">
        <v>553</v>
      </c>
      <c r="E292" s="489" t="s">
        <v>135</v>
      </c>
      <c r="F292" s="489" t="s">
        <v>167</v>
      </c>
      <c r="G292" s="490">
        <v>1</v>
      </c>
      <c r="H292" s="490">
        <v>100000</v>
      </c>
      <c r="I292" s="252">
        <f t="shared" si="4"/>
        <v>18750</v>
      </c>
      <c r="J292" s="219"/>
    </row>
    <row r="293" spans="2:10" s="147" customFormat="1" ht="16.5" customHeight="1">
      <c r="B293" s="251">
        <v>287</v>
      </c>
      <c r="C293" s="489" t="s">
        <v>406</v>
      </c>
      <c r="D293" s="489" t="s">
        <v>436</v>
      </c>
      <c r="E293" s="489" t="s">
        <v>226</v>
      </c>
      <c r="F293" s="489" t="s">
        <v>167</v>
      </c>
      <c r="G293" s="490">
        <v>11</v>
      </c>
      <c r="H293" s="490">
        <v>1100000</v>
      </c>
      <c r="I293" s="252">
        <f t="shared" si="4"/>
        <v>206250</v>
      </c>
      <c r="J293" s="219"/>
    </row>
    <row r="294" spans="2:10" s="147" customFormat="1" ht="16.5" customHeight="1">
      <c r="B294" s="251">
        <v>288</v>
      </c>
      <c r="C294" s="489" t="s">
        <v>406</v>
      </c>
      <c r="D294" s="489" t="s">
        <v>551</v>
      </c>
      <c r="E294" s="489" t="s">
        <v>133</v>
      </c>
      <c r="F294" s="489" t="s">
        <v>216</v>
      </c>
      <c r="G294" s="490">
        <v>1</v>
      </c>
      <c r="H294" s="490">
        <v>500000</v>
      </c>
      <c r="I294" s="252">
        <f t="shared" si="4"/>
        <v>93750</v>
      </c>
      <c r="J294" s="219"/>
    </row>
    <row r="295" spans="2:10" s="147" customFormat="1" ht="16.5" customHeight="1">
      <c r="B295" s="251">
        <v>289</v>
      </c>
      <c r="C295" s="489" t="s">
        <v>406</v>
      </c>
      <c r="D295" s="489" t="s">
        <v>435</v>
      </c>
      <c r="E295" s="489" t="s">
        <v>211</v>
      </c>
      <c r="F295" s="489" t="s">
        <v>175</v>
      </c>
      <c r="G295" s="490">
        <v>5</v>
      </c>
      <c r="H295" s="490">
        <v>500000</v>
      </c>
      <c r="I295" s="252">
        <f t="shared" ref="I295:I347" si="5">H295*25%*75%</f>
        <v>93750</v>
      </c>
      <c r="J295" s="219"/>
    </row>
    <row r="296" spans="2:10" s="147" customFormat="1" ht="16.5" customHeight="1">
      <c r="B296" s="251">
        <v>290</v>
      </c>
      <c r="C296" s="489" t="s">
        <v>406</v>
      </c>
      <c r="D296" s="489" t="s">
        <v>435</v>
      </c>
      <c r="E296" s="489" t="s">
        <v>211</v>
      </c>
      <c r="F296" s="489" t="s">
        <v>167</v>
      </c>
      <c r="G296" s="490">
        <v>8</v>
      </c>
      <c r="H296" s="490">
        <v>800000</v>
      </c>
      <c r="I296" s="252">
        <f t="shared" si="5"/>
        <v>150000</v>
      </c>
      <c r="J296" s="219"/>
    </row>
    <row r="297" spans="2:10" s="147" customFormat="1" ht="16.5" customHeight="1">
      <c r="B297" s="251">
        <v>291</v>
      </c>
      <c r="C297" s="489" t="s">
        <v>406</v>
      </c>
      <c r="D297" s="489" t="s">
        <v>267</v>
      </c>
      <c r="E297" s="489" t="s">
        <v>230</v>
      </c>
      <c r="F297" s="489" t="s">
        <v>171</v>
      </c>
      <c r="G297" s="490">
        <v>1</v>
      </c>
      <c r="H297" s="490">
        <v>100000</v>
      </c>
      <c r="I297" s="252">
        <f t="shared" si="5"/>
        <v>18750</v>
      </c>
      <c r="J297" s="219"/>
    </row>
    <row r="298" spans="2:10" s="147" customFormat="1" ht="16.5" customHeight="1">
      <c r="B298" s="251">
        <v>292</v>
      </c>
      <c r="C298" s="489" t="s">
        <v>406</v>
      </c>
      <c r="D298" s="489" t="s">
        <v>554</v>
      </c>
      <c r="E298" s="489" t="s">
        <v>239</v>
      </c>
      <c r="F298" s="489" t="s">
        <v>175</v>
      </c>
      <c r="G298" s="490">
        <v>1</v>
      </c>
      <c r="H298" s="490">
        <v>100000</v>
      </c>
      <c r="I298" s="252">
        <f t="shared" si="5"/>
        <v>18750</v>
      </c>
      <c r="J298" s="219"/>
    </row>
    <row r="299" spans="2:10" s="147" customFormat="1" ht="16.5" customHeight="1">
      <c r="B299" s="251">
        <v>293</v>
      </c>
      <c r="C299" s="489" t="s">
        <v>406</v>
      </c>
      <c r="D299" s="489" t="s">
        <v>436</v>
      </c>
      <c r="E299" s="489" t="s">
        <v>226</v>
      </c>
      <c r="F299" s="489" t="s">
        <v>175</v>
      </c>
      <c r="G299" s="490">
        <v>1</v>
      </c>
      <c r="H299" s="490">
        <v>100000</v>
      </c>
      <c r="I299" s="252">
        <f t="shared" si="5"/>
        <v>18750</v>
      </c>
      <c r="J299" s="219"/>
    </row>
    <row r="300" spans="2:10" s="147" customFormat="1" ht="16.5" customHeight="1">
      <c r="B300" s="251">
        <v>294</v>
      </c>
      <c r="C300" s="489" t="s">
        <v>406</v>
      </c>
      <c r="D300" s="489" t="s">
        <v>555</v>
      </c>
      <c r="E300" s="489" t="s">
        <v>195</v>
      </c>
      <c r="F300" s="489" t="s">
        <v>169</v>
      </c>
      <c r="G300" s="490">
        <v>3</v>
      </c>
      <c r="H300" s="490">
        <v>300000</v>
      </c>
      <c r="I300" s="252">
        <f t="shared" si="5"/>
        <v>56250</v>
      </c>
      <c r="J300" s="219"/>
    </row>
    <row r="301" spans="2:10" s="147" customFormat="1" ht="16.5" customHeight="1">
      <c r="B301" s="251">
        <v>295</v>
      </c>
      <c r="C301" s="489" t="s">
        <v>406</v>
      </c>
      <c r="D301" s="489" t="s">
        <v>556</v>
      </c>
      <c r="E301" s="489" t="s">
        <v>181</v>
      </c>
      <c r="F301" s="489" t="s">
        <v>167</v>
      </c>
      <c r="G301" s="490">
        <v>1</v>
      </c>
      <c r="H301" s="490">
        <v>100000</v>
      </c>
      <c r="I301" s="252">
        <f t="shared" si="5"/>
        <v>18750</v>
      </c>
      <c r="J301" s="219"/>
    </row>
    <row r="302" spans="2:10" s="147" customFormat="1" ht="16.5" customHeight="1">
      <c r="B302" s="251">
        <v>296</v>
      </c>
      <c r="C302" s="489" t="s">
        <v>406</v>
      </c>
      <c r="D302" s="489" t="s">
        <v>557</v>
      </c>
      <c r="E302" s="489" t="s">
        <v>193</v>
      </c>
      <c r="F302" s="489" t="s">
        <v>175</v>
      </c>
      <c r="G302" s="490">
        <v>4</v>
      </c>
      <c r="H302" s="490">
        <v>400000</v>
      </c>
      <c r="I302" s="252">
        <f t="shared" si="5"/>
        <v>75000</v>
      </c>
      <c r="J302" s="219"/>
    </row>
    <row r="303" spans="2:10" s="147" customFormat="1" ht="16.5" customHeight="1">
      <c r="B303" s="251">
        <v>297</v>
      </c>
      <c r="C303" s="489" t="s">
        <v>406</v>
      </c>
      <c r="D303" s="489" t="s">
        <v>558</v>
      </c>
      <c r="E303" s="489" t="s">
        <v>186</v>
      </c>
      <c r="F303" s="489" t="s">
        <v>167</v>
      </c>
      <c r="G303" s="490">
        <v>7</v>
      </c>
      <c r="H303" s="490">
        <v>700000</v>
      </c>
      <c r="I303" s="252">
        <f t="shared" si="5"/>
        <v>131250</v>
      </c>
      <c r="J303" s="219"/>
    </row>
    <row r="304" spans="2:10" s="147" customFormat="1" ht="16.5" customHeight="1">
      <c r="B304" s="251">
        <v>298</v>
      </c>
      <c r="C304" s="489" t="s">
        <v>406</v>
      </c>
      <c r="D304" s="489" t="s">
        <v>437</v>
      </c>
      <c r="E304" s="489" t="s">
        <v>213</v>
      </c>
      <c r="F304" s="489" t="s">
        <v>175</v>
      </c>
      <c r="G304" s="490">
        <v>12</v>
      </c>
      <c r="H304" s="490">
        <v>1200000</v>
      </c>
      <c r="I304" s="252">
        <f t="shared" si="5"/>
        <v>225000</v>
      </c>
      <c r="J304" s="219"/>
    </row>
    <row r="305" spans="2:10" s="147" customFormat="1" ht="16.5" customHeight="1">
      <c r="B305" s="251">
        <v>299</v>
      </c>
      <c r="C305" s="489" t="s">
        <v>406</v>
      </c>
      <c r="D305" s="489" t="s">
        <v>553</v>
      </c>
      <c r="E305" s="489" t="s">
        <v>135</v>
      </c>
      <c r="F305" s="489" t="s">
        <v>175</v>
      </c>
      <c r="G305" s="490">
        <v>2</v>
      </c>
      <c r="H305" s="490">
        <v>200000</v>
      </c>
      <c r="I305" s="252">
        <f t="shared" si="5"/>
        <v>37500</v>
      </c>
      <c r="J305" s="219"/>
    </row>
    <row r="306" spans="2:10" s="147" customFormat="1" ht="16.5" customHeight="1">
      <c r="B306" s="251">
        <v>300</v>
      </c>
      <c r="C306" s="489" t="s">
        <v>406</v>
      </c>
      <c r="D306" s="489" t="s">
        <v>434</v>
      </c>
      <c r="E306" s="489" t="s">
        <v>186</v>
      </c>
      <c r="F306" s="489" t="s">
        <v>219</v>
      </c>
      <c r="G306" s="490">
        <v>1</v>
      </c>
      <c r="H306" s="490">
        <v>300000</v>
      </c>
      <c r="I306" s="252">
        <f t="shared" si="5"/>
        <v>56250</v>
      </c>
      <c r="J306" s="219"/>
    </row>
    <row r="307" spans="2:10" s="147" customFormat="1" ht="16.5" customHeight="1">
      <c r="B307" s="251">
        <v>301</v>
      </c>
      <c r="C307" s="489" t="s">
        <v>406</v>
      </c>
      <c r="D307" s="489" t="s">
        <v>437</v>
      </c>
      <c r="E307" s="489" t="s">
        <v>213</v>
      </c>
      <c r="F307" s="489" t="s">
        <v>167</v>
      </c>
      <c r="G307" s="490">
        <v>9</v>
      </c>
      <c r="H307" s="490">
        <v>900000</v>
      </c>
      <c r="I307" s="252">
        <f t="shared" si="5"/>
        <v>168750</v>
      </c>
      <c r="J307" s="219"/>
    </row>
    <row r="308" spans="2:10" s="147" customFormat="1" ht="16.5" customHeight="1">
      <c r="B308" s="251">
        <v>302</v>
      </c>
      <c r="C308" s="489" t="s">
        <v>406</v>
      </c>
      <c r="D308" s="489" t="s">
        <v>556</v>
      </c>
      <c r="E308" s="489" t="s">
        <v>181</v>
      </c>
      <c r="F308" s="489" t="s">
        <v>197</v>
      </c>
      <c r="G308" s="490">
        <v>1</v>
      </c>
      <c r="H308" s="490">
        <v>400000</v>
      </c>
      <c r="I308" s="252">
        <f t="shared" si="5"/>
        <v>75000</v>
      </c>
      <c r="J308" s="219"/>
    </row>
    <row r="309" spans="2:10" s="147" customFormat="1" ht="16.5" customHeight="1">
      <c r="B309" s="251">
        <v>303</v>
      </c>
      <c r="C309" s="489" t="s">
        <v>406</v>
      </c>
      <c r="D309" s="489" t="s">
        <v>555</v>
      </c>
      <c r="E309" s="489" t="s">
        <v>195</v>
      </c>
      <c r="F309" s="489" t="s">
        <v>167</v>
      </c>
      <c r="G309" s="490">
        <v>3</v>
      </c>
      <c r="H309" s="490">
        <v>300000</v>
      </c>
      <c r="I309" s="252">
        <f t="shared" si="5"/>
        <v>56250</v>
      </c>
      <c r="J309" s="219"/>
    </row>
    <row r="310" spans="2:10" s="147" customFormat="1" ht="16.5" customHeight="1">
      <c r="B310" s="251">
        <v>304</v>
      </c>
      <c r="C310" s="489" t="s">
        <v>406</v>
      </c>
      <c r="D310" s="489" t="s">
        <v>554</v>
      </c>
      <c r="E310" s="489" t="s">
        <v>239</v>
      </c>
      <c r="F310" s="489" t="s">
        <v>178</v>
      </c>
      <c r="G310" s="490">
        <v>1</v>
      </c>
      <c r="H310" s="490">
        <v>200000</v>
      </c>
      <c r="I310" s="252">
        <f t="shared" si="5"/>
        <v>37500</v>
      </c>
      <c r="J310" s="219"/>
    </row>
    <row r="311" spans="2:10" s="147" customFormat="1" ht="16.5" customHeight="1">
      <c r="B311" s="251">
        <v>305</v>
      </c>
      <c r="C311" s="489" t="s">
        <v>406</v>
      </c>
      <c r="D311" s="489" t="s">
        <v>557</v>
      </c>
      <c r="E311" s="489" t="s">
        <v>193</v>
      </c>
      <c r="F311" s="489" t="s">
        <v>167</v>
      </c>
      <c r="G311" s="490">
        <v>5</v>
      </c>
      <c r="H311" s="490">
        <v>500000</v>
      </c>
      <c r="I311" s="252">
        <f t="shared" si="5"/>
        <v>93750</v>
      </c>
      <c r="J311" s="219"/>
    </row>
    <row r="312" spans="2:10" s="147" customFormat="1" ht="16.5" customHeight="1">
      <c r="B312" s="251">
        <v>306</v>
      </c>
      <c r="C312" s="489" t="s">
        <v>406</v>
      </c>
      <c r="D312" s="489" t="s">
        <v>283</v>
      </c>
      <c r="E312" s="489" t="s">
        <v>205</v>
      </c>
      <c r="F312" s="489" t="s">
        <v>209</v>
      </c>
      <c r="G312" s="490">
        <v>1</v>
      </c>
      <c r="H312" s="490">
        <v>200000</v>
      </c>
      <c r="I312" s="252">
        <f t="shared" si="5"/>
        <v>37500</v>
      </c>
      <c r="J312" s="219"/>
    </row>
    <row r="313" spans="2:10" s="147" customFormat="1" ht="16.5" customHeight="1">
      <c r="B313" s="251">
        <v>307</v>
      </c>
      <c r="C313" s="489" t="s">
        <v>406</v>
      </c>
      <c r="D313" s="489" t="s">
        <v>552</v>
      </c>
      <c r="E313" s="489" t="s">
        <v>476</v>
      </c>
      <c r="F313" s="489" t="s">
        <v>167</v>
      </c>
      <c r="G313" s="490">
        <v>3</v>
      </c>
      <c r="H313" s="490">
        <v>300000</v>
      </c>
      <c r="I313" s="252">
        <f t="shared" si="5"/>
        <v>56250</v>
      </c>
      <c r="J313" s="219"/>
    </row>
    <row r="314" spans="2:10" s="147" customFormat="1" ht="16.5" customHeight="1">
      <c r="B314" s="251">
        <v>308</v>
      </c>
      <c r="C314" s="489" t="s">
        <v>406</v>
      </c>
      <c r="D314" s="489" t="s">
        <v>558</v>
      </c>
      <c r="E314" s="489" t="s">
        <v>186</v>
      </c>
      <c r="F314" s="489" t="s">
        <v>169</v>
      </c>
      <c r="G314" s="490">
        <v>4</v>
      </c>
      <c r="H314" s="490">
        <v>400000</v>
      </c>
      <c r="I314" s="252">
        <f t="shared" si="5"/>
        <v>75000</v>
      </c>
      <c r="J314" s="219"/>
    </row>
    <row r="315" spans="2:10" s="147" customFormat="1" ht="16.5" customHeight="1">
      <c r="B315" s="251">
        <v>309</v>
      </c>
      <c r="C315" s="489" t="s">
        <v>406</v>
      </c>
      <c r="D315" s="489" t="s">
        <v>559</v>
      </c>
      <c r="E315" s="489" t="s">
        <v>194</v>
      </c>
      <c r="F315" s="489" t="s">
        <v>216</v>
      </c>
      <c r="G315" s="490">
        <v>1</v>
      </c>
      <c r="H315" s="490">
        <v>500000</v>
      </c>
      <c r="I315" s="252">
        <f t="shared" si="5"/>
        <v>93750</v>
      </c>
      <c r="J315" s="219"/>
    </row>
    <row r="316" spans="2:10" s="147" customFormat="1" ht="16.5" customHeight="1">
      <c r="B316" s="251">
        <v>310</v>
      </c>
      <c r="C316" s="489" t="s">
        <v>406</v>
      </c>
      <c r="D316" s="489" t="s">
        <v>551</v>
      </c>
      <c r="E316" s="489" t="s">
        <v>133</v>
      </c>
      <c r="F316" s="489" t="s">
        <v>216</v>
      </c>
      <c r="G316" s="490">
        <v>2</v>
      </c>
      <c r="H316" s="490">
        <v>745400</v>
      </c>
      <c r="I316" s="252">
        <f t="shared" si="5"/>
        <v>139762.5</v>
      </c>
      <c r="J316" s="219"/>
    </row>
    <row r="317" spans="2:10" s="147" customFormat="1" ht="16.5" customHeight="1">
      <c r="B317" s="251">
        <v>311</v>
      </c>
      <c r="C317" s="489" t="s">
        <v>560</v>
      </c>
      <c r="D317" s="489" t="s">
        <v>561</v>
      </c>
      <c r="E317" s="489" t="s">
        <v>237</v>
      </c>
      <c r="F317" s="489" t="s">
        <v>216</v>
      </c>
      <c r="G317" s="490">
        <v>1</v>
      </c>
      <c r="H317" s="490">
        <v>500000</v>
      </c>
      <c r="I317" s="252">
        <f t="shared" si="5"/>
        <v>93750</v>
      </c>
      <c r="J317" s="219"/>
    </row>
    <row r="318" spans="2:10" s="147" customFormat="1" ht="16.5" customHeight="1">
      <c r="B318" s="251">
        <v>312</v>
      </c>
      <c r="C318" s="489" t="s">
        <v>562</v>
      </c>
      <c r="D318" s="489" t="s">
        <v>563</v>
      </c>
      <c r="E318" s="489" t="s">
        <v>182</v>
      </c>
      <c r="F318" s="489" t="s">
        <v>564</v>
      </c>
      <c r="G318" s="490">
        <v>1</v>
      </c>
      <c r="H318" s="490">
        <v>434600</v>
      </c>
      <c r="I318" s="252">
        <f t="shared" si="5"/>
        <v>81487.5</v>
      </c>
      <c r="J318" s="219"/>
    </row>
    <row r="319" spans="2:10" s="147" customFormat="1" ht="16.5" customHeight="1">
      <c r="B319" s="251">
        <v>313</v>
      </c>
      <c r="C319" s="489" t="s">
        <v>388</v>
      </c>
      <c r="D319" s="489" t="s">
        <v>565</v>
      </c>
      <c r="E319" s="489" t="s">
        <v>199</v>
      </c>
      <c r="F319" s="489" t="s">
        <v>175</v>
      </c>
      <c r="G319" s="490">
        <v>3</v>
      </c>
      <c r="H319" s="490">
        <v>300000</v>
      </c>
      <c r="I319" s="252">
        <f t="shared" si="5"/>
        <v>56250</v>
      </c>
      <c r="J319" s="219"/>
    </row>
    <row r="320" spans="2:10" s="147" customFormat="1" ht="16.5" customHeight="1">
      <c r="B320" s="251">
        <v>314</v>
      </c>
      <c r="C320" s="489" t="s">
        <v>388</v>
      </c>
      <c r="D320" s="489" t="s">
        <v>566</v>
      </c>
      <c r="E320" s="489" t="s">
        <v>170</v>
      </c>
      <c r="F320" s="489" t="s">
        <v>167</v>
      </c>
      <c r="G320" s="490">
        <v>4</v>
      </c>
      <c r="H320" s="490">
        <v>400000</v>
      </c>
      <c r="I320" s="252">
        <f t="shared" si="5"/>
        <v>75000</v>
      </c>
      <c r="J320" s="219"/>
    </row>
    <row r="321" spans="2:10" s="147" customFormat="1" ht="16.5" customHeight="1">
      <c r="B321" s="251">
        <v>315</v>
      </c>
      <c r="C321" s="489" t="s">
        <v>388</v>
      </c>
      <c r="D321" s="489" t="s">
        <v>567</v>
      </c>
      <c r="E321" s="489" t="s">
        <v>220</v>
      </c>
      <c r="F321" s="489" t="s">
        <v>167</v>
      </c>
      <c r="G321" s="490">
        <v>4</v>
      </c>
      <c r="H321" s="490">
        <v>400000</v>
      </c>
      <c r="I321" s="252">
        <f t="shared" si="5"/>
        <v>75000</v>
      </c>
      <c r="J321" s="219"/>
    </row>
    <row r="322" spans="2:10" s="147" customFormat="1" ht="16.5" customHeight="1">
      <c r="B322" s="251">
        <v>316</v>
      </c>
      <c r="C322" s="489" t="s">
        <v>388</v>
      </c>
      <c r="D322" s="489" t="s">
        <v>439</v>
      </c>
      <c r="E322" s="489" t="s">
        <v>179</v>
      </c>
      <c r="F322" s="489" t="s">
        <v>175</v>
      </c>
      <c r="G322" s="490">
        <v>4</v>
      </c>
      <c r="H322" s="490">
        <v>400000</v>
      </c>
      <c r="I322" s="252">
        <f t="shared" si="5"/>
        <v>75000</v>
      </c>
      <c r="J322" s="219"/>
    </row>
    <row r="323" spans="2:10" s="147" customFormat="1" ht="16.5" customHeight="1">
      <c r="B323" s="251">
        <v>317</v>
      </c>
      <c r="C323" s="489" t="s">
        <v>388</v>
      </c>
      <c r="D323" s="489" t="s">
        <v>438</v>
      </c>
      <c r="E323" s="489" t="s">
        <v>202</v>
      </c>
      <c r="F323" s="489" t="s">
        <v>167</v>
      </c>
      <c r="G323" s="490">
        <v>2</v>
      </c>
      <c r="H323" s="490">
        <v>200000</v>
      </c>
      <c r="I323" s="252">
        <f t="shared" si="5"/>
        <v>37500</v>
      </c>
      <c r="J323" s="219"/>
    </row>
    <row r="324" spans="2:10" s="147" customFormat="1" ht="16.5" customHeight="1">
      <c r="B324" s="251">
        <v>318</v>
      </c>
      <c r="C324" s="489" t="s">
        <v>388</v>
      </c>
      <c r="D324" s="489" t="s">
        <v>277</v>
      </c>
      <c r="E324" s="489" t="s">
        <v>212</v>
      </c>
      <c r="F324" s="489" t="s">
        <v>169</v>
      </c>
      <c r="G324" s="490">
        <v>1</v>
      </c>
      <c r="H324" s="490">
        <v>100000</v>
      </c>
      <c r="I324" s="252">
        <f t="shared" si="5"/>
        <v>18750</v>
      </c>
      <c r="J324" s="219"/>
    </row>
    <row r="325" spans="2:10" s="147" customFormat="1" ht="16.5" customHeight="1">
      <c r="B325" s="251">
        <v>319</v>
      </c>
      <c r="C325" s="489" t="s">
        <v>388</v>
      </c>
      <c r="D325" s="489" t="s">
        <v>400</v>
      </c>
      <c r="E325" s="489" t="s">
        <v>198</v>
      </c>
      <c r="F325" s="489" t="s">
        <v>169</v>
      </c>
      <c r="G325" s="490">
        <v>1</v>
      </c>
      <c r="H325" s="490">
        <v>100000</v>
      </c>
      <c r="I325" s="252">
        <f t="shared" si="5"/>
        <v>18750</v>
      </c>
      <c r="J325" s="219"/>
    </row>
    <row r="326" spans="2:10" s="147" customFormat="1" ht="16.5" customHeight="1">
      <c r="B326" s="251">
        <v>320</v>
      </c>
      <c r="C326" s="489" t="s">
        <v>388</v>
      </c>
      <c r="D326" s="489" t="s">
        <v>568</v>
      </c>
      <c r="E326" s="489" t="s">
        <v>194</v>
      </c>
      <c r="F326" s="489" t="s">
        <v>167</v>
      </c>
      <c r="G326" s="490">
        <v>3</v>
      </c>
      <c r="H326" s="490">
        <v>300000</v>
      </c>
      <c r="I326" s="252">
        <f t="shared" si="5"/>
        <v>56250</v>
      </c>
      <c r="J326" s="219"/>
    </row>
    <row r="327" spans="2:10" s="147" customFormat="1" ht="16.5" customHeight="1">
      <c r="B327" s="251">
        <v>321</v>
      </c>
      <c r="C327" s="489" t="s">
        <v>388</v>
      </c>
      <c r="D327" s="489" t="s">
        <v>401</v>
      </c>
      <c r="E327" s="489" t="s">
        <v>232</v>
      </c>
      <c r="F327" s="489" t="s">
        <v>169</v>
      </c>
      <c r="G327" s="490">
        <v>1</v>
      </c>
      <c r="H327" s="490">
        <v>100000</v>
      </c>
      <c r="I327" s="252">
        <f t="shared" si="5"/>
        <v>18750</v>
      </c>
      <c r="J327" s="219"/>
    </row>
    <row r="328" spans="2:10" s="147" customFormat="1" ht="16.5" customHeight="1">
      <c r="B328" s="251">
        <v>322</v>
      </c>
      <c r="C328" s="489" t="s">
        <v>388</v>
      </c>
      <c r="D328" s="489" t="s">
        <v>566</v>
      </c>
      <c r="E328" s="489" t="s">
        <v>170</v>
      </c>
      <c r="F328" s="489" t="s">
        <v>175</v>
      </c>
      <c r="G328" s="490">
        <v>6</v>
      </c>
      <c r="H328" s="490">
        <v>600000</v>
      </c>
      <c r="I328" s="252">
        <f t="shared" si="5"/>
        <v>112500</v>
      </c>
      <c r="J328" s="219"/>
    </row>
    <row r="329" spans="2:10" s="147" customFormat="1" ht="16.5" customHeight="1">
      <c r="B329" s="251">
        <v>323</v>
      </c>
      <c r="C329" s="489" t="s">
        <v>388</v>
      </c>
      <c r="D329" s="489" t="s">
        <v>569</v>
      </c>
      <c r="E329" s="489" t="s">
        <v>213</v>
      </c>
      <c r="F329" s="489" t="s">
        <v>167</v>
      </c>
      <c r="G329" s="490">
        <v>3</v>
      </c>
      <c r="H329" s="490">
        <v>300000</v>
      </c>
      <c r="I329" s="252">
        <f t="shared" si="5"/>
        <v>56250</v>
      </c>
      <c r="J329" s="219"/>
    </row>
    <row r="330" spans="2:10" s="147" customFormat="1" ht="16.5" customHeight="1">
      <c r="B330" s="251">
        <v>324</v>
      </c>
      <c r="C330" s="489" t="s">
        <v>388</v>
      </c>
      <c r="D330" s="489" t="s">
        <v>568</v>
      </c>
      <c r="E330" s="489" t="s">
        <v>194</v>
      </c>
      <c r="F330" s="489" t="s">
        <v>175</v>
      </c>
      <c r="G330" s="490">
        <v>3</v>
      </c>
      <c r="H330" s="490">
        <v>300000</v>
      </c>
      <c r="I330" s="252">
        <f t="shared" si="5"/>
        <v>56250</v>
      </c>
      <c r="J330" s="219"/>
    </row>
    <row r="331" spans="2:10" s="147" customFormat="1" ht="16.5" customHeight="1">
      <c r="B331" s="251">
        <v>325</v>
      </c>
      <c r="C331" s="489" t="s">
        <v>388</v>
      </c>
      <c r="D331" s="489" t="s">
        <v>287</v>
      </c>
      <c r="E331" s="489" t="s">
        <v>180</v>
      </c>
      <c r="F331" s="489" t="s">
        <v>201</v>
      </c>
      <c r="G331" s="490">
        <v>1</v>
      </c>
      <c r="H331" s="490">
        <v>100000</v>
      </c>
      <c r="I331" s="252">
        <f t="shared" si="5"/>
        <v>18750</v>
      </c>
      <c r="J331" s="219"/>
    </row>
    <row r="332" spans="2:10" s="147" customFormat="1" ht="16.5" customHeight="1">
      <c r="B332" s="251">
        <v>326</v>
      </c>
      <c r="C332" s="489" t="s">
        <v>388</v>
      </c>
      <c r="D332" s="489" t="s">
        <v>567</v>
      </c>
      <c r="E332" s="489" t="s">
        <v>220</v>
      </c>
      <c r="F332" s="489" t="s">
        <v>175</v>
      </c>
      <c r="G332" s="490">
        <v>4</v>
      </c>
      <c r="H332" s="490">
        <v>400000</v>
      </c>
      <c r="I332" s="252">
        <f t="shared" si="5"/>
        <v>75000</v>
      </c>
      <c r="J332" s="219"/>
    </row>
    <row r="333" spans="2:10" s="147" customFormat="1" ht="16.5" customHeight="1">
      <c r="B333" s="251">
        <v>327</v>
      </c>
      <c r="C333" s="489" t="s">
        <v>388</v>
      </c>
      <c r="D333" s="489" t="s">
        <v>439</v>
      </c>
      <c r="E333" s="489" t="s">
        <v>179</v>
      </c>
      <c r="F333" s="489" t="s">
        <v>167</v>
      </c>
      <c r="G333" s="490">
        <v>6</v>
      </c>
      <c r="H333" s="490">
        <v>600000</v>
      </c>
      <c r="I333" s="252">
        <f t="shared" si="5"/>
        <v>112500</v>
      </c>
      <c r="J333" s="219"/>
    </row>
    <row r="334" spans="2:10" s="147" customFormat="1" ht="16.5" customHeight="1">
      <c r="B334" s="251">
        <v>328</v>
      </c>
      <c r="C334" s="489" t="s">
        <v>388</v>
      </c>
      <c r="D334" s="489" t="s">
        <v>438</v>
      </c>
      <c r="E334" s="489" t="s">
        <v>202</v>
      </c>
      <c r="F334" s="489" t="s">
        <v>175</v>
      </c>
      <c r="G334" s="490">
        <v>3</v>
      </c>
      <c r="H334" s="490">
        <v>300000</v>
      </c>
      <c r="I334" s="252">
        <f t="shared" si="5"/>
        <v>56250</v>
      </c>
      <c r="J334" s="219"/>
    </row>
    <row r="335" spans="2:10" s="147" customFormat="1" ht="16.5" customHeight="1">
      <c r="B335" s="251">
        <v>329</v>
      </c>
      <c r="C335" s="489" t="s">
        <v>388</v>
      </c>
      <c r="D335" s="489" t="s">
        <v>566</v>
      </c>
      <c r="E335" s="489" t="s">
        <v>170</v>
      </c>
      <c r="F335" s="489" t="s">
        <v>169</v>
      </c>
      <c r="G335" s="490">
        <v>2</v>
      </c>
      <c r="H335" s="490">
        <v>200000</v>
      </c>
      <c r="I335" s="252">
        <f t="shared" si="5"/>
        <v>37500</v>
      </c>
      <c r="J335" s="219"/>
    </row>
    <row r="336" spans="2:10" s="147" customFormat="1" ht="16.5" customHeight="1">
      <c r="B336" s="251">
        <v>330</v>
      </c>
      <c r="C336" s="489" t="s">
        <v>388</v>
      </c>
      <c r="D336" s="489" t="s">
        <v>565</v>
      </c>
      <c r="E336" s="489" t="s">
        <v>199</v>
      </c>
      <c r="F336" s="489" t="s">
        <v>167</v>
      </c>
      <c r="G336" s="490">
        <v>4</v>
      </c>
      <c r="H336" s="490">
        <v>400000</v>
      </c>
      <c r="I336" s="252">
        <f t="shared" si="5"/>
        <v>75000</v>
      </c>
      <c r="J336" s="219"/>
    </row>
    <row r="337" spans="2:10" s="147" customFormat="1" ht="16.5" customHeight="1">
      <c r="B337" s="251">
        <v>331</v>
      </c>
      <c r="C337" s="489" t="s">
        <v>388</v>
      </c>
      <c r="D337" s="489" t="s">
        <v>570</v>
      </c>
      <c r="E337" s="489" t="s">
        <v>184</v>
      </c>
      <c r="F337" s="489" t="s">
        <v>167</v>
      </c>
      <c r="G337" s="490">
        <v>3</v>
      </c>
      <c r="H337" s="490">
        <v>300000</v>
      </c>
      <c r="I337" s="252">
        <f t="shared" si="5"/>
        <v>56250</v>
      </c>
      <c r="J337" s="219"/>
    </row>
    <row r="338" spans="2:10" s="147" customFormat="1" ht="16.5" customHeight="1">
      <c r="B338" s="251">
        <v>332</v>
      </c>
      <c r="C338" s="489" t="s">
        <v>388</v>
      </c>
      <c r="D338" s="489" t="s">
        <v>441</v>
      </c>
      <c r="E338" s="489" t="s">
        <v>217</v>
      </c>
      <c r="F338" s="489" t="s">
        <v>169</v>
      </c>
      <c r="G338" s="490">
        <v>1</v>
      </c>
      <c r="H338" s="490">
        <v>100000</v>
      </c>
      <c r="I338" s="252">
        <f t="shared" si="5"/>
        <v>18750</v>
      </c>
      <c r="J338" s="219"/>
    </row>
    <row r="339" spans="2:10" s="147" customFormat="1" ht="16.5" customHeight="1">
      <c r="B339" s="251">
        <v>333</v>
      </c>
      <c r="C339" s="489" t="s">
        <v>388</v>
      </c>
      <c r="D339" s="489" t="s">
        <v>439</v>
      </c>
      <c r="E339" s="489" t="s">
        <v>179</v>
      </c>
      <c r="F339" s="489" t="s">
        <v>207</v>
      </c>
      <c r="G339" s="490">
        <v>1</v>
      </c>
      <c r="H339" s="490">
        <v>101800</v>
      </c>
      <c r="I339" s="252">
        <f t="shared" si="5"/>
        <v>19087.5</v>
      </c>
      <c r="J339" s="219"/>
    </row>
    <row r="340" spans="2:10" s="147" customFormat="1" ht="16.5" customHeight="1">
      <c r="B340" s="251">
        <v>334</v>
      </c>
      <c r="C340" s="489" t="s">
        <v>388</v>
      </c>
      <c r="D340" s="489" t="s">
        <v>566</v>
      </c>
      <c r="E340" s="489" t="s">
        <v>170</v>
      </c>
      <c r="F340" s="489" t="s">
        <v>167</v>
      </c>
      <c r="G340" s="490">
        <v>6</v>
      </c>
      <c r="H340" s="490">
        <v>600000</v>
      </c>
      <c r="I340" s="252">
        <f t="shared" si="5"/>
        <v>112500</v>
      </c>
      <c r="J340" s="219"/>
    </row>
    <row r="341" spans="2:10" s="147" customFormat="1" ht="16.5" customHeight="1">
      <c r="B341" s="251">
        <v>335</v>
      </c>
      <c r="C341" s="489" t="s">
        <v>388</v>
      </c>
      <c r="D341" s="489" t="s">
        <v>440</v>
      </c>
      <c r="E341" s="489" t="s">
        <v>193</v>
      </c>
      <c r="F341" s="489" t="s">
        <v>167</v>
      </c>
      <c r="G341" s="490">
        <v>8</v>
      </c>
      <c r="H341" s="490">
        <v>800000</v>
      </c>
      <c r="I341" s="252">
        <f t="shared" si="5"/>
        <v>150000</v>
      </c>
      <c r="J341" s="219"/>
    </row>
    <row r="342" spans="2:10" s="147" customFormat="1" ht="16.5" customHeight="1">
      <c r="B342" s="251">
        <v>336</v>
      </c>
      <c r="C342" s="489" t="s">
        <v>388</v>
      </c>
      <c r="D342" s="489" t="s">
        <v>440</v>
      </c>
      <c r="E342" s="489" t="s">
        <v>193</v>
      </c>
      <c r="F342" s="489" t="s">
        <v>175</v>
      </c>
      <c r="G342" s="490">
        <v>7</v>
      </c>
      <c r="H342" s="490">
        <v>700000</v>
      </c>
      <c r="I342" s="252">
        <f t="shared" si="5"/>
        <v>131250</v>
      </c>
      <c r="J342" s="219"/>
    </row>
    <row r="343" spans="2:10" s="147" customFormat="1" ht="16.5" customHeight="1">
      <c r="B343" s="251">
        <v>337</v>
      </c>
      <c r="C343" s="489" t="s">
        <v>388</v>
      </c>
      <c r="D343" s="489" t="s">
        <v>571</v>
      </c>
      <c r="E343" s="489" t="s">
        <v>220</v>
      </c>
      <c r="F343" s="489" t="s">
        <v>169</v>
      </c>
      <c r="G343" s="490">
        <v>1</v>
      </c>
      <c r="H343" s="490">
        <v>100000</v>
      </c>
      <c r="I343" s="252">
        <f t="shared" si="5"/>
        <v>18750</v>
      </c>
      <c r="J343" s="219"/>
    </row>
    <row r="344" spans="2:10" s="147" customFormat="1" ht="16.5" customHeight="1">
      <c r="B344" s="251">
        <v>338</v>
      </c>
      <c r="C344" s="489" t="s">
        <v>388</v>
      </c>
      <c r="D344" s="489" t="s">
        <v>569</v>
      </c>
      <c r="E344" s="489" t="s">
        <v>213</v>
      </c>
      <c r="F344" s="489" t="s">
        <v>175</v>
      </c>
      <c r="G344" s="490">
        <v>3</v>
      </c>
      <c r="H344" s="490">
        <v>300000</v>
      </c>
      <c r="I344" s="252">
        <f t="shared" si="5"/>
        <v>56250</v>
      </c>
      <c r="J344" s="219"/>
    </row>
    <row r="345" spans="2:10" s="147" customFormat="1" ht="16.5" customHeight="1">
      <c r="B345" s="251">
        <v>339</v>
      </c>
      <c r="C345" s="489" t="s">
        <v>388</v>
      </c>
      <c r="D345" s="489" t="s">
        <v>572</v>
      </c>
      <c r="E345" s="489" t="s">
        <v>134</v>
      </c>
      <c r="F345" s="489" t="s">
        <v>219</v>
      </c>
      <c r="G345" s="490">
        <v>1</v>
      </c>
      <c r="H345" s="490">
        <v>300000</v>
      </c>
      <c r="I345" s="252">
        <f t="shared" si="5"/>
        <v>56250</v>
      </c>
      <c r="J345" s="219"/>
    </row>
    <row r="346" spans="2:10" s="147" customFormat="1" ht="16.5" customHeight="1">
      <c r="B346" s="251">
        <v>340</v>
      </c>
      <c r="C346" s="489" t="s">
        <v>388</v>
      </c>
      <c r="D346" s="489" t="s">
        <v>573</v>
      </c>
      <c r="E346" s="489" t="s">
        <v>541</v>
      </c>
      <c r="F346" s="489" t="s">
        <v>178</v>
      </c>
      <c r="G346" s="490">
        <v>1</v>
      </c>
      <c r="H346" s="490">
        <v>200000</v>
      </c>
      <c r="I346" s="252">
        <f t="shared" si="5"/>
        <v>37500</v>
      </c>
      <c r="J346" s="219"/>
    </row>
    <row r="347" spans="2:10" s="147" customFormat="1" ht="16.5" customHeight="1">
      <c r="B347" s="251">
        <v>341</v>
      </c>
      <c r="C347" s="489" t="s">
        <v>391</v>
      </c>
      <c r="D347" s="489" t="s">
        <v>574</v>
      </c>
      <c r="E347" s="489" t="s">
        <v>180</v>
      </c>
      <c r="F347" s="489" t="s">
        <v>178</v>
      </c>
      <c r="G347" s="490">
        <v>1</v>
      </c>
      <c r="H347" s="490">
        <v>200000</v>
      </c>
      <c r="I347" s="252">
        <f t="shared" si="5"/>
        <v>37500</v>
      </c>
      <c r="J347" s="219"/>
    </row>
    <row r="348" spans="2:10" s="147" customFormat="1" ht="16.5" customHeight="1">
      <c r="B348" s="251">
        <v>342</v>
      </c>
      <c r="C348" s="489" t="s">
        <v>391</v>
      </c>
      <c r="D348" s="489" t="s">
        <v>442</v>
      </c>
      <c r="E348" s="489" t="s">
        <v>186</v>
      </c>
      <c r="F348" s="489" t="s">
        <v>167</v>
      </c>
      <c r="G348" s="490">
        <v>2</v>
      </c>
      <c r="H348" s="490">
        <v>200000</v>
      </c>
      <c r="I348" s="252">
        <f t="shared" ref="I348:I361" si="6">H348*25%*75%</f>
        <v>37500</v>
      </c>
      <c r="J348" s="219"/>
    </row>
    <row r="349" spans="2:10" s="147" customFormat="1" ht="16.5" customHeight="1">
      <c r="B349" s="251">
        <v>343</v>
      </c>
      <c r="C349" s="489" t="s">
        <v>391</v>
      </c>
      <c r="D349" s="489" t="s">
        <v>575</v>
      </c>
      <c r="E349" s="489" t="s">
        <v>220</v>
      </c>
      <c r="F349" s="489" t="s">
        <v>178</v>
      </c>
      <c r="G349" s="490">
        <v>1</v>
      </c>
      <c r="H349" s="490">
        <v>200000</v>
      </c>
      <c r="I349" s="252">
        <f t="shared" si="6"/>
        <v>37500</v>
      </c>
      <c r="J349" s="219"/>
    </row>
    <row r="350" spans="2:10" s="147" customFormat="1" ht="16.5" customHeight="1">
      <c r="B350" s="251">
        <v>344</v>
      </c>
      <c r="C350" s="489" t="s">
        <v>391</v>
      </c>
      <c r="D350" s="489" t="s">
        <v>240</v>
      </c>
      <c r="E350" s="489" t="s">
        <v>241</v>
      </c>
      <c r="F350" s="489" t="s">
        <v>216</v>
      </c>
      <c r="G350" s="490">
        <v>1</v>
      </c>
      <c r="H350" s="490">
        <v>372700</v>
      </c>
      <c r="I350" s="252">
        <f t="shared" si="6"/>
        <v>69881.25</v>
      </c>
      <c r="J350" s="219"/>
    </row>
    <row r="351" spans="2:10" s="147" customFormat="1" ht="16.5" customHeight="1">
      <c r="B351" s="251">
        <v>345</v>
      </c>
      <c r="C351" s="489" t="s">
        <v>391</v>
      </c>
      <c r="D351" s="489" t="s">
        <v>431</v>
      </c>
      <c r="E351" s="489" t="s">
        <v>211</v>
      </c>
      <c r="F351" s="489" t="s">
        <v>169</v>
      </c>
      <c r="G351" s="490">
        <v>1</v>
      </c>
      <c r="H351" s="490">
        <v>100000</v>
      </c>
      <c r="I351" s="252">
        <f t="shared" si="6"/>
        <v>18750</v>
      </c>
      <c r="J351" s="219"/>
    </row>
    <row r="352" spans="2:10" s="147" customFormat="1" ht="16.5" customHeight="1">
      <c r="B352" s="251">
        <v>346</v>
      </c>
      <c r="C352" s="489" t="s">
        <v>391</v>
      </c>
      <c r="D352" s="489" t="s">
        <v>576</v>
      </c>
      <c r="E352" s="489" t="s">
        <v>200</v>
      </c>
      <c r="F352" s="489" t="s">
        <v>167</v>
      </c>
      <c r="G352" s="490">
        <v>5</v>
      </c>
      <c r="H352" s="490">
        <v>500000</v>
      </c>
      <c r="I352" s="252">
        <f t="shared" si="6"/>
        <v>93750</v>
      </c>
      <c r="J352" s="219"/>
    </row>
    <row r="353" spans="2:10" s="350" customFormat="1" ht="16.5" customHeight="1">
      <c r="B353" s="251">
        <v>347</v>
      </c>
      <c r="C353" s="489" t="s">
        <v>391</v>
      </c>
      <c r="D353" s="489" t="s">
        <v>270</v>
      </c>
      <c r="E353" s="489" t="s">
        <v>196</v>
      </c>
      <c r="F353" s="489" t="s">
        <v>169</v>
      </c>
      <c r="G353" s="490">
        <v>1</v>
      </c>
      <c r="H353" s="490">
        <v>40300</v>
      </c>
      <c r="I353" s="252">
        <f t="shared" si="6"/>
        <v>7556.25</v>
      </c>
      <c r="J353" s="349"/>
    </row>
    <row r="354" spans="2:10" s="350" customFormat="1" ht="16.5" customHeight="1">
      <c r="B354" s="251">
        <v>348</v>
      </c>
      <c r="C354" s="489" t="s">
        <v>391</v>
      </c>
      <c r="D354" s="489" t="s">
        <v>441</v>
      </c>
      <c r="E354" s="489" t="s">
        <v>136</v>
      </c>
      <c r="F354" s="489" t="s">
        <v>577</v>
      </c>
      <c r="G354" s="490">
        <v>4</v>
      </c>
      <c r="H354" s="490">
        <v>480000</v>
      </c>
      <c r="I354" s="252">
        <f t="shared" si="6"/>
        <v>90000</v>
      </c>
      <c r="J354" s="349"/>
    </row>
    <row r="355" spans="2:10" s="350" customFormat="1" ht="16.5" customHeight="1">
      <c r="B355" s="251">
        <v>349</v>
      </c>
      <c r="C355" s="489" t="s">
        <v>391</v>
      </c>
      <c r="D355" s="489" t="s">
        <v>574</v>
      </c>
      <c r="E355" s="489" t="s">
        <v>180</v>
      </c>
      <c r="F355" s="489" t="s">
        <v>216</v>
      </c>
      <c r="G355" s="490">
        <v>1</v>
      </c>
      <c r="H355" s="490">
        <v>500000</v>
      </c>
      <c r="I355" s="252">
        <f t="shared" si="6"/>
        <v>93750</v>
      </c>
      <c r="J355" s="349"/>
    </row>
    <row r="356" spans="2:10" s="350" customFormat="1" ht="16.5" customHeight="1">
      <c r="B356" s="251">
        <v>350</v>
      </c>
      <c r="C356" s="489" t="s">
        <v>391</v>
      </c>
      <c r="D356" s="489" t="s">
        <v>557</v>
      </c>
      <c r="E356" s="489" t="s">
        <v>193</v>
      </c>
      <c r="F356" s="489" t="s">
        <v>169</v>
      </c>
      <c r="G356" s="490">
        <v>1</v>
      </c>
      <c r="H356" s="490">
        <v>100000</v>
      </c>
      <c r="I356" s="252">
        <f t="shared" si="6"/>
        <v>18750</v>
      </c>
      <c r="J356" s="349"/>
    </row>
    <row r="357" spans="2:10" s="350" customFormat="1" ht="16.5" customHeight="1">
      <c r="B357" s="251">
        <v>351</v>
      </c>
      <c r="C357" s="489" t="s">
        <v>391</v>
      </c>
      <c r="D357" s="489" t="s">
        <v>441</v>
      </c>
      <c r="E357" s="489" t="s">
        <v>136</v>
      </c>
      <c r="F357" s="489" t="s">
        <v>167</v>
      </c>
      <c r="G357" s="490">
        <v>8</v>
      </c>
      <c r="H357" s="490">
        <v>800000</v>
      </c>
      <c r="I357" s="252">
        <f t="shared" si="6"/>
        <v>150000</v>
      </c>
      <c r="J357" s="349"/>
    </row>
    <row r="358" spans="2:10" s="350" customFormat="1" ht="16.5" customHeight="1">
      <c r="B358" s="251">
        <v>352</v>
      </c>
      <c r="C358" s="489" t="s">
        <v>391</v>
      </c>
      <c r="D358" s="489" t="s">
        <v>574</v>
      </c>
      <c r="E358" s="489" t="s">
        <v>180</v>
      </c>
      <c r="F358" s="489" t="s">
        <v>167</v>
      </c>
      <c r="G358" s="490">
        <v>3</v>
      </c>
      <c r="H358" s="490">
        <v>300000</v>
      </c>
      <c r="I358" s="252">
        <f t="shared" si="6"/>
        <v>56250</v>
      </c>
      <c r="J358" s="349"/>
    </row>
    <row r="359" spans="2:10" s="350" customFormat="1" ht="16.5" customHeight="1">
      <c r="B359" s="251">
        <v>353</v>
      </c>
      <c r="C359" s="489" t="s">
        <v>391</v>
      </c>
      <c r="D359" s="489" t="s">
        <v>578</v>
      </c>
      <c r="E359" s="489" t="s">
        <v>177</v>
      </c>
      <c r="F359" s="489" t="s">
        <v>169</v>
      </c>
      <c r="G359" s="490">
        <v>1</v>
      </c>
      <c r="H359" s="490">
        <v>100000</v>
      </c>
      <c r="I359" s="252">
        <f t="shared" si="6"/>
        <v>18750</v>
      </c>
      <c r="J359" s="349"/>
    </row>
    <row r="360" spans="2:10" s="259" customFormat="1" ht="16.5" customHeight="1">
      <c r="B360" s="251">
        <v>354</v>
      </c>
      <c r="C360" s="489" t="s">
        <v>391</v>
      </c>
      <c r="D360" s="489" t="s">
        <v>432</v>
      </c>
      <c r="E360" s="489" t="s">
        <v>205</v>
      </c>
      <c r="F360" s="489" t="s">
        <v>169</v>
      </c>
      <c r="G360" s="490">
        <v>1</v>
      </c>
      <c r="H360" s="490">
        <v>40300</v>
      </c>
      <c r="I360" s="252">
        <f t="shared" si="6"/>
        <v>7556.25</v>
      </c>
      <c r="J360" s="283"/>
    </row>
    <row r="361" spans="2:10" s="259" customFormat="1" ht="16.5" customHeight="1">
      <c r="B361" s="251">
        <v>355</v>
      </c>
      <c r="C361" s="489" t="s">
        <v>391</v>
      </c>
      <c r="D361" s="489" t="s">
        <v>579</v>
      </c>
      <c r="E361" s="489" t="s">
        <v>194</v>
      </c>
      <c r="F361" s="489" t="s">
        <v>233</v>
      </c>
      <c r="G361" s="490">
        <v>1</v>
      </c>
      <c r="H361" s="490">
        <v>257000</v>
      </c>
      <c r="I361" s="252">
        <f t="shared" si="6"/>
        <v>48187.5</v>
      </c>
      <c r="J361" s="283"/>
    </row>
    <row r="362" spans="2:10" s="259" customFormat="1" ht="16.5" customHeight="1">
      <c r="B362" s="251">
        <v>356</v>
      </c>
      <c r="C362" s="486" t="s">
        <v>414</v>
      </c>
      <c r="D362" s="486" t="s">
        <v>267</v>
      </c>
      <c r="E362" s="486" t="s">
        <v>230</v>
      </c>
      <c r="F362" s="486" t="s">
        <v>242</v>
      </c>
      <c r="G362" s="487">
        <v>3</v>
      </c>
      <c r="H362" s="488">
        <v>105000</v>
      </c>
      <c r="I362" s="282">
        <f>H362*21.25%</f>
        <v>22312.5</v>
      </c>
      <c r="J362" s="283"/>
    </row>
    <row r="363" spans="2:10" s="259" customFormat="1" ht="16.5" customHeight="1">
      <c r="B363" s="251">
        <v>357</v>
      </c>
      <c r="C363" s="486" t="s">
        <v>414</v>
      </c>
      <c r="D363" s="486" t="s">
        <v>415</v>
      </c>
      <c r="E363" s="486" t="s">
        <v>203</v>
      </c>
      <c r="F363" s="486" t="s">
        <v>242</v>
      </c>
      <c r="G363" s="487">
        <v>2</v>
      </c>
      <c r="H363" s="488">
        <v>70000</v>
      </c>
      <c r="I363" s="282">
        <f t="shared" ref="I363:I426" si="7">H363*21.25%</f>
        <v>14875</v>
      </c>
      <c r="J363" s="283"/>
    </row>
    <row r="364" spans="2:10" s="259" customFormat="1" ht="16.5" customHeight="1">
      <c r="B364" s="251">
        <v>358</v>
      </c>
      <c r="C364" s="486" t="s">
        <v>414</v>
      </c>
      <c r="D364" s="486" t="s">
        <v>415</v>
      </c>
      <c r="E364" s="486" t="s">
        <v>203</v>
      </c>
      <c r="F364" s="486" t="s">
        <v>242</v>
      </c>
      <c r="G364" s="487">
        <v>1</v>
      </c>
      <c r="H364" s="488">
        <v>35000</v>
      </c>
      <c r="I364" s="282">
        <f t="shared" si="7"/>
        <v>7437.5</v>
      </c>
      <c r="J364" s="283"/>
    </row>
    <row r="365" spans="2:10" s="259" customFormat="1" ht="16.5" customHeight="1">
      <c r="B365" s="251">
        <v>359</v>
      </c>
      <c r="C365" s="486" t="s">
        <v>414</v>
      </c>
      <c r="D365" s="486" t="s">
        <v>267</v>
      </c>
      <c r="E365" s="486" t="s">
        <v>230</v>
      </c>
      <c r="F365" s="486" t="s">
        <v>242</v>
      </c>
      <c r="G365" s="487">
        <v>1</v>
      </c>
      <c r="H365" s="488">
        <v>35000</v>
      </c>
      <c r="I365" s="282">
        <f t="shared" si="7"/>
        <v>7437.5</v>
      </c>
      <c r="J365" s="283"/>
    </row>
    <row r="366" spans="2:10" s="259" customFormat="1" ht="16.5" customHeight="1">
      <c r="B366" s="251">
        <v>360</v>
      </c>
      <c r="C366" s="486" t="s">
        <v>414</v>
      </c>
      <c r="D366" s="486" t="s">
        <v>267</v>
      </c>
      <c r="E366" s="486" t="s">
        <v>230</v>
      </c>
      <c r="F366" s="486" t="s">
        <v>242</v>
      </c>
      <c r="G366" s="487">
        <v>2</v>
      </c>
      <c r="H366" s="488">
        <v>70000</v>
      </c>
      <c r="I366" s="282">
        <f t="shared" si="7"/>
        <v>14875</v>
      </c>
      <c r="J366" s="283"/>
    </row>
    <row r="367" spans="2:10" s="259" customFormat="1" ht="16.5" customHeight="1">
      <c r="B367" s="251">
        <v>361</v>
      </c>
      <c r="C367" s="486" t="s">
        <v>414</v>
      </c>
      <c r="D367" s="486" t="s">
        <v>267</v>
      </c>
      <c r="E367" s="486" t="s">
        <v>230</v>
      </c>
      <c r="F367" s="486" t="s">
        <v>242</v>
      </c>
      <c r="G367" s="487">
        <v>2</v>
      </c>
      <c r="H367" s="488">
        <v>70000</v>
      </c>
      <c r="I367" s="282">
        <f t="shared" si="7"/>
        <v>14875</v>
      </c>
      <c r="J367" s="283"/>
    </row>
    <row r="368" spans="2:10" s="259" customFormat="1" ht="16.5" customHeight="1">
      <c r="B368" s="251">
        <v>362</v>
      </c>
      <c r="C368" s="486" t="s">
        <v>414</v>
      </c>
      <c r="D368" s="486" t="s">
        <v>415</v>
      </c>
      <c r="E368" s="486" t="s">
        <v>203</v>
      </c>
      <c r="F368" s="486" t="s">
        <v>242</v>
      </c>
      <c r="G368" s="487">
        <v>2</v>
      </c>
      <c r="H368" s="488">
        <v>70000</v>
      </c>
      <c r="I368" s="282">
        <f t="shared" si="7"/>
        <v>14875</v>
      </c>
      <c r="J368" s="283"/>
    </row>
    <row r="369" spans="2:10" s="259" customFormat="1" ht="16.5" customHeight="1">
      <c r="B369" s="251">
        <v>363</v>
      </c>
      <c r="C369" s="486" t="s">
        <v>414</v>
      </c>
      <c r="D369" s="486" t="s">
        <v>267</v>
      </c>
      <c r="E369" s="486" t="s">
        <v>230</v>
      </c>
      <c r="F369" s="486" t="s">
        <v>242</v>
      </c>
      <c r="G369" s="487">
        <v>2</v>
      </c>
      <c r="H369" s="488">
        <v>70000</v>
      </c>
      <c r="I369" s="282">
        <f t="shared" si="7"/>
        <v>14875</v>
      </c>
      <c r="J369" s="283"/>
    </row>
    <row r="370" spans="2:10" s="259" customFormat="1" ht="16.5" customHeight="1">
      <c r="B370" s="251">
        <v>364</v>
      </c>
      <c r="C370" s="486" t="s">
        <v>325</v>
      </c>
      <c r="D370" s="486" t="s">
        <v>416</v>
      </c>
      <c r="E370" s="486" t="s">
        <v>176</v>
      </c>
      <c r="F370" s="486" t="s">
        <v>242</v>
      </c>
      <c r="G370" s="487">
        <v>7</v>
      </c>
      <c r="H370" s="488">
        <v>245000</v>
      </c>
      <c r="I370" s="282">
        <f t="shared" si="7"/>
        <v>52062.5</v>
      </c>
      <c r="J370" s="283"/>
    </row>
    <row r="371" spans="2:10" s="259" customFormat="1" ht="16.5" customHeight="1">
      <c r="B371" s="251">
        <v>365</v>
      </c>
      <c r="C371" s="486" t="s">
        <v>325</v>
      </c>
      <c r="D371" s="486" t="s">
        <v>416</v>
      </c>
      <c r="E371" s="486" t="s">
        <v>176</v>
      </c>
      <c r="F371" s="486" t="s">
        <v>242</v>
      </c>
      <c r="G371" s="487">
        <v>8</v>
      </c>
      <c r="H371" s="488">
        <v>280000</v>
      </c>
      <c r="I371" s="282">
        <f t="shared" si="7"/>
        <v>59500</v>
      </c>
      <c r="J371" s="283"/>
    </row>
    <row r="372" spans="2:10" s="259" customFormat="1" ht="16.5" customHeight="1">
      <c r="B372" s="251">
        <v>366</v>
      </c>
      <c r="C372" s="486" t="s">
        <v>325</v>
      </c>
      <c r="D372" s="486" t="s">
        <v>416</v>
      </c>
      <c r="E372" s="486" t="s">
        <v>176</v>
      </c>
      <c r="F372" s="486" t="s">
        <v>242</v>
      </c>
      <c r="G372" s="487">
        <v>3</v>
      </c>
      <c r="H372" s="488">
        <v>105000</v>
      </c>
      <c r="I372" s="282">
        <f t="shared" si="7"/>
        <v>22312.5</v>
      </c>
      <c r="J372" s="283"/>
    </row>
    <row r="373" spans="2:10" s="259" customFormat="1" ht="16.5" customHeight="1">
      <c r="B373" s="251">
        <v>367</v>
      </c>
      <c r="C373" s="486" t="s">
        <v>325</v>
      </c>
      <c r="D373" s="486" t="s">
        <v>416</v>
      </c>
      <c r="E373" s="486" t="s">
        <v>176</v>
      </c>
      <c r="F373" s="486" t="s">
        <v>242</v>
      </c>
      <c r="G373" s="487">
        <v>1</v>
      </c>
      <c r="H373" s="488">
        <v>35000</v>
      </c>
      <c r="I373" s="282">
        <f t="shared" si="7"/>
        <v>7437.5</v>
      </c>
      <c r="J373" s="283"/>
    </row>
    <row r="374" spans="2:10" s="259" customFormat="1" ht="16.5" customHeight="1">
      <c r="B374" s="251">
        <v>368</v>
      </c>
      <c r="C374" s="486" t="s">
        <v>325</v>
      </c>
      <c r="D374" s="486" t="s">
        <v>416</v>
      </c>
      <c r="E374" s="486" t="s">
        <v>176</v>
      </c>
      <c r="F374" s="486" t="s">
        <v>242</v>
      </c>
      <c r="G374" s="487">
        <v>2</v>
      </c>
      <c r="H374" s="488">
        <v>70000</v>
      </c>
      <c r="I374" s="282">
        <f t="shared" si="7"/>
        <v>14875</v>
      </c>
      <c r="J374" s="283"/>
    </row>
    <row r="375" spans="2:10" s="259" customFormat="1" ht="16.5" customHeight="1">
      <c r="B375" s="251">
        <v>369</v>
      </c>
      <c r="C375" s="486" t="s">
        <v>325</v>
      </c>
      <c r="D375" s="486" t="s">
        <v>416</v>
      </c>
      <c r="E375" s="486" t="s">
        <v>176</v>
      </c>
      <c r="F375" s="486" t="s">
        <v>242</v>
      </c>
      <c r="G375" s="487">
        <v>2</v>
      </c>
      <c r="H375" s="488">
        <v>70000</v>
      </c>
      <c r="I375" s="282">
        <f t="shared" si="7"/>
        <v>14875</v>
      </c>
      <c r="J375" s="283"/>
    </row>
    <row r="376" spans="2:10" s="259" customFormat="1" ht="16.5" customHeight="1">
      <c r="B376" s="251">
        <v>370</v>
      </c>
      <c r="C376" s="486" t="s">
        <v>334</v>
      </c>
      <c r="D376" s="486" t="s">
        <v>417</v>
      </c>
      <c r="E376" s="486" t="s">
        <v>139</v>
      </c>
      <c r="F376" s="486" t="s">
        <v>242</v>
      </c>
      <c r="G376" s="487">
        <v>1</v>
      </c>
      <c r="H376" s="488">
        <v>35000</v>
      </c>
      <c r="I376" s="282">
        <f t="shared" si="7"/>
        <v>7437.5</v>
      </c>
      <c r="J376" s="283"/>
    </row>
    <row r="377" spans="2:10" s="259" customFormat="1" ht="16.5" customHeight="1">
      <c r="B377" s="251">
        <v>371</v>
      </c>
      <c r="C377" s="486" t="s">
        <v>334</v>
      </c>
      <c r="D377" s="486" t="s">
        <v>418</v>
      </c>
      <c r="E377" s="486" t="s">
        <v>180</v>
      </c>
      <c r="F377" s="486" t="s">
        <v>242</v>
      </c>
      <c r="G377" s="487">
        <v>5</v>
      </c>
      <c r="H377" s="488">
        <v>175000</v>
      </c>
      <c r="I377" s="282">
        <f t="shared" si="7"/>
        <v>37187.5</v>
      </c>
      <c r="J377" s="283"/>
    </row>
    <row r="378" spans="2:10" s="259" customFormat="1" ht="16.5" customHeight="1">
      <c r="B378" s="251">
        <v>372</v>
      </c>
      <c r="C378" s="486" t="s">
        <v>334</v>
      </c>
      <c r="D378" s="486" t="s">
        <v>418</v>
      </c>
      <c r="E378" s="486" t="s">
        <v>180</v>
      </c>
      <c r="F378" s="486" t="s">
        <v>242</v>
      </c>
      <c r="G378" s="487">
        <v>13</v>
      </c>
      <c r="H378" s="488">
        <v>455000</v>
      </c>
      <c r="I378" s="282">
        <f t="shared" si="7"/>
        <v>96687.5</v>
      </c>
      <c r="J378" s="283"/>
    </row>
    <row r="379" spans="2:10" s="259" customFormat="1" ht="16.5" customHeight="1">
      <c r="B379" s="251">
        <v>373</v>
      </c>
      <c r="C379" s="486" t="s">
        <v>334</v>
      </c>
      <c r="D379" s="486" t="s">
        <v>418</v>
      </c>
      <c r="E379" s="486" t="s">
        <v>180</v>
      </c>
      <c r="F379" s="486" t="s">
        <v>242</v>
      </c>
      <c r="G379" s="487">
        <v>6</v>
      </c>
      <c r="H379" s="488">
        <v>210000</v>
      </c>
      <c r="I379" s="282">
        <f t="shared" si="7"/>
        <v>44625</v>
      </c>
      <c r="J379" s="283"/>
    </row>
    <row r="380" spans="2:10" s="259" customFormat="1" ht="16.5" customHeight="1">
      <c r="B380" s="251">
        <v>374</v>
      </c>
      <c r="C380" s="486" t="s">
        <v>334</v>
      </c>
      <c r="D380" s="486" t="s">
        <v>418</v>
      </c>
      <c r="E380" s="486" t="s">
        <v>180</v>
      </c>
      <c r="F380" s="486" t="s">
        <v>242</v>
      </c>
      <c r="G380" s="487">
        <v>8</v>
      </c>
      <c r="H380" s="488">
        <v>280000</v>
      </c>
      <c r="I380" s="282">
        <f t="shared" si="7"/>
        <v>59500</v>
      </c>
      <c r="J380" s="283"/>
    </row>
    <row r="381" spans="2:10" s="259" customFormat="1" ht="16.5" customHeight="1">
      <c r="B381" s="251">
        <v>375</v>
      </c>
      <c r="C381" s="486" t="s">
        <v>334</v>
      </c>
      <c r="D381" s="486" t="s">
        <v>417</v>
      </c>
      <c r="E381" s="486" t="s">
        <v>139</v>
      </c>
      <c r="F381" s="486" t="s">
        <v>242</v>
      </c>
      <c r="G381" s="487">
        <v>1</v>
      </c>
      <c r="H381" s="488">
        <v>35000</v>
      </c>
      <c r="I381" s="282">
        <f t="shared" si="7"/>
        <v>7437.5</v>
      </c>
      <c r="J381" s="283"/>
    </row>
    <row r="382" spans="2:10" s="259" customFormat="1" ht="16.5" customHeight="1">
      <c r="B382" s="251">
        <v>376</v>
      </c>
      <c r="C382" s="486" t="s">
        <v>343</v>
      </c>
      <c r="D382" s="486" t="s">
        <v>419</v>
      </c>
      <c r="E382" s="486" t="s">
        <v>302</v>
      </c>
      <c r="F382" s="486" t="s">
        <v>242</v>
      </c>
      <c r="G382" s="487">
        <v>1</v>
      </c>
      <c r="H382" s="488">
        <v>16000</v>
      </c>
      <c r="I382" s="282">
        <f t="shared" si="7"/>
        <v>3400</v>
      </c>
      <c r="J382" s="283"/>
    </row>
    <row r="383" spans="2:10" s="259" customFormat="1" ht="16.5" customHeight="1">
      <c r="B383" s="251">
        <v>377</v>
      </c>
      <c r="C383" s="486" t="s">
        <v>343</v>
      </c>
      <c r="D383" s="486" t="s">
        <v>419</v>
      </c>
      <c r="E383" s="486" t="s">
        <v>302</v>
      </c>
      <c r="F383" s="486" t="s">
        <v>242</v>
      </c>
      <c r="G383" s="487">
        <v>1</v>
      </c>
      <c r="H383" s="488">
        <v>16000</v>
      </c>
      <c r="I383" s="282">
        <f t="shared" si="7"/>
        <v>3400</v>
      </c>
      <c r="J383" s="283"/>
    </row>
    <row r="384" spans="2:10" s="259" customFormat="1" ht="16.5" customHeight="1">
      <c r="B384" s="251">
        <v>378</v>
      </c>
      <c r="C384" s="486" t="s">
        <v>353</v>
      </c>
      <c r="D384" s="486" t="s">
        <v>273</v>
      </c>
      <c r="E384" s="486" t="s">
        <v>187</v>
      </c>
      <c r="F384" s="486" t="s">
        <v>242</v>
      </c>
      <c r="G384" s="487">
        <v>6</v>
      </c>
      <c r="H384" s="488">
        <v>96000</v>
      </c>
      <c r="I384" s="282">
        <f t="shared" si="7"/>
        <v>20400</v>
      </c>
      <c r="J384" s="283"/>
    </row>
    <row r="385" spans="2:10" s="259" customFormat="1" ht="16.5" customHeight="1">
      <c r="B385" s="251">
        <v>379</v>
      </c>
      <c r="C385" s="486" t="s">
        <v>353</v>
      </c>
      <c r="D385" s="486" t="s">
        <v>273</v>
      </c>
      <c r="E385" s="486" t="s">
        <v>187</v>
      </c>
      <c r="F385" s="486" t="s">
        <v>242</v>
      </c>
      <c r="G385" s="487">
        <v>3</v>
      </c>
      <c r="H385" s="488">
        <v>48000</v>
      </c>
      <c r="I385" s="282">
        <f t="shared" si="7"/>
        <v>10200</v>
      </c>
      <c r="J385" s="283"/>
    </row>
    <row r="386" spans="2:10" s="259" customFormat="1" ht="16.5" customHeight="1">
      <c r="B386" s="251">
        <v>380</v>
      </c>
      <c r="C386" s="486" t="s">
        <v>353</v>
      </c>
      <c r="D386" s="486" t="s">
        <v>273</v>
      </c>
      <c r="E386" s="486" t="s">
        <v>187</v>
      </c>
      <c r="F386" s="486" t="s">
        <v>242</v>
      </c>
      <c r="G386" s="487">
        <v>6</v>
      </c>
      <c r="H386" s="488">
        <v>96000</v>
      </c>
      <c r="I386" s="282">
        <f t="shared" si="7"/>
        <v>20400</v>
      </c>
      <c r="J386" s="283"/>
    </row>
    <row r="387" spans="2:10" s="259" customFormat="1" ht="16.5" customHeight="1">
      <c r="B387" s="251">
        <v>381</v>
      </c>
      <c r="C387" s="486" t="s">
        <v>353</v>
      </c>
      <c r="D387" s="486" t="s">
        <v>273</v>
      </c>
      <c r="E387" s="486" t="s">
        <v>187</v>
      </c>
      <c r="F387" s="486" t="s">
        <v>242</v>
      </c>
      <c r="G387" s="487">
        <v>4</v>
      </c>
      <c r="H387" s="488">
        <v>64000</v>
      </c>
      <c r="I387" s="282">
        <f t="shared" si="7"/>
        <v>13600</v>
      </c>
      <c r="J387" s="283"/>
    </row>
    <row r="388" spans="2:10" s="259" customFormat="1" ht="16.5" customHeight="1">
      <c r="B388" s="251">
        <v>382</v>
      </c>
      <c r="C388" s="486" t="s">
        <v>358</v>
      </c>
      <c r="D388" s="486" t="s">
        <v>420</v>
      </c>
      <c r="E388" s="486" t="s">
        <v>179</v>
      </c>
      <c r="F388" s="486" t="s">
        <v>242</v>
      </c>
      <c r="G388" s="487">
        <v>4</v>
      </c>
      <c r="H388" s="488">
        <v>140000</v>
      </c>
      <c r="I388" s="282">
        <f t="shared" si="7"/>
        <v>29750</v>
      </c>
      <c r="J388" s="283"/>
    </row>
    <row r="389" spans="2:10" s="259" customFormat="1" ht="16.5" customHeight="1">
      <c r="B389" s="251">
        <v>383</v>
      </c>
      <c r="C389" s="486" t="s">
        <v>358</v>
      </c>
      <c r="D389" s="486" t="s">
        <v>420</v>
      </c>
      <c r="E389" s="486" t="s">
        <v>179</v>
      </c>
      <c r="F389" s="486" t="s">
        <v>242</v>
      </c>
      <c r="G389" s="487">
        <v>2</v>
      </c>
      <c r="H389" s="488">
        <v>70000</v>
      </c>
      <c r="I389" s="282">
        <f t="shared" si="7"/>
        <v>14875</v>
      </c>
      <c r="J389" s="283"/>
    </row>
    <row r="390" spans="2:10" s="259" customFormat="1" ht="16.5" customHeight="1">
      <c r="B390" s="251">
        <v>384</v>
      </c>
      <c r="C390" s="486" t="s">
        <v>358</v>
      </c>
      <c r="D390" s="486" t="s">
        <v>420</v>
      </c>
      <c r="E390" s="486" t="s">
        <v>179</v>
      </c>
      <c r="F390" s="486" t="s">
        <v>242</v>
      </c>
      <c r="G390" s="487">
        <v>3</v>
      </c>
      <c r="H390" s="488">
        <v>105000</v>
      </c>
      <c r="I390" s="282">
        <f t="shared" si="7"/>
        <v>22312.5</v>
      </c>
      <c r="J390" s="283"/>
    </row>
    <row r="391" spans="2:10" s="259" customFormat="1" ht="16.5" customHeight="1">
      <c r="B391" s="251">
        <v>385</v>
      </c>
      <c r="C391" s="486" t="s">
        <v>358</v>
      </c>
      <c r="D391" s="486" t="s">
        <v>420</v>
      </c>
      <c r="E391" s="486" t="s">
        <v>179</v>
      </c>
      <c r="F391" s="486" t="s">
        <v>242</v>
      </c>
      <c r="G391" s="487">
        <v>4</v>
      </c>
      <c r="H391" s="488">
        <v>140000</v>
      </c>
      <c r="I391" s="282">
        <f t="shared" si="7"/>
        <v>29750</v>
      </c>
      <c r="J391" s="283"/>
    </row>
    <row r="392" spans="2:10" s="259" customFormat="1" ht="16.5" customHeight="1">
      <c r="B392" s="251">
        <v>386</v>
      </c>
      <c r="C392" s="486" t="s">
        <v>362</v>
      </c>
      <c r="D392" s="486" t="s">
        <v>421</v>
      </c>
      <c r="E392" s="486" t="s">
        <v>186</v>
      </c>
      <c r="F392" s="486" t="s">
        <v>242</v>
      </c>
      <c r="G392" s="487">
        <v>2</v>
      </c>
      <c r="H392" s="488">
        <v>70000</v>
      </c>
      <c r="I392" s="282">
        <f t="shared" si="7"/>
        <v>14875</v>
      </c>
      <c r="J392" s="283"/>
    </row>
    <row r="393" spans="2:10" s="259" customFormat="1" ht="16.5" customHeight="1">
      <c r="B393" s="251">
        <v>387</v>
      </c>
      <c r="C393" s="486" t="s">
        <v>362</v>
      </c>
      <c r="D393" s="486" t="s">
        <v>267</v>
      </c>
      <c r="E393" s="486" t="s">
        <v>230</v>
      </c>
      <c r="F393" s="486" t="s">
        <v>242</v>
      </c>
      <c r="G393" s="487">
        <v>1</v>
      </c>
      <c r="H393" s="488">
        <v>35000</v>
      </c>
      <c r="I393" s="282">
        <f t="shared" si="7"/>
        <v>7437.5</v>
      </c>
      <c r="J393" s="283"/>
    </row>
    <row r="394" spans="2:10" s="259" customFormat="1" ht="16.5" customHeight="1">
      <c r="B394" s="251">
        <v>388</v>
      </c>
      <c r="C394" s="486" t="s">
        <v>362</v>
      </c>
      <c r="D394" s="486" t="s">
        <v>421</v>
      </c>
      <c r="E394" s="486" t="s">
        <v>186</v>
      </c>
      <c r="F394" s="486" t="s">
        <v>242</v>
      </c>
      <c r="G394" s="487">
        <v>2</v>
      </c>
      <c r="H394" s="488">
        <v>70000</v>
      </c>
      <c r="I394" s="282">
        <f t="shared" si="7"/>
        <v>14875</v>
      </c>
      <c r="J394" s="283"/>
    </row>
    <row r="395" spans="2:10" s="259" customFormat="1" ht="16.5" customHeight="1">
      <c r="B395" s="251">
        <v>389</v>
      </c>
      <c r="C395" s="486" t="s">
        <v>362</v>
      </c>
      <c r="D395" s="486" t="s">
        <v>422</v>
      </c>
      <c r="E395" s="486" t="s">
        <v>213</v>
      </c>
      <c r="F395" s="486" t="s">
        <v>242</v>
      </c>
      <c r="G395" s="487">
        <v>2</v>
      </c>
      <c r="H395" s="488">
        <v>32000</v>
      </c>
      <c r="I395" s="282">
        <f t="shared" si="7"/>
        <v>6800</v>
      </c>
      <c r="J395" s="283"/>
    </row>
    <row r="396" spans="2:10" s="259" customFormat="1" ht="16.5" customHeight="1">
      <c r="B396" s="251">
        <v>390</v>
      </c>
      <c r="C396" s="486" t="s">
        <v>362</v>
      </c>
      <c r="D396" s="486" t="s">
        <v>267</v>
      </c>
      <c r="E396" s="486" t="s">
        <v>230</v>
      </c>
      <c r="F396" s="486" t="s">
        <v>242</v>
      </c>
      <c r="G396" s="487">
        <v>4</v>
      </c>
      <c r="H396" s="488">
        <v>140000</v>
      </c>
      <c r="I396" s="282">
        <f t="shared" si="7"/>
        <v>29750</v>
      </c>
      <c r="J396" s="283"/>
    </row>
    <row r="397" spans="2:10" s="259" customFormat="1" ht="16.5" customHeight="1">
      <c r="B397" s="251">
        <v>391</v>
      </c>
      <c r="C397" s="486" t="s">
        <v>362</v>
      </c>
      <c r="D397" s="486" t="s">
        <v>267</v>
      </c>
      <c r="E397" s="486" t="s">
        <v>230</v>
      </c>
      <c r="F397" s="486" t="s">
        <v>242</v>
      </c>
      <c r="G397" s="487">
        <v>3</v>
      </c>
      <c r="H397" s="488">
        <v>105000</v>
      </c>
      <c r="I397" s="282">
        <f t="shared" si="7"/>
        <v>22312.5</v>
      </c>
      <c r="J397" s="283"/>
    </row>
    <row r="398" spans="2:10" s="259" customFormat="1" ht="16.5" customHeight="1">
      <c r="B398" s="251">
        <v>392</v>
      </c>
      <c r="C398" s="486" t="s">
        <v>362</v>
      </c>
      <c r="D398" s="486" t="s">
        <v>421</v>
      </c>
      <c r="E398" s="486" t="s">
        <v>186</v>
      </c>
      <c r="F398" s="486" t="s">
        <v>242</v>
      </c>
      <c r="G398" s="487">
        <v>4</v>
      </c>
      <c r="H398" s="488">
        <v>140000</v>
      </c>
      <c r="I398" s="282">
        <f t="shared" si="7"/>
        <v>29750</v>
      </c>
      <c r="J398" s="283"/>
    </row>
    <row r="399" spans="2:10" s="259" customFormat="1" ht="16.5" customHeight="1">
      <c r="B399" s="251">
        <v>393</v>
      </c>
      <c r="C399" s="486" t="s">
        <v>362</v>
      </c>
      <c r="D399" s="486" t="s">
        <v>267</v>
      </c>
      <c r="E399" s="486" t="s">
        <v>230</v>
      </c>
      <c r="F399" s="486" t="s">
        <v>242</v>
      </c>
      <c r="G399" s="487">
        <v>4</v>
      </c>
      <c r="H399" s="488">
        <v>140000</v>
      </c>
      <c r="I399" s="282">
        <f t="shared" si="7"/>
        <v>29750</v>
      </c>
      <c r="J399" s="283"/>
    </row>
    <row r="400" spans="2:10" s="259" customFormat="1" ht="16.5" customHeight="1">
      <c r="B400" s="251">
        <v>394</v>
      </c>
      <c r="C400" s="486" t="s">
        <v>362</v>
      </c>
      <c r="D400" s="486" t="s">
        <v>421</v>
      </c>
      <c r="E400" s="486" t="s">
        <v>186</v>
      </c>
      <c r="F400" s="486" t="s">
        <v>242</v>
      </c>
      <c r="G400" s="487">
        <v>3</v>
      </c>
      <c r="H400" s="488">
        <v>105000</v>
      </c>
      <c r="I400" s="282">
        <f t="shared" si="7"/>
        <v>22312.5</v>
      </c>
      <c r="J400" s="283"/>
    </row>
    <row r="401" spans="2:10" s="259" customFormat="1" ht="16.5" customHeight="1">
      <c r="B401" s="251">
        <v>395</v>
      </c>
      <c r="C401" s="486" t="s">
        <v>365</v>
      </c>
      <c r="D401" s="486" t="s">
        <v>423</v>
      </c>
      <c r="E401" s="486" t="s">
        <v>202</v>
      </c>
      <c r="F401" s="486" t="s">
        <v>242</v>
      </c>
      <c r="G401" s="487">
        <v>2</v>
      </c>
      <c r="H401" s="488">
        <v>32000</v>
      </c>
      <c r="I401" s="282">
        <f t="shared" si="7"/>
        <v>6800</v>
      </c>
      <c r="J401" s="283"/>
    </row>
    <row r="402" spans="2:10" s="259" customFormat="1" ht="16.5" customHeight="1">
      <c r="B402" s="251">
        <v>396</v>
      </c>
      <c r="C402" s="486" t="s">
        <v>365</v>
      </c>
      <c r="D402" s="486" t="s">
        <v>424</v>
      </c>
      <c r="E402" s="486" t="s">
        <v>213</v>
      </c>
      <c r="F402" s="486" t="s">
        <v>242</v>
      </c>
      <c r="G402" s="487">
        <v>2</v>
      </c>
      <c r="H402" s="488">
        <v>70000</v>
      </c>
      <c r="I402" s="282">
        <f t="shared" si="7"/>
        <v>14875</v>
      </c>
      <c r="J402" s="283"/>
    </row>
    <row r="403" spans="2:10" s="259" customFormat="1" ht="16.5" customHeight="1">
      <c r="B403" s="251">
        <v>397</v>
      </c>
      <c r="C403" s="486" t="s">
        <v>365</v>
      </c>
      <c r="D403" s="486" t="s">
        <v>425</v>
      </c>
      <c r="E403" s="486" t="s">
        <v>234</v>
      </c>
      <c r="F403" s="486" t="s">
        <v>242</v>
      </c>
      <c r="G403" s="487">
        <v>2</v>
      </c>
      <c r="H403" s="488">
        <v>70000</v>
      </c>
      <c r="I403" s="282">
        <f t="shared" si="7"/>
        <v>14875</v>
      </c>
      <c r="J403" s="283"/>
    </row>
    <row r="404" spans="2:10" s="259" customFormat="1" ht="16.5" customHeight="1">
      <c r="B404" s="251">
        <v>398</v>
      </c>
      <c r="C404" s="486" t="s">
        <v>365</v>
      </c>
      <c r="D404" s="486" t="s">
        <v>424</v>
      </c>
      <c r="E404" s="486" t="s">
        <v>213</v>
      </c>
      <c r="F404" s="486" t="s">
        <v>242</v>
      </c>
      <c r="G404" s="487">
        <v>2</v>
      </c>
      <c r="H404" s="488">
        <v>70000</v>
      </c>
      <c r="I404" s="282">
        <f t="shared" si="7"/>
        <v>14875</v>
      </c>
      <c r="J404" s="283"/>
    </row>
    <row r="405" spans="2:10" s="259" customFormat="1" ht="16.5" customHeight="1">
      <c r="B405" s="251">
        <v>399</v>
      </c>
      <c r="C405" s="486" t="s">
        <v>365</v>
      </c>
      <c r="D405" s="486" t="s">
        <v>424</v>
      </c>
      <c r="E405" s="486" t="s">
        <v>213</v>
      </c>
      <c r="F405" s="486" t="s">
        <v>242</v>
      </c>
      <c r="G405" s="487">
        <v>3</v>
      </c>
      <c r="H405" s="488">
        <v>105000</v>
      </c>
      <c r="I405" s="282">
        <f t="shared" si="7"/>
        <v>22312.5</v>
      </c>
      <c r="J405" s="283"/>
    </row>
    <row r="406" spans="2:10" s="259" customFormat="1" ht="16.5" customHeight="1">
      <c r="B406" s="251">
        <v>400</v>
      </c>
      <c r="C406" s="486" t="s">
        <v>368</v>
      </c>
      <c r="D406" s="486" t="s">
        <v>426</v>
      </c>
      <c r="E406" s="486" t="s">
        <v>427</v>
      </c>
      <c r="F406" s="486" t="s">
        <v>242</v>
      </c>
      <c r="G406" s="487">
        <v>1</v>
      </c>
      <c r="H406" s="488">
        <v>16000</v>
      </c>
      <c r="I406" s="282">
        <f t="shared" si="7"/>
        <v>3400</v>
      </c>
      <c r="J406" s="283"/>
    </row>
    <row r="407" spans="2:10" s="259" customFormat="1" ht="16.5" customHeight="1">
      <c r="B407" s="251">
        <v>401</v>
      </c>
      <c r="C407" s="486" t="s">
        <v>368</v>
      </c>
      <c r="D407" s="486" t="s">
        <v>428</v>
      </c>
      <c r="E407" s="486" t="s">
        <v>200</v>
      </c>
      <c r="F407" s="486" t="s">
        <v>242</v>
      </c>
      <c r="G407" s="487">
        <v>6</v>
      </c>
      <c r="H407" s="488">
        <v>96000</v>
      </c>
      <c r="I407" s="282">
        <f t="shared" si="7"/>
        <v>20400</v>
      </c>
      <c r="J407" s="283"/>
    </row>
    <row r="408" spans="2:10" s="259" customFormat="1" ht="16.5" customHeight="1">
      <c r="B408" s="251">
        <v>402</v>
      </c>
      <c r="C408" s="486" t="s">
        <v>368</v>
      </c>
      <c r="D408" s="486" t="s">
        <v>429</v>
      </c>
      <c r="E408" s="486" t="s">
        <v>179</v>
      </c>
      <c r="F408" s="486" t="s">
        <v>242</v>
      </c>
      <c r="G408" s="487">
        <v>6</v>
      </c>
      <c r="H408" s="488">
        <v>210000</v>
      </c>
      <c r="I408" s="282">
        <f t="shared" si="7"/>
        <v>44625</v>
      </c>
      <c r="J408" s="283"/>
    </row>
    <row r="409" spans="2:10" s="259" customFormat="1" ht="16.5" customHeight="1">
      <c r="B409" s="251">
        <v>403</v>
      </c>
      <c r="C409" s="486" t="s">
        <v>368</v>
      </c>
      <c r="D409" s="486" t="s">
        <v>428</v>
      </c>
      <c r="E409" s="486" t="s">
        <v>200</v>
      </c>
      <c r="F409" s="486" t="s">
        <v>242</v>
      </c>
      <c r="G409" s="487">
        <v>3</v>
      </c>
      <c r="H409" s="488">
        <v>48000</v>
      </c>
      <c r="I409" s="282">
        <f t="shared" si="7"/>
        <v>10200</v>
      </c>
      <c r="J409" s="283"/>
    </row>
    <row r="410" spans="2:10" s="259" customFormat="1" ht="16.5" customHeight="1">
      <c r="B410" s="251">
        <v>404</v>
      </c>
      <c r="C410" s="486" t="s">
        <v>368</v>
      </c>
      <c r="D410" s="486" t="s">
        <v>429</v>
      </c>
      <c r="E410" s="486" t="s">
        <v>179</v>
      </c>
      <c r="F410" s="486" t="s">
        <v>242</v>
      </c>
      <c r="G410" s="487">
        <v>4</v>
      </c>
      <c r="H410" s="488">
        <v>140000</v>
      </c>
      <c r="I410" s="282">
        <f t="shared" si="7"/>
        <v>29750</v>
      </c>
      <c r="J410" s="283"/>
    </row>
    <row r="411" spans="2:10" s="259" customFormat="1" ht="16.5" customHeight="1">
      <c r="B411" s="251">
        <v>405</v>
      </c>
      <c r="C411" s="486" t="s">
        <v>368</v>
      </c>
      <c r="D411" s="486" t="s">
        <v>429</v>
      </c>
      <c r="E411" s="486" t="s">
        <v>179</v>
      </c>
      <c r="F411" s="486" t="s">
        <v>242</v>
      </c>
      <c r="G411" s="487">
        <v>3</v>
      </c>
      <c r="H411" s="488">
        <v>105000</v>
      </c>
      <c r="I411" s="282">
        <f t="shared" si="7"/>
        <v>22312.5</v>
      </c>
      <c r="J411" s="283"/>
    </row>
    <row r="412" spans="2:10" s="259" customFormat="1" ht="16.5" customHeight="1">
      <c r="B412" s="251">
        <v>406</v>
      </c>
      <c r="C412" s="486" t="s">
        <v>368</v>
      </c>
      <c r="D412" s="486" t="s">
        <v>428</v>
      </c>
      <c r="E412" s="486" t="s">
        <v>200</v>
      </c>
      <c r="F412" s="486" t="s">
        <v>242</v>
      </c>
      <c r="G412" s="487">
        <v>9</v>
      </c>
      <c r="H412" s="488">
        <v>144000</v>
      </c>
      <c r="I412" s="282">
        <f t="shared" si="7"/>
        <v>30600</v>
      </c>
      <c r="J412" s="283"/>
    </row>
    <row r="413" spans="2:10" s="259" customFormat="1" ht="16.5" customHeight="1">
      <c r="B413" s="251">
        <v>407</v>
      </c>
      <c r="C413" s="486" t="s">
        <v>368</v>
      </c>
      <c r="D413" s="486" t="s">
        <v>428</v>
      </c>
      <c r="E413" s="486" t="s">
        <v>200</v>
      </c>
      <c r="F413" s="486" t="s">
        <v>242</v>
      </c>
      <c r="G413" s="487">
        <v>4</v>
      </c>
      <c r="H413" s="488">
        <v>64000</v>
      </c>
      <c r="I413" s="282">
        <f t="shared" si="7"/>
        <v>13600</v>
      </c>
      <c r="J413" s="283"/>
    </row>
    <row r="414" spans="2:10" s="259" customFormat="1" ht="16.5" customHeight="1">
      <c r="B414" s="251">
        <v>408</v>
      </c>
      <c r="C414" s="486" t="s">
        <v>368</v>
      </c>
      <c r="D414" s="486" t="s">
        <v>429</v>
      </c>
      <c r="E414" s="486" t="s">
        <v>179</v>
      </c>
      <c r="F414" s="486" t="s">
        <v>242</v>
      </c>
      <c r="G414" s="487">
        <v>1</v>
      </c>
      <c r="H414" s="488">
        <v>35000</v>
      </c>
      <c r="I414" s="282">
        <f t="shared" si="7"/>
        <v>7437.5</v>
      </c>
      <c r="J414" s="283"/>
    </row>
    <row r="415" spans="2:10" s="259" customFormat="1" ht="16.5" customHeight="1">
      <c r="B415" s="251">
        <v>409</v>
      </c>
      <c r="C415" s="486" t="s">
        <v>368</v>
      </c>
      <c r="D415" s="486" t="s">
        <v>429</v>
      </c>
      <c r="E415" s="486" t="s">
        <v>179</v>
      </c>
      <c r="F415" s="486" t="s">
        <v>242</v>
      </c>
      <c r="G415" s="487">
        <v>1</v>
      </c>
      <c r="H415" s="488">
        <v>35000</v>
      </c>
      <c r="I415" s="282">
        <f t="shared" si="7"/>
        <v>7437.5</v>
      </c>
      <c r="J415" s="283"/>
    </row>
    <row r="416" spans="2:10" s="259" customFormat="1" ht="16.5" customHeight="1">
      <c r="B416" s="251">
        <v>410</v>
      </c>
      <c r="C416" s="486" t="s">
        <v>368</v>
      </c>
      <c r="D416" s="486" t="s">
        <v>429</v>
      </c>
      <c r="E416" s="486" t="s">
        <v>179</v>
      </c>
      <c r="F416" s="486" t="s">
        <v>242</v>
      </c>
      <c r="G416" s="487">
        <v>3</v>
      </c>
      <c r="H416" s="488">
        <v>105000</v>
      </c>
      <c r="I416" s="282">
        <f t="shared" si="7"/>
        <v>22312.5</v>
      </c>
      <c r="J416" s="283"/>
    </row>
    <row r="417" spans="2:10" s="259" customFormat="1" ht="16.5" customHeight="1">
      <c r="B417" s="251">
        <v>411</v>
      </c>
      <c r="C417" s="486" t="s">
        <v>430</v>
      </c>
      <c r="D417" s="486" t="s">
        <v>281</v>
      </c>
      <c r="E417" s="486" t="s">
        <v>140</v>
      </c>
      <c r="F417" s="486" t="s">
        <v>242</v>
      </c>
      <c r="G417" s="487">
        <v>1</v>
      </c>
      <c r="H417" s="488">
        <v>35000</v>
      </c>
      <c r="I417" s="282">
        <f t="shared" si="7"/>
        <v>7437.5</v>
      </c>
      <c r="J417" s="283"/>
    </row>
    <row r="418" spans="2:10" s="259" customFormat="1" ht="16.5" customHeight="1">
      <c r="B418" s="251">
        <v>412</v>
      </c>
      <c r="C418" s="486" t="s">
        <v>371</v>
      </c>
      <c r="D418" s="486" t="s">
        <v>185</v>
      </c>
      <c r="E418" s="486" t="s">
        <v>186</v>
      </c>
      <c r="F418" s="486" t="s">
        <v>242</v>
      </c>
      <c r="G418" s="487">
        <v>2</v>
      </c>
      <c r="H418" s="488">
        <v>70000</v>
      </c>
      <c r="I418" s="282">
        <f t="shared" si="7"/>
        <v>14875</v>
      </c>
      <c r="J418" s="283"/>
    </row>
    <row r="419" spans="2:10" s="259" customFormat="1" ht="16.5" customHeight="1">
      <c r="B419" s="251">
        <v>413</v>
      </c>
      <c r="C419" s="486" t="s">
        <v>371</v>
      </c>
      <c r="D419" s="486" t="s">
        <v>431</v>
      </c>
      <c r="E419" s="486" t="s">
        <v>211</v>
      </c>
      <c r="F419" s="486" t="s">
        <v>242</v>
      </c>
      <c r="G419" s="487">
        <v>1</v>
      </c>
      <c r="H419" s="488">
        <v>35000</v>
      </c>
      <c r="I419" s="282">
        <f t="shared" si="7"/>
        <v>7437.5</v>
      </c>
      <c r="J419" s="283"/>
    </row>
    <row r="420" spans="2:10" s="259" customFormat="1" ht="16.5" customHeight="1">
      <c r="B420" s="251">
        <v>414</v>
      </c>
      <c r="C420" s="486" t="s">
        <v>371</v>
      </c>
      <c r="D420" s="486" t="s">
        <v>432</v>
      </c>
      <c r="E420" s="486" t="s">
        <v>205</v>
      </c>
      <c r="F420" s="486" t="s">
        <v>242</v>
      </c>
      <c r="G420" s="487">
        <v>2</v>
      </c>
      <c r="H420" s="488">
        <v>32000</v>
      </c>
      <c r="I420" s="282">
        <f t="shared" si="7"/>
        <v>6800</v>
      </c>
      <c r="J420" s="283"/>
    </row>
    <row r="421" spans="2:10" s="259" customFormat="1" ht="16.5" customHeight="1">
      <c r="B421" s="251">
        <v>415</v>
      </c>
      <c r="C421" s="486" t="s">
        <v>371</v>
      </c>
      <c r="D421" s="486" t="s">
        <v>431</v>
      </c>
      <c r="E421" s="486" t="s">
        <v>211</v>
      </c>
      <c r="F421" s="486" t="s">
        <v>242</v>
      </c>
      <c r="G421" s="487">
        <v>2</v>
      </c>
      <c r="H421" s="488">
        <v>70000</v>
      </c>
      <c r="I421" s="282">
        <f t="shared" si="7"/>
        <v>14875</v>
      </c>
      <c r="J421" s="283"/>
    </row>
    <row r="422" spans="2:10" s="259" customFormat="1" ht="16.5" customHeight="1">
      <c r="B422" s="251">
        <v>416</v>
      </c>
      <c r="C422" s="486" t="s">
        <v>371</v>
      </c>
      <c r="D422" s="486" t="s">
        <v>277</v>
      </c>
      <c r="E422" s="486" t="s">
        <v>212</v>
      </c>
      <c r="F422" s="486" t="s">
        <v>242</v>
      </c>
      <c r="G422" s="487">
        <v>3</v>
      </c>
      <c r="H422" s="488">
        <v>105000</v>
      </c>
      <c r="I422" s="282">
        <f t="shared" si="7"/>
        <v>22312.5</v>
      </c>
      <c r="J422" s="283"/>
    </row>
    <row r="423" spans="2:10" s="259" customFormat="1" ht="16.5" customHeight="1">
      <c r="B423" s="251">
        <v>417</v>
      </c>
      <c r="C423" s="486" t="s">
        <v>371</v>
      </c>
      <c r="D423" s="486" t="s">
        <v>432</v>
      </c>
      <c r="E423" s="486" t="s">
        <v>205</v>
      </c>
      <c r="F423" s="486" t="s">
        <v>242</v>
      </c>
      <c r="G423" s="487">
        <v>2</v>
      </c>
      <c r="H423" s="488">
        <v>32000</v>
      </c>
      <c r="I423" s="282">
        <f t="shared" si="7"/>
        <v>6800</v>
      </c>
      <c r="J423" s="283"/>
    </row>
    <row r="424" spans="2:10" s="259" customFormat="1" ht="16.5" customHeight="1">
      <c r="B424" s="251">
        <v>418</v>
      </c>
      <c r="C424" s="486" t="s">
        <v>371</v>
      </c>
      <c r="D424" s="486" t="s">
        <v>277</v>
      </c>
      <c r="E424" s="486" t="s">
        <v>212</v>
      </c>
      <c r="F424" s="486" t="s">
        <v>242</v>
      </c>
      <c r="G424" s="487">
        <v>3</v>
      </c>
      <c r="H424" s="488">
        <v>105000</v>
      </c>
      <c r="I424" s="282">
        <f t="shared" si="7"/>
        <v>22312.5</v>
      </c>
      <c r="J424" s="283"/>
    </row>
    <row r="425" spans="2:10" s="259" customFormat="1" ht="16.5" customHeight="1">
      <c r="B425" s="251">
        <v>419</v>
      </c>
      <c r="C425" s="486" t="s">
        <v>371</v>
      </c>
      <c r="D425" s="486" t="s">
        <v>432</v>
      </c>
      <c r="E425" s="486" t="s">
        <v>205</v>
      </c>
      <c r="F425" s="486" t="s">
        <v>242</v>
      </c>
      <c r="G425" s="487">
        <v>2</v>
      </c>
      <c r="H425" s="488">
        <v>32000</v>
      </c>
      <c r="I425" s="282">
        <f t="shared" si="7"/>
        <v>6800</v>
      </c>
      <c r="J425" s="283"/>
    </row>
    <row r="426" spans="2:10" s="259" customFormat="1" ht="16.5" customHeight="1">
      <c r="B426" s="251">
        <v>420</v>
      </c>
      <c r="C426" s="486" t="s">
        <v>371</v>
      </c>
      <c r="D426" s="486" t="s">
        <v>432</v>
      </c>
      <c r="E426" s="486" t="s">
        <v>205</v>
      </c>
      <c r="F426" s="486" t="s">
        <v>242</v>
      </c>
      <c r="G426" s="487">
        <v>1</v>
      </c>
      <c r="H426" s="488">
        <v>16000</v>
      </c>
      <c r="I426" s="282">
        <f t="shared" si="7"/>
        <v>3400</v>
      </c>
      <c r="J426" s="283"/>
    </row>
    <row r="427" spans="2:10" s="259" customFormat="1" ht="16.5" customHeight="1">
      <c r="B427" s="251">
        <v>421</v>
      </c>
      <c r="C427" s="486" t="s">
        <v>371</v>
      </c>
      <c r="D427" s="486" t="s">
        <v>432</v>
      </c>
      <c r="E427" s="486" t="s">
        <v>205</v>
      </c>
      <c r="F427" s="486" t="s">
        <v>242</v>
      </c>
      <c r="G427" s="487">
        <v>2</v>
      </c>
      <c r="H427" s="488">
        <v>32000</v>
      </c>
      <c r="I427" s="282">
        <f t="shared" ref="I427:I469" si="8">H427*21.25%</f>
        <v>6800</v>
      </c>
      <c r="J427" s="283"/>
    </row>
    <row r="428" spans="2:10" s="259" customFormat="1" ht="16.5" customHeight="1">
      <c r="B428" s="251">
        <v>422</v>
      </c>
      <c r="C428" s="486" t="s">
        <v>371</v>
      </c>
      <c r="D428" s="486" t="s">
        <v>431</v>
      </c>
      <c r="E428" s="486" t="s">
        <v>211</v>
      </c>
      <c r="F428" s="486" t="s">
        <v>242</v>
      </c>
      <c r="G428" s="487">
        <v>1</v>
      </c>
      <c r="H428" s="488">
        <v>35000</v>
      </c>
      <c r="I428" s="282">
        <f t="shared" si="8"/>
        <v>7437.5</v>
      </c>
      <c r="J428" s="283"/>
    </row>
    <row r="429" spans="2:10" s="259" customFormat="1" ht="16.5" customHeight="1">
      <c r="B429" s="251">
        <v>423</v>
      </c>
      <c r="C429" s="486" t="s">
        <v>371</v>
      </c>
      <c r="D429" s="486" t="s">
        <v>277</v>
      </c>
      <c r="E429" s="486" t="s">
        <v>212</v>
      </c>
      <c r="F429" s="486" t="s">
        <v>242</v>
      </c>
      <c r="G429" s="487">
        <v>1</v>
      </c>
      <c r="H429" s="488">
        <v>35000</v>
      </c>
      <c r="I429" s="282">
        <f t="shared" si="8"/>
        <v>7437.5</v>
      </c>
      <c r="J429" s="283"/>
    </row>
    <row r="430" spans="2:10" s="259" customFormat="1" ht="16.5" customHeight="1">
      <c r="B430" s="251">
        <v>424</v>
      </c>
      <c r="C430" s="486" t="s">
        <v>371</v>
      </c>
      <c r="D430" s="486" t="s">
        <v>277</v>
      </c>
      <c r="E430" s="486" t="s">
        <v>212</v>
      </c>
      <c r="F430" s="486" t="s">
        <v>242</v>
      </c>
      <c r="G430" s="487">
        <v>3</v>
      </c>
      <c r="H430" s="488">
        <v>105000</v>
      </c>
      <c r="I430" s="282">
        <f t="shared" si="8"/>
        <v>22312.5</v>
      </c>
      <c r="J430" s="283"/>
    </row>
    <row r="431" spans="2:10" s="259" customFormat="1" ht="16.5" customHeight="1">
      <c r="B431" s="251">
        <v>425</v>
      </c>
      <c r="C431" s="486" t="s">
        <v>377</v>
      </c>
      <c r="D431" s="486" t="s">
        <v>424</v>
      </c>
      <c r="E431" s="486" t="s">
        <v>213</v>
      </c>
      <c r="F431" s="486" t="s">
        <v>242</v>
      </c>
      <c r="G431" s="487">
        <v>1</v>
      </c>
      <c r="H431" s="488">
        <v>16000</v>
      </c>
      <c r="I431" s="282">
        <f t="shared" si="8"/>
        <v>3400</v>
      </c>
      <c r="J431" s="283"/>
    </row>
    <row r="432" spans="2:10" s="259" customFormat="1" ht="16.5" customHeight="1">
      <c r="B432" s="251">
        <v>426</v>
      </c>
      <c r="C432" s="486" t="s">
        <v>377</v>
      </c>
      <c r="D432" s="486" t="s">
        <v>424</v>
      </c>
      <c r="E432" s="486" t="s">
        <v>213</v>
      </c>
      <c r="F432" s="486" t="s">
        <v>242</v>
      </c>
      <c r="G432" s="487">
        <v>2</v>
      </c>
      <c r="H432" s="488">
        <v>32000</v>
      </c>
      <c r="I432" s="282">
        <f t="shared" si="8"/>
        <v>6800</v>
      </c>
      <c r="J432" s="283"/>
    </row>
    <row r="433" spans="2:10" s="259" customFormat="1" ht="16.5" customHeight="1">
      <c r="B433" s="251">
        <v>427</v>
      </c>
      <c r="C433" s="486" t="s">
        <v>377</v>
      </c>
      <c r="D433" s="486" t="s">
        <v>424</v>
      </c>
      <c r="E433" s="486" t="s">
        <v>213</v>
      </c>
      <c r="F433" s="486" t="s">
        <v>242</v>
      </c>
      <c r="G433" s="487">
        <v>2</v>
      </c>
      <c r="H433" s="488">
        <v>32000</v>
      </c>
      <c r="I433" s="282">
        <f t="shared" si="8"/>
        <v>6800</v>
      </c>
      <c r="J433" s="283"/>
    </row>
    <row r="434" spans="2:10" s="259" customFormat="1" ht="16.5" customHeight="1">
      <c r="B434" s="251">
        <v>428</v>
      </c>
      <c r="C434" s="486" t="s">
        <v>377</v>
      </c>
      <c r="D434" s="486" t="s">
        <v>424</v>
      </c>
      <c r="E434" s="486" t="s">
        <v>213</v>
      </c>
      <c r="F434" s="486" t="s">
        <v>242</v>
      </c>
      <c r="G434" s="487">
        <v>2</v>
      </c>
      <c r="H434" s="488">
        <v>32000</v>
      </c>
      <c r="I434" s="282">
        <f t="shared" si="8"/>
        <v>6800</v>
      </c>
      <c r="J434" s="283"/>
    </row>
    <row r="435" spans="2:10" s="259" customFormat="1" ht="16.5" customHeight="1">
      <c r="B435" s="251">
        <v>429</v>
      </c>
      <c r="C435" s="486" t="s">
        <v>382</v>
      </c>
      <c r="D435" s="486" t="s">
        <v>433</v>
      </c>
      <c r="E435" s="486" t="s">
        <v>203</v>
      </c>
      <c r="F435" s="486" t="s">
        <v>242</v>
      </c>
      <c r="G435" s="487">
        <v>6</v>
      </c>
      <c r="H435" s="488">
        <v>96000</v>
      </c>
      <c r="I435" s="282">
        <f t="shared" si="8"/>
        <v>20400</v>
      </c>
      <c r="J435" s="283"/>
    </row>
    <row r="436" spans="2:10" s="259" customFormat="1" ht="16.5" customHeight="1">
      <c r="B436" s="251">
        <v>430</v>
      </c>
      <c r="C436" s="486" t="s">
        <v>382</v>
      </c>
      <c r="D436" s="486" t="s">
        <v>433</v>
      </c>
      <c r="E436" s="486" t="s">
        <v>203</v>
      </c>
      <c r="F436" s="486" t="s">
        <v>242</v>
      </c>
      <c r="G436" s="487">
        <v>7</v>
      </c>
      <c r="H436" s="488">
        <v>112000</v>
      </c>
      <c r="I436" s="282">
        <f t="shared" si="8"/>
        <v>23800</v>
      </c>
      <c r="J436" s="283"/>
    </row>
    <row r="437" spans="2:10" s="259" customFormat="1" ht="16.5" customHeight="1">
      <c r="B437" s="251">
        <v>431</v>
      </c>
      <c r="C437" s="486" t="s">
        <v>382</v>
      </c>
      <c r="D437" s="486" t="s">
        <v>433</v>
      </c>
      <c r="E437" s="486" t="s">
        <v>203</v>
      </c>
      <c r="F437" s="486" t="s">
        <v>242</v>
      </c>
      <c r="G437" s="487">
        <v>5</v>
      </c>
      <c r="H437" s="488">
        <v>80000</v>
      </c>
      <c r="I437" s="282">
        <f t="shared" si="8"/>
        <v>17000</v>
      </c>
      <c r="J437" s="283"/>
    </row>
    <row r="438" spans="2:10" s="259" customFormat="1" ht="16.5" customHeight="1">
      <c r="B438" s="251">
        <v>432</v>
      </c>
      <c r="C438" s="486" t="s">
        <v>382</v>
      </c>
      <c r="D438" s="486" t="s">
        <v>433</v>
      </c>
      <c r="E438" s="486" t="s">
        <v>203</v>
      </c>
      <c r="F438" s="486" t="s">
        <v>242</v>
      </c>
      <c r="G438" s="487">
        <v>2</v>
      </c>
      <c r="H438" s="488">
        <v>32000</v>
      </c>
      <c r="I438" s="282">
        <f t="shared" si="8"/>
        <v>6800</v>
      </c>
      <c r="J438" s="283"/>
    </row>
    <row r="439" spans="2:10" s="259" customFormat="1" ht="16.5" customHeight="1">
      <c r="B439" s="251">
        <v>433</v>
      </c>
      <c r="C439" s="486" t="s">
        <v>382</v>
      </c>
      <c r="D439" s="486" t="s">
        <v>433</v>
      </c>
      <c r="E439" s="486" t="s">
        <v>203</v>
      </c>
      <c r="F439" s="486" t="s">
        <v>242</v>
      </c>
      <c r="G439" s="487">
        <v>1</v>
      </c>
      <c r="H439" s="488">
        <v>16000</v>
      </c>
      <c r="I439" s="282">
        <f t="shared" si="8"/>
        <v>3400</v>
      </c>
      <c r="J439" s="283"/>
    </row>
    <row r="440" spans="2:10" s="259" customFormat="1" ht="16.5" customHeight="1">
      <c r="B440" s="251">
        <v>434</v>
      </c>
      <c r="C440" s="486" t="s">
        <v>406</v>
      </c>
      <c r="D440" s="486" t="s">
        <v>434</v>
      </c>
      <c r="E440" s="486" t="s">
        <v>186</v>
      </c>
      <c r="F440" s="486" t="s">
        <v>242</v>
      </c>
      <c r="G440" s="487">
        <v>1</v>
      </c>
      <c r="H440" s="488">
        <v>16000</v>
      </c>
      <c r="I440" s="282">
        <f t="shared" si="8"/>
        <v>3400</v>
      </c>
      <c r="J440" s="283"/>
    </row>
    <row r="441" spans="2:10" s="259" customFormat="1" ht="16.5" customHeight="1">
      <c r="B441" s="251">
        <v>435</v>
      </c>
      <c r="C441" s="486" t="s">
        <v>406</v>
      </c>
      <c r="D441" s="486" t="s">
        <v>435</v>
      </c>
      <c r="E441" s="486" t="s">
        <v>211</v>
      </c>
      <c r="F441" s="486" t="s">
        <v>242</v>
      </c>
      <c r="G441" s="487">
        <v>1</v>
      </c>
      <c r="H441" s="488">
        <v>16000</v>
      </c>
      <c r="I441" s="282">
        <f t="shared" si="8"/>
        <v>3400</v>
      </c>
      <c r="J441" s="283"/>
    </row>
    <row r="442" spans="2:10" s="259" customFormat="1" ht="16.5" customHeight="1">
      <c r="B442" s="251">
        <v>436</v>
      </c>
      <c r="C442" s="486" t="s">
        <v>406</v>
      </c>
      <c r="D442" s="486" t="s">
        <v>434</v>
      </c>
      <c r="E442" s="486" t="s">
        <v>186</v>
      </c>
      <c r="F442" s="486" t="s">
        <v>242</v>
      </c>
      <c r="G442" s="487">
        <v>3</v>
      </c>
      <c r="H442" s="488">
        <v>48000</v>
      </c>
      <c r="I442" s="282">
        <f t="shared" si="8"/>
        <v>10200</v>
      </c>
      <c r="J442" s="283"/>
    </row>
    <row r="443" spans="2:10" s="259" customFormat="1" ht="16.5" customHeight="1">
      <c r="B443" s="251">
        <v>437</v>
      </c>
      <c r="C443" s="486" t="s">
        <v>406</v>
      </c>
      <c r="D443" s="486" t="s">
        <v>435</v>
      </c>
      <c r="E443" s="486" t="s">
        <v>211</v>
      </c>
      <c r="F443" s="486" t="s">
        <v>242</v>
      </c>
      <c r="G443" s="487">
        <v>3</v>
      </c>
      <c r="H443" s="488">
        <v>48000</v>
      </c>
      <c r="I443" s="282">
        <f t="shared" si="8"/>
        <v>10200</v>
      </c>
      <c r="J443" s="283"/>
    </row>
    <row r="444" spans="2:10" s="259" customFormat="1" ht="16.5" customHeight="1">
      <c r="B444" s="251">
        <v>438</v>
      </c>
      <c r="C444" s="486" t="s">
        <v>406</v>
      </c>
      <c r="D444" s="486" t="s">
        <v>434</v>
      </c>
      <c r="E444" s="486" t="s">
        <v>186</v>
      </c>
      <c r="F444" s="486" t="s">
        <v>242</v>
      </c>
      <c r="G444" s="487">
        <v>2</v>
      </c>
      <c r="H444" s="488">
        <v>32000</v>
      </c>
      <c r="I444" s="282">
        <f t="shared" si="8"/>
        <v>6800</v>
      </c>
      <c r="J444" s="283"/>
    </row>
    <row r="445" spans="2:10" s="259" customFormat="1" ht="16.5" customHeight="1">
      <c r="B445" s="251">
        <v>439</v>
      </c>
      <c r="C445" s="486" t="s">
        <v>406</v>
      </c>
      <c r="D445" s="486" t="s">
        <v>435</v>
      </c>
      <c r="E445" s="486" t="s">
        <v>211</v>
      </c>
      <c r="F445" s="486" t="s">
        <v>242</v>
      </c>
      <c r="G445" s="487">
        <v>2</v>
      </c>
      <c r="H445" s="488">
        <v>32000</v>
      </c>
      <c r="I445" s="282">
        <f t="shared" si="8"/>
        <v>6800</v>
      </c>
      <c r="J445" s="283"/>
    </row>
    <row r="446" spans="2:10" s="259" customFormat="1" ht="16.5" customHeight="1">
      <c r="B446" s="251">
        <v>440</v>
      </c>
      <c r="C446" s="486" t="s">
        <v>406</v>
      </c>
      <c r="D446" s="486" t="s">
        <v>436</v>
      </c>
      <c r="E446" s="486" t="s">
        <v>226</v>
      </c>
      <c r="F446" s="486" t="s">
        <v>242</v>
      </c>
      <c r="G446" s="487">
        <v>3</v>
      </c>
      <c r="H446" s="488">
        <v>105000</v>
      </c>
      <c r="I446" s="282">
        <f t="shared" si="8"/>
        <v>22312.5</v>
      </c>
      <c r="J446" s="283"/>
    </row>
    <row r="447" spans="2:10" s="259" customFormat="1" ht="16.5" customHeight="1">
      <c r="B447" s="251">
        <v>441</v>
      </c>
      <c r="C447" s="486" t="s">
        <v>406</v>
      </c>
      <c r="D447" s="486" t="s">
        <v>436</v>
      </c>
      <c r="E447" s="486" t="s">
        <v>226</v>
      </c>
      <c r="F447" s="486" t="s">
        <v>242</v>
      </c>
      <c r="G447" s="487">
        <v>4</v>
      </c>
      <c r="H447" s="488">
        <v>140000</v>
      </c>
      <c r="I447" s="282">
        <f t="shared" si="8"/>
        <v>29750</v>
      </c>
      <c r="J447" s="283"/>
    </row>
    <row r="448" spans="2:10" s="259" customFormat="1" ht="16.5" customHeight="1">
      <c r="B448" s="251">
        <v>442</v>
      </c>
      <c r="C448" s="486" t="s">
        <v>406</v>
      </c>
      <c r="D448" s="486" t="s">
        <v>437</v>
      </c>
      <c r="E448" s="486" t="s">
        <v>213</v>
      </c>
      <c r="F448" s="486" t="s">
        <v>242</v>
      </c>
      <c r="G448" s="487">
        <v>1</v>
      </c>
      <c r="H448" s="488">
        <v>16000</v>
      </c>
      <c r="I448" s="282">
        <f t="shared" si="8"/>
        <v>3400</v>
      </c>
      <c r="J448" s="283"/>
    </row>
    <row r="449" spans="2:10" s="259" customFormat="1" ht="16.5" customHeight="1">
      <c r="B449" s="251">
        <v>443</v>
      </c>
      <c r="C449" s="486" t="s">
        <v>406</v>
      </c>
      <c r="D449" s="486" t="s">
        <v>437</v>
      </c>
      <c r="E449" s="486" t="s">
        <v>213</v>
      </c>
      <c r="F449" s="486" t="s">
        <v>242</v>
      </c>
      <c r="G449" s="487">
        <v>2</v>
      </c>
      <c r="H449" s="488">
        <v>32000</v>
      </c>
      <c r="I449" s="282">
        <f t="shared" si="8"/>
        <v>6800</v>
      </c>
      <c r="J449" s="283"/>
    </row>
    <row r="450" spans="2:10" s="259" customFormat="1" ht="16.5" customHeight="1">
      <c r="B450" s="251">
        <v>444</v>
      </c>
      <c r="C450" s="486" t="s">
        <v>406</v>
      </c>
      <c r="D450" s="486" t="s">
        <v>436</v>
      </c>
      <c r="E450" s="486" t="s">
        <v>226</v>
      </c>
      <c r="F450" s="486" t="s">
        <v>242</v>
      </c>
      <c r="G450" s="487">
        <v>3</v>
      </c>
      <c r="H450" s="488">
        <v>105000</v>
      </c>
      <c r="I450" s="282">
        <f t="shared" si="8"/>
        <v>22312.5</v>
      </c>
      <c r="J450" s="283"/>
    </row>
    <row r="451" spans="2:10" s="259" customFormat="1" ht="16.5" customHeight="1">
      <c r="B451" s="251">
        <v>445</v>
      </c>
      <c r="C451" s="486" t="s">
        <v>406</v>
      </c>
      <c r="D451" s="486" t="s">
        <v>437</v>
      </c>
      <c r="E451" s="486" t="s">
        <v>213</v>
      </c>
      <c r="F451" s="486" t="s">
        <v>242</v>
      </c>
      <c r="G451" s="487">
        <v>1</v>
      </c>
      <c r="H451" s="488">
        <v>16000</v>
      </c>
      <c r="I451" s="282">
        <f t="shared" si="8"/>
        <v>3400</v>
      </c>
      <c r="J451" s="283"/>
    </row>
    <row r="452" spans="2:10" s="259" customFormat="1" ht="16.5" customHeight="1">
      <c r="B452" s="251">
        <v>446</v>
      </c>
      <c r="C452" s="486" t="s">
        <v>406</v>
      </c>
      <c r="D452" s="486" t="s">
        <v>437</v>
      </c>
      <c r="E452" s="486" t="s">
        <v>213</v>
      </c>
      <c r="F452" s="486" t="s">
        <v>242</v>
      </c>
      <c r="G452" s="487">
        <v>2</v>
      </c>
      <c r="H452" s="488">
        <v>32000</v>
      </c>
      <c r="I452" s="282">
        <f t="shared" si="8"/>
        <v>6800</v>
      </c>
      <c r="J452" s="283"/>
    </row>
    <row r="453" spans="2:10" s="259" customFormat="1" ht="16.5" customHeight="1">
      <c r="B453" s="251">
        <v>447</v>
      </c>
      <c r="C453" s="486" t="s">
        <v>406</v>
      </c>
      <c r="D453" s="486" t="s">
        <v>436</v>
      </c>
      <c r="E453" s="486" t="s">
        <v>226</v>
      </c>
      <c r="F453" s="486" t="s">
        <v>242</v>
      </c>
      <c r="G453" s="487">
        <v>6</v>
      </c>
      <c r="H453" s="488">
        <v>210000</v>
      </c>
      <c r="I453" s="282">
        <f t="shared" si="8"/>
        <v>44625</v>
      </c>
      <c r="J453" s="283"/>
    </row>
    <row r="454" spans="2:10" s="259" customFormat="1" ht="16.5" customHeight="1">
      <c r="B454" s="251">
        <v>448</v>
      </c>
      <c r="C454" s="486" t="s">
        <v>388</v>
      </c>
      <c r="D454" s="486" t="s">
        <v>438</v>
      </c>
      <c r="E454" s="486" t="s">
        <v>202</v>
      </c>
      <c r="F454" s="486" t="s">
        <v>242</v>
      </c>
      <c r="G454" s="487">
        <v>2</v>
      </c>
      <c r="H454" s="488">
        <v>32000</v>
      </c>
      <c r="I454" s="282">
        <f t="shared" si="8"/>
        <v>6800</v>
      </c>
      <c r="J454" s="283"/>
    </row>
    <row r="455" spans="2:10" s="259" customFormat="1" ht="16.5" customHeight="1">
      <c r="B455" s="251">
        <v>449</v>
      </c>
      <c r="C455" s="486" t="s">
        <v>388</v>
      </c>
      <c r="D455" s="486" t="s">
        <v>438</v>
      </c>
      <c r="E455" s="486" t="s">
        <v>202</v>
      </c>
      <c r="F455" s="486" t="s">
        <v>242</v>
      </c>
      <c r="G455" s="487">
        <v>3</v>
      </c>
      <c r="H455" s="488">
        <v>48000</v>
      </c>
      <c r="I455" s="282">
        <f t="shared" si="8"/>
        <v>10200</v>
      </c>
      <c r="J455" s="283"/>
    </row>
    <row r="456" spans="2:10" s="259" customFormat="1" ht="16.5" customHeight="1">
      <c r="B456" s="251">
        <v>450</v>
      </c>
      <c r="C456" s="486" t="s">
        <v>388</v>
      </c>
      <c r="D456" s="486" t="s">
        <v>438</v>
      </c>
      <c r="E456" s="486" t="s">
        <v>202</v>
      </c>
      <c r="F456" s="486" t="s">
        <v>242</v>
      </c>
      <c r="G456" s="487">
        <v>4</v>
      </c>
      <c r="H456" s="488">
        <v>64000</v>
      </c>
      <c r="I456" s="282">
        <f t="shared" si="8"/>
        <v>13600</v>
      </c>
      <c r="J456" s="283"/>
    </row>
    <row r="457" spans="2:10" s="259" customFormat="1" ht="16.5" customHeight="1">
      <c r="B457" s="251">
        <v>451</v>
      </c>
      <c r="C457" s="486" t="s">
        <v>388</v>
      </c>
      <c r="D457" s="486" t="s">
        <v>438</v>
      </c>
      <c r="E457" s="486" t="s">
        <v>202</v>
      </c>
      <c r="F457" s="486" t="s">
        <v>242</v>
      </c>
      <c r="G457" s="487">
        <v>2</v>
      </c>
      <c r="H457" s="488">
        <v>32000</v>
      </c>
      <c r="I457" s="282">
        <f t="shared" si="8"/>
        <v>6800</v>
      </c>
      <c r="J457" s="283"/>
    </row>
    <row r="458" spans="2:10" s="259" customFormat="1" ht="16.5" customHeight="1">
      <c r="B458" s="251">
        <v>452</v>
      </c>
      <c r="C458" s="486" t="s">
        <v>388</v>
      </c>
      <c r="D458" s="486" t="s">
        <v>439</v>
      </c>
      <c r="E458" s="486" t="s">
        <v>179</v>
      </c>
      <c r="F458" s="486" t="s">
        <v>242</v>
      </c>
      <c r="G458" s="487">
        <v>2</v>
      </c>
      <c r="H458" s="488">
        <v>70000</v>
      </c>
      <c r="I458" s="282">
        <f t="shared" si="8"/>
        <v>14875</v>
      </c>
      <c r="J458" s="283"/>
    </row>
    <row r="459" spans="2:10" s="259" customFormat="1" ht="16.5" customHeight="1">
      <c r="B459" s="251">
        <v>453</v>
      </c>
      <c r="C459" s="486" t="s">
        <v>388</v>
      </c>
      <c r="D459" s="486" t="s">
        <v>440</v>
      </c>
      <c r="E459" s="486" t="s">
        <v>193</v>
      </c>
      <c r="F459" s="486" t="s">
        <v>242</v>
      </c>
      <c r="G459" s="487">
        <v>3</v>
      </c>
      <c r="H459" s="488">
        <v>105000</v>
      </c>
      <c r="I459" s="282">
        <f t="shared" si="8"/>
        <v>22312.5</v>
      </c>
      <c r="J459" s="283"/>
    </row>
    <row r="460" spans="2:10" s="259" customFormat="1" ht="16.5" customHeight="1">
      <c r="B460" s="251">
        <v>454</v>
      </c>
      <c r="C460" s="486" t="s">
        <v>388</v>
      </c>
      <c r="D460" s="486" t="s">
        <v>439</v>
      </c>
      <c r="E460" s="486" t="s">
        <v>179</v>
      </c>
      <c r="F460" s="486" t="s">
        <v>242</v>
      </c>
      <c r="G460" s="487">
        <v>1</v>
      </c>
      <c r="H460" s="488">
        <v>35000</v>
      </c>
      <c r="I460" s="282">
        <f t="shared" si="8"/>
        <v>7437.5</v>
      </c>
      <c r="J460" s="283"/>
    </row>
    <row r="461" spans="2:10" s="259" customFormat="1" ht="16.5" customHeight="1">
      <c r="B461" s="251">
        <v>455</v>
      </c>
      <c r="C461" s="486" t="s">
        <v>388</v>
      </c>
      <c r="D461" s="486" t="s">
        <v>440</v>
      </c>
      <c r="E461" s="486" t="s">
        <v>193</v>
      </c>
      <c r="F461" s="486" t="s">
        <v>242</v>
      </c>
      <c r="G461" s="487">
        <v>2</v>
      </c>
      <c r="H461" s="488">
        <v>70000</v>
      </c>
      <c r="I461" s="282">
        <f t="shared" si="8"/>
        <v>14875</v>
      </c>
      <c r="J461" s="283"/>
    </row>
    <row r="462" spans="2:10" s="259" customFormat="1" ht="16.5" customHeight="1">
      <c r="B462" s="251">
        <v>456</v>
      </c>
      <c r="C462" s="486" t="s">
        <v>388</v>
      </c>
      <c r="D462" s="486" t="s">
        <v>439</v>
      </c>
      <c r="E462" s="486" t="s">
        <v>179</v>
      </c>
      <c r="F462" s="486" t="s">
        <v>242</v>
      </c>
      <c r="G462" s="487">
        <v>3</v>
      </c>
      <c r="H462" s="488">
        <v>105000</v>
      </c>
      <c r="I462" s="282">
        <f t="shared" si="8"/>
        <v>22312.5</v>
      </c>
      <c r="J462" s="283"/>
    </row>
    <row r="463" spans="2:10" s="259" customFormat="1" ht="16.5" customHeight="1">
      <c r="B463" s="251">
        <v>457</v>
      </c>
      <c r="C463" s="486" t="s">
        <v>388</v>
      </c>
      <c r="D463" s="486" t="s">
        <v>440</v>
      </c>
      <c r="E463" s="486" t="s">
        <v>193</v>
      </c>
      <c r="F463" s="486" t="s">
        <v>242</v>
      </c>
      <c r="G463" s="487">
        <v>2</v>
      </c>
      <c r="H463" s="488">
        <v>70000</v>
      </c>
      <c r="I463" s="282">
        <f t="shared" si="8"/>
        <v>14875</v>
      </c>
      <c r="J463" s="283"/>
    </row>
    <row r="464" spans="2:10" s="259" customFormat="1" ht="16.5" customHeight="1">
      <c r="B464" s="251">
        <v>458</v>
      </c>
      <c r="C464" s="486" t="s">
        <v>388</v>
      </c>
      <c r="D464" s="486" t="s">
        <v>440</v>
      </c>
      <c r="E464" s="486" t="s">
        <v>193</v>
      </c>
      <c r="F464" s="486" t="s">
        <v>242</v>
      </c>
      <c r="G464" s="487">
        <v>5</v>
      </c>
      <c r="H464" s="488">
        <v>175000</v>
      </c>
      <c r="I464" s="282">
        <f t="shared" si="8"/>
        <v>37187.5</v>
      </c>
      <c r="J464" s="283"/>
    </row>
    <row r="465" spans="2:11" s="259" customFormat="1" ht="16.5" customHeight="1">
      <c r="B465" s="251">
        <v>459</v>
      </c>
      <c r="C465" s="486" t="s">
        <v>391</v>
      </c>
      <c r="D465" s="486" t="s">
        <v>441</v>
      </c>
      <c r="E465" s="486" t="s">
        <v>136</v>
      </c>
      <c r="F465" s="486" t="s">
        <v>242</v>
      </c>
      <c r="G465" s="487">
        <v>4</v>
      </c>
      <c r="H465" s="488">
        <v>64000</v>
      </c>
      <c r="I465" s="282">
        <f t="shared" si="8"/>
        <v>13600</v>
      </c>
      <c r="J465" s="283"/>
    </row>
    <row r="466" spans="2:11" s="259" customFormat="1" ht="16.5" customHeight="1">
      <c r="B466" s="251">
        <v>460</v>
      </c>
      <c r="C466" s="486" t="s">
        <v>391</v>
      </c>
      <c r="D466" s="486" t="s">
        <v>441</v>
      </c>
      <c r="E466" s="486" t="s">
        <v>136</v>
      </c>
      <c r="F466" s="486" t="s">
        <v>242</v>
      </c>
      <c r="G466" s="487">
        <v>4</v>
      </c>
      <c r="H466" s="488">
        <v>64000</v>
      </c>
      <c r="I466" s="282">
        <f t="shared" si="8"/>
        <v>13600</v>
      </c>
      <c r="J466" s="283"/>
    </row>
    <row r="467" spans="2:11" s="259" customFormat="1" ht="16.5" customHeight="1">
      <c r="B467" s="251">
        <v>461</v>
      </c>
      <c r="C467" s="486" t="s">
        <v>391</v>
      </c>
      <c r="D467" s="486" t="s">
        <v>442</v>
      </c>
      <c r="E467" s="486" t="s">
        <v>186</v>
      </c>
      <c r="F467" s="486" t="s">
        <v>242</v>
      </c>
      <c r="G467" s="487">
        <v>1</v>
      </c>
      <c r="H467" s="488">
        <v>16000</v>
      </c>
      <c r="I467" s="282">
        <f t="shared" si="8"/>
        <v>3400</v>
      </c>
      <c r="J467" s="283"/>
    </row>
    <row r="468" spans="2:11" s="259" customFormat="1" ht="16.5" customHeight="1">
      <c r="B468" s="251">
        <v>462</v>
      </c>
      <c r="C468" s="486" t="s">
        <v>391</v>
      </c>
      <c r="D468" s="486" t="s">
        <v>441</v>
      </c>
      <c r="E468" s="486" t="s">
        <v>136</v>
      </c>
      <c r="F468" s="486" t="s">
        <v>242</v>
      </c>
      <c r="G468" s="487">
        <v>5</v>
      </c>
      <c r="H468" s="488">
        <v>80000</v>
      </c>
      <c r="I468" s="282">
        <f t="shared" si="8"/>
        <v>17000</v>
      </c>
      <c r="J468" s="283"/>
    </row>
    <row r="469" spans="2:11" s="259" customFormat="1" ht="16.5" customHeight="1">
      <c r="B469" s="251">
        <v>463</v>
      </c>
      <c r="C469" s="486" t="s">
        <v>391</v>
      </c>
      <c r="D469" s="486" t="s">
        <v>441</v>
      </c>
      <c r="E469" s="486" t="s">
        <v>136</v>
      </c>
      <c r="F469" s="486" t="s">
        <v>242</v>
      </c>
      <c r="G469" s="487">
        <v>2</v>
      </c>
      <c r="H469" s="488">
        <v>32000</v>
      </c>
      <c r="I469" s="282">
        <f t="shared" si="8"/>
        <v>6800</v>
      </c>
      <c r="J469" s="283"/>
    </row>
    <row r="470" spans="2:11" s="147" customFormat="1" ht="16.5" customHeight="1">
      <c r="B470" s="253"/>
      <c r="C470" s="296"/>
      <c r="D470" s="255" t="s">
        <v>83</v>
      </c>
      <c r="E470" s="296"/>
      <c r="F470" s="255"/>
      <c r="G470" s="254">
        <f>SUBTOTAL(9,G7:G469)</f>
        <v>1417</v>
      </c>
      <c r="H470" s="254">
        <f>SUBTOTAL(9,H7:H469)</f>
        <v>132626900</v>
      </c>
      <c r="I470" s="254">
        <f>SUBTOTAL(9,I7:I469)</f>
        <v>25082293.75</v>
      </c>
    </row>
    <row r="471" spans="2:11" ht="18.75" customHeight="1">
      <c r="B471" s="269"/>
      <c r="C471" s="314"/>
      <c r="D471" s="270"/>
      <c r="E471" s="309"/>
      <c r="F471" s="523" t="s">
        <v>770</v>
      </c>
      <c r="G471" s="523"/>
      <c r="H471" s="523"/>
      <c r="I471" s="523"/>
      <c r="J471" s="153"/>
    </row>
    <row r="472" spans="2:11" ht="15.75">
      <c r="B472" s="525" t="s">
        <v>35</v>
      </c>
      <c r="C472" s="525"/>
      <c r="D472" s="525"/>
      <c r="E472" s="310"/>
      <c r="F472" s="503" t="s">
        <v>113</v>
      </c>
      <c r="G472" s="503"/>
      <c r="H472" s="503"/>
      <c r="I472" s="503"/>
      <c r="J472" s="119"/>
    </row>
    <row r="473" spans="2:11" ht="18.75">
      <c r="B473" s="271"/>
      <c r="C473" s="271"/>
      <c r="D473" s="271"/>
      <c r="E473" s="310"/>
      <c r="F473" s="272"/>
      <c r="G473" s="399"/>
      <c r="H473" s="528"/>
      <c r="I473" s="528"/>
      <c r="J473" s="126"/>
    </row>
    <row r="474" spans="2:11" ht="18.75">
      <c r="B474" s="271"/>
      <c r="C474" s="271"/>
      <c r="D474" s="271"/>
      <c r="E474" s="310"/>
      <c r="F474" s="277"/>
      <c r="G474" s="399"/>
      <c r="H474" s="527"/>
      <c r="I474" s="527"/>
      <c r="J474" s="126"/>
    </row>
    <row r="475" spans="2:11" ht="18.75">
      <c r="B475" s="269"/>
      <c r="C475" s="314"/>
      <c r="D475" s="273"/>
      <c r="E475" s="311"/>
      <c r="F475" s="274"/>
      <c r="G475" s="402"/>
      <c r="H475" s="245"/>
      <c r="I475" s="245"/>
      <c r="J475" s="126"/>
    </row>
    <row r="476" spans="2:11" ht="15.75">
      <c r="B476" s="526" t="s">
        <v>96</v>
      </c>
      <c r="C476" s="526"/>
      <c r="D476" s="526"/>
      <c r="E476" s="311"/>
      <c r="F476" s="524" t="s">
        <v>152</v>
      </c>
      <c r="G476" s="524"/>
      <c r="H476" s="524"/>
      <c r="I476" s="524"/>
      <c r="J476" s="154"/>
      <c r="K476" s="147"/>
    </row>
    <row r="477" spans="2:11" ht="15.75">
      <c r="B477" s="269"/>
      <c r="C477" s="314"/>
      <c r="D477" s="273"/>
      <c r="E477" s="311"/>
      <c r="F477" s="217"/>
      <c r="G477" s="271"/>
      <c r="H477" s="275"/>
      <c r="I477" s="273"/>
    </row>
    <row r="478" spans="2:11">
      <c r="E478" s="156"/>
      <c r="F478" s="156"/>
      <c r="G478" s="229"/>
      <c r="H478" s="99"/>
      <c r="I478" s="176"/>
    </row>
    <row r="479" spans="2:11">
      <c r="E479" s="156"/>
      <c r="F479" s="156"/>
      <c r="G479" s="229"/>
      <c r="H479" s="176"/>
    </row>
    <row r="480" spans="2:11">
      <c r="E480" s="156"/>
      <c r="F480" s="156"/>
      <c r="G480" s="229"/>
      <c r="H480" s="99"/>
    </row>
    <row r="481" spans="5:8">
      <c r="E481" s="156"/>
      <c r="F481" s="156"/>
      <c r="G481" s="229"/>
      <c r="H481" s="99"/>
    </row>
    <row r="482" spans="5:8">
      <c r="E482" s="156"/>
      <c r="F482" s="156"/>
      <c r="G482" s="229"/>
      <c r="H482" s="99"/>
    </row>
    <row r="483" spans="5:8">
      <c r="E483" s="156"/>
      <c r="F483" s="156"/>
      <c r="G483" s="229"/>
      <c r="H483" s="99"/>
    </row>
    <row r="484" spans="5:8">
      <c r="E484" s="156"/>
      <c r="F484" s="156"/>
      <c r="G484" s="229"/>
      <c r="H484" s="99"/>
    </row>
    <row r="485" spans="5:8">
      <c r="E485" s="156"/>
      <c r="F485" s="156"/>
      <c r="G485" s="229"/>
      <c r="H485" s="99"/>
    </row>
    <row r="486" spans="5:8">
      <c r="E486" s="156"/>
      <c r="F486" s="156"/>
      <c r="G486" s="229"/>
      <c r="H486" s="99"/>
    </row>
    <row r="487" spans="5:8">
      <c r="E487" s="156"/>
      <c r="F487" s="156"/>
      <c r="G487" s="229"/>
      <c r="H487" s="99"/>
    </row>
    <row r="488" spans="5:8">
      <c r="E488" s="156"/>
      <c r="F488" s="156"/>
      <c r="G488" s="229"/>
      <c r="H488" s="99"/>
    </row>
    <row r="489" spans="5:8">
      <c r="E489" s="156"/>
      <c r="F489" s="156"/>
      <c r="G489" s="229"/>
      <c r="H489" s="99"/>
    </row>
    <row r="490" spans="5:8">
      <c r="E490" s="156"/>
      <c r="F490" s="156"/>
      <c r="G490" s="229"/>
      <c r="H490" s="99"/>
    </row>
    <row r="491" spans="5:8">
      <c r="E491" s="156"/>
      <c r="F491" s="156"/>
      <c r="G491" s="229"/>
      <c r="H491" s="99"/>
    </row>
    <row r="492" spans="5:8">
      <c r="E492" s="156"/>
      <c r="F492" s="156"/>
      <c r="G492" s="229"/>
      <c r="H492" s="99"/>
    </row>
    <row r="493" spans="5:8">
      <c r="E493" s="156"/>
      <c r="F493" s="156"/>
      <c r="G493" s="229"/>
      <c r="H493" s="99"/>
    </row>
    <row r="494" spans="5:8">
      <c r="E494" s="156"/>
      <c r="F494" s="156"/>
      <c r="G494" s="229"/>
      <c r="H494" s="99"/>
    </row>
    <row r="495" spans="5:8">
      <c r="E495" s="156"/>
      <c r="F495" s="156"/>
      <c r="G495" s="229"/>
      <c r="H495" s="99"/>
    </row>
    <row r="496" spans="5:8">
      <c r="E496" s="156"/>
      <c r="F496" s="156"/>
      <c r="G496" s="229"/>
      <c r="H496" s="99"/>
    </row>
    <row r="497" spans="5:8">
      <c r="E497" s="156"/>
      <c r="F497" s="156"/>
      <c r="G497" s="229"/>
      <c r="H497" s="99"/>
    </row>
    <row r="498" spans="5:8">
      <c r="E498" s="156"/>
      <c r="F498" s="156"/>
      <c r="G498" s="229"/>
      <c r="H498" s="99"/>
    </row>
    <row r="499" spans="5:8">
      <c r="E499" s="156"/>
      <c r="F499" s="156"/>
      <c r="G499" s="229"/>
      <c r="H499" s="99"/>
    </row>
    <row r="500" spans="5:8">
      <c r="E500" s="156"/>
      <c r="F500" s="156"/>
      <c r="G500" s="229"/>
      <c r="H500" s="99"/>
    </row>
    <row r="501" spans="5:8">
      <c r="E501" s="156"/>
      <c r="F501" s="156"/>
      <c r="G501" s="229"/>
      <c r="H501" s="99"/>
    </row>
    <row r="502" spans="5:8">
      <c r="E502" s="156"/>
      <c r="F502" s="156"/>
      <c r="G502" s="229"/>
      <c r="H502" s="99"/>
    </row>
    <row r="503" spans="5:8">
      <c r="E503" s="156"/>
      <c r="F503" s="156"/>
      <c r="G503" s="229"/>
      <c r="H503" s="99"/>
    </row>
    <row r="504" spans="5:8">
      <c r="E504" s="156"/>
      <c r="F504" s="156"/>
      <c r="G504" s="229"/>
      <c r="H504" s="99"/>
    </row>
    <row r="505" spans="5:8">
      <c r="E505" s="156"/>
      <c r="F505" s="156"/>
      <c r="G505" s="229"/>
      <c r="H505" s="99"/>
    </row>
    <row r="506" spans="5:8">
      <c r="E506" s="156"/>
      <c r="F506" s="156"/>
      <c r="G506" s="229"/>
      <c r="H506" s="99"/>
    </row>
    <row r="507" spans="5:8">
      <c r="E507" s="156"/>
      <c r="F507" s="156"/>
      <c r="G507" s="229"/>
      <c r="H507" s="99"/>
    </row>
    <row r="508" spans="5:8">
      <c r="E508" s="156"/>
      <c r="F508" s="156"/>
      <c r="G508" s="229"/>
      <c r="H508" s="99"/>
    </row>
    <row r="509" spans="5:8">
      <c r="E509" s="156"/>
      <c r="F509" s="156"/>
      <c r="G509" s="229"/>
      <c r="H509" s="99"/>
    </row>
    <row r="510" spans="5:8">
      <c r="E510" s="156"/>
      <c r="F510" s="156"/>
      <c r="G510" s="229"/>
      <c r="H510" s="99"/>
    </row>
    <row r="511" spans="5:8">
      <c r="E511" s="156"/>
      <c r="F511" s="156"/>
      <c r="G511" s="229"/>
      <c r="H511" s="99"/>
    </row>
    <row r="512" spans="5:8">
      <c r="E512" s="156"/>
      <c r="F512" s="156"/>
      <c r="G512" s="229"/>
      <c r="H512" s="99"/>
    </row>
    <row r="513" spans="5:8">
      <c r="E513" s="156"/>
      <c r="F513" s="156"/>
      <c r="G513" s="229"/>
      <c r="H513" s="99"/>
    </row>
    <row r="514" spans="5:8">
      <c r="E514" s="156"/>
      <c r="F514" s="156"/>
      <c r="G514" s="229"/>
      <c r="H514" s="99"/>
    </row>
    <row r="515" spans="5:8">
      <c r="E515" s="156"/>
      <c r="F515" s="156"/>
      <c r="G515" s="229"/>
      <c r="H515" s="99"/>
    </row>
    <row r="516" spans="5:8">
      <c r="E516" s="156"/>
      <c r="F516" s="156"/>
      <c r="G516" s="229"/>
      <c r="H516" s="99"/>
    </row>
    <row r="517" spans="5:8">
      <c r="E517" s="156"/>
      <c r="F517" s="156"/>
      <c r="G517" s="229"/>
      <c r="H517" s="99"/>
    </row>
    <row r="518" spans="5:8">
      <c r="E518" s="156"/>
      <c r="F518" s="156"/>
      <c r="G518" s="229"/>
      <c r="H518" s="99"/>
    </row>
    <row r="519" spans="5:8">
      <c r="E519" s="156"/>
      <c r="F519" s="156"/>
      <c r="G519" s="229"/>
      <c r="H519" s="99"/>
    </row>
    <row r="520" spans="5:8">
      <c r="E520" s="156"/>
      <c r="F520" s="156"/>
      <c r="G520" s="229"/>
      <c r="H520" s="99"/>
    </row>
    <row r="521" spans="5:8">
      <c r="E521" s="156"/>
      <c r="F521" s="156"/>
      <c r="G521" s="229"/>
      <c r="H521" s="99"/>
    </row>
    <row r="522" spans="5:8">
      <c r="E522" s="156"/>
      <c r="F522" s="156"/>
      <c r="G522" s="229"/>
      <c r="H522" s="99"/>
    </row>
    <row r="523" spans="5:8">
      <c r="E523" s="156"/>
      <c r="F523" s="156"/>
      <c r="G523" s="229"/>
      <c r="H523" s="99"/>
    </row>
    <row r="524" spans="5:8">
      <c r="E524" s="156"/>
      <c r="F524" s="156"/>
      <c r="G524" s="229"/>
      <c r="H524" s="99"/>
    </row>
    <row r="525" spans="5:8">
      <c r="E525" s="156"/>
      <c r="F525" s="156"/>
      <c r="G525" s="229"/>
      <c r="H525" s="99"/>
    </row>
    <row r="526" spans="5:8">
      <c r="E526" s="156"/>
      <c r="F526" s="156"/>
      <c r="G526" s="229"/>
      <c r="H526" s="99"/>
    </row>
    <row r="527" spans="5:8">
      <c r="E527" s="156"/>
      <c r="F527" s="156"/>
      <c r="G527" s="229"/>
      <c r="H527" s="99"/>
    </row>
    <row r="528" spans="5:8">
      <c r="E528" s="156"/>
      <c r="F528" s="156"/>
      <c r="G528" s="229"/>
      <c r="H528" s="99"/>
    </row>
    <row r="529" spans="5:8">
      <c r="E529" s="156"/>
      <c r="F529" s="156"/>
      <c r="G529" s="229"/>
      <c r="H529" s="99"/>
    </row>
    <row r="530" spans="5:8">
      <c r="E530" s="156"/>
      <c r="F530" s="156"/>
      <c r="G530" s="229"/>
      <c r="H530" s="99"/>
    </row>
    <row r="531" spans="5:8">
      <c r="E531" s="156"/>
      <c r="F531" s="156"/>
      <c r="G531" s="229"/>
      <c r="H531" s="99"/>
    </row>
    <row r="532" spans="5:8">
      <c r="E532" s="156"/>
      <c r="F532" s="156"/>
      <c r="G532" s="229"/>
      <c r="H532" s="99"/>
    </row>
    <row r="533" spans="5:8">
      <c r="E533" s="156"/>
      <c r="F533" s="156"/>
      <c r="G533" s="229"/>
      <c r="H533" s="99"/>
    </row>
    <row r="534" spans="5:8">
      <c r="E534" s="156"/>
      <c r="F534" s="156"/>
      <c r="G534" s="229"/>
      <c r="H534" s="99"/>
    </row>
    <row r="535" spans="5:8">
      <c r="E535" s="156"/>
      <c r="F535" s="156"/>
      <c r="G535" s="229"/>
      <c r="H535" s="99"/>
    </row>
    <row r="536" spans="5:8">
      <c r="E536" s="156"/>
      <c r="F536" s="156"/>
      <c r="G536" s="229"/>
      <c r="H536" s="99"/>
    </row>
    <row r="537" spans="5:8">
      <c r="E537" s="156"/>
      <c r="F537" s="156"/>
      <c r="G537" s="229"/>
      <c r="H537" s="99"/>
    </row>
    <row r="538" spans="5:8">
      <c r="E538" s="156"/>
      <c r="F538" s="156"/>
      <c r="G538" s="229"/>
      <c r="H538" s="99"/>
    </row>
    <row r="539" spans="5:8">
      <c r="E539" s="156"/>
      <c r="F539" s="156"/>
      <c r="G539" s="229"/>
      <c r="H539" s="99"/>
    </row>
    <row r="540" spans="5:8">
      <c r="E540" s="156"/>
      <c r="F540" s="156"/>
      <c r="G540" s="229"/>
      <c r="H540" s="99"/>
    </row>
    <row r="541" spans="5:8">
      <c r="E541" s="156"/>
      <c r="F541" s="156"/>
      <c r="G541" s="229"/>
      <c r="H541" s="99"/>
    </row>
    <row r="542" spans="5:8">
      <c r="E542" s="156"/>
      <c r="F542" s="156"/>
      <c r="G542" s="229"/>
      <c r="H542" s="99"/>
    </row>
    <row r="543" spans="5:8">
      <c r="E543" s="156"/>
      <c r="F543" s="156"/>
      <c r="G543" s="229"/>
      <c r="H543" s="99"/>
    </row>
    <row r="544" spans="5:8">
      <c r="E544" s="156"/>
      <c r="F544" s="156"/>
      <c r="G544" s="229"/>
      <c r="H544" s="99"/>
    </row>
    <row r="545" spans="5:8">
      <c r="E545" s="156"/>
      <c r="F545" s="156"/>
      <c r="G545" s="229"/>
      <c r="H545" s="99"/>
    </row>
    <row r="546" spans="5:8">
      <c r="E546" s="156"/>
      <c r="F546" s="156"/>
      <c r="G546" s="229"/>
      <c r="H546" s="99"/>
    </row>
    <row r="547" spans="5:8">
      <c r="E547" s="156"/>
      <c r="F547" s="156"/>
      <c r="G547" s="229"/>
      <c r="H547" s="99"/>
    </row>
    <row r="548" spans="5:8">
      <c r="E548" s="156"/>
      <c r="F548" s="156"/>
      <c r="G548" s="229"/>
      <c r="H548" s="99"/>
    </row>
    <row r="549" spans="5:8">
      <c r="E549" s="156"/>
      <c r="F549" s="156"/>
      <c r="G549" s="229"/>
      <c r="H549" s="99"/>
    </row>
    <row r="550" spans="5:8">
      <c r="E550" s="156"/>
      <c r="F550" s="156"/>
      <c r="G550" s="229"/>
      <c r="H550" s="99"/>
    </row>
    <row r="551" spans="5:8">
      <c r="E551" s="156"/>
      <c r="F551" s="156"/>
      <c r="G551" s="229"/>
      <c r="H551" s="99"/>
    </row>
    <row r="552" spans="5:8">
      <c r="E552" s="156"/>
      <c r="F552" s="156"/>
      <c r="G552" s="229"/>
      <c r="H552" s="99"/>
    </row>
    <row r="553" spans="5:8">
      <c r="E553" s="156"/>
      <c r="F553" s="156"/>
      <c r="G553" s="229"/>
      <c r="H553" s="99"/>
    </row>
    <row r="554" spans="5:8">
      <c r="E554" s="156"/>
      <c r="F554" s="156"/>
      <c r="G554" s="229"/>
      <c r="H554" s="99"/>
    </row>
    <row r="555" spans="5:8">
      <c r="E555" s="156"/>
      <c r="F555" s="156"/>
      <c r="G555" s="229"/>
      <c r="H555" s="99"/>
    </row>
    <row r="556" spans="5:8">
      <c r="E556" s="156"/>
      <c r="F556" s="156"/>
      <c r="G556" s="229"/>
      <c r="H556" s="99"/>
    </row>
    <row r="557" spans="5:8">
      <c r="E557" s="156"/>
      <c r="F557" s="156"/>
      <c r="G557" s="229"/>
      <c r="H557" s="99"/>
    </row>
    <row r="558" spans="5:8">
      <c r="E558" s="156"/>
      <c r="F558" s="156"/>
      <c r="G558" s="229"/>
      <c r="H558" s="99"/>
    </row>
    <row r="559" spans="5:8">
      <c r="E559" s="156"/>
      <c r="F559" s="156"/>
      <c r="G559" s="229"/>
      <c r="H559" s="99"/>
    </row>
    <row r="560" spans="5:8">
      <c r="E560" s="156"/>
      <c r="F560" s="156"/>
      <c r="G560" s="229"/>
      <c r="H560" s="99"/>
    </row>
    <row r="561" spans="5:8">
      <c r="E561" s="156"/>
      <c r="F561" s="156"/>
      <c r="G561" s="229"/>
      <c r="H561" s="99"/>
    </row>
    <row r="562" spans="5:8">
      <c r="E562" s="156"/>
      <c r="F562" s="156"/>
      <c r="G562" s="229"/>
      <c r="H562" s="99"/>
    </row>
    <row r="563" spans="5:8">
      <c r="E563" s="156"/>
      <c r="F563" s="156"/>
      <c r="G563" s="229"/>
      <c r="H563" s="99"/>
    </row>
    <row r="564" spans="5:8">
      <c r="E564" s="156"/>
      <c r="F564" s="156"/>
      <c r="G564" s="229"/>
      <c r="H564" s="99"/>
    </row>
    <row r="565" spans="5:8">
      <c r="E565" s="156"/>
      <c r="F565" s="156"/>
      <c r="G565" s="229"/>
      <c r="H565" s="99"/>
    </row>
    <row r="566" spans="5:8">
      <c r="E566" s="156"/>
      <c r="F566" s="156"/>
      <c r="G566" s="229"/>
      <c r="H566" s="99"/>
    </row>
    <row r="567" spans="5:8">
      <c r="E567" s="156"/>
      <c r="F567" s="156"/>
      <c r="G567" s="229"/>
      <c r="H567" s="99"/>
    </row>
    <row r="568" spans="5:8">
      <c r="E568" s="156"/>
      <c r="F568" s="156"/>
      <c r="G568" s="229"/>
      <c r="H568" s="99"/>
    </row>
    <row r="569" spans="5:8">
      <c r="E569" s="156"/>
      <c r="F569" s="156"/>
      <c r="G569" s="229"/>
      <c r="H569" s="99"/>
    </row>
    <row r="570" spans="5:8">
      <c r="E570" s="156"/>
      <c r="F570" s="156"/>
      <c r="G570" s="229"/>
      <c r="H570" s="99"/>
    </row>
    <row r="571" spans="5:8">
      <c r="E571" s="156"/>
      <c r="F571" s="156"/>
      <c r="G571" s="229"/>
      <c r="H571" s="99"/>
    </row>
    <row r="572" spans="5:8">
      <c r="E572" s="156"/>
      <c r="F572" s="156"/>
      <c r="G572" s="229"/>
      <c r="H572" s="99"/>
    </row>
    <row r="573" spans="5:8">
      <c r="E573" s="156"/>
      <c r="F573" s="156"/>
      <c r="G573" s="229"/>
      <c r="H573" s="99"/>
    </row>
    <row r="574" spans="5:8">
      <c r="E574" s="156"/>
      <c r="F574" s="156"/>
      <c r="G574" s="229"/>
      <c r="H574" s="99"/>
    </row>
    <row r="575" spans="5:8">
      <c r="E575" s="156"/>
      <c r="F575" s="156"/>
      <c r="G575" s="229"/>
      <c r="H575" s="99"/>
    </row>
    <row r="576" spans="5:8">
      <c r="E576" s="156"/>
      <c r="F576" s="156"/>
      <c r="G576" s="229"/>
      <c r="H576" s="99"/>
    </row>
    <row r="577" spans="5:8">
      <c r="E577" s="156"/>
      <c r="F577" s="156"/>
      <c r="G577" s="229"/>
      <c r="H577" s="99"/>
    </row>
    <row r="578" spans="5:8">
      <c r="E578" s="156"/>
      <c r="F578" s="156"/>
      <c r="G578" s="229"/>
      <c r="H578" s="99"/>
    </row>
    <row r="579" spans="5:8">
      <c r="E579" s="156"/>
      <c r="F579" s="156"/>
      <c r="G579" s="229"/>
      <c r="H579" s="99"/>
    </row>
    <row r="580" spans="5:8">
      <c r="E580" s="156"/>
      <c r="F580" s="156"/>
      <c r="G580" s="229"/>
      <c r="H580" s="99"/>
    </row>
    <row r="581" spans="5:8">
      <c r="E581" s="156"/>
      <c r="F581" s="156"/>
      <c r="G581" s="229"/>
      <c r="H581" s="99"/>
    </row>
    <row r="582" spans="5:8">
      <c r="E582" s="156"/>
      <c r="F582" s="156"/>
      <c r="G582" s="229"/>
      <c r="H582" s="99"/>
    </row>
    <row r="583" spans="5:8">
      <c r="E583" s="156"/>
      <c r="F583" s="156"/>
      <c r="G583" s="229"/>
      <c r="H583" s="99"/>
    </row>
    <row r="584" spans="5:8">
      <c r="E584" s="156"/>
      <c r="F584" s="156"/>
      <c r="G584" s="229"/>
      <c r="H584" s="99"/>
    </row>
    <row r="585" spans="5:8">
      <c r="E585" s="156"/>
      <c r="F585" s="156"/>
      <c r="G585" s="229"/>
      <c r="H585" s="99"/>
    </row>
    <row r="586" spans="5:8">
      <c r="E586" s="156"/>
      <c r="F586" s="156"/>
      <c r="G586" s="229"/>
      <c r="H586" s="99"/>
    </row>
    <row r="587" spans="5:8">
      <c r="E587" s="156"/>
      <c r="F587" s="156"/>
      <c r="G587" s="229"/>
      <c r="H587" s="99"/>
    </row>
    <row r="588" spans="5:8">
      <c r="E588" s="156"/>
      <c r="F588" s="156"/>
      <c r="G588" s="229"/>
      <c r="H588" s="99"/>
    </row>
    <row r="589" spans="5:8">
      <c r="E589" s="156"/>
      <c r="F589" s="156"/>
      <c r="G589" s="229"/>
      <c r="H589" s="99"/>
    </row>
    <row r="590" spans="5:8">
      <c r="E590" s="156"/>
      <c r="F590" s="156"/>
      <c r="G590" s="229"/>
      <c r="H590" s="99"/>
    </row>
    <row r="591" spans="5:8">
      <c r="E591" s="156"/>
      <c r="F591" s="156"/>
      <c r="G591" s="229"/>
      <c r="H591" s="99"/>
    </row>
    <row r="592" spans="5:8">
      <c r="E592" s="156"/>
      <c r="F592" s="156"/>
      <c r="G592" s="229"/>
      <c r="H592" s="99"/>
    </row>
    <row r="593" spans="5:8">
      <c r="E593" s="156"/>
      <c r="F593" s="156"/>
      <c r="G593" s="229"/>
      <c r="H593" s="99"/>
    </row>
    <row r="594" spans="5:8">
      <c r="E594" s="156"/>
      <c r="F594" s="156"/>
      <c r="G594" s="229"/>
      <c r="H594" s="99"/>
    </row>
    <row r="595" spans="5:8">
      <c r="E595" s="156"/>
      <c r="F595" s="156"/>
      <c r="G595" s="229"/>
      <c r="H595" s="99"/>
    </row>
    <row r="596" spans="5:8">
      <c r="E596" s="156"/>
      <c r="F596" s="156"/>
      <c r="G596" s="229"/>
      <c r="H596" s="99"/>
    </row>
    <row r="597" spans="5:8">
      <c r="E597" s="156"/>
      <c r="F597" s="156"/>
      <c r="G597" s="229"/>
      <c r="H597" s="99"/>
    </row>
    <row r="598" spans="5:8">
      <c r="E598" s="156"/>
      <c r="F598" s="156"/>
      <c r="G598" s="229"/>
      <c r="H598" s="99"/>
    </row>
    <row r="599" spans="5:8">
      <c r="E599" s="156"/>
      <c r="F599" s="156"/>
      <c r="G599" s="229"/>
      <c r="H599" s="99"/>
    </row>
    <row r="600" spans="5:8">
      <c r="E600" s="156"/>
      <c r="F600" s="156"/>
      <c r="G600" s="229"/>
      <c r="H600" s="99"/>
    </row>
    <row r="601" spans="5:8">
      <c r="E601" s="156"/>
      <c r="F601" s="156"/>
      <c r="G601" s="229"/>
      <c r="H601" s="99"/>
    </row>
    <row r="602" spans="5:8">
      <c r="E602" s="156"/>
      <c r="F602" s="156"/>
      <c r="G602" s="229"/>
      <c r="H602" s="99"/>
    </row>
    <row r="603" spans="5:8">
      <c r="E603" s="156"/>
      <c r="F603" s="156"/>
      <c r="G603" s="229"/>
      <c r="H603" s="99"/>
    </row>
    <row r="604" spans="5:8">
      <c r="E604" s="156"/>
      <c r="F604" s="156"/>
      <c r="G604" s="229"/>
      <c r="H604" s="99"/>
    </row>
    <row r="605" spans="5:8">
      <c r="E605" s="156"/>
      <c r="F605" s="156"/>
      <c r="G605" s="229"/>
      <c r="H605" s="99"/>
    </row>
    <row r="606" spans="5:8">
      <c r="E606" s="156"/>
      <c r="F606" s="156"/>
      <c r="G606" s="229"/>
      <c r="H606" s="99"/>
    </row>
    <row r="607" spans="5:8">
      <c r="E607" s="156"/>
      <c r="F607" s="156"/>
      <c r="G607" s="229"/>
      <c r="H607" s="99"/>
    </row>
    <row r="608" spans="5:8">
      <c r="E608" s="156"/>
      <c r="F608" s="156"/>
      <c r="G608" s="229"/>
      <c r="H608" s="99"/>
    </row>
    <row r="609" spans="5:8">
      <c r="E609" s="156"/>
      <c r="F609" s="156"/>
      <c r="G609" s="229"/>
      <c r="H609" s="99"/>
    </row>
    <row r="610" spans="5:8">
      <c r="E610" s="156"/>
      <c r="F610" s="156"/>
      <c r="G610" s="229"/>
      <c r="H610" s="99"/>
    </row>
    <row r="611" spans="5:8">
      <c r="E611" s="156"/>
      <c r="F611" s="156"/>
      <c r="G611" s="229"/>
      <c r="H611" s="99"/>
    </row>
    <row r="612" spans="5:8">
      <c r="E612" s="156"/>
      <c r="F612" s="156"/>
      <c r="G612" s="229"/>
      <c r="H612" s="99"/>
    </row>
    <row r="613" spans="5:8">
      <c r="E613" s="156"/>
      <c r="F613" s="156"/>
      <c r="G613" s="229"/>
      <c r="H613" s="99"/>
    </row>
    <row r="614" spans="5:8">
      <c r="E614" s="156"/>
      <c r="F614" s="156"/>
      <c r="G614" s="229"/>
      <c r="H614" s="99"/>
    </row>
    <row r="615" spans="5:8">
      <c r="E615" s="156"/>
      <c r="F615" s="156"/>
      <c r="G615" s="229"/>
      <c r="H615" s="99"/>
    </row>
    <row r="616" spans="5:8">
      <c r="E616" s="156"/>
      <c r="F616" s="156"/>
      <c r="G616" s="229"/>
      <c r="H616" s="99"/>
    </row>
    <row r="617" spans="5:8">
      <c r="E617" s="156"/>
      <c r="F617" s="156"/>
      <c r="G617" s="229"/>
      <c r="H617" s="99"/>
    </row>
    <row r="618" spans="5:8">
      <c r="E618" s="156"/>
      <c r="F618" s="156"/>
      <c r="G618" s="229"/>
      <c r="H618" s="99"/>
    </row>
    <row r="619" spans="5:8">
      <c r="E619" s="156"/>
      <c r="F619" s="156"/>
      <c r="G619" s="229"/>
      <c r="H619" s="99"/>
    </row>
    <row r="620" spans="5:8">
      <c r="E620" s="156"/>
      <c r="F620" s="156"/>
      <c r="G620" s="229"/>
      <c r="H620" s="99"/>
    </row>
    <row r="621" spans="5:8">
      <c r="E621" s="156"/>
      <c r="F621" s="156"/>
      <c r="G621" s="229"/>
      <c r="H621" s="99"/>
    </row>
    <row r="622" spans="5:8">
      <c r="E622" s="156"/>
      <c r="F622" s="156"/>
      <c r="G622" s="229"/>
      <c r="H622" s="99"/>
    </row>
    <row r="623" spans="5:8">
      <c r="E623" s="156"/>
      <c r="F623" s="156"/>
      <c r="G623" s="229"/>
      <c r="H623" s="99"/>
    </row>
    <row r="624" spans="5:8">
      <c r="E624" s="156"/>
      <c r="F624" s="156"/>
      <c r="G624" s="229"/>
      <c r="H624" s="99"/>
    </row>
    <row r="625" spans="5:8">
      <c r="E625" s="156"/>
      <c r="F625" s="156"/>
      <c r="G625" s="229"/>
      <c r="H625" s="99"/>
    </row>
    <row r="626" spans="5:8">
      <c r="E626" s="156"/>
      <c r="F626" s="156"/>
      <c r="G626" s="229"/>
      <c r="H626" s="99"/>
    </row>
    <row r="627" spans="5:8">
      <c r="E627" s="156"/>
      <c r="F627" s="156"/>
      <c r="G627" s="229"/>
      <c r="H627" s="99"/>
    </row>
    <row r="628" spans="5:8">
      <c r="E628" s="156"/>
      <c r="F628" s="156"/>
      <c r="G628" s="229"/>
      <c r="H628" s="99"/>
    </row>
    <row r="629" spans="5:8">
      <c r="E629" s="156"/>
      <c r="F629" s="156"/>
      <c r="G629" s="229"/>
      <c r="H629" s="99"/>
    </row>
    <row r="630" spans="5:8">
      <c r="E630" s="156"/>
      <c r="F630" s="156"/>
      <c r="G630" s="229"/>
      <c r="H630" s="99"/>
    </row>
    <row r="631" spans="5:8">
      <c r="E631" s="156"/>
      <c r="F631" s="156"/>
      <c r="G631" s="229"/>
      <c r="H631" s="99"/>
    </row>
    <row r="632" spans="5:8">
      <c r="E632" s="156"/>
      <c r="F632" s="156"/>
      <c r="G632" s="229"/>
      <c r="H632" s="99"/>
    </row>
    <row r="633" spans="5:8">
      <c r="E633" s="156"/>
      <c r="F633" s="156"/>
      <c r="G633" s="229"/>
      <c r="H633" s="99"/>
    </row>
    <row r="634" spans="5:8">
      <c r="E634" s="156"/>
      <c r="F634" s="156"/>
      <c r="G634" s="229"/>
      <c r="H634" s="99"/>
    </row>
    <row r="635" spans="5:8">
      <c r="E635" s="156"/>
      <c r="F635" s="156"/>
      <c r="G635" s="229"/>
      <c r="H635" s="99"/>
    </row>
    <row r="636" spans="5:8">
      <c r="E636" s="156"/>
      <c r="F636" s="156"/>
      <c r="G636" s="229"/>
      <c r="H636" s="99"/>
    </row>
    <row r="637" spans="5:8">
      <c r="E637" s="156"/>
      <c r="F637" s="156"/>
      <c r="G637" s="229"/>
      <c r="H637" s="99"/>
    </row>
    <row r="638" spans="5:8">
      <c r="E638" s="156"/>
      <c r="F638" s="156"/>
      <c r="G638" s="229"/>
      <c r="H638" s="99"/>
    </row>
    <row r="639" spans="5:8">
      <c r="E639" s="156"/>
      <c r="F639" s="156"/>
      <c r="G639" s="229"/>
      <c r="H639" s="99"/>
    </row>
    <row r="640" spans="5:8">
      <c r="E640" s="156"/>
      <c r="F640" s="156"/>
      <c r="G640" s="229"/>
      <c r="H640" s="99"/>
    </row>
    <row r="641" spans="5:8">
      <c r="E641" s="156"/>
      <c r="F641" s="156"/>
      <c r="G641" s="229"/>
      <c r="H641" s="99"/>
    </row>
    <row r="642" spans="5:8">
      <c r="E642" s="156"/>
      <c r="F642" s="156"/>
      <c r="G642" s="229"/>
      <c r="H642" s="99"/>
    </row>
    <row r="643" spans="5:8">
      <c r="E643" s="156"/>
      <c r="F643" s="156"/>
      <c r="G643" s="229"/>
      <c r="H643" s="99"/>
    </row>
    <row r="644" spans="5:8">
      <c r="E644" s="156"/>
      <c r="F644" s="156"/>
      <c r="G644" s="229"/>
      <c r="H644" s="99"/>
    </row>
    <row r="645" spans="5:8">
      <c r="E645" s="156"/>
      <c r="F645" s="156"/>
      <c r="G645" s="229"/>
      <c r="H645" s="99"/>
    </row>
    <row r="646" spans="5:8">
      <c r="E646" s="156"/>
      <c r="F646" s="156"/>
      <c r="G646" s="229"/>
      <c r="H646" s="99"/>
    </row>
    <row r="647" spans="5:8">
      <c r="E647" s="156"/>
      <c r="F647" s="156"/>
      <c r="G647" s="229"/>
      <c r="H647" s="99"/>
    </row>
    <row r="648" spans="5:8">
      <c r="E648" s="156"/>
      <c r="F648" s="156"/>
      <c r="G648" s="229"/>
      <c r="H648" s="99"/>
    </row>
    <row r="649" spans="5:8">
      <c r="E649" s="156"/>
      <c r="F649" s="156"/>
      <c r="G649" s="229"/>
      <c r="H649" s="99"/>
    </row>
    <row r="650" spans="5:8">
      <c r="E650" s="156"/>
      <c r="F650" s="156"/>
      <c r="G650" s="229"/>
      <c r="H650" s="99"/>
    </row>
    <row r="651" spans="5:8">
      <c r="E651" s="156"/>
      <c r="F651" s="156"/>
      <c r="G651" s="229"/>
      <c r="H651" s="99"/>
    </row>
    <row r="652" spans="5:8">
      <c r="E652" s="156"/>
      <c r="F652" s="156"/>
      <c r="G652" s="229"/>
      <c r="H652" s="99"/>
    </row>
    <row r="653" spans="5:8">
      <c r="E653" s="156"/>
      <c r="F653" s="156"/>
      <c r="G653" s="229"/>
      <c r="H653" s="99"/>
    </row>
    <row r="654" spans="5:8">
      <c r="E654" s="156"/>
      <c r="F654" s="156"/>
      <c r="G654" s="229"/>
      <c r="H654" s="99"/>
    </row>
    <row r="655" spans="5:8">
      <c r="E655" s="156"/>
      <c r="F655" s="156"/>
      <c r="G655" s="229"/>
      <c r="H655" s="99"/>
    </row>
    <row r="656" spans="5:8">
      <c r="E656" s="156"/>
      <c r="F656" s="156"/>
      <c r="G656" s="229"/>
      <c r="H656" s="99"/>
    </row>
    <row r="657" spans="5:8">
      <c r="E657" s="156"/>
      <c r="F657" s="156"/>
      <c r="G657" s="229"/>
      <c r="H657" s="99"/>
    </row>
    <row r="658" spans="5:8">
      <c r="E658" s="156"/>
      <c r="F658" s="156"/>
      <c r="G658" s="229"/>
      <c r="H658" s="99"/>
    </row>
    <row r="659" spans="5:8">
      <c r="E659" s="156"/>
      <c r="F659" s="156"/>
      <c r="G659" s="229"/>
      <c r="H659" s="99"/>
    </row>
    <row r="660" spans="5:8">
      <c r="E660" s="156"/>
      <c r="F660" s="156"/>
      <c r="G660" s="229"/>
      <c r="H660" s="99"/>
    </row>
    <row r="661" spans="5:8">
      <c r="E661" s="156"/>
      <c r="F661" s="156"/>
      <c r="G661" s="229"/>
      <c r="H661" s="99"/>
    </row>
    <row r="662" spans="5:8">
      <c r="E662" s="156"/>
      <c r="F662" s="156"/>
      <c r="G662" s="229"/>
      <c r="H662" s="99"/>
    </row>
    <row r="663" spans="5:8">
      <c r="E663" s="156"/>
      <c r="F663" s="156"/>
      <c r="G663" s="229"/>
      <c r="H663" s="99"/>
    </row>
    <row r="664" spans="5:8">
      <c r="E664" s="156"/>
      <c r="F664" s="156"/>
      <c r="G664" s="229"/>
      <c r="H664" s="99"/>
    </row>
    <row r="665" spans="5:8">
      <c r="E665" s="156"/>
      <c r="F665" s="156"/>
      <c r="G665" s="229"/>
      <c r="H665" s="99"/>
    </row>
    <row r="666" spans="5:8">
      <c r="E666" s="156"/>
      <c r="F666" s="156"/>
      <c r="G666" s="229"/>
      <c r="H666" s="99"/>
    </row>
    <row r="667" spans="5:8">
      <c r="E667" s="156"/>
      <c r="F667" s="156"/>
      <c r="G667" s="229"/>
      <c r="H667" s="99"/>
    </row>
    <row r="668" spans="5:8">
      <c r="E668" s="156"/>
      <c r="F668" s="156"/>
      <c r="G668" s="229"/>
      <c r="H668" s="99"/>
    </row>
    <row r="669" spans="5:8">
      <c r="E669" s="156"/>
      <c r="F669" s="156"/>
      <c r="G669" s="229"/>
      <c r="H669" s="99"/>
    </row>
    <row r="670" spans="5:8">
      <c r="E670" s="156"/>
      <c r="F670" s="156"/>
      <c r="G670" s="229"/>
      <c r="H670" s="99"/>
    </row>
    <row r="671" spans="5:8">
      <c r="E671" s="156"/>
      <c r="F671" s="156"/>
      <c r="G671" s="229"/>
      <c r="H671" s="99"/>
    </row>
    <row r="672" spans="5:8">
      <c r="E672" s="156"/>
      <c r="F672" s="156"/>
      <c r="G672" s="229"/>
      <c r="H672" s="99"/>
    </row>
    <row r="673" spans="5:8">
      <c r="E673" s="156"/>
      <c r="F673" s="156"/>
      <c r="G673" s="229"/>
      <c r="H673" s="99"/>
    </row>
    <row r="674" spans="5:8">
      <c r="E674" s="156"/>
      <c r="F674" s="156"/>
      <c r="G674" s="229"/>
      <c r="H674" s="99"/>
    </row>
    <row r="675" spans="5:8">
      <c r="E675" s="156"/>
      <c r="F675" s="156"/>
      <c r="G675" s="229"/>
      <c r="H675" s="99"/>
    </row>
    <row r="676" spans="5:8">
      <c r="E676" s="156"/>
      <c r="F676" s="156"/>
      <c r="G676" s="229"/>
      <c r="H676" s="99"/>
    </row>
    <row r="677" spans="5:8">
      <c r="E677" s="156"/>
      <c r="F677" s="156"/>
      <c r="G677" s="229"/>
      <c r="H677" s="99"/>
    </row>
    <row r="678" spans="5:8">
      <c r="E678" s="156"/>
      <c r="F678" s="156"/>
      <c r="G678" s="229"/>
      <c r="H678" s="99"/>
    </row>
    <row r="679" spans="5:8">
      <c r="E679" s="156"/>
      <c r="F679" s="156"/>
      <c r="G679" s="229"/>
      <c r="H679" s="99"/>
    </row>
    <row r="680" spans="5:8">
      <c r="E680" s="156"/>
      <c r="F680" s="156"/>
      <c r="G680" s="229"/>
      <c r="H680" s="99"/>
    </row>
    <row r="681" spans="5:8">
      <c r="E681" s="156"/>
      <c r="F681" s="156"/>
      <c r="G681" s="229"/>
      <c r="H681" s="99"/>
    </row>
    <row r="682" spans="5:8">
      <c r="E682" s="156"/>
      <c r="F682" s="156"/>
      <c r="G682" s="229"/>
      <c r="H682" s="99"/>
    </row>
    <row r="683" spans="5:8">
      <c r="E683" s="156"/>
      <c r="F683" s="156"/>
      <c r="G683" s="229"/>
      <c r="H683" s="99"/>
    </row>
    <row r="684" spans="5:8">
      <c r="E684" s="156"/>
      <c r="F684" s="156"/>
      <c r="G684" s="229"/>
      <c r="H684" s="99"/>
    </row>
    <row r="685" spans="5:8">
      <c r="E685" s="156"/>
      <c r="F685" s="156"/>
      <c r="G685" s="229"/>
      <c r="H685" s="99"/>
    </row>
    <row r="686" spans="5:8">
      <c r="E686" s="156"/>
      <c r="F686" s="156"/>
      <c r="G686" s="229"/>
      <c r="H686" s="99"/>
    </row>
    <row r="687" spans="5:8">
      <c r="E687" s="156"/>
      <c r="F687" s="156"/>
      <c r="G687" s="229"/>
      <c r="H687" s="99"/>
    </row>
    <row r="688" spans="5:8">
      <c r="E688" s="156"/>
      <c r="F688" s="156"/>
      <c r="G688" s="229"/>
      <c r="H688" s="99"/>
    </row>
    <row r="689" spans="5:8">
      <c r="E689" s="156"/>
      <c r="F689" s="156"/>
      <c r="G689" s="229"/>
      <c r="H689" s="99"/>
    </row>
    <row r="690" spans="5:8">
      <c r="E690" s="156"/>
      <c r="F690" s="156"/>
      <c r="G690" s="229"/>
      <c r="H690" s="99"/>
    </row>
    <row r="691" spans="5:8">
      <c r="E691" s="156"/>
      <c r="F691" s="156"/>
      <c r="G691" s="229"/>
      <c r="H691" s="99"/>
    </row>
    <row r="692" spans="5:8">
      <c r="E692" s="156"/>
      <c r="F692" s="156"/>
      <c r="G692" s="229"/>
      <c r="H692" s="99"/>
    </row>
    <row r="693" spans="5:8">
      <c r="E693" s="156"/>
      <c r="F693" s="156"/>
      <c r="G693" s="229"/>
      <c r="H693" s="99"/>
    </row>
    <row r="694" spans="5:8">
      <c r="E694" s="156"/>
      <c r="F694" s="156"/>
      <c r="G694" s="229"/>
      <c r="H694" s="99"/>
    </row>
    <row r="695" spans="5:8">
      <c r="E695" s="156"/>
      <c r="F695" s="156"/>
      <c r="G695" s="229"/>
      <c r="H695" s="99"/>
    </row>
    <row r="696" spans="5:8">
      <c r="E696" s="156"/>
      <c r="F696" s="156"/>
      <c r="G696" s="229"/>
      <c r="H696" s="99"/>
    </row>
    <row r="697" spans="5:8">
      <c r="E697" s="156"/>
      <c r="F697" s="156"/>
      <c r="G697" s="229"/>
      <c r="H697" s="99"/>
    </row>
    <row r="698" spans="5:8">
      <c r="E698" s="156"/>
      <c r="F698" s="156"/>
      <c r="G698" s="229"/>
      <c r="H698" s="99"/>
    </row>
    <row r="699" spans="5:8">
      <c r="E699" s="156"/>
      <c r="F699" s="156"/>
      <c r="G699" s="229"/>
      <c r="H699" s="99"/>
    </row>
    <row r="700" spans="5:8">
      <c r="E700" s="156"/>
      <c r="F700" s="156"/>
      <c r="G700" s="229"/>
      <c r="H700" s="99"/>
    </row>
    <row r="701" spans="5:8">
      <c r="E701" s="156"/>
      <c r="F701" s="156"/>
      <c r="G701" s="229"/>
      <c r="H701" s="99"/>
    </row>
    <row r="702" spans="5:8">
      <c r="E702" s="156"/>
      <c r="F702" s="156"/>
      <c r="G702" s="229"/>
      <c r="H702" s="99"/>
    </row>
    <row r="703" spans="5:8">
      <c r="E703" s="156"/>
      <c r="F703" s="156"/>
      <c r="G703" s="229"/>
      <c r="H703" s="99"/>
    </row>
    <row r="704" spans="5:8">
      <c r="E704" s="156"/>
      <c r="F704" s="156"/>
      <c r="G704" s="229"/>
      <c r="H704" s="99"/>
    </row>
    <row r="705" spans="5:8">
      <c r="E705" s="156"/>
      <c r="F705" s="156"/>
      <c r="G705" s="229"/>
      <c r="H705" s="99"/>
    </row>
    <row r="706" spans="5:8">
      <c r="E706" s="156"/>
      <c r="F706" s="156"/>
      <c r="G706" s="229"/>
      <c r="H706" s="99"/>
    </row>
    <row r="707" spans="5:8">
      <c r="E707" s="156"/>
      <c r="F707" s="156"/>
      <c r="G707" s="229"/>
      <c r="H707" s="99"/>
    </row>
    <row r="708" spans="5:8">
      <c r="E708" s="156"/>
      <c r="F708" s="156"/>
      <c r="G708" s="229"/>
      <c r="H708" s="99"/>
    </row>
    <row r="709" spans="5:8">
      <c r="E709" s="156"/>
      <c r="F709" s="156"/>
      <c r="G709" s="229"/>
      <c r="H709" s="99"/>
    </row>
    <row r="710" spans="5:8">
      <c r="E710" s="156"/>
      <c r="F710" s="156"/>
      <c r="G710" s="229"/>
      <c r="H710" s="99"/>
    </row>
    <row r="711" spans="5:8">
      <c r="E711" s="156"/>
      <c r="F711" s="156"/>
      <c r="G711" s="229"/>
      <c r="H711" s="99"/>
    </row>
    <row r="712" spans="5:8">
      <c r="E712" s="156"/>
      <c r="F712" s="156"/>
      <c r="G712" s="229"/>
      <c r="H712" s="99"/>
    </row>
    <row r="713" spans="5:8">
      <c r="E713" s="156"/>
      <c r="F713" s="156"/>
      <c r="G713" s="229"/>
      <c r="H713" s="99"/>
    </row>
    <row r="714" spans="5:8">
      <c r="E714" s="156"/>
      <c r="F714" s="156"/>
      <c r="G714" s="229"/>
      <c r="H714" s="99"/>
    </row>
    <row r="715" spans="5:8">
      <c r="E715" s="156"/>
      <c r="F715" s="156"/>
      <c r="G715" s="229"/>
      <c r="H715" s="99"/>
    </row>
    <row r="716" spans="5:8">
      <c r="E716" s="156"/>
      <c r="F716" s="156"/>
      <c r="G716" s="229"/>
      <c r="H716" s="99"/>
    </row>
    <row r="717" spans="5:8">
      <c r="E717" s="156"/>
      <c r="F717" s="156"/>
      <c r="G717" s="229"/>
      <c r="H717" s="99"/>
    </row>
    <row r="718" spans="5:8">
      <c r="E718" s="156"/>
      <c r="F718" s="156"/>
      <c r="G718" s="229"/>
      <c r="H718" s="99"/>
    </row>
    <row r="719" spans="5:8">
      <c r="E719" s="156"/>
      <c r="F719" s="156"/>
      <c r="G719" s="229"/>
      <c r="H719" s="99"/>
    </row>
    <row r="720" spans="5:8">
      <c r="E720" s="156"/>
      <c r="F720" s="156"/>
      <c r="G720" s="229"/>
      <c r="H720" s="99"/>
    </row>
    <row r="721" spans="5:8">
      <c r="E721" s="156"/>
      <c r="F721" s="156"/>
      <c r="G721" s="229"/>
      <c r="H721" s="99"/>
    </row>
    <row r="722" spans="5:8">
      <c r="E722" s="156"/>
      <c r="F722" s="156"/>
      <c r="G722" s="229"/>
      <c r="H722" s="99"/>
    </row>
    <row r="723" spans="5:8">
      <c r="E723" s="156"/>
      <c r="F723" s="156"/>
      <c r="G723" s="229"/>
      <c r="H723" s="99"/>
    </row>
    <row r="724" spans="5:8">
      <c r="E724" s="156"/>
      <c r="F724" s="156"/>
      <c r="G724" s="229"/>
      <c r="H724" s="99"/>
    </row>
    <row r="725" spans="5:8">
      <c r="E725" s="156"/>
      <c r="F725" s="156"/>
      <c r="G725" s="229"/>
      <c r="H725" s="99"/>
    </row>
    <row r="726" spans="5:8">
      <c r="E726" s="156"/>
      <c r="F726" s="156"/>
      <c r="G726" s="229"/>
      <c r="H726" s="99"/>
    </row>
    <row r="727" spans="5:8">
      <c r="E727" s="156"/>
      <c r="F727" s="156"/>
      <c r="G727" s="229"/>
      <c r="H727" s="99"/>
    </row>
    <row r="728" spans="5:8">
      <c r="E728" s="156"/>
      <c r="F728" s="156"/>
      <c r="G728" s="229"/>
      <c r="H728" s="99"/>
    </row>
    <row r="729" spans="5:8">
      <c r="E729" s="156"/>
      <c r="F729" s="156"/>
      <c r="G729" s="229"/>
      <c r="H729" s="99"/>
    </row>
    <row r="730" spans="5:8">
      <c r="E730" s="156"/>
      <c r="F730" s="156"/>
      <c r="G730" s="229"/>
      <c r="H730" s="99"/>
    </row>
    <row r="731" spans="5:8">
      <c r="E731" s="156"/>
      <c r="F731" s="156"/>
      <c r="G731" s="229"/>
      <c r="H731" s="99"/>
    </row>
    <row r="732" spans="5:8">
      <c r="E732" s="156"/>
      <c r="F732" s="156"/>
      <c r="G732" s="229"/>
      <c r="H732" s="99"/>
    </row>
    <row r="733" spans="5:8">
      <c r="E733" s="156"/>
      <c r="F733" s="156"/>
      <c r="G733" s="229"/>
      <c r="H733" s="99"/>
    </row>
    <row r="734" spans="5:8">
      <c r="E734" s="156"/>
      <c r="F734" s="156"/>
      <c r="G734" s="229"/>
      <c r="H734" s="99"/>
    </row>
    <row r="735" spans="5:8">
      <c r="E735" s="156"/>
      <c r="F735" s="156"/>
      <c r="G735" s="229"/>
      <c r="H735" s="99"/>
    </row>
    <row r="736" spans="5:8">
      <c r="E736" s="156"/>
      <c r="F736" s="156"/>
      <c r="G736" s="229"/>
      <c r="H736" s="99"/>
    </row>
    <row r="737" spans="5:8">
      <c r="E737" s="156"/>
      <c r="F737" s="156"/>
      <c r="G737" s="229"/>
      <c r="H737" s="99"/>
    </row>
    <row r="738" spans="5:8">
      <c r="E738" s="156"/>
      <c r="F738" s="156"/>
      <c r="G738" s="229"/>
      <c r="H738" s="99"/>
    </row>
    <row r="739" spans="5:8">
      <c r="E739" s="156"/>
      <c r="F739" s="156"/>
      <c r="G739" s="229"/>
      <c r="H739" s="99"/>
    </row>
    <row r="740" spans="5:8">
      <c r="E740" s="156"/>
      <c r="F740" s="156"/>
      <c r="G740" s="229"/>
      <c r="H740" s="99"/>
    </row>
    <row r="741" spans="5:8">
      <c r="E741" s="156"/>
      <c r="F741" s="156"/>
      <c r="G741" s="229"/>
      <c r="H741" s="99"/>
    </row>
    <row r="742" spans="5:8">
      <c r="E742" s="156"/>
      <c r="F742" s="156"/>
      <c r="G742" s="229"/>
      <c r="H742" s="99"/>
    </row>
    <row r="743" spans="5:8">
      <c r="E743" s="156"/>
      <c r="F743" s="156"/>
      <c r="G743" s="229"/>
      <c r="H743" s="99"/>
    </row>
    <row r="744" spans="5:8">
      <c r="E744" s="156"/>
      <c r="F744" s="156"/>
      <c r="G744" s="229"/>
      <c r="H744" s="99"/>
    </row>
    <row r="745" spans="5:8">
      <c r="E745" s="156"/>
      <c r="F745" s="156"/>
      <c r="G745" s="229"/>
      <c r="H745" s="99"/>
    </row>
    <row r="746" spans="5:8">
      <c r="E746" s="156"/>
      <c r="F746" s="156"/>
      <c r="G746" s="229"/>
      <c r="H746" s="99"/>
    </row>
    <row r="747" spans="5:8">
      <c r="E747" s="156"/>
      <c r="F747" s="156"/>
      <c r="G747" s="229"/>
      <c r="H747" s="99"/>
    </row>
    <row r="748" spans="5:8">
      <c r="E748" s="156"/>
      <c r="F748" s="156"/>
      <c r="G748" s="229"/>
      <c r="H748" s="99"/>
    </row>
    <row r="749" spans="5:8">
      <c r="E749" s="156"/>
      <c r="F749" s="156"/>
      <c r="G749" s="229"/>
      <c r="H749" s="99"/>
    </row>
    <row r="750" spans="5:8">
      <c r="E750" s="156"/>
      <c r="F750" s="156"/>
      <c r="G750" s="229"/>
      <c r="H750" s="99"/>
    </row>
    <row r="751" spans="5:8">
      <c r="E751" s="156"/>
      <c r="F751" s="156"/>
      <c r="G751" s="229"/>
      <c r="H751" s="99"/>
    </row>
  </sheetData>
  <autoFilter ref="B5:I472" xr:uid="{00000000-0009-0000-0000-000007000000}"/>
  <sortState xmlns:xlrd2="http://schemas.microsoft.com/office/spreadsheetml/2017/richdata2" ref="B7:GE469">
    <sortCondition ref="F7:F469"/>
  </sortState>
  <mergeCells count="17">
    <mergeCell ref="F471:I471"/>
    <mergeCell ref="F472:I472"/>
    <mergeCell ref="F476:I476"/>
    <mergeCell ref="B472:D472"/>
    <mergeCell ref="B476:D476"/>
    <mergeCell ref="H474:I474"/>
    <mergeCell ref="H473:I473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7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D7" sqref="D7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01" t="s">
        <v>0</v>
      </c>
      <c r="B1" s="501"/>
    </row>
    <row r="2" spans="1:8" ht="16.5">
      <c r="A2" s="500" t="s">
        <v>44</v>
      </c>
      <c r="B2" s="500"/>
    </row>
    <row r="3" spans="1:8" ht="20.25">
      <c r="B3" s="518" t="s">
        <v>769</v>
      </c>
      <c r="C3" s="518"/>
      <c r="D3" s="518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thuat'!I470/9</f>
        <v>2786921.527777778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2786921.527777778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2786921.527777778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2786921.527777778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2786921.527777778</v>
      </c>
      <c r="E11" s="80"/>
      <c r="F11" s="33"/>
    </row>
    <row r="12" spans="1:8" ht="17.25" thickBot="1">
      <c r="A12" s="6">
        <v>6</v>
      </c>
      <c r="B12" s="79" t="s">
        <v>112</v>
      </c>
      <c r="C12" s="87" t="s">
        <v>27</v>
      </c>
      <c r="D12" s="11">
        <f t="shared" si="0"/>
        <v>2786921.527777778</v>
      </c>
      <c r="E12" s="80"/>
      <c r="F12" s="33"/>
    </row>
    <row r="13" spans="1:8" ht="17.25" thickBot="1">
      <c r="A13" s="286">
        <v>7</v>
      </c>
      <c r="B13" s="79" t="s">
        <v>93</v>
      </c>
      <c r="C13" s="87" t="s">
        <v>27</v>
      </c>
      <c r="D13" s="11" t="s">
        <v>56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2786921.527777778</v>
      </c>
      <c r="E14" s="80"/>
      <c r="F14" s="33"/>
    </row>
    <row r="15" spans="1:8" ht="17.25" thickBot="1">
      <c r="A15" s="6">
        <v>9</v>
      </c>
      <c r="B15" s="79" t="s">
        <v>144</v>
      </c>
      <c r="C15" s="87" t="s">
        <v>27</v>
      </c>
      <c r="D15" s="11">
        <f>D14</f>
        <v>2786921.527777778</v>
      </c>
      <c r="E15" s="80"/>
      <c r="F15" s="33"/>
    </row>
    <row r="16" spans="1:8" ht="17.25" thickBot="1">
      <c r="A16" s="286">
        <v>10</v>
      </c>
      <c r="B16" s="79" t="s">
        <v>143</v>
      </c>
      <c r="C16" s="87" t="s">
        <v>27</v>
      </c>
      <c r="D16" s="11">
        <f>D15</f>
        <v>2786921.527777778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25082293.75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04" t="s">
        <v>320</v>
      </c>
      <c r="E19" s="504"/>
    </row>
    <row r="20" spans="1:7">
      <c r="A20" s="514" t="s">
        <v>20</v>
      </c>
      <c r="B20" s="514"/>
      <c r="D20" s="515" t="s">
        <v>21</v>
      </c>
      <c r="E20" s="515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0000"/>
  </sheetPr>
  <dimension ref="A1:L87"/>
  <sheetViews>
    <sheetView tabSelected="1"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M13" sqref="M13"/>
    </sheetView>
  </sheetViews>
  <sheetFormatPr defaultColWidth="4.7109375" defaultRowHeight="12.75"/>
  <cols>
    <col min="1" max="1" width="4.7109375" style="147" customWidth="1"/>
    <col min="2" max="2" width="9.140625" style="229" customWidth="1"/>
    <col min="3" max="3" width="22.7109375" style="146" customWidth="1"/>
    <col min="4" max="4" width="6.5703125" style="409" customWidth="1"/>
    <col min="5" max="5" width="24.5703125" style="146" customWidth="1"/>
    <col min="6" max="6" width="11.85546875" style="315" customWidth="1"/>
    <col min="7" max="7" width="11.42578125" style="229" bestFit="1" customWidth="1"/>
    <col min="8" max="8" width="12.85546875" style="147" bestFit="1" customWidth="1"/>
    <col min="9" max="9" width="9.5703125" style="147" customWidth="1"/>
    <col min="10" max="10" width="8.5703125" style="147" customWidth="1"/>
    <col min="11" max="11" width="10.140625" style="147" customWidth="1"/>
    <col min="12" max="245" width="9.140625" style="37" customWidth="1"/>
    <col min="246" max="246" width="5.140625" style="37" customWidth="1"/>
    <col min="247" max="247" width="4.7109375" style="37" customWidth="1"/>
    <col min="248" max="248" width="7.42578125" style="37" customWidth="1"/>
    <col min="249" max="250" width="23.85546875" style="37" customWidth="1"/>
    <col min="251" max="251" width="10.140625" style="37" customWidth="1"/>
    <col min="252" max="252" width="5.85546875" style="37" customWidth="1"/>
    <col min="253" max="253" width="4.7109375" style="37" customWidth="1"/>
    <col min="254" max="254" width="4.85546875" style="37" customWidth="1"/>
    <col min="255" max="255" width="16.140625" style="37" customWidth="1"/>
    <col min="256" max="256" width="9.7109375" style="37" customWidth="1"/>
    <col min="257" max="257" width="14.5703125" style="37" customWidth="1"/>
    <col min="258" max="258" width="10.7109375" style="37" customWidth="1"/>
    <col min="259" max="259" width="8.85546875" style="37" customWidth="1"/>
    <col min="260" max="260" width="11" style="37" customWidth="1"/>
    <col min="261" max="261" width="5.28515625" style="37" customWidth="1"/>
    <col min="262" max="262" width="10.28515625" style="37" customWidth="1"/>
    <col min="263" max="263" width="10.140625" style="37" customWidth="1"/>
    <col min="264" max="501" width="9.140625" style="37" customWidth="1"/>
    <col min="502" max="502" width="5.140625" style="37" customWidth="1"/>
    <col min="503" max="503" width="4.7109375" style="37" customWidth="1"/>
    <col min="504" max="504" width="7.42578125" style="37" customWidth="1"/>
    <col min="505" max="506" width="23.85546875" style="37" customWidth="1"/>
    <col min="507" max="507" width="10.140625" style="37" customWidth="1"/>
    <col min="508" max="508" width="5.85546875" style="37" customWidth="1"/>
    <col min="509" max="509" width="4.7109375" style="37" customWidth="1"/>
    <col min="510" max="510" width="4.85546875" style="37" customWidth="1"/>
    <col min="511" max="511" width="16.140625" style="37" customWidth="1"/>
    <col min="512" max="512" width="9.7109375" style="37" customWidth="1"/>
    <col min="513" max="513" width="14.5703125" style="37" customWidth="1"/>
    <col min="514" max="514" width="10.7109375" style="37" customWidth="1"/>
    <col min="515" max="515" width="8.85546875" style="37" customWidth="1"/>
    <col min="516" max="516" width="11" style="37" customWidth="1"/>
    <col min="517" max="517" width="5.28515625" style="37" customWidth="1"/>
    <col min="518" max="518" width="10.28515625" style="37" customWidth="1"/>
    <col min="519" max="519" width="10.140625" style="37" customWidth="1"/>
    <col min="520" max="757" width="9.140625" style="37" customWidth="1"/>
    <col min="758" max="758" width="5.140625" style="37" customWidth="1"/>
    <col min="759" max="759" width="4.7109375" style="37" customWidth="1"/>
    <col min="760" max="760" width="7.42578125" style="37" customWidth="1"/>
    <col min="761" max="762" width="23.85546875" style="37" customWidth="1"/>
    <col min="763" max="763" width="10.140625" style="37" customWidth="1"/>
    <col min="764" max="764" width="5.85546875" style="37" customWidth="1"/>
    <col min="765" max="765" width="4.7109375" style="37" customWidth="1"/>
    <col min="766" max="766" width="4.85546875" style="37" customWidth="1"/>
    <col min="767" max="767" width="16.140625" style="37" customWidth="1"/>
    <col min="768" max="768" width="9.7109375" style="37" customWidth="1"/>
    <col min="769" max="769" width="14.5703125" style="37" customWidth="1"/>
    <col min="770" max="770" width="10.7109375" style="37" customWidth="1"/>
    <col min="771" max="771" width="8.85546875" style="37" customWidth="1"/>
    <col min="772" max="772" width="11" style="37" customWidth="1"/>
    <col min="773" max="773" width="5.28515625" style="37" customWidth="1"/>
    <col min="774" max="774" width="10.28515625" style="37" customWidth="1"/>
    <col min="775" max="775" width="10.140625" style="37" customWidth="1"/>
    <col min="776" max="1013" width="9.140625" style="37" customWidth="1"/>
    <col min="1014" max="1014" width="5.140625" style="37" customWidth="1"/>
    <col min="1015" max="1015" width="4.7109375" style="37" customWidth="1"/>
    <col min="1016" max="1016" width="7.42578125" style="37" customWidth="1"/>
    <col min="1017" max="1018" width="23.85546875" style="37" customWidth="1"/>
    <col min="1019" max="1019" width="10.140625" style="37" customWidth="1"/>
    <col min="1020" max="1020" width="5.85546875" style="37" customWidth="1"/>
    <col min="1021" max="1021" width="4.7109375" style="37" customWidth="1"/>
    <col min="1022" max="1022" width="4.85546875" style="37" customWidth="1"/>
    <col min="1023" max="1023" width="16.140625" style="37" customWidth="1"/>
    <col min="1024" max="1024" width="9.7109375" style="37" customWidth="1"/>
    <col min="1025" max="1025" width="14.5703125" style="37" customWidth="1"/>
    <col min="1026" max="1026" width="10.7109375" style="37" customWidth="1"/>
    <col min="1027" max="1027" width="8.85546875" style="37" customWidth="1"/>
    <col min="1028" max="1028" width="11" style="37" customWidth="1"/>
    <col min="1029" max="1029" width="5.28515625" style="37" customWidth="1"/>
    <col min="1030" max="1030" width="10.28515625" style="37" customWidth="1"/>
    <col min="1031" max="1031" width="10.140625" style="37" customWidth="1"/>
    <col min="1032" max="1269" width="9.140625" style="37" customWidth="1"/>
    <col min="1270" max="1270" width="5.140625" style="37" customWidth="1"/>
    <col min="1271" max="1271" width="4.7109375" style="37" customWidth="1"/>
    <col min="1272" max="1272" width="7.42578125" style="37" customWidth="1"/>
    <col min="1273" max="1274" width="23.85546875" style="37" customWidth="1"/>
    <col min="1275" max="1275" width="10.140625" style="37" customWidth="1"/>
    <col min="1276" max="1276" width="5.85546875" style="37" customWidth="1"/>
    <col min="1277" max="1277" width="4.7109375" style="37" customWidth="1"/>
    <col min="1278" max="1278" width="4.85546875" style="37" customWidth="1"/>
    <col min="1279" max="1279" width="16.140625" style="37" customWidth="1"/>
    <col min="1280" max="1280" width="9.7109375" style="37" customWidth="1"/>
    <col min="1281" max="1281" width="14.5703125" style="37" customWidth="1"/>
    <col min="1282" max="1282" width="10.7109375" style="37" customWidth="1"/>
    <col min="1283" max="1283" width="8.85546875" style="37" customWidth="1"/>
    <col min="1284" max="1284" width="11" style="37" customWidth="1"/>
    <col min="1285" max="1285" width="5.28515625" style="37" customWidth="1"/>
    <col min="1286" max="1286" width="10.28515625" style="37" customWidth="1"/>
    <col min="1287" max="1287" width="10.140625" style="37" customWidth="1"/>
    <col min="1288" max="1525" width="9.140625" style="37" customWidth="1"/>
    <col min="1526" max="1526" width="5.140625" style="37" customWidth="1"/>
    <col min="1527" max="1527" width="4.7109375" style="37" customWidth="1"/>
    <col min="1528" max="1528" width="7.42578125" style="37" customWidth="1"/>
    <col min="1529" max="1530" width="23.85546875" style="37" customWidth="1"/>
    <col min="1531" max="1531" width="10.140625" style="37" customWidth="1"/>
    <col min="1532" max="1532" width="5.85546875" style="37" customWidth="1"/>
    <col min="1533" max="1533" width="4.7109375" style="37" customWidth="1"/>
    <col min="1534" max="1534" width="4.85546875" style="37" customWidth="1"/>
    <col min="1535" max="1535" width="16.140625" style="37" customWidth="1"/>
    <col min="1536" max="1536" width="9.7109375" style="37" customWidth="1"/>
    <col min="1537" max="1537" width="14.5703125" style="37" customWidth="1"/>
    <col min="1538" max="1538" width="10.7109375" style="37" customWidth="1"/>
    <col min="1539" max="1539" width="8.85546875" style="37" customWidth="1"/>
    <col min="1540" max="1540" width="11" style="37" customWidth="1"/>
    <col min="1541" max="1541" width="5.28515625" style="37" customWidth="1"/>
    <col min="1542" max="1542" width="10.28515625" style="37" customWidth="1"/>
    <col min="1543" max="1543" width="10.140625" style="37" customWidth="1"/>
    <col min="1544" max="1781" width="9.140625" style="37" customWidth="1"/>
    <col min="1782" max="1782" width="5.140625" style="37" customWidth="1"/>
    <col min="1783" max="1783" width="4.7109375" style="37" customWidth="1"/>
    <col min="1784" max="1784" width="7.42578125" style="37" customWidth="1"/>
    <col min="1785" max="1786" width="23.85546875" style="37" customWidth="1"/>
    <col min="1787" max="1787" width="10.140625" style="37" customWidth="1"/>
    <col min="1788" max="1788" width="5.85546875" style="37" customWidth="1"/>
    <col min="1789" max="1789" width="4.7109375" style="37" customWidth="1"/>
    <col min="1790" max="1790" width="4.85546875" style="37" customWidth="1"/>
    <col min="1791" max="1791" width="16.140625" style="37" customWidth="1"/>
    <col min="1792" max="1792" width="9.7109375" style="37" customWidth="1"/>
    <col min="1793" max="1793" width="14.5703125" style="37" customWidth="1"/>
    <col min="1794" max="1794" width="10.7109375" style="37" customWidth="1"/>
    <col min="1795" max="1795" width="8.85546875" style="37" customWidth="1"/>
    <col min="1796" max="1796" width="11" style="37" customWidth="1"/>
    <col min="1797" max="1797" width="5.28515625" style="37" customWidth="1"/>
    <col min="1798" max="1798" width="10.28515625" style="37" customWidth="1"/>
    <col min="1799" max="1799" width="10.140625" style="37" customWidth="1"/>
    <col min="1800" max="2037" width="9.140625" style="37" customWidth="1"/>
    <col min="2038" max="2038" width="5.140625" style="37" customWidth="1"/>
    <col min="2039" max="2039" width="4.7109375" style="37" customWidth="1"/>
    <col min="2040" max="2040" width="7.42578125" style="37" customWidth="1"/>
    <col min="2041" max="2042" width="23.85546875" style="37" customWidth="1"/>
    <col min="2043" max="2043" width="10.140625" style="37" customWidth="1"/>
    <col min="2044" max="2044" width="5.85546875" style="37" customWidth="1"/>
    <col min="2045" max="2045" width="4.7109375" style="37" customWidth="1"/>
    <col min="2046" max="2046" width="4.85546875" style="37" customWidth="1"/>
    <col min="2047" max="2047" width="16.140625" style="37" customWidth="1"/>
    <col min="2048" max="2048" width="9.7109375" style="37" customWidth="1"/>
    <col min="2049" max="2049" width="14.5703125" style="37" customWidth="1"/>
    <col min="2050" max="2050" width="10.7109375" style="37" customWidth="1"/>
    <col min="2051" max="2051" width="8.85546875" style="37" customWidth="1"/>
    <col min="2052" max="2052" width="11" style="37" customWidth="1"/>
    <col min="2053" max="2053" width="5.28515625" style="37" customWidth="1"/>
    <col min="2054" max="2054" width="10.28515625" style="37" customWidth="1"/>
    <col min="2055" max="2055" width="10.140625" style="37" customWidth="1"/>
    <col min="2056" max="2293" width="9.140625" style="37" customWidth="1"/>
    <col min="2294" max="2294" width="5.140625" style="37" customWidth="1"/>
    <col min="2295" max="2295" width="4.7109375" style="37" customWidth="1"/>
    <col min="2296" max="2296" width="7.42578125" style="37" customWidth="1"/>
    <col min="2297" max="2298" width="23.85546875" style="37" customWidth="1"/>
    <col min="2299" max="2299" width="10.140625" style="37" customWidth="1"/>
    <col min="2300" max="2300" width="5.85546875" style="37" customWidth="1"/>
    <col min="2301" max="2301" width="4.7109375" style="37" customWidth="1"/>
    <col min="2302" max="2302" width="4.85546875" style="37" customWidth="1"/>
    <col min="2303" max="2303" width="16.140625" style="37" customWidth="1"/>
    <col min="2304" max="2304" width="9.7109375" style="37" customWidth="1"/>
    <col min="2305" max="2305" width="14.5703125" style="37" customWidth="1"/>
    <col min="2306" max="2306" width="10.7109375" style="37" customWidth="1"/>
    <col min="2307" max="2307" width="8.85546875" style="37" customWidth="1"/>
    <col min="2308" max="2308" width="11" style="37" customWidth="1"/>
    <col min="2309" max="2309" width="5.28515625" style="37" customWidth="1"/>
    <col min="2310" max="2310" width="10.28515625" style="37" customWidth="1"/>
    <col min="2311" max="2311" width="10.140625" style="37" customWidth="1"/>
    <col min="2312" max="2549" width="9.140625" style="37" customWidth="1"/>
    <col min="2550" max="2550" width="5.140625" style="37" customWidth="1"/>
    <col min="2551" max="2551" width="4.7109375" style="37" customWidth="1"/>
    <col min="2552" max="2552" width="7.42578125" style="37" customWidth="1"/>
    <col min="2553" max="2554" width="23.85546875" style="37" customWidth="1"/>
    <col min="2555" max="2555" width="10.140625" style="37" customWidth="1"/>
    <col min="2556" max="2556" width="5.85546875" style="37" customWidth="1"/>
    <col min="2557" max="2557" width="4.7109375" style="37" customWidth="1"/>
    <col min="2558" max="2558" width="4.85546875" style="37" customWidth="1"/>
    <col min="2559" max="2559" width="16.140625" style="37" customWidth="1"/>
    <col min="2560" max="2560" width="9.7109375" style="37" customWidth="1"/>
    <col min="2561" max="2561" width="14.5703125" style="37" customWidth="1"/>
    <col min="2562" max="2562" width="10.7109375" style="37" customWidth="1"/>
    <col min="2563" max="2563" width="8.85546875" style="37" customWidth="1"/>
    <col min="2564" max="2564" width="11" style="37" customWidth="1"/>
    <col min="2565" max="2565" width="5.28515625" style="37" customWidth="1"/>
    <col min="2566" max="2566" width="10.28515625" style="37" customWidth="1"/>
    <col min="2567" max="2567" width="10.140625" style="37" customWidth="1"/>
    <col min="2568" max="2805" width="9.140625" style="37" customWidth="1"/>
    <col min="2806" max="2806" width="5.140625" style="37" customWidth="1"/>
    <col min="2807" max="2807" width="4.7109375" style="37" customWidth="1"/>
    <col min="2808" max="2808" width="7.42578125" style="37" customWidth="1"/>
    <col min="2809" max="2810" width="23.85546875" style="37" customWidth="1"/>
    <col min="2811" max="2811" width="10.140625" style="37" customWidth="1"/>
    <col min="2812" max="2812" width="5.85546875" style="37" customWidth="1"/>
    <col min="2813" max="2813" width="4.7109375" style="37" customWidth="1"/>
    <col min="2814" max="2814" width="4.85546875" style="37" customWidth="1"/>
    <col min="2815" max="2815" width="16.140625" style="37" customWidth="1"/>
    <col min="2816" max="2816" width="9.7109375" style="37" customWidth="1"/>
    <col min="2817" max="2817" width="14.5703125" style="37" customWidth="1"/>
    <col min="2818" max="2818" width="10.7109375" style="37" customWidth="1"/>
    <col min="2819" max="2819" width="8.85546875" style="37" customWidth="1"/>
    <col min="2820" max="2820" width="11" style="37" customWidth="1"/>
    <col min="2821" max="2821" width="5.28515625" style="37" customWidth="1"/>
    <col min="2822" max="2822" width="10.28515625" style="37" customWidth="1"/>
    <col min="2823" max="2823" width="10.140625" style="37" customWidth="1"/>
    <col min="2824" max="3061" width="9.140625" style="37" customWidth="1"/>
    <col min="3062" max="3062" width="5.140625" style="37" customWidth="1"/>
    <col min="3063" max="3063" width="4.7109375" style="37" customWidth="1"/>
    <col min="3064" max="3064" width="7.42578125" style="37" customWidth="1"/>
    <col min="3065" max="3066" width="23.85546875" style="37" customWidth="1"/>
    <col min="3067" max="3067" width="10.140625" style="37" customWidth="1"/>
    <col min="3068" max="3068" width="5.85546875" style="37" customWidth="1"/>
    <col min="3069" max="3069" width="4.7109375" style="37" customWidth="1"/>
    <col min="3070" max="3070" width="4.85546875" style="37" customWidth="1"/>
    <col min="3071" max="3071" width="16.140625" style="37" customWidth="1"/>
    <col min="3072" max="3072" width="9.7109375" style="37" customWidth="1"/>
    <col min="3073" max="3073" width="14.5703125" style="37" customWidth="1"/>
    <col min="3074" max="3074" width="10.7109375" style="37" customWidth="1"/>
    <col min="3075" max="3075" width="8.85546875" style="37" customWidth="1"/>
    <col min="3076" max="3076" width="11" style="37" customWidth="1"/>
    <col min="3077" max="3077" width="5.28515625" style="37" customWidth="1"/>
    <col min="3078" max="3078" width="10.28515625" style="37" customWidth="1"/>
    <col min="3079" max="3079" width="10.140625" style="37" customWidth="1"/>
    <col min="3080" max="3317" width="9.140625" style="37" customWidth="1"/>
    <col min="3318" max="3318" width="5.140625" style="37" customWidth="1"/>
    <col min="3319" max="3319" width="4.7109375" style="37" customWidth="1"/>
    <col min="3320" max="3320" width="7.42578125" style="37" customWidth="1"/>
    <col min="3321" max="3322" width="23.85546875" style="37" customWidth="1"/>
    <col min="3323" max="3323" width="10.140625" style="37" customWidth="1"/>
    <col min="3324" max="3324" width="5.85546875" style="37" customWidth="1"/>
    <col min="3325" max="3325" width="4.7109375" style="37" customWidth="1"/>
    <col min="3326" max="3326" width="4.85546875" style="37" customWidth="1"/>
    <col min="3327" max="3327" width="16.140625" style="37" customWidth="1"/>
    <col min="3328" max="3328" width="9.7109375" style="37" customWidth="1"/>
    <col min="3329" max="3329" width="14.5703125" style="37" customWidth="1"/>
    <col min="3330" max="3330" width="10.7109375" style="37" customWidth="1"/>
    <col min="3331" max="3331" width="8.85546875" style="37" customWidth="1"/>
    <col min="3332" max="3332" width="11" style="37" customWidth="1"/>
    <col min="3333" max="3333" width="5.28515625" style="37" customWidth="1"/>
    <col min="3334" max="3334" width="10.28515625" style="37" customWidth="1"/>
    <col min="3335" max="3335" width="10.140625" style="37" customWidth="1"/>
    <col min="3336" max="3573" width="9.140625" style="37" customWidth="1"/>
    <col min="3574" max="3574" width="5.140625" style="37" customWidth="1"/>
    <col min="3575" max="3575" width="4.7109375" style="37" customWidth="1"/>
    <col min="3576" max="3576" width="7.42578125" style="37" customWidth="1"/>
    <col min="3577" max="3578" width="23.85546875" style="37" customWidth="1"/>
    <col min="3579" max="3579" width="10.140625" style="37" customWidth="1"/>
    <col min="3580" max="3580" width="5.85546875" style="37" customWidth="1"/>
    <col min="3581" max="3581" width="4.7109375" style="37" customWidth="1"/>
    <col min="3582" max="3582" width="4.85546875" style="37" customWidth="1"/>
    <col min="3583" max="3583" width="16.140625" style="37" customWidth="1"/>
    <col min="3584" max="3584" width="9.7109375" style="37" customWidth="1"/>
    <col min="3585" max="3585" width="14.5703125" style="37" customWidth="1"/>
    <col min="3586" max="3586" width="10.7109375" style="37" customWidth="1"/>
    <col min="3587" max="3587" width="8.85546875" style="37" customWidth="1"/>
    <col min="3588" max="3588" width="11" style="37" customWidth="1"/>
    <col min="3589" max="3589" width="5.28515625" style="37" customWidth="1"/>
    <col min="3590" max="3590" width="10.28515625" style="37" customWidth="1"/>
    <col min="3591" max="3591" width="10.140625" style="37" customWidth="1"/>
    <col min="3592" max="3829" width="9.140625" style="37" customWidth="1"/>
    <col min="3830" max="3830" width="5.140625" style="37" customWidth="1"/>
    <col min="3831" max="3831" width="4.7109375" style="37" customWidth="1"/>
    <col min="3832" max="3832" width="7.42578125" style="37" customWidth="1"/>
    <col min="3833" max="3834" width="23.85546875" style="37" customWidth="1"/>
    <col min="3835" max="3835" width="10.140625" style="37" customWidth="1"/>
    <col min="3836" max="3836" width="5.85546875" style="37" customWidth="1"/>
    <col min="3837" max="3837" width="4.7109375" style="37" customWidth="1"/>
    <col min="3838" max="3838" width="4.85546875" style="37" customWidth="1"/>
    <col min="3839" max="3839" width="16.140625" style="37" customWidth="1"/>
    <col min="3840" max="3840" width="9.7109375" style="37" customWidth="1"/>
    <col min="3841" max="3841" width="14.5703125" style="37" customWidth="1"/>
    <col min="3842" max="3842" width="10.7109375" style="37" customWidth="1"/>
    <col min="3843" max="3843" width="8.85546875" style="37" customWidth="1"/>
    <col min="3844" max="3844" width="11" style="37" customWidth="1"/>
    <col min="3845" max="3845" width="5.28515625" style="37" customWidth="1"/>
    <col min="3846" max="3846" width="10.28515625" style="37" customWidth="1"/>
    <col min="3847" max="3847" width="10.140625" style="37" customWidth="1"/>
    <col min="3848" max="4085" width="9.140625" style="37" customWidth="1"/>
    <col min="4086" max="4086" width="5.140625" style="37" customWidth="1"/>
    <col min="4087" max="4087" width="4.7109375" style="37" customWidth="1"/>
    <col min="4088" max="4088" width="7.42578125" style="37" customWidth="1"/>
    <col min="4089" max="4090" width="23.85546875" style="37" customWidth="1"/>
    <col min="4091" max="4091" width="10.140625" style="37" customWidth="1"/>
    <col min="4092" max="4092" width="5.85546875" style="37" customWidth="1"/>
    <col min="4093" max="4093" width="4.7109375" style="37" customWidth="1"/>
    <col min="4094" max="4094" width="4.85546875" style="37" customWidth="1"/>
    <col min="4095" max="4095" width="16.140625" style="37" customWidth="1"/>
    <col min="4096" max="4096" width="9.7109375" style="37" customWidth="1"/>
    <col min="4097" max="4097" width="14.5703125" style="37" customWidth="1"/>
    <col min="4098" max="4098" width="10.7109375" style="37" customWidth="1"/>
    <col min="4099" max="4099" width="8.85546875" style="37" customWidth="1"/>
    <col min="4100" max="4100" width="11" style="37" customWidth="1"/>
    <col min="4101" max="4101" width="5.28515625" style="37" customWidth="1"/>
    <col min="4102" max="4102" width="10.28515625" style="37" customWidth="1"/>
    <col min="4103" max="4103" width="10.140625" style="37" customWidth="1"/>
    <col min="4104" max="4341" width="9.140625" style="37" customWidth="1"/>
    <col min="4342" max="4342" width="5.140625" style="37" customWidth="1"/>
    <col min="4343" max="4343" width="4.7109375" style="37" customWidth="1"/>
    <col min="4344" max="4344" width="7.42578125" style="37" customWidth="1"/>
    <col min="4345" max="4346" width="23.85546875" style="37" customWidth="1"/>
    <col min="4347" max="4347" width="10.140625" style="37" customWidth="1"/>
    <col min="4348" max="4348" width="5.85546875" style="37" customWidth="1"/>
    <col min="4349" max="4349" width="4.7109375" style="37" customWidth="1"/>
    <col min="4350" max="4350" width="4.85546875" style="37" customWidth="1"/>
    <col min="4351" max="4351" width="16.140625" style="37" customWidth="1"/>
    <col min="4352" max="4352" width="9.7109375" style="37" customWidth="1"/>
    <col min="4353" max="4353" width="14.5703125" style="37" customWidth="1"/>
    <col min="4354" max="4354" width="10.7109375" style="37" customWidth="1"/>
    <col min="4355" max="4355" width="8.85546875" style="37" customWidth="1"/>
    <col min="4356" max="4356" width="11" style="37" customWidth="1"/>
    <col min="4357" max="4357" width="5.28515625" style="37" customWidth="1"/>
    <col min="4358" max="4358" width="10.28515625" style="37" customWidth="1"/>
    <col min="4359" max="4359" width="10.140625" style="37" customWidth="1"/>
    <col min="4360" max="4597" width="9.140625" style="37" customWidth="1"/>
    <col min="4598" max="4598" width="5.140625" style="37" customWidth="1"/>
    <col min="4599" max="4599" width="4.7109375" style="37" customWidth="1"/>
    <col min="4600" max="4600" width="7.42578125" style="37" customWidth="1"/>
    <col min="4601" max="4602" width="23.85546875" style="37" customWidth="1"/>
    <col min="4603" max="4603" width="10.140625" style="37" customWidth="1"/>
    <col min="4604" max="4604" width="5.85546875" style="37" customWidth="1"/>
    <col min="4605" max="4605" width="4.7109375" style="37" customWidth="1"/>
    <col min="4606" max="4606" width="4.85546875" style="37" customWidth="1"/>
    <col min="4607" max="4607" width="16.140625" style="37" customWidth="1"/>
    <col min="4608" max="4608" width="9.7109375" style="37" customWidth="1"/>
    <col min="4609" max="4609" width="14.5703125" style="37" customWidth="1"/>
    <col min="4610" max="4610" width="10.7109375" style="37" customWidth="1"/>
    <col min="4611" max="4611" width="8.85546875" style="37" customWidth="1"/>
    <col min="4612" max="4612" width="11" style="37" customWidth="1"/>
    <col min="4613" max="4613" width="5.28515625" style="37" customWidth="1"/>
    <col min="4614" max="4614" width="10.28515625" style="37" customWidth="1"/>
    <col min="4615" max="4615" width="10.140625" style="37" customWidth="1"/>
    <col min="4616" max="4853" width="9.140625" style="37" customWidth="1"/>
    <col min="4854" max="4854" width="5.140625" style="37" customWidth="1"/>
    <col min="4855" max="4855" width="4.7109375" style="37" customWidth="1"/>
    <col min="4856" max="4856" width="7.42578125" style="37" customWidth="1"/>
    <col min="4857" max="4858" width="23.85546875" style="37" customWidth="1"/>
    <col min="4859" max="4859" width="10.140625" style="37" customWidth="1"/>
    <col min="4860" max="4860" width="5.85546875" style="37" customWidth="1"/>
    <col min="4861" max="4861" width="4.7109375" style="37" customWidth="1"/>
    <col min="4862" max="4862" width="4.85546875" style="37" customWidth="1"/>
    <col min="4863" max="4863" width="16.140625" style="37" customWidth="1"/>
    <col min="4864" max="4864" width="9.7109375" style="37" customWidth="1"/>
    <col min="4865" max="4865" width="14.5703125" style="37" customWidth="1"/>
    <col min="4866" max="4866" width="10.7109375" style="37" customWidth="1"/>
    <col min="4867" max="4867" width="8.85546875" style="37" customWidth="1"/>
    <col min="4868" max="4868" width="11" style="37" customWidth="1"/>
    <col min="4869" max="4869" width="5.28515625" style="37" customWidth="1"/>
    <col min="4870" max="4870" width="10.28515625" style="37" customWidth="1"/>
    <col min="4871" max="4871" width="10.140625" style="37" customWidth="1"/>
    <col min="4872" max="5109" width="9.140625" style="37" customWidth="1"/>
    <col min="5110" max="5110" width="5.140625" style="37" customWidth="1"/>
    <col min="5111" max="5111" width="4.7109375" style="37" customWidth="1"/>
    <col min="5112" max="5112" width="7.42578125" style="37" customWidth="1"/>
    <col min="5113" max="5114" width="23.85546875" style="37" customWidth="1"/>
    <col min="5115" max="5115" width="10.140625" style="37" customWidth="1"/>
    <col min="5116" max="5116" width="5.85546875" style="37" customWidth="1"/>
    <col min="5117" max="5117" width="4.7109375" style="37" customWidth="1"/>
    <col min="5118" max="5118" width="4.85546875" style="37" customWidth="1"/>
    <col min="5119" max="5119" width="16.140625" style="37" customWidth="1"/>
    <col min="5120" max="5120" width="9.7109375" style="37" customWidth="1"/>
    <col min="5121" max="5121" width="14.5703125" style="37" customWidth="1"/>
    <col min="5122" max="5122" width="10.7109375" style="37" customWidth="1"/>
    <col min="5123" max="5123" width="8.85546875" style="37" customWidth="1"/>
    <col min="5124" max="5124" width="11" style="37" customWidth="1"/>
    <col min="5125" max="5125" width="5.28515625" style="37" customWidth="1"/>
    <col min="5126" max="5126" width="10.28515625" style="37" customWidth="1"/>
    <col min="5127" max="5127" width="10.140625" style="37" customWidth="1"/>
    <col min="5128" max="5365" width="9.140625" style="37" customWidth="1"/>
    <col min="5366" max="5366" width="5.140625" style="37" customWidth="1"/>
    <col min="5367" max="5367" width="4.7109375" style="37" customWidth="1"/>
    <col min="5368" max="5368" width="7.42578125" style="37" customWidth="1"/>
    <col min="5369" max="5370" width="23.85546875" style="37" customWidth="1"/>
    <col min="5371" max="5371" width="10.140625" style="37" customWidth="1"/>
    <col min="5372" max="5372" width="5.85546875" style="37" customWidth="1"/>
    <col min="5373" max="5373" width="4.7109375" style="37" customWidth="1"/>
    <col min="5374" max="5374" width="4.85546875" style="37" customWidth="1"/>
    <col min="5375" max="5375" width="16.140625" style="37" customWidth="1"/>
    <col min="5376" max="5376" width="9.7109375" style="37" customWidth="1"/>
    <col min="5377" max="5377" width="14.5703125" style="37" customWidth="1"/>
    <col min="5378" max="5378" width="10.7109375" style="37" customWidth="1"/>
    <col min="5379" max="5379" width="8.85546875" style="37" customWidth="1"/>
    <col min="5380" max="5380" width="11" style="37" customWidth="1"/>
    <col min="5381" max="5381" width="5.28515625" style="37" customWidth="1"/>
    <col min="5382" max="5382" width="10.28515625" style="37" customWidth="1"/>
    <col min="5383" max="5383" width="10.140625" style="37" customWidth="1"/>
    <col min="5384" max="5621" width="9.140625" style="37" customWidth="1"/>
    <col min="5622" max="5622" width="5.140625" style="37" customWidth="1"/>
    <col min="5623" max="5623" width="4.7109375" style="37" customWidth="1"/>
    <col min="5624" max="5624" width="7.42578125" style="37" customWidth="1"/>
    <col min="5625" max="5626" width="23.85546875" style="37" customWidth="1"/>
    <col min="5627" max="5627" width="10.140625" style="37" customWidth="1"/>
    <col min="5628" max="5628" width="5.85546875" style="37" customWidth="1"/>
    <col min="5629" max="5629" width="4.7109375" style="37" customWidth="1"/>
    <col min="5630" max="5630" width="4.85546875" style="37" customWidth="1"/>
    <col min="5631" max="5631" width="16.140625" style="37" customWidth="1"/>
    <col min="5632" max="5632" width="9.7109375" style="37" customWidth="1"/>
    <col min="5633" max="5633" width="14.5703125" style="37" customWidth="1"/>
    <col min="5634" max="5634" width="10.7109375" style="37" customWidth="1"/>
    <col min="5635" max="5635" width="8.85546875" style="37" customWidth="1"/>
    <col min="5636" max="5636" width="11" style="37" customWidth="1"/>
    <col min="5637" max="5637" width="5.28515625" style="37" customWidth="1"/>
    <col min="5638" max="5638" width="10.28515625" style="37" customWidth="1"/>
    <col min="5639" max="5639" width="10.140625" style="37" customWidth="1"/>
    <col min="5640" max="5877" width="9.140625" style="37" customWidth="1"/>
    <col min="5878" max="5878" width="5.140625" style="37" customWidth="1"/>
    <col min="5879" max="5879" width="4.7109375" style="37" customWidth="1"/>
    <col min="5880" max="5880" width="7.42578125" style="37" customWidth="1"/>
    <col min="5881" max="5882" width="23.85546875" style="37" customWidth="1"/>
    <col min="5883" max="5883" width="10.140625" style="37" customWidth="1"/>
    <col min="5884" max="5884" width="5.85546875" style="37" customWidth="1"/>
    <col min="5885" max="5885" width="4.7109375" style="37" customWidth="1"/>
    <col min="5886" max="5886" width="4.85546875" style="37" customWidth="1"/>
    <col min="5887" max="5887" width="16.140625" style="37" customWidth="1"/>
    <col min="5888" max="5888" width="9.7109375" style="37" customWidth="1"/>
    <col min="5889" max="5889" width="14.5703125" style="37" customWidth="1"/>
    <col min="5890" max="5890" width="10.7109375" style="37" customWidth="1"/>
    <col min="5891" max="5891" width="8.85546875" style="37" customWidth="1"/>
    <col min="5892" max="5892" width="11" style="37" customWidth="1"/>
    <col min="5893" max="5893" width="5.28515625" style="37" customWidth="1"/>
    <col min="5894" max="5894" width="10.28515625" style="37" customWidth="1"/>
    <col min="5895" max="5895" width="10.140625" style="37" customWidth="1"/>
    <col min="5896" max="6133" width="9.140625" style="37" customWidth="1"/>
    <col min="6134" max="6134" width="5.140625" style="37" customWidth="1"/>
    <col min="6135" max="6135" width="4.7109375" style="37" customWidth="1"/>
    <col min="6136" max="6136" width="7.42578125" style="37" customWidth="1"/>
    <col min="6137" max="6138" width="23.85546875" style="37" customWidth="1"/>
    <col min="6139" max="6139" width="10.140625" style="37" customWidth="1"/>
    <col min="6140" max="6140" width="5.85546875" style="37" customWidth="1"/>
    <col min="6141" max="6141" width="4.7109375" style="37" customWidth="1"/>
    <col min="6142" max="6142" width="4.85546875" style="37" customWidth="1"/>
    <col min="6143" max="6143" width="16.140625" style="37" customWidth="1"/>
    <col min="6144" max="6144" width="9.7109375" style="37" customWidth="1"/>
    <col min="6145" max="6145" width="14.5703125" style="37" customWidth="1"/>
    <col min="6146" max="6146" width="10.7109375" style="37" customWidth="1"/>
    <col min="6147" max="6147" width="8.85546875" style="37" customWidth="1"/>
    <col min="6148" max="6148" width="11" style="37" customWidth="1"/>
    <col min="6149" max="6149" width="5.28515625" style="37" customWidth="1"/>
    <col min="6150" max="6150" width="10.28515625" style="37" customWidth="1"/>
    <col min="6151" max="6151" width="10.140625" style="37" customWidth="1"/>
    <col min="6152" max="6389" width="9.140625" style="37" customWidth="1"/>
    <col min="6390" max="6390" width="5.140625" style="37" customWidth="1"/>
    <col min="6391" max="6391" width="4.7109375" style="37" customWidth="1"/>
    <col min="6392" max="6392" width="7.42578125" style="37" customWidth="1"/>
    <col min="6393" max="6394" width="23.85546875" style="37" customWidth="1"/>
    <col min="6395" max="6395" width="10.140625" style="37" customWidth="1"/>
    <col min="6396" max="6396" width="5.85546875" style="37" customWidth="1"/>
    <col min="6397" max="6397" width="4.7109375" style="37" customWidth="1"/>
    <col min="6398" max="6398" width="4.85546875" style="37" customWidth="1"/>
    <col min="6399" max="6399" width="16.140625" style="37" customWidth="1"/>
    <col min="6400" max="6400" width="9.7109375" style="37" customWidth="1"/>
    <col min="6401" max="6401" width="14.5703125" style="37" customWidth="1"/>
    <col min="6402" max="6402" width="10.7109375" style="37" customWidth="1"/>
    <col min="6403" max="6403" width="8.85546875" style="37" customWidth="1"/>
    <col min="6404" max="6404" width="11" style="37" customWidth="1"/>
    <col min="6405" max="6405" width="5.28515625" style="37" customWidth="1"/>
    <col min="6406" max="6406" width="10.28515625" style="37" customWidth="1"/>
    <col min="6407" max="6407" width="10.140625" style="37" customWidth="1"/>
    <col min="6408" max="6645" width="9.140625" style="37" customWidth="1"/>
    <col min="6646" max="6646" width="5.140625" style="37" customWidth="1"/>
    <col min="6647" max="6647" width="4.7109375" style="37" customWidth="1"/>
    <col min="6648" max="6648" width="7.42578125" style="37" customWidth="1"/>
    <col min="6649" max="6650" width="23.85546875" style="37" customWidth="1"/>
    <col min="6651" max="6651" width="10.140625" style="37" customWidth="1"/>
    <col min="6652" max="6652" width="5.85546875" style="37" customWidth="1"/>
    <col min="6653" max="6653" width="4.7109375" style="37" customWidth="1"/>
    <col min="6654" max="6654" width="4.85546875" style="37" customWidth="1"/>
    <col min="6655" max="6655" width="16.140625" style="37" customWidth="1"/>
    <col min="6656" max="6656" width="9.7109375" style="37" customWidth="1"/>
    <col min="6657" max="6657" width="14.5703125" style="37" customWidth="1"/>
    <col min="6658" max="6658" width="10.7109375" style="37" customWidth="1"/>
    <col min="6659" max="6659" width="8.85546875" style="37" customWidth="1"/>
    <col min="6660" max="6660" width="11" style="37" customWidth="1"/>
    <col min="6661" max="6661" width="5.28515625" style="37" customWidth="1"/>
    <col min="6662" max="6662" width="10.28515625" style="37" customWidth="1"/>
    <col min="6663" max="6663" width="10.140625" style="37" customWidth="1"/>
    <col min="6664" max="6901" width="9.140625" style="37" customWidth="1"/>
    <col min="6902" max="6902" width="5.140625" style="37" customWidth="1"/>
    <col min="6903" max="6903" width="4.7109375" style="37" customWidth="1"/>
    <col min="6904" max="6904" width="7.42578125" style="37" customWidth="1"/>
    <col min="6905" max="6906" width="23.85546875" style="37" customWidth="1"/>
    <col min="6907" max="6907" width="10.140625" style="37" customWidth="1"/>
    <col min="6908" max="6908" width="5.85546875" style="37" customWidth="1"/>
    <col min="6909" max="6909" width="4.7109375" style="37" customWidth="1"/>
    <col min="6910" max="6910" width="4.85546875" style="37" customWidth="1"/>
    <col min="6911" max="6911" width="16.140625" style="37" customWidth="1"/>
    <col min="6912" max="6912" width="9.7109375" style="37" customWidth="1"/>
    <col min="6913" max="6913" width="14.5703125" style="37" customWidth="1"/>
    <col min="6914" max="6914" width="10.7109375" style="37" customWidth="1"/>
    <col min="6915" max="6915" width="8.85546875" style="37" customWidth="1"/>
    <col min="6916" max="6916" width="11" style="37" customWidth="1"/>
    <col min="6917" max="6917" width="5.28515625" style="37" customWidth="1"/>
    <col min="6918" max="6918" width="10.28515625" style="37" customWidth="1"/>
    <col min="6919" max="6919" width="10.140625" style="37" customWidth="1"/>
    <col min="6920" max="7157" width="9.140625" style="37" customWidth="1"/>
    <col min="7158" max="7158" width="5.140625" style="37" customWidth="1"/>
    <col min="7159" max="7159" width="4.7109375" style="37" customWidth="1"/>
    <col min="7160" max="7160" width="7.42578125" style="37" customWidth="1"/>
    <col min="7161" max="7162" width="23.85546875" style="37" customWidth="1"/>
    <col min="7163" max="7163" width="10.140625" style="37" customWidth="1"/>
    <col min="7164" max="7164" width="5.85546875" style="37" customWidth="1"/>
    <col min="7165" max="7165" width="4.7109375" style="37" customWidth="1"/>
    <col min="7166" max="7166" width="4.85546875" style="37" customWidth="1"/>
    <col min="7167" max="7167" width="16.140625" style="37" customWidth="1"/>
    <col min="7168" max="7168" width="9.7109375" style="37" customWidth="1"/>
    <col min="7169" max="7169" width="14.5703125" style="37" customWidth="1"/>
    <col min="7170" max="7170" width="10.7109375" style="37" customWidth="1"/>
    <col min="7171" max="7171" width="8.85546875" style="37" customWidth="1"/>
    <col min="7172" max="7172" width="11" style="37" customWidth="1"/>
    <col min="7173" max="7173" width="5.28515625" style="37" customWidth="1"/>
    <col min="7174" max="7174" width="10.28515625" style="37" customWidth="1"/>
    <col min="7175" max="7175" width="10.140625" style="37" customWidth="1"/>
    <col min="7176" max="7413" width="9.140625" style="37" customWidth="1"/>
    <col min="7414" max="7414" width="5.140625" style="37" customWidth="1"/>
    <col min="7415" max="7415" width="4.7109375" style="37" customWidth="1"/>
    <col min="7416" max="7416" width="7.42578125" style="37" customWidth="1"/>
    <col min="7417" max="7418" width="23.85546875" style="37" customWidth="1"/>
    <col min="7419" max="7419" width="10.140625" style="37" customWidth="1"/>
    <col min="7420" max="7420" width="5.85546875" style="37" customWidth="1"/>
    <col min="7421" max="7421" width="4.7109375" style="37" customWidth="1"/>
    <col min="7422" max="7422" width="4.85546875" style="37" customWidth="1"/>
    <col min="7423" max="7423" width="16.140625" style="37" customWidth="1"/>
    <col min="7424" max="7424" width="9.7109375" style="37" customWidth="1"/>
    <col min="7425" max="7425" width="14.5703125" style="37" customWidth="1"/>
    <col min="7426" max="7426" width="10.7109375" style="37" customWidth="1"/>
    <col min="7427" max="7427" width="8.85546875" style="37" customWidth="1"/>
    <col min="7428" max="7428" width="11" style="37" customWidth="1"/>
    <col min="7429" max="7429" width="5.28515625" style="37" customWidth="1"/>
    <col min="7430" max="7430" width="10.28515625" style="37" customWidth="1"/>
    <col min="7431" max="7431" width="10.140625" style="37" customWidth="1"/>
    <col min="7432" max="7669" width="9.140625" style="37" customWidth="1"/>
    <col min="7670" max="7670" width="5.140625" style="37" customWidth="1"/>
    <col min="7671" max="7671" width="4.7109375" style="37" customWidth="1"/>
    <col min="7672" max="7672" width="7.42578125" style="37" customWidth="1"/>
    <col min="7673" max="7674" width="23.85546875" style="37" customWidth="1"/>
    <col min="7675" max="7675" width="10.140625" style="37" customWidth="1"/>
    <col min="7676" max="7676" width="5.85546875" style="37" customWidth="1"/>
    <col min="7677" max="7677" width="4.7109375" style="37" customWidth="1"/>
    <col min="7678" max="7678" width="4.85546875" style="37" customWidth="1"/>
    <col min="7679" max="7679" width="16.140625" style="37" customWidth="1"/>
    <col min="7680" max="7680" width="9.7109375" style="37" customWidth="1"/>
    <col min="7681" max="7681" width="14.5703125" style="37" customWidth="1"/>
    <col min="7682" max="7682" width="10.7109375" style="37" customWidth="1"/>
    <col min="7683" max="7683" width="8.85546875" style="37" customWidth="1"/>
    <col min="7684" max="7684" width="11" style="37" customWidth="1"/>
    <col min="7685" max="7685" width="5.28515625" style="37" customWidth="1"/>
    <col min="7686" max="7686" width="10.28515625" style="37" customWidth="1"/>
    <col min="7687" max="7687" width="10.140625" style="37" customWidth="1"/>
    <col min="7688" max="7925" width="9.140625" style="37" customWidth="1"/>
    <col min="7926" max="7926" width="5.140625" style="37" customWidth="1"/>
    <col min="7927" max="7927" width="4.7109375" style="37" customWidth="1"/>
    <col min="7928" max="7928" width="7.42578125" style="37" customWidth="1"/>
    <col min="7929" max="7930" width="23.85546875" style="37" customWidth="1"/>
    <col min="7931" max="7931" width="10.140625" style="37" customWidth="1"/>
    <col min="7932" max="7932" width="5.85546875" style="37" customWidth="1"/>
    <col min="7933" max="7933" width="4.7109375" style="37" customWidth="1"/>
    <col min="7934" max="7934" width="4.85546875" style="37" customWidth="1"/>
    <col min="7935" max="7935" width="16.140625" style="37" customWidth="1"/>
    <col min="7936" max="7936" width="9.7109375" style="37" customWidth="1"/>
    <col min="7937" max="7937" width="14.5703125" style="37" customWidth="1"/>
    <col min="7938" max="7938" width="10.7109375" style="37" customWidth="1"/>
    <col min="7939" max="7939" width="8.85546875" style="37" customWidth="1"/>
    <col min="7940" max="7940" width="11" style="37" customWidth="1"/>
    <col min="7941" max="7941" width="5.28515625" style="37" customWidth="1"/>
    <col min="7942" max="7942" width="10.28515625" style="37" customWidth="1"/>
    <col min="7943" max="7943" width="10.140625" style="37" customWidth="1"/>
    <col min="7944" max="8181" width="9.140625" style="37" customWidth="1"/>
    <col min="8182" max="8182" width="5.140625" style="37" customWidth="1"/>
    <col min="8183" max="8183" width="4.7109375" style="37" customWidth="1"/>
    <col min="8184" max="8184" width="7.42578125" style="37" customWidth="1"/>
    <col min="8185" max="8186" width="23.85546875" style="37" customWidth="1"/>
    <col min="8187" max="8187" width="10.140625" style="37" customWidth="1"/>
    <col min="8188" max="8188" width="5.85546875" style="37" customWidth="1"/>
    <col min="8189" max="8189" width="4.7109375" style="37" customWidth="1"/>
    <col min="8190" max="8190" width="4.85546875" style="37" customWidth="1"/>
    <col min="8191" max="8191" width="16.140625" style="37" customWidth="1"/>
    <col min="8192" max="8192" width="9.7109375" style="37" customWidth="1"/>
    <col min="8193" max="8193" width="14.5703125" style="37" customWidth="1"/>
    <col min="8194" max="8194" width="10.7109375" style="37" customWidth="1"/>
    <col min="8195" max="8195" width="8.85546875" style="37" customWidth="1"/>
    <col min="8196" max="8196" width="11" style="37" customWidth="1"/>
    <col min="8197" max="8197" width="5.28515625" style="37" customWidth="1"/>
    <col min="8198" max="8198" width="10.28515625" style="37" customWidth="1"/>
    <col min="8199" max="8199" width="10.140625" style="37" customWidth="1"/>
    <col min="8200" max="8437" width="9.140625" style="37" customWidth="1"/>
    <col min="8438" max="8438" width="5.140625" style="37" customWidth="1"/>
    <col min="8439" max="8439" width="4.7109375" style="37" customWidth="1"/>
    <col min="8440" max="8440" width="7.42578125" style="37" customWidth="1"/>
    <col min="8441" max="8442" width="23.85546875" style="37" customWidth="1"/>
    <col min="8443" max="8443" width="10.140625" style="37" customWidth="1"/>
    <col min="8444" max="8444" width="5.85546875" style="37" customWidth="1"/>
    <col min="8445" max="8445" width="4.7109375" style="37" customWidth="1"/>
    <col min="8446" max="8446" width="4.85546875" style="37" customWidth="1"/>
    <col min="8447" max="8447" width="16.140625" style="37" customWidth="1"/>
    <col min="8448" max="8448" width="9.7109375" style="37" customWidth="1"/>
    <col min="8449" max="8449" width="14.5703125" style="37" customWidth="1"/>
    <col min="8450" max="8450" width="10.7109375" style="37" customWidth="1"/>
    <col min="8451" max="8451" width="8.85546875" style="37" customWidth="1"/>
    <col min="8452" max="8452" width="11" style="37" customWidth="1"/>
    <col min="8453" max="8453" width="5.28515625" style="37" customWidth="1"/>
    <col min="8454" max="8454" width="10.28515625" style="37" customWidth="1"/>
    <col min="8455" max="8455" width="10.140625" style="37" customWidth="1"/>
    <col min="8456" max="8693" width="9.140625" style="37" customWidth="1"/>
    <col min="8694" max="8694" width="5.140625" style="37" customWidth="1"/>
    <col min="8695" max="8695" width="4.7109375" style="37" customWidth="1"/>
    <col min="8696" max="8696" width="7.42578125" style="37" customWidth="1"/>
    <col min="8697" max="8698" width="23.85546875" style="37" customWidth="1"/>
    <col min="8699" max="8699" width="10.140625" style="37" customWidth="1"/>
    <col min="8700" max="8700" width="5.85546875" style="37" customWidth="1"/>
    <col min="8701" max="8701" width="4.7109375" style="37" customWidth="1"/>
    <col min="8702" max="8702" width="4.85546875" style="37" customWidth="1"/>
    <col min="8703" max="8703" width="16.140625" style="37" customWidth="1"/>
    <col min="8704" max="8704" width="9.7109375" style="37" customWidth="1"/>
    <col min="8705" max="8705" width="14.5703125" style="37" customWidth="1"/>
    <col min="8706" max="8706" width="10.7109375" style="37" customWidth="1"/>
    <col min="8707" max="8707" width="8.85546875" style="37" customWidth="1"/>
    <col min="8708" max="8708" width="11" style="37" customWidth="1"/>
    <col min="8709" max="8709" width="5.28515625" style="37" customWidth="1"/>
    <col min="8710" max="8710" width="10.28515625" style="37" customWidth="1"/>
    <col min="8711" max="8711" width="10.140625" style="37" customWidth="1"/>
    <col min="8712" max="8949" width="9.140625" style="37" customWidth="1"/>
    <col min="8950" max="8950" width="5.140625" style="37" customWidth="1"/>
    <col min="8951" max="8951" width="4.7109375" style="37" customWidth="1"/>
    <col min="8952" max="8952" width="7.42578125" style="37" customWidth="1"/>
    <col min="8953" max="8954" width="23.85546875" style="37" customWidth="1"/>
    <col min="8955" max="8955" width="10.140625" style="37" customWidth="1"/>
    <col min="8956" max="8956" width="5.85546875" style="37" customWidth="1"/>
    <col min="8957" max="8957" width="4.7109375" style="37" customWidth="1"/>
    <col min="8958" max="8958" width="4.85546875" style="37" customWidth="1"/>
    <col min="8959" max="8959" width="16.140625" style="37" customWidth="1"/>
    <col min="8960" max="8960" width="9.7109375" style="37" customWidth="1"/>
    <col min="8961" max="8961" width="14.5703125" style="37" customWidth="1"/>
    <col min="8962" max="8962" width="10.7109375" style="37" customWidth="1"/>
    <col min="8963" max="8963" width="8.85546875" style="37" customWidth="1"/>
    <col min="8964" max="8964" width="11" style="37" customWidth="1"/>
    <col min="8965" max="8965" width="5.28515625" style="37" customWidth="1"/>
    <col min="8966" max="8966" width="10.28515625" style="37" customWidth="1"/>
    <col min="8967" max="8967" width="10.140625" style="37" customWidth="1"/>
    <col min="8968" max="9205" width="9.140625" style="37" customWidth="1"/>
    <col min="9206" max="9206" width="5.140625" style="37" customWidth="1"/>
    <col min="9207" max="9207" width="4.7109375" style="37" customWidth="1"/>
    <col min="9208" max="9208" width="7.42578125" style="37" customWidth="1"/>
    <col min="9209" max="9210" width="23.85546875" style="37" customWidth="1"/>
    <col min="9211" max="9211" width="10.140625" style="37" customWidth="1"/>
    <col min="9212" max="9212" width="5.85546875" style="37" customWidth="1"/>
    <col min="9213" max="9213" width="4.7109375" style="37" customWidth="1"/>
    <col min="9214" max="9214" width="4.85546875" style="37" customWidth="1"/>
    <col min="9215" max="9215" width="16.140625" style="37" customWidth="1"/>
    <col min="9216" max="9216" width="9.7109375" style="37" customWidth="1"/>
    <col min="9217" max="9217" width="14.5703125" style="37" customWidth="1"/>
    <col min="9218" max="9218" width="10.7109375" style="37" customWidth="1"/>
    <col min="9219" max="9219" width="8.85546875" style="37" customWidth="1"/>
    <col min="9220" max="9220" width="11" style="37" customWidth="1"/>
    <col min="9221" max="9221" width="5.28515625" style="37" customWidth="1"/>
    <col min="9222" max="9222" width="10.28515625" style="37" customWidth="1"/>
    <col min="9223" max="9223" width="10.140625" style="37" customWidth="1"/>
    <col min="9224" max="9461" width="9.140625" style="37" customWidth="1"/>
    <col min="9462" max="9462" width="5.140625" style="37" customWidth="1"/>
    <col min="9463" max="9463" width="4.7109375" style="37" customWidth="1"/>
    <col min="9464" max="9464" width="7.42578125" style="37" customWidth="1"/>
    <col min="9465" max="9466" width="23.85546875" style="37" customWidth="1"/>
    <col min="9467" max="9467" width="10.140625" style="37" customWidth="1"/>
    <col min="9468" max="9468" width="5.85546875" style="37" customWidth="1"/>
    <col min="9469" max="9469" width="4.7109375" style="37" customWidth="1"/>
    <col min="9470" max="9470" width="4.85546875" style="37" customWidth="1"/>
    <col min="9471" max="9471" width="16.140625" style="37" customWidth="1"/>
    <col min="9472" max="9472" width="9.7109375" style="37" customWidth="1"/>
    <col min="9473" max="9473" width="14.5703125" style="37" customWidth="1"/>
    <col min="9474" max="9474" width="10.7109375" style="37" customWidth="1"/>
    <col min="9475" max="9475" width="8.85546875" style="37" customWidth="1"/>
    <col min="9476" max="9476" width="11" style="37" customWidth="1"/>
    <col min="9477" max="9477" width="5.28515625" style="37" customWidth="1"/>
    <col min="9478" max="9478" width="10.28515625" style="37" customWidth="1"/>
    <col min="9479" max="9479" width="10.140625" style="37" customWidth="1"/>
    <col min="9480" max="9717" width="9.140625" style="37" customWidth="1"/>
    <col min="9718" max="9718" width="5.140625" style="37" customWidth="1"/>
    <col min="9719" max="9719" width="4.7109375" style="37" customWidth="1"/>
    <col min="9720" max="9720" width="7.42578125" style="37" customWidth="1"/>
    <col min="9721" max="9722" width="23.85546875" style="37" customWidth="1"/>
    <col min="9723" max="9723" width="10.140625" style="37" customWidth="1"/>
    <col min="9724" max="9724" width="5.85546875" style="37" customWidth="1"/>
    <col min="9725" max="9725" width="4.7109375" style="37" customWidth="1"/>
    <col min="9726" max="9726" width="4.85546875" style="37" customWidth="1"/>
    <col min="9727" max="9727" width="16.140625" style="37" customWidth="1"/>
    <col min="9728" max="9728" width="9.7109375" style="37" customWidth="1"/>
    <col min="9729" max="9729" width="14.5703125" style="37" customWidth="1"/>
    <col min="9730" max="9730" width="10.7109375" style="37" customWidth="1"/>
    <col min="9731" max="9731" width="8.85546875" style="37" customWidth="1"/>
    <col min="9732" max="9732" width="11" style="37" customWidth="1"/>
    <col min="9733" max="9733" width="5.28515625" style="37" customWidth="1"/>
    <col min="9734" max="9734" width="10.28515625" style="37" customWidth="1"/>
    <col min="9735" max="9735" width="10.140625" style="37" customWidth="1"/>
    <col min="9736" max="9973" width="9.140625" style="37" customWidth="1"/>
    <col min="9974" max="9974" width="5.140625" style="37" customWidth="1"/>
    <col min="9975" max="9975" width="4.7109375" style="37" customWidth="1"/>
    <col min="9976" max="9976" width="7.42578125" style="37" customWidth="1"/>
    <col min="9977" max="9978" width="23.85546875" style="37" customWidth="1"/>
    <col min="9979" max="9979" width="10.140625" style="37" customWidth="1"/>
    <col min="9980" max="9980" width="5.85546875" style="37" customWidth="1"/>
    <col min="9981" max="9981" width="4.7109375" style="37" customWidth="1"/>
    <col min="9982" max="9982" width="4.85546875" style="37" customWidth="1"/>
    <col min="9983" max="9983" width="16.140625" style="37" customWidth="1"/>
    <col min="9984" max="9984" width="9.7109375" style="37" customWidth="1"/>
    <col min="9985" max="9985" width="14.5703125" style="37" customWidth="1"/>
    <col min="9986" max="9986" width="10.7109375" style="37" customWidth="1"/>
    <col min="9987" max="9987" width="8.85546875" style="37" customWidth="1"/>
    <col min="9988" max="9988" width="11" style="37" customWidth="1"/>
    <col min="9989" max="9989" width="5.28515625" style="37" customWidth="1"/>
    <col min="9990" max="9990" width="10.28515625" style="37" customWidth="1"/>
    <col min="9991" max="9991" width="10.140625" style="37" customWidth="1"/>
    <col min="9992" max="10229" width="9.140625" style="37" customWidth="1"/>
    <col min="10230" max="10230" width="5.140625" style="37" customWidth="1"/>
    <col min="10231" max="10231" width="4.7109375" style="37" customWidth="1"/>
    <col min="10232" max="10232" width="7.42578125" style="37" customWidth="1"/>
    <col min="10233" max="10234" width="23.85546875" style="37" customWidth="1"/>
    <col min="10235" max="10235" width="10.140625" style="37" customWidth="1"/>
    <col min="10236" max="10236" width="5.85546875" style="37" customWidth="1"/>
    <col min="10237" max="10237" width="4.7109375" style="37" customWidth="1"/>
    <col min="10238" max="10238" width="4.85546875" style="37" customWidth="1"/>
    <col min="10239" max="10239" width="16.140625" style="37" customWidth="1"/>
    <col min="10240" max="10240" width="9.7109375" style="37" customWidth="1"/>
    <col min="10241" max="10241" width="14.5703125" style="37" customWidth="1"/>
    <col min="10242" max="10242" width="10.7109375" style="37" customWidth="1"/>
    <col min="10243" max="10243" width="8.85546875" style="37" customWidth="1"/>
    <col min="10244" max="10244" width="11" style="37" customWidth="1"/>
    <col min="10245" max="10245" width="5.28515625" style="37" customWidth="1"/>
    <col min="10246" max="10246" width="10.28515625" style="37" customWidth="1"/>
    <col min="10247" max="10247" width="10.140625" style="37" customWidth="1"/>
    <col min="10248" max="10485" width="9.140625" style="37" customWidth="1"/>
    <col min="10486" max="10486" width="5.140625" style="37" customWidth="1"/>
    <col min="10487" max="10487" width="4.7109375" style="37" customWidth="1"/>
    <col min="10488" max="10488" width="7.42578125" style="37" customWidth="1"/>
    <col min="10489" max="10490" width="23.85546875" style="37" customWidth="1"/>
    <col min="10491" max="10491" width="10.140625" style="37" customWidth="1"/>
    <col min="10492" max="10492" width="5.85546875" style="37" customWidth="1"/>
    <col min="10493" max="10493" width="4.7109375" style="37" customWidth="1"/>
    <col min="10494" max="10494" width="4.85546875" style="37" customWidth="1"/>
    <col min="10495" max="10495" width="16.140625" style="37" customWidth="1"/>
    <col min="10496" max="10496" width="9.7109375" style="37" customWidth="1"/>
    <col min="10497" max="10497" width="14.5703125" style="37" customWidth="1"/>
    <col min="10498" max="10498" width="10.7109375" style="37" customWidth="1"/>
    <col min="10499" max="10499" width="8.85546875" style="37" customWidth="1"/>
    <col min="10500" max="10500" width="11" style="37" customWidth="1"/>
    <col min="10501" max="10501" width="5.28515625" style="37" customWidth="1"/>
    <col min="10502" max="10502" width="10.28515625" style="37" customWidth="1"/>
    <col min="10503" max="10503" width="10.140625" style="37" customWidth="1"/>
    <col min="10504" max="10741" width="9.140625" style="37" customWidth="1"/>
    <col min="10742" max="10742" width="5.140625" style="37" customWidth="1"/>
    <col min="10743" max="10743" width="4.7109375" style="37" customWidth="1"/>
    <col min="10744" max="10744" width="7.42578125" style="37" customWidth="1"/>
    <col min="10745" max="10746" width="23.85546875" style="37" customWidth="1"/>
    <col min="10747" max="10747" width="10.140625" style="37" customWidth="1"/>
    <col min="10748" max="10748" width="5.85546875" style="37" customWidth="1"/>
    <col min="10749" max="10749" width="4.7109375" style="37" customWidth="1"/>
    <col min="10750" max="10750" width="4.85546875" style="37" customWidth="1"/>
    <col min="10751" max="10751" width="16.140625" style="37" customWidth="1"/>
    <col min="10752" max="10752" width="9.7109375" style="37" customWidth="1"/>
    <col min="10753" max="10753" width="14.5703125" style="37" customWidth="1"/>
    <col min="10754" max="10754" width="10.7109375" style="37" customWidth="1"/>
    <col min="10755" max="10755" width="8.85546875" style="37" customWidth="1"/>
    <col min="10756" max="10756" width="11" style="37" customWidth="1"/>
    <col min="10757" max="10757" width="5.28515625" style="37" customWidth="1"/>
    <col min="10758" max="10758" width="10.28515625" style="37" customWidth="1"/>
    <col min="10759" max="10759" width="10.140625" style="37" customWidth="1"/>
    <col min="10760" max="10997" width="9.140625" style="37" customWidth="1"/>
    <col min="10998" max="10998" width="5.140625" style="37" customWidth="1"/>
    <col min="10999" max="10999" width="4.7109375" style="37" customWidth="1"/>
    <col min="11000" max="11000" width="7.42578125" style="37" customWidth="1"/>
    <col min="11001" max="11002" width="23.85546875" style="37" customWidth="1"/>
    <col min="11003" max="11003" width="10.140625" style="37" customWidth="1"/>
    <col min="11004" max="11004" width="5.85546875" style="37" customWidth="1"/>
    <col min="11005" max="11005" width="4.7109375" style="37" customWidth="1"/>
    <col min="11006" max="11006" width="4.85546875" style="37" customWidth="1"/>
    <col min="11007" max="11007" width="16.140625" style="37" customWidth="1"/>
    <col min="11008" max="11008" width="9.7109375" style="37" customWidth="1"/>
    <col min="11009" max="11009" width="14.5703125" style="37" customWidth="1"/>
    <col min="11010" max="11010" width="10.7109375" style="37" customWidth="1"/>
    <col min="11011" max="11011" width="8.85546875" style="37" customWidth="1"/>
    <col min="11012" max="11012" width="11" style="37" customWidth="1"/>
    <col min="11013" max="11013" width="5.28515625" style="37" customWidth="1"/>
    <col min="11014" max="11014" width="10.28515625" style="37" customWidth="1"/>
    <col min="11015" max="11015" width="10.140625" style="37" customWidth="1"/>
    <col min="11016" max="11253" width="9.140625" style="37" customWidth="1"/>
    <col min="11254" max="11254" width="5.140625" style="37" customWidth="1"/>
    <col min="11255" max="11255" width="4.7109375" style="37" customWidth="1"/>
    <col min="11256" max="11256" width="7.42578125" style="37" customWidth="1"/>
    <col min="11257" max="11258" width="23.85546875" style="37" customWidth="1"/>
    <col min="11259" max="11259" width="10.140625" style="37" customWidth="1"/>
    <col min="11260" max="11260" width="5.85546875" style="37" customWidth="1"/>
    <col min="11261" max="11261" width="4.7109375" style="37" customWidth="1"/>
    <col min="11262" max="11262" width="4.85546875" style="37" customWidth="1"/>
    <col min="11263" max="11263" width="16.140625" style="37" customWidth="1"/>
    <col min="11264" max="11264" width="9.7109375" style="37" customWidth="1"/>
    <col min="11265" max="11265" width="14.5703125" style="37" customWidth="1"/>
    <col min="11266" max="11266" width="10.7109375" style="37" customWidth="1"/>
    <col min="11267" max="11267" width="8.85546875" style="37" customWidth="1"/>
    <col min="11268" max="11268" width="11" style="37" customWidth="1"/>
    <col min="11269" max="11269" width="5.28515625" style="37" customWidth="1"/>
    <col min="11270" max="11270" width="10.28515625" style="37" customWidth="1"/>
    <col min="11271" max="11271" width="10.140625" style="37" customWidth="1"/>
    <col min="11272" max="11509" width="9.140625" style="37" customWidth="1"/>
    <col min="11510" max="11510" width="5.140625" style="37" customWidth="1"/>
    <col min="11511" max="11511" width="4.7109375" style="37" customWidth="1"/>
    <col min="11512" max="11512" width="7.42578125" style="37" customWidth="1"/>
    <col min="11513" max="11514" width="23.85546875" style="37" customWidth="1"/>
    <col min="11515" max="11515" width="10.140625" style="37" customWidth="1"/>
    <col min="11516" max="11516" width="5.85546875" style="37" customWidth="1"/>
    <col min="11517" max="11517" width="4.7109375" style="37" customWidth="1"/>
    <col min="11518" max="11518" width="4.85546875" style="37" customWidth="1"/>
    <col min="11519" max="11519" width="16.140625" style="37" customWidth="1"/>
    <col min="11520" max="11520" width="9.7109375" style="37" customWidth="1"/>
    <col min="11521" max="11521" width="14.5703125" style="37" customWidth="1"/>
    <col min="11522" max="11522" width="10.7109375" style="37" customWidth="1"/>
    <col min="11523" max="11523" width="8.85546875" style="37" customWidth="1"/>
    <col min="11524" max="11524" width="11" style="37" customWidth="1"/>
    <col min="11525" max="11525" width="5.28515625" style="37" customWidth="1"/>
    <col min="11526" max="11526" width="10.28515625" style="37" customWidth="1"/>
    <col min="11527" max="11527" width="10.140625" style="37" customWidth="1"/>
    <col min="11528" max="11765" width="9.140625" style="37" customWidth="1"/>
    <col min="11766" max="11766" width="5.140625" style="37" customWidth="1"/>
    <col min="11767" max="11767" width="4.7109375" style="37" customWidth="1"/>
    <col min="11768" max="11768" width="7.42578125" style="37" customWidth="1"/>
    <col min="11769" max="11770" width="23.85546875" style="37" customWidth="1"/>
    <col min="11771" max="11771" width="10.140625" style="37" customWidth="1"/>
    <col min="11772" max="11772" width="5.85546875" style="37" customWidth="1"/>
    <col min="11773" max="11773" width="4.7109375" style="37" customWidth="1"/>
    <col min="11774" max="11774" width="4.85546875" style="37" customWidth="1"/>
    <col min="11775" max="11775" width="16.140625" style="37" customWidth="1"/>
    <col min="11776" max="11776" width="9.7109375" style="37" customWidth="1"/>
    <col min="11777" max="11777" width="14.5703125" style="37" customWidth="1"/>
    <col min="11778" max="11778" width="10.7109375" style="37" customWidth="1"/>
    <col min="11779" max="11779" width="8.85546875" style="37" customWidth="1"/>
    <col min="11780" max="11780" width="11" style="37" customWidth="1"/>
    <col min="11781" max="11781" width="5.28515625" style="37" customWidth="1"/>
    <col min="11782" max="11782" width="10.28515625" style="37" customWidth="1"/>
    <col min="11783" max="11783" width="10.140625" style="37" customWidth="1"/>
    <col min="11784" max="12021" width="9.140625" style="37" customWidth="1"/>
    <col min="12022" max="12022" width="5.140625" style="37" customWidth="1"/>
    <col min="12023" max="12023" width="4.7109375" style="37" customWidth="1"/>
    <col min="12024" max="12024" width="7.42578125" style="37" customWidth="1"/>
    <col min="12025" max="12026" width="23.85546875" style="37" customWidth="1"/>
    <col min="12027" max="12027" width="10.140625" style="37" customWidth="1"/>
    <col min="12028" max="12028" width="5.85546875" style="37" customWidth="1"/>
    <col min="12029" max="12029" width="4.7109375" style="37" customWidth="1"/>
    <col min="12030" max="12030" width="4.85546875" style="37" customWidth="1"/>
    <col min="12031" max="12031" width="16.140625" style="37" customWidth="1"/>
    <col min="12032" max="12032" width="9.7109375" style="37" customWidth="1"/>
    <col min="12033" max="12033" width="14.5703125" style="37" customWidth="1"/>
    <col min="12034" max="12034" width="10.7109375" style="37" customWidth="1"/>
    <col min="12035" max="12035" width="8.85546875" style="37" customWidth="1"/>
    <col min="12036" max="12036" width="11" style="37" customWidth="1"/>
    <col min="12037" max="12037" width="5.28515625" style="37" customWidth="1"/>
    <col min="12038" max="12038" width="10.28515625" style="37" customWidth="1"/>
    <col min="12039" max="12039" width="10.140625" style="37" customWidth="1"/>
    <col min="12040" max="12277" width="9.140625" style="37" customWidth="1"/>
    <col min="12278" max="12278" width="5.140625" style="37" customWidth="1"/>
    <col min="12279" max="12279" width="4.7109375" style="37" customWidth="1"/>
    <col min="12280" max="12280" width="7.42578125" style="37" customWidth="1"/>
    <col min="12281" max="12282" width="23.85546875" style="37" customWidth="1"/>
    <col min="12283" max="12283" width="10.140625" style="37" customWidth="1"/>
    <col min="12284" max="12284" width="5.85546875" style="37" customWidth="1"/>
    <col min="12285" max="12285" width="4.7109375" style="37" customWidth="1"/>
    <col min="12286" max="12286" width="4.85546875" style="37" customWidth="1"/>
    <col min="12287" max="12287" width="16.140625" style="37" customWidth="1"/>
    <col min="12288" max="12288" width="9.7109375" style="37" customWidth="1"/>
    <col min="12289" max="12289" width="14.5703125" style="37" customWidth="1"/>
    <col min="12290" max="12290" width="10.7109375" style="37" customWidth="1"/>
    <col min="12291" max="12291" width="8.85546875" style="37" customWidth="1"/>
    <col min="12292" max="12292" width="11" style="37" customWidth="1"/>
    <col min="12293" max="12293" width="5.28515625" style="37" customWidth="1"/>
    <col min="12294" max="12294" width="10.28515625" style="37" customWidth="1"/>
    <col min="12295" max="12295" width="10.140625" style="37" customWidth="1"/>
    <col min="12296" max="12533" width="9.140625" style="37" customWidth="1"/>
    <col min="12534" max="12534" width="5.140625" style="37" customWidth="1"/>
    <col min="12535" max="12535" width="4.7109375" style="37" customWidth="1"/>
    <col min="12536" max="12536" width="7.42578125" style="37" customWidth="1"/>
    <col min="12537" max="12538" width="23.85546875" style="37" customWidth="1"/>
    <col min="12539" max="12539" width="10.140625" style="37" customWidth="1"/>
    <col min="12540" max="12540" width="5.85546875" style="37" customWidth="1"/>
    <col min="12541" max="12541" width="4.7109375" style="37" customWidth="1"/>
    <col min="12542" max="12542" width="4.85546875" style="37" customWidth="1"/>
    <col min="12543" max="12543" width="16.140625" style="37" customWidth="1"/>
    <col min="12544" max="12544" width="9.7109375" style="37" customWidth="1"/>
    <col min="12545" max="12545" width="14.5703125" style="37" customWidth="1"/>
    <col min="12546" max="12546" width="10.7109375" style="37" customWidth="1"/>
    <col min="12547" max="12547" width="8.85546875" style="37" customWidth="1"/>
    <col min="12548" max="12548" width="11" style="37" customWidth="1"/>
    <col min="12549" max="12549" width="5.28515625" style="37" customWidth="1"/>
    <col min="12550" max="12550" width="10.28515625" style="37" customWidth="1"/>
    <col min="12551" max="12551" width="10.140625" style="37" customWidth="1"/>
    <col min="12552" max="12789" width="9.140625" style="37" customWidth="1"/>
    <col min="12790" max="12790" width="5.140625" style="37" customWidth="1"/>
    <col min="12791" max="12791" width="4.7109375" style="37" customWidth="1"/>
    <col min="12792" max="12792" width="7.42578125" style="37" customWidth="1"/>
    <col min="12793" max="12794" width="23.85546875" style="37" customWidth="1"/>
    <col min="12795" max="12795" width="10.140625" style="37" customWidth="1"/>
    <col min="12796" max="12796" width="5.85546875" style="37" customWidth="1"/>
    <col min="12797" max="12797" width="4.7109375" style="37" customWidth="1"/>
    <col min="12798" max="12798" width="4.85546875" style="37" customWidth="1"/>
    <col min="12799" max="12799" width="16.140625" style="37" customWidth="1"/>
    <col min="12800" max="12800" width="9.7109375" style="37" customWidth="1"/>
    <col min="12801" max="12801" width="14.5703125" style="37" customWidth="1"/>
    <col min="12802" max="12802" width="10.7109375" style="37" customWidth="1"/>
    <col min="12803" max="12803" width="8.85546875" style="37" customWidth="1"/>
    <col min="12804" max="12804" width="11" style="37" customWidth="1"/>
    <col min="12805" max="12805" width="5.28515625" style="37" customWidth="1"/>
    <col min="12806" max="12806" width="10.28515625" style="37" customWidth="1"/>
    <col min="12807" max="12807" width="10.140625" style="37" customWidth="1"/>
    <col min="12808" max="13045" width="9.140625" style="37" customWidth="1"/>
    <col min="13046" max="13046" width="5.140625" style="37" customWidth="1"/>
    <col min="13047" max="13047" width="4.7109375" style="37" customWidth="1"/>
    <col min="13048" max="13048" width="7.42578125" style="37" customWidth="1"/>
    <col min="13049" max="13050" width="23.85546875" style="37" customWidth="1"/>
    <col min="13051" max="13051" width="10.140625" style="37" customWidth="1"/>
    <col min="13052" max="13052" width="5.85546875" style="37" customWidth="1"/>
    <col min="13053" max="13053" width="4.7109375" style="37" customWidth="1"/>
    <col min="13054" max="13054" width="4.85546875" style="37" customWidth="1"/>
    <col min="13055" max="13055" width="16.140625" style="37" customWidth="1"/>
    <col min="13056" max="13056" width="9.7109375" style="37" customWidth="1"/>
    <col min="13057" max="13057" width="14.5703125" style="37" customWidth="1"/>
    <col min="13058" max="13058" width="10.7109375" style="37" customWidth="1"/>
    <col min="13059" max="13059" width="8.85546875" style="37" customWidth="1"/>
    <col min="13060" max="13060" width="11" style="37" customWidth="1"/>
    <col min="13061" max="13061" width="5.28515625" style="37" customWidth="1"/>
    <col min="13062" max="13062" width="10.28515625" style="37" customWidth="1"/>
    <col min="13063" max="13063" width="10.140625" style="37" customWidth="1"/>
    <col min="13064" max="13301" width="9.140625" style="37" customWidth="1"/>
    <col min="13302" max="13302" width="5.140625" style="37" customWidth="1"/>
    <col min="13303" max="13303" width="4.7109375" style="37" customWidth="1"/>
    <col min="13304" max="13304" width="7.42578125" style="37" customWidth="1"/>
    <col min="13305" max="13306" width="23.85546875" style="37" customWidth="1"/>
    <col min="13307" max="13307" width="10.140625" style="37" customWidth="1"/>
    <col min="13308" max="13308" width="5.85546875" style="37" customWidth="1"/>
    <col min="13309" max="13309" width="4.7109375" style="37" customWidth="1"/>
    <col min="13310" max="13310" width="4.85546875" style="37" customWidth="1"/>
    <col min="13311" max="13311" width="16.140625" style="37" customWidth="1"/>
    <col min="13312" max="13312" width="9.7109375" style="37" customWidth="1"/>
    <col min="13313" max="13313" width="14.5703125" style="37" customWidth="1"/>
    <col min="13314" max="13314" width="10.7109375" style="37" customWidth="1"/>
    <col min="13315" max="13315" width="8.85546875" style="37" customWidth="1"/>
    <col min="13316" max="13316" width="11" style="37" customWidth="1"/>
    <col min="13317" max="13317" width="5.28515625" style="37" customWidth="1"/>
    <col min="13318" max="13318" width="10.28515625" style="37" customWidth="1"/>
    <col min="13319" max="13319" width="10.140625" style="37" customWidth="1"/>
    <col min="13320" max="13557" width="9.140625" style="37" customWidth="1"/>
    <col min="13558" max="13558" width="5.140625" style="37" customWidth="1"/>
    <col min="13559" max="13559" width="4.7109375" style="37" customWidth="1"/>
    <col min="13560" max="13560" width="7.42578125" style="37" customWidth="1"/>
    <col min="13561" max="13562" width="23.85546875" style="37" customWidth="1"/>
    <col min="13563" max="13563" width="10.140625" style="37" customWidth="1"/>
    <col min="13564" max="13564" width="5.85546875" style="37" customWidth="1"/>
    <col min="13565" max="13565" width="4.7109375" style="37" customWidth="1"/>
    <col min="13566" max="13566" width="4.85546875" style="37" customWidth="1"/>
    <col min="13567" max="13567" width="16.140625" style="37" customWidth="1"/>
    <col min="13568" max="13568" width="9.7109375" style="37" customWidth="1"/>
    <col min="13569" max="13569" width="14.5703125" style="37" customWidth="1"/>
    <col min="13570" max="13570" width="10.7109375" style="37" customWidth="1"/>
    <col min="13571" max="13571" width="8.85546875" style="37" customWidth="1"/>
    <col min="13572" max="13572" width="11" style="37" customWidth="1"/>
    <col min="13573" max="13573" width="5.28515625" style="37" customWidth="1"/>
    <col min="13574" max="13574" width="10.28515625" style="37" customWidth="1"/>
    <col min="13575" max="13575" width="10.140625" style="37" customWidth="1"/>
    <col min="13576" max="13813" width="9.140625" style="37" customWidth="1"/>
    <col min="13814" max="13814" width="5.140625" style="37" customWidth="1"/>
    <col min="13815" max="13815" width="4.7109375" style="37" customWidth="1"/>
    <col min="13816" max="13816" width="7.42578125" style="37" customWidth="1"/>
    <col min="13817" max="13818" width="23.85546875" style="37" customWidth="1"/>
    <col min="13819" max="13819" width="10.140625" style="37" customWidth="1"/>
    <col min="13820" max="13820" width="5.85546875" style="37" customWidth="1"/>
    <col min="13821" max="13821" width="4.7109375" style="37" customWidth="1"/>
    <col min="13822" max="13822" width="4.85546875" style="37" customWidth="1"/>
    <col min="13823" max="13823" width="16.140625" style="37" customWidth="1"/>
    <col min="13824" max="13824" width="9.7109375" style="37" customWidth="1"/>
    <col min="13825" max="13825" width="14.5703125" style="37" customWidth="1"/>
    <col min="13826" max="13826" width="10.7109375" style="37" customWidth="1"/>
    <col min="13827" max="13827" width="8.85546875" style="37" customWidth="1"/>
    <col min="13828" max="13828" width="11" style="37" customWidth="1"/>
    <col min="13829" max="13829" width="5.28515625" style="37" customWidth="1"/>
    <col min="13830" max="13830" width="10.28515625" style="37" customWidth="1"/>
    <col min="13831" max="13831" width="10.140625" style="37" customWidth="1"/>
    <col min="13832" max="14069" width="9.140625" style="37" customWidth="1"/>
    <col min="14070" max="14070" width="5.140625" style="37" customWidth="1"/>
    <col min="14071" max="14071" width="4.7109375" style="37" customWidth="1"/>
    <col min="14072" max="14072" width="7.42578125" style="37" customWidth="1"/>
    <col min="14073" max="14074" width="23.85546875" style="37" customWidth="1"/>
    <col min="14075" max="14075" width="10.140625" style="37" customWidth="1"/>
    <col min="14076" max="14076" width="5.85546875" style="37" customWidth="1"/>
    <col min="14077" max="14077" width="4.7109375" style="37" customWidth="1"/>
    <col min="14078" max="14078" width="4.85546875" style="37" customWidth="1"/>
    <col min="14079" max="14079" width="16.140625" style="37" customWidth="1"/>
    <col min="14080" max="14080" width="9.7109375" style="37" customWidth="1"/>
    <col min="14081" max="14081" width="14.5703125" style="37" customWidth="1"/>
    <col min="14082" max="14082" width="10.7109375" style="37" customWidth="1"/>
    <col min="14083" max="14083" width="8.85546875" style="37" customWidth="1"/>
    <col min="14084" max="14084" width="11" style="37" customWidth="1"/>
    <col min="14085" max="14085" width="5.28515625" style="37" customWidth="1"/>
    <col min="14086" max="14086" width="10.28515625" style="37" customWidth="1"/>
    <col min="14087" max="14087" width="10.140625" style="37" customWidth="1"/>
    <col min="14088" max="14325" width="9.140625" style="37" customWidth="1"/>
    <col min="14326" max="14326" width="5.140625" style="37" customWidth="1"/>
    <col min="14327" max="14327" width="4.7109375" style="37" customWidth="1"/>
    <col min="14328" max="14328" width="7.42578125" style="37" customWidth="1"/>
    <col min="14329" max="14330" width="23.85546875" style="37" customWidth="1"/>
    <col min="14331" max="14331" width="10.140625" style="37" customWidth="1"/>
    <col min="14332" max="14332" width="5.85546875" style="37" customWidth="1"/>
    <col min="14333" max="14333" width="4.7109375" style="37" customWidth="1"/>
    <col min="14334" max="14334" width="4.85546875" style="37" customWidth="1"/>
    <col min="14335" max="14335" width="16.140625" style="37" customWidth="1"/>
    <col min="14336" max="14336" width="9.7109375" style="37" customWidth="1"/>
    <col min="14337" max="14337" width="14.5703125" style="37" customWidth="1"/>
    <col min="14338" max="14338" width="10.7109375" style="37" customWidth="1"/>
    <col min="14339" max="14339" width="8.85546875" style="37" customWidth="1"/>
    <col min="14340" max="14340" width="11" style="37" customWidth="1"/>
    <col min="14341" max="14341" width="5.28515625" style="37" customWidth="1"/>
    <col min="14342" max="14342" width="10.28515625" style="37" customWidth="1"/>
    <col min="14343" max="14343" width="10.140625" style="37" customWidth="1"/>
    <col min="14344" max="14581" width="9.140625" style="37" customWidth="1"/>
    <col min="14582" max="14582" width="5.140625" style="37" customWidth="1"/>
    <col min="14583" max="14583" width="4.7109375" style="37" customWidth="1"/>
    <col min="14584" max="14584" width="7.42578125" style="37" customWidth="1"/>
    <col min="14585" max="14586" width="23.85546875" style="37" customWidth="1"/>
    <col min="14587" max="14587" width="10.140625" style="37" customWidth="1"/>
    <col min="14588" max="14588" width="5.85546875" style="37" customWidth="1"/>
    <col min="14589" max="14589" width="4.7109375" style="37" customWidth="1"/>
    <col min="14590" max="14590" width="4.85546875" style="37" customWidth="1"/>
    <col min="14591" max="14591" width="16.140625" style="37" customWidth="1"/>
    <col min="14592" max="14592" width="9.7109375" style="37" customWidth="1"/>
    <col min="14593" max="14593" width="14.5703125" style="37" customWidth="1"/>
    <col min="14594" max="14594" width="10.7109375" style="37" customWidth="1"/>
    <col min="14595" max="14595" width="8.85546875" style="37" customWidth="1"/>
    <col min="14596" max="14596" width="11" style="37" customWidth="1"/>
    <col min="14597" max="14597" width="5.28515625" style="37" customWidth="1"/>
    <col min="14598" max="14598" width="10.28515625" style="37" customWidth="1"/>
    <col min="14599" max="14599" width="10.140625" style="37" customWidth="1"/>
    <col min="14600" max="14837" width="9.140625" style="37" customWidth="1"/>
    <col min="14838" max="14838" width="5.140625" style="37" customWidth="1"/>
    <col min="14839" max="14839" width="4.7109375" style="37" customWidth="1"/>
    <col min="14840" max="14840" width="7.42578125" style="37" customWidth="1"/>
    <col min="14841" max="14842" width="23.85546875" style="37" customWidth="1"/>
    <col min="14843" max="14843" width="10.140625" style="37" customWidth="1"/>
    <col min="14844" max="14844" width="5.85546875" style="37" customWidth="1"/>
    <col min="14845" max="14845" width="4.7109375" style="37" customWidth="1"/>
    <col min="14846" max="14846" width="4.85546875" style="37" customWidth="1"/>
    <col min="14847" max="14847" width="16.140625" style="37" customWidth="1"/>
    <col min="14848" max="14848" width="9.7109375" style="37" customWidth="1"/>
    <col min="14849" max="14849" width="14.5703125" style="37" customWidth="1"/>
    <col min="14850" max="14850" width="10.7109375" style="37" customWidth="1"/>
    <col min="14851" max="14851" width="8.85546875" style="37" customWidth="1"/>
    <col min="14852" max="14852" width="11" style="37" customWidth="1"/>
    <col min="14853" max="14853" width="5.28515625" style="37" customWidth="1"/>
    <col min="14854" max="14854" width="10.28515625" style="37" customWidth="1"/>
    <col min="14855" max="14855" width="10.140625" style="37" customWidth="1"/>
    <col min="14856" max="15093" width="9.140625" style="37" customWidth="1"/>
    <col min="15094" max="15094" width="5.140625" style="37" customWidth="1"/>
    <col min="15095" max="15095" width="4.7109375" style="37" customWidth="1"/>
    <col min="15096" max="15096" width="7.42578125" style="37" customWidth="1"/>
    <col min="15097" max="15098" width="23.85546875" style="37" customWidth="1"/>
    <col min="15099" max="15099" width="10.140625" style="37" customWidth="1"/>
    <col min="15100" max="15100" width="5.85546875" style="37" customWidth="1"/>
    <col min="15101" max="15101" width="4.7109375" style="37" customWidth="1"/>
    <col min="15102" max="15102" width="4.85546875" style="37" customWidth="1"/>
    <col min="15103" max="15103" width="16.140625" style="37" customWidth="1"/>
    <col min="15104" max="15104" width="9.7109375" style="37" customWidth="1"/>
    <col min="15105" max="15105" width="14.5703125" style="37" customWidth="1"/>
    <col min="15106" max="15106" width="10.7109375" style="37" customWidth="1"/>
    <col min="15107" max="15107" width="8.85546875" style="37" customWidth="1"/>
    <col min="15108" max="15108" width="11" style="37" customWidth="1"/>
    <col min="15109" max="15109" width="5.28515625" style="37" customWidth="1"/>
    <col min="15110" max="15110" width="10.28515625" style="37" customWidth="1"/>
    <col min="15111" max="15111" width="10.140625" style="37" customWidth="1"/>
    <col min="15112" max="15349" width="9.140625" style="37" customWidth="1"/>
    <col min="15350" max="15350" width="5.140625" style="37" customWidth="1"/>
    <col min="15351" max="15351" width="4.7109375" style="37" customWidth="1"/>
    <col min="15352" max="15352" width="7.42578125" style="37" customWidth="1"/>
    <col min="15353" max="15354" width="23.85546875" style="37" customWidth="1"/>
    <col min="15355" max="15355" width="10.140625" style="37" customWidth="1"/>
    <col min="15356" max="15356" width="5.85546875" style="37" customWidth="1"/>
    <col min="15357" max="15357" width="4.7109375" style="37" customWidth="1"/>
    <col min="15358" max="15358" width="4.85546875" style="37" customWidth="1"/>
    <col min="15359" max="15359" width="16.140625" style="37" customWidth="1"/>
    <col min="15360" max="15360" width="9.7109375" style="37" customWidth="1"/>
    <col min="15361" max="15361" width="14.5703125" style="37" customWidth="1"/>
    <col min="15362" max="15362" width="10.7109375" style="37" customWidth="1"/>
    <col min="15363" max="15363" width="8.85546875" style="37" customWidth="1"/>
    <col min="15364" max="15364" width="11" style="37" customWidth="1"/>
    <col min="15365" max="15365" width="5.28515625" style="37" customWidth="1"/>
    <col min="15366" max="15366" width="10.28515625" style="37" customWidth="1"/>
    <col min="15367" max="15367" width="10.140625" style="37" customWidth="1"/>
    <col min="15368" max="15605" width="9.140625" style="37" customWidth="1"/>
    <col min="15606" max="15606" width="5.140625" style="37" customWidth="1"/>
    <col min="15607" max="15607" width="4.7109375" style="37" customWidth="1"/>
    <col min="15608" max="15608" width="7.42578125" style="37" customWidth="1"/>
    <col min="15609" max="15610" width="23.85546875" style="37" customWidth="1"/>
    <col min="15611" max="15611" width="10.140625" style="37" customWidth="1"/>
    <col min="15612" max="15612" width="5.85546875" style="37" customWidth="1"/>
    <col min="15613" max="15613" width="4.7109375" style="37" customWidth="1"/>
    <col min="15614" max="15614" width="4.85546875" style="37" customWidth="1"/>
    <col min="15615" max="15615" width="16.140625" style="37" customWidth="1"/>
    <col min="15616" max="15616" width="9.7109375" style="37" customWidth="1"/>
    <col min="15617" max="15617" width="14.5703125" style="37" customWidth="1"/>
    <col min="15618" max="15618" width="10.7109375" style="37" customWidth="1"/>
    <col min="15619" max="15619" width="8.85546875" style="37" customWidth="1"/>
    <col min="15620" max="15620" width="11" style="37" customWidth="1"/>
    <col min="15621" max="15621" width="5.28515625" style="37" customWidth="1"/>
    <col min="15622" max="15622" width="10.28515625" style="37" customWidth="1"/>
    <col min="15623" max="15623" width="10.140625" style="37" customWidth="1"/>
    <col min="15624" max="15861" width="9.140625" style="37" customWidth="1"/>
    <col min="15862" max="15862" width="5.140625" style="37" customWidth="1"/>
    <col min="15863" max="15863" width="4.7109375" style="37" customWidth="1"/>
    <col min="15864" max="15864" width="7.42578125" style="37" customWidth="1"/>
    <col min="15865" max="15866" width="23.85546875" style="37" customWidth="1"/>
    <col min="15867" max="15867" width="10.140625" style="37" customWidth="1"/>
    <col min="15868" max="15868" width="5.85546875" style="37" customWidth="1"/>
    <col min="15869" max="15869" width="4.7109375" style="37" customWidth="1"/>
    <col min="15870" max="15870" width="4.85546875" style="37" customWidth="1"/>
    <col min="15871" max="15871" width="16.140625" style="37" customWidth="1"/>
    <col min="15872" max="15872" width="9.7109375" style="37" customWidth="1"/>
    <col min="15873" max="15873" width="14.5703125" style="37" customWidth="1"/>
    <col min="15874" max="15874" width="10.7109375" style="37" customWidth="1"/>
    <col min="15875" max="15875" width="8.85546875" style="37" customWidth="1"/>
    <col min="15876" max="15876" width="11" style="37" customWidth="1"/>
    <col min="15877" max="15877" width="5.28515625" style="37" customWidth="1"/>
    <col min="15878" max="15878" width="10.28515625" style="37" customWidth="1"/>
    <col min="15879" max="15879" width="10.140625" style="37" customWidth="1"/>
    <col min="15880" max="16117" width="9.140625" style="37" customWidth="1"/>
    <col min="16118" max="16118" width="5.140625" style="37" customWidth="1"/>
    <col min="16119" max="16119" width="4.7109375" style="37" customWidth="1"/>
    <col min="16120" max="16120" width="7.42578125" style="37" customWidth="1"/>
    <col min="16121" max="16122" width="23.85546875" style="37" customWidth="1"/>
    <col min="16123" max="16123" width="10.140625" style="37" customWidth="1"/>
    <col min="16124" max="16124" width="5.85546875" style="37" customWidth="1"/>
    <col min="16125" max="16125" width="4.7109375" style="37" customWidth="1"/>
    <col min="16126" max="16126" width="4.85546875" style="37" customWidth="1"/>
    <col min="16127" max="16127" width="16.140625" style="37" customWidth="1"/>
    <col min="16128" max="16128" width="9.7109375" style="37" customWidth="1"/>
    <col min="16129" max="16129" width="14.5703125" style="37" customWidth="1"/>
    <col min="16130" max="16130" width="10.7109375" style="37" customWidth="1"/>
    <col min="16131" max="16131" width="8.85546875" style="37" customWidth="1"/>
    <col min="16132" max="16132" width="11" style="37" customWidth="1"/>
    <col min="16133" max="16133" width="5.28515625" style="37" customWidth="1"/>
    <col min="16134" max="16134" width="10.28515625" style="37" customWidth="1"/>
    <col min="16135" max="16135" width="10.140625" style="37" customWidth="1"/>
    <col min="16136" max="16373" width="9.140625" style="37" customWidth="1"/>
    <col min="16374" max="16384" width="5.140625" style="37" customWidth="1"/>
  </cols>
  <sheetData>
    <row r="1" spans="1:12">
      <c r="A1" s="531" t="s">
        <v>0</v>
      </c>
      <c r="B1" s="531"/>
      <c r="C1" s="531"/>
      <c r="D1" s="531"/>
      <c r="J1" s="408"/>
    </row>
    <row r="2" spans="1:12">
      <c r="A2" s="514" t="s">
        <v>259</v>
      </c>
      <c r="B2" s="514"/>
      <c r="C2" s="514"/>
      <c r="D2" s="514"/>
      <c r="F2" s="229"/>
      <c r="J2" s="408"/>
    </row>
    <row r="3" spans="1:12">
      <c r="A3" s="514" t="s">
        <v>37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</row>
    <row r="4" spans="1:12">
      <c r="A4" s="514" t="s">
        <v>324</v>
      </c>
      <c r="B4" s="514"/>
      <c r="C4" s="514"/>
      <c r="D4" s="514"/>
      <c r="E4" s="514"/>
      <c r="F4" s="514"/>
      <c r="G4" s="514"/>
      <c r="H4" s="514"/>
      <c r="I4" s="514"/>
      <c r="J4" s="514"/>
      <c r="K4" s="514"/>
    </row>
    <row r="5" spans="1:12">
      <c r="H5" s="410"/>
      <c r="J5" s="408"/>
    </row>
    <row r="6" spans="1:12" ht="27.75" customHeight="1">
      <c r="A6" s="397" t="s">
        <v>2</v>
      </c>
      <c r="B6" s="332" t="s">
        <v>12</v>
      </c>
      <c r="C6" s="411" t="s">
        <v>98</v>
      </c>
      <c r="D6" s="332" t="s">
        <v>4</v>
      </c>
      <c r="E6" s="411" t="s">
        <v>30</v>
      </c>
      <c r="F6" s="332" t="s">
        <v>87</v>
      </c>
      <c r="G6" s="332" t="s">
        <v>99</v>
      </c>
      <c r="H6" s="332" t="s">
        <v>100</v>
      </c>
      <c r="I6" s="332" t="s">
        <v>101</v>
      </c>
      <c r="J6" s="412" t="s">
        <v>100</v>
      </c>
      <c r="K6" s="332" t="s">
        <v>88</v>
      </c>
    </row>
    <row r="7" spans="1:12" s="147" customFormat="1" ht="25.5">
      <c r="A7" s="398">
        <v>1</v>
      </c>
      <c r="B7" s="333" t="s">
        <v>325</v>
      </c>
      <c r="C7" s="333" t="s">
        <v>326</v>
      </c>
      <c r="D7" s="333" t="s">
        <v>164</v>
      </c>
      <c r="E7" s="333" t="s">
        <v>247</v>
      </c>
      <c r="F7" s="334">
        <v>2000000</v>
      </c>
      <c r="G7" s="413" t="s">
        <v>165</v>
      </c>
      <c r="H7" s="414">
        <f t="shared" ref="H7:H38" si="0">K7-J7</f>
        <v>400000</v>
      </c>
      <c r="I7" s="415" t="s">
        <v>89</v>
      </c>
      <c r="J7" s="414">
        <f t="shared" ref="J7:J38" si="1">F7*0.05</f>
        <v>100000</v>
      </c>
      <c r="K7" s="414">
        <f t="shared" ref="K7:K38" si="2">IF(G7="NGUYỆN",F7*25%*75%,IF(G7="TOẢN",F7*25%*75%,IF(G7="V.TÂN",F7*25%*75%,F7*0.25)))</f>
        <v>500000</v>
      </c>
    </row>
    <row r="8" spans="1:12" s="147" customFormat="1" ht="25.5" hidden="1">
      <c r="A8" s="398">
        <v>2</v>
      </c>
      <c r="B8" s="333" t="s">
        <v>325</v>
      </c>
      <c r="C8" s="333" t="s">
        <v>327</v>
      </c>
      <c r="D8" s="333" t="s">
        <v>223</v>
      </c>
      <c r="E8" s="333" t="s">
        <v>245</v>
      </c>
      <c r="F8" s="334">
        <v>126700</v>
      </c>
      <c r="G8" s="413" t="s">
        <v>580</v>
      </c>
      <c r="H8" s="414">
        <f t="shared" si="0"/>
        <v>17421.25</v>
      </c>
      <c r="I8" s="415" t="s">
        <v>89</v>
      </c>
      <c r="J8" s="414">
        <f t="shared" si="1"/>
        <v>6335</v>
      </c>
      <c r="K8" s="414">
        <f t="shared" si="2"/>
        <v>23756.25</v>
      </c>
    </row>
    <row r="9" spans="1:12" s="147" customFormat="1" ht="25.5">
      <c r="A9" s="398">
        <v>3</v>
      </c>
      <c r="B9" s="333" t="s">
        <v>325</v>
      </c>
      <c r="C9" s="333" t="s">
        <v>328</v>
      </c>
      <c r="D9" s="333" t="s">
        <v>135</v>
      </c>
      <c r="E9" s="333" t="s">
        <v>253</v>
      </c>
      <c r="F9" s="334">
        <v>384000</v>
      </c>
      <c r="G9" s="413" t="s">
        <v>165</v>
      </c>
      <c r="H9" s="414">
        <f t="shared" si="0"/>
        <v>76800</v>
      </c>
      <c r="I9" s="415" t="s">
        <v>89</v>
      </c>
      <c r="J9" s="414">
        <f t="shared" si="1"/>
        <v>19200</v>
      </c>
      <c r="K9" s="414">
        <f t="shared" si="2"/>
        <v>96000</v>
      </c>
    </row>
    <row r="10" spans="1:12" s="147" customFormat="1" ht="25.5" hidden="1">
      <c r="A10" s="398">
        <v>4</v>
      </c>
      <c r="B10" s="333" t="s">
        <v>325</v>
      </c>
      <c r="C10" s="333" t="s">
        <v>272</v>
      </c>
      <c r="D10" s="333" t="s">
        <v>137</v>
      </c>
      <c r="E10" s="333" t="s">
        <v>245</v>
      </c>
      <c r="F10" s="334">
        <v>418000</v>
      </c>
      <c r="G10" s="413" t="s">
        <v>580</v>
      </c>
      <c r="H10" s="414">
        <f t="shared" si="0"/>
        <v>57475</v>
      </c>
      <c r="I10" s="415" t="s">
        <v>89</v>
      </c>
      <c r="J10" s="414">
        <f t="shared" si="1"/>
        <v>20900</v>
      </c>
      <c r="K10" s="414">
        <f t="shared" si="2"/>
        <v>78375</v>
      </c>
    </row>
    <row r="11" spans="1:12" s="147" customFormat="1" ht="25.5" hidden="1">
      <c r="A11" s="398">
        <v>5</v>
      </c>
      <c r="B11" s="333" t="s">
        <v>325</v>
      </c>
      <c r="C11" s="333" t="s">
        <v>329</v>
      </c>
      <c r="D11" s="333" t="s">
        <v>211</v>
      </c>
      <c r="E11" s="333" t="s">
        <v>245</v>
      </c>
      <c r="F11" s="334">
        <v>418000</v>
      </c>
      <c r="G11" s="413" t="s">
        <v>580</v>
      </c>
      <c r="H11" s="414">
        <f t="shared" si="0"/>
        <v>57475</v>
      </c>
      <c r="I11" s="415" t="s">
        <v>89</v>
      </c>
      <c r="J11" s="414">
        <f t="shared" si="1"/>
        <v>20900</v>
      </c>
      <c r="K11" s="414">
        <f t="shared" si="2"/>
        <v>78375</v>
      </c>
    </row>
    <row r="12" spans="1:12" s="147" customFormat="1" ht="25.5">
      <c r="A12" s="398">
        <v>6</v>
      </c>
      <c r="B12" s="333" t="s">
        <v>325</v>
      </c>
      <c r="C12" s="333" t="s">
        <v>330</v>
      </c>
      <c r="D12" s="333" t="s">
        <v>227</v>
      </c>
      <c r="E12" s="333" t="s">
        <v>245</v>
      </c>
      <c r="F12" s="334">
        <v>418000</v>
      </c>
      <c r="G12" s="413" t="s">
        <v>165</v>
      </c>
      <c r="H12" s="414">
        <f t="shared" si="0"/>
        <v>83600</v>
      </c>
      <c r="I12" s="415" t="s">
        <v>89</v>
      </c>
      <c r="J12" s="414">
        <f t="shared" si="1"/>
        <v>20900</v>
      </c>
      <c r="K12" s="414">
        <f t="shared" si="2"/>
        <v>104500</v>
      </c>
    </row>
    <row r="13" spans="1:12" s="147" customFormat="1" ht="25.5">
      <c r="A13" s="398">
        <v>7</v>
      </c>
      <c r="B13" s="333" t="s">
        <v>325</v>
      </c>
      <c r="C13" s="333" t="s">
        <v>331</v>
      </c>
      <c r="D13" s="333" t="s">
        <v>225</v>
      </c>
      <c r="E13" s="333" t="s">
        <v>243</v>
      </c>
      <c r="F13" s="334">
        <v>500000</v>
      </c>
      <c r="G13" s="413" t="s">
        <v>165</v>
      </c>
      <c r="H13" s="414">
        <f t="shared" si="0"/>
        <v>100000</v>
      </c>
      <c r="I13" s="415" t="s">
        <v>89</v>
      </c>
      <c r="J13" s="414">
        <f t="shared" si="1"/>
        <v>25000</v>
      </c>
      <c r="K13" s="414">
        <f t="shared" si="2"/>
        <v>125000</v>
      </c>
    </row>
    <row r="14" spans="1:12" s="147" customFormat="1" ht="25.5" hidden="1">
      <c r="A14" s="398">
        <v>8</v>
      </c>
      <c r="B14" s="333" t="s">
        <v>332</v>
      </c>
      <c r="C14" s="333" t="s">
        <v>333</v>
      </c>
      <c r="D14" s="333" t="s">
        <v>188</v>
      </c>
      <c r="E14" s="333" t="s">
        <v>246</v>
      </c>
      <c r="F14" s="334">
        <v>400000</v>
      </c>
      <c r="G14" s="413" t="s">
        <v>581</v>
      </c>
      <c r="H14" s="414">
        <f t="shared" si="0"/>
        <v>55000</v>
      </c>
      <c r="I14" s="415" t="s">
        <v>89</v>
      </c>
      <c r="J14" s="414">
        <f t="shared" si="1"/>
        <v>20000</v>
      </c>
      <c r="K14" s="414">
        <f t="shared" si="2"/>
        <v>75000</v>
      </c>
    </row>
    <row r="15" spans="1:12" s="174" customFormat="1" ht="25.5" hidden="1">
      <c r="A15" s="398">
        <v>9</v>
      </c>
      <c r="B15" s="333" t="s">
        <v>334</v>
      </c>
      <c r="C15" s="333" t="s">
        <v>335</v>
      </c>
      <c r="D15" s="333" t="s">
        <v>225</v>
      </c>
      <c r="E15" s="333" t="s">
        <v>245</v>
      </c>
      <c r="F15" s="334">
        <v>126700</v>
      </c>
      <c r="G15" s="296" t="s">
        <v>582</v>
      </c>
      <c r="H15" s="414">
        <f t="shared" si="0"/>
        <v>17421.25</v>
      </c>
      <c r="I15" s="415" t="s">
        <v>89</v>
      </c>
      <c r="J15" s="414">
        <f t="shared" si="1"/>
        <v>6335</v>
      </c>
      <c r="K15" s="414">
        <f t="shared" si="2"/>
        <v>23756.25</v>
      </c>
      <c r="L15" s="147"/>
    </row>
    <row r="16" spans="1:12" s="174" customFormat="1" ht="25.5" hidden="1">
      <c r="A16" s="398">
        <v>10</v>
      </c>
      <c r="B16" s="333" t="s">
        <v>334</v>
      </c>
      <c r="C16" s="333" t="s">
        <v>336</v>
      </c>
      <c r="D16" s="333" t="s">
        <v>179</v>
      </c>
      <c r="E16" s="333" t="s">
        <v>245</v>
      </c>
      <c r="F16" s="334">
        <v>418000</v>
      </c>
      <c r="G16" s="413" t="s">
        <v>580</v>
      </c>
      <c r="H16" s="414">
        <f t="shared" si="0"/>
        <v>57475</v>
      </c>
      <c r="I16" s="415" t="s">
        <v>89</v>
      </c>
      <c r="J16" s="414">
        <f t="shared" si="1"/>
        <v>20900</v>
      </c>
      <c r="K16" s="414">
        <f t="shared" si="2"/>
        <v>78375</v>
      </c>
      <c r="L16" s="147"/>
    </row>
    <row r="17" spans="1:12" s="174" customFormat="1" ht="25.5" hidden="1">
      <c r="A17" s="398">
        <v>11</v>
      </c>
      <c r="B17" s="333" t="s">
        <v>334</v>
      </c>
      <c r="C17" s="333" t="s">
        <v>337</v>
      </c>
      <c r="D17" s="333" t="s">
        <v>172</v>
      </c>
      <c r="E17" s="333" t="s">
        <v>338</v>
      </c>
      <c r="F17" s="334">
        <v>800000</v>
      </c>
      <c r="G17" s="413" t="s">
        <v>582</v>
      </c>
      <c r="H17" s="414">
        <f t="shared" si="0"/>
        <v>110000</v>
      </c>
      <c r="I17" s="415" t="s">
        <v>89</v>
      </c>
      <c r="J17" s="414">
        <f t="shared" si="1"/>
        <v>40000</v>
      </c>
      <c r="K17" s="414">
        <f t="shared" si="2"/>
        <v>150000</v>
      </c>
      <c r="L17" s="147"/>
    </row>
    <row r="18" spans="1:12" s="174" customFormat="1" ht="25.5" hidden="1">
      <c r="A18" s="398">
        <v>12</v>
      </c>
      <c r="B18" s="333" t="s">
        <v>334</v>
      </c>
      <c r="C18" s="333" t="s">
        <v>339</v>
      </c>
      <c r="D18" s="333" t="s">
        <v>252</v>
      </c>
      <c r="E18" s="333" t="s">
        <v>246</v>
      </c>
      <c r="F18" s="334">
        <v>129600</v>
      </c>
      <c r="G18" s="296" t="s">
        <v>580</v>
      </c>
      <c r="H18" s="414">
        <f t="shared" si="0"/>
        <v>17820</v>
      </c>
      <c r="I18" s="415" t="s">
        <v>89</v>
      </c>
      <c r="J18" s="414">
        <f t="shared" si="1"/>
        <v>6480</v>
      </c>
      <c r="K18" s="414">
        <f t="shared" si="2"/>
        <v>24300</v>
      </c>
      <c r="L18" s="147"/>
    </row>
    <row r="19" spans="1:12" s="174" customFormat="1">
      <c r="A19" s="398">
        <v>13</v>
      </c>
      <c r="B19" s="483" t="s">
        <v>340</v>
      </c>
      <c r="C19" s="483" t="s">
        <v>341</v>
      </c>
      <c r="D19" s="483" t="s">
        <v>195</v>
      </c>
      <c r="E19" s="483" t="s">
        <v>342</v>
      </c>
      <c r="F19" s="484">
        <v>300000</v>
      </c>
      <c r="G19" s="413" t="s">
        <v>165</v>
      </c>
      <c r="H19" s="414">
        <f t="shared" si="0"/>
        <v>60000</v>
      </c>
      <c r="I19" s="415" t="s">
        <v>89</v>
      </c>
      <c r="J19" s="414">
        <f t="shared" si="1"/>
        <v>15000</v>
      </c>
      <c r="K19" s="414">
        <f t="shared" si="2"/>
        <v>75000</v>
      </c>
      <c r="L19" s="147"/>
    </row>
    <row r="20" spans="1:12" s="174" customFormat="1" hidden="1">
      <c r="A20" s="398">
        <v>14</v>
      </c>
      <c r="B20" s="483" t="s">
        <v>343</v>
      </c>
      <c r="C20" s="483" t="s">
        <v>344</v>
      </c>
      <c r="D20" s="483" t="s">
        <v>168</v>
      </c>
      <c r="E20" s="483" t="s">
        <v>249</v>
      </c>
      <c r="F20" s="484">
        <v>500000</v>
      </c>
      <c r="G20" s="413" t="s">
        <v>582</v>
      </c>
      <c r="H20" s="414">
        <f t="shared" si="0"/>
        <v>68750</v>
      </c>
      <c r="I20" s="415" t="s">
        <v>89</v>
      </c>
      <c r="J20" s="414">
        <f t="shared" si="1"/>
        <v>25000</v>
      </c>
      <c r="K20" s="414">
        <f t="shared" si="2"/>
        <v>93750</v>
      </c>
      <c r="L20" s="147"/>
    </row>
    <row r="21" spans="1:12" s="174" customFormat="1" hidden="1">
      <c r="A21" s="398">
        <v>15</v>
      </c>
      <c r="B21" s="483" t="s">
        <v>343</v>
      </c>
      <c r="C21" s="483" t="s">
        <v>345</v>
      </c>
      <c r="D21" s="483" t="s">
        <v>137</v>
      </c>
      <c r="E21" s="483" t="s">
        <v>245</v>
      </c>
      <c r="F21" s="484">
        <v>418000</v>
      </c>
      <c r="G21" s="413" t="s">
        <v>582</v>
      </c>
      <c r="H21" s="414">
        <f t="shared" si="0"/>
        <v>57475</v>
      </c>
      <c r="I21" s="415" t="s">
        <v>89</v>
      </c>
      <c r="J21" s="414">
        <f t="shared" si="1"/>
        <v>20900</v>
      </c>
      <c r="K21" s="414">
        <f t="shared" si="2"/>
        <v>78375</v>
      </c>
      <c r="L21" s="147"/>
    </row>
    <row r="22" spans="1:12" s="147" customFormat="1" hidden="1">
      <c r="A22" s="398">
        <v>16</v>
      </c>
      <c r="B22" s="483" t="s">
        <v>346</v>
      </c>
      <c r="C22" s="483" t="s">
        <v>347</v>
      </c>
      <c r="D22" s="483" t="s">
        <v>212</v>
      </c>
      <c r="E22" s="483" t="s">
        <v>246</v>
      </c>
      <c r="F22" s="484">
        <v>400000</v>
      </c>
      <c r="G22" s="413" t="s">
        <v>583</v>
      </c>
      <c r="H22" s="414">
        <f t="shared" si="0"/>
        <v>80000</v>
      </c>
      <c r="I22" s="415" t="s">
        <v>89</v>
      </c>
      <c r="J22" s="414">
        <f t="shared" si="1"/>
        <v>20000</v>
      </c>
      <c r="K22" s="414">
        <f t="shared" si="2"/>
        <v>100000</v>
      </c>
    </row>
    <row r="23" spans="1:12" s="147" customFormat="1" hidden="1">
      <c r="A23" s="398">
        <v>17</v>
      </c>
      <c r="B23" s="483" t="s">
        <v>346</v>
      </c>
      <c r="C23" s="483" t="s">
        <v>348</v>
      </c>
      <c r="D23" s="483" t="s">
        <v>193</v>
      </c>
      <c r="E23" s="483" t="s">
        <v>245</v>
      </c>
      <c r="F23" s="484">
        <v>126700</v>
      </c>
      <c r="G23" s="413" t="s">
        <v>580</v>
      </c>
      <c r="H23" s="414">
        <f t="shared" si="0"/>
        <v>17421.25</v>
      </c>
      <c r="I23" s="415" t="s">
        <v>89</v>
      </c>
      <c r="J23" s="414">
        <f t="shared" si="1"/>
        <v>6335</v>
      </c>
      <c r="K23" s="414">
        <f t="shared" si="2"/>
        <v>23756.25</v>
      </c>
    </row>
    <row r="24" spans="1:12" s="147" customFormat="1" hidden="1">
      <c r="A24" s="398">
        <v>18</v>
      </c>
      <c r="B24" s="483" t="s">
        <v>346</v>
      </c>
      <c r="C24" s="483" t="s">
        <v>347</v>
      </c>
      <c r="D24" s="483" t="s">
        <v>212</v>
      </c>
      <c r="E24" s="483" t="s">
        <v>244</v>
      </c>
      <c r="F24" s="484">
        <v>768000</v>
      </c>
      <c r="G24" s="413" t="s">
        <v>583</v>
      </c>
      <c r="H24" s="414">
        <f t="shared" si="0"/>
        <v>153600</v>
      </c>
      <c r="I24" s="415" t="s">
        <v>89</v>
      </c>
      <c r="J24" s="414">
        <f t="shared" si="1"/>
        <v>38400</v>
      </c>
      <c r="K24" s="414">
        <f t="shared" si="2"/>
        <v>192000</v>
      </c>
    </row>
    <row r="25" spans="1:12" s="147" customFormat="1" hidden="1">
      <c r="A25" s="398">
        <v>19</v>
      </c>
      <c r="B25" s="483" t="s">
        <v>346</v>
      </c>
      <c r="C25" s="483" t="s">
        <v>349</v>
      </c>
      <c r="D25" s="483" t="s">
        <v>192</v>
      </c>
      <c r="E25" s="483" t="s">
        <v>243</v>
      </c>
      <c r="F25" s="484">
        <v>500000</v>
      </c>
      <c r="G25" s="413" t="s">
        <v>583</v>
      </c>
      <c r="H25" s="414">
        <f t="shared" si="0"/>
        <v>100000</v>
      </c>
      <c r="I25" s="415" t="s">
        <v>89</v>
      </c>
      <c r="J25" s="414">
        <f t="shared" si="1"/>
        <v>25000</v>
      </c>
      <c r="K25" s="414">
        <f t="shared" si="2"/>
        <v>125000</v>
      </c>
    </row>
    <row r="26" spans="1:12" s="147" customFormat="1" hidden="1">
      <c r="A26" s="398">
        <v>20</v>
      </c>
      <c r="B26" s="483" t="s">
        <v>346</v>
      </c>
      <c r="C26" s="483" t="s">
        <v>350</v>
      </c>
      <c r="D26" s="483" t="s">
        <v>190</v>
      </c>
      <c r="E26" s="483" t="s">
        <v>250</v>
      </c>
      <c r="F26" s="484">
        <v>300000</v>
      </c>
      <c r="G26" s="413" t="s">
        <v>583</v>
      </c>
      <c r="H26" s="414">
        <f t="shared" si="0"/>
        <v>60000</v>
      </c>
      <c r="I26" s="415" t="s">
        <v>89</v>
      </c>
      <c r="J26" s="414">
        <f t="shared" si="1"/>
        <v>15000</v>
      </c>
      <c r="K26" s="414">
        <f t="shared" si="2"/>
        <v>75000</v>
      </c>
    </row>
    <row r="27" spans="1:12" s="147" customFormat="1" hidden="1">
      <c r="A27" s="398">
        <v>21</v>
      </c>
      <c r="B27" s="483" t="s">
        <v>351</v>
      </c>
      <c r="C27" s="483" t="s">
        <v>352</v>
      </c>
      <c r="D27" s="483" t="s">
        <v>225</v>
      </c>
      <c r="E27" s="483" t="s">
        <v>245</v>
      </c>
      <c r="F27" s="484">
        <v>418000</v>
      </c>
      <c r="G27" s="413" t="s">
        <v>584</v>
      </c>
      <c r="H27" s="414">
        <f t="shared" si="0"/>
        <v>83600</v>
      </c>
      <c r="I27" s="415" t="s">
        <v>89</v>
      </c>
      <c r="J27" s="414">
        <f t="shared" si="1"/>
        <v>20900</v>
      </c>
      <c r="K27" s="414">
        <f t="shared" si="2"/>
        <v>104500</v>
      </c>
    </row>
    <row r="28" spans="1:12" s="147" customFormat="1" hidden="1">
      <c r="A28" s="398">
        <v>22</v>
      </c>
      <c r="B28" s="483" t="s">
        <v>353</v>
      </c>
      <c r="C28" s="483" t="s">
        <v>354</v>
      </c>
      <c r="D28" s="483" t="s">
        <v>172</v>
      </c>
      <c r="E28" s="483" t="s">
        <v>245</v>
      </c>
      <c r="F28" s="484">
        <v>126700</v>
      </c>
      <c r="G28" s="296" t="s">
        <v>580</v>
      </c>
      <c r="H28" s="414">
        <f t="shared" si="0"/>
        <v>17421.25</v>
      </c>
      <c r="I28" s="415" t="s">
        <v>89</v>
      </c>
      <c r="J28" s="414">
        <f t="shared" si="1"/>
        <v>6335</v>
      </c>
      <c r="K28" s="414">
        <f t="shared" si="2"/>
        <v>23756.25</v>
      </c>
    </row>
    <row r="29" spans="1:12" s="147" customFormat="1">
      <c r="A29" s="398">
        <v>23</v>
      </c>
      <c r="B29" s="483" t="s">
        <v>353</v>
      </c>
      <c r="C29" s="483" t="s">
        <v>355</v>
      </c>
      <c r="D29" s="483" t="s">
        <v>134</v>
      </c>
      <c r="E29" s="483" t="s">
        <v>251</v>
      </c>
      <c r="F29" s="484">
        <v>300000</v>
      </c>
      <c r="G29" s="413" t="s">
        <v>165</v>
      </c>
      <c r="H29" s="414">
        <f t="shared" si="0"/>
        <v>60000</v>
      </c>
      <c r="I29" s="415" t="s">
        <v>89</v>
      </c>
      <c r="J29" s="414">
        <f t="shared" si="1"/>
        <v>15000</v>
      </c>
      <c r="K29" s="414">
        <f t="shared" si="2"/>
        <v>75000</v>
      </c>
    </row>
    <row r="30" spans="1:12" s="174" customFormat="1">
      <c r="A30" s="398">
        <v>24</v>
      </c>
      <c r="B30" s="483" t="s">
        <v>353</v>
      </c>
      <c r="C30" s="483" t="s">
        <v>356</v>
      </c>
      <c r="D30" s="483" t="s">
        <v>174</v>
      </c>
      <c r="E30" s="483" t="s">
        <v>338</v>
      </c>
      <c r="F30" s="484">
        <v>800000</v>
      </c>
      <c r="G30" s="413" t="s">
        <v>165</v>
      </c>
      <c r="H30" s="414">
        <f t="shared" si="0"/>
        <v>160000</v>
      </c>
      <c r="I30" s="415" t="s">
        <v>89</v>
      </c>
      <c r="J30" s="414">
        <f t="shared" si="1"/>
        <v>40000</v>
      </c>
      <c r="K30" s="414">
        <f t="shared" si="2"/>
        <v>200000</v>
      </c>
      <c r="L30" s="147"/>
    </row>
    <row r="31" spans="1:12" s="174" customFormat="1">
      <c r="A31" s="398">
        <v>25</v>
      </c>
      <c r="B31" s="483" t="s">
        <v>353</v>
      </c>
      <c r="C31" s="483" t="s">
        <v>357</v>
      </c>
      <c r="D31" s="483" t="s">
        <v>179</v>
      </c>
      <c r="E31" s="483" t="s">
        <v>251</v>
      </c>
      <c r="F31" s="484">
        <v>300000</v>
      </c>
      <c r="G31" s="413" t="s">
        <v>165</v>
      </c>
      <c r="H31" s="414">
        <f t="shared" si="0"/>
        <v>60000</v>
      </c>
      <c r="I31" s="415" t="s">
        <v>89</v>
      </c>
      <c r="J31" s="414">
        <f t="shared" si="1"/>
        <v>15000</v>
      </c>
      <c r="K31" s="414">
        <f t="shared" si="2"/>
        <v>75000</v>
      </c>
      <c r="L31" s="147"/>
    </row>
    <row r="32" spans="1:12" s="174" customFormat="1">
      <c r="A32" s="398">
        <v>26</v>
      </c>
      <c r="B32" s="483" t="s">
        <v>358</v>
      </c>
      <c r="C32" s="483" t="s">
        <v>359</v>
      </c>
      <c r="D32" s="483" t="s">
        <v>183</v>
      </c>
      <c r="E32" s="483" t="s">
        <v>243</v>
      </c>
      <c r="F32" s="484">
        <v>500000</v>
      </c>
      <c r="G32" s="413" t="s">
        <v>165</v>
      </c>
      <c r="H32" s="414">
        <f t="shared" si="0"/>
        <v>100000</v>
      </c>
      <c r="I32" s="415" t="s">
        <v>89</v>
      </c>
      <c r="J32" s="414">
        <f t="shared" si="1"/>
        <v>25000</v>
      </c>
      <c r="K32" s="414">
        <f t="shared" si="2"/>
        <v>125000</v>
      </c>
      <c r="L32" s="147"/>
    </row>
    <row r="33" spans="1:12" s="174" customFormat="1" hidden="1">
      <c r="A33" s="398">
        <v>27</v>
      </c>
      <c r="B33" s="483" t="s">
        <v>358</v>
      </c>
      <c r="C33" s="483" t="s">
        <v>360</v>
      </c>
      <c r="D33" s="483" t="s">
        <v>183</v>
      </c>
      <c r="E33" s="483" t="s">
        <v>244</v>
      </c>
      <c r="F33" s="484">
        <v>384000</v>
      </c>
      <c r="G33" s="413" t="s">
        <v>585</v>
      </c>
      <c r="H33" s="414">
        <f t="shared" si="0"/>
        <v>76800</v>
      </c>
      <c r="I33" s="415" t="s">
        <v>89</v>
      </c>
      <c r="J33" s="414">
        <f t="shared" si="1"/>
        <v>19200</v>
      </c>
      <c r="K33" s="414">
        <f t="shared" si="2"/>
        <v>96000</v>
      </c>
      <c r="L33" s="147"/>
    </row>
    <row r="34" spans="1:12" s="147" customFormat="1" hidden="1">
      <c r="A34" s="398">
        <v>28</v>
      </c>
      <c r="B34" s="483" t="s">
        <v>358</v>
      </c>
      <c r="C34" s="483" t="s">
        <v>361</v>
      </c>
      <c r="D34" s="483" t="s">
        <v>164</v>
      </c>
      <c r="E34" s="483" t="s">
        <v>338</v>
      </c>
      <c r="F34" s="484">
        <v>800000</v>
      </c>
      <c r="G34" s="416" t="s">
        <v>585</v>
      </c>
      <c r="H34" s="417">
        <f t="shared" si="0"/>
        <v>160000</v>
      </c>
      <c r="I34" s="418" t="s">
        <v>89</v>
      </c>
      <c r="J34" s="417">
        <f t="shared" si="1"/>
        <v>40000</v>
      </c>
      <c r="K34" s="417">
        <f t="shared" si="2"/>
        <v>200000</v>
      </c>
    </row>
    <row r="35" spans="1:12" s="147" customFormat="1" hidden="1">
      <c r="A35" s="398">
        <v>29</v>
      </c>
      <c r="B35" s="483" t="s">
        <v>362</v>
      </c>
      <c r="C35" s="483" t="s">
        <v>363</v>
      </c>
      <c r="D35" s="483" t="s">
        <v>213</v>
      </c>
      <c r="E35" s="483" t="s">
        <v>245</v>
      </c>
      <c r="F35" s="484">
        <v>126700</v>
      </c>
      <c r="G35" s="416" t="s">
        <v>582</v>
      </c>
      <c r="H35" s="417">
        <f t="shared" si="0"/>
        <v>17421.25</v>
      </c>
      <c r="I35" s="418" t="s">
        <v>89</v>
      </c>
      <c r="J35" s="417">
        <f t="shared" si="1"/>
        <v>6335</v>
      </c>
      <c r="K35" s="414">
        <f t="shared" si="2"/>
        <v>23756.25</v>
      </c>
    </row>
    <row r="36" spans="1:12" s="147" customFormat="1" hidden="1">
      <c r="A36" s="398">
        <v>30</v>
      </c>
      <c r="B36" s="483" t="s">
        <v>362</v>
      </c>
      <c r="C36" s="483" t="s">
        <v>235</v>
      </c>
      <c r="D36" s="483" t="s">
        <v>168</v>
      </c>
      <c r="E36" s="483" t="s">
        <v>243</v>
      </c>
      <c r="F36" s="484">
        <v>500000</v>
      </c>
      <c r="G36" s="413" t="s">
        <v>581</v>
      </c>
      <c r="H36" s="414">
        <f t="shared" si="0"/>
        <v>68750</v>
      </c>
      <c r="I36" s="415" t="s">
        <v>89</v>
      </c>
      <c r="J36" s="414">
        <f t="shared" si="1"/>
        <v>25000</v>
      </c>
      <c r="K36" s="414">
        <f t="shared" si="2"/>
        <v>93750</v>
      </c>
    </row>
    <row r="37" spans="1:12" s="147" customFormat="1" hidden="1">
      <c r="A37" s="398">
        <v>31</v>
      </c>
      <c r="B37" s="483" t="s">
        <v>362</v>
      </c>
      <c r="C37" s="483" t="s">
        <v>364</v>
      </c>
      <c r="D37" s="483" t="s">
        <v>226</v>
      </c>
      <c r="E37" s="483" t="s">
        <v>338</v>
      </c>
      <c r="F37" s="484">
        <v>800000</v>
      </c>
      <c r="G37" s="413" t="s">
        <v>582</v>
      </c>
      <c r="H37" s="414">
        <f t="shared" si="0"/>
        <v>110000</v>
      </c>
      <c r="I37" s="415" t="s">
        <v>89</v>
      </c>
      <c r="J37" s="414">
        <f t="shared" si="1"/>
        <v>40000</v>
      </c>
      <c r="K37" s="414">
        <f t="shared" si="2"/>
        <v>150000</v>
      </c>
    </row>
    <row r="38" spans="1:12" s="147" customFormat="1" hidden="1">
      <c r="A38" s="398">
        <v>32</v>
      </c>
      <c r="B38" s="483" t="s">
        <v>365</v>
      </c>
      <c r="C38" s="483" t="s">
        <v>366</v>
      </c>
      <c r="D38" s="483" t="s">
        <v>212</v>
      </c>
      <c r="E38" s="483" t="s">
        <v>250</v>
      </c>
      <c r="F38" s="484">
        <v>300000</v>
      </c>
      <c r="G38" s="416" t="s">
        <v>583</v>
      </c>
      <c r="H38" s="417">
        <f t="shared" si="0"/>
        <v>60000</v>
      </c>
      <c r="I38" s="418" t="s">
        <v>89</v>
      </c>
      <c r="J38" s="417">
        <f t="shared" si="1"/>
        <v>15000</v>
      </c>
      <c r="K38" s="417">
        <f t="shared" si="2"/>
        <v>75000</v>
      </c>
    </row>
    <row r="39" spans="1:12" s="147" customFormat="1" hidden="1">
      <c r="A39" s="398">
        <v>33</v>
      </c>
      <c r="B39" s="483" t="s">
        <v>365</v>
      </c>
      <c r="C39" s="483" t="s">
        <v>285</v>
      </c>
      <c r="D39" s="483" t="s">
        <v>191</v>
      </c>
      <c r="E39" s="483" t="s">
        <v>248</v>
      </c>
      <c r="F39" s="484">
        <v>500000</v>
      </c>
      <c r="G39" s="416" t="s">
        <v>583</v>
      </c>
      <c r="H39" s="417">
        <f t="shared" ref="H39:H70" si="3">K39-J39</f>
        <v>100000</v>
      </c>
      <c r="I39" s="418" t="s">
        <v>89</v>
      </c>
      <c r="J39" s="417">
        <f t="shared" ref="J39:J70" si="4">F39*0.05</f>
        <v>25000</v>
      </c>
      <c r="K39" s="417">
        <f t="shared" ref="K39:K71" si="5">IF(G39="NGUYỆN",F39*25%*75%,IF(G39="TOẢN",F39*25%*75%,IF(G39="V.TÂN",F39*25%*75%,F39*0.25)))</f>
        <v>125000</v>
      </c>
    </row>
    <row r="40" spans="1:12" s="147" customFormat="1" hidden="1">
      <c r="A40" s="398">
        <v>34</v>
      </c>
      <c r="B40" s="483" t="s">
        <v>365</v>
      </c>
      <c r="C40" s="483" t="s">
        <v>347</v>
      </c>
      <c r="D40" s="483" t="s">
        <v>212</v>
      </c>
      <c r="E40" s="483" t="s">
        <v>244</v>
      </c>
      <c r="F40" s="484">
        <v>384000</v>
      </c>
      <c r="G40" s="416" t="s">
        <v>583</v>
      </c>
      <c r="H40" s="417">
        <f t="shared" si="3"/>
        <v>76800</v>
      </c>
      <c r="I40" s="418" t="s">
        <v>89</v>
      </c>
      <c r="J40" s="417">
        <f t="shared" si="4"/>
        <v>19200</v>
      </c>
      <c r="K40" s="417">
        <f t="shared" si="5"/>
        <v>96000</v>
      </c>
    </row>
    <row r="41" spans="1:12" s="147" customFormat="1" hidden="1">
      <c r="A41" s="398">
        <v>35</v>
      </c>
      <c r="B41" s="483" t="s">
        <v>365</v>
      </c>
      <c r="C41" s="483" t="s">
        <v>367</v>
      </c>
      <c r="D41" s="483" t="s">
        <v>173</v>
      </c>
      <c r="E41" s="483" t="s">
        <v>246</v>
      </c>
      <c r="F41" s="484">
        <v>400000</v>
      </c>
      <c r="G41" s="413" t="s">
        <v>583</v>
      </c>
      <c r="H41" s="414">
        <f t="shared" si="3"/>
        <v>80000</v>
      </c>
      <c r="I41" s="415" t="s">
        <v>89</v>
      </c>
      <c r="J41" s="414">
        <f t="shared" si="4"/>
        <v>20000</v>
      </c>
      <c r="K41" s="414">
        <f t="shared" si="5"/>
        <v>100000</v>
      </c>
    </row>
    <row r="42" spans="1:12" s="147" customFormat="1" hidden="1">
      <c r="A42" s="398">
        <v>36</v>
      </c>
      <c r="B42" s="483" t="s">
        <v>368</v>
      </c>
      <c r="C42" s="483" t="s">
        <v>369</v>
      </c>
      <c r="D42" s="483" t="s">
        <v>166</v>
      </c>
      <c r="E42" s="483" t="s">
        <v>370</v>
      </c>
      <c r="F42" s="484">
        <v>2000000</v>
      </c>
      <c r="G42" s="419" t="s">
        <v>584</v>
      </c>
      <c r="H42" s="417">
        <f t="shared" si="3"/>
        <v>400000</v>
      </c>
      <c r="I42" s="418" t="s">
        <v>89</v>
      </c>
      <c r="J42" s="417">
        <f t="shared" si="4"/>
        <v>100000</v>
      </c>
      <c r="K42" s="417">
        <f t="shared" si="5"/>
        <v>500000</v>
      </c>
    </row>
    <row r="43" spans="1:12" s="147" customFormat="1">
      <c r="A43" s="398">
        <v>37</v>
      </c>
      <c r="B43" s="483" t="s">
        <v>371</v>
      </c>
      <c r="C43" s="483" t="s">
        <v>282</v>
      </c>
      <c r="D43" s="483" t="s">
        <v>140</v>
      </c>
      <c r="E43" s="483" t="s">
        <v>370</v>
      </c>
      <c r="F43" s="484">
        <v>2000000</v>
      </c>
      <c r="G43" s="416" t="s">
        <v>165</v>
      </c>
      <c r="H43" s="417">
        <f t="shared" si="3"/>
        <v>400000</v>
      </c>
      <c r="I43" s="418" t="s">
        <v>89</v>
      </c>
      <c r="J43" s="417">
        <f t="shared" si="4"/>
        <v>100000</v>
      </c>
      <c r="K43" s="417">
        <f t="shared" si="5"/>
        <v>500000</v>
      </c>
    </row>
    <row r="44" spans="1:12" s="147" customFormat="1">
      <c r="A44" s="398">
        <v>38</v>
      </c>
      <c r="B44" s="483" t="s">
        <v>371</v>
      </c>
      <c r="C44" s="483" t="s">
        <v>372</v>
      </c>
      <c r="D44" s="483" t="s">
        <v>174</v>
      </c>
      <c r="E44" s="483" t="s">
        <v>251</v>
      </c>
      <c r="F44" s="484">
        <v>300000</v>
      </c>
      <c r="G44" s="296" t="s">
        <v>165</v>
      </c>
      <c r="H44" s="414">
        <f t="shared" si="3"/>
        <v>60000</v>
      </c>
      <c r="I44" s="415" t="s">
        <v>89</v>
      </c>
      <c r="J44" s="414">
        <f t="shared" si="4"/>
        <v>15000</v>
      </c>
      <c r="K44" s="414">
        <f t="shared" si="5"/>
        <v>75000</v>
      </c>
    </row>
    <row r="45" spans="1:12" s="147" customFormat="1" hidden="1">
      <c r="A45" s="398">
        <v>39</v>
      </c>
      <c r="B45" s="483" t="s">
        <v>371</v>
      </c>
      <c r="C45" s="483" t="s">
        <v>373</v>
      </c>
      <c r="D45" s="483" t="s">
        <v>142</v>
      </c>
      <c r="E45" s="483" t="s">
        <v>245</v>
      </c>
      <c r="F45" s="484">
        <v>126700</v>
      </c>
      <c r="G45" s="296" t="s">
        <v>580</v>
      </c>
      <c r="H45" s="414">
        <f t="shared" si="3"/>
        <v>17421.25</v>
      </c>
      <c r="I45" s="415" t="s">
        <v>89</v>
      </c>
      <c r="J45" s="414">
        <f t="shared" si="4"/>
        <v>6335</v>
      </c>
      <c r="K45" s="414">
        <f t="shared" si="5"/>
        <v>23756.25</v>
      </c>
    </row>
    <row r="46" spans="1:12" s="147" customFormat="1" hidden="1">
      <c r="A46" s="398">
        <v>40</v>
      </c>
      <c r="B46" s="483" t="s">
        <v>374</v>
      </c>
      <c r="C46" s="483" t="s">
        <v>375</v>
      </c>
      <c r="D46" s="483" t="s">
        <v>217</v>
      </c>
      <c r="E46" s="483" t="s">
        <v>243</v>
      </c>
      <c r="F46" s="484">
        <v>500000</v>
      </c>
      <c r="G46" s="413" t="s">
        <v>581</v>
      </c>
      <c r="H46" s="414">
        <f t="shared" si="3"/>
        <v>68750</v>
      </c>
      <c r="I46" s="415" t="s">
        <v>89</v>
      </c>
      <c r="J46" s="414">
        <f t="shared" si="4"/>
        <v>25000</v>
      </c>
      <c r="K46" s="414">
        <f t="shared" si="5"/>
        <v>93750</v>
      </c>
    </row>
    <row r="47" spans="1:12" s="147" customFormat="1" hidden="1">
      <c r="A47" s="398">
        <v>41</v>
      </c>
      <c r="B47" s="483" t="s">
        <v>374</v>
      </c>
      <c r="C47" s="483" t="s">
        <v>376</v>
      </c>
      <c r="D47" s="483" t="s">
        <v>239</v>
      </c>
      <c r="E47" s="483" t="s">
        <v>243</v>
      </c>
      <c r="F47" s="484">
        <v>500000</v>
      </c>
      <c r="G47" s="413" t="s">
        <v>581</v>
      </c>
      <c r="H47" s="414">
        <f t="shared" si="3"/>
        <v>68750</v>
      </c>
      <c r="I47" s="415" t="s">
        <v>89</v>
      </c>
      <c r="J47" s="414">
        <f t="shared" si="4"/>
        <v>25000</v>
      </c>
      <c r="K47" s="414">
        <f t="shared" si="5"/>
        <v>93750</v>
      </c>
    </row>
    <row r="48" spans="1:12" s="147" customFormat="1" hidden="1">
      <c r="A48" s="398">
        <v>42</v>
      </c>
      <c r="B48" s="483" t="s">
        <v>377</v>
      </c>
      <c r="C48" s="483" t="s">
        <v>378</v>
      </c>
      <c r="D48" s="483" t="s">
        <v>227</v>
      </c>
      <c r="E48" s="483" t="s">
        <v>379</v>
      </c>
      <c r="F48" s="484">
        <v>3000000</v>
      </c>
      <c r="G48" s="413" t="s">
        <v>583</v>
      </c>
      <c r="H48" s="414">
        <f t="shared" si="3"/>
        <v>600000</v>
      </c>
      <c r="I48" s="415" t="s">
        <v>89</v>
      </c>
      <c r="J48" s="414">
        <f t="shared" si="4"/>
        <v>150000</v>
      </c>
      <c r="K48" s="414">
        <f t="shared" si="5"/>
        <v>750000</v>
      </c>
    </row>
    <row r="49" spans="1:11" s="147" customFormat="1" hidden="1">
      <c r="A49" s="398">
        <v>43</v>
      </c>
      <c r="B49" s="483" t="s">
        <v>377</v>
      </c>
      <c r="C49" s="483" t="s">
        <v>380</v>
      </c>
      <c r="D49" s="483" t="s">
        <v>204</v>
      </c>
      <c r="E49" s="483" t="s">
        <v>246</v>
      </c>
      <c r="F49" s="484">
        <v>400000</v>
      </c>
      <c r="G49" s="413" t="s">
        <v>583</v>
      </c>
      <c r="H49" s="414">
        <f t="shared" si="3"/>
        <v>80000</v>
      </c>
      <c r="I49" s="415" t="s">
        <v>89</v>
      </c>
      <c r="J49" s="414">
        <f t="shared" si="4"/>
        <v>20000</v>
      </c>
      <c r="K49" s="414">
        <f t="shared" si="5"/>
        <v>100000</v>
      </c>
    </row>
    <row r="50" spans="1:11" s="147" customFormat="1" hidden="1">
      <c r="A50" s="398">
        <v>44</v>
      </c>
      <c r="B50" s="483" t="s">
        <v>377</v>
      </c>
      <c r="C50" s="483" t="s">
        <v>381</v>
      </c>
      <c r="D50" s="483" t="s">
        <v>198</v>
      </c>
      <c r="E50" s="483" t="s">
        <v>244</v>
      </c>
      <c r="F50" s="484">
        <v>104400</v>
      </c>
      <c r="G50" s="413" t="s">
        <v>583</v>
      </c>
      <c r="H50" s="414">
        <f t="shared" si="3"/>
        <v>20880</v>
      </c>
      <c r="I50" s="415" t="s">
        <v>89</v>
      </c>
      <c r="J50" s="414">
        <f t="shared" si="4"/>
        <v>5220</v>
      </c>
      <c r="K50" s="414">
        <f t="shared" si="5"/>
        <v>26100</v>
      </c>
    </row>
    <row r="51" spans="1:11" s="147" customFormat="1" hidden="1">
      <c r="A51" s="398">
        <v>45</v>
      </c>
      <c r="B51" s="483" t="s">
        <v>377</v>
      </c>
      <c r="C51" s="483" t="s">
        <v>381</v>
      </c>
      <c r="D51" s="483" t="s">
        <v>198</v>
      </c>
      <c r="E51" s="483" t="s">
        <v>246</v>
      </c>
      <c r="F51" s="484">
        <v>129600</v>
      </c>
      <c r="G51" s="413" t="s">
        <v>583</v>
      </c>
      <c r="H51" s="414">
        <f t="shared" si="3"/>
        <v>25920</v>
      </c>
      <c r="I51" s="415" t="s">
        <v>89</v>
      </c>
      <c r="J51" s="414">
        <f t="shared" si="4"/>
        <v>6480</v>
      </c>
      <c r="K51" s="414">
        <f t="shared" si="5"/>
        <v>32400</v>
      </c>
    </row>
    <row r="52" spans="1:11" s="147" customFormat="1" hidden="1">
      <c r="A52" s="398">
        <v>46</v>
      </c>
      <c r="B52" s="483" t="s">
        <v>382</v>
      </c>
      <c r="C52" s="483" t="s">
        <v>383</v>
      </c>
      <c r="D52" s="483" t="s">
        <v>191</v>
      </c>
      <c r="E52" s="483" t="s">
        <v>384</v>
      </c>
      <c r="F52" s="484">
        <v>104400</v>
      </c>
      <c r="G52" s="413" t="s">
        <v>584</v>
      </c>
      <c r="H52" s="414">
        <f t="shared" si="3"/>
        <v>20880</v>
      </c>
      <c r="I52" s="415" t="s">
        <v>89</v>
      </c>
      <c r="J52" s="414">
        <f t="shared" si="4"/>
        <v>5220</v>
      </c>
      <c r="K52" s="414">
        <f t="shared" si="5"/>
        <v>26100</v>
      </c>
    </row>
    <row r="53" spans="1:11" s="147" customFormat="1" hidden="1">
      <c r="A53" s="398">
        <v>47</v>
      </c>
      <c r="B53" s="483" t="s">
        <v>382</v>
      </c>
      <c r="C53" s="483" t="s">
        <v>296</v>
      </c>
      <c r="D53" s="483" t="s">
        <v>135</v>
      </c>
      <c r="E53" s="483" t="s">
        <v>370</v>
      </c>
      <c r="F53" s="484">
        <v>2000000</v>
      </c>
      <c r="G53" s="413" t="s">
        <v>584</v>
      </c>
      <c r="H53" s="414">
        <f t="shared" si="3"/>
        <v>400000</v>
      </c>
      <c r="I53" s="415" t="s">
        <v>89</v>
      </c>
      <c r="J53" s="414">
        <f t="shared" si="4"/>
        <v>100000</v>
      </c>
      <c r="K53" s="414">
        <f t="shared" si="5"/>
        <v>500000</v>
      </c>
    </row>
    <row r="54" spans="1:11" s="147" customFormat="1" hidden="1">
      <c r="A54" s="398">
        <v>48</v>
      </c>
      <c r="B54" s="483" t="s">
        <v>382</v>
      </c>
      <c r="C54" s="483" t="s">
        <v>385</v>
      </c>
      <c r="D54" s="483" t="s">
        <v>180</v>
      </c>
      <c r="E54" s="483" t="s">
        <v>250</v>
      </c>
      <c r="F54" s="484">
        <v>300000</v>
      </c>
      <c r="G54" s="413" t="s">
        <v>584</v>
      </c>
      <c r="H54" s="414">
        <f t="shared" si="3"/>
        <v>60000</v>
      </c>
      <c r="I54" s="415" t="s">
        <v>89</v>
      </c>
      <c r="J54" s="414">
        <f t="shared" si="4"/>
        <v>15000</v>
      </c>
      <c r="K54" s="414">
        <f t="shared" si="5"/>
        <v>75000</v>
      </c>
    </row>
    <row r="55" spans="1:11" s="147" customFormat="1" hidden="1">
      <c r="A55" s="398">
        <v>49</v>
      </c>
      <c r="B55" s="483" t="s">
        <v>382</v>
      </c>
      <c r="C55" s="483" t="s">
        <v>386</v>
      </c>
      <c r="D55" s="483" t="s">
        <v>204</v>
      </c>
      <c r="E55" s="483" t="s">
        <v>245</v>
      </c>
      <c r="F55" s="484">
        <v>418000</v>
      </c>
      <c r="G55" s="413" t="s">
        <v>584</v>
      </c>
      <c r="H55" s="414">
        <f t="shared" si="3"/>
        <v>83600</v>
      </c>
      <c r="I55" s="415" t="s">
        <v>89</v>
      </c>
      <c r="J55" s="414">
        <f t="shared" si="4"/>
        <v>20900</v>
      </c>
      <c r="K55" s="414">
        <f t="shared" si="5"/>
        <v>104500</v>
      </c>
    </row>
    <row r="56" spans="1:11" s="147" customFormat="1" hidden="1">
      <c r="A56" s="398">
        <v>50</v>
      </c>
      <c r="B56" s="483" t="s">
        <v>382</v>
      </c>
      <c r="C56" s="483" t="s">
        <v>387</v>
      </c>
      <c r="D56" s="483" t="s">
        <v>173</v>
      </c>
      <c r="E56" s="483" t="s">
        <v>245</v>
      </c>
      <c r="F56" s="484">
        <v>418000</v>
      </c>
      <c r="G56" s="413" t="s">
        <v>580</v>
      </c>
      <c r="H56" s="414">
        <f t="shared" si="3"/>
        <v>57475</v>
      </c>
      <c r="I56" s="415" t="s">
        <v>89</v>
      </c>
      <c r="J56" s="414">
        <f t="shared" si="4"/>
        <v>20900</v>
      </c>
      <c r="K56" s="414">
        <f t="shared" si="5"/>
        <v>78375</v>
      </c>
    </row>
    <row r="57" spans="1:11" s="147" customFormat="1">
      <c r="A57" s="398">
        <v>51</v>
      </c>
      <c r="B57" s="483" t="s">
        <v>388</v>
      </c>
      <c r="C57" s="483" t="s">
        <v>389</v>
      </c>
      <c r="D57" s="483" t="s">
        <v>179</v>
      </c>
      <c r="E57" s="483" t="s">
        <v>250</v>
      </c>
      <c r="F57" s="484">
        <v>300000</v>
      </c>
      <c r="G57" s="413" t="s">
        <v>165</v>
      </c>
      <c r="H57" s="414">
        <f t="shared" si="3"/>
        <v>60000</v>
      </c>
      <c r="I57" s="415" t="s">
        <v>89</v>
      </c>
      <c r="J57" s="414">
        <f t="shared" si="4"/>
        <v>15000</v>
      </c>
      <c r="K57" s="414">
        <f t="shared" si="5"/>
        <v>75000</v>
      </c>
    </row>
    <row r="58" spans="1:11" s="147" customFormat="1" hidden="1">
      <c r="A58" s="398">
        <v>52</v>
      </c>
      <c r="B58" s="483" t="s">
        <v>388</v>
      </c>
      <c r="C58" s="483" t="s">
        <v>274</v>
      </c>
      <c r="D58" s="483" t="s">
        <v>135</v>
      </c>
      <c r="E58" s="483" t="s">
        <v>251</v>
      </c>
      <c r="F58" s="484">
        <v>300000</v>
      </c>
      <c r="G58" s="413" t="s">
        <v>585</v>
      </c>
      <c r="H58" s="414">
        <f t="shared" si="3"/>
        <v>60000</v>
      </c>
      <c r="I58" s="415" t="s">
        <v>89</v>
      </c>
      <c r="J58" s="414">
        <f t="shared" si="4"/>
        <v>15000</v>
      </c>
      <c r="K58" s="414">
        <f t="shared" si="5"/>
        <v>75000</v>
      </c>
    </row>
    <row r="59" spans="1:11" s="147" customFormat="1">
      <c r="A59" s="398">
        <v>53</v>
      </c>
      <c r="B59" s="483" t="s">
        <v>388</v>
      </c>
      <c r="C59" s="483" t="s">
        <v>333</v>
      </c>
      <c r="D59" s="483" t="s">
        <v>188</v>
      </c>
      <c r="E59" s="483" t="s">
        <v>246</v>
      </c>
      <c r="F59" s="484">
        <v>400000</v>
      </c>
      <c r="G59" s="413" t="s">
        <v>165</v>
      </c>
      <c r="H59" s="414">
        <f t="shared" si="3"/>
        <v>80000</v>
      </c>
      <c r="I59" s="415" t="s">
        <v>89</v>
      </c>
      <c r="J59" s="414">
        <f t="shared" si="4"/>
        <v>20000</v>
      </c>
      <c r="K59" s="414">
        <f t="shared" si="5"/>
        <v>100000</v>
      </c>
    </row>
    <row r="60" spans="1:11" s="147" customFormat="1">
      <c r="A60" s="398">
        <v>54</v>
      </c>
      <c r="B60" s="483" t="s">
        <v>388</v>
      </c>
      <c r="C60" s="483" t="s">
        <v>390</v>
      </c>
      <c r="D60" s="483" t="s">
        <v>191</v>
      </c>
      <c r="E60" s="483" t="s">
        <v>245</v>
      </c>
      <c r="F60" s="484">
        <v>418000</v>
      </c>
      <c r="G60" s="413" t="s">
        <v>165</v>
      </c>
      <c r="H60" s="414">
        <f t="shared" si="3"/>
        <v>83600</v>
      </c>
      <c r="I60" s="415" t="s">
        <v>89</v>
      </c>
      <c r="J60" s="414">
        <f t="shared" si="4"/>
        <v>20900</v>
      </c>
      <c r="K60" s="414">
        <f t="shared" si="5"/>
        <v>104500</v>
      </c>
    </row>
    <row r="61" spans="1:11" s="147" customFormat="1" hidden="1">
      <c r="A61" s="398">
        <v>55</v>
      </c>
      <c r="B61" s="483" t="s">
        <v>391</v>
      </c>
      <c r="C61" s="483" t="s">
        <v>392</v>
      </c>
      <c r="D61" s="483" t="s">
        <v>217</v>
      </c>
      <c r="E61" s="483" t="s">
        <v>245</v>
      </c>
      <c r="F61" s="484">
        <v>418000</v>
      </c>
      <c r="G61" s="413" t="s">
        <v>582</v>
      </c>
      <c r="H61" s="414">
        <f t="shared" si="3"/>
        <v>57475</v>
      </c>
      <c r="I61" s="415" t="s">
        <v>89</v>
      </c>
      <c r="J61" s="414">
        <f t="shared" si="4"/>
        <v>20900</v>
      </c>
      <c r="K61" s="414">
        <f t="shared" si="5"/>
        <v>78375</v>
      </c>
    </row>
    <row r="62" spans="1:11" s="147" customFormat="1" hidden="1">
      <c r="A62" s="398">
        <v>56</v>
      </c>
      <c r="B62" s="483" t="s">
        <v>391</v>
      </c>
      <c r="C62" s="483" t="s">
        <v>393</v>
      </c>
      <c r="D62" s="483" t="s">
        <v>174</v>
      </c>
      <c r="E62" s="483" t="s">
        <v>245</v>
      </c>
      <c r="F62" s="484">
        <v>418000</v>
      </c>
      <c r="G62" s="413" t="s">
        <v>582</v>
      </c>
      <c r="H62" s="414">
        <f t="shared" si="3"/>
        <v>57475</v>
      </c>
      <c r="I62" s="415" t="s">
        <v>89</v>
      </c>
      <c r="J62" s="414">
        <f t="shared" si="4"/>
        <v>20900</v>
      </c>
      <c r="K62" s="414">
        <f t="shared" si="5"/>
        <v>78375</v>
      </c>
    </row>
    <row r="63" spans="1:11" s="147" customFormat="1" ht="25.5">
      <c r="A63" s="398">
        <v>57</v>
      </c>
      <c r="B63" s="333" t="s">
        <v>340</v>
      </c>
      <c r="C63" s="333" t="s">
        <v>394</v>
      </c>
      <c r="D63" s="333" t="s">
        <v>136</v>
      </c>
      <c r="E63" s="333" t="s">
        <v>254</v>
      </c>
      <c r="F63" s="334">
        <v>4000000</v>
      </c>
      <c r="G63" s="413" t="s">
        <v>165</v>
      </c>
      <c r="H63" s="414">
        <f t="shared" si="3"/>
        <v>800000</v>
      </c>
      <c r="I63" s="415" t="s">
        <v>89</v>
      </c>
      <c r="J63" s="414">
        <f t="shared" si="4"/>
        <v>200000</v>
      </c>
      <c r="K63" s="414">
        <f t="shared" si="5"/>
        <v>1000000</v>
      </c>
    </row>
    <row r="64" spans="1:11" s="147" customFormat="1" ht="25.5">
      <c r="A64" s="398">
        <v>58</v>
      </c>
      <c r="B64" s="333" t="s">
        <v>340</v>
      </c>
      <c r="C64" s="333" t="s">
        <v>395</v>
      </c>
      <c r="D64" s="333" t="s">
        <v>200</v>
      </c>
      <c r="E64" s="333" t="s">
        <v>254</v>
      </c>
      <c r="F64" s="334">
        <v>4000000</v>
      </c>
      <c r="G64" s="413" t="s">
        <v>165</v>
      </c>
      <c r="H64" s="414">
        <f t="shared" si="3"/>
        <v>800000</v>
      </c>
      <c r="I64" s="415" t="s">
        <v>89</v>
      </c>
      <c r="J64" s="414">
        <f t="shared" si="4"/>
        <v>200000</v>
      </c>
      <c r="K64" s="414">
        <f t="shared" si="5"/>
        <v>1000000</v>
      </c>
    </row>
    <row r="65" spans="1:11" s="147" customFormat="1" ht="25.5" hidden="1">
      <c r="A65" s="398">
        <v>59</v>
      </c>
      <c r="B65" s="333" t="s">
        <v>358</v>
      </c>
      <c r="C65" s="333" t="s">
        <v>396</v>
      </c>
      <c r="D65" s="333" t="s">
        <v>212</v>
      </c>
      <c r="E65" s="333" t="s">
        <v>255</v>
      </c>
      <c r="F65" s="334">
        <v>1000000</v>
      </c>
      <c r="G65" s="413" t="s">
        <v>585</v>
      </c>
      <c r="H65" s="414">
        <f t="shared" si="3"/>
        <v>200000</v>
      </c>
      <c r="I65" s="415" t="s">
        <v>89</v>
      </c>
      <c r="J65" s="414">
        <f t="shared" si="4"/>
        <v>50000</v>
      </c>
      <c r="K65" s="414">
        <f t="shared" si="5"/>
        <v>250000</v>
      </c>
    </row>
    <row r="66" spans="1:11" s="147" customFormat="1" ht="25.5">
      <c r="A66" s="398">
        <v>60</v>
      </c>
      <c r="B66" s="333" t="s">
        <v>358</v>
      </c>
      <c r="C66" s="333" t="s">
        <v>397</v>
      </c>
      <c r="D66" s="333" t="s">
        <v>229</v>
      </c>
      <c r="E66" s="333" t="s">
        <v>255</v>
      </c>
      <c r="F66" s="334">
        <v>1000000</v>
      </c>
      <c r="G66" s="413" t="s">
        <v>165</v>
      </c>
      <c r="H66" s="414">
        <f t="shared" si="3"/>
        <v>200000</v>
      </c>
      <c r="I66" s="415" t="s">
        <v>89</v>
      </c>
      <c r="J66" s="414">
        <f t="shared" si="4"/>
        <v>50000</v>
      </c>
      <c r="K66" s="414">
        <f t="shared" si="5"/>
        <v>250000</v>
      </c>
    </row>
    <row r="67" spans="1:11" s="147" customFormat="1" ht="25.5" hidden="1">
      <c r="A67" s="398">
        <v>61</v>
      </c>
      <c r="B67" s="333" t="s">
        <v>362</v>
      </c>
      <c r="C67" s="333" t="s">
        <v>398</v>
      </c>
      <c r="D67" s="333" t="s">
        <v>164</v>
      </c>
      <c r="E67" s="333" t="s">
        <v>257</v>
      </c>
      <c r="F67" s="334">
        <v>1000000</v>
      </c>
      <c r="G67" s="413" t="s">
        <v>581</v>
      </c>
      <c r="H67" s="414">
        <f t="shared" si="3"/>
        <v>137500</v>
      </c>
      <c r="I67" s="415" t="s">
        <v>89</v>
      </c>
      <c r="J67" s="414">
        <f t="shared" si="4"/>
        <v>50000</v>
      </c>
      <c r="K67" s="414">
        <f t="shared" si="5"/>
        <v>187500</v>
      </c>
    </row>
    <row r="68" spans="1:11" s="147" customFormat="1" ht="25.5" hidden="1">
      <c r="A68" s="398">
        <v>62</v>
      </c>
      <c r="B68" s="335" t="s">
        <v>362</v>
      </c>
      <c r="C68" s="335" t="s">
        <v>399</v>
      </c>
      <c r="D68" s="335" t="s">
        <v>229</v>
      </c>
      <c r="E68" s="336" t="s">
        <v>254</v>
      </c>
      <c r="F68" s="334">
        <v>4000000</v>
      </c>
      <c r="G68" s="413" t="s">
        <v>582</v>
      </c>
      <c r="H68" s="414">
        <f t="shared" si="3"/>
        <v>550000</v>
      </c>
      <c r="I68" s="415" t="s">
        <v>89</v>
      </c>
      <c r="J68" s="414">
        <f t="shared" si="4"/>
        <v>200000</v>
      </c>
      <c r="K68" s="414">
        <f t="shared" si="5"/>
        <v>750000</v>
      </c>
    </row>
    <row r="69" spans="1:11" s="147" customFormat="1" ht="25.5">
      <c r="A69" s="398">
        <v>63</v>
      </c>
      <c r="B69" s="333" t="s">
        <v>371</v>
      </c>
      <c r="C69" s="333" t="s">
        <v>400</v>
      </c>
      <c r="D69" s="333" t="s">
        <v>198</v>
      </c>
      <c r="E69" s="333" t="s">
        <v>257</v>
      </c>
      <c r="F69" s="334">
        <v>1000000</v>
      </c>
      <c r="G69" s="416" t="s">
        <v>165</v>
      </c>
      <c r="H69" s="417">
        <f t="shared" si="3"/>
        <v>200000</v>
      </c>
      <c r="I69" s="418" t="s">
        <v>89</v>
      </c>
      <c r="J69" s="417">
        <f t="shared" si="4"/>
        <v>50000</v>
      </c>
      <c r="K69" s="417">
        <f t="shared" si="5"/>
        <v>250000</v>
      </c>
    </row>
    <row r="70" spans="1:11" s="147" customFormat="1" ht="25.5" hidden="1">
      <c r="A70" s="398">
        <v>64</v>
      </c>
      <c r="B70" s="333" t="s">
        <v>374</v>
      </c>
      <c r="C70" s="333" t="s">
        <v>401</v>
      </c>
      <c r="D70" s="333" t="s">
        <v>232</v>
      </c>
      <c r="E70" s="333" t="s">
        <v>258</v>
      </c>
      <c r="F70" s="334">
        <v>3000000</v>
      </c>
      <c r="G70" s="419" t="s">
        <v>582</v>
      </c>
      <c r="H70" s="417">
        <f t="shared" si="3"/>
        <v>412500</v>
      </c>
      <c r="I70" s="418" t="s">
        <v>89</v>
      </c>
      <c r="J70" s="417">
        <f t="shared" si="4"/>
        <v>150000</v>
      </c>
      <c r="K70" s="414">
        <f t="shared" si="5"/>
        <v>562500</v>
      </c>
    </row>
    <row r="71" spans="1:11" s="147" customFormat="1" ht="25.5" hidden="1">
      <c r="A71" s="398">
        <v>65</v>
      </c>
      <c r="B71" s="333" t="s">
        <v>374</v>
      </c>
      <c r="C71" s="333" t="s">
        <v>402</v>
      </c>
      <c r="D71" s="333" t="s">
        <v>135</v>
      </c>
      <c r="E71" s="333" t="s">
        <v>257</v>
      </c>
      <c r="F71" s="334">
        <v>1000000</v>
      </c>
      <c r="G71" s="416" t="s">
        <v>581</v>
      </c>
      <c r="H71" s="417">
        <f t="shared" ref="H71:H80" si="6">K71-J71</f>
        <v>137500</v>
      </c>
      <c r="I71" s="418" t="s">
        <v>89</v>
      </c>
      <c r="J71" s="417">
        <f t="shared" ref="J71:J80" si="7">F71*0.05</f>
        <v>50000</v>
      </c>
      <c r="K71" s="414">
        <f t="shared" si="5"/>
        <v>187500</v>
      </c>
    </row>
    <row r="72" spans="1:11" s="147" customFormat="1" ht="25.5" hidden="1">
      <c r="A72" s="398">
        <v>66</v>
      </c>
      <c r="B72" s="333" t="s">
        <v>377</v>
      </c>
      <c r="C72" s="333" t="s">
        <v>403</v>
      </c>
      <c r="D72" s="333" t="s">
        <v>203</v>
      </c>
      <c r="E72" s="333" t="s">
        <v>256</v>
      </c>
      <c r="F72" s="334">
        <v>1500000</v>
      </c>
      <c r="G72" s="413" t="s">
        <v>583</v>
      </c>
      <c r="H72" s="414">
        <f t="shared" si="6"/>
        <v>300000</v>
      </c>
      <c r="I72" s="415" t="s">
        <v>89</v>
      </c>
      <c r="J72" s="414">
        <f t="shared" si="7"/>
        <v>75000</v>
      </c>
      <c r="K72" s="414">
        <f t="shared" ref="K72:K80" si="8">IF(G72="NGUYỆN",F72*25%*75%,IF(G72="TOẢN",F72*25%*75%,IF(G72="V.TÂN",F72*25%*75%,F72*0.25)))</f>
        <v>375000</v>
      </c>
    </row>
    <row r="73" spans="1:11" s="147" customFormat="1" ht="25.5" hidden="1">
      <c r="A73" s="398">
        <v>67</v>
      </c>
      <c r="B73" s="333" t="s">
        <v>377</v>
      </c>
      <c r="C73" s="333" t="s">
        <v>279</v>
      </c>
      <c r="D73" s="333" t="s">
        <v>139</v>
      </c>
      <c r="E73" s="333" t="s">
        <v>254</v>
      </c>
      <c r="F73" s="334">
        <v>4000000</v>
      </c>
      <c r="G73" s="416" t="s">
        <v>583</v>
      </c>
      <c r="H73" s="417">
        <f t="shared" si="6"/>
        <v>800000</v>
      </c>
      <c r="I73" s="418" t="s">
        <v>89</v>
      </c>
      <c r="J73" s="417">
        <f t="shared" si="7"/>
        <v>200000</v>
      </c>
      <c r="K73" s="417">
        <f t="shared" si="8"/>
        <v>1000000</v>
      </c>
    </row>
    <row r="74" spans="1:11" s="147" customFormat="1" ht="25.5" hidden="1">
      <c r="A74" s="398">
        <v>68</v>
      </c>
      <c r="B74" s="333" t="s">
        <v>382</v>
      </c>
      <c r="C74" s="333" t="s">
        <v>404</v>
      </c>
      <c r="D74" s="333" t="s">
        <v>203</v>
      </c>
      <c r="E74" s="333" t="s">
        <v>254</v>
      </c>
      <c r="F74" s="334">
        <v>4000000</v>
      </c>
      <c r="G74" s="413" t="s">
        <v>580</v>
      </c>
      <c r="H74" s="414">
        <f t="shared" si="6"/>
        <v>550000</v>
      </c>
      <c r="I74" s="415" t="s">
        <v>89</v>
      </c>
      <c r="J74" s="414">
        <f t="shared" si="7"/>
        <v>200000</v>
      </c>
      <c r="K74" s="414">
        <f t="shared" si="8"/>
        <v>750000</v>
      </c>
    </row>
    <row r="75" spans="1:11" s="147" customFormat="1" ht="25.5" hidden="1">
      <c r="A75" s="398">
        <v>69</v>
      </c>
      <c r="B75" s="335" t="s">
        <v>382</v>
      </c>
      <c r="C75" s="335" t="s">
        <v>405</v>
      </c>
      <c r="D75" s="335" t="s">
        <v>138</v>
      </c>
      <c r="E75" s="336" t="s">
        <v>255</v>
      </c>
      <c r="F75" s="334">
        <v>1000000</v>
      </c>
      <c r="G75" s="296" t="s">
        <v>581</v>
      </c>
      <c r="H75" s="414">
        <f t="shared" si="6"/>
        <v>137500</v>
      </c>
      <c r="I75" s="415" t="s">
        <v>89</v>
      </c>
      <c r="J75" s="414">
        <f t="shared" si="7"/>
        <v>50000</v>
      </c>
      <c r="K75" s="414">
        <f t="shared" si="8"/>
        <v>187500</v>
      </c>
    </row>
    <row r="76" spans="1:11" s="147" customFormat="1" ht="25.5" hidden="1">
      <c r="A76" s="398">
        <v>70</v>
      </c>
      <c r="B76" s="485" t="s">
        <v>406</v>
      </c>
      <c r="C76" s="485" t="s">
        <v>407</v>
      </c>
      <c r="D76" s="485" t="s">
        <v>217</v>
      </c>
      <c r="E76" s="333" t="s">
        <v>254</v>
      </c>
      <c r="F76" s="334">
        <v>4000000</v>
      </c>
      <c r="G76" s="413" t="s">
        <v>583</v>
      </c>
      <c r="H76" s="414">
        <f t="shared" si="6"/>
        <v>800000</v>
      </c>
      <c r="I76" s="415" t="s">
        <v>89</v>
      </c>
      <c r="J76" s="414">
        <f t="shared" si="7"/>
        <v>200000</v>
      </c>
      <c r="K76" s="414">
        <f t="shared" si="8"/>
        <v>1000000</v>
      </c>
    </row>
    <row r="77" spans="1:11" s="147" customFormat="1" ht="25.5" hidden="1">
      <c r="A77" s="398">
        <v>71</v>
      </c>
      <c r="B77" s="333" t="s">
        <v>406</v>
      </c>
      <c r="C77" s="333" t="s">
        <v>408</v>
      </c>
      <c r="D77" s="333" t="s">
        <v>192</v>
      </c>
      <c r="E77" s="333" t="s">
        <v>255</v>
      </c>
      <c r="F77" s="334">
        <v>1000000</v>
      </c>
      <c r="G77" s="413" t="s">
        <v>583</v>
      </c>
      <c r="H77" s="414">
        <f t="shared" si="6"/>
        <v>200000</v>
      </c>
      <c r="I77" s="415" t="s">
        <v>89</v>
      </c>
      <c r="J77" s="414">
        <f t="shared" si="7"/>
        <v>50000</v>
      </c>
      <c r="K77" s="414">
        <f t="shared" si="8"/>
        <v>250000</v>
      </c>
    </row>
    <row r="78" spans="1:11" s="147" customFormat="1" ht="38.25">
      <c r="A78" s="398">
        <v>72</v>
      </c>
      <c r="B78" s="333" t="s">
        <v>388</v>
      </c>
      <c r="C78" s="333" t="s">
        <v>409</v>
      </c>
      <c r="D78" s="333" t="s">
        <v>191</v>
      </c>
      <c r="E78" s="333" t="s">
        <v>410</v>
      </c>
      <c r="F78" s="334">
        <v>3261000</v>
      </c>
      <c r="G78" s="413" t="s">
        <v>165</v>
      </c>
      <c r="H78" s="414">
        <f t="shared" si="6"/>
        <v>652200</v>
      </c>
      <c r="I78" s="415" t="s">
        <v>89</v>
      </c>
      <c r="J78" s="414">
        <f t="shared" si="7"/>
        <v>163050</v>
      </c>
      <c r="K78" s="414">
        <f t="shared" si="8"/>
        <v>815250</v>
      </c>
    </row>
    <row r="79" spans="1:11" s="147" customFormat="1" ht="25.5">
      <c r="A79" s="398">
        <v>73</v>
      </c>
      <c r="B79" s="335" t="s">
        <v>388</v>
      </c>
      <c r="C79" s="335" t="s">
        <v>411</v>
      </c>
      <c r="D79" s="335" t="s">
        <v>140</v>
      </c>
      <c r="E79" s="336" t="s">
        <v>254</v>
      </c>
      <c r="F79" s="420">
        <v>4000000</v>
      </c>
      <c r="G79" s="413" t="s">
        <v>165</v>
      </c>
      <c r="H79" s="414">
        <f t="shared" si="6"/>
        <v>800000</v>
      </c>
      <c r="I79" s="415" t="s">
        <v>89</v>
      </c>
      <c r="J79" s="414">
        <f t="shared" si="7"/>
        <v>200000</v>
      </c>
      <c r="K79" s="414">
        <f t="shared" si="8"/>
        <v>1000000</v>
      </c>
    </row>
    <row r="80" spans="1:11" s="147" customFormat="1" ht="25.5">
      <c r="A80" s="398">
        <v>74</v>
      </c>
      <c r="B80" s="333" t="s">
        <v>388</v>
      </c>
      <c r="C80" s="333" t="s">
        <v>412</v>
      </c>
      <c r="D80" s="333" t="s">
        <v>195</v>
      </c>
      <c r="E80" s="333" t="s">
        <v>254</v>
      </c>
      <c r="F80" s="334">
        <v>4000000</v>
      </c>
      <c r="G80" s="413" t="s">
        <v>165</v>
      </c>
      <c r="H80" s="414">
        <f t="shared" si="6"/>
        <v>800000</v>
      </c>
      <c r="I80" s="415" t="s">
        <v>89</v>
      </c>
      <c r="J80" s="414">
        <f t="shared" si="7"/>
        <v>200000</v>
      </c>
      <c r="K80" s="414">
        <f t="shared" si="8"/>
        <v>1000000</v>
      </c>
    </row>
    <row r="81" spans="1:12" s="147" customFormat="1" hidden="1">
      <c r="A81" s="398"/>
      <c r="B81" s="421"/>
      <c r="C81" s="255" t="s">
        <v>83</v>
      </c>
      <c r="D81" s="422"/>
      <c r="E81" s="423"/>
      <c r="F81" s="424">
        <f>SUBTOTAL(9,F7:F80)</f>
        <v>30181000</v>
      </c>
      <c r="G81" s="424">
        <v>1</v>
      </c>
      <c r="H81" s="424">
        <f>SUBTOTAL(9,H7:H80)</f>
        <v>6036200</v>
      </c>
      <c r="I81" s="424"/>
      <c r="J81" s="424">
        <f>SUBTOTAL(9,J7:J80)</f>
        <v>1509050</v>
      </c>
      <c r="K81" s="424">
        <f>SUBTOTAL(9,K7:K80)</f>
        <v>7545250</v>
      </c>
    </row>
    <row r="82" spans="1:12" hidden="1">
      <c r="B82" s="425"/>
      <c r="C82" s="426"/>
      <c r="D82" s="427"/>
      <c r="E82" s="426"/>
      <c r="F82" s="428"/>
      <c r="G82" s="533" t="s">
        <v>778</v>
      </c>
      <c r="H82" s="533"/>
      <c r="I82" s="533"/>
      <c r="J82" s="533"/>
      <c r="K82" s="533"/>
      <c r="L82" s="147"/>
    </row>
    <row r="83" spans="1:12" ht="18.75" hidden="1" customHeight="1">
      <c r="A83" s="532" t="s">
        <v>35</v>
      </c>
      <c r="B83" s="532"/>
      <c r="C83" s="532"/>
      <c r="D83" s="429"/>
      <c r="E83" s="430"/>
      <c r="F83" s="431"/>
      <c r="H83" s="529" t="s">
        <v>110</v>
      </c>
      <c r="I83" s="529"/>
      <c r="J83" s="529"/>
      <c r="K83" s="529"/>
      <c r="L83" s="147"/>
    </row>
    <row r="84" spans="1:12">
      <c r="D84" s="432"/>
      <c r="K84" s="433"/>
    </row>
    <row r="85" spans="1:12">
      <c r="D85" s="432"/>
      <c r="K85" s="433"/>
    </row>
    <row r="86" spans="1:12" ht="21" customHeight="1">
      <c r="F86" s="431"/>
      <c r="K86" s="434"/>
    </row>
    <row r="87" spans="1:12">
      <c r="A87" s="514" t="s">
        <v>45</v>
      </c>
      <c r="B87" s="514"/>
      <c r="C87" s="514"/>
      <c r="H87" s="530" t="s">
        <v>153</v>
      </c>
      <c r="I87" s="530"/>
      <c r="J87" s="530"/>
      <c r="K87" s="530"/>
    </row>
  </sheetData>
  <autoFilter ref="A6:K83" xr:uid="{00000000-0001-0000-0900-000000000000}">
    <filterColumn colId="6">
      <filters>
        <filter val="TRIỀU"/>
      </filters>
    </filterColumn>
  </autoFilter>
  <sortState xmlns:xlrd2="http://schemas.microsoft.com/office/spreadsheetml/2017/richdata2" ref="A7:L80">
    <sortCondition ref="B7:B80"/>
  </sortState>
  <mergeCells count="9">
    <mergeCell ref="H83:K83"/>
    <mergeCell ref="H87:K87"/>
    <mergeCell ref="A1:D1"/>
    <mergeCell ref="A2:D2"/>
    <mergeCell ref="A3:K3"/>
    <mergeCell ref="A4:K4"/>
    <mergeCell ref="A87:C87"/>
    <mergeCell ref="A83:C83"/>
    <mergeCell ref="G82:K82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Layout" zoomScaleNormal="100" workbookViewId="0">
      <selection activeCell="A7" sqref="A7:XFD7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534" t="s">
        <v>0</v>
      </c>
      <c r="B1" s="534"/>
      <c r="C1" s="130"/>
      <c r="D1" s="130"/>
      <c r="E1" s="130"/>
    </row>
    <row r="2" spans="1:6" ht="18.75">
      <c r="A2" s="503" t="s">
        <v>107</v>
      </c>
      <c r="B2" s="503"/>
      <c r="C2" s="39"/>
      <c r="D2" s="130"/>
      <c r="E2" s="130"/>
    </row>
    <row r="3" spans="1:6" ht="21.75" customHeight="1">
      <c r="A3" s="491" t="s">
        <v>769</v>
      </c>
      <c r="B3" s="491"/>
      <c r="C3" s="491"/>
      <c r="D3" s="491"/>
      <c r="E3" s="491"/>
    </row>
    <row r="4" spans="1:6" ht="17.25" customHeight="1">
      <c r="A4" s="503" t="s">
        <v>32</v>
      </c>
      <c r="B4" s="503"/>
      <c r="C4" s="503"/>
      <c r="D4" s="503"/>
      <c r="E4" s="503"/>
    </row>
    <row r="5" spans="1:6" ht="15.75">
      <c r="A5" s="130"/>
      <c r="B5" s="130"/>
      <c r="C5" s="130"/>
      <c r="D5" s="130"/>
      <c r="E5" s="130"/>
    </row>
    <row r="6" spans="1:6" ht="15.75">
      <c r="A6" s="131" t="s">
        <v>29</v>
      </c>
      <c r="B6" s="131" t="s">
        <v>31</v>
      </c>
      <c r="C6" s="131" t="s">
        <v>33</v>
      </c>
      <c r="D6" s="131" t="s">
        <v>7</v>
      </c>
      <c r="E6" s="131" t="s">
        <v>34</v>
      </c>
    </row>
    <row r="7" spans="1:6" ht="16.5">
      <c r="A7" s="132">
        <v>1</v>
      </c>
      <c r="B7" s="62" t="s">
        <v>23</v>
      </c>
      <c r="C7" s="133" t="s">
        <v>26</v>
      </c>
      <c r="D7" s="134">
        <f>SUM(SUMIF(tieuphau!$G$7:$G$90,"TRIỀU",tieuphau!$H$7:$H$90),SUMIF(tieuphau!$I$7:$I$89,"TRIỀU",tieuphau!$J$7:$J$89))</f>
        <v>6036200</v>
      </c>
      <c r="E7" s="132"/>
      <c r="F7" s="61"/>
    </row>
    <row r="8" spans="1:6" ht="16.5">
      <c r="A8" s="132">
        <v>2</v>
      </c>
      <c r="B8" s="62" t="s">
        <v>18</v>
      </c>
      <c r="C8" s="133" t="s">
        <v>26</v>
      </c>
      <c r="D8" s="134">
        <f>SUM(SUMIF(tieuphau!$G$7:$G$80,"TẤN",tieuphau!$H$7:$H$80),SUMIF(tieuphau!$I$7:$I$80,"TẤN",tieuphau!$J$7:$J$80))</f>
        <v>0</v>
      </c>
      <c r="E8" s="132"/>
      <c r="F8" s="61"/>
    </row>
    <row r="9" spans="1:6" ht="16.5">
      <c r="A9" s="132">
        <v>3</v>
      </c>
      <c r="B9" s="62" t="s">
        <v>17</v>
      </c>
      <c r="C9" s="133" t="s">
        <v>26</v>
      </c>
      <c r="D9" s="134">
        <f>SUM(SUMIF(tieuphau!$G$7:$G$90,"HOAN",tieuphau!$H$7:$H$90),SUMIF(tieuphau!$I$7:$I$89,"HOAN",tieuphau!$J$7:$J$89))</f>
        <v>1048080</v>
      </c>
      <c r="E9" s="132"/>
      <c r="F9" s="61"/>
    </row>
    <row r="10" spans="1:6" ht="16.5">
      <c r="A10" s="132">
        <v>4</v>
      </c>
      <c r="B10" s="62" t="s">
        <v>19</v>
      </c>
      <c r="C10" s="133" t="s">
        <v>26</v>
      </c>
      <c r="D10" s="134">
        <f>SUM(SUMIF(tieuphau!$G$7:$G$90,"TÚ",tieuphau!$H$7:$H$90),SUMIF(tieuphau!$I$7:$I$89,"TÚ",tieuphau!$J$7:$J$89))</f>
        <v>3537200</v>
      </c>
      <c r="E10" s="132"/>
    </row>
    <row r="11" spans="1:6" ht="18" customHeight="1">
      <c r="A11" s="132">
        <v>5</v>
      </c>
      <c r="B11" s="62" t="s">
        <v>74</v>
      </c>
      <c r="C11" s="133" t="s">
        <v>26</v>
      </c>
      <c r="D11" s="134">
        <f>SUM(SUMIF(tieuphau!$G$7:$G$90,"NGUYỆN",tieuphau!$H$7:$H$90),SUMIF(tieuphau!$I$7:$I$89,"NGUYỆN",tieuphau!$J$7:$J$89))</f>
        <v>1458517.5</v>
      </c>
      <c r="E11" s="132"/>
    </row>
    <row r="12" spans="1:6" ht="18" customHeight="1">
      <c r="A12" s="132">
        <v>6</v>
      </c>
      <c r="B12" s="62" t="s">
        <v>84</v>
      </c>
      <c r="C12" s="133" t="s">
        <v>26</v>
      </c>
      <c r="D12" s="134">
        <f>SUM(SUMIF(tieuphau!$G$7:$G$90,"v.tân",tieuphau!$H$7:$H$90),SUMIF(tieuphau!$I$7:$I$89,"v.tân",tieuphau!$J$7:$J$89))</f>
        <v>867405</v>
      </c>
      <c r="E12" s="132"/>
    </row>
    <row r="13" spans="1:6" ht="18" customHeight="1">
      <c r="A13" s="132">
        <v>7</v>
      </c>
      <c r="B13" s="62" t="s">
        <v>111</v>
      </c>
      <c r="C13" s="133" t="s">
        <v>26</v>
      </c>
      <c r="D13" s="134">
        <f>SUM(SUMIF(tieuphau!$G$7:$G$90,"TOẢN",tieuphau!$H$7:$H$90),SUMIF(tieuphau!$I$7:$I$89,"TOẢN",tieuphau!$J$7:$J$89))</f>
        <v>673750</v>
      </c>
      <c r="E13" s="132"/>
    </row>
    <row r="14" spans="1:6" ht="18" customHeight="1">
      <c r="A14" s="132">
        <v>8</v>
      </c>
      <c r="B14" s="62" t="s">
        <v>94</v>
      </c>
      <c r="C14" s="133" t="s">
        <v>26</v>
      </c>
      <c r="D14" s="134">
        <f>SUM(SUMIF(tieuphau!$G$7:$G$90,"GIÀU",tieuphau!$H$7:$H$90),SUMIF(tieuphau!$I$7:$I$89,"GIÀU",tieuphau!$J$7:$J$89))</f>
        <v>0</v>
      </c>
      <c r="E14" s="132"/>
    </row>
    <row r="15" spans="1:6" ht="18" customHeight="1">
      <c r="A15" s="132">
        <v>9</v>
      </c>
      <c r="B15" s="62" t="s">
        <v>72</v>
      </c>
      <c r="C15" s="133" t="s">
        <v>26</v>
      </c>
      <c r="D15" s="134">
        <f>SUM(SUMIF(tieuphau!$G$7:$G$90,"Điền",tieuphau!$H$7:$H$90),SUMIF(tieuphau!$I$7:$I$89,"điền",tieuphau!$J$7:$J$89))</f>
        <v>496800</v>
      </c>
      <c r="E15" s="132"/>
    </row>
    <row r="16" spans="1:6" ht="18" customHeight="1">
      <c r="A16" s="132">
        <v>10</v>
      </c>
      <c r="B16" s="62" t="s">
        <v>68</v>
      </c>
      <c r="C16" s="133" t="s">
        <v>26</v>
      </c>
      <c r="D16" s="134">
        <f>SUM(SUMIF(tieuphau!$G$7:$G$90,"minh",tieuphau!$H$7:$H$90),SUMIF(tieuphau!$I$7:$I$89,"minh",tieuphau!$J$7:$J$89))</f>
        <v>0</v>
      </c>
      <c r="E16" s="132"/>
    </row>
    <row r="17" spans="1:6" ht="17.25" customHeight="1">
      <c r="A17" s="132">
        <v>12</v>
      </c>
      <c r="B17" s="62" t="s">
        <v>45</v>
      </c>
      <c r="C17" s="55" t="s">
        <v>27</v>
      </c>
      <c r="D17" s="135">
        <f>tieuphau!J81/9</f>
        <v>167672.22222222222</v>
      </c>
      <c r="E17" s="132"/>
    </row>
    <row r="18" spans="1:6" ht="19.5" customHeight="1">
      <c r="A18" s="132">
        <v>13</v>
      </c>
      <c r="B18" s="62" t="s">
        <v>65</v>
      </c>
      <c r="C18" s="55" t="s">
        <v>27</v>
      </c>
      <c r="D18" s="135">
        <f>D17</f>
        <v>167672.22222222222</v>
      </c>
      <c r="E18" s="136"/>
    </row>
    <row r="19" spans="1:6" ht="16.5" customHeight="1">
      <c r="A19" s="132">
        <v>15</v>
      </c>
      <c r="B19" s="62" t="s">
        <v>82</v>
      </c>
      <c r="C19" s="55" t="s">
        <v>27</v>
      </c>
      <c r="D19" s="135">
        <f t="shared" ref="D19:D22" si="0">D18</f>
        <v>167672.22222222222</v>
      </c>
      <c r="E19" s="132"/>
    </row>
    <row r="20" spans="1:6" ht="16.5">
      <c r="A20" s="132">
        <v>17</v>
      </c>
      <c r="B20" s="62" t="s">
        <v>46</v>
      </c>
      <c r="C20" s="55" t="s">
        <v>27</v>
      </c>
      <c r="D20" s="135">
        <f t="shared" si="0"/>
        <v>167672.22222222222</v>
      </c>
      <c r="E20" s="132"/>
    </row>
    <row r="21" spans="1:6" ht="16.5" customHeight="1">
      <c r="A21" s="132">
        <v>18</v>
      </c>
      <c r="B21" s="62" t="s">
        <v>70</v>
      </c>
      <c r="C21" s="55" t="s">
        <v>27</v>
      </c>
      <c r="D21" s="135">
        <f t="shared" si="0"/>
        <v>167672.22222222222</v>
      </c>
      <c r="E21" s="132"/>
    </row>
    <row r="22" spans="1:6" ht="16.5" customHeight="1">
      <c r="A22" s="132">
        <v>19</v>
      </c>
      <c r="B22" s="62" t="s">
        <v>112</v>
      </c>
      <c r="C22" s="55" t="s">
        <v>27</v>
      </c>
      <c r="D22" s="135">
        <f t="shared" si="0"/>
        <v>167672.22222222222</v>
      </c>
      <c r="E22" s="132"/>
    </row>
    <row r="23" spans="1:6" ht="16.5" customHeight="1">
      <c r="A23" s="132">
        <v>20</v>
      </c>
      <c r="B23" s="62" t="s">
        <v>93</v>
      </c>
      <c r="C23" s="55" t="s">
        <v>27</v>
      </c>
      <c r="D23" s="135" t="s">
        <v>56</v>
      </c>
      <c r="E23" s="132"/>
    </row>
    <row r="24" spans="1:6" ht="16.5" customHeight="1">
      <c r="A24" s="132">
        <v>21</v>
      </c>
      <c r="B24" s="62" t="s">
        <v>73</v>
      </c>
      <c r="C24" s="55" t="s">
        <v>27</v>
      </c>
      <c r="D24" s="135">
        <f>D22</f>
        <v>167672.22222222222</v>
      </c>
      <c r="E24" s="132"/>
    </row>
    <row r="25" spans="1:6" ht="16.5" customHeight="1">
      <c r="A25" s="132">
        <v>22</v>
      </c>
      <c r="B25" s="62" t="s">
        <v>144</v>
      </c>
      <c r="C25" s="55" t="s">
        <v>27</v>
      </c>
      <c r="D25" s="135">
        <f>D24</f>
        <v>167672.22222222222</v>
      </c>
      <c r="E25" s="132"/>
    </row>
    <row r="26" spans="1:6" ht="16.5" customHeight="1">
      <c r="A26" s="132">
        <v>23</v>
      </c>
      <c r="B26" s="62" t="s">
        <v>143</v>
      </c>
      <c r="C26" s="55" t="s">
        <v>27</v>
      </c>
      <c r="D26" s="135">
        <f t="shared" ref="D26" si="1">D24</f>
        <v>167672.22222222222</v>
      </c>
      <c r="E26" s="132"/>
    </row>
    <row r="27" spans="1:6" ht="15.75">
      <c r="A27" s="132"/>
      <c r="B27" s="137" t="s">
        <v>28</v>
      </c>
      <c r="C27" s="137"/>
      <c r="D27" s="138">
        <f>SUM(D7:D26)</f>
        <v>15627002.499999998</v>
      </c>
      <c r="E27" s="137"/>
    </row>
    <row r="28" spans="1:6">
      <c r="D28" s="61"/>
      <c r="E28" s="104"/>
      <c r="F28" s="61"/>
    </row>
    <row r="29" spans="1:6" ht="15.75">
      <c r="A29" s="119"/>
      <c r="B29" s="119"/>
      <c r="C29" s="119"/>
      <c r="D29" s="535" t="s">
        <v>770</v>
      </c>
      <c r="E29" s="535"/>
    </row>
    <row r="30" spans="1:6" ht="15.75">
      <c r="A30" s="119" t="s">
        <v>20</v>
      </c>
      <c r="B30" s="119"/>
      <c r="C30" s="139"/>
      <c r="D30" s="503" t="s">
        <v>21</v>
      </c>
      <c r="E30" s="503"/>
    </row>
    <row r="31" spans="1:6">
      <c r="E31" s="61"/>
    </row>
    <row r="32" spans="1:6">
      <c r="D32" s="61"/>
      <c r="E32" s="61"/>
    </row>
    <row r="33" spans="1:4">
      <c r="D33" s="61"/>
    </row>
    <row r="34" spans="1:4">
      <c r="A34" s="536"/>
      <c r="B34" s="536"/>
      <c r="D34" s="61"/>
    </row>
  </sheetData>
  <mergeCells count="7">
    <mergeCell ref="A1:B1"/>
    <mergeCell ref="D29:E29"/>
    <mergeCell ref="A34:B34"/>
    <mergeCell ref="D30:E30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view="pageLayout" zoomScaleNormal="100" workbookViewId="0">
      <selection activeCell="A3" sqref="A3:E3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537" t="s">
        <v>0</v>
      </c>
      <c r="B1" s="537"/>
      <c r="C1" s="537"/>
    </row>
    <row r="2" spans="1:8" ht="16.5">
      <c r="A2" s="538" t="s">
        <v>44</v>
      </c>
      <c r="B2" s="538"/>
      <c r="C2" s="538"/>
    </row>
    <row r="3" spans="1:8" ht="30" customHeight="1">
      <c r="A3" s="539" t="s">
        <v>780</v>
      </c>
      <c r="B3" s="539"/>
      <c r="C3" s="539"/>
      <c r="D3" s="539"/>
      <c r="E3" s="539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99">
        <v>1</v>
      </c>
      <c r="B7" s="9" t="s">
        <v>45</v>
      </c>
      <c r="C7" s="22" t="s">
        <v>27</v>
      </c>
      <c r="D7" s="23"/>
      <c r="E7" s="32">
        <f>F7/19.5</f>
        <v>1</v>
      </c>
      <c r="F7" s="35">
        <v>19.5</v>
      </c>
      <c r="G7" s="24"/>
    </row>
    <row r="8" spans="1:8" ht="17.25" thickBot="1">
      <c r="A8" s="199">
        <v>2</v>
      </c>
      <c r="B8" s="9" t="s">
        <v>65</v>
      </c>
      <c r="C8" s="22" t="s">
        <v>27</v>
      </c>
      <c r="D8" s="23"/>
      <c r="E8" s="32">
        <f>F8/19.5</f>
        <v>1</v>
      </c>
      <c r="F8" s="35">
        <v>19.5</v>
      </c>
      <c r="H8" s="25"/>
    </row>
    <row r="9" spans="1:8" ht="21.75" customHeight="1" thickBot="1">
      <c r="A9" s="199">
        <v>3</v>
      </c>
      <c r="B9" s="79" t="s">
        <v>70</v>
      </c>
      <c r="C9" s="22" t="s">
        <v>27</v>
      </c>
      <c r="D9" s="23"/>
      <c r="E9" s="81"/>
      <c r="F9" s="35"/>
    </row>
    <row r="10" spans="1:8" ht="21.75" customHeight="1" thickBot="1">
      <c r="A10" s="199">
        <v>4</v>
      </c>
      <c r="B10" s="79" t="s">
        <v>73</v>
      </c>
      <c r="C10" s="22" t="s">
        <v>27</v>
      </c>
      <c r="D10" s="23"/>
      <c r="E10" s="81"/>
      <c r="F10" s="35"/>
    </row>
    <row r="11" spans="1:8" ht="21.75" customHeight="1" thickBot="1">
      <c r="A11" s="199">
        <v>5</v>
      </c>
      <c r="B11" s="79" t="s">
        <v>82</v>
      </c>
      <c r="C11" s="103" t="s">
        <v>27</v>
      </c>
      <c r="D11" s="23"/>
      <c r="E11" s="81"/>
      <c r="F11" s="35"/>
    </row>
    <row r="12" spans="1:8" ht="21.75" customHeight="1" thickBot="1">
      <c r="A12" s="199">
        <v>6</v>
      </c>
      <c r="B12" s="79" t="s">
        <v>46</v>
      </c>
      <c r="C12" s="103" t="s">
        <v>27</v>
      </c>
      <c r="D12" s="23"/>
      <c r="E12" s="81"/>
      <c r="F12" s="35"/>
    </row>
    <row r="13" spans="1:8" ht="21.75" customHeight="1" thickBot="1">
      <c r="A13" s="199">
        <v>7</v>
      </c>
      <c r="B13" s="79" t="s">
        <v>112</v>
      </c>
      <c r="C13" s="103" t="s">
        <v>27</v>
      </c>
      <c r="D13" s="23"/>
      <c r="E13" s="81"/>
      <c r="F13" s="35"/>
    </row>
    <row r="14" spans="1:8" ht="21.75" customHeight="1" thickBot="1">
      <c r="A14" s="199">
        <v>8</v>
      </c>
      <c r="B14" s="79" t="s">
        <v>144</v>
      </c>
      <c r="C14" s="103" t="s">
        <v>27</v>
      </c>
      <c r="D14" s="23"/>
      <c r="E14" s="81"/>
      <c r="F14" s="35"/>
    </row>
    <row r="15" spans="1:8" ht="21.75" customHeight="1" thickBot="1">
      <c r="A15" s="199">
        <v>9</v>
      </c>
      <c r="B15" s="79" t="s">
        <v>143</v>
      </c>
      <c r="C15" s="103" t="s">
        <v>27</v>
      </c>
      <c r="D15" s="23"/>
      <c r="E15" s="81"/>
      <c r="F15" s="35"/>
    </row>
    <row r="16" spans="1:8" ht="17.25" thickBot="1">
      <c r="A16" s="26"/>
      <c r="B16" s="27" t="s">
        <v>28</v>
      </c>
      <c r="C16" s="28"/>
      <c r="D16" s="29">
        <f>SUM(D7:D15)</f>
        <v>0</v>
      </c>
      <c r="E16" s="30"/>
      <c r="F16" s="36"/>
      <c r="G16" s="24"/>
    </row>
    <row r="17" spans="1:5" ht="26.25" customHeight="1">
      <c r="A17" s="58"/>
      <c r="B17" s="24"/>
    </row>
    <row r="18" spans="1:5">
      <c r="B18" s="24"/>
    </row>
    <row r="19" spans="1:5">
      <c r="D19" s="59" t="s">
        <v>122</v>
      </c>
    </row>
    <row r="20" spans="1:5">
      <c r="B20" s="14" t="s">
        <v>20</v>
      </c>
      <c r="D20" s="540" t="s">
        <v>21</v>
      </c>
      <c r="E20" s="540"/>
    </row>
    <row r="21" spans="1:5">
      <c r="E21" s="157"/>
    </row>
    <row r="23" spans="1:5">
      <c r="E23" s="25"/>
    </row>
    <row r="26" spans="1:5">
      <c r="D26" s="31"/>
    </row>
  </sheetData>
  <mergeCells count="4">
    <mergeCell ref="A1:C1"/>
    <mergeCell ref="A2:C2"/>
    <mergeCell ref="A3:E3"/>
    <mergeCell ref="D20:E20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workbookViewId="0">
      <selection activeCell="L16" sqref="L15:L16"/>
    </sheetView>
  </sheetViews>
  <sheetFormatPr defaultColWidth="9.140625" defaultRowHeight="12.75"/>
  <cols>
    <col min="1" max="1" width="6.7109375" style="140" customWidth="1"/>
    <col min="2" max="2" width="13.7109375" style="288" customWidth="1"/>
    <col min="3" max="3" width="30.140625" style="285" customWidth="1"/>
    <col min="4" max="4" width="11.7109375" style="288" customWidth="1"/>
    <col min="5" max="5" width="32.85546875" style="72" bestFit="1" customWidth="1"/>
    <col min="6" max="6" width="12.5703125" style="298" bestFit="1" customWidth="1"/>
    <col min="7" max="7" width="15.140625" style="200" customWidth="1"/>
    <col min="8" max="8" width="12" style="200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545" t="s">
        <v>0</v>
      </c>
      <c r="B1" s="545"/>
      <c r="C1" s="545"/>
      <c r="D1" s="545"/>
      <c r="E1" s="545"/>
      <c r="F1" s="545"/>
    </row>
    <row r="2" spans="1:12" ht="18" customHeight="1">
      <c r="A2" s="546" t="s">
        <v>75</v>
      </c>
      <c r="B2" s="546"/>
      <c r="C2" s="546"/>
      <c r="D2" s="546"/>
      <c r="E2" s="546"/>
      <c r="F2" s="546"/>
    </row>
    <row r="3" spans="1:12" ht="26.25" customHeight="1">
      <c r="A3" s="541" t="s">
        <v>781</v>
      </c>
      <c r="B3" s="541"/>
      <c r="C3" s="541"/>
      <c r="D3" s="541"/>
      <c r="E3" s="541"/>
      <c r="F3" s="541"/>
      <c r="G3" s="541"/>
      <c r="H3" s="541"/>
    </row>
    <row r="4" spans="1:12" ht="18.75">
      <c r="F4" s="297"/>
    </row>
    <row r="5" spans="1:12" s="281" customFormat="1" ht="33">
      <c r="A5" s="279" t="s">
        <v>2</v>
      </c>
      <c r="B5" s="279" t="s">
        <v>103</v>
      </c>
      <c r="C5" s="279" t="s">
        <v>79</v>
      </c>
      <c r="D5" s="279" t="s">
        <v>80</v>
      </c>
      <c r="E5" s="279" t="s">
        <v>132</v>
      </c>
      <c r="F5" s="279" t="s">
        <v>81</v>
      </c>
      <c r="G5" s="280" t="s">
        <v>14</v>
      </c>
      <c r="H5" s="280" t="s">
        <v>118</v>
      </c>
    </row>
    <row r="6" spans="1:12" s="353" customFormat="1" ht="21.75" customHeight="1">
      <c r="A6" s="256">
        <v>1</v>
      </c>
      <c r="B6" s="401" t="s">
        <v>406</v>
      </c>
      <c r="C6" s="401" t="s">
        <v>437</v>
      </c>
      <c r="D6" s="401" t="s">
        <v>213</v>
      </c>
      <c r="E6" s="401" t="s">
        <v>131</v>
      </c>
      <c r="F6" s="560" t="s">
        <v>782</v>
      </c>
      <c r="G6" s="257">
        <v>1000000</v>
      </c>
      <c r="H6" s="352">
        <f t="shared" ref="H6" si="0">G6*0.9</f>
        <v>900000</v>
      </c>
    </row>
    <row r="7" spans="1:12" s="353" customFormat="1" ht="21.75" customHeight="1">
      <c r="A7" s="559">
        <v>2</v>
      </c>
      <c r="B7" s="401" t="s">
        <v>358</v>
      </c>
      <c r="C7" s="401" t="s">
        <v>502</v>
      </c>
      <c r="D7" s="401" t="s">
        <v>142</v>
      </c>
      <c r="E7" s="401" t="s">
        <v>131</v>
      </c>
      <c r="F7" s="560" t="s">
        <v>162</v>
      </c>
      <c r="G7" s="257">
        <v>1000000</v>
      </c>
      <c r="H7" s="352">
        <f t="shared" ref="H7:H8" si="1">G7*0.9</f>
        <v>900000</v>
      </c>
    </row>
    <row r="8" spans="1:12" s="353" customFormat="1" ht="21.75" customHeight="1">
      <c r="A8" s="559">
        <v>3</v>
      </c>
      <c r="B8" s="401" t="s">
        <v>382</v>
      </c>
      <c r="C8" s="401" t="s">
        <v>547</v>
      </c>
      <c r="D8" s="401" t="s">
        <v>192</v>
      </c>
      <c r="E8" s="401" t="s">
        <v>131</v>
      </c>
      <c r="F8" s="560" t="s">
        <v>783</v>
      </c>
      <c r="G8" s="257">
        <v>1000000</v>
      </c>
      <c r="H8" s="352">
        <f t="shared" si="1"/>
        <v>900000</v>
      </c>
    </row>
    <row r="9" spans="1:12" ht="15.75">
      <c r="A9" s="542" t="s">
        <v>28</v>
      </c>
      <c r="B9" s="543"/>
      <c r="C9" s="543"/>
      <c r="D9" s="543"/>
      <c r="E9" s="543"/>
      <c r="F9" s="544"/>
      <c r="G9" s="141">
        <f>SUM(G6:G8)</f>
        <v>3000000</v>
      </c>
      <c r="H9" s="141">
        <f>SUM(H6:H8)</f>
        <v>2700000</v>
      </c>
    </row>
    <row r="10" spans="1:12" ht="20.25" customHeight="1">
      <c r="F10" s="548" t="s">
        <v>770</v>
      </c>
      <c r="G10" s="548"/>
      <c r="H10" s="548"/>
      <c r="L10" s="78"/>
    </row>
    <row r="11" spans="1:12" ht="21.75" customHeight="1">
      <c r="A11" s="541" t="s">
        <v>20</v>
      </c>
      <c r="B11" s="541"/>
      <c r="C11" s="541"/>
      <c r="F11" s="549" t="s">
        <v>21</v>
      </c>
      <c r="G11" s="549"/>
      <c r="H11" s="549"/>
    </row>
    <row r="12" spans="1:12" ht="15" customHeight="1">
      <c r="C12" s="547"/>
      <c r="D12" s="547"/>
      <c r="E12" s="547"/>
      <c r="F12" s="547"/>
      <c r="G12" s="547"/>
      <c r="H12" s="232"/>
    </row>
    <row r="16" spans="1:12" ht="22.5" customHeight="1">
      <c r="A16" s="541" t="s">
        <v>109</v>
      </c>
      <c r="B16" s="541"/>
      <c r="C16" s="541"/>
      <c r="F16" s="549" t="s">
        <v>153</v>
      </c>
      <c r="G16" s="549"/>
      <c r="H16" s="549"/>
    </row>
  </sheetData>
  <sortState xmlns:xlrd2="http://schemas.microsoft.com/office/spreadsheetml/2017/richdata2" ref="A6:L6">
    <sortCondition ref="B6"/>
  </sortState>
  <mergeCells count="10">
    <mergeCell ref="A16:C16"/>
    <mergeCell ref="A9:F9"/>
    <mergeCell ref="A1:F1"/>
    <mergeCell ref="A2:F2"/>
    <mergeCell ref="C12:G12"/>
    <mergeCell ref="A3:H3"/>
    <mergeCell ref="A11:C11"/>
    <mergeCell ref="F10:H10"/>
    <mergeCell ref="F16:H16"/>
    <mergeCell ref="F11:H11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workbookViewId="0">
      <selection activeCell="I16" sqref="I16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01" t="s">
        <v>0</v>
      </c>
      <c r="B1" s="501"/>
      <c r="C1" s="501"/>
      <c r="D1" s="38"/>
      <c r="E1" s="38"/>
      <c r="F1" s="37"/>
    </row>
    <row r="2" spans="1:6" ht="16.5">
      <c r="A2" s="500" t="s">
        <v>75</v>
      </c>
      <c r="B2" s="500"/>
      <c r="C2" s="500"/>
      <c r="D2" s="38"/>
      <c r="E2" s="38"/>
      <c r="F2" s="37"/>
    </row>
    <row r="3" spans="1:6" ht="18.75">
      <c r="A3" s="491" t="s">
        <v>769</v>
      </c>
      <c r="B3" s="491"/>
      <c r="C3" s="491"/>
      <c r="D3" s="491"/>
      <c r="E3" s="491"/>
      <c r="F3" s="125"/>
    </row>
    <row r="4" spans="1:6" ht="15.75">
      <c r="A4" s="512" t="s">
        <v>92</v>
      </c>
      <c r="B4" s="512"/>
      <c r="C4" s="512"/>
      <c r="D4" s="512"/>
      <c r="E4" s="512"/>
      <c r="F4" s="512"/>
    </row>
    <row r="5" spans="1:6" ht="18.75">
      <c r="A5" s="37"/>
      <c r="B5" s="39"/>
      <c r="C5" s="40"/>
      <c r="D5" s="40"/>
      <c r="E5" s="38"/>
      <c r="F5" s="37"/>
    </row>
    <row r="6" spans="1:6" ht="16.5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47"/>
    </row>
    <row r="7" spans="1:6" ht="16.5">
      <c r="A7" s="110">
        <v>1</v>
      </c>
      <c r="B7" s="106" t="s">
        <v>18</v>
      </c>
      <c r="C7" s="107" t="s">
        <v>26</v>
      </c>
      <c r="D7" s="188">
        <v>103006610215</v>
      </c>
      <c r="E7" s="70">
        <v>900000</v>
      </c>
      <c r="F7" s="37"/>
    </row>
    <row r="8" spans="1:6" ht="16.5">
      <c r="A8" s="110">
        <v>2</v>
      </c>
      <c r="B8" s="106" t="s">
        <v>17</v>
      </c>
      <c r="C8" s="107" t="s">
        <v>26</v>
      </c>
      <c r="D8" s="188">
        <v>105001159195</v>
      </c>
      <c r="E8" s="70">
        <v>900000</v>
      </c>
      <c r="F8" s="41"/>
    </row>
    <row r="9" spans="1:6" ht="16.5" hidden="1">
      <c r="A9" s="110">
        <v>3</v>
      </c>
      <c r="B9" s="106" t="s">
        <v>72</v>
      </c>
      <c r="C9" s="107" t="s">
        <v>66</v>
      </c>
      <c r="D9" s="188">
        <v>105001225232</v>
      </c>
      <c r="E9" s="70">
        <v>0</v>
      </c>
      <c r="F9" s="41"/>
    </row>
    <row r="10" spans="1:6" ht="16.5" hidden="1">
      <c r="A10" s="110">
        <v>2.8333333333333299</v>
      </c>
      <c r="B10" s="106" t="s">
        <v>111</v>
      </c>
      <c r="C10" s="107" t="s">
        <v>66</v>
      </c>
      <c r="D10" s="188">
        <v>107868829237</v>
      </c>
      <c r="E10" s="70" t="s">
        <v>56</v>
      </c>
      <c r="F10" s="41"/>
    </row>
    <row r="11" spans="1:6" ht="16.5">
      <c r="A11" s="110">
        <v>3</v>
      </c>
      <c r="B11" s="340" t="s">
        <v>74</v>
      </c>
      <c r="C11" s="107" t="s">
        <v>66</v>
      </c>
      <c r="D11" s="188">
        <v>105867664283</v>
      </c>
      <c r="E11" s="70">
        <v>900000</v>
      </c>
      <c r="F11" s="41"/>
    </row>
    <row r="12" spans="1:6" ht="16.5" hidden="1">
      <c r="A12" s="110">
        <v>4</v>
      </c>
      <c r="B12" s="106" t="s">
        <v>84</v>
      </c>
      <c r="C12" s="230" t="s">
        <v>26</v>
      </c>
      <c r="D12" s="278" t="s">
        <v>121</v>
      </c>
      <c r="E12" s="70" t="s">
        <v>56</v>
      </c>
      <c r="F12" s="41"/>
    </row>
    <row r="13" spans="1:6" ht="16.5" hidden="1">
      <c r="A13" s="110">
        <v>5</v>
      </c>
      <c r="B13" s="340" t="s">
        <v>94</v>
      </c>
      <c r="C13" s="230" t="s">
        <v>26</v>
      </c>
      <c r="D13" s="205">
        <v>103006610215</v>
      </c>
      <c r="E13" s="70">
        <v>0</v>
      </c>
      <c r="F13" s="41"/>
    </row>
    <row r="14" spans="1:6" ht="16.5">
      <c r="A14" s="106"/>
      <c r="B14" s="116" t="s">
        <v>28</v>
      </c>
      <c r="C14" s="117"/>
      <c r="D14" s="117"/>
      <c r="E14" s="86">
        <f>SUM(E7:E13)</f>
        <v>2700000</v>
      </c>
      <c r="F14" s="49"/>
    </row>
    <row r="15" spans="1:6" ht="16.5">
      <c r="A15" s="1"/>
      <c r="B15" s="105"/>
      <c r="C15" s="38"/>
      <c r="D15" s="38"/>
      <c r="E15" s="38"/>
      <c r="F15" s="37"/>
    </row>
    <row r="16" spans="1:6" ht="15.75">
      <c r="A16" s="37"/>
      <c r="B16" s="37"/>
      <c r="C16" s="38"/>
      <c r="D16" s="502" t="s">
        <v>770</v>
      </c>
      <c r="E16" s="502"/>
      <c r="F16" s="502"/>
    </row>
    <row r="17" spans="1:6" ht="18.75">
      <c r="A17" s="491" t="s">
        <v>20</v>
      </c>
      <c r="B17" s="491"/>
      <c r="C17" s="40"/>
      <c r="D17" s="513" t="s">
        <v>21</v>
      </c>
      <c r="E17" s="513"/>
      <c r="F17" s="513"/>
    </row>
    <row r="18" spans="1:6" ht="18.75">
      <c r="A18" s="39"/>
      <c r="B18" s="39"/>
      <c r="C18" s="40"/>
      <c r="D18" s="40"/>
      <c r="E18" s="40"/>
      <c r="F18" s="39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491" t="s">
        <v>96</v>
      </c>
      <c r="B21" s="491"/>
      <c r="C21" s="40"/>
      <c r="D21" s="513" t="s">
        <v>108</v>
      </c>
      <c r="E21" s="513"/>
      <c r="F21" s="513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1"/>
  <sheetViews>
    <sheetView topLeftCell="A22" zoomScaleNormal="100" workbookViewId="0">
      <selection activeCell="P35" sqref="P35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62" customWidth="1"/>
    <col min="6" max="6" width="12.85546875" style="291" customWidth="1"/>
    <col min="7" max="7" width="12.5703125" style="165" customWidth="1"/>
    <col min="8" max="8" width="12.5703125" style="72" customWidth="1"/>
    <col min="9" max="16384" width="9.140625" style="72"/>
  </cols>
  <sheetData>
    <row r="1" spans="1:8" ht="16.5">
      <c r="A1" s="550" t="s">
        <v>0</v>
      </c>
      <c r="B1" s="550"/>
      <c r="C1" s="550"/>
      <c r="D1" s="186"/>
    </row>
    <row r="2" spans="1:8" ht="18" customHeight="1">
      <c r="A2" s="551" t="s">
        <v>75</v>
      </c>
      <c r="B2" s="551"/>
      <c r="C2" s="551"/>
      <c r="D2" s="187"/>
    </row>
    <row r="3" spans="1:8" s="172" customFormat="1" ht="26.25" customHeight="1">
      <c r="A3" s="554" t="s">
        <v>769</v>
      </c>
      <c r="B3" s="554"/>
      <c r="C3" s="554"/>
      <c r="D3" s="554"/>
      <c r="E3" s="554"/>
      <c r="F3" s="554"/>
      <c r="G3" s="554"/>
      <c r="H3" s="554"/>
    </row>
    <row r="4" spans="1:8" ht="20.25" customHeight="1">
      <c r="A4" s="549" t="s">
        <v>67</v>
      </c>
      <c r="B4" s="549"/>
      <c r="C4" s="549"/>
      <c r="D4" s="549"/>
      <c r="E4" s="549"/>
      <c r="F4" s="549"/>
      <c r="G4" s="549"/>
      <c r="H4" s="549"/>
    </row>
    <row r="5" spans="1:8" ht="5.25" customHeight="1">
      <c r="B5" s="74"/>
      <c r="C5" s="75"/>
      <c r="D5" s="75"/>
      <c r="H5" s="73"/>
    </row>
    <row r="6" spans="1:8" s="172" customFormat="1" ht="20.25" customHeight="1">
      <c r="A6" s="102" t="s">
        <v>2</v>
      </c>
      <c r="B6" s="102" t="s">
        <v>13</v>
      </c>
      <c r="C6" s="123" t="s">
        <v>85</v>
      </c>
      <c r="D6" s="123" t="s">
        <v>114</v>
      </c>
      <c r="E6" s="163" t="s">
        <v>14</v>
      </c>
      <c r="F6" s="290" t="s">
        <v>90</v>
      </c>
      <c r="G6" s="163" t="s">
        <v>51</v>
      </c>
      <c r="H6" s="123" t="s">
        <v>15</v>
      </c>
    </row>
    <row r="7" spans="1:8" s="172" customFormat="1" ht="20.25" customHeight="1">
      <c r="A7" s="111">
        <v>1</v>
      </c>
      <c r="B7" s="206" t="s">
        <v>23</v>
      </c>
      <c r="C7" s="207" t="s">
        <v>26</v>
      </c>
      <c r="D7" s="205">
        <v>102006610216</v>
      </c>
      <c r="E7" s="208">
        <f>'lanh tien tphau'!D7+'lanh tien PT'!D7</f>
        <v>6776555</v>
      </c>
      <c r="F7" s="209">
        <f>E7-G7</f>
        <v>677655.5</v>
      </c>
      <c r="G7" s="166">
        <f>E7*0.9</f>
        <v>6098899.5</v>
      </c>
      <c r="H7" s="206"/>
    </row>
    <row r="8" spans="1:8" s="172" customFormat="1" ht="20.25" customHeight="1">
      <c r="A8" s="111">
        <v>2</v>
      </c>
      <c r="B8" s="206" t="s">
        <v>18</v>
      </c>
      <c r="C8" s="207" t="s">
        <v>26</v>
      </c>
      <c r="D8" s="205">
        <v>103006610215</v>
      </c>
      <c r="E8" s="208">
        <f>'lanh tien PT'!D8+'Lãnh tiền PTYC'!E7</f>
        <v>1305432.5</v>
      </c>
      <c r="F8" s="209">
        <f t="shared" ref="F8:F33" si="0">E8-G8</f>
        <v>130543.25</v>
      </c>
      <c r="G8" s="166">
        <f>E8*0.9</f>
        <v>1174889.25</v>
      </c>
      <c r="H8" s="206"/>
    </row>
    <row r="9" spans="1:8" s="172" customFormat="1" ht="20.25" customHeight="1">
      <c r="A9" s="111">
        <v>3</v>
      </c>
      <c r="B9" s="206" t="s">
        <v>17</v>
      </c>
      <c r="C9" s="207" t="s">
        <v>26</v>
      </c>
      <c r="D9" s="205">
        <v>100006610218</v>
      </c>
      <c r="E9" s="208">
        <f>'lanh tien tphau'!D9+'lanh tien PT'!D9+'Bác sĩ điều trị'!D9+'Lãnh tiền PTYC'!E8</f>
        <v>14547404.5</v>
      </c>
      <c r="F9" s="209">
        <f t="shared" si="0"/>
        <v>0</v>
      </c>
      <c r="G9" s="166">
        <f>E9</f>
        <v>14547404.5</v>
      </c>
      <c r="H9" s="206"/>
    </row>
    <row r="10" spans="1:8" s="172" customFormat="1" ht="20.25" customHeight="1">
      <c r="A10" s="111">
        <v>4</v>
      </c>
      <c r="B10" s="206" t="s">
        <v>19</v>
      </c>
      <c r="C10" s="207" t="s">
        <v>26</v>
      </c>
      <c r="D10" s="205">
        <v>100006610162</v>
      </c>
      <c r="E10" s="208">
        <f>'lanh tien tphau'!D10</f>
        <v>3537200</v>
      </c>
      <c r="F10" s="209">
        <f t="shared" si="0"/>
        <v>353720</v>
      </c>
      <c r="G10" s="166">
        <f>E10*0.9</f>
        <v>3183480</v>
      </c>
      <c r="H10" s="111"/>
    </row>
    <row r="11" spans="1:8" s="172" customFormat="1" ht="20.25" customHeight="1">
      <c r="A11" s="111">
        <v>5</v>
      </c>
      <c r="B11" s="206" t="s">
        <v>74</v>
      </c>
      <c r="C11" s="207" t="s">
        <v>66</v>
      </c>
      <c r="D11" s="205">
        <v>105001159195</v>
      </c>
      <c r="E11" s="208">
        <f>'lanh tien tphau'!D11+'lanh tien PT'!D10+'Lãnh tiền PTYC'!E11</f>
        <v>8182518.25</v>
      </c>
      <c r="F11" s="209">
        <f t="shared" si="0"/>
        <v>0</v>
      </c>
      <c r="G11" s="166">
        <f>E11</f>
        <v>8182518.25</v>
      </c>
      <c r="H11" s="206"/>
    </row>
    <row r="12" spans="1:8" s="172" customFormat="1" ht="20.25" customHeight="1">
      <c r="A12" s="111">
        <v>6</v>
      </c>
      <c r="B12" s="206" t="s">
        <v>72</v>
      </c>
      <c r="C12" s="207" t="s">
        <v>66</v>
      </c>
      <c r="D12" s="205">
        <v>105001225232</v>
      </c>
      <c r="E12" s="208">
        <f>'lanh tien PT'!D11+'Bác sĩ điều trị'!D13</f>
        <v>6988549.5</v>
      </c>
      <c r="F12" s="209">
        <f t="shared" si="0"/>
        <v>698854.95000000019</v>
      </c>
      <c r="G12" s="166">
        <f>E12*0.9</f>
        <v>6289694.5499999998</v>
      </c>
      <c r="H12" s="330"/>
    </row>
    <row r="13" spans="1:8" s="172" customFormat="1" ht="20.25" customHeight="1">
      <c r="A13" s="111">
        <v>7</v>
      </c>
      <c r="B13" s="206" t="s">
        <v>111</v>
      </c>
      <c r="C13" s="207" t="s">
        <v>66</v>
      </c>
      <c r="D13" s="205">
        <v>107868829237</v>
      </c>
      <c r="E13" s="208">
        <f>'lanh tien tphau'!D13+'lanh tien PT'!D12</f>
        <v>5830624.5</v>
      </c>
      <c r="F13" s="209">
        <f t="shared" si="0"/>
        <v>0</v>
      </c>
      <c r="G13" s="166">
        <f t="shared" ref="G13:G34" si="1">E13</f>
        <v>5830624.5</v>
      </c>
      <c r="H13" s="330"/>
    </row>
    <row r="14" spans="1:8" s="172" customFormat="1" ht="15.75">
      <c r="A14" s="111">
        <v>8</v>
      </c>
      <c r="B14" s="206" t="s">
        <v>84</v>
      </c>
      <c r="C14" s="207" t="s">
        <v>66</v>
      </c>
      <c r="D14" s="278" t="s">
        <v>121</v>
      </c>
      <c r="E14" s="208">
        <f>'lanh tien tphau'!D12+'lanh tien PT'!D13</f>
        <v>5420745.75</v>
      </c>
      <c r="F14" s="209">
        <f t="shared" si="0"/>
        <v>0</v>
      </c>
      <c r="G14" s="166">
        <f t="shared" si="1"/>
        <v>5420745.75</v>
      </c>
      <c r="H14" s="330"/>
    </row>
    <row r="15" spans="1:8" s="172" customFormat="1" ht="15.75">
      <c r="A15" s="111">
        <v>9</v>
      </c>
      <c r="B15" s="206" t="s">
        <v>123</v>
      </c>
      <c r="C15" s="207" t="s">
        <v>66</v>
      </c>
      <c r="D15" s="278" t="s">
        <v>126</v>
      </c>
      <c r="E15" s="208">
        <f>'lanh tien PT'!D14</f>
        <v>1652944</v>
      </c>
      <c r="F15" s="209">
        <f t="shared" si="0"/>
        <v>0</v>
      </c>
      <c r="G15" s="166">
        <f t="shared" si="1"/>
        <v>1652944</v>
      </c>
      <c r="H15" s="330"/>
    </row>
    <row r="16" spans="1:8" s="172" customFormat="1" ht="15.75">
      <c r="A16" s="111">
        <v>10</v>
      </c>
      <c r="B16" s="210" t="s">
        <v>39</v>
      </c>
      <c r="C16" s="329" t="s">
        <v>26</v>
      </c>
      <c r="D16" s="437"/>
      <c r="E16" s="208">
        <f>'lanh tien PT'!D15</f>
        <v>1483845</v>
      </c>
      <c r="F16" s="209">
        <f t="shared" ref="F16:F18" si="2">E16-G16</f>
        <v>148384.5</v>
      </c>
      <c r="G16" s="166">
        <f t="shared" ref="G16:G18" si="3">E16*0.9</f>
        <v>1335460.5</v>
      </c>
      <c r="H16" s="439"/>
    </row>
    <row r="17" spans="1:9" s="172" customFormat="1" ht="20.25" customHeight="1">
      <c r="A17" s="111">
        <v>11</v>
      </c>
      <c r="B17" s="210" t="s">
        <v>321</v>
      </c>
      <c r="C17" s="329" t="s">
        <v>26</v>
      </c>
      <c r="D17" s="437">
        <v>109871759605</v>
      </c>
      <c r="E17" s="208">
        <f>'Bác sĩ điều trị'!D19</f>
        <v>1500000</v>
      </c>
      <c r="F17" s="209">
        <f t="shared" si="2"/>
        <v>150000</v>
      </c>
      <c r="G17" s="166">
        <f t="shared" si="3"/>
        <v>1350000</v>
      </c>
      <c r="H17" s="439"/>
    </row>
    <row r="18" spans="1:9" s="172" customFormat="1" ht="20.25" customHeight="1">
      <c r="A18" s="111">
        <v>12</v>
      </c>
      <c r="B18" s="210" t="s">
        <v>322</v>
      </c>
      <c r="C18" s="329" t="s">
        <v>26</v>
      </c>
      <c r="D18" s="437">
        <v>109867708726</v>
      </c>
      <c r="E18" s="208">
        <f>'Bác sĩ điều trị'!D20</f>
        <v>1500000</v>
      </c>
      <c r="F18" s="209">
        <f t="shared" si="2"/>
        <v>150000</v>
      </c>
      <c r="G18" s="166">
        <f t="shared" si="3"/>
        <v>1350000</v>
      </c>
      <c r="H18" s="439"/>
    </row>
    <row r="19" spans="1:9" s="172" customFormat="1" ht="20.25" customHeight="1">
      <c r="A19" s="111">
        <v>13</v>
      </c>
      <c r="B19" s="106" t="s">
        <v>260</v>
      </c>
      <c r="C19" s="230" t="s">
        <v>60</v>
      </c>
      <c r="D19" s="435">
        <v>105883051352</v>
      </c>
      <c r="E19" s="208">
        <f>'lanh tien PT'!D16+'lanh tien PT_BHYT'!E16</f>
        <v>1783381</v>
      </c>
      <c r="F19" s="209">
        <f t="shared" si="0"/>
        <v>0</v>
      </c>
      <c r="G19" s="166">
        <f>E19</f>
        <v>1783381</v>
      </c>
      <c r="H19" s="555" t="s">
        <v>264</v>
      </c>
    </row>
    <row r="20" spans="1:9" s="172" customFormat="1" ht="20.25" customHeight="1">
      <c r="A20" s="111">
        <v>14</v>
      </c>
      <c r="B20" s="106" t="s">
        <v>261</v>
      </c>
      <c r="C20" s="230" t="s">
        <v>60</v>
      </c>
      <c r="D20" s="436"/>
      <c r="E20" s="208">
        <f>'lanh tien PT'!D17+'lanh tien PT_BHYT'!E17</f>
        <v>1063480</v>
      </c>
      <c r="F20" s="209">
        <f t="shared" si="0"/>
        <v>0</v>
      </c>
      <c r="G20" s="166">
        <f t="shared" ref="G20:G22" si="4">E20</f>
        <v>1063480</v>
      </c>
      <c r="H20" s="556"/>
      <c r="I20" s="451"/>
    </row>
    <row r="21" spans="1:9" s="172" customFormat="1" ht="20.25" customHeight="1">
      <c r="A21" s="111">
        <v>15</v>
      </c>
      <c r="B21" s="106" t="s">
        <v>262</v>
      </c>
      <c r="C21" s="230" t="s">
        <v>60</v>
      </c>
      <c r="D21" s="436"/>
      <c r="E21" s="208">
        <f>'lanh tien PT'!D18+'lanh tien PT_BHYT'!E18</f>
        <v>1534109</v>
      </c>
      <c r="F21" s="209">
        <f t="shared" si="0"/>
        <v>0</v>
      </c>
      <c r="G21" s="166">
        <f t="shared" si="4"/>
        <v>1534109</v>
      </c>
      <c r="H21" s="556"/>
    </row>
    <row r="22" spans="1:9" s="172" customFormat="1" ht="20.25" customHeight="1">
      <c r="A22" s="111">
        <v>16</v>
      </c>
      <c r="B22" s="106" t="s">
        <v>263</v>
      </c>
      <c r="C22" s="230" t="s">
        <v>60</v>
      </c>
      <c r="D22" s="436"/>
      <c r="E22" s="208">
        <f>'lanh tien PT'!D19+'lanh tien PT_BHYT'!E19</f>
        <v>1520360</v>
      </c>
      <c r="F22" s="209">
        <f t="shared" si="0"/>
        <v>0</v>
      </c>
      <c r="G22" s="166">
        <f t="shared" si="4"/>
        <v>1520360</v>
      </c>
      <c r="H22" s="557"/>
    </row>
    <row r="23" spans="1:9" s="172" customFormat="1" ht="29.45" customHeight="1">
      <c r="A23" s="111">
        <v>17</v>
      </c>
      <c r="B23" s="106" t="s">
        <v>154</v>
      </c>
      <c r="C23" s="230" t="s">
        <v>60</v>
      </c>
      <c r="D23" s="354">
        <v>105880975165</v>
      </c>
      <c r="E23" s="208">
        <f>'lanh tien PT'!D20</f>
        <v>173182</v>
      </c>
      <c r="F23" s="209">
        <f t="shared" si="0"/>
        <v>0</v>
      </c>
      <c r="G23" s="166">
        <f t="shared" si="1"/>
        <v>173182</v>
      </c>
      <c r="H23" s="351"/>
    </row>
    <row r="24" spans="1:9" s="172" customFormat="1" ht="20.25" customHeight="1">
      <c r="A24" s="111">
        <v>18</v>
      </c>
      <c r="B24" s="106" t="s">
        <v>155</v>
      </c>
      <c r="C24" s="230" t="s">
        <v>60</v>
      </c>
      <c r="D24" s="354">
        <v>102879258199</v>
      </c>
      <c r="E24" s="208">
        <f>'lanh tien PT'!D21</f>
        <v>495721</v>
      </c>
      <c r="F24" s="209">
        <f t="shared" si="0"/>
        <v>0</v>
      </c>
      <c r="G24" s="166">
        <f t="shared" si="1"/>
        <v>495721</v>
      </c>
      <c r="H24" s="351"/>
    </row>
    <row r="25" spans="1:9" s="172" customFormat="1" ht="20.25" customHeight="1">
      <c r="A25" s="111">
        <v>19</v>
      </c>
      <c r="B25" s="106" t="s">
        <v>156</v>
      </c>
      <c r="C25" s="230" t="s">
        <v>60</v>
      </c>
      <c r="D25" s="355" t="s">
        <v>160</v>
      </c>
      <c r="E25" s="208">
        <f>'lanh tien PT'!D22</f>
        <v>1189077</v>
      </c>
      <c r="F25" s="209">
        <f t="shared" si="0"/>
        <v>0</v>
      </c>
      <c r="G25" s="166">
        <f t="shared" si="1"/>
        <v>1189077</v>
      </c>
      <c r="H25" s="351"/>
    </row>
    <row r="26" spans="1:9" s="172" customFormat="1" ht="20.25" customHeight="1">
      <c r="A26" s="111">
        <v>20</v>
      </c>
      <c r="B26" s="106" t="s">
        <v>157</v>
      </c>
      <c r="C26" s="230" t="s">
        <v>60</v>
      </c>
      <c r="D26" s="354">
        <v>109881014321</v>
      </c>
      <c r="E26" s="208">
        <f>'lanh tien PT'!D23</f>
        <v>929210</v>
      </c>
      <c r="F26" s="209">
        <f t="shared" si="0"/>
        <v>0</v>
      </c>
      <c r="G26" s="166">
        <f t="shared" si="1"/>
        <v>929210</v>
      </c>
      <c r="H26" s="351"/>
    </row>
    <row r="27" spans="1:9" s="172" customFormat="1" ht="20.25" customHeight="1">
      <c r="A27" s="111">
        <v>21</v>
      </c>
      <c r="B27" s="106" t="s">
        <v>158</v>
      </c>
      <c r="C27" s="230" t="s">
        <v>60</v>
      </c>
      <c r="D27" s="354">
        <v>102880994246</v>
      </c>
      <c r="E27" s="208">
        <f>'lanh tien PT'!D24</f>
        <v>678160</v>
      </c>
      <c r="F27" s="209">
        <f t="shared" si="0"/>
        <v>0</v>
      </c>
      <c r="G27" s="166">
        <f t="shared" si="1"/>
        <v>678160</v>
      </c>
      <c r="H27" s="351"/>
    </row>
    <row r="28" spans="1:9" s="172" customFormat="1" ht="20.25" customHeight="1">
      <c r="A28" s="111">
        <v>22</v>
      </c>
      <c r="B28" s="106" t="s">
        <v>159</v>
      </c>
      <c r="C28" s="230" t="s">
        <v>60</v>
      </c>
      <c r="D28" s="356" t="s">
        <v>161</v>
      </c>
      <c r="E28" s="208">
        <f>'lanh tien PT'!D25</f>
        <v>545980</v>
      </c>
      <c r="F28" s="209">
        <f t="shared" si="0"/>
        <v>0</v>
      </c>
      <c r="G28" s="166">
        <f t="shared" si="1"/>
        <v>545980</v>
      </c>
      <c r="H28" s="351"/>
    </row>
    <row r="29" spans="1:9" s="172" customFormat="1" ht="20.25" customHeight="1">
      <c r="A29" s="111">
        <v>23</v>
      </c>
      <c r="B29" s="106" t="s">
        <v>771</v>
      </c>
      <c r="C29" s="230" t="s">
        <v>60</v>
      </c>
      <c r="D29" s="356" t="s">
        <v>776</v>
      </c>
      <c r="E29" s="208">
        <f>'lanh tien PT'!D26</f>
        <v>242797</v>
      </c>
      <c r="F29" s="209">
        <f t="shared" si="0"/>
        <v>0</v>
      </c>
      <c r="G29" s="166">
        <f t="shared" si="1"/>
        <v>242797</v>
      </c>
      <c r="H29" s="351"/>
    </row>
    <row r="30" spans="1:9" s="172" customFormat="1" ht="20.25" customHeight="1">
      <c r="A30" s="111">
        <v>24</v>
      </c>
      <c r="B30" s="106" t="s">
        <v>772</v>
      </c>
      <c r="C30" s="230" t="s">
        <v>60</v>
      </c>
      <c r="D30" s="558">
        <v>109881609351</v>
      </c>
      <c r="E30" s="208">
        <f>'lanh tien PT'!D27</f>
        <v>315393</v>
      </c>
      <c r="F30" s="209">
        <f t="shared" si="0"/>
        <v>0</v>
      </c>
      <c r="G30" s="166">
        <f t="shared" si="1"/>
        <v>315393</v>
      </c>
      <c r="H30" s="351"/>
    </row>
    <row r="31" spans="1:9" s="172" customFormat="1" ht="20.25" customHeight="1">
      <c r="A31" s="111">
        <v>25</v>
      </c>
      <c r="B31" s="106" t="s">
        <v>773</v>
      </c>
      <c r="C31" s="230" t="s">
        <v>60</v>
      </c>
      <c r="D31" s="356" t="s">
        <v>777</v>
      </c>
      <c r="E31" s="208">
        <f>'lanh tien PT'!D28</f>
        <v>468412</v>
      </c>
      <c r="F31" s="209">
        <f t="shared" si="0"/>
        <v>0</v>
      </c>
      <c r="G31" s="166">
        <f t="shared" si="1"/>
        <v>468412</v>
      </c>
      <c r="H31" s="351"/>
    </row>
    <row r="32" spans="1:9" s="172" customFormat="1" ht="20.25" customHeight="1">
      <c r="A32" s="111">
        <v>26</v>
      </c>
      <c r="B32" s="106" t="s">
        <v>774</v>
      </c>
      <c r="C32" s="230" t="s">
        <v>60</v>
      </c>
      <c r="D32" s="356"/>
      <c r="E32" s="208">
        <f>'lanh tien PT'!D29+'lanh tien PT_BHYT'!E29</f>
        <v>643929</v>
      </c>
      <c r="F32" s="209">
        <f t="shared" si="0"/>
        <v>0</v>
      </c>
      <c r="G32" s="166">
        <f t="shared" si="1"/>
        <v>643929</v>
      </c>
      <c r="H32" s="351"/>
    </row>
    <row r="33" spans="1:8" s="172" customFormat="1" ht="20.25" customHeight="1">
      <c r="A33" s="111">
        <v>27</v>
      </c>
      <c r="B33" s="106" t="s">
        <v>775</v>
      </c>
      <c r="C33" s="230" t="s">
        <v>60</v>
      </c>
      <c r="D33" s="356" t="s">
        <v>779</v>
      </c>
      <c r="E33" s="208">
        <f>'lanh tien PT'!D30</f>
        <v>378420</v>
      </c>
      <c r="F33" s="209">
        <f t="shared" si="0"/>
        <v>0</v>
      </c>
      <c r="G33" s="166">
        <f t="shared" si="1"/>
        <v>378420</v>
      </c>
      <c r="H33" s="351"/>
    </row>
    <row r="34" spans="1:8" s="172" customFormat="1" ht="20.25" customHeight="1">
      <c r="A34" s="111">
        <v>28</v>
      </c>
      <c r="B34" s="206" t="s">
        <v>45</v>
      </c>
      <c r="C34" s="207" t="s">
        <v>27</v>
      </c>
      <c r="D34" s="205">
        <v>106006773860</v>
      </c>
      <c r="E34" s="208">
        <f>'lanh tien PT1'!D20</f>
        <v>3196228.7368421052</v>
      </c>
      <c r="F34" s="209" t="s">
        <v>56</v>
      </c>
      <c r="G34" s="166">
        <f t="shared" si="1"/>
        <v>3196228.7368421052</v>
      </c>
      <c r="H34" s="206"/>
    </row>
    <row r="35" spans="1:8" s="172" customFormat="1" ht="20.25" customHeight="1">
      <c r="A35" s="111">
        <v>29</v>
      </c>
      <c r="B35" s="206" t="s">
        <v>65</v>
      </c>
      <c r="C35" s="207" t="s">
        <v>27</v>
      </c>
      <c r="D35" s="205">
        <v>105866700129</v>
      </c>
      <c r="E35" s="208">
        <f>'lanh tien PT1'!D21</f>
        <v>3196228.7368421052</v>
      </c>
      <c r="F35" s="209" t="s">
        <v>56</v>
      </c>
      <c r="G35" s="166">
        <f t="shared" ref="G35:G43" si="5">E35</f>
        <v>3196228.7368421052</v>
      </c>
      <c r="H35" s="206"/>
    </row>
    <row r="36" spans="1:8" s="172" customFormat="1" ht="20.25" customHeight="1">
      <c r="A36" s="111">
        <v>30</v>
      </c>
      <c r="B36" s="206" t="s">
        <v>82</v>
      </c>
      <c r="C36" s="207" t="s">
        <v>27</v>
      </c>
      <c r="D36" s="205" t="s">
        <v>115</v>
      </c>
      <c r="E36" s="208">
        <f>'lanh tien PT1'!D23</f>
        <v>3196228.7368421052</v>
      </c>
      <c r="F36" s="209" t="s">
        <v>56</v>
      </c>
      <c r="G36" s="166">
        <f t="shared" ref="G36:G42" si="6">E36</f>
        <v>3196228.7368421052</v>
      </c>
      <c r="H36" s="206"/>
    </row>
    <row r="37" spans="1:8" s="172" customFormat="1" ht="20.25" customHeight="1">
      <c r="A37" s="111">
        <v>31</v>
      </c>
      <c r="B37" s="206" t="s">
        <v>46</v>
      </c>
      <c r="C37" s="207" t="s">
        <v>27</v>
      </c>
      <c r="D37" s="205">
        <v>106002699376</v>
      </c>
      <c r="E37" s="208">
        <f>'lanh tien PT1'!D24+'Bác sĩ điều trị'!D18</f>
        <v>6196228.7368421052</v>
      </c>
      <c r="F37" s="209" t="s">
        <v>56</v>
      </c>
      <c r="G37" s="166">
        <f t="shared" si="6"/>
        <v>6196228.7368421052</v>
      </c>
      <c r="H37" s="206"/>
    </row>
    <row r="38" spans="1:8" s="172" customFormat="1" ht="20.25" customHeight="1">
      <c r="A38" s="111">
        <v>32</v>
      </c>
      <c r="B38" s="206" t="s">
        <v>70</v>
      </c>
      <c r="C38" s="207" t="s">
        <v>27</v>
      </c>
      <c r="D38" s="205" t="s">
        <v>116</v>
      </c>
      <c r="E38" s="208">
        <f>'lanh tien PT1'!D22</f>
        <v>3196228.7368421052</v>
      </c>
      <c r="F38" s="209" t="s">
        <v>56</v>
      </c>
      <c r="G38" s="166">
        <f t="shared" si="6"/>
        <v>3196228.7368421052</v>
      </c>
      <c r="H38" s="206"/>
    </row>
    <row r="39" spans="1:8" s="172" customFormat="1" ht="20.25" customHeight="1">
      <c r="A39" s="111">
        <v>33</v>
      </c>
      <c r="B39" s="206" t="s">
        <v>112</v>
      </c>
      <c r="C39" s="207" t="s">
        <v>27</v>
      </c>
      <c r="D39" s="205">
        <v>102877256973</v>
      </c>
      <c r="E39" s="208">
        <f>'lanh tien PT1'!D25</f>
        <v>3196228.7368421052</v>
      </c>
      <c r="F39" s="209" t="s">
        <v>56</v>
      </c>
      <c r="G39" s="166">
        <f t="shared" si="6"/>
        <v>3196228.7368421052</v>
      </c>
      <c r="H39" s="206"/>
    </row>
    <row r="40" spans="1:8" s="172" customFormat="1" ht="20.25" customHeight="1">
      <c r="A40" s="111">
        <v>34</v>
      </c>
      <c r="B40" s="206" t="s">
        <v>73</v>
      </c>
      <c r="C40" s="207" t="s">
        <v>27</v>
      </c>
      <c r="D40" s="205">
        <v>109869939394</v>
      </c>
      <c r="E40" s="208">
        <f>'lanh tien PT1'!D27</f>
        <v>3196228.7368421052</v>
      </c>
      <c r="F40" s="209" t="s">
        <v>56</v>
      </c>
      <c r="G40" s="166">
        <f t="shared" si="6"/>
        <v>3196228.7368421052</v>
      </c>
      <c r="H40" s="206"/>
    </row>
    <row r="41" spans="1:8" s="172" customFormat="1" ht="20.25" customHeight="1">
      <c r="A41" s="111">
        <v>35</v>
      </c>
      <c r="B41" s="327" t="s">
        <v>143</v>
      </c>
      <c r="C41" s="207" t="s">
        <v>27</v>
      </c>
      <c r="D41" s="328" t="s">
        <v>145</v>
      </c>
      <c r="E41" s="208">
        <f>'lanh tien PT1'!D28</f>
        <v>3196228.7368421052</v>
      </c>
      <c r="F41" s="209" t="s">
        <v>56</v>
      </c>
      <c r="G41" s="166">
        <f t="shared" si="6"/>
        <v>3196228.7368421052</v>
      </c>
      <c r="H41" s="206"/>
    </row>
    <row r="42" spans="1:8" s="172" customFormat="1" ht="20.25" customHeight="1">
      <c r="A42" s="111">
        <v>36</v>
      </c>
      <c r="B42" s="327" t="s">
        <v>144</v>
      </c>
      <c r="C42" s="207" t="s">
        <v>27</v>
      </c>
      <c r="D42" s="328" t="s">
        <v>146</v>
      </c>
      <c r="E42" s="208">
        <f>'lanh tien PT1'!D29</f>
        <v>3196228.7368421052</v>
      </c>
      <c r="F42" s="209" t="s">
        <v>56</v>
      </c>
      <c r="G42" s="166">
        <f t="shared" si="6"/>
        <v>3196228.7368421052</v>
      </c>
      <c r="H42" s="206"/>
    </row>
    <row r="43" spans="1:8" s="172" customFormat="1" ht="20.25" customHeight="1">
      <c r="A43" s="111">
        <v>37</v>
      </c>
      <c r="B43" s="206" t="s">
        <v>55</v>
      </c>
      <c r="C43" s="207" t="s">
        <v>91</v>
      </c>
      <c r="D43" s="205">
        <v>108002699374</v>
      </c>
      <c r="E43" s="208">
        <f>'lanh tien PT1'!D30</f>
        <v>1598118.3684210526</v>
      </c>
      <c r="F43" s="209" t="s">
        <v>56</v>
      </c>
      <c r="G43" s="166">
        <f t="shared" si="5"/>
        <v>1598118.3684210526</v>
      </c>
      <c r="H43" s="206"/>
    </row>
    <row r="44" spans="1:8" s="172" customFormat="1" ht="20.25" customHeight="1">
      <c r="A44" s="206"/>
      <c r="B44" s="211" t="s">
        <v>28</v>
      </c>
      <c r="C44" s="212"/>
      <c r="D44" s="212"/>
      <c r="E44" s="208">
        <f>SUM(E7:E43)</f>
        <v>104051607.00000004</v>
      </c>
      <c r="F44" s="209">
        <f>SUM(F7:F43)</f>
        <v>2309158.2000000002</v>
      </c>
      <c r="G44" s="208">
        <f>SUM(G7:G43)</f>
        <v>101742448.80000004</v>
      </c>
      <c r="H44" s="331"/>
    </row>
    <row r="45" spans="1:8">
      <c r="B45" s="77"/>
    </row>
    <row r="46" spans="1:8" ht="16.5" customHeight="1">
      <c r="B46" s="77"/>
      <c r="E46" s="450"/>
      <c r="F46" s="552" t="s">
        <v>770</v>
      </c>
      <c r="G46" s="552"/>
      <c r="H46" s="552"/>
    </row>
    <row r="47" spans="1:8" ht="18.75">
      <c r="A47" s="541" t="s">
        <v>20</v>
      </c>
      <c r="B47" s="541"/>
      <c r="C47" s="75"/>
      <c r="D47" s="75"/>
      <c r="E47" s="235"/>
      <c r="F47" s="553" t="s">
        <v>21</v>
      </c>
      <c r="G47" s="553"/>
      <c r="H47" s="553"/>
    </row>
    <row r="48" spans="1:8" ht="18.75">
      <c r="A48" s="74"/>
      <c r="B48" s="74"/>
      <c r="C48" s="75"/>
      <c r="D48" s="75"/>
      <c r="E48" s="235"/>
      <c r="F48" s="292"/>
      <c r="G48" s="236"/>
      <c r="H48" s="74"/>
    </row>
    <row r="49" spans="1:8" ht="18.75">
      <c r="A49" s="74"/>
      <c r="B49" s="74"/>
      <c r="C49" s="75"/>
      <c r="D49" s="75"/>
      <c r="E49" s="235">
        <f>101038395-E44</f>
        <v>-3013212.0000000447</v>
      </c>
      <c r="F49" s="292"/>
      <c r="G49" s="237"/>
      <c r="H49" s="74"/>
    </row>
    <row r="50" spans="1:8" ht="18.75">
      <c r="A50" s="74"/>
      <c r="B50" s="74"/>
      <c r="C50" s="75"/>
      <c r="D50" s="75"/>
      <c r="E50" s="235"/>
      <c r="F50" s="292"/>
      <c r="G50" s="236"/>
      <c r="H50" s="74"/>
    </row>
    <row r="51" spans="1:8" ht="18.75">
      <c r="A51" s="541" t="s">
        <v>96</v>
      </c>
      <c r="B51" s="541"/>
      <c r="C51" s="75"/>
      <c r="D51" s="75"/>
      <c r="E51" s="235"/>
      <c r="F51" s="541" t="s">
        <v>151</v>
      </c>
      <c r="G51" s="541"/>
      <c r="H51" s="541"/>
    </row>
  </sheetData>
  <mergeCells count="10">
    <mergeCell ref="A1:C1"/>
    <mergeCell ref="A2:C2"/>
    <mergeCell ref="F51:H51"/>
    <mergeCell ref="A47:B47"/>
    <mergeCell ref="F46:H46"/>
    <mergeCell ref="F47:H47"/>
    <mergeCell ref="A3:H3"/>
    <mergeCell ref="A4:H4"/>
    <mergeCell ref="A51:B51"/>
    <mergeCell ref="H19:H22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8"/>
  <sheetViews>
    <sheetView zoomScaleNormal="100" workbookViewId="0">
      <selection activeCell="E19" sqref="E19"/>
    </sheetView>
  </sheetViews>
  <sheetFormatPr defaultColWidth="9.140625" defaultRowHeight="12.75"/>
  <cols>
    <col min="1" max="1" width="5" style="72" customWidth="1"/>
    <col min="2" max="2" width="24.7109375" style="72" customWidth="1"/>
    <col min="3" max="3" width="12" style="71" customWidth="1"/>
    <col min="4" max="4" width="14.5703125" style="200" customWidth="1"/>
    <col min="5" max="5" width="11.28515625" style="291" customWidth="1"/>
    <col min="6" max="6" width="10.42578125" style="162" customWidth="1"/>
    <col min="7" max="7" width="12.140625" style="165" customWidth="1"/>
    <col min="8" max="8" width="12" style="72" customWidth="1"/>
    <col min="9" max="16384" width="9.140625" style="72"/>
  </cols>
  <sheetData>
    <row r="1" spans="1:8" ht="16.5">
      <c r="A1" s="550" t="s">
        <v>0</v>
      </c>
      <c r="B1" s="550"/>
      <c r="C1" s="550"/>
      <c r="D1" s="186"/>
    </row>
    <row r="2" spans="1:8" ht="18" customHeight="1">
      <c r="A2" s="551" t="s">
        <v>75</v>
      </c>
      <c r="B2" s="551"/>
      <c r="C2" s="551"/>
      <c r="D2" s="187"/>
    </row>
    <row r="3" spans="1:8" ht="26.25" customHeight="1">
      <c r="A3" s="541" t="s">
        <v>769</v>
      </c>
      <c r="B3" s="541"/>
      <c r="C3" s="541"/>
      <c r="D3" s="541"/>
      <c r="E3" s="541"/>
      <c r="F3" s="541"/>
      <c r="G3" s="541"/>
      <c r="H3" s="541"/>
    </row>
    <row r="4" spans="1:8" ht="20.25" customHeight="1">
      <c r="A4" s="549" t="s">
        <v>67</v>
      </c>
      <c r="B4" s="549"/>
      <c r="C4" s="549"/>
      <c r="D4" s="549"/>
      <c r="E4" s="549"/>
      <c r="F4" s="549"/>
      <c r="G4" s="549"/>
      <c r="H4" s="549"/>
    </row>
    <row r="5" spans="1:8" ht="20.25">
      <c r="B5" s="74"/>
      <c r="C5" s="75"/>
      <c r="D5" s="299"/>
      <c r="H5" s="73"/>
    </row>
    <row r="6" spans="1:8" s="216" customFormat="1" ht="24.75" customHeight="1">
      <c r="A6" s="213" t="s">
        <v>2</v>
      </c>
      <c r="B6" s="213" t="s">
        <v>13</v>
      </c>
      <c r="C6" s="214" t="s">
        <v>85</v>
      </c>
      <c r="D6" s="214" t="s">
        <v>114</v>
      </c>
      <c r="E6" s="214" t="s">
        <v>14</v>
      </c>
      <c r="F6" s="164" t="s">
        <v>90</v>
      </c>
      <c r="G6" s="215" t="s">
        <v>51</v>
      </c>
      <c r="H6" s="214" t="s">
        <v>15</v>
      </c>
    </row>
    <row r="7" spans="1:8" s="172" customFormat="1" ht="24.75" customHeight="1">
      <c r="A7" s="111">
        <v>1</v>
      </c>
      <c r="B7" s="206" t="s">
        <v>23</v>
      </c>
      <c r="C7" s="207" t="s">
        <v>26</v>
      </c>
      <c r="D7" s="205">
        <v>102006610216</v>
      </c>
      <c r="E7" s="209">
        <f>'lanh tien tphau'!D7+'lanh tien PT'!D7</f>
        <v>6776555</v>
      </c>
      <c r="F7" s="209">
        <f>E7-G7</f>
        <v>677655.5</v>
      </c>
      <c r="G7" s="166">
        <f>E7*0.9</f>
        <v>6098899.5</v>
      </c>
      <c r="H7" s="206"/>
    </row>
    <row r="8" spans="1:8" s="288" customFormat="1" ht="24.75" customHeight="1">
      <c r="A8" s="111">
        <v>2</v>
      </c>
      <c r="B8" s="289" t="s">
        <v>18</v>
      </c>
      <c r="C8" s="207" t="s">
        <v>26</v>
      </c>
      <c r="D8" s="205">
        <v>103006610215</v>
      </c>
      <c r="E8" s="209">
        <f>'lanh tien PT'!D8+'Lãnh tiền PTYC'!E7</f>
        <v>1305432.5</v>
      </c>
      <c r="F8" s="209">
        <f t="shared" ref="F8:F18" si="0">E8-G8</f>
        <v>0</v>
      </c>
      <c r="G8" s="287">
        <f>E8</f>
        <v>1305432.5</v>
      </c>
      <c r="H8" s="111"/>
    </row>
    <row r="9" spans="1:8" s="172" customFormat="1" ht="24.75" customHeight="1">
      <c r="A9" s="111">
        <v>3</v>
      </c>
      <c r="B9" s="206" t="s">
        <v>17</v>
      </c>
      <c r="C9" s="207" t="s">
        <v>26</v>
      </c>
      <c r="D9" s="205">
        <v>100006610218</v>
      </c>
      <c r="E9" s="209">
        <f>'lanh tien tphau'!D9+'lanh tien PT'!D9+'Bác sĩ điều trị'!D9-'Thực lãnh'!I27+'Lãnh tiền PTYC'!E8</f>
        <v>7947404.5</v>
      </c>
      <c r="F9" s="209">
        <f t="shared" si="0"/>
        <v>794740.45000000019</v>
      </c>
      <c r="G9" s="166">
        <f>E9*0.9</f>
        <v>7152664.0499999998</v>
      </c>
      <c r="H9" s="206"/>
    </row>
    <row r="10" spans="1:8" s="172" customFormat="1" ht="24.75" customHeight="1">
      <c r="A10" s="111">
        <v>4</v>
      </c>
      <c r="B10" s="206" t="s">
        <v>19</v>
      </c>
      <c r="C10" s="207" t="s">
        <v>26</v>
      </c>
      <c r="D10" s="205">
        <v>100006610162</v>
      </c>
      <c r="E10" s="209">
        <f>'lanh tien tphau'!D10</f>
        <v>3537200</v>
      </c>
      <c r="F10" s="209">
        <f t="shared" si="0"/>
        <v>353720</v>
      </c>
      <c r="G10" s="166">
        <f>E10*0.9</f>
        <v>3183480</v>
      </c>
      <c r="H10" s="111"/>
    </row>
    <row r="11" spans="1:8" s="172" customFormat="1" ht="24.75" customHeight="1">
      <c r="A11" s="111">
        <v>5</v>
      </c>
      <c r="B11" s="206" t="s">
        <v>74</v>
      </c>
      <c r="C11" s="207" t="s">
        <v>66</v>
      </c>
      <c r="D11" s="205">
        <v>105001159195</v>
      </c>
      <c r="E11" s="209">
        <f>'lanh tien tphau'!D11+'lanh tien PT'!D10+'Lãnh tiền PTYC'!E11</f>
        <v>8182518.25</v>
      </c>
      <c r="F11" s="209">
        <f t="shared" si="0"/>
        <v>0</v>
      </c>
      <c r="G11" s="166">
        <f>E11</f>
        <v>8182518.25</v>
      </c>
      <c r="H11" s="206"/>
    </row>
    <row r="12" spans="1:8" s="172" customFormat="1" ht="24.75" customHeight="1">
      <c r="A12" s="111">
        <v>6</v>
      </c>
      <c r="B12" s="206" t="s">
        <v>72</v>
      </c>
      <c r="C12" s="207" t="s">
        <v>66</v>
      </c>
      <c r="D12" s="205">
        <v>105001225232</v>
      </c>
      <c r="E12" s="209">
        <f>'lanh tien PT'!D11+'Bác sĩ điều trị'!D13+'lanh tien tphau'!D15-'Thực lãnh'!I17</f>
        <v>2010349.5</v>
      </c>
      <c r="F12" s="209">
        <f t="shared" si="0"/>
        <v>201034.94999999995</v>
      </c>
      <c r="G12" s="166">
        <f>E12*0.9</f>
        <v>1809314.55</v>
      </c>
      <c r="H12" s="330"/>
    </row>
    <row r="13" spans="1:8" s="172" customFormat="1" ht="19.5" customHeight="1">
      <c r="A13" s="111">
        <v>7</v>
      </c>
      <c r="B13" s="206" t="s">
        <v>111</v>
      </c>
      <c r="C13" s="207" t="s">
        <v>66</v>
      </c>
      <c r="D13" s="205">
        <v>107868829237</v>
      </c>
      <c r="E13" s="209">
        <f>'lanh tien tphau'!D13+'lanh tien PT'!D12</f>
        <v>5830624.5</v>
      </c>
      <c r="F13" s="209">
        <f t="shared" si="0"/>
        <v>0</v>
      </c>
      <c r="G13" s="166">
        <f t="shared" ref="G13:G15" si="1">E13</f>
        <v>5830624.5</v>
      </c>
      <c r="H13" s="330"/>
    </row>
    <row r="14" spans="1:8" s="172" customFormat="1" ht="20.25" customHeight="1">
      <c r="A14" s="111">
        <v>8</v>
      </c>
      <c r="B14" s="206" t="s">
        <v>84</v>
      </c>
      <c r="C14" s="207" t="s">
        <v>66</v>
      </c>
      <c r="D14" s="278" t="s">
        <v>121</v>
      </c>
      <c r="E14" s="209">
        <f>'lanh tien tphau'!D12+'lanh tien PT'!D13-'Thực lãnh'!I29</f>
        <v>2885745.75</v>
      </c>
      <c r="F14" s="209">
        <f t="shared" si="0"/>
        <v>0</v>
      </c>
      <c r="G14" s="166">
        <f t="shared" si="1"/>
        <v>2885745.75</v>
      </c>
      <c r="H14" s="330"/>
    </row>
    <row r="15" spans="1:8" s="172" customFormat="1" ht="20.25" customHeight="1">
      <c r="A15" s="111">
        <v>9</v>
      </c>
      <c r="B15" s="206" t="s">
        <v>123</v>
      </c>
      <c r="C15" s="207" t="s">
        <v>66</v>
      </c>
      <c r="D15" s="278" t="s">
        <v>126</v>
      </c>
      <c r="E15" s="209">
        <f>'lanh tien PT'!D14</f>
        <v>1652944</v>
      </c>
      <c r="F15" s="209">
        <f t="shared" si="0"/>
        <v>0</v>
      </c>
      <c r="G15" s="166">
        <f t="shared" si="1"/>
        <v>1652944</v>
      </c>
      <c r="H15" s="330"/>
    </row>
    <row r="16" spans="1:8" s="172" customFormat="1" ht="20.25" customHeight="1">
      <c r="A16" s="111">
        <v>10</v>
      </c>
      <c r="B16" s="210" t="s">
        <v>39</v>
      </c>
      <c r="C16" s="329" t="s">
        <v>26</v>
      </c>
      <c r="D16" s="437">
        <v>109006610409</v>
      </c>
      <c r="E16" s="209">
        <f>'lanh tien PT'!D15</f>
        <v>1483845</v>
      </c>
      <c r="F16" s="209">
        <f t="shared" si="0"/>
        <v>0</v>
      </c>
      <c r="G16" s="166">
        <f>E16</f>
        <v>1483845</v>
      </c>
      <c r="H16" s="330"/>
    </row>
    <row r="17" spans="1:8" s="172" customFormat="1" ht="24.75" customHeight="1">
      <c r="A17" s="111">
        <v>11</v>
      </c>
      <c r="B17" s="210" t="s">
        <v>321</v>
      </c>
      <c r="C17" s="329" t="s">
        <v>26</v>
      </c>
      <c r="D17" s="437">
        <v>109871759605</v>
      </c>
      <c r="E17" s="209">
        <f>'Bác sĩ điều trị'!D19</f>
        <v>1500000</v>
      </c>
      <c r="F17" s="209">
        <f t="shared" si="0"/>
        <v>0</v>
      </c>
      <c r="G17" s="166">
        <f>E17</f>
        <v>1500000</v>
      </c>
      <c r="H17" s="330"/>
    </row>
    <row r="18" spans="1:8" s="172" customFormat="1" ht="24.75" customHeight="1">
      <c r="A18" s="111">
        <v>12</v>
      </c>
      <c r="B18" s="210" t="s">
        <v>322</v>
      </c>
      <c r="C18" s="329" t="s">
        <v>26</v>
      </c>
      <c r="D18" s="437">
        <v>109867708726</v>
      </c>
      <c r="E18" s="209">
        <f>'Bác sĩ điều trị'!D20</f>
        <v>1500000</v>
      </c>
      <c r="F18" s="209">
        <f t="shared" si="0"/>
        <v>0</v>
      </c>
      <c r="G18" s="166">
        <f>E18</f>
        <v>1500000</v>
      </c>
      <c r="H18" s="330"/>
    </row>
    <row r="19" spans="1:8" s="172" customFormat="1" ht="24.75" customHeight="1">
      <c r="A19" s="111">
        <v>13</v>
      </c>
      <c r="B19" s="476" t="s">
        <v>260</v>
      </c>
      <c r="C19" s="477" t="s">
        <v>60</v>
      </c>
      <c r="D19" s="480">
        <v>105883051352</v>
      </c>
      <c r="E19" s="478">
        <f>'lanh tien PT'!D16+'lanh tien PT'!D17+'lanh tien PT'!D18+'lanh tien PT'!D19+'lanh tien PT_BHYT'!E16+'lanh tien PT_BHYT'!E17+'lanh tien PT_BHYT'!E18+'lanh tien PT_BHYT'!E19</f>
        <v>5901330</v>
      </c>
      <c r="F19" s="478">
        <f t="shared" ref="F19:F29" si="2">E19-G19</f>
        <v>590133</v>
      </c>
      <c r="G19" s="166">
        <f>E19*0.9</f>
        <v>5311197</v>
      </c>
      <c r="H19" s="330"/>
    </row>
    <row r="20" spans="1:8" s="172" customFormat="1" ht="24.75" customHeight="1">
      <c r="A20" s="111">
        <v>14</v>
      </c>
      <c r="B20" s="106" t="s">
        <v>154</v>
      </c>
      <c r="C20" s="230" t="s">
        <v>60</v>
      </c>
      <c r="D20" s="354">
        <v>105880975165</v>
      </c>
      <c r="E20" s="209">
        <f>'lanh tien PT_BHYT'!E20+'lanh tien PT'!D20</f>
        <v>1118182</v>
      </c>
      <c r="F20" s="209">
        <f t="shared" si="2"/>
        <v>0</v>
      </c>
      <c r="G20" s="166">
        <f>E20</f>
        <v>1118182</v>
      </c>
      <c r="H20" s="330"/>
    </row>
    <row r="21" spans="1:8" s="172" customFormat="1" ht="24.75" customHeight="1">
      <c r="A21" s="111">
        <v>15</v>
      </c>
      <c r="B21" s="106" t="s">
        <v>155</v>
      </c>
      <c r="C21" s="230" t="s">
        <v>60</v>
      </c>
      <c r="D21" s="354">
        <v>102879258199</v>
      </c>
      <c r="E21" s="209">
        <f>'lanh tien PT_BHYT'!E21+'lanh tien PT'!D21-1000000</f>
        <v>815721</v>
      </c>
      <c r="F21" s="209">
        <f t="shared" si="2"/>
        <v>0</v>
      </c>
      <c r="G21" s="166">
        <f>E21</f>
        <v>815721</v>
      </c>
      <c r="H21" s="330"/>
    </row>
    <row r="22" spans="1:8" s="172" customFormat="1" ht="24.75" customHeight="1">
      <c r="A22" s="111">
        <v>16</v>
      </c>
      <c r="B22" s="106" t="s">
        <v>156</v>
      </c>
      <c r="C22" s="230" t="s">
        <v>60</v>
      </c>
      <c r="D22" s="355" t="s">
        <v>160</v>
      </c>
      <c r="E22" s="209">
        <f>'lanh tien PT_BHYT'!E22+'lanh tien PT'!D22-1500000</f>
        <v>1219077</v>
      </c>
      <c r="F22" s="209">
        <f t="shared" si="2"/>
        <v>0</v>
      </c>
      <c r="G22" s="166">
        <f>E22</f>
        <v>1219077</v>
      </c>
      <c r="H22" s="330"/>
    </row>
    <row r="23" spans="1:8" s="172" customFormat="1" ht="24.75" customHeight="1">
      <c r="A23" s="111">
        <v>17</v>
      </c>
      <c r="B23" s="106" t="s">
        <v>157</v>
      </c>
      <c r="C23" s="230" t="s">
        <v>60</v>
      </c>
      <c r="D23" s="354">
        <v>109881014321</v>
      </c>
      <c r="E23" s="209">
        <f>'lanh tien PT_BHYT'!E23+'lanh tien PT'!D23-1500000</f>
        <v>854210</v>
      </c>
      <c r="F23" s="209">
        <f t="shared" si="2"/>
        <v>0</v>
      </c>
      <c r="G23" s="166">
        <f>E23</f>
        <v>854210</v>
      </c>
      <c r="H23" s="330"/>
    </row>
    <row r="24" spans="1:8" s="172" customFormat="1" ht="24.75" customHeight="1">
      <c r="A24" s="111">
        <v>18</v>
      </c>
      <c r="B24" s="106" t="s">
        <v>158</v>
      </c>
      <c r="C24" s="230" t="s">
        <v>60</v>
      </c>
      <c r="D24" s="354">
        <v>102880994246</v>
      </c>
      <c r="E24" s="209">
        <f>'lanh tien PT_BHYT'!E24+'lanh tien PT'!D24</f>
        <v>1038160</v>
      </c>
      <c r="F24" s="209">
        <f t="shared" si="2"/>
        <v>0</v>
      </c>
      <c r="G24" s="166">
        <f>E24</f>
        <v>1038160</v>
      </c>
      <c r="H24" s="330"/>
    </row>
    <row r="25" spans="1:8" s="172" customFormat="1" ht="24.75" customHeight="1">
      <c r="A25" s="111">
        <v>19</v>
      </c>
      <c r="B25" s="106" t="s">
        <v>159</v>
      </c>
      <c r="C25" s="230" t="s">
        <v>60</v>
      </c>
      <c r="D25" s="356" t="s">
        <v>161</v>
      </c>
      <c r="E25" s="209">
        <f>'lanh tien PT_BHYT'!E25+'lanh tien PT'!D25-1000000</f>
        <v>880980</v>
      </c>
      <c r="F25" s="209">
        <f t="shared" si="2"/>
        <v>0</v>
      </c>
      <c r="G25" s="166">
        <f>E25</f>
        <v>880980</v>
      </c>
      <c r="H25" s="330"/>
    </row>
    <row r="26" spans="1:8" s="172" customFormat="1" ht="24.75" customHeight="1">
      <c r="A26" s="111">
        <v>20</v>
      </c>
      <c r="B26" s="106" t="s">
        <v>771</v>
      </c>
      <c r="C26" s="230" t="s">
        <v>60</v>
      </c>
      <c r="D26" s="356" t="s">
        <v>776</v>
      </c>
      <c r="E26" s="209">
        <f>'lanh tien PT_BHYT'!E26+'lanh tien PT'!D26+'TONG LANH'!E32</f>
        <v>1261726</v>
      </c>
      <c r="F26" s="209">
        <f t="shared" si="2"/>
        <v>0</v>
      </c>
      <c r="G26" s="166">
        <f>E26</f>
        <v>1261726</v>
      </c>
      <c r="H26" s="330"/>
    </row>
    <row r="27" spans="1:8" s="172" customFormat="1" ht="24.75" customHeight="1">
      <c r="A27" s="111">
        <v>21</v>
      </c>
      <c r="B27" s="106" t="s">
        <v>772</v>
      </c>
      <c r="C27" s="230" t="s">
        <v>60</v>
      </c>
      <c r="D27" s="558">
        <v>109881609351</v>
      </c>
      <c r="E27" s="209">
        <f>'lanh tien PT_BHYT'!E27+'lanh tien PT'!D27</f>
        <v>465393</v>
      </c>
      <c r="F27" s="209">
        <f t="shared" si="2"/>
        <v>0</v>
      </c>
      <c r="G27" s="166">
        <f>E27</f>
        <v>465393</v>
      </c>
      <c r="H27" s="330"/>
    </row>
    <row r="28" spans="1:8" s="172" customFormat="1" ht="24.75" customHeight="1">
      <c r="A28" s="111">
        <v>22</v>
      </c>
      <c r="B28" s="106" t="s">
        <v>773</v>
      </c>
      <c r="C28" s="230" t="s">
        <v>60</v>
      </c>
      <c r="D28" s="356" t="s">
        <v>777</v>
      </c>
      <c r="E28" s="209">
        <f>'lanh tien PT_BHYT'!E28+'lanh tien PT'!D28-500000</f>
        <v>1393412</v>
      </c>
      <c r="F28" s="209">
        <f t="shared" si="2"/>
        <v>0</v>
      </c>
      <c r="G28" s="166">
        <f>E28</f>
        <v>1393412</v>
      </c>
      <c r="H28" s="330"/>
    </row>
    <row r="29" spans="1:8" s="172" customFormat="1" ht="24.75" customHeight="1">
      <c r="A29" s="111">
        <v>23</v>
      </c>
      <c r="B29" s="106" t="s">
        <v>775</v>
      </c>
      <c r="C29" s="230" t="s">
        <v>60</v>
      </c>
      <c r="D29" s="356" t="s">
        <v>779</v>
      </c>
      <c r="E29" s="209">
        <f>'lanh tien PT_BHYT'!E30+'lanh tien PT'!D30-1003000</f>
        <v>1610420</v>
      </c>
      <c r="F29" s="209">
        <f t="shared" si="2"/>
        <v>0</v>
      </c>
      <c r="G29" s="166">
        <f>E29</f>
        <v>1610420</v>
      </c>
      <c r="H29" s="330"/>
    </row>
    <row r="30" spans="1:8" s="172" customFormat="1" ht="24.75" customHeight="1">
      <c r="A30" s="111">
        <v>24</v>
      </c>
      <c r="B30" s="206" t="s">
        <v>45</v>
      </c>
      <c r="C30" s="207" t="s">
        <v>27</v>
      </c>
      <c r="D30" s="205">
        <v>106006773860</v>
      </c>
      <c r="E30" s="209">
        <f>'lanh tien PT1'!E20</f>
        <v>3880753.5789473685</v>
      </c>
      <c r="F30" s="209" t="s">
        <v>56</v>
      </c>
      <c r="G30" s="166">
        <f t="shared" ref="G30" si="3">E30</f>
        <v>3880753.5789473685</v>
      </c>
      <c r="H30" s="206"/>
    </row>
    <row r="31" spans="1:8" s="172" customFormat="1" ht="24.75" customHeight="1">
      <c r="A31" s="111">
        <v>25</v>
      </c>
      <c r="B31" s="206" t="s">
        <v>65</v>
      </c>
      <c r="C31" s="207" t="s">
        <v>27</v>
      </c>
      <c r="D31" s="205">
        <v>105866700129</v>
      </c>
      <c r="E31" s="209">
        <f>'lanh tien PT1'!E21</f>
        <v>3880753.5789473685</v>
      </c>
      <c r="F31" s="209" t="s">
        <v>56</v>
      </c>
      <c r="G31" s="166">
        <f t="shared" ref="G31:G39" si="4">E31</f>
        <v>3880753.5789473685</v>
      </c>
      <c r="H31" s="206"/>
    </row>
    <row r="32" spans="1:8" s="172" customFormat="1" ht="24.75" customHeight="1">
      <c r="A32" s="111">
        <v>26</v>
      </c>
      <c r="B32" s="206" t="s">
        <v>82</v>
      </c>
      <c r="C32" s="207" t="s">
        <v>27</v>
      </c>
      <c r="D32" s="205" t="s">
        <v>115</v>
      </c>
      <c r="E32" s="209">
        <f>'lanh tien PT1'!E22</f>
        <v>3880753.5789473685</v>
      </c>
      <c r="F32" s="209" t="s">
        <v>56</v>
      </c>
      <c r="G32" s="166">
        <f t="shared" si="4"/>
        <v>3880753.5789473685</v>
      </c>
      <c r="H32" s="206"/>
    </row>
    <row r="33" spans="1:10" s="172" customFormat="1" ht="24.75" customHeight="1">
      <c r="A33" s="111">
        <v>27</v>
      </c>
      <c r="B33" s="206" t="s">
        <v>46</v>
      </c>
      <c r="C33" s="207" t="s">
        <v>27</v>
      </c>
      <c r="D33" s="205">
        <v>106002699376</v>
      </c>
      <c r="E33" s="209">
        <f>'lanh tien PT1'!E24+'Bác sĩ điều trị'!D18</f>
        <v>6880753.578947369</v>
      </c>
      <c r="F33" s="209" t="s">
        <v>56</v>
      </c>
      <c r="G33" s="166">
        <f t="shared" si="4"/>
        <v>6880753.578947369</v>
      </c>
      <c r="H33" s="206"/>
    </row>
    <row r="34" spans="1:10" s="172" customFormat="1" ht="24.75" customHeight="1">
      <c r="A34" s="111">
        <v>28</v>
      </c>
      <c r="B34" s="206" t="s">
        <v>70</v>
      </c>
      <c r="C34" s="207" t="s">
        <v>27</v>
      </c>
      <c r="D34" s="205" t="s">
        <v>116</v>
      </c>
      <c r="E34" s="209">
        <f>E32</f>
        <v>3880753.5789473685</v>
      </c>
      <c r="F34" s="209" t="s">
        <v>56</v>
      </c>
      <c r="G34" s="166">
        <f t="shared" si="4"/>
        <v>3880753.5789473685</v>
      </c>
      <c r="H34" s="206"/>
    </row>
    <row r="35" spans="1:10" s="172" customFormat="1" ht="24.75" customHeight="1">
      <c r="A35" s="111">
        <v>29</v>
      </c>
      <c r="B35" s="206" t="s">
        <v>112</v>
      </c>
      <c r="C35" s="207" t="s">
        <v>27</v>
      </c>
      <c r="D35" s="205">
        <v>102877256973</v>
      </c>
      <c r="E35" s="209">
        <f>E32</f>
        <v>3880753.5789473685</v>
      </c>
      <c r="F35" s="209" t="s">
        <v>56</v>
      </c>
      <c r="G35" s="166">
        <f t="shared" si="4"/>
        <v>3880753.5789473685</v>
      </c>
      <c r="H35" s="206"/>
    </row>
    <row r="36" spans="1:10" s="172" customFormat="1" ht="24.75" customHeight="1">
      <c r="A36" s="111">
        <v>30</v>
      </c>
      <c r="B36" s="206" t="s">
        <v>73</v>
      </c>
      <c r="C36" s="207" t="s">
        <v>27</v>
      </c>
      <c r="D36" s="205">
        <v>109869939394</v>
      </c>
      <c r="E36" s="209">
        <f>E32</f>
        <v>3880753.5789473685</v>
      </c>
      <c r="F36" s="209" t="s">
        <v>56</v>
      </c>
      <c r="G36" s="166">
        <f t="shared" si="4"/>
        <v>3880753.5789473685</v>
      </c>
      <c r="H36" s="206"/>
    </row>
    <row r="37" spans="1:10" s="172" customFormat="1" ht="24.75" customHeight="1">
      <c r="A37" s="111">
        <v>31</v>
      </c>
      <c r="B37" s="206" t="s">
        <v>143</v>
      </c>
      <c r="C37" s="207" t="s">
        <v>27</v>
      </c>
      <c r="D37" s="481" t="s">
        <v>145</v>
      </c>
      <c r="E37" s="209">
        <f>E32</f>
        <v>3880753.5789473685</v>
      </c>
      <c r="F37" s="209" t="s">
        <v>56</v>
      </c>
      <c r="G37" s="166">
        <f t="shared" si="4"/>
        <v>3880753.5789473685</v>
      </c>
      <c r="H37" s="206"/>
    </row>
    <row r="38" spans="1:10" s="172" customFormat="1" ht="24.75" customHeight="1">
      <c r="A38" s="111">
        <v>32</v>
      </c>
      <c r="B38" s="206" t="s">
        <v>144</v>
      </c>
      <c r="C38" s="207" t="s">
        <v>27</v>
      </c>
      <c r="D38" s="482" t="s">
        <v>146</v>
      </c>
      <c r="E38" s="209">
        <f>E32</f>
        <v>3880753.5789473685</v>
      </c>
      <c r="F38" s="209" t="s">
        <v>56</v>
      </c>
      <c r="G38" s="166">
        <f t="shared" si="4"/>
        <v>3880753.5789473685</v>
      </c>
      <c r="H38" s="206"/>
    </row>
    <row r="39" spans="1:10" s="172" customFormat="1" ht="24.75" customHeight="1">
      <c r="A39" s="111">
        <v>33</v>
      </c>
      <c r="B39" s="206" t="s">
        <v>55</v>
      </c>
      <c r="C39" s="207" t="s">
        <v>91</v>
      </c>
      <c r="D39" s="205">
        <v>108002699374</v>
      </c>
      <c r="E39" s="209">
        <f>'lanh tien PT1'!E30</f>
        <v>1940382.7894736843</v>
      </c>
      <c r="F39" s="209" t="s">
        <v>56</v>
      </c>
      <c r="G39" s="166">
        <f t="shared" si="4"/>
        <v>1940382.7894736843</v>
      </c>
      <c r="H39" s="206"/>
    </row>
    <row r="40" spans="1:10" s="348" customFormat="1" ht="24.75" customHeight="1">
      <c r="A40" s="341"/>
      <c r="B40" s="342" t="s">
        <v>28</v>
      </c>
      <c r="C40" s="343"/>
      <c r="D40" s="344"/>
      <c r="E40" s="345">
        <f>SUM(E7:E39)</f>
        <v>101038394.99999997</v>
      </c>
      <c r="F40" s="346">
        <f>SUM(F7:F39)</f>
        <v>2617283.9000000004</v>
      </c>
      <c r="G40" s="346">
        <f>SUM(G7:G39)</f>
        <v>98421111.099999979</v>
      </c>
      <c r="H40" s="347"/>
    </row>
    <row r="41" spans="1:10">
      <c r="B41" s="77"/>
      <c r="J41" s="78"/>
    </row>
    <row r="42" spans="1:10" ht="16.5" customHeight="1">
      <c r="B42" s="77"/>
      <c r="F42" s="552" t="s">
        <v>770</v>
      </c>
      <c r="G42" s="552"/>
      <c r="H42" s="552"/>
      <c r="J42" s="78"/>
    </row>
    <row r="43" spans="1:10" ht="18.75">
      <c r="A43" s="541" t="s">
        <v>20</v>
      </c>
      <c r="B43" s="541"/>
      <c r="C43" s="75"/>
      <c r="D43" s="299"/>
      <c r="E43" s="292"/>
      <c r="F43" s="553" t="s">
        <v>21</v>
      </c>
      <c r="G43" s="553"/>
      <c r="H43" s="553"/>
    </row>
    <row r="44" spans="1:10" ht="18.75">
      <c r="A44" s="74"/>
      <c r="B44" s="74"/>
      <c r="C44" s="75"/>
      <c r="D44" s="299"/>
      <c r="E44" s="292"/>
      <c r="F44" s="235"/>
      <c r="G44" s="236"/>
      <c r="H44" s="74"/>
    </row>
    <row r="45" spans="1:10" ht="18.75">
      <c r="A45" s="74"/>
      <c r="B45" s="74"/>
      <c r="C45" s="75"/>
      <c r="D45" s="299"/>
      <c r="E45" s="292"/>
      <c r="F45" s="235"/>
      <c r="G45" s="237"/>
      <c r="H45" s="74"/>
    </row>
    <row r="46" spans="1:10" ht="18.75">
      <c r="A46" s="74"/>
      <c r="B46" s="74"/>
      <c r="C46" s="75"/>
      <c r="D46" s="299"/>
      <c r="F46" s="235"/>
      <c r="G46" s="236"/>
      <c r="H46" s="74"/>
    </row>
    <row r="47" spans="1:10" ht="18.75">
      <c r="A47" s="541" t="s">
        <v>96</v>
      </c>
      <c r="B47" s="541"/>
      <c r="C47" s="75"/>
      <c r="D47" s="299"/>
      <c r="E47" s="292"/>
      <c r="F47" s="541" t="s">
        <v>163</v>
      </c>
      <c r="G47" s="541"/>
      <c r="H47" s="541"/>
    </row>
    <row r="48" spans="1:10" ht="18.75">
      <c r="A48" s="74"/>
      <c r="B48" s="74"/>
      <c r="C48" s="75"/>
      <c r="D48" s="299"/>
      <c r="E48" s="292"/>
      <c r="F48" s="235"/>
      <c r="G48" s="236"/>
      <c r="H48" s="74"/>
    </row>
  </sheetData>
  <mergeCells count="9">
    <mergeCell ref="A47:B47"/>
    <mergeCell ref="F47:H47"/>
    <mergeCell ref="A1:C1"/>
    <mergeCell ref="A2:C2"/>
    <mergeCell ref="A3:H3"/>
    <mergeCell ref="A4:H4"/>
    <mergeCell ref="F42:H42"/>
    <mergeCell ref="A43:B43"/>
    <mergeCell ref="F43:H43"/>
  </mergeCells>
  <pageMargins left="0.2" right="0.17" top="0.46" bottom="0.3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2025-10-21T07:45:19Z</cp:lastPrinted>
  <dcterms:created xsi:type="dcterms:W3CDTF">2012-03-02T08:10:25Z</dcterms:created>
  <dcterms:modified xsi:type="dcterms:W3CDTF">2025-10-21T07:47:52Z</dcterms:modified>
</cp:coreProperties>
</file>